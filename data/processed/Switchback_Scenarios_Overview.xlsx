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hara\Downloads\"/>
    </mc:Choice>
  </mc:AlternateContent>
  <xr:revisionPtr revIDLastSave="0" documentId="13_ncr:1_{4EE7923E-0C76-4A9E-BBC6-1C8F12B191CB}" xr6:coauthVersionLast="47" xr6:coauthVersionMax="47" xr10:uidLastSave="{00000000-0000-0000-0000-000000000000}"/>
  <bookViews>
    <workbookView xWindow="-120" yWindow="-120" windowWidth="29040" windowHeight="15720" xr2:uid="{C8C4A6E0-A68F-4217-A5F4-1F776906F78F}"/>
  </bookViews>
  <sheets>
    <sheet name="Switch S Pack" sheetId="1" r:id="rId1"/>
    <sheet name="Switch M pack" sheetId="2" r:id="rId2"/>
    <sheet name="Switch L pack" sheetId="3" r:id="rId3"/>
  </sheets>
  <definedNames>
    <definedName name="_xlnm._FilterDatabase" localSheetId="2" hidden="1">'Switch L pack'!$A$6:$F$1006</definedName>
    <definedName name="_xlnm._FilterDatabase" localSheetId="1" hidden="1">'Switch M pack'!$A$7:$F$1007</definedName>
    <definedName name="_xlnm._FilterDatabase" localSheetId="0" hidden="1">'Switch S Pack'!$A$7:$F$1007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2" l="1" a="1"/>
  <c r="F21" i="2" s="1"/>
  <c r="F12" i="2" a="1"/>
  <c r="F12" i="2" s="1"/>
  <c r="F9" i="2" a="1"/>
  <c r="F9" i="2" s="1"/>
  <c r="F10" i="2" a="1"/>
  <c r="F10" i="2" s="1"/>
  <c r="F11" i="2" a="1"/>
  <c r="F11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F82" i="2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60" i="2" a="1"/>
  <c r="F360" i="2" s="1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433" i="2" a="1"/>
  <c r="F433" i="2" s="1"/>
  <c r="F434" i="2" a="1"/>
  <c r="F434" i="2" s="1"/>
  <c r="F435" i="2" a="1"/>
  <c r="F435" i="2" s="1"/>
  <c r="F436" i="2" a="1"/>
  <c r="F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71" i="2" a="1"/>
  <c r="F471" i="2" s="1"/>
  <c r="F472" i="2" a="1"/>
  <c r="F472" i="2" s="1"/>
  <c r="F473" i="2" a="1"/>
  <c r="F473" i="2" s="1"/>
  <c r="F474" i="2" a="1"/>
  <c r="F474" i="2" s="1"/>
  <c r="F475" i="2" a="1"/>
  <c r="F475" i="2" s="1"/>
  <c r="F476" i="2" a="1"/>
  <c r="F476" i="2" s="1"/>
  <c r="F477" i="2" a="1"/>
  <c r="F477" i="2" s="1"/>
  <c r="F478" i="2" a="1"/>
  <c r="F478" i="2" s="1"/>
  <c r="F479" i="2" a="1"/>
  <c r="F479" i="2" s="1"/>
  <c r="F480" i="2" a="1"/>
  <c r="F480" i="2" s="1"/>
  <c r="F481" i="2" a="1"/>
  <c r="F481" i="2" s="1"/>
  <c r="F482" i="2" a="1"/>
  <c r="F482" i="2" s="1"/>
  <c r="F483" i="2" a="1"/>
  <c r="F483" i="2" s="1"/>
  <c r="F484" i="2" a="1"/>
  <c r="F484" i="2" s="1"/>
  <c r="F485" i="2" a="1"/>
  <c r="F485" i="2" s="1"/>
  <c r="F486" i="2" a="1"/>
  <c r="F486" i="2" s="1"/>
  <c r="F487" i="2" a="1"/>
  <c r="F487" i="2" s="1"/>
  <c r="F488" i="2" a="1"/>
  <c r="F488" i="2" s="1"/>
  <c r="F489" i="2" a="1"/>
  <c r="F489" i="2" s="1"/>
  <c r="F490" i="2" a="1"/>
  <c r="F490" i="2" s="1"/>
  <c r="F491" i="2" a="1"/>
  <c r="F491" i="2" s="1"/>
  <c r="F492" i="2" a="1"/>
  <c r="F492" i="2" s="1"/>
  <c r="F493" i="2" a="1"/>
  <c r="F493" i="2" s="1"/>
  <c r="F494" i="2" a="1"/>
  <c r="F494" i="2" s="1"/>
  <c r="F495" i="2" a="1"/>
  <c r="F495" i="2" s="1"/>
  <c r="F496" i="2" a="1"/>
  <c r="F496" i="2" s="1"/>
  <c r="F497" i="2" a="1"/>
  <c r="F497" i="2" s="1"/>
  <c r="F498" i="2" a="1"/>
  <c r="F498" i="2" s="1"/>
  <c r="F499" i="2" a="1"/>
  <c r="F499" i="2" s="1"/>
  <c r="F500" i="2" a="1"/>
  <c r="F500" i="2" s="1"/>
  <c r="F501" i="2" a="1"/>
  <c r="F501" i="2" s="1"/>
  <c r="F502" i="2" a="1"/>
  <c r="F502" i="2" s="1"/>
  <c r="F503" i="2" a="1"/>
  <c r="F503" i="2" s="1"/>
  <c r="F504" i="2" a="1"/>
  <c r="F504" i="2" s="1"/>
  <c r="F505" i="2" a="1"/>
  <c r="F505" i="2" s="1"/>
  <c r="F506" i="2" a="1"/>
  <c r="F506" i="2" s="1"/>
  <c r="F507" i="2" a="1"/>
  <c r="F507" i="2" s="1"/>
  <c r="F508" i="2" a="1"/>
  <c r="F508" i="2" s="1"/>
  <c r="F509" i="2" a="1"/>
  <c r="F509" i="2" s="1"/>
  <c r="F510" i="2" a="1"/>
  <c r="F510" i="2" s="1"/>
  <c r="F511" i="2" a="1"/>
  <c r="F511" i="2" s="1"/>
  <c r="F512" i="2" a="1"/>
  <c r="F512" i="2" s="1"/>
  <c r="F513" i="2" a="1"/>
  <c r="F513" i="2" s="1"/>
  <c r="F514" i="2" a="1"/>
  <c r="F514" i="2" s="1"/>
  <c r="F515" i="2" a="1"/>
  <c r="F515" i="2" s="1"/>
  <c r="F516" i="2" a="1"/>
  <c r="F516" i="2" s="1"/>
  <c r="F517" i="2" a="1"/>
  <c r="F517" i="2" s="1"/>
  <c r="F518" i="2" a="1"/>
  <c r="F518" i="2" s="1"/>
  <c r="F519" i="2" a="1"/>
  <c r="F519" i="2" s="1"/>
  <c r="F520" i="2" a="1"/>
  <c r="F520" i="2" s="1"/>
  <c r="F521" i="2" a="1"/>
  <c r="F521" i="2" s="1"/>
  <c r="F522" i="2" a="1"/>
  <c r="F522" i="2" s="1"/>
  <c r="F523" i="2" a="1"/>
  <c r="F523" i="2" s="1"/>
  <c r="F524" i="2" a="1"/>
  <c r="F524" i="2" s="1"/>
  <c r="F525" i="2" a="1"/>
  <c r="F525" i="2" s="1"/>
  <c r="F526" i="2" a="1"/>
  <c r="F526" i="2" s="1"/>
  <c r="F527" i="2" a="1"/>
  <c r="F527" i="2" s="1"/>
  <c r="F528" i="2" a="1"/>
  <c r="F528" i="2" s="1"/>
  <c r="F529" i="2" a="1"/>
  <c r="F529" i="2" s="1"/>
  <c r="F530" i="2" a="1"/>
  <c r="F530" i="2" s="1"/>
  <c r="F531" i="2" a="1"/>
  <c r="F531" i="2" s="1"/>
  <c r="F532" i="2" a="1"/>
  <c r="F532" i="2" s="1"/>
  <c r="F533" i="2" a="1"/>
  <c r="F533" i="2" s="1"/>
  <c r="F534" i="2" a="1"/>
  <c r="F534" i="2" s="1"/>
  <c r="F535" i="2" a="1"/>
  <c r="F535" i="2" s="1"/>
  <c r="F536" i="2" a="1"/>
  <c r="F536" i="2" s="1"/>
  <c r="F537" i="2" a="1"/>
  <c r="F537" i="2" s="1"/>
  <c r="F538" i="2" a="1"/>
  <c r="F538" i="2" s="1"/>
  <c r="F539" i="2" a="1"/>
  <c r="F539" i="2" s="1"/>
  <c r="F540" i="2" a="1"/>
  <c r="F540" i="2" s="1"/>
  <c r="F541" i="2" a="1"/>
  <c r="F541" i="2" s="1"/>
  <c r="F542" i="2" a="1"/>
  <c r="F542" i="2" s="1"/>
  <c r="F543" i="2" a="1"/>
  <c r="F543" i="2" s="1"/>
  <c r="F544" i="2" a="1"/>
  <c r="F544" i="2" s="1"/>
  <c r="F545" i="2" a="1"/>
  <c r="F545" i="2" s="1"/>
  <c r="F546" i="2" a="1"/>
  <c r="F546" i="2" s="1"/>
  <c r="F547" i="2" a="1"/>
  <c r="F547" i="2" s="1"/>
  <c r="F548" i="2" a="1"/>
  <c r="F548" i="2" s="1"/>
  <c r="F549" i="2" a="1"/>
  <c r="F549" i="2" s="1"/>
  <c r="F550" i="2" a="1"/>
  <c r="F550" i="2" s="1"/>
  <c r="F551" i="2" a="1"/>
  <c r="F551" i="2" s="1"/>
  <c r="F552" i="2" a="1"/>
  <c r="F552" i="2" s="1"/>
  <c r="F553" i="2" a="1"/>
  <c r="F553" i="2" s="1"/>
  <c r="F554" i="2" a="1"/>
  <c r="F554" i="2" s="1"/>
  <c r="F555" i="2" a="1"/>
  <c r="F555" i="2" s="1"/>
  <c r="F556" i="2" a="1"/>
  <c r="F556" i="2" s="1"/>
  <c r="F557" i="2" a="1"/>
  <c r="F557" i="2" s="1"/>
  <c r="F558" i="2" a="1"/>
  <c r="F558" i="2" s="1"/>
  <c r="F559" i="2" a="1"/>
  <c r="F559" i="2" s="1"/>
  <c r="F560" i="2" a="1"/>
  <c r="F560" i="2" s="1"/>
  <c r="F561" i="2" a="1"/>
  <c r="F561" i="2" s="1"/>
  <c r="F562" i="2" a="1"/>
  <c r="F562" i="2" s="1"/>
  <c r="F563" i="2" a="1"/>
  <c r="F563" i="2" s="1"/>
  <c r="F564" i="2" a="1"/>
  <c r="F564" i="2" s="1"/>
  <c r="F565" i="2" a="1"/>
  <c r="F565" i="2" s="1"/>
  <c r="F566" i="2" a="1"/>
  <c r="F566" i="2" s="1"/>
  <c r="F567" i="2" a="1"/>
  <c r="F567" i="2" s="1"/>
  <c r="F568" i="2" a="1"/>
  <c r="F568" i="2" s="1"/>
  <c r="F569" i="2" a="1"/>
  <c r="F569" i="2" s="1"/>
  <c r="F570" i="2" a="1"/>
  <c r="F570" i="2" s="1"/>
  <c r="F571" i="2" a="1"/>
  <c r="F571" i="2" s="1"/>
  <c r="F572" i="2" a="1"/>
  <c r="F572" i="2" s="1"/>
  <c r="F573" i="2" a="1"/>
  <c r="F573" i="2" s="1"/>
  <c r="F574" i="2" a="1"/>
  <c r="F574" i="2" s="1"/>
  <c r="F575" i="2" a="1"/>
  <c r="F575" i="2" s="1"/>
  <c r="F576" i="2" a="1"/>
  <c r="F576" i="2" s="1"/>
  <c r="F577" i="2" a="1"/>
  <c r="F577" i="2" s="1"/>
  <c r="F578" i="2" a="1"/>
  <c r="F578" i="2" s="1"/>
  <c r="F579" i="2" a="1"/>
  <c r="F579" i="2" s="1"/>
  <c r="F580" i="2" a="1"/>
  <c r="F580" i="2" s="1"/>
  <c r="F581" i="2" a="1"/>
  <c r="F581" i="2" s="1"/>
  <c r="F582" i="2" a="1"/>
  <c r="F582" i="2" s="1"/>
  <c r="F583" i="2" a="1"/>
  <c r="F583" i="2" s="1"/>
  <c r="F584" i="2" a="1"/>
  <c r="F584" i="2" s="1"/>
  <c r="F585" i="2" a="1"/>
  <c r="F585" i="2" s="1"/>
  <c r="F586" i="2" a="1"/>
  <c r="F586" i="2" s="1"/>
  <c r="F587" i="2" a="1"/>
  <c r="F587" i="2" s="1"/>
  <c r="F588" i="2" a="1"/>
  <c r="F588" i="2" s="1"/>
  <c r="F589" i="2" a="1"/>
  <c r="F589" i="2" s="1"/>
  <c r="F590" i="2" a="1"/>
  <c r="F590" i="2" s="1"/>
  <c r="F591" i="2" a="1"/>
  <c r="F591" i="2" s="1"/>
  <c r="F592" i="2" a="1"/>
  <c r="F592" i="2" s="1"/>
  <c r="F593" i="2" a="1"/>
  <c r="F593" i="2" s="1"/>
  <c r="F594" i="2" a="1"/>
  <c r="F594" i="2" s="1"/>
  <c r="F595" i="2" a="1"/>
  <c r="F595" i="2" s="1"/>
  <c r="F596" i="2" a="1"/>
  <c r="F596" i="2" s="1"/>
  <c r="F597" i="2" a="1"/>
  <c r="F597" i="2" s="1"/>
  <c r="F598" i="2" a="1"/>
  <c r="F598" i="2" s="1"/>
  <c r="F599" i="2" a="1"/>
  <c r="F599" i="2" s="1"/>
  <c r="F600" i="2" a="1"/>
  <c r="F600" i="2" s="1"/>
  <c r="F601" i="2" a="1"/>
  <c r="F601" i="2" s="1"/>
  <c r="F602" i="2" a="1"/>
  <c r="F602" i="2" s="1"/>
  <c r="F603" i="2" a="1"/>
  <c r="F603" i="2" s="1"/>
  <c r="F604" i="2" a="1"/>
  <c r="F604" i="2" s="1"/>
  <c r="F605" i="2" a="1"/>
  <c r="F605" i="2" s="1"/>
  <c r="F606" i="2" a="1"/>
  <c r="F606" i="2" s="1"/>
  <c r="F607" i="2" a="1"/>
  <c r="F607" i="2" s="1"/>
  <c r="F608" i="2" a="1"/>
  <c r="F608" i="2" s="1"/>
  <c r="F609" i="2" a="1"/>
  <c r="F609" i="2" s="1"/>
  <c r="F610" i="2" a="1"/>
  <c r="F610" i="2" s="1"/>
  <c r="F611" i="2" a="1"/>
  <c r="F611" i="2" s="1"/>
  <c r="F612" i="2" a="1"/>
  <c r="F612" i="2" s="1"/>
  <c r="F613" i="2" a="1"/>
  <c r="F613" i="2" s="1"/>
  <c r="F614" i="2" a="1"/>
  <c r="F614" i="2" s="1"/>
  <c r="F615" i="2" a="1"/>
  <c r="F615" i="2" s="1"/>
  <c r="F616" i="2" a="1"/>
  <c r="F616" i="2" s="1"/>
  <c r="F617" i="2" a="1"/>
  <c r="F617" i="2" s="1"/>
  <c r="F618" i="2" a="1"/>
  <c r="F618" i="2" s="1"/>
  <c r="F619" i="2" a="1"/>
  <c r="F619" i="2" s="1"/>
  <c r="F620" i="2" a="1"/>
  <c r="F620" i="2" s="1"/>
  <c r="F621" i="2" a="1"/>
  <c r="F621" i="2" s="1"/>
  <c r="F622" i="2" a="1"/>
  <c r="F622" i="2" s="1"/>
  <c r="F623" i="2" a="1"/>
  <c r="F623" i="2" s="1"/>
  <c r="F624" i="2" a="1"/>
  <c r="F624" i="2" s="1"/>
  <c r="F625" i="2" a="1"/>
  <c r="F625" i="2" s="1"/>
  <c r="F626" i="2" a="1"/>
  <c r="F626" i="2" s="1"/>
  <c r="F627" i="2" a="1"/>
  <c r="F627" i="2" s="1"/>
  <c r="F628" i="2" a="1"/>
  <c r="F628" i="2" s="1"/>
  <c r="F629" i="2" a="1"/>
  <c r="F629" i="2" s="1"/>
  <c r="F630" i="2" a="1"/>
  <c r="F630" i="2" s="1"/>
  <c r="F631" i="2" a="1"/>
  <c r="F631" i="2" s="1"/>
  <c r="F632" i="2" a="1"/>
  <c r="F632" i="2" s="1"/>
  <c r="F633" i="2" a="1"/>
  <c r="F633" i="2" s="1"/>
  <c r="F634" i="2" a="1"/>
  <c r="F634" i="2" s="1"/>
  <c r="F635" i="2" a="1"/>
  <c r="F635" i="2" s="1"/>
  <c r="F636" i="2" a="1"/>
  <c r="F636" i="2" s="1"/>
  <c r="F637" i="2" a="1"/>
  <c r="F637" i="2" s="1"/>
  <c r="F638" i="2" a="1"/>
  <c r="F638" i="2" s="1"/>
  <c r="F639" i="2" a="1"/>
  <c r="F639" i="2" s="1"/>
  <c r="F640" i="2" a="1"/>
  <c r="F640" i="2" s="1"/>
  <c r="F641" i="2" a="1"/>
  <c r="F641" i="2" s="1"/>
  <c r="F642" i="2" a="1"/>
  <c r="F642" i="2" s="1"/>
  <c r="F643" i="2" a="1"/>
  <c r="F643" i="2" s="1"/>
  <c r="F644" i="2" a="1"/>
  <c r="F644" i="2" s="1"/>
  <c r="F645" i="2" a="1"/>
  <c r="F645" i="2" s="1"/>
  <c r="F646" i="2" a="1"/>
  <c r="F646" i="2" s="1"/>
  <c r="F647" i="2" a="1"/>
  <c r="F647" i="2" s="1"/>
  <c r="F648" i="2" a="1"/>
  <c r="F648" i="2" s="1"/>
  <c r="F649" i="2" a="1"/>
  <c r="F649" i="2" s="1"/>
  <c r="F650" i="2" a="1"/>
  <c r="F650" i="2" s="1"/>
  <c r="F651" i="2" a="1"/>
  <c r="F651" i="2" s="1"/>
  <c r="F652" i="2" a="1"/>
  <c r="F652" i="2" s="1"/>
  <c r="F653" i="2" a="1"/>
  <c r="F653" i="2" s="1"/>
  <c r="F654" i="2" a="1"/>
  <c r="F654" i="2" s="1"/>
  <c r="F655" i="2" a="1"/>
  <c r="F655" i="2" s="1"/>
  <c r="F656" i="2" a="1"/>
  <c r="F656" i="2" s="1"/>
  <c r="F657" i="2" a="1"/>
  <c r="F657" i="2" s="1"/>
  <c r="F658" i="2" a="1"/>
  <c r="F658" i="2" s="1"/>
  <c r="F659" i="2" a="1"/>
  <c r="F659" i="2" s="1"/>
  <c r="F660" i="2" a="1"/>
  <c r="F660" i="2" s="1"/>
  <c r="F661" i="2" a="1"/>
  <c r="F661" i="2" s="1"/>
  <c r="F662" i="2" a="1"/>
  <c r="F662" i="2" s="1"/>
  <c r="F663" i="2" a="1"/>
  <c r="F663" i="2" s="1"/>
  <c r="F664" i="2" a="1"/>
  <c r="F664" i="2" s="1"/>
  <c r="F665" i="2" a="1"/>
  <c r="F665" i="2" s="1"/>
  <c r="F666" i="2" a="1"/>
  <c r="F666" i="2" s="1"/>
  <c r="F667" i="2" a="1"/>
  <c r="F667" i="2" s="1"/>
  <c r="F668" i="2" a="1"/>
  <c r="F668" i="2" s="1"/>
  <c r="F669" i="2" a="1"/>
  <c r="F669" i="2" s="1"/>
  <c r="F670" i="2" a="1"/>
  <c r="F670" i="2" s="1"/>
  <c r="F671" i="2" a="1"/>
  <c r="F671" i="2" s="1"/>
  <c r="F672" i="2" a="1"/>
  <c r="F672" i="2" s="1"/>
  <c r="F673" i="2" a="1"/>
  <c r="F673" i="2" s="1"/>
  <c r="F674" i="2" a="1"/>
  <c r="F674" i="2" s="1"/>
  <c r="F675" i="2" a="1"/>
  <c r="F675" i="2" s="1"/>
  <c r="F676" i="2" a="1"/>
  <c r="F676" i="2" s="1"/>
  <c r="F677" i="2" a="1"/>
  <c r="F677" i="2" s="1"/>
  <c r="F678" i="2" a="1"/>
  <c r="F678" i="2" s="1"/>
  <c r="F679" i="2" a="1"/>
  <c r="F679" i="2" s="1"/>
  <c r="F680" i="2" a="1"/>
  <c r="F680" i="2" s="1"/>
  <c r="F681" i="2" a="1"/>
  <c r="F681" i="2" s="1"/>
  <c r="F682" i="2" a="1"/>
  <c r="F682" i="2" s="1"/>
  <c r="F683" i="2" a="1"/>
  <c r="F683" i="2" s="1"/>
  <c r="F684" i="2" a="1"/>
  <c r="F684" i="2" s="1"/>
  <c r="F685" i="2" a="1"/>
  <c r="F685" i="2" s="1"/>
  <c r="F686" i="2" a="1"/>
  <c r="F686" i="2" s="1"/>
  <c r="F687" i="2" a="1"/>
  <c r="F687" i="2" s="1"/>
  <c r="F688" i="2" a="1"/>
  <c r="F688" i="2" s="1"/>
  <c r="F689" i="2" a="1"/>
  <c r="F689" i="2" s="1"/>
  <c r="F690" i="2" a="1"/>
  <c r="F690" i="2" s="1"/>
  <c r="F691" i="2" a="1"/>
  <c r="F691" i="2" s="1"/>
  <c r="F692" i="2" a="1"/>
  <c r="F692" i="2" s="1"/>
  <c r="F693" i="2" a="1"/>
  <c r="F693" i="2" s="1"/>
  <c r="F694" i="2" a="1"/>
  <c r="F694" i="2" s="1"/>
  <c r="F695" i="2" a="1"/>
  <c r="F695" i="2" s="1"/>
  <c r="F696" i="2" a="1"/>
  <c r="F696" i="2" s="1"/>
  <c r="F697" i="2" a="1"/>
  <c r="F697" i="2" s="1"/>
  <c r="F698" i="2" a="1"/>
  <c r="F698" i="2" s="1"/>
  <c r="F699" i="2" a="1"/>
  <c r="F699" i="2" s="1"/>
  <c r="F700" i="2" a="1"/>
  <c r="F700" i="2" s="1"/>
  <c r="F701" i="2" a="1"/>
  <c r="F701" i="2" s="1"/>
  <c r="F702" i="2" a="1"/>
  <c r="F702" i="2" s="1"/>
  <c r="F703" i="2" a="1"/>
  <c r="F703" i="2" s="1"/>
  <c r="F704" i="2" a="1"/>
  <c r="F704" i="2" s="1"/>
  <c r="F705" i="2" a="1"/>
  <c r="F705" i="2" s="1"/>
  <c r="F706" i="2" a="1"/>
  <c r="F706" i="2" s="1"/>
  <c r="F707" i="2" a="1"/>
  <c r="F707" i="2" s="1"/>
  <c r="F708" i="2" a="1"/>
  <c r="F708" i="2" s="1"/>
  <c r="F709" i="2" a="1"/>
  <c r="F709" i="2" s="1"/>
  <c r="F710" i="2" a="1"/>
  <c r="F710" i="2" s="1"/>
  <c r="F711" i="2" a="1"/>
  <c r="F711" i="2" s="1"/>
  <c r="F712" i="2" a="1"/>
  <c r="F712" i="2" s="1"/>
  <c r="F713" i="2" a="1"/>
  <c r="F713" i="2" s="1"/>
  <c r="F714" i="2" a="1"/>
  <c r="F714" i="2" s="1"/>
  <c r="F715" i="2" a="1"/>
  <c r="F715" i="2" s="1"/>
  <c r="F716" i="2" a="1"/>
  <c r="F716" i="2" s="1"/>
  <c r="F717" i="2" a="1"/>
  <c r="F717" i="2" s="1"/>
  <c r="F718" i="2" a="1"/>
  <c r="F718" i="2" s="1"/>
  <c r="F719" i="2" a="1"/>
  <c r="F719" i="2" s="1"/>
  <c r="F720" i="2" a="1"/>
  <c r="F720" i="2" s="1"/>
  <c r="F721" i="2" a="1"/>
  <c r="F721" i="2" s="1"/>
  <c r="F722" i="2" a="1"/>
  <c r="F722" i="2" s="1"/>
  <c r="F723" i="2" a="1"/>
  <c r="F723" i="2" s="1"/>
  <c r="F724" i="2" a="1"/>
  <c r="F724" i="2" s="1"/>
  <c r="F725" i="2" a="1"/>
  <c r="F725" i="2" s="1"/>
  <c r="F726" i="2" a="1"/>
  <c r="F726" i="2" s="1"/>
  <c r="F727" i="2" a="1"/>
  <c r="F727" i="2" s="1"/>
  <c r="F728" i="2" a="1"/>
  <c r="F728" i="2" s="1"/>
  <c r="F729" i="2" a="1"/>
  <c r="F729" i="2" s="1"/>
  <c r="F730" i="2" a="1"/>
  <c r="F730" i="2" s="1"/>
  <c r="F731" i="2" a="1"/>
  <c r="F731" i="2" s="1"/>
  <c r="F732" i="2" a="1"/>
  <c r="F732" i="2" s="1"/>
  <c r="F733" i="2" a="1"/>
  <c r="F733" i="2" s="1"/>
  <c r="F734" i="2" a="1"/>
  <c r="F734" i="2" s="1"/>
  <c r="F735" i="2" a="1"/>
  <c r="F735" i="2" s="1"/>
  <c r="F736" i="2" a="1"/>
  <c r="F736" i="2" s="1"/>
  <c r="F737" i="2" a="1"/>
  <c r="F737" i="2" s="1"/>
  <c r="F738" i="2" a="1"/>
  <c r="F738" i="2" s="1"/>
  <c r="F739" i="2" a="1"/>
  <c r="F739" i="2" s="1"/>
  <c r="F740" i="2" a="1"/>
  <c r="F740" i="2" s="1"/>
  <c r="F741" i="2" a="1"/>
  <c r="F741" i="2" s="1"/>
  <c r="F742" i="2" a="1"/>
  <c r="F742" i="2" s="1"/>
  <c r="F743" i="2" a="1"/>
  <c r="F743" i="2" s="1"/>
  <c r="F744" i="2" a="1"/>
  <c r="F744" i="2" s="1"/>
  <c r="F745" i="2" a="1"/>
  <c r="F745" i="2" s="1"/>
  <c r="F746" i="2" a="1"/>
  <c r="F746" i="2" s="1"/>
  <c r="F747" i="2" a="1"/>
  <c r="F747" i="2" s="1"/>
  <c r="F748" i="2" a="1"/>
  <c r="F748" i="2" s="1"/>
  <c r="F749" i="2" a="1"/>
  <c r="F749" i="2" s="1"/>
  <c r="F750" i="2" a="1"/>
  <c r="F750" i="2" s="1"/>
  <c r="F751" i="2" a="1"/>
  <c r="F751" i="2" s="1"/>
  <c r="F752" i="2" a="1"/>
  <c r="F752" i="2" s="1"/>
  <c r="F753" i="2" a="1"/>
  <c r="F753" i="2" s="1"/>
  <c r="F754" i="2" a="1"/>
  <c r="F754" i="2" s="1"/>
  <c r="F755" i="2" a="1"/>
  <c r="F755" i="2" s="1"/>
  <c r="F756" i="2" a="1"/>
  <c r="F756" i="2" s="1"/>
  <c r="F757" i="2" a="1"/>
  <c r="F757" i="2" s="1"/>
  <c r="F758" i="2" a="1"/>
  <c r="F758" i="2" s="1"/>
  <c r="F759" i="2" a="1"/>
  <c r="F759" i="2" s="1"/>
  <c r="F760" i="2" a="1"/>
  <c r="F760" i="2" s="1"/>
  <c r="F761" i="2" a="1"/>
  <c r="F761" i="2" s="1"/>
  <c r="F762" i="2" a="1"/>
  <c r="F762" i="2" s="1"/>
  <c r="F763" i="2" a="1"/>
  <c r="F763" i="2" s="1"/>
  <c r="F764" i="2" a="1"/>
  <c r="F764" i="2" s="1"/>
  <c r="F765" i="2" a="1"/>
  <c r="F765" i="2" s="1"/>
  <c r="F766" i="2" a="1"/>
  <c r="F766" i="2" s="1"/>
  <c r="F767" i="2" a="1"/>
  <c r="F767" i="2" s="1"/>
  <c r="F768" i="2" a="1"/>
  <c r="F768" i="2" s="1"/>
  <c r="F769" i="2" a="1"/>
  <c r="F769" i="2" s="1"/>
  <c r="F770" i="2" a="1"/>
  <c r="F770" i="2" s="1"/>
  <c r="F771" i="2" a="1"/>
  <c r="F771" i="2" s="1"/>
  <c r="F772" i="2" a="1"/>
  <c r="F772" i="2" s="1"/>
  <c r="F773" i="2" a="1"/>
  <c r="F773" i="2" s="1"/>
  <c r="F774" i="2" a="1"/>
  <c r="F774" i="2" s="1"/>
  <c r="F775" i="2" a="1"/>
  <c r="F775" i="2" s="1"/>
  <c r="F776" i="2" a="1"/>
  <c r="F776" i="2" s="1"/>
  <c r="F777" i="2" a="1"/>
  <c r="F777" i="2" s="1"/>
  <c r="F778" i="2" a="1"/>
  <c r="F778" i="2" s="1"/>
  <c r="F779" i="2" a="1"/>
  <c r="F779" i="2" s="1"/>
  <c r="F780" i="2" a="1"/>
  <c r="F780" i="2" s="1"/>
  <c r="F781" i="2" a="1"/>
  <c r="F781" i="2" s="1"/>
  <c r="F782" i="2" a="1"/>
  <c r="F782" i="2" s="1"/>
  <c r="F783" i="2" a="1"/>
  <c r="F783" i="2" s="1"/>
  <c r="F784" i="2" a="1"/>
  <c r="F784" i="2" s="1"/>
  <c r="F785" i="2" a="1"/>
  <c r="F785" i="2" s="1"/>
  <c r="F786" i="2" a="1"/>
  <c r="F786" i="2" s="1"/>
  <c r="F787" i="2" a="1"/>
  <c r="F787" i="2" s="1"/>
  <c r="F788" i="2" a="1"/>
  <c r="F788" i="2" s="1"/>
  <c r="F789" i="2" a="1"/>
  <c r="F789" i="2" s="1"/>
  <c r="F790" i="2" a="1"/>
  <c r="F790" i="2" s="1"/>
  <c r="F791" i="2" a="1"/>
  <c r="F791" i="2" s="1"/>
  <c r="F792" i="2" a="1"/>
  <c r="F792" i="2" s="1"/>
  <c r="F793" i="2" a="1"/>
  <c r="F793" i="2" s="1"/>
  <c r="F794" i="2" a="1"/>
  <c r="F794" i="2" s="1"/>
  <c r="F795" i="2" a="1"/>
  <c r="F795" i="2" s="1"/>
  <c r="F796" i="2" a="1"/>
  <c r="F796" i="2" s="1"/>
  <c r="F797" i="2" a="1"/>
  <c r="F797" i="2" s="1"/>
  <c r="F798" i="2" a="1"/>
  <c r="F798" i="2" s="1"/>
  <c r="F799" i="2" a="1"/>
  <c r="F799" i="2" s="1"/>
  <c r="F800" i="2" a="1"/>
  <c r="F800" i="2" s="1"/>
  <c r="F801" i="2" a="1"/>
  <c r="F801" i="2" s="1"/>
  <c r="F802" i="2" a="1"/>
  <c r="F802" i="2" s="1"/>
  <c r="F803" i="2" a="1"/>
  <c r="F803" i="2" s="1"/>
  <c r="F804" i="2" a="1"/>
  <c r="F804" i="2" s="1"/>
  <c r="F805" i="2" a="1"/>
  <c r="F805" i="2" s="1"/>
  <c r="F806" i="2" a="1"/>
  <c r="F806" i="2" s="1"/>
  <c r="F807" i="2" a="1"/>
  <c r="F807" i="2" s="1"/>
  <c r="F808" i="2" a="1"/>
  <c r="F808" i="2" s="1"/>
  <c r="F809" i="2" a="1"/>
  <c r="F809" i="2" s="1"/>
  <c r="F810" i="2" a="1"/>
  <c r="F810" i="2" s="1"/>
  <c r="F811" i="2" a="1"/>
  <c r="F811" i="2" s="1"/>
  <c r="F812" i="2" a="1"/>
  <c r="F812" i="2" s="1"/>
  <c r="F813" i="2" a="1"/>
  <c r="F813" i="2" s="1"/>
  <c r="F814" i="2" a="1"/>
  <c r="F814" i="2" s="1"/>
  <c r="F815" i="2" a="1"/>
  <c r="F815" i="2" s="1"/>
  <c r="F816" i="2" a="1"/>
  <c r="F816" i="2" s="1"/>
  <c r="F817" i="2" a="1"/>
  <c r="F817" i="2" s="1"/>
  <c r="F818" i="2" a="1"/>
  <c r="F818" i="2" s="1"/>
  <c r="F819" i="2" a="1"/>
  <c r="F819" i="2" s="1"/>
  <c r="F820" i="2" a="1"/>
  <c r="F820" i="2" s="1"/>
  <c r="F821" i="2" a="1"/>
  <c r="F821" i="2" s="1"/>
  <c r="F822" i="2" a="1"/>
  <c r="F822" i="2" s="1"/>
  <c r="F823" i="2" a="1"/>
  <c r="F823" i="2" s="1"/>
  <c r="F824" i="2" a="1"/>
  <c r="F824" i="2" s="1"/>
  <c r="F825" i="2" a="1"/>
  <c r="F825" i="2" s="1"/>
  <c r="F826" i="2" a="1"/>
  <c r="F826" i="2" s="1"/>
  <c r="F827" i="2" a="1"/>
  <c r="F827" i="2" s="1"/>
  <c r="F828" i="2" a="1"/>
  <c r="F828" i="2" s="1"/>
  <c r="F829" i="2" a="1"/>
  <c r="F829" i="2" s="1"/>
  <c r="F830" i="2" a="1"/>
  <c r="F830" i="2" s="1"/>
  <c r="F831" i="2" a="1"/>
  <c r="F831" i="2" s="1"/>
  <c r="F832" i="2" a="1"/>
  <c r="F832" i="2" s="1"/>
  <c r="F833" i="2" a="1"/>
  <c r="F833" i="2" s="1"/>
  <c r="F834" i="2" a="1"/>
  <c r="F834" i="2" s="1"/>
  <c r="F835" i="2" a="1"/>
  <c r="F835" i="2" s="1"/>
  <c r="F836" i="2" a="1"/>
  <c r="F836" i="2" s="1"/>
  <c r="F837" i="2" a="1"/>
  <c r="F837" i="2" s="1"/>
  <c r="F838" i="2" a="1"/>
  <c r="F838" i="2" s="1"/>
  <c r="F839" i="2" a="1"/>
  <c r="F839" i="2" s="1"/>
  <c r="F840" i="2" a="1"/>
  <c r="F840" i="2" s="1"/>
  <c r="F841" i="2" a="1"/>
  <c r="F841" i="2" s="1"/>
  <c r="F842" i="2" a="1"/>
  <c r="F842" i="2" s="1"/>
  <c r="F843" i="2" a="1"/>
  <c r="F843" i="2" s="1"/>
  <c r="F844" i="2" a="1"/>
  <c r="F844" i="2" s="1"/>
  <c r="F845" i="2" a="1"/>
  <c r="F845" i="2" s="1"/>
  <c r="F846" i="2" a="1"/>
  <c r="F846" i="2" s="1"/>
  <c r="F847" i="2" a="1"/>
  <c r="F847" i="2" s="1"/>
  <c r="F848" i="2" a="1"/>
  <c r="F848" i="2" s="1"/>
  <c r="F849" i="2" a="1"/>
  <c r="F849" i="2" s="1"/>
  <c r="F850" i="2" a="1"/>
  <c r="F850" i="2" s="1"/>
  <c r="F851" i="2" a="1"/>
  <c r="F851" i="2" s="1"/>
  <c r="F852" i="2" a="1"/>
  <c r="F852" i="2" s="1"/>
  <c r="F853" i="2" a="1"/>
  <c r="F853" i="2" s="1"/>
  <c r="F854" i="2" a="1"/>
  <c r="F854" i="2" s="1"/>
  <c r="F855" i="2" a="1"/>
  <c r="F855" i="2" s="1"/>
  <c r="F856" i="2" a="1"/>
  <c r="F856" i="2" s="1"/>
  <c r="F857" i="2" a="1"/>
  <c r="F857" i="2" s="1"/>
  <c r="F858" i="2" a="1"/>
  <c r="F858" i="2" s="1"/>
  <c r="F859" i="2" a="1"/>
  <c r="F859" i="2" s="1"/>
  <c r="F860" i="2" a="1"/>
  <c r="F860" i="2" s="1"/>
  <c r="F861" i="2" a="1"/>
  <c r="F861" i="2" s="1"/>
  <c r="F862" i="2" a="1"/>
  <c r="F862" i="2" s="1"/>
  <c r="F863" i="2" a="1"/>
  <c r="F863" i="2" s="1"/>
  <c r="F864" i="2" a="1"/>
  <c r="F864" i="2" s="1"/>
  <c r="F865" i="2" a="1"/>
  <c r="F865" i="2" s="1"/>
  <c r="F866" i="2" a="1"/>
  <c r="F866" i="2" s="1"/>
  <c r="F867" i="2" a="1"/>
  <c r="F867" i="2" s="1"/>
  <c r="F868" i="2" a="1"/>
  <c r="F868" i="2" s="1"/>
  <c r="F869" i="2" a="1"/>
  <c r="F869" i="2" s="1"/>
  <c r="F870" i="2" a="1"/>
  <c r="F870" i="2" s="1"/>
  <c r="F871" i="2" a="1"/>
  <c r="F871" i="2" s="1"/>
  <c r="F872" i="2" a="1"/>
  <c r="F872" i="2" s="1"/>
  <c r="F873" i="2" a="1"/>
  <c r="F873" i="2" s="1"/>
  <c r="F874" i="2" a="1"/>
  <c r="F874" i="2" s="1"/>
  <c r="F875" i="2" a="1"/>
  <c r="F875" i="2" s="1"/>
  <c r="F876" i="2" a="1"/>
  <c r="F876" i="2" s="1"/>
  <c r="F877" i="2" a="1"/>
  <c r="F877" i="2" s="1"/>
  <c r="F878" i="2" a="1"/>
  <c r="F878" i="2" s="1"/>
  <c r="F879" i="2" a="1"/>
  <c r="F879" i="2" s="1"/>
  <c r="F880" i="2" a="1"/>
  <c r="F880" i="2" s="1"/>
  <c r="F881" i="2" a="1"/>
  <c r="F881" i="2" s="1"/>
  <c r="F882" i="2" a="1"/>
  <c r="F882" i="2" s="1"/>
  <c r="F883" i="2" a="1"/>
  <c r="F883" i="2" s="1"/>
  <c r="F884" i="2" a="1"/>
  <c r="F884" i="2" s="1"/>
  <c r="F885" i="2" a="1"/>
  <c r="F885" i="2" s="1"/>
  <c r="F886" i="2" a="1"/>
  <c r="F886" i="2" s="1"/>
  <c r="F887" i="2" a="1"/>
  <c r="F887" i="2" s="1"/>
  <c r="F888" i="2" a="1"/>
  <c r="F888" i="2" s="1"/>
  <c r="F889" i="2" a="1"/>
  <c r="F889" i="2" s="1"/>
  <c r="F890" i="2" a="1"/>
  <c r="F890" i="2" s="1"/>
  <c r="F891" i="2" a="1"/>
  <c r="F891" i="2" s="1"/>
  <c r="F892" i="2" a="1"/>
  <c r="F892" i="2" s="1"/>
  <c r="F893" i="2" a="1"/>
  <c r="F893" i="2" s="1"/>
  <c r="F894" i="2" a="1"/>
  <c r="F894" i="2" s="1"/>
  <c r="F895" i="2" a="1"/>
  <c r="F895" i="2" s="1"/>
  <c r="F896" i="2" a="1"/>
  <c r="F896" i="2" s="1"/>
  <c r="F897" i="2" a="1"/>
  <c r="F897" i="2" s="1"/>
  <c r="F898" i="2" a="1"/>
  <c r="F898" i="2" s="1"/>
  <c r="F899" i="2" a="1"/>
  <c r="F899" i="2" s="1"/>
  <c r="F900" i="2" a="1"/>
  <c r="F900" i="2" s="1"/>
  <c r="F901" i="2" a="1"/>
  <c r="F901" i="2" s="1"/>
  <c r="F902" i="2" a="1"/>
  <c r="F902" i="2" s="1"/>
  <c r="F903" i="2" a="1"/>
  <c r="F903" i="2" s="1"/>
  <c r="F904" i="2" a="1"/>
  <c r="F904" i="2" s="1"/>
  <c r="F905" i="2" a="1"/>
  <c r="F905" i="2" s="1"/>
  <c r="F906" i="2" a="1"/>
  <c r="F906" i="2" s="1"/>
  <c r="F907" i="2" a="1"/>
  <c r="F907" i="2" s="1"/>
  <c r="F908" i="2" a="1"/>
  <c r="F908" i="2" s="1"/>
  <c r="F909" i="2" a="1"/>
  <c r="F909" i="2" s="1"/>
  <c r="F910" i="2" a="1"/>
  <c r="F910" i="2" s="1"/>
  <c r="F911" i="2" a="1"/>
  <c r="F911" i="2" s="1"/>
  <c r="F912" i="2" a="1"/>
  <c r="F912" i="2" s="1"/>
  <c r="F913" i="2" a="1"/>
  <c r="F913" i="2" s="1"/>
  <c r="F914" i="2" a="1"/>
  <c r="F914" i="2" s="1"/>
  <c r="F915" i="2" a="1"/>
  <c r="F915" i="2" s="1"/>
  <c r="F916" i="2" a="1"/>
  <c r="F916" i="2" s="1"/>
  <c r="F917" i="2" a="1"/>
  <c r="F917" i="2" s="1"/>
  <c r="F918" i="2" a="1"/>
  <c r="F918" i="2" s="1"/>
  <c r="F919" i="2" a="1"/>
  <c r="F919" i="2" s="1"/>
  <c r="F920" i="2" a="1"/>
  <c r="F920" i="2" s="1"/>
  <c r="F921" i="2" a="1"/>
  <c r="F921" i="2" s="1"/>
  <c r="F922" i="2" a="1"/>
  <c r="F922" i="2" s="1"/>
  <c r="F923" i="2" a="1"/>
  <c r="F923" i="2" s="1"/>
  <c r="F924" i="2" a="1"/>
  <c r="F924" i="2" s="1"/>
  <c r="F925" i="2" a="1"/>
  <c r="F925" i="2" s="1"/>
  <c r="F926" i="2" a="1"/>
  <c r="F926" i="2" s="1"/>
  <c r="F927" i="2" a="1"/>
  <c r="F927" i="2" s="1"/>
  <c r="F928" i="2" a="1"/>
  <c r="F928" i="2" s="1"/>
  <c r="F929" i="2" a="1"/>
  <c r="F929" i="2" s="1"/>
  <c r="F930" i="2" a="1"/>
  <c r="F930" i="2" s="1"/>
  <c r="F931" i="2" a="1"/>
  <c r="F931" i="2" s="1"/>
  <c r="F932" i="2" a="1"/>
  <c r="F932" i="2" s="1"/>
  <c r="F933" i="2" a="1"/>
  <c r="F933" i="2" s="1"/>
  <c r="F934" i="2" a="1"/>
  <c r="F934" i="2" s="1"/>
  <c r="F935" i="2" a="1"/>
  <c r="F935" i="2" s="1"/>
  <c r="F936" i="2" a="1"/>
  <c r="F936" i="2" s="1"/>
  <c r="F937" i="2" a="1"/>
  <c r="F937" i="2" s="1"/>
  <c r="F938" i="2" a="1"/>
  <c r="F938" i="2" s="1"/>
  <c r="F939" i="2" a="1"/>
  <c r="F939" i="2" s="1"/>
  <c r="F940" i="2" a="1"/>
  <c r="F940" i="2" s="1"/>
  <c r="F941" i="2" a="1"/>
  <c r="F941" i="2" s="1"/>
  <c r="F942" i="2" a="1"/>
  <c r="F942" i="2" s="1"/>
  <c r="F943" i="2" a="1"/>
  <c r="F943" i="2" s="1"/>
  <c r="F944" i="2" a="1"/>
  <c r="F944" i="2" s="1"/>
  <c r="F945" i="2" a="1"/>
  <c r="F945" i="2" s="1"/>
  <c r="F946" i="2" a="1"/>
  <c r="F946" i="2" s="1"/>
  <c r="F947" i="2" a="1"/>
  <c r="F947" i="2" s="1"/>
  <c r="F948" i="2" a="1"/>
  <c r="F948" i="2" s="1"/>
  <c r="F949" i="2" a="1"/>
  <c r="F949" i="2" s="1"/>
  <c r="F950" i="2" a="1"/>
  <c r="F950" i="2" s="1"/>
  <c r="F951" i="2" a="1"/>
  <c r="F951" i="2" s="1"/>
  <c r="F952" i="2" a="1"/>
  <c r="F952" i="2" s="1"/>
  <c r="F953" i="2" a="1"/>
  <c r="F953" i="2" s="1"/>
  <c r="F954" i="2" a="1"/>
  <c r="F954" i="2" s="1"/>
  <c r="F955" i="2" a="1"/>
  <c r="F955" i="2" s="1"/>
  <c r="F956" i="2" a="1"/>
  <c r="F956" i="2" s="1"/>
  <c r="F957" i="2" a="1"/>
  <c r="F957" i="2" s="1"/>
  <c r="F958" i="2" a="1"/>
  <c r="F958" i="2" s="1"/>
  <c r="F959" i="2" a="1"/>
  <c r="F959" i="2" s="1"/>
  <c r="F960" i="2" a="1"/>
  <c r="F960" i="2" s="1"/>
  <c r="F961" i="2" a="1"/>
  <c r="F961" i="2" s="1"/>
  <c r="F962" i="2" a="1"/>
  <c r="F962" i="2" s="1"/>
  <c r="F963" i="2" a="1"/>
  <c r="F963" i="2" s="1"/>
  <c r="F964" i="2" a="1"/>
  <c r="F964" i="2" s="1"/>
  <c r="F965" i="2" a="1"/>
  <c r="F965" i="2" s="1"/>
  <c r="F966" i="2" a="1"/>
  <c r="F966" i="2" s="1"/>
  <c r="F967" i="2" a="1"/>
  <c r="F967" i="2" s="1"/>
  <c r="F968" i="2" a="1"/>
  <c r="F968" i="2" s="1"/>
  <c r="F969" i="2" a="1"/>
  <c r="F969" i="2" s="1"/>
  <c r="F970" i="2" a="1"/>
  <c r="F970" i="2" s="1"/>
  <c r="F971" i="2" a="1"/>
  <c r="F971" i="2" s="1"/>
  <c r="F972" i="2" a="1"/>
  <c r="F972" i="2" s="1"/>
  <c r="F973" i="2" a="1"/>
  <c r="F973" i="2" s="1"/>
  <c r="F974" i="2" a="1"/>
  <c r="F974" i="2" s="1"/>
  <c r="F975" i="2" a="1"/>
  <c r="F975" i="2" s="1"/>
  <c r="F976" i="2" a="1"/>
  <c r="F976" i="2" s="1"/>
  <c r="F977" i="2" a="1"/>
  <c r="F977" i="2" s="1"/>
  <c r="F978" i="2" a="1"/>
  <c r="F978" i="2" s="1"/>
  <c r="F979" i="2" a="1"/>
  <c r="F979" i="2" s="1"/>
  <c r="F980" i="2" a="1"/>
  <c r="F980" i="2" s="1"/>
  <c r="F981" i="2" a="1"/>
  <c r="F981" i="2" s="1"/>
  <c r="F982" i="2" a="1"/>
  <c r="F982" i="2" s="1"/>
  <c r="F983" i="2" a="1"/>
  <c r="F983" i="2" s="1"/>
  <c r="F984" i="2" a="1"/>
  <c r="F984" i="2" s="1"/>
  <c r="F985" i="2" a="1"/>
  <c r="F985" i="2" s="1"/>
  <c r="F986" i="2" a="1"/>
  <c r="F986" i="2" s="1"/>
  <c r="F987" i="2" a="1"/>
  <c r="F987" i="2" s="1"/>
  <c r="F988" i="2" a="1"/>
  <c r="F988" i="2" s="1"/>
  <c r="F989" i="2" a="1"/>
  <c r="F989" i="2" s="1"/>
  <c r="F990" i="2" a="1"/>
  <c r="F990" i="2" s="1"/>
  <c r="F991" i="2" a="1"/>
  <c r="F991" i="2" s="1"/>
  <c r="F992" i="2" a="1"/>
  <c r="F992" i="2" s="1"/>
  <c r="F993" i="2" a="1"/>
  <c r="F993" i="2" s="1"/>
  <c r="F994" i="2" a="1"/>
  <c r="F994" i="2" s="1"/>
  <c r="F995" i="2" a="1"/>
  <c r="F995" i="2" s="1"/>
  <c r="F996" i="2" a="1"/>
  <c r="F996" i="2" s="1"/>
  <c r="F997" i="2" a="1"/>
  <c r="F997" i="2" s="1"/>
  <c r="F998" i="2" a="1"/>
  <c r="F998" i="2" s="1"/>
  <c r="F999" i="2" a="1"/>
  <c r="F999" i="2" s="1"/>
  <c r="F1000" i="2" a="1"/>
  <c r="F1000" i="2" s="1"/>
  <c r="F1001" i="2" a="1"/>
  <c r="F1001" i="2" s="1"/>
  <c r="F1002" i="2" a="1"/>
  <c r="F1002" i="2" s="1"/>
  <c r="F1003" i="2" a="1"/>
  <c r="F1003" i="2" s="1"/>
  <c r="F1004" i="2" a="1"/>
  <c r="F1004" i="2" s="1"/>
  <c r="F1005" i="2" a="1"/>
  <c r="F1005" i="2" s="1"/>
  <c r="F1006" i="2" a="1"/>
  <c r="F1006" i="2" s="1"/>
  <c r="F1007" i="2" a="1"/>
  <c r="F1007" i="2" s="1"/>
  <c r="F8" i="2" a="1"/>
  <c r="F8" i="2" s="1"/>
  <c r="B4" i="2" l="1"/>
  <c r="B3" i="2"/>
  <c r="B2" i="2"/>
  <c r="F956" i="1" l="1" a="1"/>
  <c r="F956" i="1" s="1"/>
  <c r="F916" i="1" a="1"/>
  <c r="F916" i="1" s="1"/>
  <c r="F885" i="1" a="1"/>
  <c r="F885" i="1" s="1"/>
  <c r="F593" i="1" a="1"/>
  <c r="F593" i="1" s="1"/>
  <c r="F591" i="1" a="1"/>
  <c r="F591" i="1" s="1"/>
  <c r="F543" i="1" a="1"/>
  <c r="F543" i="1" s="1"/>
  <c r="F496" i="1" a="1"/>
  <c r="F496" i="1" s="1"/>
  <c r="F420" i="1" a="1"/>
  <c r="F420" i="1" s="1"/>
  <c r="F401" i="1" a="1"/>
  <c r="F401" i="1" s="1"/>
  <c r="F9" i="1" a="1"/>
  <c r="F9" i="1" s="1"/>
  <c r="F10" i="1" a="1"/>
  <c r="F10" i="1" s="1"/>
  <c r="F11" i="1" a="1"/>
  <c r="F11" i="1" s="1"/>
  <c r="F12" i="1" a="1"/>
  <c r="F12" i="1" s="1"/>
  <c r="F13" i="1" a="1"/>
  <c r="F13" i="1" s="1"/>
  <c r="F14" i="1" a="1"/>
  <c r="F14" i="1"/>
  <c r="F15" i="1" a="1"/>
  <c r="F15" i="1" s="1"/>
  <c r="F16" i="1" a="1"/>
  <c r="F16" i="1" s="1"/>
  <c r="F17" i="1" a="1"/>
  <c r="F17" i="1" s="1"/>
  <c r="F18" i="1" a="1"/>
  <c r="F18" i="1" s="1"/>
  <c r="F19" i="1" a="1"/>
  <c r="F19" i="1" s="1"/>
  <c r="F20" i="1" a="1"/>
  <c r="F20" i="1" s="1"/>
  <c r="F21" i="1" a="1"/>
  <c r="F21" i="1" s="1"/>
  <c r="F22" i="1" a="1"/>
  <c r="F22" i="1" s="1"/>
  <c r="F23" i="1" a="1"/>
  <c r="F23" i="1" s="1"/>
  <c r="F24" i="1" a="1"/>
  <c r="F24" i="1" s="1"/>
  <c r="F25" i="1" a="1"/>
  <c r="F25" i="1" s="1"/>
  <c r="F26" i="1" a="1"/>
  <c r="F26" i="1" s="1"/>
  <c r="F27" i="1" a="1"/>
  <c r="F27" i="1" s="1"/>
  <c r="F28" i="1" a="1"/>
  <c r="F28" i="1" s="1"/>
  <c r="F29" i="1" a="1"/>
  <c r="F29" i="1" s="1"/>
  <c r="F30" i="1" a="1"/>
  <c r="F30" i="1" s="1"/>
  <c r="F31" i="1" a="1"/>
  <c r="F31" i="1" s="1"/>
  <c r="F32" i="1" a="1"/>
  <c r="F32" i="1" s="1"/>
  <c r="F33" i="1" a="1"/>
  <c r="F33" i="1" s="1"/>
  <c r="F34" i="1" a="1"/>
  <c r="F34" i="1" s="1"/>
  <c r="F35" i="1" a="1"/>
  <c r="F35" i="1" s="1"/>
  <c r="F36" i="1" a="1"/>
  <c r="F36" i="1" s="1"/>
  <c r="F37" i="1" a="1"/>
  <c r="F37" i="1" s="1"/>
  <c r="F38" i="1" a="1"/>
  <c r="F38" i="1" s="1"/>
  <c r="F39" i="1" a="1"/>
  <c r="F39" i="1" s="1"/>
  <c r="F40" i="1" a="1"/>
  <c r="F40" i="1" s="1"/>
  <c r="F41" i="1" a="1"/>
  <c r="F41" i="1" s="1"/>
  <c r="F42" i="1" a="1"/>
  <c r="F42" i="1" s="1"/>
  <c r="F43" i="1" a="1"/>
  <c r="F43" i="1" s="1"/>
  <c r="F44" i="1" a="1"/>
  <c r="F44" i="1" s="1"/>
  <c r="F45" i="1" a="1"/>
  <c r="F45" i="1" s="1"/>
  <c r="F46" i="1" a="1"/>
  <c r="F46" i="1" s="1"/>
  <c r="F47" i="1" a="1"/>
  <c r="F47" i="1" s="1"/>
  <c r="F48" i="1" a="1"/>
  <c r="F48" i="1" s="1"/>
  <c r="F49" i="1" a="1"/>
  <c r="F49" i="1" s="1"/>
  <c r="F50" i="1" a="1"/>
  <c r="F50" i="1" s="1"/>
  <c r="F51" i="1" a="1"/>
  <c r="F51" i="1" s="1"/>
  <c r="F52" i="1" a="1"/>
  <c r="F52" i="1" s="1"/>
  <c r="F53" i="1" a="1"/>
  <c r="F53" i="1" s="1"/>
  <c r="F54" i="1" a="1"/>
  <c r="F54" i="1" s="1"/>
  <c r="F55" i="1" a="1"/>
  <c r="F55" i="1" s="1"/>
  <c r="F56" i="1" a="1"/>
  <c r="F56" i="1" s="1"/>
  <c r="F57" i="1" a="1"/>
  <c r="F57" i="1" s="1"/>
  <c r="F58" i="1" a="1"/>
  <c r="F58" i="1" s="1"/>
  <c r="F59" i="1" a="1"/>
  <c r="F59" i="1" s="1"/>
  <c r="F60" i="1" a="1"/>
  <c r="F60" i="1" s="1"/>
  <c r="F61" i="1" a="1"/>
  <c r="F61" i="1" s="1"/>
  <c r="F62" i="1" a="1"/>
  <c r="F62" i="1" s="1"/>
  <c r="F63" i="1" a="1"/>
  <c r="F63" i="1" s="1"/>
  <c r="F64" i="1" a="1"/>
  <c r="F64" i="1" s="1"/>
  <c r="F65" i="1" a="1"/>
  <c r="F65" i="1" s="1"/>
  <c r="F66" i="1" a="1"/>
  <c r="F66" i="1" s="1"/>
  <c r="F67" i="1" a="1"/>
  <c r="F67" i="1" s="1"/>
  <c r="F68" i="1" a="1"/>
  <c r="F68" i="1" s="1"/>
  <c r="F69" i="1" a="1"/>
  <c r="F69" i="1" s="1"/>
  <c r="F70" i="1" a="1"/>
  <c r="F70" i="1" s="1"/>
  <c r="F71" i="1" a="1"/>
  <c r="F71" i="1" s="1"/>
  <c r="F72" i="1" a="1"/>
  <c r="F72" i="1" s="1"/>
  <c r="F73" i="1" a="1"/>
  <c r="F73" i="1" s="1"/>
  <c r="F74" i="1" a="1"/>
  <c r="F74" i="1" s="1"/>
  <c r="F75" i="1" a="1"/>
  <c r="F75" i="1" s="1"/>
  <c r="F76" i="1" a="1"/>
  <c r="F76" i="1" s="1"/>
  <c r="F77" i="1" a="1"/>
  <c r="F77" i="1" s="1"/>
  <c r="F78" i="1" a="1"/>
  <c r="F78" i="1" s="1"/>
  <c r="F79" i="1" a="1"/>
  <c r="F79" i="1" s="1"/>
  <c r="F80" i="1" a="1"/>
  <c r="F80" i="1" s="1"/>
  <c r="F81" i="1" a="1"/>
  <c r="F81" i="1" s="1"/>
  <c r="F82" i="1" a="1"/>
  <c r="F82" i="1" s="1"/>
  <c r="F83" i="1" a="1"/>
  <c r="F83" i="1" s="1"/>
  <c r="F84" i="1" a="1"/>
  <c r="F84" i="1" s="1"/>
  <c r="F85" i="1" a="1"/>
  <c r="F85" i="1" s="1"/>
  <c r="F86" i="1" a="1"/>
  <c r="F86" i="1" s="1"/>
  <c r="F87" i="1" a="1"/>
  <c r="F87" i="1" s="1"/>
  <c r="F88" i="1" a="1"/>
  <c r="F88" i="1" s="1"/>
  <c r="F89" i="1" a="1"/>
  <c r="F89" i="1" s="1"/>
  <c r="F90" i="1" a="1"/>
  <c r="F90" i="1" s="1"/>
  <c r="F91" i="1" a="1"/>
  <c r="F91" i="1" s="1"/>
  <c r="F92" i="1" a="1"/>
  <c r="F92" i="1" s="1"/>
  <c r="F93" i="1" a="1"/>
  <c r="F93" i="1" s="1"/>
  <c r="F94" i="1" a="1"/>
  <c r="F94" i="1" s="1"/>
  <c r="F95" i="1" a="1"/>
  <c r="F95" i="1" s="1"/>
  <c r="F96" i="1" a="1"/>
  <c r="F96" i="1" s="1"/>
  <c r="F97" i="1" a="1"/>
  <c r="F97" i="1" s="1"/>
  <c r="F98" i="1" a="1"/>
  <c r="F98" i="1" s="1"/>
  <c r="F99" i="1" a="1"/>
  <c r="F99" i="1" s="1"/>
  <c r="F100" i="1" a="1"/>
  <c r="F100" i="1" s="1"/>
  <c r="F101" i="1" a="1"/>
  <c r="F101" i="1" s="1"/>
  <c r="F102" i="1" a="1"/>
  <c r="F102" i="1" s="1"/>
  <c r="F103" i="1" a="1"/>
  <c r="F103" i="1" s="1"/>
  <c r="F104" i="1" a="1"/>
  <c r="F104" i="1" s="1"/>
  <c r="F105" i="1" a="1"/>
  <c r="F105" i="1" s="1"/>
  <c r="F106" i="1" a="1"/>
  <c r="F106" i="1" s="1"/>
  <c r="F107" i="1" a="1"/>
  <c r="F107" i="1" s="1"/>
  <c r="F108" i="1" a="1"/>
  <c r="F108" i="1" s="1"/>
  <c r="F109" i="1" a="1"/>
  <c r="F109" i="1" s="1"/>
  <c r="F110" i="1" a="1"/>
  <c r="F110" i="1" s="1"/>
  <c r="F111" i="1" a="1"/>
  <c r="F111" i="1" s="1"/>
  <c r="F112" i="1" a="1"/>
  <c r="F112" i="1" s="1"/>
  <c r="F113" i="1" a="1"/>
  <c r="F113" i="1" s="1"/>
  <c r="F114" i="1" a="1"/>
  <c r="F114" i="1" s="1"/>
  <c r="F115" i="1" a="1"/>
  <c r="F115" i="1" s="1"/>
  <c r="F116" i="1" a="1"/>
  <c r="F116" i="1" s="1"/>
  <c r="F117" i="1" a="1"/>
  <c r="F117" i="1" s="1"/>
  <c r="F118" i="1" a="1"/>
  <c r="F118" i="1" s="1"/>
  <c r="F119" i="1" a="1"/>
  <c r="F119" i="1" s="1"/>
  <c r="F120" i="1" a="1"/>
  <c r="F120" i="1" s="1"/>
  <c r="F121" i="1" a="1"/>
  <c r="F121" i="1" s="1"/>
  <c r="F122" i="1" a="1"/>
  <c r="F122" i="1" s="1"/>
  <c r="F123" i="1" a="1"/>
  <c r="F123" i="1" s="1"/>
  <c r="F124" i="1" a="1"/>
  <c r="F124" i="1" s="1"/>
  <c r="F125" i="1" a="1"/>
  <c r="F125" i="1" s="1"/>
  <c r="F126" i="1" a="1"/>
  <c r="F126" i="1" s="1"/>
  <c r="F127" i="1" a="1"/>
  <c r="F127" i="1" s="1"/>
  <c r="F128" i="1" a="1"/>
  <c r="F128" i="1" s="1"/>
  <c r="F129" i="1" a="1"/>
  <c r="F129" i="1" s="1"/>
  <c r="F130" i="1" a="1"/>
  <c r="F130" i="1" s="1"/>
  <c r="F131" i="1" a="1"/>
  <c r="F131" i="1" s="1"/>
  <c r="F132" i="1" a="1"/>
  <c r="F132" i="1" s="1"/>
  <c r="F133" i="1" a="1"/>
  <c r="F133" i="1" s="1"/>
  <c r="F134" i="1" a="1"/>
  <c r="F134" i="1" s="1"/>
  <c r="F135" i="1" a="1"/>
  <c r="F135" i="1" s="1"/>
  <c r="F136" i="1" a="1"/>
  <c r="F136" i="1" s="1"/>
  <c r="F137" i="1" a="1"/>
  <c r="F137" i="1" s="1"/>
  <c r="F138" i="1" a="1"/>
  <c r="F138" i="1" s="1"/>
  <c r="F139" i="1" a="1"/>
  <c r="F139" i="1" s="1"/>
  <c r="F140" i="1" a="1"/>
  <c r="F140" i="1" s="1"/>
  <c r="F141" i="1" a="1"/>
  <c r="F141" i="1" s="1"/>
  <c r="F142" i="1" a="1"/>
  <c r="F142" i="1" s="1"/>
  <c r="F143" i="1" a="1"/>
  <c r="F143" i="1" s="1"/>
  <c r="F144" i="1" a="1"/>
  <c r="F144" i="1" s="1"/>
  <c r="F145" i="1" a="1"/>
  <c r="F145" i="1" s="1"/>
  <c r="F146" i="1" a="1"/>
  <c r="F146" i="1" s="1"/>
  <c r="F147" i="1" a="1"/>
  <c r="F147" i="1" s="1"/>
  <c r="F148" i="1" a="1"/>
  <c r="F148" i="1" s="1"/>
  <c r="F149" i="1" a="1"/>
  <c r="F149" i="1" s="1"/>
  <c r="F150" i="1" a="1"/>
  <c r="F150" i="1" s="1"/>
  <c r="F151" i="1" a="1"/>
  <c r="F151" i="1" s="1"/>
  <c r="F152" i="1" a="1"/>
  <c r="F152" i="1" s="1"/>
  <c r="F153" i="1" a="1"/>
  <c r="F153" i="1" s="1"/>
  <c r="F154" i="1" a="1"/>
  <c r="F154" i="1" s="1"/>
  <c r="F155" i="1" a="1"/>
  <c r="F155" i="1" s="1"/>
  <c r="F156" i="1" a="1"/>
  <c r="F156" i="1" s="1"/>
  <c r="F157" i="1" a="1"/>
  <c r="F157" i="1" s="1"/>
  <c r="F158" i="1" a="1"/>
  <c r="F158" i="1" s="1"/>
  <c r="F159" i="1" a="1"/>
  <c r="F159" i="1" s="1"/>
  <c r="F160" i="1" a="1"/>
  <c r="F160" i="1" s="1"/>
  <c r="F161" i="1" a="1"/>
  <c r="F161" i="1" s="1"/>
  <c r="F162" i="1" a="1"/>
  <c r="F162" i="1" s="1"/>
  <c r="F163" i="1" a="1"/>
  <c r="F163" i="1" s="1"/>
  <c r="F164" i="1" a="1"/>
  <c r="F164" i="1" s="1"/>
  <c r="F165" i="1" a="1"/>
  <c r="F165" i="1" s="1"/>
  <c r="F166" i="1" a="1"/>
  <c r="F166" i="1" s="1"/>
  <c r="F167" i="1" a="1"/>
  <c r="F167" i="1" s="1"/>
  <c r="F168" i="1" a="1"/>
  <c r="F168" i="1" s="1"/>
  <c r="F169" i="1" a="1"/>
  <c r="F169" i="1" s="1"/>
  <c r="F170" i="1" a="1"/>
  <c r="F170" i="1" s="1"/>
  <c r="F171" i="1" a="1"/>
  <c r="F171" i="1" s="1"/>
  <c r="F172" i="1" a="1"/>
  <c r="F172" i="1" s="1"/>
  <c r="F173" i="1" a="1"/>
  <c r="F173" i="1" s="1"/>
  <c r="F174" i="1" a="1"/>
  <c r="F174" i="1" s="1"/>
  <c r="F175" i="1" a="1"/>
  <c r="F175" i="1" s="1"/>
  <c r="F176" i="1" a="1"/>
  <c r="F176" i="1" s="1"/>
  <c r="F177" i="1" a="1"/>
  <c r="F177" i="1" s="1"/>
  <c r="F178" i="1" a="1"/>
  <c r="F178" i="1" s="1"/>
  <c r="F179" i="1" a="1"/>
  <c r="F179" i="1" s="1"/>
  <c r="F180" i="1" a="1"/>
  <c r="F180" i="1" s="1"/>
  <c r="F181" i="1" a="1"/>
  <c r="F181" i="1" s="1"/>
  <c r="F182" i="1" a="1"/>
  <c r="F182" i="1" s="1"/>
  <c r="F183" i="1" a="1"/>
  <c r="F183" i="1" s="1"/>
  <c r="F184" i="1" a="1"/>
  <c r="F184" i="1" s="1"/>
  <c r="F185" i="1" a="1"/>
  <c r="F185" i="1" s="1"/>
  <c r="F186" i="1" a="1"/>
  <c r="F186" i="1" s="1"/>
  <c r="F187" i="1" a="1"/>
  <c r="F187" i="1" s="1"/>
  <c r="F188" i="1" a="1"/>
  <c r="F188" i="1" s="1"/>
  <c r="F189" i="1" a="1"/>
  <c r="F189" i="1" s="1"/>
  <c r="F190" i="1" a="1"/>
  <c r="F190" i="1" s="1"/>
  <c r="F191" i="1" a="1"/>
  <c r="F191" i="1" s="1"/>
  <c r="F192" i="1" a="1"/>
  <c r="F192" i="1" s="1"/>
  <c r="F193" i="1" a="1"/>
  <c r="F193" i="1" s="1"/>
  <c r="F194" i="1" a="1"/>
  <c r="F194" i="1" s="1"/>
  <c r="F195" i="1" a="1"/>
  <c r="F195" i="1" s="1"/>
  <c r="F196" i="1" a="1"/>
  <c r="F196" i="1" s="1"/>
  <c r="F197" i="1" a="1"/>
  <c r="F197" i="1" s="1"/>
  <c r="F198" i="1" a="1"/>
  <c r="F198" i="1" s="1"/>
  <c r="F199" i="1" a="1"/>
  <c r="F199" i="1" s="1"/>
  <c r="F200" i="1" a="1"/>
  <c r="F200" i="1" s="1"/>
  <c r="F201" i="1" a="1"/>
  <c r="F201" i="1" s="1"/>
  <c r="F202" i="1" a="1"/>
  <c r="F202" i="1" s="1"/>
  <c r="F203" i="1" a="1"/>
  <c r="F203" i="1" s="1"/>
  <c r="F204" i="1" a="1"/>
  <c r="F204" i="1" s="1"/>
  <c r="F205" i="1" a="1"/>
  <c r="F205" i="1" s="1"/>
  <c r="F206" i="1" a="1"/>
  <c r="F206" i="1" s="1"/>
  <c r="F207" i="1" a="1"/>
  <c r="F207" i="1" s="1"/>
  <c r="F208" i="1" a="1"/>
  <c r="F208" i="1" s="1"/>
  <c r="F209" i="1" a="1"/>
  <c r="F209" i="1" s="1"/>
  <c r="F210" i="1" a="1"/>
  <c r="F210" i="1" s="1"/>
  <c r="F211" i="1" a="1"/>
  <c r="F211" i="1" s="1"/>
  <c r="F212" i="1" a="1"/>
  <c r="F212" i="1" s="1"/>
  <c r="F213" i="1" a="1"/>
  <c r="F213" i="1" s="1"/>
  <c r="F214" i="1" a="1"/>
  <c r="F214" i="1" s="1"/>
  <c r="F215" i="1" a="1"/>
  <c r="F215" i="1" s="1"/>
  <c r="F216" i="1" a="1"/>
  <c r="F216" i="1" s="1"/>
  <c r="F217" i="1" a="1"/>
  <c r="F217" i="1" s="1"/>
  <c r="F218" i="1" a="1"/>
  <c r="F218" i="1" s="1"/>
  <c r="F219" i="1" a="1"/>
  <c r="F219" i="1" s="1"/>
  <c r="F220" i="1" a="1"/>
  <c r="F220" i="1" s="1"/>
  <c r="F221" i="1" a="1"/>
  <c r="F221" i="1" s="1"/>
  <c r="F222" i="1" a="1"/>
  <c r="F222" i="1" s="1"/>
  <c r="F223" i="1" a="1"/>
  <c r="F223" i="1" s="1"/>
  <c r="F224" i="1" a="1"/>
  <c r="F224" i="1" s="1"/>
  <c r="F225" i="1" a="1"/>
  <c r="F225" i="1" s="1"/>
  <c r="F226" i="1" a="1"/>
  <c r="F226" i="1" s="1"/>
  <c r="F227" i="1" a="1"/>
  <c r="F227" i="1" s="1"/>
  <c r="F228" i="1" a="1"/>
  <c r="F228" i="1" s="1"/>
  <c r="F229" i="1" a="1"/>
  <c r="F229" i="1" s="1"/>
  <c r="F230" i="1" a="1"/>
  <c r="F230" i="1" s="1"/>
  <c r="F231" i="1" a="1"/>
  <c r="F231" i="1" s="1"/>
  <c r="F232" i="1" a="1"/>
  <c r="F232" i="1" s="1"/>
  <c r="F233" i="1" a="1"/>
  <c r="F233" i="1" s="1"/>
  <c r="F234" i="1" a="1"/>
  <c r="F234" i="1" s="1"/>
  <c r="F235" i="1" a="1"/>
  <c r="F235" i="1" s="1"/>
  <c r="F236" i="1" a="1"/>
  <c r="F236" i="1" s="1"/>
  <c r="F237" i="1" a="1"/>
  <c r="F237" i="1" s="1"/>
  <c r="F238" i="1" a="1"/>
  <c r="F238" i="1" s="1"/>
  <c r="F239" i="1" a="1"/>
  <c r="F239" i="1" s="1"/>
  <c r="F240" i="1" a="1"/>
  <c r="F240" i="1" s="1"/>
  <c r="F241" i="1" a="1"/>
  <c r="F241" i="1" s="1"/>
  <c r="F242" i="1" a="1"/>
  <c r="F242" i="1" s="1"/>
  <c r="F243" i="1" a="1"/>
  <c r="F243" i="1" s="1"/>
  <c r="F244" i="1" a="1"/>
  <c r="F244" i="1" s="1"/>
  <c r="F245" i="1" a="1"/>
  <c r="F245" i="1" s="1"/>
  <c r="F246" i="1" a="1"/>
  <c r="F246" i="1" s="1"/>
  <c r="F247" i="1" a="1"/>
  <c r="F247" i="1" s="1"/>
  <c r="F248" i="1" a="1"/>
  <c r="F248" i="1" s="1"/>
  <c r="F249" i="1" a="1"/>
  <c r="F249" i="1" s="1"/>
  <c r="F250" i="1" a="1"/>
  <c r="F250" i="1" s="1"/>
  <c r="F251" i="1" a="1"/>
  <c r="F251" i="1" s="1"/>
  <c r="F252" i="1" a="1"/>
  <c r="F252" i="1" s="1"/>
  <c r="F253" i="1" a="1"/>
  <c r="F253" i="1" s="1"/>
  <c r="F254" i="1" a="1"/>
  <c r="F254" i="1" s="1"/>
  <c r="F255" i="1" a="1"/>
  <c r="F255" i="1" s="1"/>
  <c r="F256" i="1" a="1"/>
  <c r="F256" i="1" s="1"/>
  <c r="F257" i="1" a="1"/>
  <c r="F257" i="1" s="1"/>
  <c r="F258" i="1" a="1"/>
  <c r="F258" i="1" s="1"/>
  <c r="F259" i="1" a="1"/>
  <c r="F259" i="1" s="1"/>
  <c r="F260" i="1" a="1"/>
  <c r="F260" i="1" s="1"/>
  <c r="F261" i="1" a="1"/>
  <c r="F261" i="1" s="1"/>
  <c r="F262" i="1" a="1"/>
  <c r="F262" i="1" s="1"/>
  <c r="F263" i="1" a="1"/>
  <c r="F263" i="1" s="1"/>
  <c r="F264" i="1" a="1"/>
  <c r="F264" i="1" s="1"/>
  <c r="F265" i="1" a="1"/>
  <c r="F265" i="1" s="1"/>
  <c r="F266" i="1" a="1"/>
  <c r="F266" i="1" s="1"/>
  <c r="F267" i="1" a="1"/>
  <c r="F267" i="1" s="1"/>
  <c r="F268" i="1" a="1"/>
  <c r="F268" i="1" s="1"/>
  <c r="F269" i="1" a="1"/>
  <c r="F269" i="1" s="1"/>
  <c r="F270" i="1" a="1"/>
  <c r="F270" i="1" s="1"/>
  <c r="F271" i="1" a="1"/>
  <c r="F271" i="1" s="1"/>
  <c r="F272" i="1" a="1"/>
  <c r="F272" i="1" s="1"/>
  <c r="F273" i="1" a="1"/>
  <c r="F273" i="1" s="1"/>
  <c r="F274" i="1" a="1"/>
  <c r="F274" i="1" s="1"/>
  <c r="F275" i="1" a="1"/>
  <c r="F275" i="1" s="1"/>
  <c r="F276" i="1" a="1"/>
  <c r="F276" i="1" s="1"/>
  <c r="F277" i="1" a="1"/>
  <c r="F277" i="1" s="1"/>
  <c r="F278" i="1" a="1"/>
  <c r="F278" i="1" s="1"/>
  <c r="F279" i="1" a="1"/>
  <c r="F279" i="1" s="1"/>
  <c r="F280" i="1" a="1"/>
  <c r="F280" i="1" s="1"/>
  <c r="F281" i="1" a="1"/>
  <c r="F281" i="1" s="1"/>
  <c r="F282" i="1" a="1"/>
  <c r="F282" i="1" s="1"/>
  <c r="F283" i="1" a="1"/>
  <c r="F283" i="1" s="1"/>
  <c r="F284" i="1" a="1"/>
  <c r="F284" i="1" s="1"/>
  <c r="F285" i="1" a="1"/>
  <c r="F285" i="1" s="1"/>
  <c r="F286" i="1" a="1"/>
  <c r="F286" i="1" s="1"/>
  <c r="F287" i="1" a="1"/>
  <c r="F287" i="1" s="1"/>
  <c r="F288" i="1" a="1"/>
  <c r="F288" i="1" s="1"/>
  <c r="F289" i="1" a="1"/>
  <c r="F289" i="1" s="1"/>
  <c r="F290" i="1" a="1"/>
  <c r="F290" i="1" s="1"/>
  <c r="F291" i="1" a="1"/>
  <c r="F291" i="1" s="1"/>
  <c r="F292" i="1" a="1"/>
  <c r="F292" i="1" s="1"/>
  <c r="F293" i="1" a="1"/>
  <c r="F293" i="1" s="1"/>
  <c r="F294" i="1" a="1"/>
  <c r="F294" i="1" s="1"/>
  <c r="F295" i="1" a="1"/>
  <c r="F295" i="1" s="1"/>
  <c r="F296" i="1" a="1"/>
  <c r="F296" i="1" s="1"/>
  <c r="F297" i="1" a="1"/>
  <c r="F297" i="1" s="1"/>
  <c r="F298" i="1" a="1"/>
  <c r="F298" i="1" s="1"/>
  <c r="F299" i="1" a="1"/>
  <c r="F299" i="1" s="1"/>
  <c r="F300" i="1" a="1"/>
  <c r="F300" i="1" s="1"/>
  <c r="F301" i="1" a="1"/>
  <c r="F301" i="1" s="1"/>
  <c r="F302" i="1" a="1"/>
  <c r="F302" i="1" s="1"/>
  <c r="F303" i="1" a="1"/>
  <c r="F303" i="1" s="1"/>
  <c r="F304" i="1" a="1"/>
  <c r="F304" i="1" s="1"/>
  <c r="F305" i="1" a="1"/>
  <c r="F305" i="1" s="1"/>
  <c r="F306" i="1" a="1"/>
  <c r="F306" i="1" s="1"/>
  <c r="F307" i="1" a="1"/>
  <c r="F307" i="1" s="1"/>
  <c r="F308" i="1" a="1"/>
  <c r="F308" i="1" s="1"/>
  <c r="F309" i="1" a="1"/>
  <c r="F309" i="1" s="1"/>
  <c r="F310" i="1" a="1"/>
  <c r="F310" i="1" s="1"/>
  <c r="F311" i="1" a="1"/>
  <c r="F311" i="1" s="1"/>
  <c r="F312" i="1" a="1"/>
  <c r="F312" i="1" s="1"/>
  <c r="F313" i="1" a="1"/>
  <c r="F313" i="1" s="1"/>
  <c r="F314" i="1" a="1"/>
  <c r="F314" i="1" s="1"/>
  <c r="F315" i="1" a="1"/>
  <c r="F315" i="1" s="1"/>
  <c r="F316" i="1" a="1"/>
  <c r="F316" i="1" s="1"/>
  <c r="F317" i="1" a="1"/>
  <c r="F317" i="1" s="1"/>
  <c r="F318" i="1" a="1"/>
  <c r="F318" i="1" s="1"/>
  <c r="F319" i="1" a="1"/>
  <c r="F319" i="1" s="1"/>
  <c r="F320" i="1" a="1"/>
  <c r="F320" i="1" s="1"/>
  <c r="F321" i="1" a="1"/>
  <c r="F321" i="1" s="1"/>
  <c r="F322" i="1" a="1"/>
  <c r="F322" i="1" s="1"/>
  <c r="F323" i="1" a="1"/>
  <c r="F323" i="1" s="1"/>
  <c r="F324" i="1" a="1"/>
  <c r="F324" i="1" s="1"/>
  <c r="F325" i="1" a="1"/>
  <c r="F325" i="1" s="1"/>
  <c r="F326" i="1" a="1"/>
  <c r="F326" i="1" s="1"/>
  <c r="F327" i="1" a="1"/>
  <c r="F327" i="1" s="1"/>
  <c r="F328" i="1" a="1"/>
  <c r="F328" i="1" s="1"/>
  <c r="F329" i="1" a="1"/>
  <c r="F329" i="1" s="1"/>
  <c r="F330" i="1" a="1"/>
  <c r="F330" i="1" s="1"/>
  <c r="F331" i="1" a="1"/>
  <c r="F331" i="1" s="1"/>
  <c r="F332" i="1" a="1"/>
  <c r="F332" i="1" s="1"/>
  <c r="F333" i="1" a="1"/>
  <c r="F333" i="1" s="1"/>
  <c r="F334" i="1" a="1"/>
  <c r="F334" i="1" s="1"/>
  <c r="F335" i="1" a="1"/>
  <c r="F335" i="1" s="1"/>
  <c r="F336" i="1" a="1"/>
  <c r="F336" i="1" s="1"/>
  <c r="F337" i="1" a="1"/>
  <c r="F337" i="1" s="1"/>
  <c r="F338" i="1" a="1"/>
  <c r="F338" i="1" s="1"/>
  <c r="F339" i="1" a="1"/>
  <c r="F339" i="1" s="1"/>
  <c r="F340" i="1" a="1"/>
  <c r="F340" i="1" s="1"/>
  <c r="F341" i="1" a="1"/>
  <c r="F341" i="1" s="1"/>
  <c r="F342" i="1" a="1"/>
  <c r="F342" i="1" s="1"/>
  <c r="F343" i="1" a="1"/>
  <c r="F343" i="1" s="1"/>
  <c r="F344" i="1" a="1"/>
  <c r="F344" i="1" s="1"/>
  <c r="F345" i="1" a="1"/>
  <c r="F345" i="1" s="1"/>
  <c r="F346" i="1" a="1"/>
  <c r="F346" i="1" s="1"/>
  <c r="F347" i="1" a="1"/>
  <c r="F347" i="1" s="1"/>
  <c r="F348" i="1" a="1"/>
  <c r="F348" i="1" s="1"/>
  <c r="F349" i="1" a="1"/>
  <c r="F349" i="1" s="1"/>
  <c r="F350" i="1" a="1"/>
  <c r="F350" i="1" s="1"/>
  <c r="F351" i="1" a="1"/>
  <c r="F351" i="1" s="1"/>
  <c r="F352" i="1" a="1"/>
  <c r="F352" i="1" s="1"/>
  <c r="F353" i="1" a="1"/>
  <c r="F353" i="1" s="1"/>
  <c r="F354" i="1" a="1"/>
  <c r="F354" i="1" s="1"/>
  <c r="F355" i="1" a="1"/>
  <c r="F355" i="1" s="1"/>
  <c r="F356" i="1" a="1"/>
  <c r="F356" i="1" s="1"/>
  <c r="F357" i="1" a="1"/>
  <c r="F357" i="1" s="1"/>
  <c r="F358" i="1" a="1"/>
  <c r="F358" i="1" s="1"/>
  <c r="F359" i="1" a="1"/>
  <c r="F359" i="1" s="1"/>
  <c r="F360" i="1" a="1"/>
  <c r="F360" i="1" s="1"/>
  <c r="F361" i="1" a="1"/>
  <c r="F361" i="1" s="1"/>
  <c r="F362" i="1" a="1"/>
  <c r="F362" i="1" s="1"/>
  <c r="F363" i="1" a="1"/>
  <c r="F363" i="1" s="1"/>
  <c r="F364" i="1" a="1"/>
  <c r="F364" i="1" s="1"/>
  <c r="F365" i="1" a="1"/>
  <c r="F365" i="1" s="1"/>
  <c r="F366" i="1" a="1"/>
  <c r="F366" i="1" s="1"/>
  <c r="F367" i="1" a="1"/>
  <c r="F367" i="1" s="1"/>
  <c r="F368" i="1" a="1"/>
  <c r="F368" i="1" s="1"/>
  <c r="F369" i="1" a="1"/>
  <c r="F369" i="1" s="1"/>
  <c r="F370" i="1" a="1"/>
  <c r="F370" i="1" s="1"/>
  <c r="F371" i="1" a="1"/>
  <c r="F371" i="1" s="1"/>
  <c r="F372" i="1" a="1"/>
  <c r="F372" i="1" s="1"/>
  <c r="F373" i="1" a="1"/>
  <c r="F373" i="1" s="1"/>
  <c r="F374" i="1" a="1"/>
  <c r="F374" i="1" s="1"/>
  <c r="F375" i="1" a="1"/>
  <c r="F375" i="1" s="1"/>
  <c r="F376" i="1" a="1"/>
  <c r="F376" i="1" s="1"/>
  <c r="F377" i="1" a="1"/>
  <c r="F377" i="1" s="1"/>
  <c r="F378" i="1" a="1"/>
  <c r="F378" i="1" s="1"/>
  <c r="F379" i="1" a="1"/>
  <c r="F379" i="1" s="1"/>
  <c r="F380" i="1" a="1"/>
  <c r="F380" i="1" s="1"/>
  <c r="F381" i="1" a="1"/>
  <c r="F381" i="1" s="1"/>
  <c r="F382" i="1" a="1"/>
  <c r="F382" i="1" s="1"/>
  <c r="F383" i="1" a="1"/>
  <c r="F383" i="1" s="1"/>
  <c r="F384" i="1" a="1"/>
  <c r="F384" i="1" s="1"/>
  <c r="F385" i="1" a="1"/>
  <c r="F385" i="1" s="1"/>
  <c r="F386" i="1" a="1"/>
  <c r="F386" i="1" s="1"/>
  <c r="F387" i="1" a="1"/>
  <c r="F387" i="1" s="1"/>
  <c r="F388" i="1" a="1"/>
  <c r="F388" i="1" s="1"/>
  <c r="F389" i="1" a="1"/>
  <c r="F389" i="1" s="1"/>
  <c r="F390" i="1" a="1"/>
  <c r="F390" i="1" s="1"/>
  <c r="F391" i="1" a="1"/>
  <c r="F391" i="1" s="1"/>
  <c r="F392" i="1" a="1"/>
  <c r="F392" i="1" s="1"/>
  <c r="F393" i="1" a="1"/>
  <c r="F393" i="1" s="1"/>
  <c r="F394" i="1" a="1"/>
  <c r="F394" i="1" s="1"/>
  <c r="F395" i="1" a="1"/>
  <c r="F395" i="1" s="1"/>
  <c r="F396" i="1" a="1"/>
  <c r="F396" i="1" s="1"/>
  <c r="F397" i="1" a="1"/>
  <c r="F397" i="1" s="1"/>
  <c r="F398" i="1" a="1"/>
  <c r="F398" i="1" s="1"/>
  <c r="F399" i="1" a="1"/>
  <c r="F399" i="1" s="1"/>
  <c r="F400" i="1" a="1"/>
  <c r="F400" i="1" s="1"/>
  <c r="F402" i="1" a="1"/>
  <c r="F402" i="1" s="1"/>
  <c r="F403" i="1" a="1"/>
  <c r="F403" i="1" s="1"/>
  <c r="F404" i="1" a="1"/>
  <c r="F404" i="1" s="1"/>
  <c r="F405" i="1" a="1"/>
  <c r="F405" i="1" s="1"/>
  <c r="F406" i="1" a="1"/>
  <c r="F406" i="1" s="1"/>
  <c r="F407" i="1" a="1"/>
  <c r="F407" i="1" s="1"/>
  <c r="F408" i="1" a="1"/>
  <c r="F408" i="1" s="1"/>
  <c r="F409" i="1" a="1"/>
  <c r="F409" i="1" s="1"/>
  <c r="F410" i="1" a="1"/>
  <c r="F410" i="1" s="1"/>
  <c r="F411" i="1" a="1"/>
  <c r="F411" i="1" s="1"/>
  <c r="F412" i="1" a="1"/>
  <c r="F412" i="1" s="1"/>
  <c r="F413" i="1" a="1"/>
  <c r="F413" i="1" s="1"/>
  <c r="F414" i="1" a="1"/>
  <c r="F414" i="1" s="1"/>
  <c r="F415" i="1" a="1"/>
  <c r="F415" i="1" s="1"/>
  <c r="F416" i="1" a="1"/>
  <c r="F416" i="1" s="1"/>
  <c r="F417" i="1" a="1"/>
  <c r="F417" i="1" s="1"/>
  <c r="F418" i="1" a="1"/>
  <c r="F418" i="1" s="1"/>
  <c r="F419" i="1" a="1"/>
  <c r="F419" i="1" s="1"/>
  <c r="F421" i="1" a="1"/>
  <c r="F421" i="1" s="1"/>
  <c r="F422" i="1" a="1"/>
  <c r="F422" i="1" s="1"/>
  <c r="F423" i="1" a="1"/>
  <c r="F423" i="1" s="1"/>
  <c r="F424" i="1" a="1"/>
  <c r="F424" i="1" s="1"/>
  <c r="F425" i="1" a="1"/>
  <c r="F425" i="1" s="1"/>
  <c r="F426" i="1" a="1"/>
  <c r="F426" i="1" s="1"/>
  <c r="F427" i="1" a="1"/>
  <c r="F427" i="1" s="1"/>
  <c r="F428" i="1" a="1"/>
  <c r="F428" i="1" s="1"/>
  <c r="F429" i="1" a="1"/>
  <c r="F429" i="1" s="1"/>
  <c r="F430" i="1" a="1"/>
  <c r="F430" i="1" s="1"/>
  <c r="F431" i="1" a="1"/>
  <c r="F431" i="1" s="1"/>
  <c r="F432" i="1" a="1"/>
  <c r="F432" i="1" s="1"/>
  <c r="F433" i="1" a="1"/>
  <c r="F433" i="1" s="1"/>
  <c r="F434" i="1" a="1"/>
  <c r="F434" i="1" s="1"/>
  <c r="F435" i="1" a="1"/>
  <c r="F435" i="1" s="1"/>
  <c r="F436" i="1" a="1"/>
  <c r="F436" i="1" s="1"/>
  <c r="F437" i="1" a="1"/>
  <c r="F437" i="1" s="1"/>
  <c r="F438" i="1" a="1"/>
  <c r="F438" i="1" s="1"/>
  <c r="F439" i="1" a="1"/>
  <c r="F439" i="1" s="1"/>
  <c r="F440" i="1" a="1"/>
  <c r="F440" i="1" s="1"/>
  <c r="F441" i="1" a="1"/>
  <c r="F441" i="1" s="1"/>
  <c r="F442" i="1" a="1"/>
  <c r="F442" i="1" s="1"/>
  <c r="F443" i="1" a="1"/>
  <c r="F443" i="1" s="1"/>
  <c r="F444" i="1" a="1"/>
  <c r="F444" i="1" s="1"/>
  <c r="F445" i="1" a="1"/>
  <c r="F445" i="1" s="1"/>
  <c r="F446" i="1" a="1"/>
  <c r="F446" i="1" s="1"/>
  <c r="F447" i="1" a="1"/>
  <c r="F447" i="1" s="1"/>
  <c r="F448" i="1" a="1"/>
  <c r="F448" i="1" s="1"/>
  <c r="F449" i="1" a="1"/>
  <c r="F449" i="1" s="1"/>
  <c r="F450" i="1" a="1"/>
  <c r="F450" i="1" s="1"/>
  <c r="F451" i="1" a="1"/>
  <c r="F451" i="1" s="1"/>
  <c r="F452" i="1" a="1"/>
  <c r="F452" i="1" s="1"/>
  <c r="F453" i="1" a="1"/>
  <c r="F453" i="1" s="1"/>
  <c r="F454" i="1" a="1"/>
  <c r="F454" i="1" s="1"/>
  <c r="F455" i="1" a="1"/>
  <c r="F455" i="1" s="1"/>
  <c r="F456" i="1" a="1"/>
  <c r="F456" i="1" s="1"/>
  <c r="F457" i="1" a="1"/>
  <c r="F457" i="1" s="1"/>
  <c r="F458" i="1" a="1"/>
  <c r="F458" i="1" s="1"/>
  <c r="F459" i="1" a="1"/>
  <c r="F459" i="1" s="1"/>
  <c r="F460" i="1" a="1"/>
  <c r="F460" i="1" s="1"/>
  <c r="F461" i="1" a="1"/>
  <c r="F461" i="1" s="1"/>
  <c r="F462" i="1" a="1"/>
  <c r="F462" i="1" s="1"/>
  <c r="F463" i="1" a="1"/>
  <c r="F463" i="1" s="1"/>
  <c r="F464" i="1" a="1"/>
  <c r="F464" i="1" s="1"/>
  <c r="F465" i="1" a="1"/>
  <c r="F465" i="1" s="1"/>
  <c r="F466" i="1" a="1"/>
  <c r="F466" i="1" s="1"/>
  <c r="F467" i="1" a="1"/>
  <c r="F467" i="1" s="1"/>
  <c r="F468" i="1" a="1"/>
  <c r="F468" i="1" s="1"/>
  <c r="F469" i="1" a="1"/>
  <c r="F469" i="1" s="1"/>
  <c r="F470" i="1" a="1"/>
  <c r="F470" i="1" s="1"/>
  <c r="F471" i="1" a="1"/>
  <c r="F471" i="1" s="1"/>
  <c r="F472" i="1" a="1"/>
  <c r="F472" i="1" s="1"/>
  <c r="F473" i="1" a="1"/>
  <c r="F473" i="1" s="1"/>
  <c r="F474" i="1" a="1"/>
  <c r="F474" i="1" s="1"/>
  <c r="F475" i="1" a="1"/>
  <c r="F475" i="1" s="1"/>
  <c r="F476" i="1" a="1"/>
  <c r="F476" i="1" s="1"/>
  <c r="F477" i="1" a="1"/>
  <c r="F477" i="1" s="1"/>
  <c r="F478" i="1" a="1"/>
  <c r="F478" i="1" s="1"/>
  <c r="F479" i="1" a="1"/>
  <c r="F479" i="1" s="1"/>
  <c r="F480" i="1" a="1"/>
  <c r="F480" i="1" s="1"/>
  <c r="F481" i="1" a="1"/>
  <c r="F481" i="1" s="1"/>
  <c r="F482" i="1" a="1"/>
  <c r="F482" i="1" s="1"/>
  <c r="F483" i="1" a="1"/>
  <c r="F483" i="1" s="1"/>
  <c r="F484" i="1" a="1"/>
  <c r="F484" i="1" s="1"/>
  <c r="F485" i="1" a="1"/>
  <c r="F485" i="1" s="1"/>
  <c r="F486" i="1" a="1"/>
  <c r="F486" i="1" s="1"/>
  <c r="F487" i="1" a="1"/>
  <c r="F487" i="1" s="1"/>
  <c r="F488" i="1" a="1"/>
  <c r="F488" i="1" s="1"/>
  <c r="F489" i="1" a="1"/>
  <c r="F489" i="1" s="1"/>
  <c r="F490" i="1" a="1"/>
  <c r="F490" i="1" s="1"/>
  <c r="F491" i="1" a="1"/>
  <c r="F491" i="1" s="1"/>
  <c r="F492" i="1" a="1"/>
  <c r="F492" i="1" s="1"/>
  <c r="F493" i="1" a="1"/>
  <c r="F493" i="1" s="1"/>
  <c r="F494" i="1" a="1"/>
  <c r="F494" i="1" s="1"/>
  <c r="F495" i="1" a="1"/>
  <c r="F495" i="1" s="1"/>
  <c r="F497" i="1" a="1"/>
  <c r="F497" i="1" s="1"/>
  <c r="F498" i="1" a="1"/>
  <c r="F498" i="1" s="1"/>
  <c r="F499" i="1" a="1"/>
  <c r="F499" i="1" s="1"/>
  <c r="F500" i="1" a="1"/>
  <c r="F500" i="1" s="1"/>
  <c r="F501" i="1" a="1"/>
  <c r="F501" i="1" s="1"/>
  <c r="F502" i="1" a="1"/>
  <c r="F502" i="1" s="1"/>
  <c r="F503" i="1" a="1"/>
  <c r="F503" i="1" s="1"/>
  <c r="F504" i="1" a="1"/>
  <c r="F504" i="1" s="1"/>
  <c r="F505" i="1" a="1"/>
  <c r="F505" i="1" s="1"/>
  <c r="F506" i="1" a="1"/>
  <c r="F506" i="1" s="1"/>
  <c r="F507" i="1" a="1"/>
  <c r="F507" i="1" s="1"/>
  <c r="F508" i="1" a="1"/>
  <c r="F508" i="1" s="1"/>
  <c r="F509" i="1" a="1"/>
  <c r="F509" i="1" s="1"/>
  <c r="F510" i="1" a="1"/>
  <c r="F510" i="1" s="1"/>
  <c r="F511" i="1" a="1"/>
  <c r="F511" i="1" s="1"/>
  <c r="F512" i="1" a="1"/>
  <c r="F512" i="1" s="1"/>
  <c r="F513" i="1" a="1"/>
  <c r="F513" i="1" s="1"/>
  <c r="F514" i="1" a="1"/>
  <c r="F514" i="1" s="1"/>
  <c r="F515" i="1" a="1"/>
  <c r="F515" i="1" s="1"/>
  <c r="F516" i="1" a="1"/>
  <c r="F516" i="1" s="1"/>
  <c r="F517" i="1" a="1"/>
  <c r="F517" i="1" s="1"/>
  <c r="F518" i="1" a="1"/>
  <c r="F518" i="1" s="1"/>
  <c r="F519" i="1" a="1"/>
  <c r="F519" i="1" s="1"/>
  <c r="F520" i="1" a="1"/>
  <c r="F520" i="1" s="1"/>
  <c r="F521" i="1" a="1"/>
  <c r="F521" i="1" s="1"/>
  <c r="F522" i="1" a="1"/>
  <c r="F522" i="1" s="1"/>
  <c r="F523" i="1" a="1"/>
  <c r="F523" i="1" s="1"/>
  <c r="F524" i="1" a="1"/>
  <c r="F524" i="1" s="1"/>
  <c r="F525" i="1" a="1"/>
  <c r="F525" i="1" s="1"/>
  <c r="F526" i="1" a="1"/>
  <c r="F526" i="1" s="1"/>
  <c r="F527" i="1" a="1"/>
  <c r="F527" i="1" s="1"/>
  <c r="F528" i="1" a="1"/>
  <c r="F528" i="1" s="1"/>
  <c r="F529" i="1" a="1"/>
  <c r="F529" i="1" s="1"/>
  <c r="F530" i="1" a="1"/>
  <c r="F530" i="1" s="1"/>
  <c r="F531" i="1" a="1"/>
  <c r="F531" i="1" s="1"/>
  <c r="F532" i="1" a="1"/>
  <c r="F532" i="1" s="1"/>
  <c r="F533" i="1" a="1"/>
  <c r="F533" i="1" s="1"/>
  <c r="F534" i="1" a="1"/>
  <c r="F534" i="1" s="1"/>
  <c r="F535" i="1" a="1"/>
  <c r="F535" i="1" s="1"/>
  <c r="F536" i="1" a="1"/>
  <c r="F536" i="1" s="1"/>
  <c r="F537" i="1" a="1"/>
  <c r="F537" i="1" s="1"/>
  <c r="F538" i="1" a="1"/>
  <c r="F538" i="1" s="1"/>
  <c r="F539" i="1" a="1"/>
  <c r="F539" i="1" s="1"/>
  <c r="F540" i="1" a="1"/>
  <c r="F540" i="1" s="1"/>
  <c r="F541" i="1" a="1"/>
  <c r="F541" i="1" s="1"/>
  <c r="F542" i="1" a="1"/>
  <c r="F542" i="1" s="1"/>
  <c r="F544" i="1" a="1"/>
  <c r="F544" i="1" s="1"/>
  <c r="F545" i="1" a="1"/>
  <c r="F545" i="1" s="1"/>
  <c r="F546" i="1" a="1"/>
  <c r="F546" i="1" s="1"/>
  <c r="F547" i="1" a="1"/>
  <c r="F547" i="1" s="1"/>
  <c r="F548" i="1" a="1"/>
  <c r="F548" i="1" s="1"/>
  <c r="F549" i="1" a="1"/>
  <c r="F549" i="1" s="1"/>
  <c r="F550" i="1" a="1"/>
  <c r="F550" i="1" s="1"/>
  <c r="F551" i="1" a="1"/>
  <c r="F551" i="1" s="1"/>
  <c r="F552" i="1" a="1"/>
  <c r="F552" i="1" s="1"/>
  <c r="F553" i="1" a="1"/>
  <c r="F553" i="1" s="1"/>
  <c r="F554" i="1" a="1"/>
  <c r="F554" i="1" s="1"/>
  <c r="F555" i="1" a="1"/>
  <c r="F555" i="1" s="1"/>
  <c r="F556" i="1" a="1"/>
  <c r="F556" i="1" s="1"/>
  <c r="F557" i="1" a="1"/>
  <c r="F557" i="1" s="1"/>
  <c r="F558" i="1" a="1"/>
  <c r="F558" i="1" s="1"/>
  <c r="F559" i="1" a="1"/>
  <c r="F559" i="1" s="1"/>
  <c r="F560" i="1" a="1"/>
  <c r="F560" i="1" s="1"/>
  <c r="F561" i="1" a="1"/>
  <c r="F561" i="1" s="1"/>
  <c r="F562" i="1" a="1"/>
  <c r="F562" i="1" s="1"/>
  <c r="F563" i="1" a="1"/>
  <c r="F563" i="1" s="1"/>
  <c r="F564" i="1" a="1"/>
  <c r="F564" i="1" s="1"/>
  <c r="F565" i="1" a="1"/>
  <c r="F565" i="1" s="1"/>
  <c r="F566" i="1" a="1"/>
  <c r="F566" i="1" s="1"/>
  <c r="F567" i="1" a="1"/>
  <c r="F567" i="1" s="1"/>
  <c r="F568" i="1" a="1"/>
  <c r="F568" i="1" s="1"/>
  <c r="F569" i="1" a="1"/>
  <c r="F569" i="1" s="1"/>
  <c r="F570" i="1" a="1"/>
  <c r="F570" i="1" s="1"/>
  <c r="F571" i="1" a="1"/>
  <c r="F571" i="1" s="1"/>
  <c r="F572" i="1" a="1"/>
  <c r="F572" i="1" s="1"/>
  <c r="F573" i="1" a="1"/>
  <c r="F573" i="1" s="1"/>
  <c r="F574" i="1" a="1"/>
  <c r="F574" i="1" s="1"/>
  <c r="F575" i="1" a="1"/>
  <c r="F575" i="1" s="1"/>
  <c r="F576" i="1" a="1"/>
  <c r="F576" i="1" s="1"/>
  <c r="F577" i="1" a="1"/>
  <c r="F577" i="1" s="1"/>
  <c r="F578" i="1" a="1"/>
  <c r="F578" i="1" s="1"/>
  <c r="F579" i="1" a="1"/>
  <c r="F579" i="1" s="1"/>
  <c r="F580" i="1" a="1"/>
  <c r="F580" i="1" s="1"/>
  <c r="F581" i="1" a="1"/>
  <c r="F581" i="1" s="1"/>
  <c r="F582" i="1" a="1"/>
  <c r="F582" i="1" s="1"/>
  <c r="F583" i="1" a="1"/>
  <c r="F583" i="1" s="1"/>
  <c r="F584" i="1" a="1"/>
  <c r="F584" i="1" s="1"/>
  <c r="F585" i="1" a="1"/>
  <c r="F585" i="1" s="1"/>
  <c r="F586" i="1" a="1"/>
  <c r="F586" i="1" s="1"/>
  <c r="F587" i="1" a="1"/>
  <c r="F587" i="1" s="1"/>
  <c r="F588" i="1" a="1"/>
  <c r="F588" i="1" s="1"/>
  <c r="F589" i="1" a="1"/>
  <c r="F589" i="1" s="1"/>
  <c r="F590" i="1" a="1"/>
  <c r="F590" i="1" s="1"/>
  <c r="F592" i="1" a="1"/>
  <c r="F592" i="1" s="1"/>
  <c r="F594" i="1" a="1"/>
  <c r="F594" i="1" s="1"/>
  <c r="F595" i="1" a="1"/>
  <c r="F595" i="1" s="1"/>
  <c r="F596" i="1" a="1"/>
  <c r="F596" i="1" s="1"/>
  <c r="F597" i="1" a="1"/>
  <c r="F597" i="1" s="1"/>
  <c r="F598" i="1" a="1"/>
  <c r="F598" i="1" s="1"/>
  <c r="F599" i="1" a="1"/>
  <c r="F599" i="1" s="1"/>
  <c r="F600" i="1" a="1"/>
  <c r="F600" i="1" s="1"/>
  <c r="F601" i="1" a="1"/>
  <c r="F601" i="1" s="1"/>
  <c r="F602" i="1" a="1"/>
  <c r="F602" i="1" s="1"/>
  <c r="F603" i="1" a="1"/>
  <c r="F603" i="1" s="1"/>
  <c r="F604" i="1" a="1"/>
  <c r="F604" i="1" s="1"/>
  <c r="F605" i="1" a="1"/>
  <c r="F605" i="1" s="1"/>
  <c r="F606" i="1" a="1"/>
  <c r="F606" i="1" s="1"/>
  <c r="F607" i="1" a="1"/>
  <c r="F607" i="1" s="1"/>
  <c r="F608" i="1" a="1"/>
  <c r="F608" i="1" s="1"/>
  <c r="F609" i="1" a="1"/>
  <c r="F609" i="1" s="1"/>
  <c r="F610" i="1" a="1"/>
  <c r="F610" i="1" s="1"/>
  <c r="F611" i="1" a="1"/>
  <c r="F611" i="1" s="1"/>
  <c r="F612" i="1" a="1"/>
  <c r="F612" i="1" s="1"/>
  <c r="F613" i="1" a="1"/>
  <c r="F613" i="1" s="1"/>
  <c r="F614" i="1" a="1"/>
  <c r="F614" i="1" s="1"/>
  <c r="F615" i="1" a="1"/>
  <c r="F615" i="1" s="1"/>
  <c r="F616" i="1" a="1"/>
  <c r="F616" i="1" s="1"/>
  <c r="F617" i="1" a="1"/>
  <c r="F617" i="1" s="1"/>
  <c r="F618" i="1" a="1"/>
  <c r="F618" i="1" s="1"/>
  <c r="F619" i="1" a="1"/>
  <c r="F619" i="1" s="1"/>
  <c r="F620" i="1" a="1"/>
  <c r="F620" i="1" s="1"/>
  <c r="F621" i="1" a="1"/>
  <c r="F621" i="1" s="1"/>
  <c r="F622" i="1" a="1"/>
  <c r="F622" i="1" s="1"/>
  <c r="F623" i="1" a="1"/>
  <c r="F623" i="1" s="1"/>
  <c r="F624" i="1" a="1"/>
  <c r="F624" i="1" s="1"/>
  <c r="F625" i="1" a="1"/>
  <c r="F625" i="1" s="1"/>
  <c r="F626" i="1" a="1"/>
  <c r="F626" i="1" s="1"/>
  <c r="F627" i="1" a="1"/>
  <c r="F627" i="1" s="1"/>
  <c r="F628" i="1" a="1"/>
  <c r="F628" i="1" s="1"/>
  <c r="F629" i="1" a="1"/>
  <c r="F629" i="1" s="1"/>
  <c r="F630" i="1" a="1"/>
  <c r="F630" i="1" s="1"/>
  <c r="F631" i="1" a="1"/>
  <c r="F631" i="1" s="1"/>
  <c r="F632" i="1" a="1"/>
  <c r="F632" i="1" s="1"/>
  <c r="F633" i="1" a="1"/>
  <c r="F633" i="1" s="1"/>
  <c r="F634" i="1" a="1"/>
  <c r="F634" i="1" s="1"/>
  <c r="F635" i="1" a="1"/>
  <c r="F635" i="1" s="1"/>
  <c r="F636" i="1" a="1"/>
  <c r="F636" i="1" s="1"/>
  <c r="F637" i="1" a="1"/>
  <c r="F637" i="1" s="1"/>
  <c r="F638" i="1" a="1"/>
  <c r="F638" i="1" s="1"/>
  <c r="F639" i="1" a="1"/>
  <c r="F639" i="1" s="1"/>
  <c r="F640" i="1" a="1"/>
  <c r="F640" i="1" s="1"/>
  <c r="F641" i="1" a="1"/>
  <c r="F641" i="1" s="1"/>
  <c r="F642" i="1" a="1"/>
  <c r="F642" i="1" s="1"/>
  <c r="F643" i="1" a="1"/>
  <c r="F643" i="1" s="1"/>
  <c r="F644" i="1" a="1"/>
  <c r="F644" i="1" s="1"/>
  <c r="F645" i="1" a="1"/>
  <c r="F645" i="1" s="1"/>
  <c r="F646" i="1" a="1"/>
  <c r="F646" i="1" s="1"/>
  <c r="F647" i="1" a="1"/>
  <c r="F647" i="1" s="1"/>
  <c r="F648" i="1" a="1"/>
  <c r="F648" i="1" s="1"/>
  <c r="F649" i="1" a="1"/>
  <c r="F649" i="1" s="1"/>
  <c r="F650" i="1" a="1"/>
  <c r="F650" i="1" s="1"/>
  <c r="F651" i="1" a="1"/>
  <c r="F651" i="1" s="1"/>
  <c r="F652" i="1" a="1"/>
  <c r="F652" i="1" s="1"/>
  <c r="F653" i="1" a="1"/>
  <c r="F653" i="1" s="1"/>
  <c r="F654" i="1" a="1"/>
  <c r="F654" i="1" s="1"/>
  <c r="F655" i="1" a="1"/>
  <c r="F655" i="1" s="1"/>
  <c r="F656" i="1" a="1"/>
  <c r="F656" i="1" s="1"/>
  <c r="F657" i="1" a="1"/>
  <c r="F657" i="1" s="1"/>
  <c r="F658" i="1" a="1"/>
  <c r="F658" i="1" s="1"/>
  <c r="F659" i="1" a="1"/>
  <c r="F659" i="1" s="1"/>
  <c r="F660" i="1" a="1"/>
  <c r="F660" i="1" s="1"/>
  <c r="F661" i="1" a="1"/>
  <c r="F661" i="1" s="1"/>
  <c r="F662" i="1" a="1"/>
  <c r="F662" i="1" s="1"/>
  <c r="F663" i="1" a="1"/>
  <c r="F663" i="1" s="1"/>
  <c r="F664" i="1" a="1"/>
  <c r="F664" i="1" s="1"/>
  <c r="F665" i="1" a="1"/>
  <c r="F665" i="1" s="1"/>
  <c r="F666" i="1" a="1"/>
  <c r="F666" i="1" s="1"/>
  <c r="F667" i="1" a="1"/>
  <c r="F667" i="1" s="1"/>
  <c r="F668" i="1" a="1"/>
  <c r="F668" i="1" s="1"/>
  <c r="F669" i="1" a="1"/>
  <c r="F669" i="1" s="1"/>
  <c r="F670" i="1" a="1"/>
  <c r="F670" i="1" s="1"/>
  <c r="F671" i="1" a="1"/>
  <c r="F671" i="1" s="1"/>
  <c r="F672" i="1" a="1"/>
  <c r="F672" i="1" s="1"/>
  <c r="F673" i="1" a="1"/>
  <c r="F673" i="1" s="1"/>
  <c r="F674" i="1" a="1"/>
  <c r="F674" i="1" s="1"/>
  <c r="F675" i="1" a="1"/>
  <c r="F675" i="1" s="1"/>
  <c r="F676" i="1" a="1"/>
  <c r="F676" i="1" s="1"/>
  <c r="F677" i="1" a="1"/>
  <c r="F677" i="1" s="1"/>
  <c r="F678" i="1" a="1"/>
  <c r="F678" i="1" s="1"/>
  <c r="F679" i="1" a="1"/>
  <c r="F679" i="1" s="1"/>
  <c r="F680" i="1" a="1"/>
  <c r="F680" i="1" s="1"/>
  <c r="F681" i="1" a="1"/>
  <c r="F681" i="1" s="1"/>
  <c r="F682" i="1" a="1"/>
  <c r="F682" i="1" s="1"/>
  <c r="F683" i="1" a="1"/>
  <c r="F683" i="1" s="1"/>
  <c r="F684" i="1" a="1"/>
  <c r="F684" i="1" s="1"/>
  <c r="F685" i="1" a="1"/>
  <c r="F685" i="1" s="1"/>
  <c r="F686" i="1" a="1"/>
  <c r="F686" i="1" s="1"/>
  <c r="F687" i="1" a="1"/>
  <c r="F687" i="1" s="1"/>
  <c r="F688" i="1" a="1"/>
  <c r="F688" i="1" s="1"/>
  <c r="F689" i="1" a="1"/>
  <c r="F689" i="1" s="1"/>
  <c r="F690" i="1" a="1"/>
  <c r="F690" i="1" s="1"/>
  <c r="F691" i="1" a="1"/>
  <c r="F691" i="1" s="1"/>
  <c r="F692" i="1" a="1"/>
  <c r="F692" i="1" s="1"/>
  <c r="F693" i="1" a="1"/>
  <c r="F693" i="1" s="1"/>
  <c r="F694" i="1" a="1"/>
  <c r="F694" i="1" s="1"/>
  <c r="F695" i="1" a="1"/>
  <c r="F695" i="1" s="1"/>
  <c r="F696" i="1" a="1"/>
  <c r="F696" i="1" s="1"/>
  <c r="F697" i="1" a="1"/>
  <c r="F697" i="1" s="1"/>
  <c r="F698" i="1" a="1"/>
  <c r="F698" i="1" s="1"/>
  <c r="F699" i="1" a="1"/>
  <c r="F699" i="1" s="1"/>
  <c r="F700" i="1" a="1"/>
  <c r="F700" i="1" s="1"/>
  <c r="F701" i="1" a="1"/>
  <c r="F701" i="1" s="1"/>
  <c r="F702" i="1" a="1"/>
  <c r="F702" i="1" s="1"/>
  <c r="F703" i="1" a="1"/>
  <c r="F703" i="1" s="1"/>
  <c r="F704" i="1" a="1"/>
  <c r="F704" i="1" s="1"/>
  <c r="F705" i="1" a="1"/>
  <c r="F705" i="1" s="1"/>
  <c r="F706" i="1" a="1"/>
  <c r="F706" i="1" s="1"/>
  <c r="F707" i="1" a="1"/>
  <c r="F707" i="1" s="1"/>
  <c r="F708" i="1" a="1"/>
  <c r="F708" i="1" s="1"/>
  <c r="F709" i="1" a="1"/>
  <c r="F709" i="1" s="1"/>
  <c r="F710" i="1" a="1"/>
  <c r="F710" i="1" s="1"/>
  <c r="F711" i="1" a="1"/>
  <c r="F711" i="1" s="1"/>
  <c r="F712" i="1" a="1"/>
  <c r="F712" i="1" s="1"/>
  <c r="F713" i="1" a="1"/>
  <c r="F713" i="1" s="1"/>
  <c r="F714" i="1" a="1"/>
  <c r="F714" i="1" s="1"/>
  <c r="F715" i="1" a="1"/>
  <c r="F715" i="1" s="1"/>
  <c r="F716" i="1" a="1"/>
  <c r="F716" i="1" s="1"/>
  <c r="F717" i="1" a="1"/>
  <c r="F717" i="1" s="1"/>
  <c r="F718" i="1" a="1"/>
  <c r="F718" i="1" s="1"/>
  <c r="F719" i="1" a="1"/>
  <c r="F719" i="1" s="1"/>
  <c r="F720" i="1" a="1"/>
  <c r="F720" i="1" s="1"/>
  <c r="F721" i="1" a="1"/>
  <c r="F721" i="1" s="1"/>
  <c r="F722" i="1" a="1"/>
  <c r="F722" i="1" s="1"/>
  <c r="F723" i="1" a="1"/>
  <c r="F723" i="1" s="1"/>
  <c r="F724" i="1" a="1"/>
  <c r="F724" i="1" s="1"/>
  <c r="F725" i="1" a="1"/>
  <c r="F725" i="1" s="1"/>
  <c r="F726" i="1" a="1"/>
  <c r="F726" i="1" s="1"/>
  <c r="F727" i="1" a="1"/>
  <c r="F727" i="1" s="1"/>
  <c r="F728" i="1" a="1"/>
  <c r="F728" i="1" s="1"/>
  <c r="F729" i="1" a="1"/>
  <c r="F729" i="1" s="1"/>
  <c r="F730" i="1" a="1"/>
  <c r="F730" i="1" s="1"/>
  <c r="F731" i="1" a="1"/>
  <c r="F731" i="1" s="1"/>
  <c r="F732" i="1" a="1"/>
  <c r="F732" i="1" s="1"/>
  <c r="F733" i="1" a="1"/>
  <c r="F733" i="1" s="1"/>
  <c r="F734" i="1" a="1"/>
  <c r="F734" i="1" s="1"/>
  <c r="F735" i="1" a="1"/>
  <c r="F735" i="1" s="1"/>
  <c r="F736" i="1" a="1"/>
  <c r="F736" i="1" s="1"/>
  <c r="F737" i="1" a="1"/>
  <c r="F737" i="1" s="1"/>
  <c r="F738" i="1" a="1"/>
  <c r="F738" i="1" s="1"/>
  <c r="F739" i="1" a="1"/>
  <c r="F739" i="1" s="1"/>
  <c r="F740" i="1" a="1"/>
  <c r="F740" i="1" s="1"/>
  <c r="F741" i="1" a="1"/>
  <c r="F741" i="1" s="1"/>
  <c r="F742" i="1" a="1"/>
  <c r="F742" i="1" s="1"/>
  <c r="F743" i="1" a="1"/>
  <c r="F743" i="1" s="1"/>
  <c r="F744" i="1" a="1"/>
  <c r="F744" i="1" s="1"/>
  <c r="F745" i="1" a="1"/>
  <c r="F745" i="1" s="1"/>
  <c r="F746" i="1" a="1"/>
  <c r="F746" i="1" s="1"/>
  <c r="F747" i="1" a="1"/>
  <c r="F747" i="1" s="1"/>
  <c r="F748" i="1" a="1"/>
  <c r="F748" i="1" s="1"/>
  <c r="F749" i="1" a="1"/>
  <c r="F749" i="1" s="1"/>
  <c r="F750" i="1" a="1"/>
  <c r="F750" i="1" s="1"/>
  <c r="F751" i="1" a="1"/>
  <c r="F751" i="1" s="1"/>
  <c r="F752" i="1" a="1"/>
  <c r="F752" i="1" s="1"/>
  <c r="F753" i="1" a="1"/>
  <c r="F753" i="1" s="1"/>
  <c r="F754" i="1" a="1"/>
  <c r="F754" i="1" s="1"/>
  <c r="F755" i="1" a="1"/>
  <c r="F755" i="1" s="1"/>
  <c r="F756" i="1" a="1"/>
  <c r="F756" i="1" s="1"/>
  <c r="F757" i="1" a="1"/>
  <c r="F757" i="1" s="1"/>
  <c r="F758" i="1" a="1"/>
  <c r="F758" i="1" s="1"/>
  <c r="F759" i="1" a="1"/>
  <c r="F759" i="1" s="1"/>
  <c r="F760" i="1" a="1"/>
  <c r="F760" i="1" s="1"/>
  <c r="F761" i="1" a="1"/>
  <c r="F761" i="1" s="1"/>
  <c r="F762" i="1" a="1"/>
  <c r="F762" i="1" s="1"/>
  <c r="F763" i="1" a="1"/>
  <c r="F763" i="1" s="1"/>
  <c r="F764" i="1" a="1"/>
  <c r="F764" i="1" s="1"/>
  <c r="F765" i="1" a="1"/>
  <c r="F765" i="1" s="1"/>
  <c r="F766" i="1" a="1"/>
  <c r="F766" i="1" s="1"/>
  <c r="F767" i="1" a="1"/>
  <c r="F767" i="1" s="1"/>
  <c r="F768" i="1" a="1"/>
  <c r="F768" i="1" s="1"/>
  <c r="F769" i="1" a="1"/>
  <c r="F769" i="1" s="1"/>
  <c r="F770" i="1" a="1"/>
  <c r="F770" i="1" s="1"/>
  <c r="F771" i="1" a="1"/>
  <c r="F771" i="1" s="1"/>
  <c r="F772" i="1" a="1"/>
  <c r="F772" i="1" s="1"/>
  <c r="F773" i="1" a="1"/>
  <c r="F773" i="1" s="1"/>
  <c r="F774" i="1" a="1"/>
  <c r="F774" i="1" s="1"/>
  <c r="F775" i="1" a="1"/>
  <c r="F775" i="1" s="1"/>
  <c r="F776" i="1" a="1"/>
  <c r="F776" i="1" s="1"/>
  <c r="F777" i="1" a="1"/>
  <c r="F777" i="1" s="1"/>
  <c r="F778" i="1" a="1"/>
  <c r="F778" i="1" s="1"/>
  <c r="F779" i="1" a="1"/>
  <c r="F779" i="1" s="1"/>
  <c r="F780" i="1" a="1"/>
  <c r="F780" i="1" s="1"/>
  <c r="F781" i="1" a="1"/>
  <c r="F781" i="1" s="1"/>
  <c r="F782" i="1" a="1"/>
  <c r="F782" i="1" s="1"/>
  <c r="F783" i="1" a="1"/>
  <c r="F783" i="1" s="1"/>
  <c r="F784" i="1" a="1"/>
  <c r="F784" i="1" s="1"/>
  <c r="F785" i="1" a="1"/>
  <c r="F785" i="1" s="1"/>
  <c r="F786" i="1" a="1"/>
  <c r="F786" i="1" s="1"/>
  <c r="F787" i="1" a="1"/>
  <c r="F787" i="1" s="1"/>
  <c r="F788" i="1" a="1"/>
  <c r="F788" i="1" s="1"/>
  <c r="F789" i="1" a="1"/>
  <c r="F789" i="1" s="1"/>
  <c r="F790" i="1" a="1"/>
  <c r="F790" i="1" s="1"/>
  <c r="F791" i="1" a="1"/>
  <c r="F791" i="1" s="1"/>
  <c r="F792" i="1" a="1"/>
  <c r="F792" i="1" s="1"/>
  <c r="F793" i="1" a="1"/>
  <c r="F793" i="1" s="1"/>
  <c r="F794" i="1" a="1"/>
  <c r="F794" i="1" s="1"/>
  <c r="F795" i="1" a="1"/>
  <c r="F795" i="1" s="1"/>
  <c r="F796" i="1" a="1"/>
  <c r="F796" i="1" s="1"/>
  <c r="F797" i="1" a="1"/>
  <c r="F797" i="1" s="1"/>
  <c r="F798" i="1" a="1"/>
  <c r="F798" i="1" s="1"/>
  <c r="F799" i="1" a="1"/>
  <c r="F799" i="1" s="1"/>
  <c r="F800" i="1" a="1"/>
  <c r="F800" i="1" s="1"/>
  <c r="F801" i="1" a="1"/>
  <c r="F801" i="1" s="1"/>
  <c r="F802" i="1" a="1"/>
  <c r="F802" i="1" s="1"/>
  <c r="F803" i="1" a="1"/>
  <c r="F803" i="1" s="1"/>
  <c r="F804" i="1" a="1"/>
  <c r="F804" i="1" s="1"/>
  <c r="F805" i="1" a="1"/>
  <c r="F805" i="1" s="1"/>
  <c r="F806" i="1" a="1"/>
  <c r="F806" i="1" s="1"/>
  <c r="F807" i="1" a="1"/>
  <c r="F807" i="1" s="1"/>
  <c r="F808" i="1" a="1"/>
  <c r="F808" i="1" s="1"/>
  <c r="F809" i="1" a="1"/>
  <c r="F809" i="1" s="1"/>
  <c r="F810" i="1" a="1"/>
  <c r="F810" i="1" s="1"/>
  <c r="F811" i="1" a="1"/>
  <c r="F811" i="1" s="1"/>
  <c r="F812" i="1" a="1"/>
  <c r="F812" i="1" s="1"/>
  <c r="F813" i="1" a="1"/>
  <c r="F813" i="1" s="1"/>
  <c r="F814" i="1" a="1"/>
  <c r="F814" i="1" s="1"/>
  <c r="F815" i="1" a="1"/>
  <c r="F815" i="1" s="1"/>
  <c r="F816" i="1" a="1"/>
  <c r="F816" i="1" s="1"/>
  <c r="F817" i="1" a="1"/>
  <c r="F817" i="1" s="1"/>
  <c r="F818" i="1" a="1"/>
  <c r="F818" i="1" s="1"/>
  <c r="F819" i="1" a="1"/>
  <c r="F819" i="1" s="1"/>
  <c r="F820" i="1" a="1"/>
  <c r="F820" i="1" s="1"/>
  <c r="F821" i="1" a="1"/>
  <c r="F821" i="1" s="1"/>
  <c r="F822" i="1" a="1"/>
  <c r="F822" i="1" s="1"/>
  <c r="F823" i="1" a="1"/>
  <c r="F823" i="1" s="1"/>
  <c r="F824" i="1" a="1"/>
  <c r="F824" i="1" s="1"/>
  <c r="F825" i="1" a="1"/>
  <c r="F825" i="1" s="1"/>
  <c r="F826" i="1" a="1"/>
  <c r="F826" i="1" s="1"/>
  <c r="F827" i="1" a="1"/>
  <c r="F827" i="1" s="1"/>
  <c r="F828" i="1" a="1"/>
  <c r="F828" i="1" s="1"/>
  <c r="F829" i="1" a="1"/>
  <c r="F829" i="1" s="1"/>
  <c r="F830" i="1" a="1"/>
  <c r="F830" i="1" s="1"/>
  <c r="F831" i="1" a="1"/>
  <c r="F831" i="1" s="1"/>
  <c r="F832" i="1" a="1"/>
  <c r="F832" i="1" s="1"/>
  <c r="F833" i="1" a="1"/>
  <c r="F833" i="1" s="1"/>
  <c r="F834" i="1" a="1"/>
  <c r="F834" i="1" s="1"/>
  <c r="F835" i="1" a="1"/>
  <c r="F835" i="1" s="1"/>
  <c r="F836" i="1" a="1"/>
  <c r="F836" i="1" s="1"/>
  <c r="F837" i="1" a="1"/>
  <c r="F837" i="1" s="1"/>
  <c r="F838" i="1" a="1"/>
  <c r="F838" i="1" s="1"/>
  <c r="F839" i="1" a="1"/>
  <c r="F839" i="1" s="1"/>
  <c r="F840" i="1" a="1"/>
  <c r="F840" i="1" s="1"/>
  <c r="F841" i="1" a="1"/>
  <c r="F841" i="1" s="1"/>
  <c r="F842" i="1" a="1"/>
  <c r="F842" i="1" s="1"/>
  <c r="F843" i="1" a="1"/>
  <c r="F843" i="1" s="1"/>
  <c r="F844" i="1" a="1"/>
  <c r="F844" i="1" s="1"/>
  <c r="F845" i="1" a="1"/>
  <c r="F845" i="1" s="1"/>
  <c r="F846" i="1" a="1"/>
  <c r="F846" i="1" s="1"/>
  <c r="F847" i="1" a="1"/>
  <c r="F847" i="1" s="1"/>
  <c r="F848" i="1" a="1"/>
  <c r="F848" i="1" s="1"/>
  <c r="F849" i="1" a="1"/>
  <c r="F849" i="1" s="1"/>
  <c r="F850" i="1" a="1"/>
  <c r="F850" i="1" s="1"/>
  <c r="F851" i="1" a="1"/>
  <c r="F851" i="1" s="1"/>
  <c r="F852" i="1" a="1"/>
  <c r="F852" i="1" s="1"/>
  <c r="F853" i="1" a="1"/>
  <c r="F853" i="1" s="1"/>
  <c r="F854" i="1" a="1"/>
  <c r="F854" i="1" s="1"/>
  <c r="F855" i="1" a="1"/>
  <c r="F855" i="1" s="1"/>
  <c r="F856" i="1" a="1"/>
  <c r="F856" i="1" s="1"/>
  <c r="F857" i="1" a="1"/>
  <c r="F857" i="1" s="1"/>
  <c r="F858" i="1" a="1"/>
  <c r="F858" i="1" s="1"/>
  <c r="F859" i="1" a="1"/>
  <c r="F859" i="1" s="1"/>
  <c r="F860" i="1" a="1"/>
  <c r="F860" i="1" s="1"/>
  <c r="F861" i="1" a="1"/>
  <c r="F861" i="1" s="1"/>
  <c r="F862" i="1" a="1"/>
  <c r="F862" i="1" s="1"/>
  <c r="F863" i="1" a="1"/>
  <c r="F863" i="1" s="1"/>
  <c r="F864" i="1" a="1"/>
  <c r="F864" i="1" s="1"/>
  <c r="F865" i="1" a="1"/>
  <c r="F865" i="1" s="1"/>
  <c r="F866" i="1" a="1"/>
  <c r="F866" i="1" s="1"/>
  <c r="F867" i="1" a="1"/>
  <c r="F867" i="1" s="1"/>
  <c r="F868" i="1" a="1"/>
  <c r="F868" i="1" s="1"/>
  <c r="F869" i="1" a="1"/>
  <c r="F869" i="1" s="1"/>
  <c r="F870" i="1" a="1"/>
  <c r="F870" i="1" s="1"/>
  <c r="F871" i="1" a="1"/>
  <c r="F871" i="1" s="1"/>
  <c r="F872" i="1" a="1"/>
  <c r="F872" i="1" s="1"/>
  <c r="F873" i="1" a="1"/>
  <c r="F873" i="1" s="1"/>
  <c r="F874" i="1" a="1"/>
  <c r="F874" i="1" s="1"/>
  <c r="F875" i="1" a="1"/>
  <c r="F875" i="1" s="1"/>
  <c r="F876" i="1" a="1"/>
  <c r="F876" i="1" s="1"/>
  <c r="F877" i="1" a="1"/>
  <c r="F877" i="1" s="1"/>
  <c r="F878" i="1" a="1"/>
  <c r="F878" i="1" s="1"/>
  <c r="F879" i="1" a="1"/>
  <c r="F879" i="1" s="1"/>
  <c r="F880" i="1" a="1"/>
  <c r="F880" i="1" s="1"/>
  <c r="F881" i="1" a="1"/>
  <c r="F881" i="1" s="1"/>
  <c r="F882" i="1" a="1"/>
  <c r="F882" i="1" s="1"/>
  <c r="F883" i="1" a="1"/>
  <c r="F883" i="1" s="1"/>
  <c r="F884" i="1" a="1"/>
  <c r="F884" i="1" s="1"/>
  <c r="F886" i="1" a="1"/>
  <c r="F886" i="1" s="1"/>
  <c r="F887" i="1" a="1"/>
  <c r="F887" i="1" s="1"/>
  <c r="F888" i="1" a="1"/>
  <c r="F888" i="1" s="1"/>
  <c r="F889" i="1" a="1"/>
  <c r="F889" i="1" s="1"/>
  <c r="F890" i="1" a="1"/>
  <c r="F890" i="1" s="1"/>
  <c r="F891" i="1" a="1"/>
  <c r="F891" i="1" s="1"/>
  <c r="F892" i="1" a="1"/>
  <c r="F892" i="1" s="1"/>
  <c r="F893" i="1" a="1"/>
  <c r="F893" i="1" s="1"/>
  <c r="F894" i="1" a="1"/>
  <c r="F894" i="1" s="1"/>
  <c r="F895" i="1" a="1"/>
  <c r="F895" i="1" s="1"/>
  <c r="F896" i="1" a="1"/>
  <c r="F896" i="1" s="1"/>
  <c r="F897" i="1" a="1"/>
  <c r="F897" i="1" s="1"/>
  <c r="F898" i="1" a="1"/>
  <c r="F898" i="1" s="1"/>
  <c r="F899" i="1" a="1"/>
  <c r="F899" i="1" s="1"/>
  <c r="F900" i="1" a="1"/>
  <c r="F900" i="1" s="1"/>
  <c r="F901" i="1" a="1"/>
  <c r="F901" i="1" s="1"/>
  <c r="F902" i="1" a="1"/>
  <c r="F902" i="1" s="1"/>
  <c r="F903" i="1" a="1"/>
  <c r="F903" i="1" s="1"/>
  <c r="F904" i="1" a="1"/>
  <c r="F904" i="1" s="1"/>
  <c r="F905" i="1" a="1"/>
  <c r="F905" i="1" s="1"/>
  <c r="F906" i="1" a="1"/>
  <c r="F906" i="1" s="1"/>
  <c r="F907" i="1" a="1"/>
  <c r="F907" i="1" s="1"/>
  <c r="F908" i="1" a="1"/>
  <c r="F908" i="1" s="1"/>
  <c r="F909" i="1" a="1"/>
  <c r="F909" i="1" s="1"/>
  <c r="F910" i="1" a="1"/>
  <c r="F910" i="1" s="1"/>
  <c r="F911" i="1" a="1"/>
  <c r="F911" i="1" s="1"/>
  <c r="F912" i="1" a="1"/>
  <c r="F912" i="1" s="1"/>
  <c r="F913" i="1" a="1"/>
  <c r="F913" i="1" s="1"/>
  <c r="F914" i="1" a="1"/>
  <c r="F914" i="1" s="1"/>
  <c r="F915" i="1" a="1"/>
  <c r="F915" i="1" s="1"/>
  <c r="F917" i="1" a="1"/>
  <c r="F917" i="1" s="1"/>
  <c r="F918" i="1" a="1"/>
  <c r="F918" i="1" s="1"/>
  <c r="F919" i="1" a="1"/>
  <c r="F919" i="1" s="1"/>
  <c r="F920" i="1" a="1"/>
  <c r="F920" i="1" s="1"/>
  <c r="F921" i="1" a="1"/>
  <c r="F921" i="1" s="1"/>
  <c r="F922" i="1" a="1"/>
  <c r="F922" i="1" s="1"/>
  <c r="F923" i="1" a="1"/>
  <c r="F923" i="1" s="1"/>
  <c r="F924" i="1" a="1"/>
  <c r="F924" i="1" s="1"/>
  <c r="F925" i="1" a="1"/>
  <c r="F925" i="1" s="1"/>
  <c r="F926" i="1" a="1"/>
  <c r="F926" i="1" s="1"/>
  <c r="F927" i="1" a="1"/>
  <c r="F927" i="1" s="1"/>
  <c r="F928" i="1" a="1"/>
  <c r="F928" i="1" s="1"/>
  <c r="F929" i="1" a="1"/>
  <c r="F929" i="1" s="1"/>
  <c r="F930" i="1" a="1"/>
  <c r="F930" i="1" s="1"/>
  <c r="F931" i="1" a="1"/>
  <c r="F931" i="1" s="1"/>
  <c r="F932" i="1" a="1"/>
  <c r="F932" i="1" s="1"/>
  <c r="F933" i="1" a="1"/>
  <c r="F933" i="1" s="1"/>
  <c r="F934" i="1" a="1"/>
  <c r="F934" i="1" s="1"/>
  <c r="F935" i="1" a="1"/>
  <c r="F935" i="1" s="1"/>
  <c r="F936" i="1" a="1"/>
  <c r="F936" i="1" s="1"/>
  <c r="F937" i="1" a="1"/>
  <c r="F937" i="1" s="1"/>
  <c r="F938" i="1" a="1"/>
  <c r="F938" i="1" s="1"/>
  <c r="F939" i="1" a="1"/>
  <c r="F939" i="1" s="1"/>
  <c r="F940" i="1" a="1"/>
  <c r="F940" i="1" s="1"/>
  <c r="F941" i="1" a="1"/>
  <c r="F941" i="1" s="1"/>
  <c r="F942" i="1" a="1"/>
  <c r="F942" i="1" s="1"/>
  <c r="F943" i="1" a="1"/>
  <c r="F943" i="1" s="1"/>
  <c r="F944" i="1" a="1"/>
  <c r="F944" i="1" s="1"/>
  <c r="F945" i="1" a="1"/>
  <c r="F945" i="1" s="1"/>
  <c r="F946" i="1" a="1"/>
  <c r="F946" i="1" s="1"/>
  <c r="F947" i="1" a="1"/>
  <c r="F947" i="1" s="1"/>
  <c r="F948" i="1" a="1"/>
  <c r="F948" i="1" s="1"/>
  <c r="F949" i="1" a="1"/>
  <c r="F949" i="1" s="1"/>
  <c r="F950" i="1" a="1"/>
  <c r="F950" i="1" s="1"/>
  <c r="F951" i="1" a="1"/>
  <c r="F951" i="1" s="1"/>
  <c r="F952" i="1" a="1"/>
  <c r="F952" i="1" s="1"/>
  <c r="F953" i="1" a="1"/>
  <c r="F953" i="1" s="1"/>
  <c r="F954" i="1" a="1"/>
  <c r="F954" i="1" s="1"/>
  <c r="F955" i="1" a="1"/>
  <c r="F955" i="1" s="1"/>
  <c r="F957" i="1" a="1"/>
  <c r="F957" i="1" s="1"/>
  <c r="F958" i="1" a="1"/>
  <c r="F958" i="1" s="1"/>
  <c r="F959" i="1" a="1"/>
  <c r="F959" i="1" s="1"/>
  <c r="F960" i="1" a="1"/>
  <c r="F960" i="1" s="1"/>
  <c r="F961" i="1" a="1"/>
  <c r="F961" i="1" s="1"/>
  <c r="F962" i="1" a="1"/>
  <c r="F962" i="1" s="1"/>
  <c r="F963" i="1" a="1"/>
  <c r="F963" i="1" s="1"/>
  <c r="F964" i="1" a="1"/>
  <c r="F964" i="1" s="1"/>
  <c r="F965" i="1" a="1"/>
  <c r="F965" i="1" s="1"/>
  <c r="F966" i="1" a="1"/>
  <c r="F966" i="1" s="1"/>
  <c r="F967" i="1" a="1"/>
  <c r="F967" i="1" s="1"/>
  <c r="F968" i="1" a="1"/>
  <c r="F968" i="1" s="1"/>
  <c r="F969" i="1" a="1"/>
  <c r="F969" i="1" s="1"/>
  <c r="F970" i="1" a="1"/>
  <c r="F970" i="1" s="1"/>
  <c r="F971" i="1" a="1"/>
  <c r="F971" i="1" s="1"/>
  <c r="F972" i="1" a="1"/>
  <c r="F972" i="1" s="1"/>
  <c r="F973" i="1" a="1"/>
  <c r="F973" i="1" s="1"/>
  <c r="F974" i="1" a="1"/>
  <c r="F974" i="1" s="1"/>
  <c r="F975" i="1" a="1"/>
  <c r="F975" i="1" s="1"/>
  <c r="F976" i="1" a="1"/>
  <c r="F976" i="1" s="1"/>
  <c r="F977" i="1" a="1"/>
  <c r="F977" i="1" s="1"/>
  <c r="F978" i="1" a="1"/>
  <c r="F978" i="1" s="1"/>
  <c r="F979" i="1" a="1"/>
  <c r="F979" i="1" s="1"/>
  <c r="F980" i="1" a="1"/>
  <c r="F980" i="1" s="1"/>
  <c r="F981" i="1" a="1"/>
  <c r="F981" i="1" s="1"/>
  <c r="F982" i="1" a="1"/>
  <c r="F982" i="1" s="1"/>
  <c r="F983" i="1" a="1"/>
  <c r="F983" i="1" s="1"/>
  <c r="F984" i="1" a="1"/>
  <c r="F984" i="1" s="1"/>
  <c r="F985" i="1" a="1"/>
  <c r="F985" i="1" s="1"/>
  <c r="F986" i="1" a="1"/>
  <c r="F986" i="1" s="1"/>
  <c r="F987" i="1" a="1"/>
  <c r="F987" i="1" s="1"/>
  <c r="F988" i="1" a="1"/>
  <c r="F988" i="1" s="1"/>
  <c r="F989" i="1" a="1"/>
  <c r="F989" i="1" s="1"/>
  <c r="F990" i="1" a="1"/>
  <c r="F990" i="1" s="1"/>
  <c r="F991" i="1" a="1"/>
  <c r="F991" i="1" s="1"/>
  <c r="F992" i="1" a="1"/>
  <c r="F992" i="1" s="1"/>
  <c r="F993" i="1" a="1"/>
  <c r="F993" i="1" s="1"/>
  <c r="F994" i="1" a="1"/>
  <c r="F994" i="1" s="1"/>
  <c r="F995" i="1" a="1"/>
  <c r="F995" i="1" s="1"/>
  <c r="F996" i="1" a="1"/>
  <c r="F996" i="1" s="1"/>
  <c r="F997" i="1" a="1"/>
  <c r="F997" i="1" s="1"/>
  <c r="F998" i="1" a="1"/>
  <c r="F998" i="1" s="1"/>
  <c r="F999" i="1" a="1"/>
  <c r="F999" i="1" s="1"/>
  <c r="F1000" i="1" a="1"/>
  <c r="F1000" i="1" s="1"/>
  <c r="F1001" i="1" a="1"/>
  <c r="F1001" i="1" s="1"/>
  <c r="F1002" i="1" a="1"/>
  <c r="F1002" i="1" s="1"/>
  <c r="F1003" i="1" a="1"/>
  <c r="F1003" i="1" s="1"/>
  <c r="F1004" i="1" a="1"/>
  <c r="F1004" i="1" s="1"/>
  <c r="F1005" i="1" a="1"/>
  <c r="F1005" i="1" s="1"/>
  <c r="F1006" i="1" a="1"/>
  <c r="F1006" i="1" s="1"/>
  <c r="F1007" i="1" a="1"/>
  <c r="F1007" i="1" s="1"/>
  <c r="F8" i="1" a="1"/>
  <c r="F8" i="1" s="1"/>
  <c r="F8" i="3" a="1"/>
  <c r="F8" i="3" s="1"/>
  <c r="F9" i="3" a="1"/>
  <c r="F9" i="3" s="1"/>
  <c r="F10" i="3" a="1"/>
  <c r="F10" i="3" s="1"/>
  <c r="F11" i="3" a="1"/>
  <c r="F11" i="3" s="1"/>
  <c r="F12" i="3" a="1"/>
  <c r="F12" i="3" s="1"/>
  <c r="F13" i="3" a="1"/>
  <c r="F13" i="3" s="1"/>
  <c r="F14" i="3" a="1"/>
  <c r="F14" i="3" s="1"/>
  <c r="F15" i="3" a="1"/>
  <c r="F15" i="3" s="1"/>
  <c r="F16" i="3" a="1"/>
  <c r="F16" i="3" s="1"/>
  <c r="F17" i="3" a="1"/>
  <c r="F17" i="3" s="1"/>
  <c r="F18" i="3" a="1"/>
  <c r="F18" i="3" s="1"/>
  <c r="F19" i="3" a="1"/>
  <c r="F19" i="3" s="1"/>
  <c r="F20" i="3" a="1"/>
  <c r="F20" i="3" s="1"/>
  <c r="F21" i="3" a="1"/>
  <c r="F21" i="3" s="1"/>
  <c r="F22" i="3" a="1"/>
  <c r="F22" i="3" s="1"/>
  <c r="F23" i="3" a="1"/>
  <c r="F23" i="3" s="1"/>
  <c r="F24" i="3" a="1"/>
  <c r="F24" i="3" s="1"/>
  <c r="F25" i="3" a="1"/>
  <c r="F25" i="3" s="1"/>
  <c r="F26" i="3" a="1"/>
  <c r="F26" i="3" s="1"/>
  <c r="F27" i="3" a="1"/>
  <c r="F27" i="3" s="1"/>
  <c r="F28" i="3" a="1"/>
  <c r="F28" i="3" s="1"/>
  <c r="F29" i="3" a="1"/>
  <c r="F29" i="3" s="1"/>
  <c r="F30" i="3" a="1"/>
  <c r="F30" i="3" s="1"/>
  <c r="F31" i="3" a="1"/>
  <c r="F31" i="3" s="1"/>
  <c r="F32" i="3" a="1"/>
  <c r="F32" i="3" s="1"/>
  <c r="F33" i="3" a="1"/>
  <c r="F33" i="3" s="1"/>
  <c r="F34" i="3" a="1"/>
  <c r="F34" i="3" s="1"/>
  <c r="F35" i="3" a="1"/>
  <c r="F35" i="3" s="1"/>
  <c r="F36" i="3" a="1"/>
  <c r="F36" i="3" s="1"/>
  <c r="F37" i="3" a="1"/>
  <c r="F37" i="3" s="1"/>
  <c r="F38" i="3" a="1"/>
  <c r="F38" i="3" s="1"/>
  <c r="F39" i="3" a="1"/>
  <c r="F39" i="3" s="1"/>
  <c r="F40" i="3" a="1"/>
  <c r="F40" i="3" s="1"/>
  <c r="F41" i="3" a="1"/>
  <c r="F41" i="3" s="1"/>
  <c r="F42" i="3" a="1"/>
  <c r="F42" i="3" s="1"/>
  <c r="F43" i="3" a="1"/>
  <c r="F43" i="3" s="1"/>
  <c r="F44" i="3" a="1"/>
  <c r="F44" i="3" s="1"/>
  <c r="F45" i="3" a="1"/>
  <c r="F45" i="3" s="1"/>
  <c r="F46" i="3" a="1"/>
  <c r="F46" i="3" s="1"/>
  <c r="F47" i="3" a="1"/>
  <c r="F47" i="3" s="1"/>
  <c r="F48" i="3" a="1"/>
  <c r="F48" i="3" s="1"/>
  <c r="F49" i="3" a="1"/>
  <c r="F49" i="3" s="1"/>
  <c r="F50" i="3" a="1"/>
  <c r="F50" i="3" s="1"/>
  <c r="F51" i="3" a="1"/>
  <c r="F51" i="3" s="1"/>
  <c r="F52" i="3" a="1"/>
  <c r="F52" i="3" s="1"/>
  <c r="F53" i="3" a="1"/>
  <c r="F53" i="3" s="1"/>
  <c r="F54" i="3" a="1"/>
  <c r="F54" i="3" s="1"/>
  <c r="F55" i="3" a="1"/>
  <c r="F55" i="3" s="1"/>
  <c r="F56" i="3" a="1"/>
  <c r="F56" i="3" s="1"/>
  <c r="F57" i="3" a="1"/>
  <c r="F57" i="3" s="1"/>
  <c r="F58" i="3" a="1"/>
  <c r="F58" i="3" s="1"/>
  <c r="F59" i="3" a="1"/>
  <c r="F59" i="3" s="1"/>
  <c r="F60" i="3" a="1"/>
  <c r="F60" i="3" s="1"/>
  <c r="F61" i="3" a="1"/>
  <c r="F61" i="3" s="1"/>
  <c r="F62" i="3" a="1"/>
  <c r="F62" i="3" s="1"/>
  <c r="F63" i="3" a="1"/>
  <c r="F63" i="3" s="1"/>
  <c r="F64" i="3" a="1"/>
  <c r="F64" i="3" s="1"/>
  <c r="F65" i="3" a="1"/>
  <c r="F65" i="3" s="1"/>
  <c r="F66" i="3" a="1"/>
  <c r="F66" i="3" s="1"/>
  <c r="F67" i="3" a="1"/>
  <c r="F67" i="3" s="1"/>
  <c r="F68" i="3" a="1"/>
  <c r="F68" i="3" s="1"/>
  <c r="F69" i="3" a="1"/>
  <c r="F69" i="3" s="1"/>
  <c r="F70" i="3" a="1"/>
  <c r="F70" i="3" s="1"/>
  <c r="F71" i="3" a="1"/>
  <c r="F71" i="3" s="1"/>
  <c r="F72" i="3" a="1"/>
  <c r="F72" i="3" s="1"/>
  <c r="F73" i="3" a="1"/>
  <c r="F73" i="3" s="1"/>
  <c r="F74" i="3" a="1"/>
  <c r="F74" i="3" s="1"/>
  <c r="F75" i="3" a="1"/>
  <c r="F75" i="3" s="1"/>
  <c r="F76" i="3" a="1"/>
  <c r="F76" i="3" s="1"/>
  <c r="F77" i="3" a="1"/>
  <c r="F77" i="3" s="1"/>
  <c r="F78" i="3" a="1"/>
  <c r="F78" i="3" s="1"/>
  <c r="F79" i="3" a="1"/>
  <c r="F79" i="3" s="1"/>
  <c r="F80" i="3" a="1"/>
  <c r="F80" i="3" s="1"/>
  <c r="F81" i="3" a="1"/>
  <c r="F81" i="3" s="1"/>
  <c r="F82" i="3" a="1"/>
  <c r="F82" i="3" s="1"/>
  <c r="F83" i="3" a="1"/>
  <c r="F83" i="3" s="1"/>
  <c r="F84" i="3" a="1"/>
  <c r="F84" i="3" s="1"/>
  <c r="F85" i="3" a="1"/>
  <c r="F85" i="3" s="1"/>
  <c r="F86" i="3" a="1"/>
  <c r="F86" i="3" s="1"/>
  <c r="F87" i="3" a="1"/>
  <c r="F87" i="3" s="1"/>
  <c r="F88" i="3" a="1"/>
  <c r="F88" i="3" s="1"/>
  <c r="F89" i="3" a="1"/>
  <c r="F89" i="3" s="1"/>
  <c r="F90" i="3" a="1"/>
  <c r="F90" i="3" s="1"/>
  <c r="F91" i="3" a="1"/>
  <c r="F91" i="3" s="1"/>
  <c r="F92" i="3" a="1"/>
  <c r="F92" i="3" s="1"/>
  <c r="F93" i="3" a="1"/>
  <c r="F93" i="3" s="1"/>
  <c r="F94" i="3" a="1"/>
  <c r="F94" i="3" s="1"/>
  <c r="F95" i="3" a="1"/>
  <c r="F95" i="3" s="1"/>
  <c r="F96" i="3" a="1"/>
  <c r="F96" i="3" s="1"/>
  <c r="F97" i="3" a="1"/>
  <c r="F97" i="3" s="1"/>
  <c r="F98" i="3" a="1"/>
  <c r="F98" i="3" s="1"/>
  <c r="F99" i="3" a="1"/>
  <c r="F99" i="3" s="1"/>
  <c r="F100" i="3" a="1"/>
  <c r="F100" i="3" s="1"/>
  <c r="F101" i="3" a="1"/>
  <c r="F101" i="3" s="1"/>
  <c r="F102" i="3" a="1"/>
  <c r="F102" i="3" s="1"/>
  <c r="F103" i="3" a="1"/>
  <c r="F103" i="3" s="1"/>
  <c r="F104" i="3" a="1"/>
  <c r="F104" i="3" s="1"/>
  <c r="F105" i="3" a="1"/>
  <c r="F105" i="3" s="1"/>
  <c r="F106" i="3" a="1"/>
  <c r="F106" i="3" s="1"/>
  <c r="F107" i="3" a="1"/>
  <c r="F107" i="3" s="1"/>
  <c r="F108" i="3" a="1"/>
  <c r="F108" i="3" s="1"/>
  <c r="F109" i="3" a="1"/>
  <c r="F109" i="3" s="1"/>
  <c r="F110" i="3" a="1"/>
  <c r="F110" i="3" s="1"/>
  <c r="F111" i="3" a="1"/>
  <c r="F111" i="3" s="1"/>
  <c r="F112" i="3" a="1"/>
  <c r="F112" i="3" s="1"/>
  <c r="F113" i="3" a="1"/>
  <c r="F113" i="3" s="1"/>
  <c r="F114" i="3" a="1"/>
  <c r="F114" i="3" s="1"/>
  <c r="F115" i="3" a="1"/>
  <c r="F115" i="3" s="1"/>
  <c r="F116" i="3" a="1"/>
  <c r="F116" i="3" s="1"/>
  <c r="F117" i="3" a="1"/>
  <c r="F117" i="3" s="1"/>
  <c r="F118" i="3" a="1"/>
  <c r="F118" i="3" s="1"/>
  <c r="F119" i="3" a="1"/>
  <c r="F119" i="3" s="1"/>
  <c r="F120" i="3" a="1"/>
  <c r="F120" i="3" s="1"/>
  <c r="F121" i="3" a="1"/>
  <c r="F121" i="3" s="1"/>
  <c r="F122" i="3" a="1"/>
  <c r="F122" i="3" s="1"/>
  <c r="F123" i="3" a="1"/>
  <c r="F123" i="3" s="1"/>
  <c r="F124" i="3" a="1"/>
  <c r="F124" i="3" s="1"/>
  <c r="F125" i="3" a="1"/>
  <c r="F125" i="3" s="1"/>
  <c r="F126" i="3" a="1"/>
  <c r="F126" i="3" s="1"/>
  <c r="F127" i="3" a="1"/>
  <c r="F127" i="3" s="1"/>
  <c r="F128" i="3" a="1"/>
  <c r="F128" i="3" s="1"/>
  <c r="F129" i="3" a="1"/>
  <c r="F129" i="3" s="1"/>
  <c r="F130" i="3" a="1"/>
  <c r="F130" i="3" s="1"/>
  <c r="F131" i="3" a="1"/>
  <c r="F131" i="3" s="1"/>
  <c r="F132" i="3" a="1"/>
  <c r="F132" i="3" s="1"/>
  <c r="F133" i="3" a="1"/>
  <c r="F133" i="3" s="1"/>
  <c r="F134" i="3" a="1"/>
  <c r="F134" i="3" s="1"/>
  <c r="F135" i="3" a="1"/>
  <c r="F135" i="3" s="1"/>
  <c r="F136" i="3" a="1"/>
  <c r="F136" i="3" s="1"/>
  <c r="F137" i="3" a="1"/>
  <c r="F137" i="3" s="1"/>
  <c r="F138" i="3" a="1"/>
  <c r="F138" i="3" s="1"/>
  <c r="F139" i="3" a="1"/>
  <c r="F139" i="3" s="1"/>
  <c r="F140" i="3" a="1"/>
  <c r="F140" i="3" s="1"/>
  <c r="F141" i="3" a="1"/>
  <c r="F141" i="3" s="1"/>
  <c r="F142" i="3" a="1"/>
  <c r="F142" i="3" s="1"/>
  <c r="F143" i="3" a="1"/>
  <c r="F143" i="3" s="1"/>
  <c r="F144" i="3" a="1"/>
  <c r="F144" i="3" s="1"/>
  <c r="F145" i="3" a="1"/>
  <c r="F145" i="3" s="1"/>
  <c r="F146" i="3" a="1"/>
  <c r="F146" i="3" s="1"/>
  <c r="F147" i="3" a="1"/>
  <c r="F147" i="3" s="1"/>
  <c r="F148" i="3" a="1"/>
  <c r="F148" i="3" s="1"/>
  <c r="F149" i="3" a="1"/>
  <c r="F149" i="3" s="1"/>
  <c r="F150" i="3" a="1"/>
  <c r="F150" i="3" s="1"/>
  <c r="F151" i="3" a="1"/>
  <c r="F151" i="3" s="1"/>
  <c r="F152" i="3" a="1"/>
  <c r="F152" i="3" s="1"/>
  <c r="F153" i="3" a="1"/>
  <c r="F153" i="3" s="1"/>
  <c r="F154" i="3" a="1"/>
  <c r="F154" i="3" s="1"/>
  <c r="F155" i="3" a="1"/>
  <c r="F155" i="3" s="1"/>
  <c r="F156" i="3" a="1"/>
  <c r="F156" i="3" s="1"/>
  <c r="F157" i="3" a="1"/>
  <c r="F157" i="3" s="1"/>
  <c r="F158" i="3" a="1"/>
  <c r="F158" i="3" s="1"/>
  <c r="F159" i="3" a="1"/>
  <c r="F159" i="3" s="1"/>
  <c r="F160" i="3" a="1"/>
  <c r="F160" i="3" s="1"/>
  <c r="F161" i="3" a="1"/>
  <c r="F161" i="3" s="1"/>
  <c r="F162" i="3" a="1"/>
  <c r="F162" i="3" s="1"/>
  <c r="F163" i="3" a="1"/>
  <c r="F163" i="3" s="1"/>
  <c r="F164" i="3" a="1"/>
  <c r="F164" i="3" s="1"/>
  <c r="F165" i="3" a="1"/>
  <c r="F165" i="3" s="1"/>
  <c r="F166" i="3" a="1"/>
  <c r="F166" i="3" s="1"/>
  <c r="F167" i="3" a="1"/>
  <c r="F167" i="3" s="1"/>
  <c r="F168" i="3" a="1"/>
  <c r="F168" i="3" s="1"/>
  <c r="F169" i="3" a="1"/>
  <c r="F169" i="3" s="1"/>
  <c r="F170" i="3" a="1"/>
  <c r="F170" i="3" s="1"/>
  <c r="F171" i="3" a="1"/>
  <c r="F171" i="3" s="1"/>
  <c r="F172" i="3" a="1"/>
  <c r="F172" i="3" s="1"/>
  <c r="F173" i="3" a="1"/>
  <c r="F173" i="3" s="1"/>
  <c r="F174" i="3" a="1"/>
  <c r="F174" i="3" s="1"/>
  <c r="F175" i="3" a="1"/>
  <c r="F175" i="3" s="1"/>
  <c r="F176" i="3" a="1"/>
  <c r="F176" i="3" s="1"/>
  <c r="F177" i="3" a="1"/>
  <c r="F177" i="3" s="1"/>
  <c r="F178" i="3" a="1"/>
  <c r="F178" i="3" s="1"/>
  <c r="F179" i="3" a="1"/>
  <c r="F179" i="3" s="1"/>
  <c r="F180" i="3" a="1"/>
  <c r="F180" i="3" s="1"/>
  <c r="F181" i="3" a="1"/>
  <c r="F181" i="3" s="1"/>
  <c r="F182" i="3" a="1"/>
  <c r="F182" i="3" s="1"/>
  <c r="F183" i="3" a="1"/>
  <c r="F183" i="3" s="1"/>
  <c r="F184" i="3" a="1"/>
  <c r="F184" i="3" s="1"/>
  <c r="F185" i="3" a="1"/>
  <c r="F185" i="3" s="1"/>
  <c r="F186" i="3" a="1"/>
  <c r="F186" i="3" s="1"/>
  <c r="F187" i="3" a="1"/>
  <c r="F187" i="3" s="1"/>
  <c r="F188" i="3" a="1"/>
  <c r="F188" i="3" s="1"/>
  <c r="F189" i="3" a="1"/>
  <c r="F189" i="3" s="1"/>
  <c r="F190" i="3" a="1"/>
  <c r="F190" i="3" s="1"/>
  <c r="F191" i="3" a="1"/>
  <c r="F191" i="3" s="1"/>
  <c r="F192" i="3" a="1"/>
  <c r="F192" i="3" s="1"/>
  <c r="F193" i="3" a="1"/>
  <c r="F193" i="3" s="1"/>
  <c r="F194" i="3" a="1"/>
  <c r="F194" i="3" s="1"/>
  <c r="F195" i="3" a="1"/>
  <c r="F195" i="3" s="1"/>
  <c r="F196" i="3" a="1"/>
  <c r="F196" i="3" s="1"/>
  <c r="F197" i="3" a="1"/>
  <c r="F197" i="3" s="1"/>
  <c r="F198" i="3" a="1"/>
  <c r="F198" i="3" s="1"/>
  <c r="F199" i="3" a="1"/>
  <c r="F199" i="3" s="1"/>
  <c r="F200" i="3" a="1"/>
  <c r="F200" i="3" s="1"/>
  <c r="F201" i="3" a="1"/>
  <c r="F201" i="3" s="1"/>
  <c r="F202" i="3" a="1"/>
  <c r="F202" i="3" s="1"/>
  <c r="F203" i="3" a="1"/>
  <c r="F203" i="3" s="1"/>
  <c r="F204" i="3" a="1"/>
  <c r="F204" i="3" s="1"/>
  <c r="F205" i="3" a="1"/>
  <c r="F205" i="3" s="1"/>
  <c r="F206" i="3" a="1"/>
  <c r="F206" i="3" s="1"/>
  <c r="F207" i="3" a="1"/>
  <c r="F207" i="3" s="1"/>
  <c r="F208" i="3" a="1"/>
  <c r="F208" i="3" s="1"/>
  <c r="F209" i="3" a="1"/>
  <c r="F209" i="3" s="1"/>
  <c r="F210" i="3" a="1"/>
  <c r="F210" i="3" s="1"/>
  <c r="F211" i="3" a="1"/>
  <c r="F211" i="3" s="1"/>
  <c r="F212" i="3" a="1"/>
  <c r="F212" i="3" s="1"/>
  <c r="F213" i="3" a="1"/>
  <c r="F213" i="3" s="1"/>
  <c r="F214" i="3" a="1"/>
  <c r="F214" i="3" s="1"/>
  <c r="F215" i="3" a="1"/>
  <c r="F215" i="3" s="1"/>
  <c r="F216" i="3" a="1"/>
  <c r="F216" i="3" s="1"/>
  <c r="F217" i="3" a="1"/>
  <c r="F217" i="3" s="1"/>
  <c r="F218" i="3" a="1"/>
  <c r="F218" i="3" s="1"/>
  <c r="F219" i="3" a="1"/>
  <c r="F219" i="3" s="1"/>
  <c r="F220" i="3" a="1"/>
  <c r="F220" i="3" s="1"/>
  <c r="F221" i="3" a="1"/>
  <c r="F221" i="3" s="1"/>
  <c r="F222" i="3" a="1"/>
  <c r="F222" i="3" s="1"/>
  <c r="F223" i="3" a="1"/>
  <c r="F223" i="3" s="1"/>
  <c r="F224" i="3" a="1"/>
  <c r="F224" i="3" s="1"/>
  <c r="F225" i="3" a="1"/>
  <c r="F225" i="3" s="1"/>
  <c r="F226" i="3" a="1"/>
  <c r="F226" i="3" s="1"/>
  <c r="F227" i="3" a="1"/>
  <c r="F227" i="3" s="1"/>
  <c r="F228" i="3" a="1"/>
  <c r="F228" i="3" s="1"/>
  <c r="F229" i="3" a="1"/>
  <c r="F229" i="3" s="1"/>
  <c r="F230" i="3" a="1"/>
  <c r="F230" i="3" s="1"/>
  <c r="F231" i="3" a="1"/>
  <c r="F231" i="3" s="1"/>
  <c r="F232" i="3" a="1"/>
  <c r="F232" i="3" s="1"/>
  <c r="F233" i="3" a="1"/>
  <c r="F233" i="3" s="1"/>
  <c r="F234" i="3" a="1"/>
  <c r="F234" i="3" s="1"/>
  <c r="F235" i="3" a="1"/>
  <c r="F235" i="3" s="1"/>
  <c r="F236" i="3" a="1"/>
  <c r="F236" i="3" s="1"/>
  <c r="F237" i="3" a="1"/>
  <c r="F237" i="3" s="1"/>
  <c r="F238" i="3" a="1"/>
  <c r="F238" i="3" s="1"/>
  <c r="F239" i="3" a="1"/>
  <c r="F239" i="3" s="1"/>
  <c r="F240" i="3" a="1"/>
  <c r="F240" i="3" s="1"/>
  <c r="F241" i="3" a="1"/>
  <c r="F241" i="3" s="1"/>
  <c r="F242" i="3" a="1"/>
  <c r="F242" i="3" s="1"/>
  <c r="F243" i="3" a="1"/>
  <c r="F243" i="3" s="1"/>
  <c r="F244" i="3" a="1"/>
  <c r="F244" i="3" s="1"/>
  <c r="F245" i="3" a="1"/>
  <c r="F245" i="3" s="1"/>
  <c r="F246" i="3" a="1"/>
  <c r="F246" i="3" s="1"/>
  <c r="F247" i="3" a="1"/>
  <c r="F247" i="3" s="1"/>
  <c r="F248" i="3" a="1"/>
  <c r="F248" i="3" s="1"/>
  <c r="F249" i="3" a="1"/>
  <c r="F249" i="3" s="1"/>
  <c r="F250" i="3" a="1"/>
  <c r="F250" i="3" s="1"/>
  <c r="F251" i="3" a="1"/>
  <c r="F251" i="3" s="1"/>
  <c r="F252" i="3" a="1"/>
  <c r="F252" i="3" s="1"/>
  <c r="F253" i="3" a="1"/>
  <c r="F253" i="3" s="1"/>
  <c r="F254" i="3" a="1"/>
  <c r="F254" i="3" s="1"/>
  <c r="F255" i="3" a="1"/>
  <c r="F255" i="3" s="1"/>
  <c r="F256" i="3" a="1"/>
  <c r="F256" i="3" s="1"/>
  <c r="F257" i="3" a="1"/>
  <c r="F257" i="3" s="1"/>
  <c r="F258" i="3" a="1"/>
  <c r="F258" i="3" s="1"/>
  <c r="F259" i="3" a="1"/>
  <c r="F259" i="3" s="1"/>
  <c r="F260" i="3" a="1"/>
  <c r="F260" i="3" s="1"/>
  <c r="F261" i="3" a="1"/>
  <c r="F261" i="3" s="1"/>
  <c r="F262" i="3" a="1"/>
  <c r="F262" i="3" s="1"/>
  <c r="F263" i="3" a="1"/>
  <c r="F263" i="3" s="1"/>
  <c r="F264" i="3" a="1"/>
  <c r="F264" i="3" s="1"/>
  <c r="F265" i="3" a="1"/>
  <c r="F265" i="3" s="1"/>
  <c r="F266" i="3" a="1"/>
  <c r="F266" i="3" s="1"/>
  <c r="F267" i="3" a="1"/>
  <c r="F267" i="3" s="1"/>
  <c r="F268" i="3" a="1"/>
  <c r="F268" i="3" s="1"/>
  <c r="F269" i="3" a="1"/>
  <c r="F269" i="3" s="1"/>
  <c r="F270" i="3" a="1"/>
  <c r="F270" i="3" s="1"/>
  <c r="F271" i="3" a="1"/>
  <c r="F271" i="3" s="1"/>
  <c r="F272" i="3" a="1"/>
  <c r="F272" i="3" s="1"/>
  <c r="F273" i="3" a="1"/>
  <c r="F273" i="3" s="1"/>
  <c r="F274" i="3" a="1"/>
  <c r="F274" i="3" s="1"/>
  <c r="F275" i="3" a="1"/>
  <c r="F275" i="3" s="1"/>
  <c r="F276" i="3" a="1"/>
  <c r="F276" i="3" s="1"/>
  <c r="F277" i="3" a="1"/>
  <c r="F277" i="3" s="1"/>
  <c r="F278" i="3" a="1"/>
  <c r="F278" i="3" s="1"/>
  <c r="F279" i="3" a="1"/>
  <c r="F279" i="3" s="1"/>
  <c r="F280" i="3" a="1"/>
  <c r="F280" i="3" s="1"/>
  <c r="F281" i="3" a="1"/>
  <c r="F281" i="3" s="1"/>
  <c r="F282" i="3" a="1"/>
  <c r="F282" i="3" s="1"/>
  <c r="F283" i="3" a="1"/>
  <c r="F283" i="3" s="1"/>
  <c r="F284" i="3" a="1"/>
  <c r="F284" i="3" s="1"/>
  <c r="F285" i="3" a="1"/>
  <c r="F285" i="3" s="1"/>
  <c r="F286" i="3" a="1"/>
  <c r="F286" i="3" s="1"/>
  <c r="F287" i="3" a="1"/>
  <c r="F287" i="3" s="1"/>
  <c r="F288" i="3" a="1"/>
  <c r="F288" i="3" s="1"/>
  <c r="F289" i="3" a="1"/>
  <c r="F289" i="3" s="1"/>
  <c r="F290" i="3" a="1"/>
  <c r="F290" i="3" s="1"/>
  <c r="F291" i="3" a="1"/>
  <c r="F291" i="3" s="1"/>
  <c r="F292" i="3" a="1"/>
  <c r="F292" i="3" s="1"/>
  <c r="F293" i="3" a="1"/>
  <c r="F293" i="3" s="1"/>
  <c r="F294" i="3" a="1"/>
  <c r="F294" i="3" s="1"/>
  <c r="F295" i="3" a="1"/>
  <c r="F295" i="3" s="1"/>
  <c r="F296" i="3" a="1"/>
  <c r="F296" i="3" s="1"/>
  <c r="F297" i="3" a="1"/>
  <c r="F297" i="3" s="1"/>
  <c r="F298" i="3" a="1"/>
  <c r="F298" i="3" s="1"/>
  <c r="F299" i="3" a="1"/>
  <c r="F299" i="3" s="1"/>
  <c r="F300" i="3" a="1"/>
  <c r="F300" i="3" s="1"/>
  <c r="F301" i="3" a="1"/>
  <c r="F301" i="3" s="1"/>
  <c r="F302" i="3" a="1"/>
  <c r="F302" i="3" s="1"/>
  <c r="F303" i="3" a="1"/>
  <c r="F303" i="3" s="1"/>
  <c r="F304" i="3" a="1"/>
  <c r="F304" i="3" s="1"/>
  <c r="F305" i="3" a="1"/>
  <c r="F305" i="3" s="1"/>
  <c r="F306" i="3" a="1"/>
  <c r="F306" i="3" s="1"/>
  <c r="F307" i="3" a="1"/>
  <c r="F307" i="3" s="1"/>
  <c r="F308" i="3" a="1"/>
  <c r="F308" i="3" s="1"/>
  <c r="F309" i="3" a="1"/>
  <c r="F309" i="3" s="1"/>
  <c r="F310" i="3" a="1"/>
  <c r="F310" i="3" s="1"/>
  <c r="F311" i="3" a="1"/>
  <c r="F311" i="3" s="1"/>
  <c r="F312" i="3" a="1"/>
  <c r="F312" i="3" s="1"/>
  <c r="F313" i="3" a="1"/>
  <c r="F313" i="3" s="1"/>
  <c r="F314" i="3" a="1"/>
  <c r="F314" i="3" s="1"/>
  <c r="F315" i="3" a="1"/>
  <c r="F315" i="3" s="1"/>
  <c r="F316" i="3" a="1"/>
  <c r="F316" i="3" s="1"/>
  <c r="F317" i="3" a="1"/>
  <c r="F317" i="3" s="1"/>
  <c r="F318" i="3" a="1"/>
  <c r="F318" i="3" s="1"/>
  <c r="F319" i="3" a="1"/>
  <c r="F319" i="3" s="1"/>
  <c r="F320" i="3" a="1"/>
  <c r="F320" i="3" s="1"/>
  <c r="F321" i="3" a="1"/>
  <c r="F321" i="3" s="1"/>
  <c r="F322" i="3" a="1"/>
  <c r="F322" i="3" s="1"/>
  <c r="F323" i="3" a="1"/>
  <c r="F323" i="3" s="1"/>
  <c r="F324" i="3" a="1"/>
  <c r="F324" i="3" s="1"/>
  <c r="F325" i="3" a="1"/>
  <c r="F325" i="3" s="1"/>
  <c r="F326" i="3" a="1"/>
  <c r="F326" i="3" s="1"/>
  <c r="F327" i="3" a="1"/>
  <c r="F327" i="3" s="1"/>
  <c r="F328" i="3" a="1"/>
  <c r="F328" i="3" s="1"/>
  <c r="F329" i="3" a="1"/>
  <c r="F329" i="3" s="1"/>
  <c r="F330" i="3" a="1"/>
  <c r="F330" i="3" s="1"/>
  <c r="F331" i="3" a="1"/>
  <c r="F331" i="3" s="1"/>
  <c r="F332" i="3" a="1"/>
  <c r="F332" i="3" s="1"/>
  <c r="F333" i="3" a="1"/>
  <c r="F333" i="3" s="1"/>
  <c r="F334" i="3" a="1"/>
  <c r="F334" i="3" s="1"/>
  <c r="F335" i="3" a="1"/>
  <c r="F335" i="3" s="1"/>
  <c r="F336" i="3" a="1"/>
  <c r="F336" i="3" s="1"/>
  <c r="F337" i="3" a="1"/>
  <c r="F337" i="3" s="1"/>
  <c r="F338" i="3" a="1"/>
  <c r="F338" i="3" s="1"/>
  <c r="F339" i="3" a="1"/>
  <c r="F339" i="3" s="1"/>
  <c r="F340" i="3" a="1"/>
  <c r="F340" i="3" s="1"/>
  <c r="F341" i="3" a="1"/>
  <c r="F341" i="3" s="1"/>
  <c r="F342" i="3" a="1"/>
  <c r="F342" i="3" s="1"/>
  <c r="F343" i="3" a="1"/>
  <c r="F343" i="3" s="1"/>
  <c r="F344" i="3" a="1"/>
  <c r="F344" i="3" s="1"/>
  <c r="F345" i="3" a="1"/>
  <c r="F345" i="3" s="1"/>
  <c r="F346" i="3" a="1"/>
  <c r="F346" i="3" s="1"/>
  <c r="F347" i="3" a="1"/>
  <c r="F347" i="3" s="1"/>
  <c r="F348" i="3" a="1"/>
  <c r="F348" i="3" s="1"/>
  <c r="F349" i="3" a="1"/>
  <c r="F349" i="3" s="1"/>
  <c r="F350" i="3" a="1"/>
  <c r="F350" i="3" s="1"/>
  <c r="F351" i="3" a="1"/>
  <c r="F351" i="3" s="1"/>
  <c r="F352" i="3" a="1"/>
  <c r="F352" i="3" s="1"/>
  <c r="F353" i="3" a="1"/>
  <c r="F353" i="3" s="1"/>
  <c r="F354" i="3" a="1"/>
  <c r="F354" i="3" s="1"/>
  <c r="F355" i="3" a="1"/>
  <c r="F355" i="3" s="1"/>
  <c r="F356" i="3" a="1"/>
  <c r="F356" i="3" s="1"/>
  <c r="F357" i="3" a="1"/>
  <c r="F357" i="3" s="1"/>
  <c r="F358" i="3" a="1"/>
  <c r="F358" i="3" s="1"/>
  <c r="F359" i="3" a="1"/>
  <c r="F359" i="3" s="1"/>
  <c r="F360" i="3" a="1"/>
  <c r="F360" i="3" s="1"/>
  <c r="F361" i="3" a="1"/>
  <c r="F361" i="3" s="1"/>
  <c r="F362" i="3" a="1"/>
  <c r="F362" i="3" s="1"/>
  <c r="F363" i="3" a="1"/>
  <c r="F363" i="3" s="1"/>
  <c r="F364" i="3" a="1"/>
  <c r="F364" i="3" s="1"/>
  <c r="F365" i="3" a="1"/>
  <c r="F365" i="3" s="1"/>
  <c r="F366" i="3" a="1"/>
  <c r="F366" i="3" s="1"/>
  <c r="F367" i="3" a="1"/>
  <c r="F367" i="3" s="1"/>
  <c r="F368" i="3" a="1"/>
  <c r="F368" i="3" s="1"/>
  <c r="F369" i="3" a="1"/>
  <c r="F369" i="3" s="1"/>
  <c r="F370" i="3" a="1"/>
  <c r="F370" i="3" s="1"/>
  <c r="F371" i="3" a="1"/>
  <c r="F371" i="3" s="1"/>
  <c r="F372" i="3" a="1"/>
  <c r="F372" i="3" s="1"/>
  <c r="F373" i="3" a="1"/>
  <c r="F373" i="3" s="1"/>
  <c r="F374" i="3" a="1"/>
  <c r="F374" i="3" s="1"/>
  <c r="F375" i="3" a="1"/>
  <c r="F375" i="3" s="1"/>
  <c r="F376" i="3" a="1"/>
  <c r="F376" i="3" s="1"/>
  <c r="F377" i="3" a="1"/>
  <c r="F377" i="3" s="1"/>
  <c r="F378" i="3" a="1"/>
  <c r="F378" i="3" s="1"/>
  <c r="F379" i="3" a="1"/>
  <c r="F379" i="3" s="1"/>
  <c r="F380" i="3" a="1"/>
  <c r="F380" i="3" s="1"/>
  <c r="F381" i="3" a="1"/>
  <c r="F381" i="3" s="1"/>
  <c r="F382" i="3" a="1"/>
  <c r="F382" i="3" s="1"/>
  <c r="F383" i="3" a="1"/>
  <c r="F383" i="3" s="1"/>
  <c r="F384" i="3" a="1"/>
  <c r="F384" i="3" s="1"/>
  <c r="F385" i="3" a="1"/>
  <c r="F385" i="3" s="1"/>
  <c r="F386" i="3" a="1"/>
  <c r="F386" i="3" s="1"/>
  <c r="F387" i="3" a="1"/>
  <c r="F387" i="3" s="1"/>
  <c r="F388" i="3" a="1"/>
  <c r="F388" i="3" s="1"/>
  <c r="F389" i="3" a="1"/>
  <c r="F389" i="3" s="1"/>
  <c r="F390" i="3" a="1"/>
  <c r="F390" i="3" s="1"/>
  <c r="F391" i="3" a="1"/>
  <c r="F391" i="3" s="1"/>
  <c r="F392" i="3" a="1"/>
  <c r="F392" i="3" s="1"/>
  <c r="F393" i="3" a="1"/>
  <c r="F393" i="3" s="1"/>
  <c r="F394" i="3" a="1"/>
  <c r="F394" i="3" s="1"/>
  <c r="F395" i="3" a="1"/>
  <c r="F395" i="3" s="1"/>
  <c r="F396" i="3" a="1"/>
  <c r="F396" i="3" s="1"/>
  <c r="F397" i="3" a="1"/>
  <c r="F397" i="3" s="1"/>
  <c r="F398" i="3" a="1"/>
  <c r="F398" i="3" s="1"/>
  <c r="F399" i="3" a="1"/>
  <c r="F399" i="3" s="1"/>
  <c r="F400" i="3" a="1"/>
  <c r="F400" i="3" s="1"/>
  <c r="F401" i="3" a="1"/>
  <c r="F401" i="3" s="1"/>
  <c r="F402" i="3" a="1"/>
  <c r="F402" i="3" s="1"/>
  <c r="F403" i="3" a="1"/>
  <c r="F403" i="3" s="1"/>
  <c r="F404" i="3" a="1"/>
  <c r="F404" i="3" s="1"/>
  <c r="F405" i="3" a="1"/>
  <c r="F405" i="3" s="1"/>
  <c r="F406" i="3" a="1"/>
  <c r="F406" i="3" s="1"/>
  <c r="F407" i="3" a="1"/>
  <c r="F407" i="3" s="1"/>
  <c r="F408" i="3" a="1"/>
  <c r="F408" i="3" s="1"/>
  <c r="F409" i="3" a="1"/>
  <c r="F409" i="3" s="1"/>
  <c r="F410" i="3" a="1"/>
  <c r="F410" i="3" s="1"/>
  <c r="F411" i="3" a="1"/>
  <c r="F411" i="3" s="1"/>
  <c r="F412" i="3" a="1"/>
  <c r="F412" i="3" s="1"/>
  <c r="F413" i="3" a="1"/>
  <c r="F413" i="3" s="1"/>
  <c r="F414" i="3" a="1"/>
  <c r="F414" i="3" s="1"/>
  <c r="F415" i="3" a="1"/>
  <c r="F415" i="3" s="1"/>
  <c r="F416" i="3" a="1"/>
  <c r="F416" i="3" s="1"/>
  <c r="F417" i="3" a="1"/>
  <c r="F417" i="3" s="1"/>
  <c r="F418" i="3" a="1"/>
  <c r="F418" i="3" s="1"/>
  <c r="F419" i="3" a="1"/>
  <c r="F419" i="3" s="1"/>
  <c r="F420" i="3" a="1"/>
  <c r="F420" i="3" s="1"/>
  <c r="F421" i="3" a="1"/>
  <c r="F421" i="3" s="1"/>
  <c r="F422" i="3" a="1"/>
  <c r="F422" i="3" s="1"/>
  <c r="F423" i="3" a="1"/>
  <c r="F423" i="3" s="1"/>
  <c r="F424" i="3" a="1"/>
  <c r="F424" i="3" s="1"/>
  <c r="F425" i="3" a="1"/>
  <c r="F425" i="3" s="1"/>
  <c r="F426" i="3" a="1"/>
  <c r="F426" i="3" s="1"/>
  <c r="F427" i="3" a="1"/>
  <c r="F427" i="3" s="1"/>
  <c r="F428" i="3" a="1"/>
  <c r="F428" i="3" s="1"/>
  <c r="F429" i="3" a="1"/>
  <c r="F429" i="3" s="1"/>
  <c r="F430" i="3" a="1"/>
  <c r="F430" i="3" s="1"/>
  <c r="F431" i="3" a="1"/>
  <c r="F431" i="3" s="1"/>
  <c r="F432" i="3" a="1"/>
  <c r="F432" i="3" s="1"/>
  <c r="F433" i="3" a="1"/>
  <c r="F433" i="3" s="1"/>
  <c r="F434" i="3" a="1"/>
  <c r="F434" i="3" s="1"/>
  <c r="F435" i="3" a="1"/>
  <c r="F435" i="3" s="1"/>
  <c r="F436" i="3" a="1"/>
  <c r="F436" i="3" s="1"/>
  <c r="F437" i="3" a="1"/>
  <c r="F437" i="3" s="1"/>
  <c r="F438" i="3" a="1"/>
  <c r="F438" i="3" s="1"/>
  <c r="F439" i="3" a="1"/>
  <c r="F439" i="3" s="1"/>
  <c r="F440" i="3" a="1"/>
  <c r="F440" i="3" s="1"/>
  <c r="F441" i="3" a="1"/>
  <c r="F441" i="3" s="1"/>
  <c r="F442" i="3" a="1"/>
  <c r="F442" i="3" s="1"/>
  <c r="F443" i="3" a="1"/>
  <c r="F443" i="3" s="1"/>
  <c r="F444" i="3" a="1"/>
  <c r="F444" i="3" s="1"/>
  <c r="F445" i="3" a="1"/>
  <c r="F445" i="3" s="1"/>
  <c r="F446" i="3" a="1"/>
  <c r="F446" i="3" s="1"/>
  <c r="F447" i="3" a="1"/>
  <c r="F447" i="3" s="1"/>
  <c r="F448" i="3" a="1"/>
  <c r="F448" i="3" s="1"/>
  <c r="F449" i="3" a="1"/>
  <c r="F449" i="3" s="1"/>
  <c r="F450" i="3" a="1"/>
  <c r="F450" i="3" s="1"/>
  <c r="F451" i="3" a="1"/>
  <c r="F451" i="3" s="1"/>
  <c r="F452" i="3" a="1"/>
  <c r="F452" i="3" s="1"/>
  <c r="F453" i="3" a="1"/>
  <c r="F453" i="3" s="1"/>
  <c r="F454" i="3" a="1"/>
  <c r="F454" i="3" s="1"/>
  <c r="F455" i="3" a="1"/>
  <c r="F455" i="3" s="1"/>
  <c r="F456" i="3" a="1"/>
  <c r="F456" i="3" s="1"/>
  <c r="F457" i="3" a="1"/>
  <c r="F457" i="3" s="1"/>
  <c r="F458" i="3" a="1"/>
  <c r="F458" i="3" s="1"/>
  <c r="F459" i="3" a="1"/>
  <c r="F459" i="3" s="1"/>
  <c r="F460" i="3" a="1"/>
  <c r="F460" i="3" s="1"/>
  <c r="F461" i="3" a="1"/>
  <c r="F461" i="3" s="1"/>
  <c r="F462" i="3" a="1"/>
  <c r="F462" i="3" s="1"/>
  <c r="F463" i="3" a="1"/>
  <c r="F463" i="3" s="1"/>
  <c r="F464" i="3" a="1"/>
  <c r="F464" i="3" s="1"/>
  <c r="F465" i="3" a="1"/>
  <c r="F465" i="3" s="1"/>
  <c r="F466" i="3" a="1"/>
  <c r="F466" i="3" s="1"/>
  <c r="F467" i="3" a="1"/>
  <c r="F467" i="3" s="1"/>
  <c r="F468" i="3" a="1"/>
  <c r="F468" i="3" s="1"/>
  <c r="F469" i="3" a="1"/>
  <c r="F469" i="3" s="1"/>
  <c r="F470" i="3" a="1"/>
  <c r="F470" i="3" s="1"/>
  <c r="F471" i="3" a="1"/>
  <c r="F471" i="3" s="1"/>
  <c r="F472" i="3" a="1"/>
  <c r="F472" i="3" s="1"/>
  <c r="F473" i="3" a="1"/>
  <c r="F473" i="3" s="1"/>
  <c r="F474" i="3" a="1"/>
  <c r="F474" i="3" s="1"/>
  <c r="F475" i="3" a="1"/>
  <c r="F475" i="3" s="1"/>
  <c r="F476" i="3" a="1"/>
  <c r="F476" i="3" s="1"/>
  <c r="F477" i="3" a="1"/>
  <c r="F477" i="3" s="1"/>
  <c r="F478" i="3" a="1"/>
  <c r="F478" i="3" s="1"/>
  <c r="F479" i="3" a="1"/>
  <c r="F479" i="3" s="1"/>
  <c r="F480" i="3" a="1"/>
  <c r="F480" i="3" s="1"/>
  <c r="F481" i="3" a="1"/>
  <c r="F481" i="3" s="1"/>
  <c r="F482" i="3" a="1"/>
  <c r="F482" i="3" s="1"/>
  <c r="F483" i="3" a="1"/>
  <c r="F483" i="3" s="1"/>
  <c r="F484" i="3" a="1"/>
  <c r="F484" i="3" s="1"/>
  <c r="F485" i="3" a="1"/>
  <c r="F485" i="3" s="1"/>
  <c r="F486" i="3" a="1"/>
  <c r="F486" i="3" s="1"/>
  <c r="F487" i="3" a="1"/>
  <c r="F487" i="3" s="1"/>
  <c r="F488" i="3" a="1"/>
  <c r="F488" i="3" s="1"/>
  <c r="F489" i="3" a="1"/>
  <c r="F489" i="3" s="1"/>
  <c r="F490" i="3" a="1"/>
  <c r="F490" i="3" s="1"/>
  <c r="F491" i="3" a="1"/>
  <c r="F491" i="3" s="1"/>
  <c r="F492" i="3" a="1"/>
  <c r="F492" i="3" s="1"/>
  <c r="F493" i="3" a="1"/>
  <c r="F493" i="3" s="1"/>
  <c r="F494" i="3" a="1"/>
  <c r="F494" i="3" s="1"/>
  <c r="F495" i="3" a="1"/>
  <c r="F495" i="3" s="1"/>
  <c r="F496" i="3" a="1"/>
  <c r="F496" i="3" s="1"/>
  <c r="F497" i="3" a="1"/>
  <c r="F497" i="3" s="1"/>
  <c r="F498" i="3" a="1"/>
  <c r="F498" i="3" s="1"/>
  <c r="F499" i="3" a="1"/>
  <c r="F499" i="3" s="1"/>
  <c r="F500" i="3" a="1"/>
  <c r="F500" i="3" s="1"/>
  <c r="F501" i="3" a="1"/>
  <c r="F501" i="3" s="1"/>
  <c r="F502" i="3" a="1"/>
  <c r="F502" i="3" s="1"/>
  <c r="F503" i="3" a="1"/>
  <c r="F503" i="3" s="1"/>
  <c r="F504" i="3" a="1"/>
  <c r="F504" i="3" s="1"/>
  <c r="F505" i="3" a="1"/>
  <c r="F505" i="3" s="1"/>
  <c r="F506" i="3" a="1"/>
  <c r="F506" i="3" s="1"/>
  <c r="F507" i="3" a="1"/>
  <c r="F507" i="3" s="1"/>
  <c r="F508" i="3" a="1"/>
  <c r="F508" i="3" s="1"/>
  <c r="F509" i="3" a="1"/>
  <c r="F509" i="3" s="1"/>
  <c r="F510" i="3" a="1"/>
  <c r="F510" i="3" s="1"/>
  <c r="F511" i="3" a="1"/>
  <c r="F511" i="3" s="1"/>
  <c r="F512" i="3" a="1"/>
  <c r="F512" i="3" s="1"/>
  <c r="F513" i="3" a="1"/>
  <c r="F513" i="3" s="1"/>
  <c r="F514" i="3" a="1"/>
  <c r="F514" i="3" s="1"/>
  <c r="F515" i="3" a="1"/>
  <c r="F515" i="3" s="1"/>
  <c r="F516" i="3" a="1"/>
  <c r="F516" i="3" s="1"/>
  <c r="F517" i="3" a="1"/>
  <c r="F517" i="3" s="1"/>
  <c r="F518" i="3" a="1"/>
  <c r="F518" i="3" s="1"/>
  <c r="F519" i="3" a="1"/>
  <c r="F519" i="3" s="1"/>
  <c r="F520" i="3" a="1"/>
  <c r="F520" i="3" s="1"/>
  <c r="F521" i="3" a="1"/>
  <c r="F521" i="3" s="1"/>
  <c r="F522" i="3" a="1"/>
  <c r="F522" i="3" s="1"/>
  <c r="F523" i="3" a="1"/>
  <c r="F523" i="3" s="1"/>
  <c r="F524" i="3" a="1"/>
  <c r="F524" i="3" s="1"/>
  <c r="F525" i="3" a="1"/>
  <c r="F525" i="3" s="1"/>
  <c r="F526" i="3" a="1"/>
  <c r="F526" i="3" s="1"/>
  <c r="F527" i="3" a="1"/>
  <c r="F527" i="3" s="1"/>
  <c r="F528" i="3" a="1"/>
  <c r="F528" i="3" s="1"/>
  <c r="F529" i="3" a="1"/>
  <c r="F529" i="3" s="1"/>
  <c r="F530" i="3" a="1"/>
  <c r="F530" i="3" s="1"/>
  <c r="F531" i="3" a="1"/>
  <c r="F531" i="3" s="1"/>
  <c r="F532" i="3" a="1"/>
  <c r="F532" i="3" s="1"/>
  <c r="F533" i="3" a="1"/>
  <c r="F533" i="3" s="1"/>
  <c r="F534" i="3" a="1"/>
  <c r="F534" i="3" s="1"/>
  <c r="F535" i="3" a="1"/>
  <c r="F535" i="3" s="1"/>
  <c r="F536" i="3" a="1"/>
  <c r="F536" i="3" s="1"/>
  <c r="F537" i="3" a="1"/>
  <c r="F537" i="3" s="1"/>
  <c r="F538" i="3" a="1"/>
  <c r="F538" i="3" s="1"/>
  <c r="F539" i="3" a="1"/>
  <c r="F539" i="3" s="1"/>
  <c r="F540" i="3" a="1"/>
  <c r="F540" i="3" s="1"/>
  <c r="F541" i="3" a="1"/>
  <c r="F541" i="3" s="1"/>
  <c r="F542" i="3" a="1"/>
  <c r="F542" i="3" s="1"/>
  <c r="F543" i="3" a="1"/>
  <c r="F543" i="3" s="1"/>
  <c r="F544" i="3" a="1"/>
  <c r="F544" i="3" s="1"/>
  <c r="F545" i="3" a="1"/>
  <c r="F545" i="3" s="1"/>
  <c r="F546" i="3" a="1"/>
  <c r="F546" i="3" s="1"/>
  <c r="F547" i="3" a="1"/>
  <c r="F547" i="3" s="1"/>
  <c r="F548" i="3" a="1"/>
  <c r="F548" i="3" s="1"/>
  <c r="F549" i="3" a="1"/>
  <c r="F549" i="3" s="1"/>
  <c r="F550" i="3" a="1"/>
  <c r="F550" i="3" s="1"/>
  <c r="F551" i="3" a="1"/>
  <c r="F551" i="3" s="1"/>
  <c r="F552" i="3" a="1"/>
  <c r="F552" i="3" s="1"/>
  <c r="F553" i="3" a="1"/>
  <c r="F553" i="3" s="1"/>
  <c r="F554" i="3" a="1"/>
  <c r="F554" i="3" s="1"/>
  <c r="F555" i="3" a="1"/>
  <c r="F555" i="3" s="1"/>
  <c r="F556" i="3" a="1"/>
  <c r="F556" i="3" s="1"/>
  <c r="F557" i="3" a="1"/>
  <c r="F557" i="3" s="1"/>
  <c r="F558" i="3" a="1"/>
  <c r="F558" i="3" s="1"/>
  <c r="F559" i="3" a="1"/>
  <c r="F559" i="3" s="1"/>
  <c r="F560" i="3" a="1"/>
  <c r="F560" i="3" s="1"/>
  <c r="F561" i="3" a="1"/>
  <c r="F561" i="3" s="1"/>
  <c r="F562" i="3" a="1"/>
  <c r="F562" i="3" s="1"/>
  <c r="F563" i="3" a="1"/>
  <c r="F563" i="3" s="1"/>
  <c r="F564" i="3" a="1"/>
  <c r="F564" i="3" s="1"/>
  <c r="F565" i="3" a="1"/>
  <c r="F565" i="3" s="1"/>
  <c r="F566" i="3" a="1"/>
  <c r="F566" i="3" s="1"/>
  <c r="F567" i="3" a="1"/>
  <c r="F567" i="3" s="1"/>
  <c r="F568" i="3" a="1"/>
  <c r="F568" i="3" s="1"/>
  <c r="F569" i="3" a="1"/>
  <c r="F569" i="3" s="1"/>
  <c r="F570" i="3" a="1"/>
  <c r="F570" i="3" s="1"/>
  <c r="F571" i="3" a="1"/>
  <c r="F571" i="3" s="1"/>
  <c r="F572" i="3" a="1"/>
  <c r="F572" i="3" s="1"/>
  <c r="F573" i="3" a="1"/>
  <c r="F573" i="3" s="1"/>
  <c r="F574" i="3" a="1"/>
  <c r="F574" i="3" s="1"/>
  <c r="F575" i="3" a="1"/>
  <c r="F575" i="3" s="1"/>
  <c r="F576" i="3" a="1"/>
  <c r="F576" i="3" s="1"/>
  <c r="F577" i="3" a="1"/>
  <c r="F577" i="3" s="1"/>
  <c r="F578" i="3" a="1"/>
  <c r="F578" i="3" s="1"/>
  <c r="F579" i="3" a="1"/>
  <c r="F579" i="3" s="1"/>
  <c r="F580" i="3" a="1"/>
  <c r="F580" i="3" s="1"/>
  <c r="F581" i="3" a="1"/>
  <c r="F581" i="3" s="1"/>
  <c r="F582" i="3" a="1"/>
  <c r="F582" i="3" s="1"/>
  <c r="F583" i="3" a="1"/>
  <c r="F583" i="3" s="1"/>
  <c r="F584" i="3" a="1"/>
  <c r="F584" i="3" s="1"/>
  <c r="F585" i="3" a="1"/>
  <c r="F585" i="3" s="1"/>
  <c r="F586" i="3" a="1"/>
  <c r="F586" i="3" s="1"/>
  <c r="F587" i="3" a="1"/>
  <c r="F587" i="3" s="1"/>
  <c r="F588" i="3" a="1"/>
  <c r="F588" i="3" s="1"/>
  <c r="F589" i="3" a="1"/>
  <c r="F589" i="3" s="1"/>
  <c r="F590" i="3" a="1"/>
  <c r="F590" i="3" s="1"/>
  <c r="F591" i="3" a="1"/>
  <c r="F591" i="3" s="1"/>
  <c r="F592" i="3" a="1"/>
  <c r="F592" i="3" s="1"/>
  <c r="F593" i="3" a="1"/>
  <c r="F593" i="3" s="1"/>
  <c r="F594" i="3" a="1"/>
  <c r="F594" i="3" s="1"/>
  <c r="F595" i="3" a="1"/>
  <c r="F595" i="3" s="1"/>
  <c r="F596" i="3" a="1"/>
  <c r="F596" i="3" s="1"/>
  <c r="F597" i="3" a="1"/>
  <c r="F597" i="3" s="1"/>
  <c r="F598" i="3" a="1"/>
  <c r="F598" i="3" s="1"/>
  <c r="F599" i="3" a="1"/>
  <c r="F599" i="3" s="1"/>
  <c r="F600" i="3" a="1"/>
  <c r="F600" i="3" s="1"/>
  <c r="F601" i="3" a="1"/>
  <c r="F601" i="3" s="1"/>
  <c r="F602" i="3" a="1"/>
  <c r="F602" i="3" s="1"/>
  <c r="F603" i="3" a="1"/>
  <c r="F603" i="3" s="1"/>
  <c r="F604" i="3" a="1"/>
  <c r="F604" i="3" s="1"/>
  <c r="F605" i="3" a="1"/>
  <c r="F605" i="3" s="1"/>
  <c r="F606" i="3" a="1"/>
  <c r="F606" i="3" s="1"/>
  <c r="F607" i="3" a="1"/>
  <c r="F607" i="3" s="1"/>
  <c r="F608" i="3" a="1"/>
  <c r="F608" i="3" s="1"/>
  <c r="F609" i="3" a="1"/>
  <c r="F609" i="3" s="1"/>
  <c r="F610" i="3" a="1"/>
  <c r="F610" i="3" s="1"/>
  <c r="F611" i="3" a="1"/>
  <c r="F611" i="3" s="1"/>
  <c r="F612" i="3" a="1"/>
  <c r="F612" i="3" s="1"/>
  <c r="F613" i="3" a="1"/>
  <c r="F613" i="3" s="1"/>
  <c r="F614" i="3" a="1"/>
  <c r="F614" i="3" s="1"/>
  <c r="F615" i="3" a="1"/>
  <c r="F615" i="3" s="1"/>
  <c r="F616" i="3" a="1"/>
  <c r="F616" i="3" s="1"/>
  <c r="F617" i="3" a="1"/>
  <c r="F617" i="3" s="1"/>
  <c r="F618" i="3" a="1"/>
  <c r="F618" i="3" s="1"/>
  <c r="F619" i="3" a="1"/>
  <c r="F619" i="3" s="1"/>
  <c r="F620" i="3" a="1"/>
  <c r="F620" i="3" s="1"/>
  <c r="F621" i="3" a="1"/>
  <c r="F621" i="3" s="1"/>
  <c r="F622" i="3" a="1"/>
  <c r="F622" i="3" s="1"/>
  <c r="F623" i="3" a="1"/>
  <c r="F623" i="3" s="1"/>
  <c r="F624" i="3" a="1"/>
  <c r="F624" i="3" s="1"/>
  <c r="F625" i="3" a="1"/>
  <c r="F625" i="3" s="1"/>
  <c r="F626" i="3" a="1"/>
  <c r="F626" i="3" s="1"/>
  <c r="F627" i="3" a="1"/>
  <c r="F627" i="3" s="1"/>
  <c r="F628" i="3" a="1"/>
  <c r="F628" i="3" s="1"/>
  <c r="F629" i="3" a="1"/>
  <c r="F629" i="3" s="1"/>
  <c r="F630" i="3" a="1"/>
  <c r="F630" i="3" s="1"/>
  <c r="F631" i="3" a="1"/>
  <c r="F631" i="3" s="1"/>
  <c r="F632" i="3" a="1"/>
  <c r="F632" i="3" s="1"/>
  <c r="F633" i="3" a="1"/>
  <c r="F633" i="3" s="1"/>
  <c r="F634" i="3" a="1"/>
  <c r="F634" i="3" s="1"/>
  <c r="F635" i="3" a="1"/>
  <c r="F635" i="3" s="1"/>
  <c r="F636" i="3" a="1"/>
  <c r="F636" i="3" s="1"/>
  <c r="F637" i="3" a="1"/>
  <c r="F637" i="3" s="1"/>
  <c r="F638" i="3" a="1"/>
  <c r="F638" i="3" s="1"/>
  <c r="F639" i="3" a="1"/>
  <c r="F639" i="3" s="1"/>
  <c r="F640" i="3" a="1"/>
  <c r="F640" i="3" s="1"/>
  <c r="F641" i="3" a="1"/>
  <c r="F641" i="3" s="1"/>
  <c r="F642" i="3" a="1"/>
  <c r="F642" i="3" s="1"/>
  <c r="F643" i="3" a="1"/>
  <c r="F643" i="3" s="1"/>
  <c r="F644" i="3" a="1"/>
  <c r="F644" i="3" s="1"/>
  <c r="F645" i="3" a="1"/>
  <c r="F645" i="3" s="1"/>
  <c r="F646" i="3" a="1"/>
  <c r="F646" i="3" s="1"/>
  <c r="F647" i="3" a="1"/>
  <c r="F647" i="3" s="1"/>
  <c r="F648" i="3" a="1"/>
  <c r="F648" i="3" s="1"/>
  <c r="F649" i="3" a="1"/>
  <c r="F649" i="3" s="1"/>
  <c r="F650" i="3" a="1"/>
  <c r="F650" i="3" s="1"/>
  <c r="F651" i="3" a="1"/>
  <c r="F651" i="3" s="1"/>
  <c r="F652" i="3" a="1"/>
  <c r="F652" i="3" s="1"/>
  <c r="F653" i="3" a="1"/>
  <c r="F653" i="3" s="1"/>
  <c r="F654" i="3" a="1"/>
  <c r="F654" i="3" s="1"/>
  <c r="F655" i="3" a="1"/>
  <c r="F655" i="3" s="1"/>
  <c r="F656" i="3" a="1"/>
  <c r="F656" i="3" s="1"/>
  <c r="F657" i="3" a="1"/>
  <c r="F657" i="3" s="1"/>
  <c r="F658" i="3" a="1"/>
  <c r="F658" i="3" s="1"/>
  <c r="F659" i="3" a="1"/>
  <c r="F659" i="3" s="1"/>
  <c r="F660" i="3" a="1"/>
  <c r="F660" i="3" s="1"/>
  <c r="F661" i="3" a="1"/>
  <c r="F661" i="3" s="1"/>
  <c r="F662" i="3" a="1"/>
  <c r="F662" i="3" s="1"/>
  <c r="F663" i="3" a="1"/>
  <c r="F663" i="3" s="1"/>
  <c r="F664" i="3" a="1"/>
  <c r="F664" i="3" s="1"/>
  <c r="F665" i="3" a="1"/>
  <c r="F665" i="3" s="1"/>
  <c r="F666" i="3" a="1"/>
  <c r="F666" i="3" s="1"/>
  <c r="F667" i="3" a="1"/>
  <c r="F667" i="3" s="1"/>
  <c r="F668" i="3" a="1"/>
  <c r="F668" i="3" s="1"/>
  <c r="F669" i="3" a="1"/>
  <c r="F669" i="3" s="1"/>
  <c r="F670" i="3" a="1"/>
  <c r="F670" i="3" s="1"/>
  <c r="F671" i="3" a="1"/>
  <c r="F671" i="3" s="1"/>
  <c r="F672" i="3" a="1"/>
  <c r="F672" i="3" s="1"/>
  <c r="F673" i="3" a="1"/>
  <c r="F673" i="3" s="1"/>
  <c r="F674" i="3" a="1"/>
  <c r="F674" i="3" s="1"/>
  <c r="F675" i="3" a="1"/>
  <c r="F675" i="3" s="1"/>
  <c r="F676" i="3" a="1"/>
  <c r="F676" i="3" s="1"/>
  <c r="F677" i="3" a="1"/>
  <c r="F677" i="3" s="1"/>
  <c r="F678" i="3" a="1"/>
  <c r="F678" i="3" s="1"/>
  <c r="F679" i="3" a="1"/>
  <c r="F679" i="3" s="1"/>
  <c r="F680" i="3" a="1"/>
  <c r="F680" i="3" s="1"/>
  <c r="F681" i="3" a="1"/>
  <c r="F681" i="3" s="1"/>
  <c r="F682" i="3" a="1"/>
  <c r="F682" i="3" s="1"/>
  <c r="F683" i="3" a="1"/>
  <c r="F683" i="3" s="1"/>
  <c r="F684" i="3" a="1"/>
  <c r="F684" i="3" s="1"/>
  <c r="F685" i="3" a="1"/>
  <c r="F685" i="3" s="1"/>
  <c r="F686" i="3" a="1"/>
  <c r="F686" i="3" s="1"/>
  <c r="F687" i="3" a="1"/>
  <c r="F687" i="3" s="1"/>
  <c r="F688" i="3" a="1"/>
  <c r="F688" i="3" s="1"/>
  <c r="F689" i="3" a="1"/>
  <c r="F689" i="3" s="1"/>
  <c r="F690" i="3" a="1"/>
  <c r="F690" i="3" s="1"/>
  <c r="F691" i="3" a="1"/>
  <c r="F691" i="3" s="1"/>
  <c r="F692" i="3" a="1"/>
  <c r="F692" i="3" s="1"/>
  <c r="F693" i="3" a="1"/>
  <c r="F693" i="3" s="1"/>
  <c r="F694" i="3" a="1"/>
  <c r="F694" i="3" s="1"/>
  <c r="F695" i="3" a="1"/>
  <c r="F695" i="3" s="1"/>
  <c r="F696" i="3" a="1"/>
  <c r="F696" i="3" s="1"/>
  <c r="F697" i="3" a="1"/>
  <c r="F697" i="3" s="1"/>
  <c r="F698" i="3" a="1"/>
  <c r="F698" i="3" s="1"/>
  <c r="F699" i="3" a="1"/>
  <c r="F699" i="3" s="1"/>
  <c r="F700" i="3" a="1"/>
  <c r="F700" i="3" s="1"/>
  <c r="F701" i="3" a="1"/>
  <c r="F701" i="3" s="1"/>
  <c r="F702" i="3" a="1"/>
  <c r="F702" i="3" s="1"/>
  <c r="F703" i="3" a="1"/>
  <c r="F703" i="3" s="1"/>
  <c r="F704" i="3" a="1"/>
  <c r="F704" i="3" s="1"/>
  <c r="F705" i="3" a="1"/>
  <c r="F705" i="3" s="1"/>
  <c r="F706" i="3" a="1"/>
  <c r="F706" i="3" s="1"/>
  <c r="F707" i="3" a="1"/>
  <c r="F707" i="3" s="1"/>
  <c r="F708" i="3" a="1"/>
  <c r="F708" i="3" s="1"/>
  <c r="F709" i="3" a="1"/>
  <c r="F709" i="3" s="1"/>
  <c r="F710" i="3" a="1"/>
  <c r="F710" i="3" s="1"/>
  <c r="F711" i="3" a="1"/>
  <c r="F711" i="3" s="1"/>
  <c r="F712" i="3" a="1"/>
  <c r="F712" i="3" s="1"/>
  <c r="F713" i="3" a="1"/>
  <c r="F713" i="3" s="1"/>
  <c r="F714" i="3" a="1"/>
  <c r="F714" i="3" s="1"/>
  <c r="F715" i="3" a="1"/>
  <c r="F715" i="3" s="1"/>
  <c r="F716" i="3" a="1"/>
  <c r="F716" i="3" s="1"/>
  <c r="F717" i="3" a="1"/>
  <c r="F717" i="3" s="1"/>
  <c r="F718" i="3" a="1"/>
  <c r="F718" i="3" s="1"/>
  <c r="F719" i="3" a="1"/>
  <c r="F719" i="3" s="1"/>
  <c r="F720" i="3" a="1"/>
  <c r="F720" i="3" s="1"/>
  <c r="F721" i="3" a="1"/>
  <c r="F721" i="3" s="1"/>
  <c r="F722" i="3" a="1"/>
  <c r="F722" i="3" s="1"/>
  <c r="F723" i="3" a="1"/>
  <c r="F723" i="3" s="1"/>
  <c r="F724" i="3" a="1"/>
  <c r="F724" i="3" s="1"/>
  <c r="F725" i="3" a="1"/>
  <c r="F725" i="3" s="1"/>
  <c r="F726" i="3" a="1"/>
  <c r="F726" i="3" s="1"/>
  <c r="F727" i="3" a="1"/>
  <c r="F727" i="3" s="1"/>
  <c r="F728" i="3" a="1"/>
  <c r="F728" i="3" s="1"/>
  <c r="F729" i="3" a="1"/>
  <c r="F729" i="3" s="1"/>
  <c r="F730" i="3" a="1"/>
  <c r="F730" i="3" s="1"/>
  <c r="F731" i="3" a="1"/>
  <c r="F731" i="3" s="1"/>
  <c r="F732" i="3" a="1"/>
  <c r="F732" i="3" s="1"/>
  <c r="F733" i="3" a="1"/>
  <c r="F733" i="3" s="1"/>
  <c r="F734" i="3" a="1"/>
  <c r="F734" i="3" s="1"/>
  <c r="F735" i="3" a="1"/>
  <c r="F735" i="3" s="1"/>
  <c r="F736" i="3" a="1"/>
  <c r="F736" i="3" s="1"/>
  <c r="F737" i="3" a="1"/>
  <c r="F737" i="3" s="1"/>
  <c r="F738" i="3" a="1"/>
  <c r="F738" i="3" s="1"/>
  <c r="F739" i="3" a="1"/>
  <c r="F739" i="3" s="1"/>
  <c r="F740" i="3" a="1"/>
  <c r="F740" i="3" s="1"/>
  <c r="F741" i="3" a="1"/>
  <c r="F741" i="3" s="1"/>
  <c r="F742" i="3" a="1"/>
  <c r="F742" i="3" s="1"/>
  <c r="F743" i="3" a="1"/>
  <c r="F743" i="3" s="1"/>
  <c r="F744" i="3" a="1"/>
  <c r="F744" i="3" s="1"/>
  <c r="F745" i="3" a="1"/>
  <c r="F745" i="3" s="1"/>
  <c r="F746" i="3" a="1"/>
  <c r="F746" i="3" s="1"/>
  <c r="F747" i="3" a="1"/>
  <c r="F747" i="3" s="1"/>
  <c r="F748" i="3" a="1"/>
  <c r="F748" i="3" s="1"/>
  <c r="F749" i="3" a="1"/>
  <c r="F749" i="3" s="1"/>
  <c r="F750" i="3" a="1"/>
  <c r="F750" i="3" s="1"/>
  <c r="F751" i="3" a="1"/>
  <c r="F751" i="3" s="1"/>
  <c r="F752" i="3" a="1"/>
  <c r="F752" i="3" s="1"/>
  <c r="F753" i="3" a="1"/>
  <c r="F753" i="3" s="1"/>
  <c r="F754" i="3" a="1"/>
  <c r="F754" i="3" s="1"/>
  <c r="F755" i="3" a="1"/>
  <c r="F755" i="3" s="1"/>
  <c r="F756" i="3" a="1"/>
  <c r="F756" i="3" s="1"/>
  <c r="F757" i="3" a="1"/>
  <c r="F757" i="3" s="1"/>
  <c r="F758" i="3" a="1"/>
  <c r="F758" i="3" s="1"/>
  <c r="F759" i="3" a="1"/>
  <c r="F759" i="3" s="1"/>
  <c r="F760" i="3" a="1"/>
  <c r="F760" i="3" s="1"/>
  <c r="F761" i="3" a="1"/>
  <c r="F761" i="3" s="1"/>
  <c r="F762" i="3" a="1"/>
  <c r="F762" i="3" s="1"/>
  <c r="F763" i="3" a="1"/>
  <c r="F763" i="3" s="1"/>
  <c r="F764" i="3" a="1"/>
  <c r="F764" i="3" s="1"/>
  <c r="F765" i="3" a="1"/>
  <c r="F765" i="3" s="1"/>
  <c r="F766" i="3" a="1"/>
  <c r="F766" i="3" s="1"/>
  <c r="F767" i="3" a="1"/>
  <c r="F767" i="3" s="1"/>
  <c r="F768" i="3" a="1"/>
  <c r="F768" i="3" s="1"/>
  <c r="F769" i="3" a="1"/>
  <c r="F769" i="3" s="1"/>
  <c r="F770" i="3" a="1"/>
  <c r="F770" i="3" s="1"/>
  <c r="F771" i="3" a="1"/>
  <c r="F771" i="3" s="1"/>
  <c r="F772" i="3" a="1"/>
  <c r="F772" i="3" s="1"/>
  <c r="F773" i="3" a="1"/>
  <c r="F773" i="3" s="1"/>
  <c r="F774" i="3" a="1"/>
  <c r="F774" i="3" s="1"/>
  <c r="F775" i="3" a="1"/>
  <c r="F775" i="3" s="1"/>
  <c r="F776" i="3" a="1"/>
  <c r="F776" i="3" s="1"/>
  <c r="F777" i="3" a="1"/>
  <c r="F777" i="3" s="1"/>
  <c r="F778" i="3" a="1"/>
  <c r="F778" i="3" s="1"/>
  <c r="F779" i="3" a="1"/>
  <c r="F779" i="3" s="1"/>
  <c r="F780" i="3" a="1"/>
  <c r="F780" i="3" s="1"/>
  <c r="F781" i="3" a="1"/>
  <c r="F781" i="3" s="1"/>
  <c r="F782" i="3" a="1"/>
  <c r="F782" i="3" s="1"/>
  <c r="F783" i="3" a="1"/>
  <c r="F783" i="3" s="1"/>
  <c r="F784" i="3" a="1"/>
  <c r="F784" i="3" s="1"/>
  <c r="F785" i="3" a="1"/>
  <c r="F785" i="3" s="1"/>
  <c r="F786" i="3" a="1"/>
  <c r="F786" i="3" s="1"/>
  <c r="F787" i="3" a="1"/>
  <c r="F787" i="3" s="1"/>
  <c r="F788" i="3" a="1"/>
  <c r="F788" i="3" s="1"/>
  <c r="F789" i="3" a="1"/>
  <c r="F789" i="3" s="1"/>
  <c r="F790" i="3" a="1"/>
  <c r="F790" i="3" s="1"/>
  <c r="F791" i="3" a="1"/>
  <c r="F791" i="3" s="1"/>
  <c r="F792" i="3" a="1"/>
  <c r="F792" i="3" s="1"/>
  <c r="F793" i="3" a="1"/>
  <c r="F793" i="3" s="1"/>
  <c r="F794" i="3" a="1"/>
  <c r="F794" i="3" s="1"/>
  <c r="F795" i="3" a="1"/>
  <c r="F795" i="3" s="1"/>
  <c r="F796" i="3" a="1"/>
  <c r="F796" i="3" s="1"/>
  <c r="F797" i="3" a="1"/>
  <c r="F797" i="3" s="1"/>
  <c r="F798" i="3" a="1"/>
  <c r="F798" i="3" s="1"/>
  <c r="F799" i="3" a="1"/>
  <c r="F799" i="3" s="1"/>
  <c r="F800" i="3" a="1"/>
  <c r="F800" i="3" s="1"/>
  <c r="F801" i="3" a="1"/>
  <c r="F801" i="3" s="1"/>
  <c r="F802" i="3" a="1"/>
  <c r="F802" i="3" s="1"/>
  <c r="F803" i="3" a="1"/>
  <c r="F803" i="3" s="1"/>
  <c r="F804" i="3" a="1"/>
  <c r="F804" i="3" s="1"/>
  <c r="F805" i="3" a="1"/>
  <c r="F805" i="3" s="1"/>
  <c r="F806" i="3" a="1"/>
  <c r="F806" i="3" s="1"/>
  <c r="F807" i="3" a="1"/>
  <c r="F807" i="3" s="1"/>
  <c r="F808" i="3" a="1"/>
  <c r="F808" i="3" s="1"/>
  <c r="F809" i="3" a="1"/>
  <c r="F809" i="3" s="1"/>
  <c r="F810" i="3" a="1"/>
  <c r="F810" i="3" s="1"/>
  <c r="F811" i="3" a="1"/>
  <c r="F811" i="3" s="1"/>
  <c r="F812" i="3" a="1"/>
  <c r="F812" i="3" s="1"/>
  <c r="F813" i="3" a="1"/>
  <c r="F813" i="3" s="1"/>
  <c r="F814" i="3" a="1"/>
  <c r="F814" i="3" s="1"/>
  <c r="F815" i="3" a="1"/>
  <c r="F815" i="3" s="1"/>
  <c r="F816" i="3" a="1"/>
  <c r="F816" i="3" s="1"/>
  <c r="F817" i="3" a="1"/>
  <c r="F817" i="3" s="1"/>
  <c r="F818" i="3" a="1"/>
  <c r="F818" i="3" s="1"/>
  <c r="F819" i="3" a="1"/>
  <c r="F819" i="3" s="1"/>
  <c r="F820" i="3" a="1"/>
  <c r="F820" i="3" s="1"/>
  <c r="F821" i="3" a="1"/>
  <c r="F821" i="3" s="1"/>
  <c r="F822" i="3" a="1"/>
  <c r="F822" i="3" s="1"/>
  <c r="F823" i="3" a="1"/>
  <c r="F823" i="3" s="1"/>
  <c r="F824" i="3" a="1"/>
  <c r="F824" i="3" s="1"/>
  <c r="F825" i="3" a="1"/>
  <c r="F825" i="3" s="1"/>
  <c r="F826" i="3" a="1"/>
  <c r="F826" i="3" s="1"/>
  <c r="F827" i="3" a="1"/>
  <c r="F827" i="3" s="1"/>
  <c r="F828" i="3" a="1"/>
  <c r="F828" i="3" s="1"/>
  <c r="F829" i="3" a="1"/>
  <c r="F829" i="3" s="1"/>
  <c r="F830" i="3" a="1"/>
  <c r="F830" i="3" s="1"/>
  <c r="F831" i="3" a="1"/>
  <c r="F831" i="3" s="1"/>
  <c r="F832" i="3" a="1"/>
  <c r="F832" i="3" s="1"/>
  <c r="F833" i="3" a="1"/>
  <c r="F833" i="3" s="1"/>
  <c r="F834" i="3" a="1"/>
  <c r="F834" i="3" s="1"/>
  <c r="F835" i="3" a="1"/>
  <c r="F835" i="3" s="1"/>
  <c r="F836" i="3" a="1"/>
  <c r="F836" i="3" s="1"/>
  <c r="F837" i="3" a="1"/>
  <c r="F837" i="3" s="1"/>
  <c r="F838" i="3" a="1"/>
  <c r="F838" i="3" s="1"/>
  <c r="F839" i="3" a="1"/>
  <c r="F839" i="3" s="1"/>
  <c r="F840" i="3" a="1"/>
  <c r="F840" i="3" s="1"/>
  <c r="F841" i="3" a="1"/>
  <c r="F841" i="3" s="1"/>
  <c r="F842" i="3" a="1"/>
  <c r="F842" i="3" s="1"/>
  <c r="F843" i="3" a="1"/>
  <c r="F843" i="3" s="1"/>
  <c r="F844" i="3" a="1"/>
  <c r="F844" i="3" s="1"/>
  <c r="F845" i="3" a="1"/>
  <c r="F845" i="3" s="1"/>
  <c r="F846" i="3" a="1"/>
  <c r="F846" i="3" s="1"/>
  <c r="F847" i="3" a="1"/>
  <c r="F847" i="3" s="1"/>
  <c r="F848" i="3" a="1"/>
  <c r="F848" i="3" s="1"/>
  <c r="F849" i="3" a="1"/>
  <c r="F849" i="3" s="1"/>
  <c r="F850" i="3" a="1"/>
  <c r="F850" i="3" s="1"/>
  <c r="F851" i="3" a="1"/>
  <c r="F851" i="3" s="1"/>
  <c r="F852" i="3" a="1"/>
  <c r="F852" i="3" s="1"/>
  <c r="F853" i="3" a="1"/>
  <c r="F853" i="3" s="1"/>
  <c r="F854" i="3" a="1"/>
  <c r="F854" i="3" s="1"/>
  <c r="F855" i="3" a="1"/>
  <c r="F855" i="3" s="1"/>
  <c r="F856" i="3" a="1"/>
  <c r="F856" i="3" s="1"/>
  <c r="F857" i="3" a="1"/>
  <c r="F857" i="3" s="1"/>
  <c r="F858" i="3" a="1"/>
  <c r="F858" i="3" s="1"/>
  <c r="F859" i="3" a="1"/>
  <c r="F859" i="3" s="1"/>
  <c r="F860" i="3" a="1"/>
  <c r="F860" i="3" s="1"/>
  <c r="F861" i="3" a="1"/>
  <c r="F861" i="3" s="1"/>
  <c r="F862" i="3" a="1"/>
  <c r="F862" i="3" s="1"/>
  <c r="F863" i="3" a="1"/>
  <c r="F863" i="3" s="1"/>
  <c r="F864" i="3" a="1"/>
  <c r="F864" i="3" s="1"/>
  <c r="F865" i="3" a="1"/>
  <c r="F865" i="3" s="1"/>
  <c r="F866" i="3" a="1"/>
  <c r="F866" i="3" s="1"/>
  <c r="F867" i="3" a="1"/>
  <c r="F867" i="3" s="1"/>
  <c r="F868" i="3" a="1"/>
  <c r="F868" i="3" s="1"/>
  <c r="F869" i="3" a="1"/>
  <c r="F869" i="3" s="1"/>
  <c r="F870" i="3" a="1"/>
  <c r="F870" i="3" s="1"/>
  <c r="F871" i="3" a="1"/>
  <c r="F871" i="3" s="1"/>
  <c r="F872" i="3" a="1"/>
  <c r="F872" i="3" s="1"/>
  <c r="F873" i="3" a="1"/>
  <c r="F873" i="3" s="1"/>
  <c r="F874" i="3" a="1"/>
  <c r="F874" i="3" s="1"/>
  <c r="F875" i="3" a="1"/>
  <c r="F875" i="3" s="1"/>
  <c r="F876" i="3" a="1"/>
  <c r="F876" i="3" s="1"/>
  <c r="F877" i="3" a="1"/>
  <c r="F877" i="3" s="1"/>
  <c r="F878" i="3" a="1"/>
  <c r="F878" i="3" s="1"/>
  <c r="F879" i="3" a="1"/>
  <c r="F879" i="3" s="1"/>
  <c r="F880" i="3" a="1"/>
  <c r="F880" i="3" s="1"/>
  <c r="F881" i="3" a="1"/>
  <c r="F881" i="3" s="1"/>
  <c r="F882" i="3" a="1"/>
  <c r="F882" i="3" s="1"/>
  <c r="F883" i="3" a="1"/>
  <c r="F883" i="3" s="1"/>
  <c r="F884" i="3" a="1"/>
  <c r="F884" i="3" s="1"/>
  <c r="F885" i="3" a="1"/>
  <c r="F885" i="3" s="1"/>
  <c r="F886" i="3" a="1"/>
  <c r="F886" i="3" s="1"/>
  <c r="F887" i="3" a="1"/>
  <c r="F887" i="3" s="1"/>
  <c r="F888" i="3" a="1"/>
  <c r="F888" i="3" s="1"/>
  <c r="F889" i="3" a="1"/>
  <c r="F889" i="3" s="1"/>
  <c r="F890" i="3" a="1"/>
  <c r="F890" i="3" s="1"/>
  <c r="F891" i="3" a="1"/>
  <c r="F891" i="3" s="1"/>
  <c r="F892" i="3" a="1"/>
  <c r="F892" i="3" s="1"/>
  <c r="F893" i="3" a="1"/>
  <c r="F893" i="3" s="1"/>
  <c r="F894" i="3" a="1"/>
  <c r="F894" i="3" s="1"/>
  <c r="F895" i="3" a="1"/>
  <c r="F895" i="3" s="1"/>
  <c r="F896" i="3" a="1"/>
  <c r="F896" i="3" s="1"/>
  <c r="F897" i="3" a="1"/>
  <c r="F897" i="3" s="1"/>
  <c r="F898" i="3" a="1"/>
  <c r="F898" i="3" s="1"/>
  <c r="F899" i="3" a="1"/>
  <c r="F899" i="3" s="1"/>
  <c r="F900" i="3" a="1"/>
  <c r="F900" i="3" s="1"/>
  <c r="F901" i="3" a="1"/>
  <c r="F901" i="3" s="1"/>
  <c r="F902" i="3" a="1"/>
  <c r="F902" i="3" s="1"/>
  <c r="F903" i="3" a="1"/>
  <c r="F903" i="3" s="1"/>
  <c r="F904" i="3" a="1"/>
  <c r="F904" i="3" s="1"/>
  <c r="F905" i="3" a="1"/>
  <c r="F905" i="3" s="1"/>
  <c r="F906" i="3" a="1"/>
  <c r="F906" i="3" s="1"/>
  <c r="F907" i="3" a="1"/>
  <c r="F907" i="3" s="1"/>
  <c r="F908" i="3" a="1"/>
  <c r="F908" i="3" s="1"/>
  <c r="F909" i="3" a="1"/>
  <c r="F909" i="3" s="1"/>
  <c r="F910" i="3" a="1"/>
  <c r="F910" i="3" s="1"/>
  <c r="F911" i="3" a="1"/>
  <c r="F911" i="3" s="1"/>
  <c r="F912" i="3" a="1"/>
  <c r="F912" i="3" s="1"/>
  <c r="F913" i="3" a="1"/>
  <c r="F913" i="3" s="1"/>
  <c r="F914" i="3" a="1"/>
  <c r="F914" i="3" s="1"/>
  <c r="F915" i="3" a="1"/>
  <c r="F915" i="3" s="1"/>
  <c r="F916" i="3" a="1"/>
  <c r="F916" i="3" s="1"/>
  <c r="F917" i="3" a="1"/>
  <c r="F917" i="3" s="1"/>
  <c r="F918" i="3" a="1"/>
  <c r="F918" i="3" s="1"/>
  <c r="F919" i="3" a="1"/>
  <c r="F919" i="3" s="1"/>
  <c r="F920" i="3" a="1"/>
  <c r="F920" i="3" s="1"/>
  <c r="F921" i="3" a="1"/>
  <c r="F921" i="3" s="1"/>
  <c r="F922" i="3" a="1"/>
  <c r="F922" i="3" s="1"/>
  <c r="F923" i="3" a="1"/>
  <c r="F923" i="3" s="1"/>
  <c r="F924" i="3" a="1"/>
  <c r="F924" i="3" s="1"/>
  <c r="F925" i="3" a="1"/>
  <c r="F925" i="3" s="1"/>
  <c r="F926" i="3" a="1"/>
  <c r="F926" i="3" s="1"/>
  <c r="F927" i="3" a="1"/>
  <c r="F927" i="3" s="1"/>
  <c r="F928" i="3" a="1"/>
  <c r="F928" i="3" s="1"/>
  <c r="F929" i="3" a="1"/>
  <c r="F929" i="3" s="1"/>
  <c r="F930" i="3" a="1"/>
  <c r="F930" i="3" s="1"/>
  <c r="F931" i="3" a="1"/>
  <c r="F931" i="3" s="1"/>
  <c r="F932" i="3" a="1"/>
  <c r="F932" i="3" s="1"/>
  <c r="F933" i="3" a="1"/>
  <c r="F933" i="3" s="1"/>
  <c r="F934" i="3" a="1"/>
  <c r="F934" i="3" s="1"/>
  <c r="F935" i="3" a="1"/>
  <c r="F935" i="3" s="1"/>
  <c r="F936" i="3" a="1"/>
  <c r="F936" i="3" s="1"/>
  <c r="F937" i="3" a="1"/>
  <c r="F937" i="3" s="1"/>
  <c r="F938" i="3" a="1"/>
  <c r="F938" i="3" s="1"/>
  <c r="F939" i="3" a="1"/>
  <c r="F939" i="3" s="1"/>
  <c r="F940" i="3" a="1"/>
  <c r="F940" i="3" s="1"/>
  <c r="F941" i="3" a="1"/>
  <c r="F941" i="3" s="1"/>
  <c r="F942" i="3" a="1"/>
  <c r="F942" i="3" s="1"/>
  <c r="F943" i="3" a="1"/>
  <c r="F943" i="3" s="1"/>
  <c r="F944" i="3" a="1"/>
  <c r="F944" i="3" s="1"/>
  <c r="F945" i="3" a="1"/>
  <c r="F945" i="3" s="1"/>
  <c r="F946" i="3" a="1"/>
  <c r="F946" i="3" s="1"/>
  <c r="F947" i="3" a="1"/>
  <c r="F947" i="3" s="1"/>
  <c r="F948" i="3" a="1"/>
  <c r="F948" i="3" s="1"/>
  <c r="F949" i="3" a="1"/>
  <c r="F949" i="3" s="1"/>
  <c r="F950" i="3" a="1"/>
  <c r="F950" i="3" s="1"/>
  <c r="F951" i="3" a="1"/>
  <c r="F951" i="3" s="1"/>
  <c r="F952" i="3" a="1"/>
  <c r="F952" i="3" s="1"/>
  <c r="F953" i="3" a="1"/>
  <c r="F953" i="3" s="1"/>
  <c r="F954" i="3" a="1"/>
  <c r="F954" i="3" s="1"/>
  <c r="F955" i="3" a="1"/>
  <c r="F955" i="3" s="1"/>
  <c r="F956" i="3" a="1"/>
  <c r="F956" i="3" s="1"/>
  <c r="F957" i="3" a="1"/>
  <c r="F957" i="3" s="1"/>
  <c r="F958" i="3" a="1"/>
  <c r="F958" i="3" s="1"/>
  <c r="F959" i="3" a="1"/>
  <c r="F959" i="3" s="1"/>
  <c r="F960" i="3" a="1"/>
  <c r="F960" i="3" s="1"/>
  <c r="F961" i="3" a="1"/>
  <c r="F961" i="3" s="1"/>
  <c r="F962" i="3" a="1"/>
  <c r="F962" i="3" s="1"/>
  <c r="F963" i="3" a="1"/>
  <c r="F963" i="3" s="1"/>
  <c r="F964" i="3" a="1"/>
  <c r="F964" i="3" s="1"/>
  <c r="F965" i="3" a="1"/>
  <c r="F965" i="3" s="1"/>
  <c r="F966" i="3" a="1"/>
  <c r="F966" i="3" s="1"/>
  <c r="F967" i="3" a="1"/>
  <c r="F967" i="3" s="1"/>
  <c r="F968" i="3" a="1"/>
  <c r="F968" i="3" s="1"/>
  <c r="F969" i="3" a="1"/>
  <c r="F969" i="3" s="1"/>
  <c r="F970" i="3" a="1"/>
  <c r="F970" i="3" s="1"/>
  <c r="F971" i="3" a="1"/>
  <c r="F971" i="3" s="1"/>
  <c r="F972" i="3" a="1"/>
  <c r="F972" i="3" s="1"/>
  <c r="F973" i="3" a="1"/>
  <c r="F973" i="3" s="1"/>
  <c r="F974" i="3" a="1"/>
  <c r="F974" i="3" s="1"/>
  <c r="F975" i="3" a="1"/>
  <c r="F975" i="3" s="1"/>
  <c r="F976" i="3" a="1"/>
  <c r="F976" i="3" s="1"/>
  <c r="F977" i="3" a="1"/>
  <c r="F977" i="3" s="1"/>
  <c r="F978" i="3" a="1"/>
  <c r="F978" i="3" s="1"/>
  <c r="F979" i="3" a="1"/>
  <c r="F979" i="3" s="1"/>
  <c r="F980" i="3" a="1"/>
  <c r="F980" i="3" s="1"/>
  <c r="F981" i="3" a="1"/>
  <c r="F981" i="3" s="1"/>
  <c r="F982" i="3" a="1"/>
  <c r="F982" i="3" s="1"/>
  <c r="F983" i="3" a="1"/>
  <c r="F983" i="3" s="1"/>
  <c r="F984" i="3" a="1"/>
  <c r="F984" i="3" s="1"/>
  <c r="F985" i="3" a="1"/>
  <c r="F985" i="3" s="1"/>
  <c r="F986" i="3" a="1"/>
  <c r="F986" i="3" s="1"/>
  <c r="F987" i="3" a="1"/>
  <c r="F987" i="3" s="1"/>
  <c r="F988" i="3" a="1"/>
  <c r="F988" i="3" s="1"/>
  <c r="F989" i="3" a="1"/>
  <c r="F989" i="3" s="1"/>
  <c r="F990" i="3" a="1"/>
  <c r="F990" i="3" s="1"/>
  <c r="F991" i="3" a="1"/>
  <c r="F991" i="3" s="1"/>
  <c r="F992" i="3" a="1"/>
  <c r="F992" i="3" s="1"/>
  <c r="F993" i="3" a="1"/>
  <c r="F993" i="3" s="1"/>
  <c r="F994" i="3" a="1"/>
  <c r="F994" i="3" s="1"/>
  <c r="F995" i="3" a="1"/>
  <c r="F995" i="3" s="1"/>
  <c r="F996" i="3" a="1"/>
  <c r="F996" i="3" s="1"/>
  <c r="F997" i="3" a="1"/>
  <c r="F997" i="3" s="1"/>
  <c r="F998" i="3" a="1"/>
  <c r="F998" i="3" s="1"/>
  <c r="F999" i="3" a="1"/>
  <c r="F999" i="3" s="1"/>
  <c r="F1000" i="3" a="1"/>
  <c r="F1000" i="3" s="1"/>
  <c r="F1001" i="3" a="1"/>
  <c r="F1001" i="3" s="1"/>
  <c r="F1002" i="3" a="1"/>
  <c r="F1002" i="3" s="1"/>
  <c r="F1003" i="3" a="1"/>
  <c r="F1003" i="3" s="1"/>
  <c r="F1004" i="3" a="1"/>
  <c r="F1004" i="3" s="1"/>
  <c r="F1005" i="3" a="1"/>
  <c r="F1005" i="3" s="1"/>
  <c r="F1006" i="3" a="1"/>
  <c r="F1006" i="3" s="1"/>
  <c r="F7" i="3" a="1"/>
  <c r="F7" i="3" s="1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7" i="3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8" i="1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8" i="2"/>
  <c r="B4" i="1" l="1"/>
  <c r="B3" i="1" a="1"/>
  <c r="B3" i="1" s="1"/>
  <c r="B2" i="1"/>
  <c r="B4" i="3"/>
  <c r="B3" i="3"/>
  <c r="B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<sst xmlns="http://schemas.openxmlformats.org/spreadsheetml/2006/main" count="36" uniqueCount="16">
  <si>
    <t>Minimum</t>
  </si>
  <si>
    <t>What</t>
  </si>
  <si>
    <t>Pay as you go</t>
  </si>
  <si>
    <t>M_PACK_Excess_ bundles</t>
  </si>
  <si>
    <t>M_Pack_Excess_Pay_as_you_go</t>
  </si>
  <si>
    <t>M_Pack_Competitor</t>
  </si>
  <si>
    <t>S_Pack_Excess_Bundles</t>
  </si>
  <si>
    <t>S_Pack_Competitor</t>
  </si>
  <si>
    <t>S_Pack_Excess_Pay_as_you_go</t>
  </si>
  <si>
    <t>Package</t>
  </si>
  <si>
    <t>L_Pack_Excess_Bundles</t>
  </si>
  <si>
    <t>L_Pack_Excess_Pay_as_you_go</t>
  </si>
  <si>
    <t>L_PACK_Excess_ bundles</t>
  </si>
  <si>
    <t>L_Pack_competitor</t>
  </si>
  <si>
    <t>Customers would chose this pack instead of competitor</t>
  </si>
  <si>
    <t>S_PACK_Excess_ bundles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</si>
</sst>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 [$€-2]\ * #,##0.00_ ;_ [$€-2]\ * \-#,##0.00_ ;_ [$€-2]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">
    <xf numFmtId="0" fontId="0" fillId="0" borderId="0" xfId="0"/>
    <xf numFmtId="164" fontId="0" fillId="0" borderId="0" xfId="2" applyNumberFormat="1" applyFont="1"/>
    <xf numFmtId="164" fontId="0" fillId="0" borderId="0" xfId="1" applyNumberFormat="1" applyFont="1"/>
    <xf numFmtId="164" fontId="0" fillId="0" borderId="0" xfId="0" applyNumberFormat="1"/>
    <xf numFmtId="0" fontId="2" fillId="2" borderId="0" xfId="3"/>
  </cellXfs>
  <cellStyles count="4">
    <cellStyle name="Comma" xfId="1" builtinId="3"/>
    <cellStyle name="Currency" xfId="2" builtinId="4"/>
    <cellStyle name="Good" xfId="3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ADE6A-B241-480A-8A0C-7E67A7F3AB05}">
  <dimension ref="A2:K1007"/>
  <sheetViews>
    <sheetView tabSelected="1" workbookViewId="0">
      <selection activeCell="B5" sqref="B5"/>
    </sheetView>
  </sheetViews>
  <sheetFormatPr defaultRowHeight="15" x14ac:dyDescent="0.25"/>
  <cols>
    <col min="1" max="1" width="27.140625" bestFit="1" customWidth="1"/>
    <col min="2" max="2" width="26.28515625" bestFit="1" customWidth="1"/>
    <col min="3" max="3" width="31.7109375" bestFit="1" customWidth="1"/>
    <col min="4" max="5" width="12" bestFit="1" customWidth="1"/>
    <col min="10" max="10" width="27.85546875" bestFit="1" customWidth="1"/>
    <col min="11" max="11" width="12.7109375" bestFit="1" customWidth="1"/>
  </cols>
  <sheetData>
    <row r="2" spans="1:6" x14ac:dyDescent="0.25">
      <c r="A2" s="4" t="s">
        <v>2</v>
      </c>
      <c r="B2" s="4">
        <f>COUNTIF(F8:F1007,"Pay as you go")</f>
        <v>925</v>
      </c>
      <c r="C2" t="s">
        <v>14</v>
      </c>
    </row>
    <row r="3" spans="1:6" x14ac:dyDescent="0.25">
      <c r="A3" s="4" t="s">
        <v>15</v>
      </c>
      <c r="B3" s="4">
        <f t="array" ref="B3">COUNTIF(F8:F1007,"Prediction_PACK")</f>
        <v>66</v>
      </c>
      <c r="C3" t="s">
        <v>14</v>
      </c>
    </row>
    <row r="4" spans="1:6" x14ac:dyDescent="0.25">
      <c r="A4" s="4" t="s">
        <v>8</v>
      </c>
      <c r="B4" s="4">
        <f>COUNTIF(F8:F1007,"Prediction_Payasyougo")</f>
        <v>9</v>
      </c>
      <c r="C4" t="s">
        <v>14</v>
      </c>
    </row>
    <row r="7" spans="1:6" x14ac:dyDescent="0.25">
      <c r="A7" t="s">
        <v>2</v>
      </c>
      <c r="B7" t="s">
        <v>6</v>
      </c>
      <c r="C7" t="s">
        <v>8</v>
      </c>
      <c r="D7" t="s">
        <v>7</v>
      </c>
      <c r="E7" t="s">
        <v>0</v>
      </c>
      <c r="F7" t="s">
        <v>9</v>
      </c>
    </row>
    <row r="8" spans="1:6" x14ac:dyDescent="0.25">
      <c r="A8">
        <v>179.76300000000001</v>
      </c>
      <c r="B8">
        <v>221.96854907513907</v>
      </c>
      <c r="C8">
        <v>324.10585427089131</v>
      </c>
      <c r="D8">
        <v>330.96854907513909</v>
      </c>
      <c r="E8">
        <f>MIN(A8:D8)</f>
        <v>179.76300000000001</v>
      </c>
      <c r="F8" t="str" cm="1">
        <f t="array" ref="F8">INDEX({"Pay as you go","Prediction_Pack","Prediction_Payasyougo',""Competitor"},MATCH(MIN(A8:D8),A8:D8,0))</f>
        <v>Pay as you go</v>
      </c>
    </row>
    <row r="9" spans="1:6" x14ac:dyDescent="0.25">
      <c r="A9">
        <v>155.13899999999998</v>
      </c>
      <c r="B9">
        <v>187.44349303390041</v>
      </c>
      <c r="C9">
        <v>289.85661614136137</v>
      </c>
      <c r="D9">
        <v>268.44349303390044</v>
      </c>
      <c r="E9">
        <f t="shared" ref="E9:E72" si="0">MIN(A9:D9)</f>
        <v>155.13899999999998</v>
      </c>
      <c r="F9" t="str" cm="1">
        <f t="array" ref="F9">INDEX({"Pay as you go","Prediction_Pack","Prediction_Payasyougo',""Competitor"},MATCH(MIN(A9:D9),A9:D9,0))</f>
        <v>Pay as you go</v>
      </c>
    </row>
    <row r="10" spans="1:6" x14ac:dyDescent="0.25">
      <c r="A10">
        <v>136.17499999999998</v>
      </c>
      <c r="B10">
        <v>168.29837875777693</v>
      </c>
      <c r="C10">
        <v>235.5619645812113</v>
      </c>
      <c r="D10">
        <v>259.2983787577769</v>
      </c>
      <c r="E10">
        <f t="shared" si="0"/>
        <v>136.17499999999998</v>
      </c>
      <c r="F10" t="str" cm="1">
        <f t="array" ref="F10">INDEX({"Pay as you go","Prediction_Pack","Prediction_Payasyougo',""Competitor"},MATCH(MIN(A10:D10),A10:D10,0))</f>
        <v>Pay as you go</v>
      </c>
    </row>
    <row r="11" spans="1:6" x14ac:dyDescent="0.25">
      <c r="A11">
        <v>173.05100000000002</v>
      </c>
      <c r="B11">
        <v>196.23653152990335</v>
      </c>
      <c r="C11">
        <v>281.95051165180371</v>
      </c>
      <c r="D11">
        <v>319.23653152990335</v>
      </c>
      <c r="E11">
        <f t="shared" si="0"/>
        <v>173.05100000000002</v>
      </c>
      <c r="F11" t="str" cm="1">
        <f t="array" ref="F11">INDEX({"Pay as you go","Prediction_Pack","Prediction_Payasyougo',""Competitor"},MATCH(MIN(A11:D11),A11:D11,0))</f>
        <v>Pay as you go</v>
      </c>
    </row>
    <row r="12" spans="1:6" x14ac:dyDescent="0.25">
      <c r="A12">
        <v>179.215</v>
      </c>
      <c r="B12">
        <v>203.48370167255962</v>
      </c>
      <c r="C12">
        <v>315.69653755711624</v>
      </c>
      <c r="D12">
        <v>313.48370167255962</v>
      </c>
      <c r="E12">
        <f t="shared" si="0"/>
        <v>179.215</v>
      </c>
      <c r="F12" t="str" cm="1">
        <f t="array" ref="F12">INDEX({"Pay as you go","Prediction_Pack","Prediction_Payasyougo',""Competitor"},MATCH(MIN(A12:D12),A12:D12,0))</f>
        <v>Pay as you go</v>
      </c>
    </row>
    <row r="13" spans="1:6" x14ac:dyDescent="0.25">
      <c r="A13">
        <v>189.67400000000001</v>
      </c>
      <c r="B13">
        <v>211.56317257848968</v>
      </c>
      <c r="C13">
        <v>297.60979731267741</v>
      </c>
      <c r="D13">
        <v>342.56317257848968</v>
      </c>
      <c r="E13">
        <f t="shared" si="0"/>
        <v>189.67400000000001</v>
      </c>
      <c r="F13" t="str" cm="1">
        <f t="array" ref="F13">INDEX({"Pay as you go","Prediction_Pack","Prediction_Payasyougo',""Competitor"},MATCH(MIN(A13:D13),A13:D13,0))</f>
        <v>Pay as you go</v>
      </c>
    </row>
    <row r="14" spans="1:6" x14ac:dyDescent="0.25">
      <c r="A14">
        <v>190.81700000000001</v>
      </c>
      <c r="B14">
        <v>207.37882294109517</v>
      </c>
      <c r="C14">
        <v>303.32869722499152</v>
      </c>
      <c r="D14">
        <v>348.37882294109517</v>
      </c>
      <c r="E14">
        <f t="shared" si="0"/>
        <v>190.81700000000001</v>
      </c>
      <c r="F14" t="str" cm="1">
        <f t="array" ref="F14">INDEX({"Pay as you go","Prediction_Pack","Prediction_Payasyougo',""Competitor"},MATCH(MIN(A14:D14),A14:D14,0))</f>
        <v>Pay as you go</v>
      </c>
    </row>
    <row r="15" spans="1:6" x14ac:dyDescent="0.25">
      <c r="A15">
        <v>138.41000000000003</v>
      </c>
      <c r="B15">
        <v>175.28440272714562</v>
      </c>
      <c r="C15">
        <v>247.81233378268257</v>
      </c>
      <c r="D15">
        <v>263.28440272714562</v>
      </c>
      <c r="E15">
        <f t="shared" si="0"/>
        <v>138.41000000000003</v>
      </c>
      <c r="F15" t="str" cm="1">
        <f t="array" ref="F15">INDEX({"Pay as you go","Prediction_Pack","Prediction_Payasyougo',""Competitor"},MATCH(MIN(A15:D15),A15:D15,0))</f>
        <v>Pay as you go</v>
      </c>
    </row>
    <row r="16" spans="1:6" x14ac:dyDescent="0.25">
      <c r="A16">
        <v>163.232</v>
      </c>
      <c r="B16">
        <v>195.83168088643265</v>
      </c>
      <c r="C16">
        <v>288.42114745930388</v>
      </c>
      <c r="D16">
        <v>298.83168088643265</v>
      </c>
      <c r="E16">
        <f t="shared" si="0"/>
        <v>163.232</v>
      </c>
      <c r="F16" t="str" cm="1">
        <f t="array" ref="F16">INDEX({"Pay as you go","Prediction_Pack","Prediction_Payasyougo',""Competitor"},MATCH(MIN(A16:D16),A16:D16,0))</f>
        <v>Pay as you go</v>
      </c>
    </row>
    <row r="17" spans="1:11" x14ac:dyDescent="0.25">
      <c r="A17">
        <v>182.61700000000002</v>
      </c>
      <c r="B17">
        <v>189.65683516702336</v>
      </c>
      <c r="C17">
        <v>265.35418100572537</v>
      </c>
      <c r="D17">
        <v>330.65683516702336</v>
      </c>
      <c r="E17">
        <f t="shared" si="0"/>
        <v>182.61700000000002</v>
      </c>
      <c r="F17" t="str" cm="1">
        <f t="array" ref="F17">INDEX({"Pay as you go","Prediction_Pack","Prediction_Payasyougo',""Competitor"},MATCH(MIN(A17:D17),A17:D17,0))</f>
        <v>Pay as you go</v>
      </c>
    </row>
    <row r="18" spans="1:11" x14ac:dyDescent="0.25">
      <c r="A18">
        <v>205.59900000000002</v>
      </c>
      <c r="B18">
        <v>225.23247018554989</v>
      </c>
      <c r="C18">
        <v>337.62097425244184</v>
      </c>
      <c r="D18">
        <v>365.23247018554986</v>
      </c>
      <c r="E18">
        <f t="shared" si="0"/>
        <v>205.59900000000002</v>
      </c>
      <c r="F18" t="str" cm="1">
        <f t="array" ref="F18">INDEX({"Pay as you go","Prediction_Pack","Prediction_Payasyougo',""Competitor"},MATCH(MIN(A18:D18),A18:D18,0))</f>
        <v>Pay as you go</v>
      </c>
    </row>
    <row r="19" spans="1:11" x14ac:dyDescent="0.25">
      <c r="A19">
        <v>131.15</v>
      </c>
      <c r="B19">
        <v>144.56434913472984</v>
      </c>
      <c r="C19">
        <v>191.82165868225448</v>
      </c>
      <c r="D19">
        <v>243.56434913472984</v>
      </c>
      <c r="E19">
        <f t="shared" si="0"/>
        <v>131.15</v>
      </c>
      <c r="F19" t="str" cm="1">
        <f t="array" ref="F19">INDEX({"Pay as you go","Prediction_Pack","Prediction_Payasyougo',""Competitor"},MATCH(MIN(A19:D19),A19:D19,0))</f>
        <v>Pay as you go</v>
      </c>
      <c r="K19" s="3"/>
    </row>
    <row r="20" spans="1:11" x14ac:dyDescent="0.25">
      <c r="A20">
        <v>153.30100000000002</v>
      </c>
      <c r="B20">
        <v>179.34180036012677</v>
      </c>
      <c r="C20">
        <v>260.37623873102558</v>
      </c>
      <c r="D20">
        <v>283.3418003601268</v>
      </c>
      <c r="E20">
        <f t="shared" si="0"/>
        <v>153.30100000000002</v>
      </c>
      <c r="F20" t="str" cm="1">
        <f t="array" ref="F20">INDEX({"Pay as you go","Prediction_Pack","Prediction_Payasyougo',""Competitor"},MATCH(MIN(A20:D20),A20:D20,0))</f>
        <v>Pay as you go</v>
      </c>
      <c r="K20" s="3"/>
    </row>
    <row r="21" spans="1:11" x14ac:dyDescent="0.25">
      <c r="A21">
        <v>204.762</v>
      </c>
      <c r="B21">
        <v>244.47783411490758</v>
      </c>
      <c r="C21">
        <v>359.00150431982064</v>
      </c>
      <c r="D21">
        <v>374.47783411490758</v>
      </c>
      <c r="E21">
        <f t="shared" si="0"/>
        <v>204.762</v>
      </c>
      <c r="F21" t="str" cm="1">
        <f t="array" ref="F21">INDEX({"Pay as you go","Prediction_Pack","Prediction_Payasyougo',""Competitor"},MATCH(MIN(A21:D21),A21:D21,0))</f>
        <v>Pay as you go</v>
      </c>
      <c r="K21" s="3"/>
    </row>
    <row r="22" spans="1:11" x14ac:dyDescent="0.25">
      <c r="A22">
        <v>150.03</v>
      </c>
      <c r="B22">
        <v>190.17937126183651</v>
      </c>
      <c r="C22">
        <v>261.59444127398694</v>
      </c>
      <c r="D22">
        <v>286.17937126183654</v>
      </c>
      <c r="E22">
        <f t="shared" si="0"/>
        <v>150.03</v>
      </c>
      <c r="F22" t="str" cm="1">
        <f t="array" ref="F22">INDEX({"Pay as you go","Prediction_Pack","Prediction_Payasyougo',""Competitor"},MATCH(MIN(A22:D22),A22:D22,0))</f>
        <v>Pay as you go</v>
      </c>
      <c r="K22" s="3"/>
    </row>
    <row r="23" spans="1:11" x14ac:dyDescent="0.25">
      <c r="A23">
        <v>149.30900000000003</v>
      </c>
      <c r="B23">
        <v>178.09474432535342</v>
      </c>
      <c r="C23">
        <v>248.63920812473796</v>
      </c>
      <c r="D23">
        <v>276.09474432535342</v>
      </c>
      <c r="E23">
        <f t="shared" si="0"/>
        <v>149.30900000000003</v>
      </c>
      <c r="F23" t="str" cm="1">
        <f t="array" ref="F23">INDEX({"Pay as you go","Prediction_Pack","Prediction_Payasyougo',""Competitor"},MATCH(MIN(A23:D23),A23:D23,0))</f>
        <v>Pay as you go</v>
      </c>
    </row>
    <row r="24" spans="1:11" x14ac:dyDescent="0.25">
      <c r="A24">
        <v>135.05799999999999</v>
      </c>
      <c r="B24">
        <v>150.99299526462602</v>
      </c>
      <c r="C24">
        <v>197.01150204542154</v>
      </c>
      <c r="D24">
        <v>251.99299526462602</v>
      </c>
      <c r="E24">
        <f t="shared" si="0"/>
        <v>135.05799999999999</v>
      </c>
      <c r="F24" t="str" cm="1">
        <f t="array" ref="F24">INDEX({"Pay as you go","Prediction_Pack","Prediction_Payasyougo',""Competitor"},MATCH(MIN(A24:D24),A24:D24,0))</f>
        <v>Pay as you go</v>
      </c>
    </row>
    <row r="25" spans="1:11" x14ac:dyDescent="0.25">
      <c r="A25">
        <v>110.59400000000001</v>
      </c>
      <c r="B25">
        <v>132.21148212253732</v>
      </c>
      <c r="C25">
        <v>172.96272815819736</v>
      </c>
      <c r="D25">
        <v>214.21148212253732</v>
      </c>
      <c r="E25">
        <f t="shared" si="0"/>
        <v>110.59400000000001</v>
      </c>
      <c r="F25" t="str" cm="1">
        <f t="array" ref="F25">INDEX({"Pay as you go","Prediction_Pack","Prediction_Payasyougo',""Competitor"},MATCH(MIN(A25:D25),A25:D25,0))</f>
        <v>Pay as you go</v>
      </c>
    </row>
    <row r="26" spans="1:11" x14ac:dyDescent="0.25">
      <c r="A26">
        <v>102.04900000000001</v>
      </c>
      <c r="B26">
        <v>134.67213771043137</v>
      </c>
      <c r="C26">
        <v>175.384224021671</v>
      </c>
      <c r="D26">
        <v>207.67213771043137</v>
      </c>
      <c r="E26">
        <f t="shared" si="0"/>
        <v>102.04900000000001</v>
      </c>
      <c r="F26" t="str" cm="1">
        <f t="array" ref="F26">INDEX({"Pay as you go","Prediction_Pack","Prediction_Payasyougo',""Competitor"},MATCH(MIN(A26:D26),A26:D26,0))</f>
        <v>Pay as you go</v>
      </c>
    </row>
    <row r="27" spans="1:11" x14ac:dyDescent="0.25">
      <c r="A27">
        <v>148.886</v>
      </c>
      <c r="B27">
        <v>164.26205150553253</v>
      </c>
      <c r="C27">
        <v>224.56413525630202</v>
      </c>
      <c r="D27">
        <v>274.26205150553255</v>
      </c>
      <c r="E27">
        <f t="shared" si="0"/>
        <v>148.886</v>
      </c>
      <c r="F27" t="str" cm="1">
        <f t="array" ref="F27">INDEX({"Pay as you go","Prediction_Pack","Prediction_Payasyougo',""Competitor"},MATCH(MIN(A27:D27),A27:D27,0))</f>
        <v>Pay as you go</v>
      </c>
    </row>
    <row r="28" spans="1:11" x14ac:dyDescent="0.25">
      <c r="A28">
        <v>149.881</v>
      </c>
      <c r="B28">
        <v>156.48060364295574</v>
      </c>
      <c r="C28">
        <v>206.00504443769901</v>
      </c>
      <c r="D28">
        <v>274.48060364295577</v>
      </c>
      <c r="E28">
        <f t="shared" si="0"/>
        <v>149.881</v>
      </c>
      <c r="F28" t="str" cm="1">
        <f t="array" ref="F28">INDEX({"Pay as you go","Prediction_Pack","Prediction_Payasyougo',""Competitor"},MATCH(MIN(A28:D28),A28:D28,0))</f>
        <v>Pay as you go</v>
      </c>
    </row>
    <row r="29" spans="1:11" x14ac:dyDescent="0.25">
      <c r="A29">
        <v>151.114</v>
      </c>
      <c r="B29">
        <v>161.18634048682034</v>
      </c>
      <c r="C29">
        <v>212.64971255836252</v>
      </c>
      <c r="D29">
        <v>280.18634048682031</v>
      </c>
      <c r="E29">
        <f t="shared" si="0"/>
        <v>151.114</v>
      </c>
      <c r="F29" t="str" cm="1">
        <f t="array" ref="F29">INDEX({"Pay as you go","Prediction_Pack","Prediction_Payasyougo',""Competitor"},MATCH(MIN(A29:D29),A29:D29,0))</f>
        <v>Pay as you go</v>
      </c>
    </row>
    <row r="30" spans="1:11" x14ac:dyDescent="0.25">
      <c r="A30">
        <v>159.98400000000001</v>
      </c>
      <c r="B30">
        <v>192.10902470850343</v>
      </c>
      <c r="C30">
        <v>275.89994506582497</v>
      </c>
      <c r="D30">
        <v>299.10902470850345</v>
      </c>
      <c r="E30">
        <f t="shared" si="0"/>
        <v>159.98400000000001</v>
      </c>
      <c r="F30" t="str" cm="1">
        <f t="array" ref="F30">INDEX({"Pay as you go","Prediction_Pack","Prediction_Payasyougo',""Competitor"},MATCH(MIN(A30:D30),A30:D30,0))</f>
        <v>Pay as you go</v>
      </c>
    </row>
    <row r="31" spans="1:11" x14ac:dyDescent="0.25">
      <c r="A31">
        <v>150.202</v>
      </c>
      <c r="B31">
        <v>168.71283900034268</v>
      </c>
      <c r="C31">
        <v>236.71672560016955</v>
      </c>
      <c r="D31">
        <v>274.71283900034268</v>
      </c>
      <c r="E31">
        <f t="shared" si="0"/>
        <v>150.202</v>
      </c>
      <c r="F31" t="str" cm="1">
        <f t="array" ref="F31">INDEX({"Pay as you go","Prediction_Pack","Prediction_Payasyougo',""Competitor"},MATCH(MIN(A31:D31),A31:D31,0))</f>
        <v>Pay as you go</v>
      </c>
    </row>
    <row r="32" spans="1:11" x14ac:dyDescent="0.25">
      <c r="A32">
        <v>179.08800000000002</v>
      </c>
      <c r="B32">
        <v>196.11512952909419</v>
      </c>
      <c r="C32">
        <v>283.62126697078128</v>
      </c>
      <c r="D32">
        <v>324.11512952909419</v>
      </c>
      <c r="E32">
        <f t="shared" si="0"/>
        <v>179.08800000000002</v>
      </c>
      <c r="F32" t="str" cm="1">
        <f t="array" ref="F32">INDEX({"Pay as you go","Prediction_Pack","Prediction_Payasyougo',""Competitor"},MATCH(MIN(A32:D32),A32:D32,0))</f>
        <v>Pay as you go</v>
      </c>
    </row>
    <row r="33" spans="1:6" x14ac:dyDescent="0.25">
      <c r="A33">
        <v>254.38200000000001</v>
      </c>
      <c r="B33">
        <v>293.72875333081322</v>
      </c>
      <c r="C33">
        <v>447.50929748174673</v>
      </c>
      <c r="D33">
        <v>455.72875333081316</v>
      </c>
      <c r="E33">
        <f t="shared" si="0"/>
        <v>254.38200000000001</v>
      </c>
      <c r="F33" t="str" cm="1">
        <f t="array" ref="F33">INDEX({"Pay as you go","Prediction_Pack","Prediction_Payasyougo',""Competitor"},MATCH(MIN(A33:D33),A33:D33,0))</f>
        <v>Pay as you go</v>
      </c>
    </row>
    <row r="34" spans="1:6" x14ac:dyDescent="0.25">
      <c r="A34">
        <v>162.91300000000001</v>
      </c>
      <c r="B34">
        <v>166.54842284958028</v>
      </c>
      <c r="C34">
        <v>232.61976990360833</v>
      </c>
      <c r="D34">
        <v>291.54842284958028</v>
      </c>
      <c r="E34">
        <f t="shared" si="0"/>
        <v>162.91300000000001</v>
      </c>
      <c r="F34" t="str" cm="1">
        <f t="array" ref="F34">INDEX({"Pay as you go","Prediction_Pack","Prediction_Payasyougo',""Competitor"},MATCH(MIN(A34:D34),A34:D34,0))</f>
        <v>Pay as you go</v>
      </c>
    </row>
    <row r="35" spans="1:6" x14ac:dyDescent="0.25">
      <c r="A35">
        <v>125.693</v>
      </c>
      <c r="B35">
        <v>148.2578320504328</v>
      </c>
      <c r="C35">
        <v>192.95395687747668</v>
      </c>
      <c r="D35">
        <v>244.2578320504328</v>
      </c>
      <c r="E35">
        <f t="shared" si="0"/>
        <v>125.693</v>
      </c>
      <c r="F35" t="str" cm="1">
        <f t="array" ref="F35">INDEX({"Pay as you go","Prediction_Pack","Prediction_Payasyougo',""Competitor"},MATCH(MIN(A35:D35),A35:D35,0))</f>
        <v>Pay as you go</v>
      </c>
    </row>
    <row r="36" spans="1:6" x14ac:dyDescent="0.25">
      <c r="A36">
        <v>115.584</v>
      </c>
      <c r="B36">
        <v>124.28727361222377</v>
      </c>
      <c r="C36">
        <v>159.50503578360022</v>
      </c>
      <c r="D36">
        <v>219.28727361222377</v>
      </c>
      <c r="E36">
        <f t="shared" si="0"/>
        <v>115.584</v>
      </c>
      <c r="F36" t="str" cm="1">
        <f t="array" ref="F36">INDEX({"Pay as you go","Prediction_Pack","Prediction_Payasyougo',""Competitor"},MATCH(MIN(A36:D36),A36:D36,0))</f>
        <v>Pay as you go</v>
      </c>
    </row>
    <row r="37" spans="1:6" x14ac:dyDescent="0.25">
      <c r="A37">
        <v>182.892</v>
      </c>
      <c r="B37">
        <v>179.41760944717942</v>
      </c>
      <c r="C37">
        <v>256.41814980666567</v>
      </c>
      <c r="D37">
        <v>328.41760944717942</v>
      </c>
      <c r="E37">
        <f t="shared" si="0"/>
        <v>179.41760944717942</v>
      </c>
      <c r="F37" t="str" cm="1">
        <f t="array" ref="F37">INDEX({"Pay as you go","Prediction_Pack","Prediction_Payasyougo',""Competitor"},MATCH(MIN(A37:D37),A37:D37,0))</f>
        <v>Prediction_Pack</v>
      </c>
    </row>
    <row r="38" spans="1:6" x14ac:dyDescent="0.25">
      <c r="A38">
        <v>198.08800000000002</v>
      </c>
      <c r="B38">
        <v>243.65975825835687</v>
      </c>
      <c r="C38">
        <v>378.3829837580243</v>
      </c>
      <c r="D38">
        <v>363.65975825835687</v>
      </c>
      <c r="E38">
        <f t="shared" si="0"/>
        <v>198.08800000000002</v>
      </c>
      <c r="F38" t="str" cm="1">
        <f t="array" ref="F38">INDEX({"Pay as you go","Prediction_Pack","Prediction_Payasyougo',""Competitor"},MATCH(MIN(A38:D38),A38:D38,0))</f>
        <v>Pay as you go</v>
      </c>
    </row>
    <row r="39" spans="1:6" x14ac:dyDescent="0.25">
      <c r="A39">
        <v>204.643</v>
      </c>
      <c r="B39">
        <v>222.36673314981505</v>
      </c>
      <c r="C39">
        <v>322.22244370025567</v>
      </c>
      <c r="D39">
        <v>366.36673314981505</v>
      </c>
      <c r="E39">
        <f t="shared" si="0"/>
        <v>204.643</v>
      </c>
      <c r="F39" t="str" cm="1">
        <f t="array" ref="F39">INDEX({"Pay as you go","Prediction_Pack","Prediction_Payasyougo',""Competitor"},MATCH(MIN(A39:D39),A39:D39,0))</f>
        <v>Pay as you go</v>
      </c>
    </row>
    <row r="40" spans="1:6" x14ac:dyDescent="0.25">
      <c r="A40">
        <v>133.88499999999999</v>
      </c>
      <c r="B40">
        <v>148.84588553933065</v>
      </c>
      <c r="C40">
        <v>194.05123732845539</v>
      </c>
      <c r="D40">
        <v>254.84588553933065</v>
      </c>
      <c r="E40">
        <f t="shared" si="0"/>
        <v>133.88499999999999</v>
      </c>
      <c r="F40" t="str" cm="1">
        <f t="array" ref="F40">INDEX({"Pay as you go","Prediction_Pack","Prediction_Payasyougo',""Competitor"},MATCH(MIN(A40:D40),A40:D40,0))</f>
        <v>Pay as you go</v>
      </c>
    </row>
    <row r="41" spans="1:6" x14ac:dyDescent="0.25">
      <c r="A41">
        <v>149.32999999999998</v>
      </c>
      <c r="B41">
        <v>156.29018739227453</v>
      </c>
      <c r="C41">
        <v>205.34410751411465</v>
      </c>
      <c r="D41">
        <v>274.29018739227456</v>
      </c>
      <c r="E41">
        <f t="shared" si="0"/>
        <v>149.32999999999998</v>
      </c>
      <c r="F41" t="str" cm="1">
        <f t="array" ref="F41">INDEX({"Pay as you go","Prediction_Pack","Prediction_Payasyougo',""Competitor"},MATCH(MIN(A41:D41),A41:D41,0))</f>
        <v>Pay as you go</v>
      </c>
    </row>
    <row r="42" spans="1:6" x14ac:dyDescent="0.25">
      <c r="A42">
        <v>180.517</v>
      </c>
      <c r="B42">
        <v>201.44600210142903</v>
      </c>
      <c r="C42">
        <v>283.67649342486141</v>
      </c>
      <c r="D42">
        <v>330.44600210142903</v>
      </c>
      <c r="E42">
        <f t="shared" si="0"/>
        <v>180.517</v>
      </c>
      <c r="F42" t="str" cm="1">
        <f t="array" ref="F42">INDEX({"Pay as you go","Prediction_Pack","Prediction_Payasyougo',""Competitor"},MATCH(MIN(A42:D42),A42:D42,0))</f>
        <v>Pay as you go</v>
      </c>
    </row>
    <row r="43" spans="1:6" x14ac:dyDescent="0.25">
      <c r="A43">
        <v>98.048999999999992</v>
      </c>
      <c r="B43">
        <v>128.56658406413155</v>
      </c>
      <c r="C43">
        <v>161.68499979212527</v>
      </c>
      <c r="D43">
        <v>199.56658406413155</v>
      </c>
      <c r="E43">
        <f t="shared" si="0"/>
        <v>98.048999999999992</v>
      </c>
      <c r="F43" t="str" cm="1">
        <f t="array" ref="F43">INDEX({"Pay as you go","Prediction_Pack","Prediction_Payasyougo',""Competitor"},MATCH(MIN(A43:D43),A43:D43,0))</f>
        <v>Pay as you go</v>
      </c>
    </row>
    <row r="44" spans="1:6" x14ac:dyDescent="0.25">
      <c r="A44">
        <v>163.239</v>
      </c>
      <c r="B44">
        <v>187.1613821607651</v>
      </c>
      <c r="C44">
        <v>256.89973387316905</v>
      </c>
      <c r="D44">
        <v>308.16138216076513</v>
      </c>
      <c r="E44">
        <f t="shared" si="0"/>
        <v>163.239</v>
      </c>
      <c r="F44" t="str" cm="1">
        <f t="array" ref="F44">INDEX({"Pay as you go","Prediction_Pack","Prediction_Payasyougo',""Competitor"},MATCH(MIN(A44:D44),A44:D44,0))</f>
        <v>Pay as you go</v>
      </c>
    </row>
    <row r="45" spans="1:6" x14ac:dyDescent="0.25">
      <c r="A45">
        <v>141.32900000000001</v>
      </c>
      <c r="B45">
        <v>166.55365645766642</v>
      </c>
      <c r="C45">
        <v>230.83480188919469</v>
      </c>
      <c r="D45">
        <v>266.55365645766642</v>
      </c>
      <c r="E45">
        <f t="shared" si="0"/>
        <v>141.32900000000001</v>
      </c>
      <c r="F45" t="str" cm="1">
        <f t="array" ref="F45">INDEX({"Pay as you go","Prediction_Pack","Prediction_Payasyougo',""Competitor"},MATCH(MIN(A45:D45),A45:D45,0))</f>
        <v>Pay as you go</v>
      </c>
    </row>
    <row r="46" spans="1:6" x14ac:dyDescent="0.25">
      <c r="A46">
        <v>156.64100000000002</v>
      </c>
      <c r="B46">
        <v>181.02149782858248</v>
      </c>
      <c r="C46">
        <v>258.58641967746365</v>
      </c>
      <c r="D46">
        <v>285.02149782858248</v>
      </c>
      <c r="E46">
        <f t="shared" si="0"/>
        <v>156.64100000000002</v>
      </c>
      <c r="F46" t="str" cm="1">
        <f t="array" ref="F46">INDEX({"Pay as you go","Prediction_Pack","Prediction_Payasyougo',""Competitor"},MATCH(MIN(A46:D46),A46:D46,0))</f>
        <v>Pay as you go</v>
      </c>
    </row>
    <row r="47" spans="1:6" x14ac:dyDescent="0.25">
      <c r="A47">
        <v>196.529</v>
      </c>
      <c r="B47">
        <v>222.17128484416369</v>
      </c>
      <c r="C47">
        <v>326.88425509673601</v>
      </c>
      <c r="D47">
        <v>357.17128484416367</v>
      </c>
      <c r="E47">
        <f t="shared" si="0"/>
        <v>196.529</v>
      </c>
      <c r="F47" t="str" cm="1">
        <f t="array" ref="F47">INDEX({"Pay as you go","Prediction_Pack","Prediction_Payasyougo',""Competitor"},MATCH(MIN(A47:D47),A47:D47,0))</f>
        <v>Pay as you go</v>
      </c>
    </row>
    <row r="48" spans="1:6" x14ac:dyDescent="0.25">
      <c r="A48">
        <v>203.303</v>
      </c>
      <c r="B48">
        <v>218.69857145822294</v>
      </c>
      <c r="C48">
        <v>306.41737409570396</v>
      </c>
      <c r="D48">
        <v>371.69857145822294</v>
      </c>
      <c r="E48">
        <f t="shared" si="0"/>
        <v>203.303</v>
      </c>
      <c r="F48" t="str" cm="1">
        <f t="array" ref="F48">INDEX({"Pay as you go","Prediction_Pack","Prediction_Payasyougo',""Competitor"},MATCH(MIN(A48:D48),A48:D48,0))</f>
        <v>Pay as you go</v>
      </c>
    </row>
    <row r="49" spans="1:6" x14ac:dyDescent="0.25">
      <c r="A49">
        <v>201.72499999999999</v>
      </c>
      <c r="B49">
        <v>239.5838288833676</v>
      </c>
      <c r="C49">
        <v>356.24628244076223</v>
      </c>
      <c r="D49">
        <v>368.58382888336757</v>
      </c>
      <c r="E49">
        <f t="shared" si="0"/>
        <v>201.72499999999999</v>
      </c>
      <c r="F49" t="str" cm="1">
        <f t="array" ref="F49">INDEX({"Pay as you go","Prediction_Pack","Prediction_Payasyougo',""Competitor"},MATCH(MIN(A49:D49),A49:D49,0))</f>
        <v>Pay as you go</v>
      </c>
    </row>
    <row r="50" spans="1:6" x14ac:dyDescent="0.25">
      <c r="A50">
        <v>125.376</v>
      </c>
      <c r="B50">
        <v>135.55148674883617</v>
      </c>
      <c r="C50">
        <v>171.52525757035198</v>
      </c>
      <c r="D50">
        <v>243.55148674883617</v>
      </c>
      <c r="E50">
        <f t="shared" si="0"/>
        <v>125.376</v>
      </c>
      <c r="F50" t="str" cm="1">
        <f t="array" ref="F50">INDEX({"Pay as you go","Prediction_Pack","Prediction_Payasyougo',""Competitor"},MATCH(MIN(A50:D50),A50:D50,0))</f>
        <v>Pay as you go</v>
      </c>
    </row>
    <row r="51" spans="1:6" x14ac:dyDescent="0.25">
      <c r="A51">
        <v>156.86100000000002</v>
      </c>
      <c r="B51">
        <v>172.74664663788181</v>
      </c>
      <c r="C51">
        <v>236.04867406793329</v>
      </c>
      <c r="D51">
        <v>289.74664663788178</v>
      </c>
      <c r="E51">
        <f t="shared" si="0"/>
        <v>156.86100000000002</v>
      </c>
      <c r="F51" t="str" cm="1">
        <f t="array" ref="F51">INDEX({"Pay as you go","Prediction_Pack","Prediction_Payasyougo',""Competitor"},MATCH(MIN(A51:D51),A51:D51,0))</f>
        <v>Pay as you go</v>
      </c>
    </row>
    <row r="52" spans="1:6" x14ac:dyDescent="0.25">
      <c r="A52">
        <v>134.36600000000001</v>
      </c>
      <c r="B52">
        <v>160.28042977960993</v>
      </c>
      <c r="C52">
        <v>209.20928068413306</v>
      </c>
      <c r="D52">
        <v>253.2804297796099</v>
      </c>
      <c r="E52">
        <f t="shared" si="0"/>
        <v>134.36600000000001</v>
      </c>
      <c r="F52" t="str" cm="1">
        <f t="array" ref="F52">INDEX({"Pay as you go","Prediction_Pack","Prediction_Payasyougo',""Competitor"},MATCH(MIN(A52:D52),A52:D52,0))</f>
        <v>Pay as you go</v>
      </c>
    </row>
    <row r="53" spans="1:6" x14ac:dyDescent="0.25">
      <c r="A53">
        <v>134.601</v>
      </c>
      <c r="B53">
        <v>148.46247855664424</v>
      </c>
      <c r="C53">
        <v>194.94757788656005</v>
      </c>
      <c r="D53">
        <v>249.46247855664421</v>
      </c>
      <c r="E53">
        <f t="shared" si="0"/>
        <v>134.601</v>
      </c>
      <c r="F53" t="str" cm="1">
        <f t="array" ref="F53">INDEX({"Pay as you go","Prediction_Pack","Prediction_Payasyougo',""Competitor"},MATCH(MIN(A53:D53),A53:D53,0))</f>
        <v>Pay as you go</v>
      </c>
    </row>
    <row r="54" spans="1:6" x14ac:dyDescent="0.25">
      <c r="A54">
        <v>97.03</v>
      </c>
      <c r="B54">
        <v>112.05207678881213</v>
      </c>
      <c r="C54">
        <v>146.74060951672604</v>
      </c>
      <c r="D54">
        <v>184.05207678881212</v>
      </c>
      <c r="E54">
        <f t="shared" si="0"/>
        <v>97.03</v>
      </c>
      <c r="F54" t="str" cm="1">
        <f t="array" ref="F54">INDEX({"Pay as you go","Prediction_Pack","Prediction_Payasyougo',""Competitor"},MATCH(MIN(A54:D54),A54:D54,0))</f>
        <v>Pay as you go</v>
      </c>
    </row>
    <row r="55" spans="1:6" x14ac:dyDescent="0.25">
      <c r="A55">
        <v>116.98</v>
      </c>
      <c r="B55">
        <v>125.26075382136929</v>
      </c>
      <c r="C55">
        <v>153.83454617376429</v>
      </c>
      <c r="D55">
        <v>220.26075382136929</v>
      </c>
      <c r="E55">
        <f t="shared" si="0"/>
        <v>116.98</v>
      </c>
      <c r="F55" t="str" cm="1">
        <f t="array" ref="F55">INDEX({"Pay as you go","Prediction_Pack","Prediction_Payasyougo',""Competitor"},MATCH(MIN(A55:D55),A55:D55,0))</f>
        <v>Pay as you go</v>
      </c>
    </row>
    <row r="56" spans="1:6" x14ac:dyDescent="0.25">
      <c r="A56">
        <v>158.98099999999999</v>
      </c>
      <c r="B56">
        <v>168.0085074188967</v>
      </c>
      <c r="C56">
        <v>229.07935055857482</v>
      </c>
      <c r="D56">
        <v>294.00850741889673</v>
      </c>
      <c r="E56">
        <f t="shared" si="0"/>
        <v>158.98099999999999</v>
      </c>
      <c r="F56" t="str" cm="1">
        <f t="array" ref="F56">INDEX({"Pay as you go","Prediction_Pack","Prediction_Payasyougo',""Competitor"},MATCH(MIN(A56:D56),A56:D56,0))</f>
        <v>Pay as you go</v>
      </c>
    </row>
    <row r="57" spans="1:6" x14ac:dyDescent="0.25">
      <c r="A57">
        <v>125.809</v>
      </c>
      <c r="B57">
        <v>137.45003518747311</v>
      </c>
      <c r="C57">
        <v>178.67639875486029</v>
      </c>
      <c r="D57">
        <v>235.45003518747308</v>
      </c>
      <c r="E57">
        <f t="shared" si="0"/>
        <v>125.809</v>
      </c>
      <c r="F57" t="str" cm="1">
        <f t="array" ref="F57">INDEX({"Pay as you go","Prediction_Pack","Prediction_Payasyougo',""Competitor"},MATCH(MIN(A57:D57),A57:D57,0))</f>
        <v>Pay as you go</v>
      </c>
    </row>
    <row r="58" spans="1:6" x14ac:dyDescent="0.25">
      <c r="A58">
        <v>122.12400000000001</v>
      </c>
      <c r="B58">
        <v>146.72602241364243</v>
      </c>
      <c r="C58">
        <v>187.37620246939332</v>
      </c>
      <c r="D58">
        <v>231.7260224136424</v>
      </c>
      <c r="E58">
        <f t="shared" si="0"/>
        <v>122.12400000000001</v>
      </c>
      <c r="F58" t="str" cm="1">
        <f t="array" ref="F58">INDEX({"Pay as you go","Prediction_Pack","Prediction_Payasyougo',""Competitor"},MATCH(MIN(A58:D58),A58:D58,0))</f>
        <v>Pay as you go</v>
      </c>
    </row>
    <row r="59" spans="1:6" x14ac:dyDescent="0.25">
      <c r="A59">
        <v>151.876</v>
      </c>
      <c r="B59">
        <v>177.03057081586678</v>
      </c>
      <c r="C59">
        <v>259.61084687217163</v>
      </c>
      <c r="D59">
        <v>280.03057081586678</v>
      </c>
      <c r="E59">
        <f t="shared" si="0"/>
        <v>151.876</v>
      </c>
      <c r="F59" t="str" cm="1">
        <f t="array" ref="F59">INDEX({"Pay as you go","Prediction_Pack","Prediction_Payasyougo',""Competitor"},MATCH(MIN(A59:D59),A59:D59,0))</f>
        <v>Pay as you go</v>
      </c>
    </row>
    <row r="60" spans="1:6" x14ac:dyDescent="0.25">
      <c r="A60">
        <v>117.745</v>
      </c>
      <c r="B60">
        <v>125.01656390548973</v>
      </c>
      <c r="C60">
        <v>153.9893360590215</v>
      </c>
      <c r="D60">
        <v>220.01656390548973</v>
      </c>
      <c r="E60">
        <f t="shared" si="0"/>
        <v>117.745</v>
      </c>
      <c r="F60" t="str" cm="1">
        <f t="array" ref="F60">INDEX({"Pay as you go","Prediction_Pack","Prediction_Payasyougo',""Competitor"},MATCH(MIN(A60:D60),A60:D60,0))</f>
        <v>Pay as you go</v>
      </c>
    </row>
    <row r="61" spans="1:6" x14ac:dyDescent="0.25">
      <c r="A61">
        <v>139.88400000000001</v>
      </c>
      <c r="B61">
        <v>161.43594679299241</v>
      </c>
      <c r="C61">
        <v>208.3470478285345</v>
      </c>
      <c r="D61">
        <v>265.43594679299241</v>
      </c>
      <c r="E61">
        <f t="shared" si="0"/>
        <v>139.88400000000001</v>
      </c>
      <c r="F61" t="str" cm="1">
        <f t="array" ref="F61">INDEX({"Pay as you go","Prediction_Pack","Prediction_Payasyougo',""Competitor"},MATCH(MIN(A61:D61),A61:D61,0))</f>
        <v>Pay as you go</v>
      </c>
    </row>
    <row r="62" spans="1:6" x14ac:dyDescent="0.25">
      <c r="A62">
        <v>201.548</v>
      </c>
      <c r="B62">
        <v>232.82499725255758</v>
      </c>
      <c r="C62">
        <v>351.87258786833235</v>
      </c>
      <c r="D62">
        <v>359.82499725255758</v>
      </c>
      <c r="E62">
        <f t="shared" si="0"/>
        <v>201.548</v>
      </c>
      <c r="F62" t="str" cm="1">
        <f t="array" ref="F62">INDEX({"Pay as you go","Prediction_Pack","Prediction_Payasyougo',""Competitor"},MATCH(MIN(A62:D62),A62:D62,0))</f>
        <v>Pay as you go</v>
      </c>
    </row>
    <row r="63" spans="1:6" x14ac:dyDescent="0.25">
      <c r="A63">
        <v>130.79500000000002</v>
      </c>
      <c r="B63">
        <v>137.3766027506021</v>
      </c>
      <c r="C63">
        <v>164.44594123081794</v>
      </c>
      <c r="D63">
        <v>245.37660275060207</v>
      </c>
      <c r="E63">
        <f t="shared" si="0"/>
        <v>130.79500000000002</v>
      </c>
      <c r="F63" t="str" cm="1">
        <f t="array" ref="F63">INDEX({"Pay as you go","Prediction_Pack","Prediction_Payasyougo',""Competitor"},MATCH(MIN(A63:D63),A63:D63,0))</f>
        <v>Pay as you go</v>
      </c>
    </row>
    <row r="64" spans="1:6" x14ac:dyDescent="0.25">
      <c r="A64">
        <v>218.22</v>
      </c>
      <c r="B64">
        <v>237.78894479761462</v>
      </c>
      <c r="C64">
        <v>345.92587022702264</v>
      </c>
      <c r="D64">
        <v>390.78894479761465</v>
      </c>
      <c r="E64">
        <f t="shared" si="0"/>
        <v>218.22</v>
      </c>
      <c r="F64" t="str" cm="1">
        <f t="array" ref="F64">INDEX({"Pay as you go","Prediction_Pack","Prediction_Payasyougo',""Competitor"},MATCH(MIN(A64:D64),A64:D64,0))</f>
        <v>Pay as you go</v>
      </c>
    </row>
    <row r="65" spans="1:6" x14ac:dyDescent="0.25">
      <c r="A65">
        <v>150.31700000000001</v>
      </c>
      <c r="B65">
        <v>172.83085153656404</v>
      </c>
      <c r="C65">
        <v>246.55743850735581</v>
      </c>
      <c r="D65">
        <v>279.83085153656401</v>
      </c>
      <c r="E65">
        <f t="shared" si="0"/>
        <v>150.31700000000001</v>
      </c>
      <c r="F65" t="str" cm="1">
        <f t="array" ref="F65">INDEX({"Pay as you go","Prediction_Pack","Prediction_Payasyougo',""Competitor"},MATCH(MIN(A65:D65),A65:D65,0))</f>
        <v>Pay as you go</v>
      </c>
    </row>
    <row r="66" spans="1:6" x14ac:dyDescent="0.25">
      <c r="A66">
        <v>86.303000000000011</v>
      </c>
      <c r="B66">
        <v>102.72067204751366</v>
      </c>
      <c r="C66">
        <v>116.81029329454643</v>
      </c>
      <c r="D66">
        <v>177.72067204751366</v>
      </c>
      <c r="E66">
        <f t="shared" si="0"/>
        <v>86.303000000000011</v>
      </c>
      <c r="F66" t="str" cm="1">
        <f t="array" ref="F66">INDEX({"Pay as you go","Prediction_Pack","Prediction_Payasyougo',""Competitor"},MATCH(MIN(A66:D66),A66:D66,0))</f>
        <v>Pay as you go</v>
      </c>
    </row>
    <row r="67" spans="1:6" x14ac:dyDescent="0.25">
      <c r="A67">
        <v>168.636</v>
      </c>
      <c r="B67">
        <v>211.22618347532816</v>
      </c>
      <c r="C67">
        <v>311.06399815969922</v>
      </c>
      <c r="D67">
        <v>318.22618347532818</v>
      </c>
      <c r="E67">
        <f t="shared" si="0"/>
        <v>168.636</v>
      </c>
      <c r="F67" t="str" cm="1">
        <f t="array" ref="F67">INDEX({"Pay as you go","Prediction_Pack","Prediction_Payasyougo',""Competitor"},MATCH(MIN(A67:D67),A67:D67,0))</f>
        <v>Pay as you go</v>
      </c>
    </row>
    <row r="68" spans="1:6" x14ac:dyDescent="0.25">
      <c r="A68">
        <v>179.392</v>
      </c>
      <c r="B68">
        <v>209.78756092439568</v>
      </c>
      <c r="C68">
        <v>307.9322000274442</v>
      </c>
      <c r="D68">
        <v>330.78756092439568</v>
      </c>
      <c r="E68">
        <f t="shared" si="0"/>
        <v>179.392</v>
      </c>
      <c r="F68" t="str" cm="1">
        <f t="array" ref="F68">INDEX({"Pay as you go","Prediction_Pack","Prediction_Payasyougo',""Competitor"},MATCH(MIN(A68:D68),A68:D68,0))</f>
        <v>Pay as you go</v>
      </c>
    </row>
    <row r="69" spans="1:6" x14ac:dyDescent="0.25">
      <c r="A69">
        <v>110.124</v>
      </c>
      <c r="B69">
        <v>120.32948948581137</v>
      </c>
      <c r="C69">
        <v>160.34403908896442</v>
      </c>
      <c r="D69">
        <v>204.32948948581137</v>
      </c>
      <c r="E69">
        <f t="shared" si="0"/>
        <v>110.124</v>
      </c>
      <c r="F69" t="str" cm="1">
        <f t="array" ref="F69">INDEX({"Pay as you go","Prediction_Pack","Prediction_Payasyougo',""Competitor"},MATCH(MIN(A69:D69),A69:D69,0))</f>
        <v>Pay as you go</v>
      </c>
    </row>
    <row r="70" spans="1:6" x14ac:dyDescent="0.25">
      <c r="A70">
        <v>169.59299999999999</v>
      </c>
      <c r="B70">
        <v>197.3661954151375</v>
      </c>
      <c r="C70">
        <v>292.12018247910061</v>
      </c>
      <c r="D70">
        <v>310.3661954151375</v>
      </c>
      <c r="E70">
        <f t="shared" si="0"/>
        <v>169.59299999999999</v>
      </c>
      <c r="F70" t="str" cm="1">
        <f t="array" ref="F70">INDEX({"Pay as you go","Prediction_Pack","Prediction_Payasyougo',""Competitor"},MATCH(MIN(A70:D70),A70:D70,0))</f>
        <v>Pay as you go</v>
      </c>
    </row>
    <row r="71" spans="1:6" x14ac:dyDescent="0.25">
      <c r="A71">
        <v>128.02199999999999</v>
      </c>
      <c r="B71">
        <v>137.11274073461757</v>
      </c>
      <c r="C71">
        <v>182.42703786340545</v>
      </c>
      <c r="D71">
        <v>235.11274073461757</v>
      </c>
      <c r="E71">
        <f t="shared" si="0"/>
        <v>128.02199999999999</v>
      </c>
      <c r="F71" t="str" cm="1">
        <f t="array" ref="F71">INDEX({"Pay as you go","Prediction_Pack","Prediction_Payasyougo',""Competitor"},MATCH(MIN(A71:D71),A71:D71,0))</f>
        <v>Pay as you go</v>
      </c>
    </row>
    <row r="72" spans="1:6" x14ac:dyDescent="0.25">
      <c r="A72">
        <v>218.68300000000002</v>
      </c>
      <c r="B72">
        <v>252.1664686777892</v>
      </c>
      <c r="C72">
        <v>381.54083437257276</v>
      </c>
      <c r="D72">
        <v>394.16646867778923</v>
      </c>
      <c r="E72">
        <f t="shared" si="0"/>
        <v>218.68300000000002</v>
      </c>
      <c r="F72" t="str" cm="1">
        <f t="array" ref="F72">INDEX({"Pay as you go","Prediction_Pack","Prediction_Payasyougo',""Competitor"},MATCH(MIN(A72:D72),A72:D72,0))</f>
        <v>Pay as you go</v>
      </c>
    </row>
    <row r="73" spans="1:6" x14ac:dyDescent="0.25">
      <c r="A73">
        <v>176.27199999999999</v>
      </c>
      <c r="B73">
        <v>211.44540952807441</v>
      </c>
      <c r="C73">
        <v>311.62778388622382</v>
      </c>
      <c r="D73">
        <v>323.44540952807438</v>
      </c>
      <c r="E73">
        <f t="shared" ref="E73:E136" si="1">MIN(A73:D73)</f>
        <v>176.27199999999999</v>
      </c>
      <c r="F73" t="str" cm="1">
        <f t="array" ref="F73">INDEX({"Pay as you go","Prediction_Pack","Prediction_Payasyougo',""Competitor"},MATCH(MIN(A73:D73),A73:D73,0))</f>
        <v>Pay as you go</v>
      </c>
    </row>
    <row r="74" spans="1:6" x14ac:dyDescent="0.25">
      <c r="A74">
        <v>187.78199999999998</v>
      </c>
      <c r="B74">
        <v>212.97253705774745</v>
      </c>
      <c r="C74">
        <v>326.59107004196966</v>
      </c>
      <c r="D74">
        <v>329.97253705774745</v>
      </c>
      <c r="E74">
        <f t="shared" si="1"/>
        <v>187.78199999999998</v>
      </c>
      <c r="F74" t="str" cm="1">
        <f t="array" ref="F74">INDEX({"Pay as you go","Prediction_Pack","Prediction_Payasyougo',""Competitor"},MATCH(MIN(A74:D74),A74:D74,0))</f>
        <v>Pay as you go</v>
      </c>
    </row>
    <row r="75" spans="1:6" x14ac:dyDescent="0.25">
      <c r="A75">
        <v>146.911</v>
      </c>
      <c r="B75">
        <v>144.07144769776789</v>
      </c>
      <c r="C75">
        <v>187.18290444923616</v>
      </c>
      <c r="D75">
        <v>264.07144769776789</v>
      </c>
      <c r="E75">
        <f t="shared" si="1"/>
        <v>144.07144769776789</v>
      </c>
      <c r="F75" t="str" cm="1">
        <f t="array" ref="F75">INDEX({"Pay as you go","Prediction_Pack","Prediction_Payasyougo',""Competitor"},MATCH(MIN(A75:D75),A75:D75,0))</f>
        <v>Prediction_Pack</v>
      </c>
    </row>
    <row r="76" spans="1:6" x14ac:dyDescent="0.25">
      <c r="A76">
        <v>140.39400000000001</v>
      </c>
      <c r="B76">
        <v>150.46693867133479</v>
      </c>
      <c r="C76">
        <v>197.91973259735093</v>
      </c>
      <c r="D76">
        <v>256.46693867133479</v>
      </c>
      <c r="E76">
        <f t="shared" si="1"/>
        <v>140.39400000000001</v>
      </c>
      <c r="F76" t="str" cm="1">
        <f t="array" ref="F76">INDEX({"Pay as you go","Prediction_Pack","Prediction_Payasyougo',""Competitor"},MATCH(MIN(A76:D76),A76:D76,0))</f>
        <v>Pay as you go</v>
      </c>
    </row>
    <row r="77" spans="1:6" x14ac:dyDescent="0.25">
      <c r="A77">
        <v>221.239</v>
      </c>
      <c r="B77">
        <v>256.25121912175325</v>
      </c>
      <c r="C77">
        <v>389.39563110855198</v>
      </c>
      <c r="D77">
        <v>399.25121912175325</v>
      </c>
      <c r="E77">
        <f t="shared" si="1"/>
        <v>221.239</v>
      </c>
      <c r="F77" t="str" cm="1">
        <f t="array" ref="F77">INDEX({"Pay as you go","Prediction_Pack","Prediction_Payasyougo',""Competitor"},MATCH(MIN(A77:D77),A77:D77,0))</f>
        <v>Pay as you go</v>
      </c>
    </row>
    <row r="78" spans="1:6" x14ac:dyDescent="0.25">
      <c r="A78">
        <v>166.011</v>
      </c>
      <c r="B78">
        <v>172.67618566667252</v>
      </c>
      <c r="C78">
        <v>230.72883864108243</v>
      </c>
      <c r="D78">
        <v>304.67618566667255</v>
      </c>
      <c r="E78">
        <f t="shared" si="1"/>
        <v>166.011</v>
      </c>
      <c r="F78" t="str" cm="1">
        <f t="array" ref="F78">INDEX({"Pay as you go","Prediction_Pack","Prediction_Payasyougo',""Competitor"},MATCH(MIN(A78:D78),A78:D78,0))</f>
        <v>Pay as you go</v>
      </c>
    </row>
    <row r="79" spans="1:6" x14ac:dyDescent="0.25">
      <c r="A79">
        <v>126.96</v>
      </c>
      <c r="B79">
        <v>142.72025640217018</v>
      </c>
      <c r="C79">
        <v>180.85869230262054</v>
      </c>
      <c r="D79">
        <v>247.72025640217018</v>
      </c>
      <c r="E79">
        <f t="shared" si="1"/>
        <v>126.96</v>
      </c>
      <c r="F79" t="str" cm="1">
        <f t="array" ref="F79">INDEX({"Pay as you go","Prediction_Pack","Prediction_Payasyougo',""Competitor"},MATCH(MIN(A79:D79),A79:D79,0))</f>
        <v>Pay as you go</v>
      </c>
    </row>
    <row r="80" spans="1:6" x14ac:dyDescent="0.25">
      <c r="A80">
        <v>150.898</v>
      </c>
      <c r="B80">
        <v>174.09667265245648</v>
      </c>
      <c r="C80">
        <v>237.34906596805587</v>
      </c>
      <c r="D80">
        <v>271.0966726524565</v>
      </c>
      <c r="E80">
        <f t="shared" si="1"/>
        <v>150.898</v>
      </c>
      <c r="F80" t="str" cm="1">
        <f t="array" ref="F80">INDEX({"Pay as you go","Prediction_Pack","Prediction_Payasyougo',""Competitor"},MATCH(MIN(A80:D80),A80:D80,0))</f>
        <v>Pay as you go</v>
      </c>
    </row>
    <row r="81" spans="1:6" x14ac:dyDescent="0.25">
      <c r="A81">
        <v>146.78700000000001</v>
      </c>
      <c r="B81">
        <v>164.13411073397756</v>
      </c>
      <c r="C81">
        <v>222.64211252984202</v>
      </c>
      <c r="D81">
        <v>279.13411073397759</v>
      </c>
      <c r="E81">
        <f t="shared" si="1"/>
        <v>146.78700000000001</v>
      </c>
      <c r="F81" t="str" cm="1">
        <f t="array" ref="F81">INDEX({"Pay as you go","Prediction_Pack","Prediction_Payasyougo',""Competitor"},MATCH(MIN(A81:D81),A81:D81,0))</f>
        <v>Pay as you go</v>
      </c>
    </row>
    <row r="82" spans="1:6" x14ac:dyDescent="0.25">
      <c r="A82">
        <v>181.87700000000001</v>
      </c>
      <c r="B82">
        <v>210.76341544560825</v>
      </c>
      <c r="C82">
        <v>309.51620490566233</v>
      </c>
      <c r="D82">
        <v>332.76341544560825</v>
      </c>
      <c r="E82">
        <f t="shared" si="1"/>
        <v>181.87700000000001</v>
      </c>
      <c r="F82" t="str" cm="1">
        <f t="array" ref="F82">INDEX({"Pay as you go","Prediction_Pack","Prediction_Payasyougo',""Competitor"},MATCH(MIN(A82:D82),A82:D82,0))</f>
        <v>Pay as you go</v>
      </c>
    </row>
    <row r="83" spans="1:6" x14ac:dyDescent="0.25">
      <c r="A83">
        <v>223.32299999999998</v>
      </c>
      <c r="B83">
        <v>255.58436593193693</v>
      </c>
      <c r="C83">
        <v>389.32479620554284</v>
      </c>
      <c r="D83">
        <v>403.58436593193693</v>
      </c>
      <c r="E83">
        <f t="shared" si="1"/>
        <v>223.32299999999998</v>
      </c>
      <c r="F83" t="str" cm="1">
        <f t="array" ref="F83">INDEX({"Pay as you go","Prediction_Pack","Prediction_Payasyougo',""Competitor"},MATCH(MIN(A83:D83),A83:D83,0))</f>
        <v>Pay as you go</v>
      </c>
    </row>
    <row r="84" spans="1:6" x14ac:dyDescent="0.25">
      <c r="A84">
        <v>157.42999999999998</v>
      </c>
      <c r="B84">
        <v>174.84495660407177</v>
      </c>
      <c r="C84">
        <v>236.90338531687041</v>
      </c>
      <c r="D84">
        <v>291.8449566040718</v>
      </c>
      <c r="E84">
        <f t="shared" si="1"/>
        <v>157.42999999999998</v>
      </c>
      <c r="F84" t="str" cm="1">
        <f t="array" ref="F84">INDEX({"Pay as you go","Prediction_Pack","Prediction_Payasyougo',""Competitor"},MATCH(MIN(A84:D84),A84:D84,0))</f>
        <v>Pay as you go</v>
      </c>
    </row>
    <row r="85" spans="1:6" x14ac:dyDescent="0.25">
      <c r="A85">
        <v>171.952</v>
      </c>
      <c r="B85">
        <v>182.06624355764828</v>
      </c>
      <c r="C85">
        <v>253.28729675248431</v>
      </c>
      <c r="D85">
        <v>311.06624355764831</v>
      </c>
      <c r="E85">
        <f t="shared" si="1"/>
        <v>171.952</v>
      </c>
      <c r="F85" t="str" cm="1">
        <f t="array" ref="F85">INDEX({"Pay as you go","Prediction_Pack","Prediction_Payasyougo',""Competitor"},MATCH(MIN(A85:D85),A85:D85,0))</f>
        <v>Pay as you go</v>
      </c>
    </row>
    <row r="86" spans="1:6" x14ac:dyDescent="0.25">
      <c r="A86">
        <v>217.03900000000002</v>
      </c>
      <c r="B86">
        <v>244.88933236623996</v>
      </c>
      <c r="C86">
        <v>369.7365632658545</v>
      </c>
      <c r="D86">
        <v>384.88933236623996</v>
      </c>
      <c r="E86">
        <f t="shared" si="1"/>
        <v>217.03900000000002</v>
      </c>
      <c r="F86" t="str" cm="1">
        <f t="array" ref="F86">INDEX({"Pay as you go","Prediction_Pack","Prediction_Payasyougo',""Competitor"},MATCH(MIN(A86:D86),A86:D86,0))</f>
        <v>Pay as you go</v>
      </c>
    </row>
    <row r="87" spans="1:6" x14ac:dyDescent="0.25">
      <c r="A87">
        <v>104.14400000000001</v>
      </c>
      <c r="B87">
        <v>122.32489778689157</v>
      </c>
      <c r="C87">
        <v>164.04823636535153</v>
      </c>
      <c r="D87">
        <v>197.32489778689157</v>
      </c>
      <c r="E87">
        <f t="shared" si="1"/>
        <v>104.14400000000001</v>
      </c>
      <c r="F87" t="str" cm="1">
        <f t="array" ref="F87">INDEX({"Pay as you go","Prediction_Pack","Prediction_Payasyougo',""Competitor"},MATCH(MIN(A87:D87),A87:D87,0))</f>
        <v>Pay as you go</v>
      </c>
    </row>
    <row r="88" spans="1:6" x14ac:dyDescent="0.25">
      <c r="A88">
        <v>158.477</v>
      </c>
      <c r="B88">
        <v>167.01573181623485</v>
      </c>
      <c r="C88">
        <v>226.40556625740777</v>
      </c>
      <c r="D88">
        <v>287.01573181623485</v>
      </c>
      <c r="E88">
        <f t="shared" si="1"/>
        <v>158.477</v>
      </c>
      <c r="F88" t="str" cm="1">
        <f t="array" ref="F88">INDEX({"Pay as you go","Prediction_Pack","Prediction_Payasyougo',""Competitor"},MATCH(MIN(A88:D88),A88:D88,0))</f>
        <v>Pay as you go</v>
      </c>
    </row>
    <row r="89" spans="1:6" x14ac:dyDescent="0.25">
      <c r="A89">
        <v>162.82</v>
      </c>
      <c r="B89">
        <v>186.15338959124279</v>
      </c>
      <c r="C89">
        <v>243.53922671872195</v>
      </c>
      <c r="D89">
        <v>311.15338959124279</v>
      </c>
      <c r="E89">
        <f t="shared" si="1"/>
        <v>162.82</v>
      </c>
      <c r="F89" t="str" cm="1">
        <f t="array" ref="F89">INDEX({"Pay as you go","Prediction_Pack","Prediction_Payasyougo',""Competitor"},MATCH(MIN(A89:D89),A89:D89,0))</f>
        <v>Pay as you go</v>
      </c>
    </row>
    <row r="90" spans="1:6" x14ac:dyDescent="0.25">
      <c r="A90">
        <v>131.09799999999998</v>
      </c>
      <c r="B90">
        <v>154.13292132949766</v>
      </c>
      <c r="C90">
        <v>186.55142395609133</v>
      </c>
      <c r="D90">
        <v>256.13292132949766</v>
      </c>
      <c r="E90">
        <f t="shared" si="1"/>
        <v>131.09799999999998</v>
      </c>
      <c r="F90" t="str" cm="1">
        <f t="array" ref="F90">INDEX({"Pay as you go","Prediction_Pack","Prediction_Payasyougo',""Competitor"},MATCH(MIN(A90:D90),A90:D90,0))</f>
        <v>Pay as you go</v>
      </c>
    </row>
    <row r="91" spans="1:6" x14ac:dyDescent="0.25">
      <c r="A91">
        <v>164.49600000000001</v>
      </c>
      <c r="B91">
        <v>176.73870585079558</v>
      </c>
      <c r="C91">
        <v>251.2186060165991</v>
      </c>
      <c r="D91">
        <v>299.73870585079561</v>
      </c>
      <c r="E91">
        <f t="shared" si="1"/>
        <v>164.49600000000001</v>
      </c>
      <c r="F91" t="str" cm="1">
        <f t="array" ref="F91">INDEX({"Pay as you go","Prediction_Pack","Prediction_Payasyougo',""Competitor"},MATCH(MIN(A91:D91),A91:D91,0))</f>
        <v>Pay as you go</v>
      </c>
    </row>
    <row r="92" spans="1:6" x14ac:dyDescent="0.25">
      <c r="A92">
        <v>172.18</v>
      </c>
      <c r="B92">
        <v>201.44348340546372</v>
      </c>
      <c r="C92">
        <v>286.15293067565193</v>
      </c>
      <c r="D92">
        <v>315.44348340546372</v>
      </c>
      <c r="E92">
        <f t="shared" si="1"/>
        <v>172.18</v>
      </c>
      <c r="F92" t="str" cm="1">
        <f t="array" ref="F92">INDEX({"Pay as you go","Prediction_Pack","Prediction_Payasyougo',""Competitor"},MATCH(MIN(A92:D92),A92:D92,0))</f>
        <v>Pay as you go</v>
      </c>
    </row>
    <row r="93" spans="1:6" x14ac:dyDescent="0.25">
      <c r="A93">
        <v>116.645</v>
      </c>
      <c r="B93">
        <v>122.42652532528996</v>
      </c>
      <c r="C93">
        <v>145.75481157770858</v>
      </c>
      <c r="D93">
        <v>221.42652532528996</v>
      </c>
      <c r="E93">
        <f t="shared" si="1"/>
        <v>116.645</v>
      </c>
      <c r="F93" t="str" cm="1">
        <f t="array" ref="F93">INDEX({"Pay as you go","Prediction_Pack","Prediction_Payasyougo',""Competitor"},MATCH(MIN(A93:D93),A93:D93,0))</f>
        <v>Pay as you go</v>
      </c>
    </row>
    <row r="94" spans="1:6" x14ac:dyDescent="0.25">
      <c r="A94">
        <v>102.40900000000001</v>
      </c>
      <c r="B94">
        <v>123.74246453102697</v>
      </c>
      <c r="C94">
        <v>159.92112627756262</v>
      </c>
      <c r="D94">
        <v>198.74246453102697</v>
      </c>
      <c r="E94">
        <f t="shared" si="1"/>
        <v>102.40900000000001</v>
      </c>
      <c r="F94" t="str" cm="1">
        <f t="array" ref="F94">INDEX({"Pay as you go","Prediction_Pack","Prediction_Payasyougo',""Competitor"},MATCH(MIN(A94:D94),A94:D94,0))</f>
        <v>Pay as you go</v>
      </c>
    </row>
    <row r="95" spans="1:6" x14ac:dyDescent="0.25">
      <c r="A95">
        <v>123.976</v>
      </c>
      <c r="B95">
        <v>145.33256494396812</v>
      </c>
      <c r="C95">
        <v>194.51066484104953</v>
      </c>
      <c r="D95">
        <v>235.33256494396812</v>
      </c>
      <c r="E95">
        <f t="shared" si="1"/>
        <v>123.976</v>
      </c>
      <c r="F95" t="str" cm="1">
        <f t="array" ref="F95">INDEX({"Pay as you go","Prediction_Pack","Prediction_Payasyougo',""Competitor"},MATCH(MIN(A95:D95),A95:D95,0))</f>
        <v>Pay as you go</v>
      </c>
    </row>
    <row r="96" spans="1:6" x14ac:dyDescent="0.25">
      <c r="A96">
        <v>108.042</v>
      </c>
      <c r="B96">
        <v>113.40414199456285</v>
      </c>
      <c r="C96">
        <v>140.92534625785748</v>
      </c>
      <c r="D96">
        <v>200.40414199456282</v>
      </c>
      <c r="E96">
        <f t="shared" si="1"/>
        <v>108.042</v>
      </c>
      <c r="F96" t="str" cm="1">
        <f t="array" ref="F96">INDEX({"Pay as you go","Prediction_Pack","Prediction_Payasyougo',""Competitor"},MATCH(MIN(A96:D96),A96:D96,0))</f>
        <v>Pay as you go</v>
      </c>
    </row>
    <row r="97" spans="1:6" x14ac:dyDescent="0.25">
      <c r="A97">
        <v>120.36999999999999</v>
      </c>
      <c r="B97">
        <v>139.10710633616159</v>
      </c>
      <c r="C97">
        <v>167.93976427831799</v>
      </c>
      <c r="D97">
        <v>237.10710633616156</v>
      </c>
      <c r="E97">
        <f t="shared" si="1"/>
        <v>120.36999999999999</v>
      </c>
      <c r="F97" t="str" cm="1">
        <f t="array" ref="F97">INDEX({"Pay as you go","Prediction_Pack","Prediction_Payasyougo',""Competitor"},MATCH(MIN(A97:D97),A97:D97,0))</f>
        <v>Pay as you go</v>
      </c>
    </row>
    <row r="98" spans="1:6" x14ac:dyDescent="0.25">
      <c r="A98">
        <v>111.205</v>
      </c>
      <c r="B98">
        <v>113.32357143356079</v>
      </c>
      <c r="C98">
        <v>127.99390738434951</v>
      </c>
      <c r="D98">
        <v>210.32357143356077</v>
      </c>
      <c r="E98">
        <f t="shared" si="1"/>
        <v>111.205</v>
      </c>
      <c r="F98" t="str" cm="1">
        <f t="array" ref="F98">INDEX({"Pay as you go","Prediction_Pack","Prediction_Payasyougo',""Competitor"},MATCH(MIN(A98:D98),A98:D98,0))</f>
        <v>Pay as you go</v>
      </c>
    </row>
    <row r="99" spans="1:6" x14ac:dyDescent="0.25">
      <c r="A99">
        <v>96.934000000000012</v>
      </c>
      <c r="B99">
        <v>98.69242896520953</v>
      </c>
      <c r="C99">
        <v>110.59061285374823</v>
      </c>
      <c r="D99">
        <v>192.69242896520953</v>
      </c>
      <c r="E99">
        <f t="shared" si="1"/>
        <v>96.934000000000012</v>
      </c>
      <c r="F99" t="str" cm="1">
        <f t="array" ref="F99">INDEX({"Pay as you go","Prediction_Pack","Prediction_Payasyougo',""Competitor"},MATCH(MIN(A99:D99),A99:D99,0))</f>
        <v>Pay as you go</v>
      </c>
    </row>
    <row r="100" spans="1:6" x14ac:dyDescent="0.25">
      <c r="A100">
        <v>75.602999999999994</v>
      </c>
      <c r="B100">
        <v>93.255066781199162</v>
      </c>
      <c r="C100">
        <v>102.92456773564358</v>
      </c>
      <c r="D100">
        <v>165.25506678119916</v>
      </c>
      <c r="E100">
        <f t="shared" si="1"/>
        <v>75.602999999999994</v>
      </c>
      <c r="F100" t="str" cm="1">
        <f t="array" ref="F100">INDEX({"Pay as you go","Prediction_Pack","Prediction_Payasyougo',""Competitor"},MATCH(MIN(A100:D100),A100:D100,0))</f>
        <v>Pay as you go</v>
      </c>
    </row>
    <row r="101" spans="1:6" x14ac:dyDescent="0.25">
      <c r="A101">
        <v>158.708</v>
      </c>
      <c r="B101">
        <v>192.14510419648153</v>
      </c>
      <c r="C101">
        <v>284.03957689479347</v>
      </c>
      <c r="D101">
        <v>294.14510419648155</v>
      </c>
      <c r="E101">
        <f t="shared" si="1"/>
        <v>158.708</v>
      </c>
      <c r="F101" t="str" cm="1">
        <f t="array" ref="F101">INDEX({"Pay as you go","Prediction_Pack","Prediction_Payasyougo',""Competitor"},MATCH(MIN(A101:D101),A101:D101,0))</f>
        <v>Pay as you go</v>
      </c>
    </row>
    <row r="102" spans="1:6" x14ac:dyDescent="0.25">
      <c r="A102">
        <v>122.69199999999999</v>
      </c>
      <c r="B102">
        <v>143.49590108476946</v>
      </c>
      <c r="C102">
        <v>187.1682870791019</v>
      </c>
      <c r="D102">
        <v>233.49590108476946</v>
      </c>
      <c r="E102">
        <f t="shared" si="1"/>
        <v>122.69199999999999</v>
      </c>
      <c r="F102" t="str" cm="1">
        <f t="array" ref="F102">INDEX({"Pay as you go","Prediction_Pack","Prediction_Payasyougo',""Competitor"},MATCH(MIN(A102:D102),A102:D102,0))</f>
        <v>Pay as you go</v>
      </c>
    </row>
    <row r="103" spans="1:6" x14ac:dyDescent="0.25">
      <c r="A103">
        <v>146.928</v>
      </c>
      <c r="B103">
        <v>169.50939706779934</v>
      </c>
      <c r="C103">
        <v>219.97666814692136</v>
      </c>
      <c r="D103">
        <v>275.50939706779934</v>
      </c>
      <c r="E103">
        <f t="shared" si="1"/>
        <v>146.928</v>
      </c>
      <c r="F103" t="str" cm="1">
        <f t="array" ref="F103">INDEX({"Pay as you go","Prediction_Pack","Prediction_Payasyougo',""Competitor"},MATCH(MIN(A103:D103),A103:D103,0))</f>
        <v>Pay as you go</v>
      </c>
    </row>
    <row r="104" spans="1:6" x14ac:dyDescent="0.25">
      <c r="A104">
        <v>125.92999999999999</v>
      </c>
      <c r="B104">
        <v>132.78344521466443</v>
      </c>
      <c r="C104">
        <v>168.70767204706164</v>
      </c>
      <c r="D104">
        <v>229.78344521466443</v>
      </c>
      <c r="E104">
        <f t="shared" si="1"/>
        <v>125.92999999999999</v>
      </c>
      <c r="F104" t="str" cm="1">
        <f t="array" ref="F104">INDEX({"Pay as you go","Prediction_Pack","Prediction_Payasyougo',""Competitor"},MATCH(MIN(A104:D104),A104:D104,0))</f>
        <v>Pay as you go</v>
      </c>
    </row>
    <row r="105" spans="1:6" x14ac:dyDescent="0.25">
      <c r="A105">
        <v>159.04</v>
      </c>
      <c r="B105">
        <v>178.78582131217684</v>
      </c>
      <c r="C105">
        <v>247.34758243388137</v>
      </c>
      <c r="D105">
        <v>286.78582131217684</v>
      </c>
      <c r="E105">
        <f t="shared" si="1"/>
        <v>159.04</v>
      </c>
      <c r="F105" t="str" cm="1">
        <f t="array" ref="F105">INDEX({"Pay as you go","Prediction_Pack","Prediction_Payasyougo',""Competitor"},MATCH(MIN(A105:D105),A105:D105,0))</f>
        <v>Pay as you go</v>
      </c>
    </row>
    <row r="106" spans="1:6" x14ac:dyDescent="0.25">
      <c r="A106">
        <v>137.69499999999999</v>
      </c>
      <c r="B106">
        <v>155.96547916939508</v>
      </c>
      <c r="C106">
        <v>219.31278467279338</v>
      </c>
      <c r="D106">
        <v>253.96547916939508</v>
      </c>
      <c r="E106">
        <f t="shared" si="1"/>
        <v>137.69499999999999</v>
      </c>
      <c r="F106" t="str" cm="1">
        <f t="array" ref="F106">INDEX({"Pay as you go","Prediction_Pack","Prediction_Payasyougo',""Competitor"},MATCH(MIN(A106:D106),A106:D106,0))</f>
        <v>Pay as you go</v>
      </c>
    </row>
    <row r="107" spans="1:6" x14ac:dyDescent="0.25">
      <c r="A107">
        <v>86.312000000000012</v>
      </c>
      <c r="B107">
        <v>93.511981225712333</v>
      </c>
      <c r="C107">
        <v>105.52127130036126</v>
      </c>
      <c r="D107">
        <v>160.51198122571233</v>
      </c>
      <c r="E107">
        <f t="shared" si="1"/>
        <v>86.312000000000012</v>
      </c>
      <c r="F107" t="str" cm="1">
        <f t="array" ref="F107">INDEX({"Pay as you go","Prediction_Pack","Prediction_Payasyougo',""Competitor"},MATCH(MIN(A107:D107),A107:D107,0))</f>
        <v>Pay as you go</v>
      </c>
    </row>
    <row r="108" spans="1:6" x14ac:dyDescent="0.25">
      <c r="A108">
        <v>151.29700000000003</v>
      </c>
      <c r="B108">
        <v>163.60448198993902</v>
      </c>
      <c r="C108">
        <v>230.76262047695391</v>
      </c>
      <c r="D108">
        <v>283.60448198993902</v>
      </c>
      <c r="E108">
        <f t="shared" si="1"/>
        <v>151.29700000000003</v>
      </c>
      <c r="F108" t="str" cm="1">
        <f t="array" ref="F108">INDEX({"Pay as you go","Prediction_Pack","Prediction_Payasyougo',""Competitor"},MATCH(MIN(A108:D108),A108:D108,0))</f>
        <v>Pay as you go</v>
      </c>
    </row>
    <row r="109" spans="1:6" x14ac:dyDescent="0.25">
      <c r="A109">
        <v>123.684</v>
      </c>
      <c r="B109">
        <v>133.27628627969449</v>
      </c>
      <c r="C109">
        <v>168.36959506211053</v>
      </c>
      <c r="D109">
        <v>235.27628627969449</v>
      </c>
      <c r="E109">
        <f t="shared" si="1"/>
        <v>123.684</v>
      </c>
      <c r="F109" t="str" cm="1">
        <f t="array" ref="F109">INDEX({"Pay as you go","Prediction_Pack","Prediction_Payasyougo',""Competitor"},MATCH(MIN(A109:D109),A109:D109,0))</f>
        <v>Pay as you go</v>
      </c>
    </row>
    <row r="110" spans="1:6" x14ac:dyDescent="0.25">
      <c r="A110">
        <v>122.583</v>
      </c>
      <c r="B110">
        <v>149.58145737482897</v>
      </c>
      <c r="C110">
        <v>203.23164578945574</v>
      </c>
      <c r="D110">
        <v>230.58145737482897</v>
      </c>
      <c r="E110">
        <f t="shared" si="1"/>
        <v>122.583</v>
      </c>
      <c r="F110" t="str" cm="1">
        <f t="array" ref="F110">INDEX({"Pay as you go","Prediction_Pack","Prediction_Payasyougo',""Competitor"},MATCH(MIN(A110:D110),A110:D110,0))</f>
        <v>Pay as you go</v>
      </c>
    </row>
    <row r="111" spans="1:6" x14ac:dyDescent="0.25">
      <c r="A111">
        <v>110.804</v>
      </c>
      <c r="B111">
        <v>117.77047483901798</v>
      </c>
      <c r="C111">
        <v>143.91509068811106</v>
      </c>
      <c r="D111">
        <v>205.77047483901796</v>
      </c>
      <c r="E111">
        <f t="shared" si="1"/>
        <v>110.804</v>
      </c>
      <c r="F111" t="str" cm="1">
        <f t="array" ref="F111">INDEX({"Pay as you go","Prediction_Pack","Prediction_Payasyougo',""Competitor"},MATCH(MIN(A111:D111),A111:D111,0))</f>
        <v>Pay as you go</v>
      </c>
    </row>
    <row r="112" spans="1:6" x14ac:dyDescent="0.25">
      <c r="A112">
        <v>153.43900000000002</v>
      </c>
      <c r="B112">
        <v>164.2009769917955</v>
      </c>
      <c r="C112">
        <v>215.53116883882845</v>
      </c>
      <c r="D112">
        <v>284.20097699179553</v>
      </c>
      <c r="E112">
        <f t="shared" si="1"/>
        <v>153.43900000000002</v>
      </c>
      <c r="F112" t="str" cm="1">
        <f t="array" ref="F112">INDEX({"Pay as you go","Prediction_Pack","Prediction_Payasyougo',""Competitor"},MATCH(MIN(A112:D112),A112:D112,0))</f>
        <v>Pay as you go</v>
      </c>
    </row>
    <row r="113" spans="1:6" x14ac:dyDescent="0.25">
      <c r="A113">
        <v>129.11500000000001</v>
      </c>
      <c r="B113">
        <v>160.79419883505605</v>
      </c>
      <c r="C113">
        <v>219.2592499412834</v>
      </c>
      <c r="D113">
        <v>249.79419883505605</v>
      </c>
      <c r="E113">
        <f t="shared" si="1"/>
        <v>129.11500000000001</v>
      </c>
      <c r="F113" t="str" cm="1">
        <f t="array" ref="F113">INDEX({"Pay as you go","Prediction_Pack","Prediction_Payasyougo',""Competitor"},MATCH(MIN(A113:D113),A113:D113,0))</f>
        <v>Pay as you go</v>
      </c>
    </row>
    <row r="114" spans="1:6" x14ac:dyDescent="0.25">
      <c r="A114">
        <v>157.578</v>
      </c>
      <c r="B114">
        <v>170.57697020670187</v>
      </c>
      <c r="C114">
        <v>228.58984294603425</v>
      </c>
      <c r="D114">
        <v>286.57697020670184</v>
      </c>
      <c r="E114">
        <f t="shared" si="1"/>
        <v>157.578</v>
      </c>
      <c r="F114" t="str" cm="1">
        <f t="array" ref="F114">INDEX({"Pay as you go","Prediction_Pack","Prediction_Payasyougo',""Competitor"},MATCH(MIN(A114:D114),A114:D114,0))</f>
        <v>Pay as you go</v>
      </c>
    </row>
    <row r="115" spans="1:6" x14ac:dyDescent="0.25">
      <c r="A115">
        <v>171.16800000000001</v>
      </c>
      <c r="B115">
        <v>188.3828915138611</v>
      </c>
      <c r="C115">
        <v>267.13487655869301</v>
      </c>
      <c r="D115">
        <v>314.38289151386113</v>
      </c>
      <c r="E115">
        <f t="shared" si="1"/>
        <v>171.16800000000001</v>
      </c>
      <c r="F115" t="str" cm="1">
        <f t="array" ref="F115">INDEX({"Pay as you go","Prediction_Pack","Prediction_Payasyougo',""Competitor"},MATCH(MIN(A115:D115),A115:D115,0))</f>
        <v>Pay as you go</v>
      </c>
    </row>
    <row r="116" spans="1:6" x14ac:dyDescent="0.25">
      <c r="A116">
        <v>145.76400000000001</v>
      </c>
      <c r="B116">
        <v>162.9048495510421</v>
      </c>
      <c r="C116">
        <v>224.28044500082572</v>
      </c>
      <c r="D116">
        <v>267.9048495510421</v>
      </c>
      <c r="E116">
        <f t="shared" si="1"/>
        <v>145.76400000000001</v>
      </c>
      <c r="F116" t="str" cm="1">
        <f t="array" ref="F116">INDEX({"Pay as you go","Prediction_Pack","Prediction_Payasyougo',""Competitor"},MATCH(MIN(A116:D116),A116:D116,0))</f>
        <v>Pay as you go</v>
      </c>
    </row>
    <row r="117" spans="1:6" x14ac:dyDescent="0.25">
      <c r="A117">
        <v>138.76999999999998</v>
      </c>
      <c r="B117">
        <v>154.48256625921317</v>
      </c>
      <c r="C117">
        <v>201.26538311229945</v>
      </c>
      <c r="D117">
        <v>262.48256625921317</v>
      </c>
      <c r="E117">
        <f t="shared" si="1"/>
        <v>138.76999999999998</v>
      </c>
      <c r="F117" t="str" cm="1">
        <f t="array" ref="F117">INDEX({"Pay as you go","Prediction_Pack","Prediction_Payasyougo',""Competitor"},MATCH(MIN(A117:D117),A117:D117,0))</f>
        <v>Pay as you go</v>
      </c>
    </row>
    <row r="118" spans="1:6" x14ac:dyDescent="0.25">
      <c r="A118">
        <v>127.15</v>
      </c>
      <c r="B118">
        <v>147.44922355391179</v>
      </c>
      <c r="C118">
        <v>203.67723408624173</v>
      </c>
      <c r="D118">
        <v>243.44922355391179</v>
      </c>
      <c r="E118">
        <f t="shared" si="1"/>
        <v>127.15</v>
      </c>
      <c r="F118" t="str" cm="1">
        <f t="array" ref="F118">INDEX({"Pay as you go","Prediction_Pack","Prediction_Payasyougo',""Competitor"},MATCH(MIN(A118:D118),A118:D118,0))</f>
        <v>Pay as you go</v>
      </c>
    </row>
    <row r="119" spans="1:6" x14ac:dyDescent="0.25">
      <c r="A119">
        <v>193.89500000000001</v>
      </c>
      <c r="B119">
        <v>226.75195270775856</v>
      </c>
      <c r="C119">
        <v>332.48053998943584</v>
      </c>
      <c r="D119">
        <v>351.75195270775856</v>
      </c>
      <c r="E119">
        <f t="shared" si="1"/>
        <v>193.89500000000001</v>
      </c>
      <c r="F119" t="str" cm="1">
        <f t="array" ref="F119">INDEX({"Pay as you go","Prediction_Pack","Prediction_Payasyougo',""Competitor"},MATCH(MIN(A119:D119),A119:D119,0))</f>
        <v>Pay as you go</v>
      </c>
    </row>
    <row r="120" spans="1:6" x14ac:dyDescent="0.25">
      <c r="A120">
        <v>209.55800000000002</v>
      </c>
      <c r="B120">
        <v>244.6551138044656</v>
      </c>
      <c r="C120">
        <v>352.77515889578871</v>
      </c>
      <c r="D120">
        <v>384.6551138044656</v>
      </c>
      <c r="E120">
        <f t="shared" si="1"/>
        <v>209.55800000000002</v>
      </c>
      <c r="F120" t="str" cm="1">
        <f t="array" ref="F120">INDEX({"Pay as you go","Prediction_Pack","Prediction_Payasyougo',""Competitor"},MATCH(MIN(A120:D120),A120:D120,0))</f>
        <v>Pay as you go</v>
      </c>
    </row>
    <row r="121" spans="1:6" x14ac:dyDescent="0.25">
      <c r="A121">
        <v>153.04500000000002</v>
      </c>
      <c r="B121">
        <v>169.08205837804397</v>
      </c>
      <c r="C121">
        <v>216.0357919114563</v>
      </c>
      <c r="D121">
        <v>295.082058378044</v>
      </c>
      <c r="E121">
        <f t="shared" si="1"/>
        <v>153.04500000000002</v>
      </c>
      <c r="F121" t="str" cm="1">
        <f t="array" ref="F121">INDEX({"Pay as you go","Prediction_Pack","Prediction_Payasyougo',""Competitor"},MATCH(MIN(A121:D121),A121:D121,0))</f>
        <v>Pay as you go</v>
      </c>
    </row>
    <row r="122" spans="1:6" x14ac:dyDescent="0.25">
      <c r="A122">
        <v>117.39100000000001</v>
      </c>
      <c r="B122">
        <v>128.69365873145253</v>
      </c>
      <c r="C122">
        <v>164.47389524118742</v>
      </c>
      <c r="D122">
        <v>219.6936587314525</v>
      </c>
      <c r="E122">
        <f t="shared" si="1"/>
        <v>117.39100000000001</v>
      </c>
      <c r="F122" t="str" cm="1">
        <f t="array" ref="F122">INDEX({"Pay as you go","Prediction_Pack","Prediction_Payasyougo',""Competitor"},MATCH(MIN(A122:D122),A122:D122,0))</f>
        <v>Pay as you go</v>
      </c>
    </row>
    <row r="123" spans="1:6" x14ac:dyDescent="0.25">
      <c r="A123">
        <v>157.929</v>
      </c>
      <c r="B123">
        <v>172.42593030429785</v>
      </c>
      <c r="C123">
        <v>247.70157085418924</v>
      </c>
      <c r="D123">
        <v>284.42593030429788</v>
      </c>
      <c r="E123">
        <f t="shared" si="1"/>
        <v>157.929</v>
      </c>
      <c r="F123" t="str" cm="1">
        <f t="array" ref="F123">INDEX({"Pay as you go","Prediction_Pack","Prediction_Payasyougo',""Competitor"},MATCH(MIN(A123:D123),A123:D123,0))</f>
        <v>Pay as you go</v>
      </c>
    </row>
    <row r="124" spans="1:6" x14ac:dyDescent="0.25">
      <c r="A124">
        <v>95.183000000000007</v>
      </c>
      <c r="B124">
        <v>111.15003010645324</v>
      </c>
      <c r="C124">
        <v>136.64303207374118</v>
      </c>
      <c r="D124">
        <v>182.15003010645324</v>
      </c>
      <c r="E124">
        <f t="shared" si="1"/>
        <v>95.183000000000007</v>
      </c>
      <c r="F124" t="str" cm="1">
        <f t="array" ref="F124">INDEX({"Pay as you go","Prediction_Pack","Prediction_Payasyougo',""Competitor"},MATCH(MIN(A124:D124),A124:D124,0))</f>
        <v>Pay as you go</v>
      </c>
    </row>
    <row r="125" spans="1:6" x14ac:dyDescent="0.25">
      <c r="A125">
        <v>152.99699999999999</v>
      </c>
      <c r="B125">
        <v>165.0140254689839</v>
      </c>
      <c r="C125">
        <v>229.14258059638431</v>
      </c>
      <c r="D125">
        <v>270.0140254689839</v>
      </c>
      <c r="E125">
        <f t="shared" si="1"/>
        <v>152.99699999999999</v>
      </c>
      <c r="F125" t="str" cm="1">
        <f t="array" ref="F125">INDEX({"Pay as you go","Prediction_Pack","Prediction_Payasyougo',""Competitor"},MATCH(MIN(A125:D125),A125:D125,0))</f>
        <v>Pay as you go</v>
      </c>
    </row>
    <row r="126" spans="1:6" x14ac:dyDescent="0.25">
      <c r="A126">
        <v>131.779</v>
      </c>
      <c r="B126">
        <v>128.41709308970482</v>
      </c>
      <c r="C126">
        <v>155.99963806246714</v>
      </c>
      <c r="D126">
        <v>244.41709308970482</v>
      </c>
      <c r="E126">
        <f t="shared" si="1"/>
        <v>128.41709308970482</v>
      </c>
      <c r="F126" t="str" cm="1">
        <f t="array" ref="F126">INDEX({"Pay as you go","Prediction_Pack","Prediction_Payasyougo',""Competitor"},MATCH(MIN(A126:D126),A126:D126,0))</f>
        <v>Prediction_Pack</v>
      </c>
    </row>
    <row r="127" spans="1:6" x14ac:dyDescent="0.25">
      <c r="A127">
        <v>232.566</v>
      </c>
      <c r="B127">
        <v>267.17731193232987</v>
      </c>
      <c r="C127">
        <v>403.10465443844004</v>
      </c>
      <c r="D127">
        <v>417.17731193232987</v>
      </c>
      <c r="E127">
        <f t="shared" si="1"/>
        <v>232.566</v>
      </c>
      <c r="F127" t="str" cm="1">
        <f t="array" ref="F127">INDEX({"Pay as you go","Prediction_Pack","Prediction_Payasyougo',""Competitor"},MATCH(MIN(A127:D127),A127:D127,0))</f>
        <v>Pay as you go</v>
      </c>
    </row>
    <row r="128" spans="1:6" x14ac:dyDescent="0.25">
      <c r="A128">
        <v>98.998000000000005</v>
      </c>
      <c r="B128">
        <v>99.707240505427933</v>
      </c>
      <c r="C128">
        <v>111.71862952774583</v>
      </c>
      <c r="D128">
        <v>183.70724050542793</v>
      </c>
      <c r="E128">
        <f t="shared" si="1"/>
        <v>98.998000000000005</v>
      </c>
      <c r="F128" t="str" cm="1">
        <f t="array" ref="F128">INDEX({"Pay as you go","Prediction_Pack","Prediction_Payasyougo',""Competitor"},MATCH(MIN(A128:D128),A128:D128,0))</f>
        <v>Pay as you go</v>
      </c>
    </row>
    <row r="129" spans="1:6" x14ac:dyDescent="0.25">
      <c r="A129">
        <v>132.15900000000002</v>
      </c>
      <c r="B129">
        <v>132.16604343456208</v>
      </c>
      <c r="C129">
        <v>168.34184310175701</v>
      </c>
      <c r="D129">
        <v>244.16604343456208</v>
      </c>
      <c r="E129">
        <f t="shared" si="1"/>
        <v>132.15900000000002</v>
      </c>
      <c r="F129" t="str" cm="1">
        <f t="array" ref="F129">INDEX({"Pay as you go","Prediction_Pack","Prediction_Payasyougo',""Competitor"},MATCH(MIN(A129:D129),A129:D129,0))</f>
        <v>Pay as you go</v>
      </c>
    </row>
    <row r="130" spans="1:6" x14ac:dyDescent="0.25">
      <c r="A130">
        <v>169.238</v>
      </c>
      <c r="B130">
        <v>180.34509299390845</v>
      </c>
      <c r="C130">
        <v>254.82223641352311</v>
      </c>
      <c r="D130">
        <v>304.34509299390845</v>
      </c>
      <c r="E130">
        <f t="shared" si="1"/>
        <v>169.238</v>
      </c>
      <c r="F130" t="str" cm="1">
        <f t="array" ref="F130">INDEX({"Pay as you go","Prediction_Pack","Prediction_Payasyougo',""Competitor"},MATCH(MIN(A130:D130),A130:D130,0))</f>
        <v>Pay as you go</v>
      </c>
    </row>
    <row r="131" spans="1:6" x14ac:dyDescent="0.25">
      <c r="A131">
        <v>143.41</v>
      </c>
      <c r="B131">
        <v>152.33356599741595</v>
      </c>
      <c r="C131">
        <v>197.47755771888473</v>
      </c>
      <c r="D131">
        <v>269.33356599741597</v>
      </c>
      <c r="E131">
        <f t="shared" si="1"/>
        <v>143.41</v>
      </c>
      <c r="F131" t="str" cm="1">
        <f t="array" ref="F131">INDEX({"Pay as you go","Prediction_Pack","Prediction_Payasyougo',""Competitor"},MATCH(MIN(A131:D131),A131:D131,0))</f>
        <v>Pay as you go</v>
      </c>
    </row>
    <row r="132" spans="1:6" x14ac:dyDescent="0.25">
      <c r="A132">
        <v>107.483</v>
      </c>
      <c r="B132">
        <v>120.19893156443143</v>
      </c>
      <c r="C132">
        <v>146.16643138543282</v>
      </c>
      <c r="D132">
        <v>204.19893156443143</v>
      </c>
      <c r="E132">
        <f t="shared" si="1"/>
        <v>107.483</v>
      </c>
      <c r="F132" t="str" cm="1">
        <f t="array" ref="F132">INDEX({"Pay as you go","Prediction_Pack","Prediction_Payasyougo',""Competitor"},MATCH(MIN(A132:D132),A132:D132,0))</f>
        <v>Pay as you go</v>
      </c>
    </row>
    <row r="133" spans="1:6" x14ac:dyDescent="0.25">
      <c r="A133">
        <v>123.15900000000001</v>
      </c>
      <c r="B133">
        <v>138.46575408453199</v>
      </c>
      <c r="C133">
        <v>183.11824239219931</v>
      </c>
      <c r="D133">
        <v>232.46575408453199</v>
      </c>
      <c r="E133">
        <f t="shared" si="1"/>
        <v>123.15900000000001</v>
      </c>
      <c r="F133" t="str" cm="1">
        <f t="array" ref="F133">INDEX({"Pay as you go","Prediction_Pack","Prediction_Payasyougo',""Competitor"},MATCH(MIN(A133:D133),A133:D133,0))</f>
        <v>Pay as you go</v>
      </c>
    </row>
    <row r="134" spans="1:6" x14ac:dyDescent="0.25">
      <c r="A134">
        <v>117.71899999999999</v>
      </c>
      <c r="B134">
        <v>123.42612253640854</v>
      </c>
      <c r="C134">
        <v>154.94180932595731</v>
      </c>
      <c r="D134">
        <v>223.42612253640854</v>
      </c>
      <c r="E134">
        <f t="shared" si="1"/>
        <v>117.71899999999999</v>
      </c>
      <c r="F134" t="str" cm="1">
        <f t="array" ref="F134">INDEX({"Pay as you go","Prediction_Pack","Prediction_Payasyougo',""Competitor"},MATCH(MIN(A134:D134),A134:D134,0))</f>
        <v>Pay as you go</v>
      </c>
    </row>
    <row r="135" spans="1:6" x14ac:dyDescent="0.25">
      <c r="A135">
        <v>151.12500000000003</v>
      </c>
      <c r="B135">
        <v>175.98178181509149</v>
      </c>
      <c r="C135">
        <v>240.84309647104266</v>
      </c>
      <c r="D135">
        <v>278.98178181509149</v>
      </c>
      <c r="E135">
        <f t="shared" si="1"/>
        <v>151.12500000000003</v>
      </c>
      <c r="F135" t="str" cm="1">
        <f t="array" ref="F135">INDEX({"Pay as you go","Prediction_Pack","Prediction_Payasyougo',""Competitor"},MATCH(MIN(A135:D135),A135:D135,0))</f>
        <v>Pay as you go</v>
      </c>
    </row>
    <row r="136" spans="1:6" x14ac:dyDescent="0.25">
      <c r="A136">
        <v>128.791</v>
      </c>
      <c r="B136">
        <v>145.60945965049692</v>
      </c>
      <c r="C136">
        <v>193.04486654888376</v>
      </c>
      <c r="D136">
        <v>240.60945965049692</v>
      </c>
      <c r="E136">
        <f t="shared" si="1"/>
        <v>128.791</v>
      </c>
      <c r="F136" t="str" cm="1">
        <f t="array" ref="F136">INDEX({"Pay as you go","Prediction_Pack","Prediction_Payasyougo',""Competitor"},MATCH(MIN(A136:D136),A136:D136,0))</f>
        <v>Pay as you go</v>
      </c>
    </row>
    <row r="137" spans="1:6" x14ac:dyDescent="0.25">
      <c r="A137">
        <v>186.88400000000001</v>
      </c>
      <c r="B137">
        <v>203.13603629020793</v>
      </c>
      <c r="C137">
        <v>298.20444112437434</v>
      </c>
      <c r="D137">
        <v>333.13603629020793</v>
      </c>
      <c r="E137">
        <f t="shared" ref="E137:E200" si="2">MIN(A137:D137)</f>
        <v>186.88400000000001</v>
      </c>
      <c r="F137" t="str" cm="1">
        <f t="array" ref="F137">INDEX({"Pay as you go","Prediction_Pack","Prediction_Payasyougo',""Competitor"},MATCH(MIN(A137:D137),A137:D137,0))</f>
        <v>Pay as you go</v>
      </c>
    </row>
    <row r="138" spans="1:6" x14ac:dyDescent="0.25">
      <c r="A138">
        <v>118.01599999999999</v>
      </c>
      <c r="B138">
        <v>137.08247256077783</v>
      </c>
      <c r="C138">
        <v>177.67540148993544</v>
      </c>
      <c r="D138">
        <v>230.0824725607778</v>
      </c>
      <c r="E138">
        <f t="shared" si="2"/>
        <v>118.01599999999999</v>
      </c>
      <c r="F138" t="str" cm="1">
        <f t="array" ref="F138">INDEX({"Pay as you go","Prediction_Pack","Prediction_Payasyougo',""Competitor"},MATCH(MIN(A138:D138),A138:D138,0))</f>
        <v>Pay as you go</v>
      </c>
    </row>
    <row r="139" spans="1:6" x14ac:dyDescent="0.25">
      <c r="A139">
        <v>111.244</v>
      </c>
      <c r="B139">
        <v>111.69059241871553</v>
      </c>
      <c r="C139">
        <v>127.03747699707614</v>
      </c>
      <c r="D139">
        <v>213.69059241871551</v>
      </c>
      <c r="E139">
        <f t="shared" si="2"/>
        <v>111.244</v>
      </c>
      <c r="F139" t="str" cm="1">
        <f t="array" ref="F139">INDEX({"Pay as you go","Prediction_Pack","Prediction_Payasyougo',""Competitor"},MATCH(MIN(A139:D139),A139:D139,0))</f>
        <v>Pay as you go</v>
      </c>
    </row>
    <row r="140" spans="1:6" x14ac:dyDescent="0.25">
      <c r="A140">
        <v>159.59299999999999</v>
      </c>
      <c r="B140">
        <v>176.23517293730615</v>
      </c>
      <c r="C140">
        <v>244.76138977282162</v>
      </c>
      <c r="D140">
        <v>294.23517293730617</v>
      </c>
      <c r="E140">
        <f t="shared" si="2"/>
        <v>159.59299999999999</v>
      </c>
      <c r="F140" t="str" cm="1">
        <f t="array" ref="F140">INDEX({"Pay as you go","Prediction_Pack","Prediction_Payasyougo',""Competitor"},MATCH(MIN(A140:D140),A140:D140,0))</f>
        <v>Pay as you go</v>
      </c>
    </row>
    <row r="141" spans="1:6" x14ac:dyDescent="0.25">
      <c r="A141">
        <v>188.065</v>
      </c>
      <c r="B141">
        <v>206.26165940400358</v>
      </c>
      <c r="C141">
        <v>289.76181589638952</v>
      </c>
      <c r="D141">
        <v>341.26165940400358</v>
      </c>
      <c r="E141">
        <f t="shared" si="2"/>
        <v>188.065</v>
      </c>
      <c r="F141" t="str" cm="1">
        <f t="array" ref="F141">INDEX({"Pay as you go","Prediction_Pack","Prediction_Payasyougo',""Competitor"},MATCH(MIN(A141:D141),A141:D141,0))</f>
        <v>Pay as you go</v>
      </c>
    </row>
    <row r="142" spans="1:6" x14ac:dyDescent="0.25">
      <c r="A142">
        <v>152.07400000000001</v>
      </c>
      <c r="B142">
        <v>184.1804593309374</v>
      </c>
      <c r="C142">
        <v>259.98705896868302</v>
      </c>
      <c r="D142">
        <v>284.18045933093742</v>
      </c>
      <c r="E142">
        <f t="shared" si="2"/>
        <v>152.07400000000001</v>
      </c>
      <c r="F142" t="str" cm="1">
        <f t="array" ref="F142">INDEX({"Pay as you go","Prediction_Pack","Prediction_Payasyougo',""Competitor"},MATCH(MIN(A142:D142),A142:D142,0))</f>
        <v>Pay as you go</v>
      </c>
    </row>
    <row r="143" spans="1:6" x14ac:dyDescent="0.25">
      <c r="A143">
        <v>129.07400000000001</v>
      </c>
      <c r="B143">
        <v>143.48747049757449</v>
      </c>
      <c r="C143">
        <v>183.33593063591454</v>
      </c>
      <c r="D143">
        <v>243.48747049757446</v>
      </c>
      <c r="E143">
        <f t="shared" si="2"/>
        <v>129.07400000000001</v>
      </c>
      <c r="F143" t="str" cm="1">
        <f t="array" ref="F143">INDEX({"Pay as you go","Prediction_Pack","Prediction_Payasyougo',""Competitor"},MATCH(MIN(A143:D143),A143:D143,0))</f>
        <v>Pay as you go</v>
      </c>
    </row>
    <row r="144" spans="1:6" x14ac:dyDescent="0.25">
      <c r="A144">
        <v>110.494</v>
      </c>
      <c r="B144">
        <v>110.55613091217541</v>
      </c>
      <c r="C144">
        <v>132.66502420393545</v>
      </c>
      <c r="D144">
        <v>217.55613091217541</v>
      </c>
      <c r="E144">
        <f t="shared" si="2"/>
        <v>110.494</v>
      </c>
      <c r="F144" t="str" cm="1">
        <f t="array" ref="F144">INDEX({"Pay as you go","Prediction_Pack","Prediction_Payasyougo',""Competitor"},MATCH(MIN(A144:D144),A144:D144,0))</f>
        <v>Pay as you go</v>
      </c>
    </row>
    <row r="145" spans="1:6" x14ac:dyDescent="0.25">
      <c r="A145">
        <v>167.31900000000002</v>
      </c>
      <c r="B145">
        <v>195.88142940852157</v>
      </c>
      <c r="C145">
        <v>280.44826311652508</v>
      </c>
      <c r="D145">
        <v>313.88142940852157</v>
      </c>
      <c r="E145">
        <f t="shared" si="2"/>
        <v>167.31900000000002</v>
      </c>
      <c r="F145" t="str" cm="1">
        <f t="array" ref="F145">INDEX({"Pay as you go","Prediction_Pack","Prediction_Payasyougo',""Competitor"},MATCH(MIN(A145:D145),A145:D145,0))</f>
        <v>Pay as you go</v>
      </c>
    </row>
    <row r="146" spans="1:6" x14ac:dyDescent="0.25">
      <c r="A146">
        <v>117</v>
      </c>
      <c r="B146">
        <v>134.82969747532124</v>
      </c>
      <c r="C146">
        <v>165.32300721781837</v>
      </c>
      <c r="D146">
        <v>227.82969747532124</v>
      </c>
      <c r="E146">
        <f t="shared" si="2"/>
        <v>117</v>
      </c>
      <c r="F146" t="str" cm="1">
        <f t="array" ref="F146">INDEX({"Pay as you go","Prediction_Pack","Prediction_Payasyougo',""Competitor"},MATCH(MIN(A146:D146),A146:D146,0))</f>
        <v>Pay as you go</v>
      </c>
    </row>
    <row r="147" spans="1:6" x14ac:dyDescent="0.25">
      <c r="A147">
        <v>82.813999999999993</v>
      </c>
      <c r="B147">
        <v>91.444588815419095</v>
      </c>
      <c r="C147">
        <v>94.254329260990659</v>
      </c>
      <c r="D147">
        <v>168.44458881541908</v>
      </c>
      <c r="E147">
        <f t="shared" si="2"/>
        <v>82.813999999999993</v>
      </c>
      <c r="F147" t="str" cm="1">
        <f t="array" ref="F147">INDEX({"Pay as you go","Prediction_Pack","Prediction_Payasyougo',""Competitor"},MATCH(MIN(A147:D147),A147:D147,0))</f>
        <v>Pay as you go</v>
      </c>
    </row>
    <row r="148" spans="1:6" x14ac:dyDescent="0.25">
      <c r="A148">
        <v>173.73499999999999</v>
      </c>
      <c r="B148">
        <v>200.00141551307905</v>
      </c>
      <c r="C148">
        <v>294.44761491844253</v>
      </c>
      <c r="D148">
        <v>324.00141551307905</v>
      </c>
      <c r="E148">
        <f t="shared" si="2"/>
        <v>173.73499999999999</v>
      </c>
      <c r="F148" t="str" cm="1">
        <f t="array" ref="F148">INDEX({"Pay as you go","Prediction_Pack","Prediction_Payasyougo',""Competitor"},MATCH(MIN(A148:D148),A148:D148,0))</f>
        <v>Pay as you go</v>
      </c>
    </row>
    <row r="149" spans="1:6" x14ac:dyDescent="0.25">
      <c r="A149">
        <v>100.819</v>
      </c>
      <c r="B149">
        <v>121.38720474803424</v>
      </c>
      <c r="C149">
        <v>142.53449785668286</v>
      </c>
      <c r="D149">
        <v>195.38720474803424</v>
      </c>
      <c r="E149">
        <f t="shared" si="2"/>
        <v>100.819</v>
      </c>
      <c r="F149" t="str" cm="1">
        <f t="array" ref="F149">INDEX({"Pay as you go","Prediction_Pack","Prediction_Payasyougo',""Competitor"},MATCH(MIN(A149:D149),A149:D149,0))</f>
        <v>Pay as you go</v>
      </c>
    </row>
    <row r="150" spans="1:6" x14ac:dyDescent="0.25">
      <c r="A150">
        <v>81.89800000000001</v>
      </c>
      <c r="B150">
        <v>102.68459504351216</v>
      </c>
      <c r="C150">
        <v>111.34558236518085</v>
      </c>
      <c r="D150">
        <v>167.68459504351216</v>
      </c>
      <c r="E150">
        <f t="shared" si="2"/>
        <v>81.89800000000001</v>
      </c>
      <c r="F150" t="str" cm="1">
        <f t="array" ref="F150">INDEX({"Pay as you go","Prediction_Pack","Prediction_Payasyougo',""Competitor"},MATCH(MIN(A150:D150),A150:D150,0))</f>
        <v>Pay as you go</v>
      </c>
    </row>
    <row r="151" spans="1:6" x14ac:dyDescent="0.25">
      <c r="A151">
        <v>147.76900000000001</v>
      </c>
      <c r="B151">
        <v>179.83415577017993</v>
      </c>
      <c r="C151">
        <v>250.01220441089291</v>
      </c>
      <c r="D151">
        <v>278.83415577017996</v>
      </c>
      <c r="E151">
        <f t="shared" si="2"/>
        <v>147.76900000000001</v>
      </c>
      <c r="F151" t="str" cm="1">
        <f t="array" ref="F151">INDEX({"Pay as you go","Prediction_Pack","Prediction_Payasyougo',""Competitor"},MATCH(MIN(A151:D151),A151:D151,0))</f>
        <v>Pay as you go</v>
      </c>
    </row>
    <row r="152" spans="1:6" x14ac:dyDescent="0.25">
      <c r="A152">
        <v>165.98600000000002</v>
      </c>
      <c r="B152">
        <v>165.08951539829212</v>
      </c>
      <c r="C152">
        <v>211.85321046101129</v>
      </c>
      <c r="D152">
        <v>305.08951539829212</v>
      </c>
      <c r="E152">
        <f t="shared" si="2"/>
        <v>165.08951539829212</v>
      </c>
      <c r="F152" t="str" cm="1">
        <f t="array" ref="F152">INDEX({"Pay as you go","Prediction_Pack","Prediction_Payasyougo',""Competitor"},MATCH(MIN(A152:D152),A152:D152,0))</f>
        <v>Prediction_Pack</v>
      </c>
    </row>
    <row r="153" spans="1:6" x14ac:dyDescent="0.25">
      <c r="A153">
        <v>164.85300000000001</v>
      </c>
      <c r="B153">
        <v>174.04720056520077</v>
      </c>
      <c r="C153">
        <v>236.53847399627992</v>
      </c>
      <c r="D153">
        <v>306.04720056520074</v>
      </c>
      <c r="E153">
        <f t="shared" si="2"/>
        <v>164.85300000000001</v>
      </c>
      <c r="F153" t="str" cm="1">
        <f t="array" ref="F153">INDEX({"Pay as you go","Prediction_Pack","Prediction_Payasyougo',""Competitor"},MATCH(MIN(A153:D153),A153:D153,0))</f>
        <v>Pay as you go</v>
      </c>
    </row>
    <row r="154" spans="1:6" x14ac:dyDescent="0.25">
      <c r="A154">
        <v>187.24199999999999</v>
      </c>
      <c r="B154">
        <v>223.27347644134105</v>
      </c>
      <c r="C154">
        <v>321.0083714178532</v>
      </c>
      <c r="D154">
        <v>342.27347644134107</v>
      </c>
      <c r="E154">
        <f t="shared" si="2"/>
        <v>187.24199999999999</v>
      </c>
      <c r="F154" t="str" cm="1">
        <f t="array" ref="F154">INDEX({"Pay as you go","Prediction_Pack","Prediction_Payasyougo',""Competitor"},MATCH(MIN(A154:D154),A154:D154,0))</f>
        <v>Pay as you go</v>
      </c>
    </row>
    <row r="155" spans="1:6" x14ac:dyDescent="0.25">
      <c r="A155">
        <v>130.84199999999998</v>
      </c>
      <c r="B155">
        <v>145.12063911541813</v>
      </c>
      <c r="C155">
        <v>180.9800373893317</v>
      </c>
      <c r="D155">
        <v>245.12063911541813</v>
      </c>
      <c r="E155">
        <f t="shared" si="2"/>
        <v>130.84199999999998</v>
      </c>
      <c r="F155" t="str" cm="1">
        <f t="array" ref="F155">INDEX({"Pay as you go","Prediction_Pack","Prediction_Payasyougo',""Competitor"},MATCH(MIN(A155:D155),A155:D155,0))</f>
        <v>Pay as you go</v>
      </c>
    </row>
    <row r="156" spans="1:6" x14ac:dyDescent="0.25">
      <c r="A156">
        <v>91.661000000000001</v>
      </c>
      <c r="B156">
        <v>110.92302792592022</v>
      </c>
      <c r="C156">
        <v>126.33949939623309</v>
      </c>
      <c r="D156">
        <v>192.92302792592022</v>
      </c>
      <c r="E156">
        <f t="shared" si="2"/>
        <v>91.661000000000001</v>
      </c>
      <c r="F156" t="str" cm="1">
        <f t="array" ref="F156">INDEX({"Pay as you go","Prediction_Pack","Prediction_Payasyougo',""Competitor"},MATCH(MIN(A156:D156),A156:D156,0))</f>
        <v>Pay as you go</v>
      </c>
    </row>
    <row r="157" spans="1:6" x14ac:dyDescent="0.25">
      <c r="A157">
        <v>110.06100000000001</v>
      </c>
      <c r="B157">
        <v>120.80218046596454</v>
      </c>
      <c r="C157">
        <v>145.24886991283404</v>
      </c>
      <c r="D157">
        <v>214.80218046596451</v>
      </c>
      <c r="E157">
        <f t="shared" si="2"/>
        <v>110.06100000000001</v>
      </c>
      <c r="F157" t="str" cm="1">
        <f t="array" ref="F157">INDEX({"Pay as you go","Prediction_Pack","Prediction_Payasyougo',""Competitor"},MATCH(MIN(A157:D157),A157:D157,0))</f>
        <v>Pay as you go</v>
      </c>
    </row>
    <row r="158" spans="1:6" x14ac:dyDescent="0.25">
      <c r="A158">
        <v>111.81100000000001</v>
      </c>
      <c r="B158">
        <v>119.97238727399881</v>
      </c>
      <c r="C158">
        <v>131.98119315220345</v>
      </c>
      <c r="D158">
        <v>217.97238727399881</v>
      </c>
      <c r="E158">
        <f t="shared" si="2"/>
        <v>111.81100000000001</v>
      </c>
      <c r="F158" t="str" cm="1">
        <f t="array" ref="F158">INDEX({"Pay as you go","Prediction_Pack","Prediction_Payasyougo',""Competitor"},MATCH(MIN(A158:D158),A158:D158,0))</f>
        <v>Pay as you go</v>
      </c>
    </row>
    <row r="159" spans="1:6" x14ac:dyDescent="0.25">
      <c r="A159">
        <v>72.88600000000001</v>
      </c>
      <c r="B159">
        <v>97.677089225005659</v>
      </c>
      <c r="C159">
        <v>108.10468845317332</v>
      </c>
      <c r="D159">
        <v>150.67708922500566</v>
      </c>
      <c r="E159">
        <f t="shared" si="2"/>
        <v>72.88600000000001</v>
      </c>
      <c r="F159" t="str" cm="1">
        <f t="array" ref="F159">INDEX({"Pay as you go","Prediction_Pack","Prediction_Payasyougo',""Competitor"},MATCH(MIN(A159:D159),A159:D159,0))</f>
        <v>Pay as you go</v>
      </c>
    </row>
    <row r="160" spans="1:6" x14ac:dyDescent="0.25">
      <c r="A160">
        <v>175.47900000000001</v>
      </c>
      <c r="B160">
        <v>205.29791784627258</v>
      </c>
      <c r="C160">
        <v>305.09003497331099</v>
      </c>
      <c r="D160">
        <v>315.29791784627258</v>
      </c>
      <c r="E160">
        <f t="shared" si="2"/>
        <v>175.47900000000001</v>
      </c>
      <c r="F160" t="str" cm="1">
        <f t="array" ref="F160">INDEX({"Pay as you go","Prediction_Pack","Prediction_Payasyougo',""Competitor"},MATCH(MIN(A160:D160),A160:D160,0))</f>
        <v>Pay as you go</v>
      </c>
    </row>
    <row r="161" spans="1:6" x14ac:dyDescent="0.25">
      <c r="A161">
        <v>176.25399999999999</v>
      </c>
      <c r="B161">
        <v>195.90366412600176</v>
      </c>
      <c r="C161">
        <v>288.37606709634457</v>
      </c>
      <c r="D161">
        <v>323.90366412600179</v>
      </c>
      <c r="E161">
        <f t="shared" si="2"/>
        <v>176.25399999999999</v>
      </c>
      <c r="F161" t="str" cm="1">
        <f t="array" ref="F161">INDEX({"Pay as you go","Prediction_Pack","Prediction_Payasyougo',""Competitor"},MATCH(MIN(A161:D161),A161:D161,0))</f>
        <v>Pay as you go</v>
      </c>
    </row>
    <row r="162" spans="1:6" x14ac:dyDescent="0.25">
      <c r="A162">
        <v>131.625</v>
      </c>
      <c r="B162">
        <v>131.96367012657848</v>
      </c>
      <c r="C162">
        <v>159.99751968460109</v>
      </c>
      <c r="D162">
        <v>243.96367012657848</v>
      </c>
      <c r="E162">
        <f t="shared" si="2"/>
        <v>131.625</v>
      </c>
      <c r="F162" t="str" cm="1">
        <f t="array" ref="F162">INDEX({"Pay as you go","Prediction_Pack","Prediction_Payasyougo',""Competitor"},MATCH(MIN(A162:D162),A162:D162,0))</f>
        <v>Pay as you go</v>
      </c>
    </row>
    <row r="163" spans="1:6" x14ac:dyDescent="0.25">
      <c r="A163">
        <v>146.38500000000002</v>
      </c>
      <c r="B163">
        <v>150.21772621040435</v>
      </c>
      <c r="C163">
        <v>193.58699460745515</v>
      </c>
      <c r="D163">
        <v>271.21772621040435</v>
      </c>
      <c r="E163">
        <f t="shared" si="2"/>
        <v>146.38500000000002</v>
      </c>
      <c r="F163" t="str" cm="1">
        <f t="array" ref="F163">INDEX({"Pay as you go","Prediction_Pack","Prediction_Payasyougo',""Competitor"},MATCH(MIN(A163:D163),A163:D163,0))</f>
        <v>Pay as you go</v>
      </c>
    </row>
    <row r="164" spans="1:6" x14ac:dyDescent="0.25">
      <c r="A164">
        <v>145.97499999999999</v>
      </c>
      <c r="B164">
        <v>149.90824658231347</v>
      </c>
      <c r="C164">
        <v>202.77050495875346</v>
      </c>
      <c r="D164">
        <v>260.9082465823135</v>
      </c>
      <c r="E164">
        <f t="shared" si="2"/>
        <v>145.97499999999999</v>
      </c>
      <c r="F164" t="str" cm="1">
        <f t="array" ref="F164">INDEX({"Pay as you go","Prediction_Pack","Prediction_Payasyougo',""Competitor"},MATCH(MIN(A164:D164),A164:D164,0))</f>
        <v>Pay as you go</v>
      </c>
    </row>
    <row r="165" spans="1:6" x14ac:dyDescent="0.25">
      <c r="A165">
        <v>116.667</v>
      </c>
      <c r="B165">
        <v>115.93460304614652</v>
      </c>
      <c r="C165">
        <v>138.45655183644098</v>
      </c>
      <c r="D165">
        <v>218.93460304614652</v>
      </c>
      <c r="E165">
        <f t="shared" si="2"/>
        <v>115.93460304614652</v>
      </c>
      <c r="F165" t="str" cm="1">
        <f t="array" ref="F165">INDEX({"Pay as you go","Prediction_Pack","Prediction_Payasyougo',""Competitor"},MATCH(MIN(A165:D165),A165:D165,0))</f>
        <v>Prediction_Pack</v>
      </c>
    </row>
    <row r="166" spans="1:6" x14ac:dyDescent="0.25">
      <c r="A166">
        <v>108.05500000000001</v>
      </c>
      <c r="B166">
        <v>131.15846102215482</v>
      </c>
      <c r="C166">
        <v>154.63516432864591</v>
      </c>
      <c r="D166">
        <v>218.15846102215482</v>
      </c>
      <c r="E166">
        <f t="shared" si="2"/>
        <v>108.05500000000001</v>
      </c>
      <c r="F166" t="str" cm="1">
        <f t="array" ref="F166">INDEX({"Pay as you go","Prediction_Pack","Prediction_Payasyougo',""Competitor"},MATCH(MIN(A166:D166),A166:D166,0))</f>
        <v>Pay as you go</v>
      </c>
    </row>
    <row r="167" spans="1:6" x14ac:dyDescent="0.25">
      <c r="A167">
        <v>114.432</v>
      </c>
      <c r="B167">
        <v>132.9398328659428</v>
      </c>
      <c r="C167">
        <v>165.36467477198386</v>
      </c>
      <c r="D167">
        <v>224.9398328659428</v>
      </c>
      <c r="E167">
        <f t="shared" si="2"/>
        <v>114.432</v>
      </c>
      <c r="F167" t="str" cm="1">
        <f t="array" ref="F167">INDEX({"Pay as you go","Prediction_Pack","Prediction_Payasyougo',""Competitor"},MATCH(MIN(A167:D167),A167:D167,0))</f>
        <v>Pay as you go</v>
      </c>
    </row>
    <row r="168" spans="1:6" x14ac:dyDescent="0.25">
      <c r="A168">
        <v>140.49599999999998</v>
      </c>
      <c r="B168">
        <v>165.01117174746747</v>
      </c>
      <c r="C168">
        <v>219.26782452956914</v>
      </c>
      <c r="D168">
        <v>265.01117174746747</v>
      </c>
      <c r="E168">
        <f t="shared" si="2"/>
        <v>140.49599999999998</v>
      </c>
      <c r="F168" t="str" cm="1">
        <f t="array" ref="F168">INDEX({"Pay as you go","Prediction_Pack","Prediction_Payasyougo',""Competitor"},MATCH(MIN(A168:D168),A168:D168,0))</f>
        <v>Pay as you go</v>
      </c>
    </row>
    <row r="169" spans="1:6" x14ac:dyDescent="0.25">
      <c r="A169">
        <v>140.20800000000003</v>
      </c>
      <c r="B169">
        <v>157.74196960998808</v>
      </c>
      <c r="C169">
        <v>204.83230683064079</v>
      </c>
      <c r="D169">
        <v>260.74196960998808</v>
      </c>
      <c r="E169">
        <f t="shared" si="2"/>
        <v>140.20800000000003</v>
      </c>
      <c r="F169" t="str" cm="1">
        <f t="array" ref="F169">INDEX({"Pay as you go","Prediction_Pack","Prediction_Payasyougo',""Competitor"},MATCH(MIN(A169:D169),A169:D169,0))</f>
        <v>Pay as you go</v>
      </c>
    </row>
    <row r="170" spans="1:6" x14ac:dyDescent="0.25">
      <c r="A170">
        <v>132.51500000000001</v>
      </c>
      <c r="B170">
        <v>161.09623113579298</v>
      </c>
      <c r="C170">
        <v>217.2248322556355</v>
      </c>
      <c r="D170">
        <v>255.09623113579298</v>
      </c>
      <c r="E170">
        <f t="shared" si="2"/>
        <v>132.51500000000001</v>
      </c>
      <c r="F170" t="str" cm="1">
        <f t="array" ref="F170">INDEX({"Pay as you go","Prediction_Pack","Prediction_Payasyougo',""Competitor"},MATCH(MIN(A170:D170),A170:D170,0))</f>
        <v>Pay as you go</v>
      </c>
    </row>
    <row r="171" spans="1:6" x14ac:dyDescent="0.25">
      <c r="A171">
        <v>182.077</v>
      </c>
      <c r="B171">
        <v>215.34736215224299</v>
      </c>
      <c r="C171">
        <v>322.26203513230865</v>
      </c>
      <c r="D171">
        <v>327.34736215224297</v>
      </c>
      <c r="E171">
        <f t="shared" si="2"/>
        <v>182.077</v>
      </c>
      <c r="F171" t="str" cm="1">
        <f t="array" ref="F171">INDEX({"Pay as you go","Prediction_Pack","Prediction_Payasyougo',""Competitor"},MATCH(MIN(A171:D171),A171:D171,0))</f>
        <v>Pay as you go</v>
      </c>
    </row>
    <row r="172" spans="1:6" x14ac:dyDescent="0.25">
      <c r="A172">
        <v>160.648</v>
      </c>
      <c r="B172">
        <v>173.28385716410605</v>
      </c>
      <c r="C172">
        <v>251.85698766092287</v>
      </c>
      <c r="D172">
        <v>290.28385716410605</v>
      </c>
      <c r="E172">
        <f t="shared" si="2"/>
        <v>160.648</v>
      </c>
      <c r="F172" t="str" cm="1">
        <f t="array" ref="F172">INDEX({"Pay as you go","Prediction_Pack","Prediction_Payasyougo',""Competitor"},MATCH(MIN(A172:D172),A172:D172,0))</f>
        <v>Pay as you go</v>
      </c>
    </row>
    <row r="173" spans="1:6" x14ac:dyDescent="0.25">
      <c r="A173">
        <v>128.88900000000001</v>
      </c>
      <c r="B173">
        <v>140.13995837363976</v>
      </c>
      <c r="C173">
        <v>176.63656414355165</v>
      </c>
      <c r="D173">
        <v>239.13995837363973</v>
      </c>
      <c r="E173">
        <f t="shared" si="2"/>
        <v>128.88900000000001</v>
      </c>
      <c r="F173" t="str" cm="1">
        <f t="array" ref="F173">INDEX({"Pay as you go","Prediction_Pack","Prediction_Payasyougo',""Competitor"},MATCH(MIN(A173:D173),A173:D173,0))</f>
        <v>Pay as you go</v>
      </c>
    </row>
    <row r="174" spans="1:6" x14ac:dyDescent="0.25">
      <c r="A174">
        <v>122.71600000000001</v>
      </c>
      <c r="B174">
        <v>122.95576271492877</v>
      </c>
      <c r="C174">
        <v>156.7487634702029</v>
      </c>
      <c r="D174">
        <v>222.95576271492877</v>
      </c>
      <c r="E174">
        <f t="shared" si="2"/>
        <v>122.71600000000001</v>
      </c>
      <c r="F174" t="str" cm="1">
        <f t="array" ref="F174">INDEX({"Pay as you go","Prediction_Pack","Prediction_Payasyougo',""Competitor"},MATCH(MIN(A174:D174),A174:D174,0))</f>
        <v>Pay as you go</v>
      </c>
    </row>
    <row r="175" spans="1:6" x14ac:dyDescent="0.25">
      <c r="A175">
        <v>116.254</v>
      </c>
      <c r="B175">
        <v>139.49080392199369</v>
      </c>
      <c r="C175">
        <v>183.56238350045967</v>
      </c>
      <c r="D175">
        <v>223.49080392199369</v>
      </c>
      <c r="E175">
        <f t="shared" si="2"/>
        <v>116.254</v>
      </c>
      <c r="F175" t="str" cm="1">
        <f t="array" ref="F175">INDEX({"Pay as you go","Prediction_Pack","Prediction_Payasyougo',""Competitor"},MATCH(MIN(A175:D175),A175:D175,0))</f>
        <v>Pay as you go</v>
      </c>
    </row>
    <row r="176" spans="1:6" x14ac:dyDescent="0.25">
      <c r="A176">
        <v>145.81799999999998</v>
      </c>
      <c r="B176">
        <v>184.46921354840623</v>
      </c>
      <c r="C176">
        <v>277.80340537768973</v>
      </c>
      <c r="D176">
        <v>274.46921354840623</v>
      </c>
      <c r="E176">
        <f t="shared" si="2"/>
        <v>145.81799999999998</v>
      </c>
      <c r="F176" t="str" cm="1">
        <f t="array" ref="F176">INDEX({"Pay as you go","Prediction_Pack","Prediction_Payasyougo',""Competitor"},MATCH(MIN(A176:D176),A176:D176,0))</f>
        <v>Pay as you go</v>
      </c>
    </row>
    <row r="177" spans="1:6" x14ac:dyDescent="0.25">
      <c r="A177">
        <v>117.926</v>
      </c>
      <c r="B177">
        <v>108.27103908232155</v>
      </c>
      <c r="C177">
        <v>126.66427072962856</v>
      </c>
      <c r="D177">
        <v>219.27103908232152</v>
      </c>
      <c r="E177">
        <f t="shared" si="2"/>
        <v>108.27103908232155</v>
      </c>
      <c r="F177" t="str" cm="1">
        <f t="array" ref="F177">INDEX({"Pay as you go","Prediction_Pack","Prediction_Payasyougo',""Competitor"},MATCH(MIN(A177:D177),A177:D177,0))</f>
        <v>Prediction_Pack</v>
      </c>
    </row>
    <row r="178" spans="1:6" x14ac:dyDescent="0.25">
      <c r="A178">
        <v>112.959</v>
      </c>
      <c r="B178">
        <v>119.68854070550377</v>
      </c>
      <c r="C178">
        <v>160.31918782653463</v>
      </c>
      <c r="D178">
        <v>208.68854070550375</v>
      </c>
      <c r="E178">
        <f t="shared" si="2"/>
        <v>112.959</v>
      </c>
      <c r="F178" t="str" cm="1">
        <f t="array" ref="F178">INDEX({"Pay as you go","Prediction_Pack","Prediction_Payasyougo',""Competitor"},MATCH(MIN(A178:D178),A178:D178,0))</f>
        <v>Pay as you go</v>
      </c>
    </row>
    <row r="179" spans="1:6" x14ac:dyDescent="0.25">
      <c r="A179">
        <v>131.45600000000002</v>
      </c>
      <c r="B179">
        <v>150.10458037936499</v>
      </c>
      <c r="C179">
        <v>201.86893249982512</v>
      </c>
      <c r="D179">
        <v>246.10458037936499</v>
      </c>
      <c r="E179">
        <f t="shared" si="2"/>
        <v>131.45600000000002</v>
      </c>
      <c r="F179" t="str" cm="1">
        <f t="array" ref="F179">INDEX({"Pay as you go","Prediction_Pack","Prediction_Payasyougo',""Competitor"},MATCH(MIN(A179:D179),A179:D179,0))</f>
        <v>Pay as you go</v>
      </c>
    </row>
    <row r="180" spans="1:6" x14ac:dyDescent="0.25">
      <c r="A180">
        <v>115.23899999999999</v>
      </c>
      <c r="B180">
        <v>131.15020482007074</v>
      </c>
      <c r="C180">
        <v>165.30992619516638</v>
      </c>
      <c r="D180">
        <v>228.15020482007074</v>
      </c>
      <c r="E180">
        <f t="shared" si="2"/>
        <v>115.23899999999999</v>
      </c>
      <c r="F180" t="str" cm="1">
        <f t="array" ref="F180">INDEX({"Pay as you go","Prediction_Pack","Prediction_Payasyougo',""Competitor"},MATCH(MIN(A180:D180),A180:D180,0))</f>
        <v>Pay as you go</v>
      </c>
    </row>
    <row r="181" spans="1:6" x14ac:dyDescent="0.25">
      <c r="A181">
        <v>143.64499999999998</v>
      </c>
      <c r="B181">
        <v>155.95488648812508</v>
      </c>
      <c r="C181">
        <v>208.91861676335213</v>
      </c>
      <c r="D181">
        <v>263.95488648812511</v>
      </c>
      <c r="E181">
        <f t="shared" si="2"/>
        <v>143.64499999999998</v>
      </c>
      <c r="F181" t="str" cm="1">
        <f t="array" ref="F181">INDEX({"Pay as you go","Prediction_Pack","Prediction_Payasyougo',""Competitor"},MATCH(MIN(A181:D181),A181:D181,0))</f>
        <v>Pay as you go</v>
      </c>
    </row>
    <row r="182" spans="1:6" x14ac:dyDescent="0.25">
      <c r="A182">
        <v>211.709</v>
      </c>
      <c r="B182">
        <v>226.08325955061389</v>
      </c>
      <c r="C182">
        <v>314.19941813581971</v>
      </c>
      <c r="D182">
        <v>381.08325955061389</v>
      </c>
      <c r="E182">
        <f t="shared" si="2"/>
        <v>211.709</v>
      </c>
      <c r="F182" t="str" cm="1">
        <f t="array" ref="F182">INDEX({"Pay as you go","Prediction_Pack","Prediction_Payasyougo',""Competitor"},MATCH(MIN(A182:D182),A182:D182,0))</f>
        <v>Pay as you go</v>
      </c>
    </row>
    <row r="183" spans="1:6" x14ac:dyDescent="0.25">
      <c r="A183">
        <v>88.045999999999992</v>
      </c>
      <c r="B183">
        <v>91.17386622022633</v>
      </c>
      <c r="C183">
        <v>95.136772771175927</v>
      </c>
      <c r="D183">
        <v>178.17386622022633</v>
      </c>
      <c r="E183">
        <f t="shared" si="2"/>
        <v>88.045999999999992</v>
      </c>
      <c r="F183" t="str" cm="1">
        <f t="array" ref="F183">INDEX({"Pay as you go","Prediction_Pack","Prediction_Payasyougo',""Competitor"},MATCH(MIN(A183:D183),A183:D183,0))</f>
        <v>Pay as you go</v>
      </c>
    </row>
    <row r="184" spans="1:6" x14ac:dyDescent="0.25">
      <c r="A184">
        <v>122.86499999999999</v>
      </c>
      <c r="B184">
        <v>132.06546199735547</v>
      </c>
      <c r="C184">
        <v>165.61356827058697</v>
      </c>
      <c r="D184">
        <v>234.06546199735547</v>
      </c>
      <c r="E184">
        <f t="shared" si="2"/>
        <v>122.86499999999999</v>
      </c>
      <c r="F184" t="str" cm="1">
        <f t="array" ref="F184">INDEX({"Pay as you go","Prediction_Pack","Prediction_Payasyougo',""Competitor"},MATCH(MIN(A184:D184),A184:D184,0))</f>
        <v>Pay as you go</v>
      </c>
    </row>
    <row r="185" spans="1:6" x14ac:dyDescent="0.25">
      <c r="A185">
        <v>149.89400000000001</v>
      </c>
      <c r="B185">
        <v>161.42150479527371</v>
      </c>
      <c r="C185">
        <v>205.8974797223849</v>
      </c>
      <c r="D185">
        <v>280.42150479527373</v>
      </c>
      <c r="E185">
        <f t="shared" si="2"/>
        <v>149.89400000000001</v>
      </c>
      <c r="F185" t="str" cm="1">
        <f t="array" ref="F185">INDEX({"Pay as you go","Prediction_Pack","Prediction_Payasyougo',""Competitor"},MATCH(MIN(A185:D185),A185:D185,0))</f>
        <v>Pay as you go</v>
      </c>
    </row>
    <row r="186" spans="1:6" x14ac:dyDescent="0.25">
      <c r="A186">
        <v>104.3</v>
      </c>
      <c r="B186">
        <v>112.40428976024543</v>
      </c>
      <c r="C186">
        <v>137.37060014581169</v>
      </c>
      <c r="D186">
        <v>199.4042897602454</v>
      </c>
      <c r="E186">
        <f t="shared" si="2"/>
        <v>104.3</v>
      </c>
      <c r="F186" t="str" cm="1">
        <f t="array" ref="F186">INDEX({"Pay as you go","Prediction_Pack","Prediction_Payasyougo',""Competitor"},MATCH(MIN(A186:D186),A186:D186,0))</f>
        <v>Pay as you go</v>
      </c>
    </row>
    <row r="187" spans="1:6" x14ac:dyDescent="0.25">
      <c r="A187">
        <v>112.444</v>
      </c>
      <c r="B187">
        <v>126.2795084525408</v>
      </c>
      <c r="C187">
        <v>163.70751782351897</v>
      </c>
      <c r="D187">
        <v>206.27950845254077</v>
      </c>
      <c r="E187">
        <f t="shared" si="2"/>
        <v>112.444</v>
      </c>
      <c r="F187" t="str" cm="1">
        <f t="array" ref="F187">INDEX({"Pay as you go","Prediction_Pack","Prediction_Payasyougo',""Competitor"},MATCH(MIN(A187:D187),A187:D187,0))</f>
        <v>Pay as you go</v>
      </c>
    </row>
    <row r="188" spans="1:6" x14ac:dyDescent="0.25">
      <c r="A188">
        <v>126.49100000000001</v>
      </c>
      <c r="B188">
        <v>139.70845803978631</v>
      </c>
      <c r="C188">
        <v>174.13857331090642</v>
      </c>
      <c r="D188">
        <v>243.70845803978631</v>
      </c>
      <c r="E188">
        <f t="shared" si="2"/>
        <v>126.49100000000001</v>
      </c>
      <c r="F188" t="str" cm="1">
        <f t="array" ref="F188">INDEX({"Pay as you go","Prediction_Pack","Prediction_Payasyougo',""Competitor"},MATCH(MIN(A188:D188),A188:D188,0))</f>
        <v>Pay as you go</v>
      </c>
    </row>
    <row r="189" spans="1:6" x14ac:dyDescent="0.25">
      <c r="A189">
        <v>147.13899999999998</v>
      </c>
      <c r="B189">
        <v>159.11967464149222</v>
      </c>
      <c r="C189">
        <v>230.16261539196719</v>
      </c>
      <c r="D189">
        <v>268.11967464149222</v>
      </c>
      <c r="E189">
        <f t="shared" si="2"/>
        <v>147.13899999999998</v>
      </c>
      <c r="F189" t="str" cm="1">
        <f t="array" ref="F189">INDEX({"Pay as you go","Prediction_Pack","Prediction_Payasyougo',""Competitor"},MATCH(MIN(A189:D189),A189:D189,0))</f>
        <v>Pay as you go</v>
      </c>
    </row>
    <row r="190" spans="1:6" x14ac:dyDescent="0.25">
      <c r="A190">
        <v>128.83000000000001</v>
      </c>
      <c r="B190">
        <v>143.73159675670809</v>
      </c>
      <c r="C190">
        <v>198.9911562115573</v>
      </c>
      <c r="D190">
        <v>243.73159675670806</v>
      </c>
      <c r="E190">
        <f t="shared" si="2"/>
        <v>128.83000000000001</v>
      </c>
      <c r="F190" t="str" cm="1">
        <f t="array" ref="F190">INDEX({"Pay as you go","Prediction_Pack","Prediction_Payasyougo',""Competitor"},MATCH(MIN(A190:D190),A190:D190,0))</f>
        <v>Pay as you go</v>
      </c>
    </row>
    <row r="191" spans="1:6" x14ac:dyDescent="0.25">
      <c r="A191">
        <v>131.708</v>
      </c>
      <c r="B191">
        <v>163.25927037142873</v>
      </c>
      <c r="C191">
        <v>231.55987692519128</v>
      </c>
      <c r="D191">
        <v>248.25927037142873</v>
      </c>
      <c r="E191">
        <f t="shared" si="2"/>
        <v>131.708</v>
      </c>
      <c r="F191" t="str" cm="1">
        <f t="array" ref="F191">INDEX({"Pay as you go","Prediction_Pack","Prediction_Payasyougo',""Competitor"},MATCH(MIN(A191:D191),A191:D191,0))</f>
        <v>Pay as you go</v>
      </c>
    </row>
    <row r="192" spans="1:6" x14ac:dyDescent="0.25">
      <c r="A192">
        <v>96.072000000000003</v>
      </c>
      <c r="B192">
        <v>106.06087579217257</v>
      </c>
      <c r="C192">
        <v>123.40270317266325</v>
      </c>
      <c r="D192">
        <v>187.06087579217257</v>
      </c>
      <c r="E192">
        <f t="shared" si="2"/>
        <v>96.072000000000003</v>
      </c>
      <c r="F192" t="str" cm="1">
        <f t="array" ref="F192">INDEX({"Pay as you go","Prediction_Pack","Prediction_Payasyougo',""Competitor"},MATCH(MIN(A192:D192),A192:D192,0))</f>
        <v>Pay as you go</v>
      </c>
    </row>
    <row r="193" spans="1:6" x14ac:dyDescent="0.25">
      <c r="A193">
        <v>166.11100000000002</v>
      </c>
      <c r="B193">
        <v>192.02292169098672</v>
      </c>
      <c r="C193">
        <v>276.51325884379906</v>
      </c>
      <c r="D193">
        <v>304.02292169098672</v>
      </c>
      <c r="E193">
        <f t="shared" si="2"/>
        <v>166.11100000000002</v>
      </c>
      <c r="F193" t="str" cm="1">
        <f t="array" ref="F193">INDEX({"Pay as you go","Prediction_Pack","Prediction_Payasyougo',""Competitor"},MATCH(MIN(A193:D193),A193:D193,0))</f>
        <v>Pay as you go</v>
      </c>
    </row>
    <row r="194" spans="1:6" x14ac:dyDescent="0.25">
      <c r="A194">
        <v>122.343</v>
      </c>
      <c r="B194">
        <v>147.23804485136012</v>
      </c>
      <c r="C194">
        <v>200.50934227958174</v>
      </c>
      <c r="D194">
        <v>238.23804485136009</v>
      </c>
      <c r="E194">
        <f t="shared" si="2"/>
        <v>122.343</v>
      </c>
      <c r="F194" t="str" cm="1">
        <f t="array" ref="F194">INDEX({"Pay as you go","Prediction_Pack","Prediction_Payasyougo',""Competitor"},MATCH(MIN(A194:D194),A194:D194,0))</f>
        <v>Pay as you go</v>
      </c>
    </row>
    <row r="195" spans="1:6" x14ac:dyDescent="0.25">
      <c r="A195">
        <v>111.02100000000002</v>
      </c>
      <c r="B195">
        <v>135.29404301730642</v>
      </c>
      <c r="C195">
        <v>178.27993606910505</v>
      </c>
      <c r="D195">
        <v>218.29404301730642</v>
      </c>
      <c r="E195">
        <f t="shared" si="2"/>
        <v>111.02100000000002</v>
      </c>
      <c r="F195" t="str" cm="1">
        <f t="array" ref="F195">INDEX({"Pay as you go","Prediction_Pack","Prediction_Payasyougo',""Competitor"},MATCH(MIN(A195:D195),A195:D195,0))</f>
        <v>Pay as you go</v>
      </c>
    </row>
    <row r="196" spans="1:6" x14ac:dyDescent="0.25">
      <c r="A196">
        <v>155.858</v>
      </c>
      <c r="B196">
        <v>182.86581453096932</v>
      </c>
      <c r="C196">
        <v>260.59131595670141</v>
      </c>
      <c r="D196">
        <v>292.86581453096932</v>
      </c>
      <c r="E196">
        <f t="shared" si="2"/>
        <v>155.858</v>
      </c>
      <c r="F196" t="str" cm="1">
        <f t="array" ref="F196">INDEX({"Pay as you go","Prediction_Pack","Prediction_Payasyougo',""Competitor"},MATCH(MIN(A196:D196),A196:D196,0))</f>
        <v>Pay as you go</v>
      </c>
    </row>
    <row r="197" spans="1:6" x14ac:dyDescent="0.25">
      <c r="A197">
        <v>167.41800000000001</v>
      </c>
      <c r="B197">
        <v>186.23761658509892</v>
      </c>
      <c r="C197">
        <v>247.14151775152007</v>
      </c>
      <c r="D197">
        <v>311.23761658509892</v>
      </c>
      <c r="E197">
        <f t="shared" si="2"/>
        <v>167.41800000000001</v>
      </c>
      <c r="F197" t="str" cm="1">
        <f t="array" ref="F197">INDEX({"Pay as you go","Prediction_Pack","Prediction_Payasyougo',""Competitor"},MATCH(MIN(A197:D197),A197:D197,0))</f>
        <v>Pay as you go</v>
      </c>
    </row>
    <row r="198" spans="1:6" x14ac:dyDescent="0.25">
      <c r="A198">
        <v>103.133</v>
      </c>
      <c r="B198">
        <v>116.86028872409136</v>
      </c>
      <c r="C198">
        <v>135.72354426270817</v>
      </c>
      <c r="D198">
        <v>204.86028872409136</v>
      </c>
      <c r="E198">
        <f t="shared" si="2"/>
        <v>103.133</v>
      </c>
      <c r="F198" t="str" cm="1">
        <f t="array" ref="F198">INDEX({"Pay as you go","Prediction_Pack","Prediction_Payasyougo',""Competitor"},MATCH(MIN(A198:D198),A198:D198,0))</f>
        <v>Pay as you go</v>
      </c>
    </row>
    <row r="199" spans="1:6" x14ac:dyDescent="0.25">
      <c r="A199">
        <v>130.87</v>
      </c>
      <c r="B199">
        <v>146.96276860536679</v>
      </c>
      <c r="C199">
        <v>183.61929998271876</v>
      </c>
      <c r="D199">
        <v>252.96276860536679</v>
      </c>
      <c r="E199">
        <f t="shared" si="2"/>
        <v>130.87</v>
      </c>
      <c r="F199" t="str" cm="1">
        <f t="array" ref="F199">INDEX({"Pay as you go","Prediction_Pack","Prediction_Payasyougo',""Competitor"},MATCH(MIN(A199:D199),A199:D199,0))</f>
        <v>Pay as you go</v>
      </c>
    </row>
    <row r="200" spans="1:6" x14ac:dyDescent="0.25">
      <c r="A200">
        <v>188.06299999999999</v>
      </c>
      <c r="B200">
        <v>208.78261390076577</v>
      </c>
      <c r="C200">
        <v>306.42670919014898</v>
      </c>
      <c r="D200">
        <v>339.78261390076574</v>
      </c>
      <c r="E200">
        <f t="shared" si="2"/>
        <v>188.06299999999999</v>
      </c>
      <c r="F200" t="str" cm="1">
        <f t="array" ref="F200">INDEX({"Pay as you go","Prediction_Pack","Prediction_Payasyougo',""Competitor"},MATCH(MIN(A200:D200),A200:D200,0))</f>
        <v>Pay as you go</v>
      </c>
    </row>
    <row r="201" spans="1:6" x14ac:dyDescent="0.25">
      <c r="A201">
        <v>128.554</v>
      </c>
      <c r="B201">
        <v>153.57759229728498</v>
      </c>
      <c r="C201">
        <v>189.98429887342604</v>
      </c>
      <c r="D201">
        <v>250.57759229728495</v>
      </c>
      <c r="E201">
        <f t="shared" ref="E201:E264" si="3">MIN(A201:D201)</f>
        <v>128.554</v>
      </c>
      <c r="F201" t="str" cm="1">
        <f t="array" ref="F201">INDEX({"Pay as you go","Prediction_Pack","Prediction_Payasyougo',""Competitor"},MATCH(MIN(A201:D201),A201:D201,0))</f>
        <v>Pay as you go</v>
      </c>
    </row>
    <row r="202" spans="1:6" x14ac:dyDescent="0.25">
      <c r="A202">
        <v>142.81700000000001</v>
      </c>
      <c r="B202">
        <v>163.57904909345572</v>
      </c>
      <c r="C202">
        <v>231.37796697752043</v>
      </c>
      <c r="D202">
        <v>268.57904909345575</v>
      </c>
      <c r="E202">
        <f t="shared" si="3"/>
        <v>142.81700000000001</v>
      </c>
      <c r="F202" t="str" cm="1">
        <f t="array" ref="F202">INDEX({"Pay as you go","Prediction_Pack","Prediction_Payasyougo',""Competitor"},MATCH(MIN(A202:D202),A202:D202,0))</f>
        <v>Pay as you go</v>
      </c>
    </row>
    <row r="203" spans="1:6" x14ac:dyDescent="0.25">
      <c r="A203">
        <v>128.17500000000001</v>
      </c>
      <c r="B203">
        <v>138.72057466646962</v>
      </c>
      <c r="C203">
        <v>167.13050094008267</v>
      </c>
      <c r="D203">
        <v>236.72057466646962</v>
      </c>
      <c r="E203">
        <f t="shared" si="3"/>
        <v>128.17500000000001</v>
      </c>
      <c r="F203" t="str" cm="1">
        <f t="array" ref="F203">INDEX({"Pay as you go","Prediction_Pack","Prediction_Payasyougo',""Competitor"},MATCH(MIN(A203:D203),A203:D203,0))</f>
        <v>Pay as you go</v>
      </c>
    </row>
    <row r="204" spans="1:6" x14ac:dyDescent="0.25">
      <c r="A204">
        <v>137.74299999999999</v>
      </c>
      <c r="B204">
        <v>148.58390361084398</v>
      </c>
      <c r="C204">
        <v>190.57167058945987</v>
      </c>
      <c r="D204">
        <v>249.58390361084395</v>
      </c>
      <c r="E204">
        <f t="shared" si="3"/>
        <v>137.74299999999999</v>
      </c>
      <c r="F204" t="str" cm="1">
        <f t="array" ref="F204">INDEX({"Pay as you go","Prediction_Pack","Prediction_Payasyougo',""Competitor"},MATCH(MIN(A204:D204),A204:D204,0))</f>
        <v>Pay as you go</v>
      </c>
    </row>
    <row r="205" spans="1:6" x14ac:dyDescent="0.25">
      <c r="A205">
        <v>136.09799999999998</v>
      </c>
      <c r="B205">
        <v>150.96429943433424</v>
      </c>
      <c r="C205">
        <v>194.66863878021576</v>
      </c>
      <c r="D205">
        <v>257.96429943433424</v>
      </c>
      <c r="E205">
        <f t="shared" si="3"/>
        <v>136.09799999999998</v>
      </c>
      <c r="F205" t="str" cm="1">
        <f t="array" ref="F205">INDEX({"Pay as you go","Prediction_Pack","Prediction_Payasyougo',""Competitor"},MATCH(MIN(A205:D205),A205:D205,0))</f>
        <v>Pay as you go</v>
      </c>
    </row>
    <row r="206" spans="1:6" x14ac:dyDescent="0.25">
      <c r="A206">
        <v>218.25200000000001</v>
      </c>
      <c r="B206">
        <v>240.71314111773842</v>
      </c>
      <c r="C206">
        <v>349.70302488608729</v>
      </c>
      <c r="D206">
        <v>394.71314111773842</v>
      </c>
      <c r="E206">
        <f t="shared" si="3"/>
        <v>218.25200000000001</v>
      </c>
      <c r="F206" t="str" cm="1">
        <f t="array" ref="F206">INDEX({"Pay as you go","Prediction_Pack","Prediction_Payasyougo',""Competitor"},MATCH(MIN(A206:D206),A206:D206,0))</f>
        <v>Pay as you go</v>
      </c>
    </row>
    <row r="207" spans="1:6" x14ac:dyDescent="0.25">
      <c r="A207">
        <v>216.69400000000002</v>
      </c>
      <c r="B207">
        <v>253.70887892255612</v>
      </c>
      <c r="C207">
        <v>373.81525408503683</v>
      </c>
      <c r="D207">
        <v>395.70887892255615</v>
      </c>
      <c r="E207">
        <f t="shared" si="3"/>
        <v>216.69400000000002</v>
      </c>
      <c r="F207" t="str" cm="1">
        <f t="array" ref="F207">INDEX({"Pay as you go","Prediction_Pack","Prediction_Payasyougo',""Competitor"},MATCH(MIN(A207:D207),A207:D207,0))</f>
        <v>Pay as you go</v>
      </c>
    </row>
    <row r="208" spans="1:6" x14ac:dyDescent="0.25">
      <c r="A208">
        <v>120.926</v>
      </c>
      <c r="B208">
        <v>131.62081417393998</v>
      </c>
      <c r="C208">
        <v>165.20758266747541</v>
      </c>
      <c r="D208">
        <v>228.62081417393995</v>
      </c>
      <c r="E208">
        <f t="shared" si="3"/>
        <v>120.926</v>
      </c>
      <c r="F208" t="str" cm="1">
        <f t="array" ref="F208">INDEX({"Pay as you go","Prediction_Pack","Prediction_Payasyougo',""Competitor"},MATCH(MIN(A208:D208),A208:D208,0))</f>
        <v>Pay as you go</v>
      </c>
    </row>
    <row r="209" spans="1:6" x14ac:dyDescent="0.25">
      <c r="A209">
        <v>104.524</v>
      </c>
      <c r="B209">
        <v>119.072876188324</v>
      </c>
      <c r="C209">
        <v>147.57881111464411</v>
      </c>
      <c r="D209">
        <v>208.07287618832399</v>
      </c>
      <c r="E209">
        <f t="shared" si="3"/>
        <v>104.524</v>
      </c>
      <c r="F209" t="str" cm="1">
        <f t="array" ref="F209">INDEX({"Pay as you go","Prediction_Pack","Prediction_Payasyougo',""Competitor"},MATCH(MIN(A209:D209),A209:D209,0))</f>
        <v>Pay as you go</v>
      </c>
    </row>
    <row r="210" spans="1:6" x14ac:dyDescent="0.25">
      <c r="A210">
        <v>147.13400000000001</v>
      </c>
      <c r="B210">
        <v>167.1511537385434</v>
      </c>
      <c r="C210">
        <v>236.14094931030277</v>
      </c>
      <c r="D210">
        <v>273.15115373854343</v>
      </c>
      <c r="E210">
        <f t="shared" si="3"/>
        <v>147.13400000000001</v>
      </c>
      <c r="F210" t="str" cm="1">
        <f t="array" ref="F210">INDEX({"Pay as you go","Prediction_Pack","Prediction_Payasyougo',""Competitor"},MATCH(MIN(A210:D210),A210:D210,0))</f>
        <v>Pay as you go</v>
      </c>
    </row>
    <row r="211" spans="1:6" x14ac:dyDescent="0.25">
      <c r="A211">
        <v>126.19499999999999</v>
      </c>
      <c r="B211">
        <v>149.58905731910625</v>
      </c>
      <c r="C211">
        <v>202.43094576014053</v>
      </c>
      <c r="D211">
        <v>240.58905731910622</v>
      </c>
      <c r="E211">
        <f t="shared" si="3"/>
        <v>126.19499999999999</v>
      </c>
      <c r="F211" t="str" cm="1">
        <f t="array" ref="F211">INDEX({"Pay as you go","Prediction_Pack","Prediction_Payasyougo',""Competitor"},MATCH(MIN(A211:D211),A211:D211,0))</f>
        <v>Pay as you go</v>
      </c>
    </row>
    <row r="212" spans="1:6" x14ac:dyDescent="0.25">
      <c r="A212">
        <v>187.56200000000001</v>
      </c>
      <c r="B212">
        <v>219.78112453527311</v>
      </c>
      <c r="C212">
        <v>325.29153009068818</v>
      </c>
      <c r="D212">
        <v>343.78112453527308</v>
      </c>
      <c r="E212">
        <f t="shared" si="3"/>
        <v>187.56200000000001</v>
      </c>
      <c r="F212" t="str" cm="1">
        <f t="array" ref="F212">INDEX({"Pay as you go","Prediction_Pack","Prediction_Payasyougo',""Competitor"},MATCH(MIN(A212:D212),A212:D212,0))</f>
        <v>Pay as you go</v>
      </c>
    </row>
    <row r="213" spans="1:6" x14ac:dyDescent="0.25">
      <c r="A213">
        <v>139.75200000000001</v>
      </c>
      <c r="B213">
        <v>139.90759558815253</v>
      </c>
      <c r="C213">
        <v>183.05705090139696</v>
      </c>
      <c r="D213">
        <v>253.90759558815253</v>
      </c>
      <c r="E213">
        <f t="shared" si="3"/>
        <v>139.75200000000001</v>
      </c>
      <c r="F213" t="str" cm="1">
        <f t="array" ref="F213">INDEX({"Pay as you go","Prediction_Pack","Prediction_Payasyougo',""Competitor"},MATCH(MIN(A213:D213),A213:D213,0))</f>
        <v>Pay as you go</v>
      </c>
    </row>
    <row r="214" spans="1:6" x14ac:dyDescent="0.25">
      <c r="A214">
        <v>190.31800000000001</v>
      </c>
      <c r="B214">
        <v>208.20227134591417</v>
      </c>
      <c r="C214">
        <v>303.90867928884114</v>
      </c>
      <c r="D214">
        <v>344.20227134591414</v>
      </c>
      <c r="E214">
        <f t="shared" si="3"/>
        <v>190.31800000000001</v>
      </c>
      <c r="F214" t="str" cm="1">
        <f t="array" ref="F214">INDEX({"Pay as you go","Prediction_Pack","Prediction_Payasyougo',""Competitor"},MATCH(MIN(A214:D214),A214:D214,0))</f>
        <v>Pay as you go</v>
      </c>
    </row>
    <row r="215" spans="1:6" x14ac:dyDescent="0.25">
      <c r="A215">
        <v>167.298</v>
      </c>
      <c r="B215">
        <v>179.92810787877269</v>
      </c>
      <c r="C215">
        <v>239.18879286132278</v>
      </c>
      <c r="D215">
        <v>297.92810787877272</v>
      </c>
      <c r="E215">
        <f t="shared" si="3"/>
        <v>167.298</v>
      </c>
      <c r="F215" t="str" cm="1">
        <f t="array" ref="F215">INDEX({"Pay as you go","Prediction_Pack","Prediction_Payasyougo',""Competitor"},MATCH(MIN(A215:D215),A215:D215,0))</f>
        <v>Pay as you go</v>
      </c>
    </row>
    <row r="216" spans="1:6" x14ac:dyDescent="0.25">
      <c r="A216">
        <v>161.20000000000002</v>
      </c>
      <c r="B216">
        <v>197.13367936232268</v>
      </c>
      <c r="C216">
        <v>280.2832785989545</v>
      </c>
      <c r="D216">
        <v>300.13367936232271</v>
      </c>
      <c r="E216">
        <f t="shared" si="3"/>
        <v>161.20000000000002</v>
      </c>
      <c r="F216" t="str" cm="1">
        <f t="array" ref="F216">INDEX({"Pay as you go","Prediction_Pack","Prediction_Payasyougo',""Competitor"},MATCH(MIN(A216:D216),A216:D216,0))</f>
        <v>Pay as you go</v>
      </c>
    </row>
    <row r="217" spans="1:6" x14ac:dyDescent="0.25">
      <c r="A217">
        <v>132.745</v>
      </c>
      <c r="B217">
        <v>147.81398964129579</v>
      </c>
      <c r="C217">
        <v>200.72046998160218</v>
      </c>
      <c r="D217">
        <v>247.81398964129579</v>
      </c>
      <c r="E217">
        <f t="shared" si="3"/>
        <v>132.745</v>
      </c>
      <c r="F217" t="str" cm="1">
        <f t="array" ref="F217">INDEX({"Pay as you go","Prediction_Pack","Prediction_Payasyougo',""Competitor"},MATCH(MIN(A217:D217),A217:D217,0))</f>
        <v>Pay as you go</v>
      </c>
    </row>
    <row r="218" spans="1:6" x14ac:dyDescent="0.25">
      <c r="A218">
        <v>123.56099999999999</v>
      </c>
      <c r="B218">
        <v>125.73207796971687</v>
      </c>
      <c r="C218">
        <v>134.79218265871194</v>
      </c>
      <c r="D218">
        <v>240.73207796971687</v>
      </c>
      <c r="E218">
        <f t="shared" si="3"/>
        <v>123.56099999999999</v>
      </c>
      <c r="F218" t="str" cm="1">
        <f t="array" ref="F218">INDEX({"Pay as you go","Prediction_Pack","Prediction_Payasyougo',""Competitor"},MATCH(MIN(A218:D218),A218:D218,0))</f>
        <v>Pay as you go</v>
      </c>
    </row>
    <row r="219" spans="1:6" x14ac:dyDescent="0.25">
      <c r="A219">
        <v>87.075000000000003</v>
      </c>
      <c r="B219">
        <v>111.15216202478044</v>
      </c>
      <c r="C219">
        <v>130.4792177602701</v>
      </c>
      <c r="D219">
        <v>178.15216202478044</v>
      </c>
      <c r="E219">
        <f t="shared" si="3"/>
        <v>87.075000000000003</v>
      </c>
      <c r="F219" t="str" cm="1">
        <f t="array" ref="F219">INDEX({"Pay as you go","Prediction_Pack","Prediction_Payasyougo',""Competitor"},MATCH(MIN(A219:D219),A219:D219,0))</f>
        <v>Pay as you go</v>
      </c>
    </row>
    <row r="220" spans="1:6" x14ac:dyDescent="0.25">
      <c r="A220">
        <v>143.72600000000003</v>
      </c>
      <c r="B220">
        <v>156.56299453974714</v>
      </c>
      <c r="C220">
        <v>200.27302982247974</v>
      </c>
      <c r="D220">
        <v>264.56299453974714</v>
      </c>
      <c r="E220">
        <f t="shared" si="3"/>
        <v>143.72600000000003</v>
      </c>
      <c r="F220" t="str" cm="1">
        <f t="array" ref="F220">INDEX({"Pay as you go","Prediction_Pack","Prediction_Payasyougo',""Competitor"},MATCH(MIN(A220:D220),A220:D220,0))</f>
        <v>Pay as you go</v>
      </c>
    </row>
    <row r="221" spans="1:6" x14ac:dyDescent="0.25">
      <c r="A221">
        <v>90.671000000000006</v>
      </c>
      <c r="B221">
        <v>105.43278976438248</v>
      </c>
      <c r="C221">
        <v>113.11782091450306</v>
      </c>
      <c r="D221">
        <v>190.43278976438248</v>
      </c>
      <c r="E221">
        <f t="shared" si="3"/>
        <v>90.671000000000006</v>
      </c>
      <c r="F221" t="str" cm="1">
        <f t="array" ref="F221">INDEX({"Pay as you go","Prediction_Pack","Prediction_Payasyougo',""Competitor"},MATCH(MIN(A221:D221),A221:D221,0))</f>
        <v>Pay as you go</v>
      </c>
    </row>
    <row r="222" spans="1:6" x14ac:dyDescent="0.25">
      <c r="A222">
        <v>111.03100000000001</v>
      </c>
      <c r="B222">
        <v>126.82393909197356</v>
      </c>
      <c r="C222">
        <v>160.07110404874754</v>
      </c>
      <c r="D222">
        <v>222.82393909197356</v>
      </c>
      <c r="E222">
        <f t="shared" si="3"/>
        <v>111.03100000000001</v>
      </c>
      <c r="F222" t="str" cm="1">
        <f t="array" ref="F222">INDEX({"Pay as you go","Prediction_Pack","Prediction_Payasyougo',""Competitor"},MATCH(MIN(A222:D222),A222:D222,0))</f>
        <v>Pay as you go</v>
      </c>
    </row>
    <row r="223" spans="1:6" x14ac:dyDescent="0.25">
      <c r="A223">
        <v>146.86799999999999</v>
      </c>
      <c r="B223">
        <v>175.18831762109525</v>
      </c>
      <c r="C223">
        <v>259.87208674383822</v>
      </c>
      <c r="D223">
        <v>278.18831762109522</v>
      </c>
      <c r="E223">
        <f t="shared" si="3"/>
        <v>146.86799999999999</v>
      </c>
      <c r="F223" t="str" cm="1">
        <f t="array" ref="F223">INDEX({"Pay as you go","Prediction_Pack","Prediction_Payasyougo',""Competitor"},MATCH(MIN(A223:D223),A223:D223,0))</f>
        <v>Pay as you go</v>
      </c>
    </row>
    <row r="224" spans="1:6" x14ac:dyDescent="0.25">
      <c r="A224">
        <v>99.521000000000001</v>
      </c>
      <c r="B224">
        <v>115.73648624912857</v>
      </c>
      <c r="C224">
        <v>132.08783330614619</v>
      </c>
      <c r="D224">
        <v>203.73648624912857</v>
      </c>
      <c r="E224">
        <f t="shared" si="3"/>
        <v>99.521000000000001</v>
      </c>
      <c r="F224" t="str" cm="1">
        <f t="array" ref="F224">INDEX({"Pay as you go","Prediction_Pack","Prediction_Payasyougo',""Competitor"},MATCH(MIN(A224:D224),A224:D224,0))</f>
        <v>Pay as you go</v>
      </c>
    </row>
    <row r="225" spans="1:6" x14ac:dyDescent="0.25">
      <c r="A225">
        <v>158.03100000000001</v>
      </c>
      <c r="B225">
        <v>185.2525808480583</v>
      </c>
      <c r="C225">
        <v>254.84076394246856</v>
      </c>
      <c r="D225">
        <v>295.2525808480583</v>
      </c>
      <c r="E225">
        <f t="shared" si="3"/>
        <v>158.03100000000001</v>
      </c>
      <c r="F225" t="str" cm="1">
        <f t="array" ref="F225">INDEX({"Pay as you go","Prediction_Pack","Prediction_Payasyougo',""Competitor"},MATCH(MIN(A225:D225),A225:D225,0))</f>
        <v>Pay as you go</v>
      </c>
    </row>
    <row r="226" spans="1:6" x14ac:dyDescent="0.25">
      <c r="A226">
        <v>156.928</v>
      </c>
      <c r="B226">
        <v>171.89058040632298</v>
      </c>
      <c r="C226">
        <v>235.25733583535481</v>
      </c>
      <c r="D226">
        <v>288.89058040632295</v>
      </c>
      <c r="E226">
        <f t="shared" si="3"/>
        <v>156.928</v>
      </c>
      <c r="F226" t="str" cm="1">
        <f t="array" ref="F226">INDEX({"Pay as you go","Prediction_Pack","Prediction_Payasyougo',""Competitor"},MATCH(MIN(A226:D226),A226:D226,0))</f>
        <v>Pay as you go</v>
      </c>
    </row>
    <row r="227" spans="1:6" x14ac:dyDescent="0.25">
      <c r="A227">
        <v>131.23099999999999</v>
      </c>
      <c r="B227">
        <v>152.67092343710877</v>
      </c>
      <c r="C227">
        <v>192.70974561072441</v>
      </c>
      <c r="D227">
        <v>259.6709234371088</v>
      </c>
      <c r="E227">
        <f t="shared" si="3"/>
        <v>131.23099999999999</v>
      </c>
      <c r="F227" t="str" cm="1">
        <f t="array" ref="F227">INDEX({"Pay as you go","Prediction_Pack","Prediction_Payasyougo',""Competitor"},MATCH(MIN(A227:D227),A227:D227,0))</f>
        <v>Pay as you go</v>
      </c>
    </row>
    <row r="228" spans="1:6" x14ac:dyDescent="0.25">
      <c r="A228">
        <v>157.11600000000001</v>
      </c>
      <c r="B228">
        <v>176.21844518184363</v>
      </c>
      <c r="C228">
        <v>239.52984995276165</v>
      </c>
      <c r="D228">
        <v>289.21844518184366</v>
      </c>
      <c r="E228">
        <f t="shared" si="3"/>
        <v>157.11600000000001</v>
      </c>
      <c r="F228" t="str" cm="1">
        <f t="array" ref="F228">INDEX({"Pay as you go","Prediction_Pack","Prediction_Payasyougo',""Competitor"},MATCH(MIN(A228:D228),A228:D228,0))</f>
        <v>Pay as you go</v>
      </c>
    </row>
    <row r="229" spans="1:6" x14ac:dyDescent="0.25">
      <c r="A229">
        <v>84.155000000000001</v>
      </c>
      <c r="B229">
        <v>101.68907072379264</v>
      </c>
      <c r="C229">
        <v>117.6606913236318</v>
      </c>
      <c r="D229">
        <v>160.68907072379264</v>
      </c>
      <c r="E229">
        <f t="shared" si="3"/>
        <v>84.155000000000001</v>
      </c>
      <c r="F229" t="str" cm="1">
        <f t="array" ref="F229">INDEX({"Pay as you go","Prediction_Pack","Prediction_Payasyougo',""Competitor"},MATCH(MIN(A229:D229),A229:D229,0))</f>
        <v>Pay as you go</v>
      </c>
    </row>
    <row r="230" spans="1:6" x14ac:dyDescent="0.25">
      <c r="A230">
        <v>122.46300000000001</v>
      </c>
      <c r="B230">
        <v>155.20295559042299</v>
      </c>
      <c r="C230">
        <v>217.7837147922711</v>
      </c>
      <c r="D230">
        <v>228.20295559042299</v>
      </c>
      <c r="E230">
        <f t="shared" si="3"/>
        <v>122.46300000000001</v>
      </c>
      <c r="F230" t="str" cm="1">
        <f t="array" ref="F230">INDEX({"Pay as you go","Prediction_Pack","Prediction_Payasyougo',""Competitor"},MATCH(MIN(A230:D230),A230:D230,0))</f>
        <v>Pay as you go</v>
      </c>
    </row>
    <row r="231" spans="1:6" x14ac:dyDescent="0.25">
      <c r="A231">
        <v>133.84200000000001</v>
      </c>
      <c r="B231">
        <v>142.18137603521274</v>
      </c>
      <c r="C231">
        <v>177.97887116360482</v>
      </c>
      <c r="D231">
        <v>252.18137603521274</v>
      </c>
      <c r="E231">
        <f t="shared" si="3"/>
        <v>133.84200000000001</v>
      </c>
      <c r="F231" t="str" cm="1">
        <f t="array" ref="F231">INDEX({"Pay as you go","Prediction_Pack","Prediction_Payasyougo',""Competitor"},MATCH(MIN(A231:D231),A231:D231,0))</f>
        <v>Pay as you go</v>
      </c>
    </row>
    <row r="232" spans="1:6" x14ac:dyDescent="0.25">
      <c r="A232">
        <v>175.25300000000001</v>
      </c>
      <c r="B232">
        <v>189.25628429197315</v>
      </c>
      <c r="C232">
        <v>277.30242080945345</v>
      </c>
      <c r="D232">
        <v>305.25628429197315</v>
      </c>
      <c r="E232">
        <f t="shared" si="3"/>
        <v>175.25300000000001</v>
      </c>
      <c r="F232" t="str" cm="1">
        <f t="array" ref="F232">INDEX({"Pay as you go","Prediction_Pack","Prediction_Payasyougo',""Competitor"},MATCH(MIN(A232:D232),A232:D232,0))</f>
        <v>Pay as you go</v>
      </c>
    </row>
    <row r="233" spans="1:6" x14ac:dyDescent="0.25">
      <c r="A233">
        <v>157.227</v>
      </c>
      <c r="B233">
        <v>173.80520353886467</v>
      </c>
      <c r="C233">
        <v>239.03597856212974</v>
      </c>
      <c r="D233">
        <v>295.8052035388647</v>
      </c>
      <c r="E233">
        <f t="shared" si="3"/>
        <v>157.227</v>
      </c>
      <c r="F233" t="str" cm="1">
        <f t="array" ref="F233">INDEX({"Pay as you go","Prediction_Pack","Prediction_Payasyougo',""Competitor"},MATCH(MIN(A233:D233),A233:D233,0))</f>
        <v>Pay as you go</v>
      </c>
    </row>
    <row r="234" spans="1:6" x14ac:dyDescent="0.25">
      <c r="A234">
        <v>102.74000000000001</v>
      </c>
      <c r="B234">
        <v>109.375034162362</v>
      </c>
      <c r="C234">
        <v>133.02094808068057</v>
      </c>
      <c r="D234">
        <v>190.375034162362</v>
      </c>
      <c r="E234">
        <f t="shared" si="3"/>
        <v>102.74000000000001</v>
      </c>
      <c r="F234" t="str" cm="1">
        <f t="array" ref="F234">INDEX({"Pay as you go","Prediction_Pack","Prediction_Payasyougo',""Competitor"},MATCH(MIN(A234:D234),A234:D234,0))</f>
        <v>Pay as you go</v>
      </c>
    </row>
    <row r="235" spans="1:6" x14ac:dyDescent="0.25">
      <c r="A235">
        <v>293.05400000000003</v>
      </c>
      <c r="B235">
        <v>327.65662132325565</v>
      </c>
      <c r="C235">
        <v>522.60325869920996</v>
      </c>
      <c r="D235">
        <v>508.65662132325565</v>
      </c>
      <c r="E235">
        <f t="shared" si="3"/>
        <v>293.05400000000003</v>
      </c>
      <c r="F235" t="str" cm="1">
        <f t="array" ref="F235">INDEX({"Pay as you go","Prediction_Pack","Prediction_Payasyougo',""Competitor"},MATCH(MIN(A235:D235),A235:D235,0))</f>
        <v>Pay as you go</v>
      </c>
    </row>
    <row r="236" spans="1:6" x14ac:dyDescent="0.25">
      <c r="A236">
        <v>158.16399999999999</v>
      </c>
      <c r="B236">
        <v>152.32860993531386</v>
      </c>
      <c r="C236">
        <v>195.7660960417353</v>
      </c>
      <c r="D236">
        <v>284.32860993531386</v>
      </c>
      <c r="E236">
        <f t="shared" si="3"/>
        <v>152.32860993531386</v>
      </c>
      <c r="F236" t="str" cm="1">
        <f t="array" ref="F236">INDEX({"Pay as you go","Prediction_Pack","Prediction_Payasyougo',""Competitor"},MATCH(MIN(A236:D236),A236:D236,0))</f>
        <v>Prediction_Pack</v>
      </c>
    </row>
    <row r="237" spans="1:6" x14ac:dyDescent="0.25">
      <c r="A237">
        <v>153.47300000000001</v>
      </c>
      <c r="B237">
        <v>161.85930557898922</v>
      </c>
      <c r="C237">
        <v>222.50296511597017</v>
      </c>
      <c r="D237">
        <v>275.85930557898922</v>
      </c>
      <c r="E237">
        <f t="shared" si="3"/>
        <v>153.47300000000001</v>
      </c>
      <c r="F237" t="str" cm="1">
        <f t="array" ref="F237">INDEX({"Pay as you go","Prediction_Pack","Prediction_Payasyougo',""Competitor"},MATCH(MIN(A237:D237),A237:D237,0))</f>
        <v>Pay as you go</v>
      </c>
    </row>
    <row r="238" spans="1:6" x14ac:dyDescent="0.25">
      <c r="A238">
        <v>101.40700000000001</v>
      </c>
      <c r="B238">
        <v>100.59727309829742</v>
      </c>
      <c r="C238">
        <v>105.94034534396931</v>
      </c>
      <c r="D238">
        <v>194.59727309829742</v>
      </c>
      <c r="E238">
        <f t="shared" si="3"/>
        <v>100.59727309829742</v>
      </c>
      <c r="F238" t="str" cm="1">
        <f t="array" ref="F238">INDEX({"Pay as you go","Prediction_Pack","Prediction_Payasyougo',""Competitor"},MATCH(MIN(A238:D238),A238:D238,0))</f>
        <v>Prediction_Pack</v>
      </c>
    </row>
    <row r="239" spans="1:6" x14ac:dyDescent="0.25">
      <c r="A239">
        <v>115.97800000000001</v>
      </c>
      <c r="B239">
        <v>124.54044655610738</v>
      </c>
      <c r="C239">
        <v>157.3963358735121</v>
      </c>
      <c r="D239">
        <v>224.54044655610736</v>
      </c>
      <c r="E239">
        <f t="shared" si="3"/>
        <v>115.97800000000001</v>
      </c>
      <c r="F239" t="str" cm="1">
        <f t="array" ref="F239">INDEX({"Pay as you go","Prediction_Pack","Prediction_Payasyougo',""Competitor"},MATCH(MIN(A239:D239),A239:D239,0))</f>
        <v>Pay as you go</v>
      </c>
    </row>
    <row r="240" spans="1:6" x14ac:dyDescent="0.25">
      <c r="A240">
        <v>141.607</v>
      </c>
      <c r="B240">
        <v>161.81164211949266</v>
      </c>
      <c r="C240">
        <v>222.31889040346408</v>
      </c>
      <c r="D240">
        <v>260.81164211949266</v>
      </c>
      <c r="E240">
        <f t="shared" si="3"/>
        <v>141.607</v>
      </c>
      <c r="F240" t="str" cm="1">
        <f t="array" ref="F240">INDEX({"Pay as you go","Prediction_Pack","Prediction_Payasyougo',""Competitor"},MATCH(MIN(A240:D240),A240:D240,0))</f>
        <v>Pay as you go</v>
      </c>
    </row>
    <row r="241" spans="1:6" x14ac:dyDescent="0.25">
      <c r="A241">
        <v>149.917</v>
      </c>
      <c r="B241">
        <v>155.1161274006929</v>
      </c>
      <c r="C241">
        <v>215.46725804646763</v>
      </c>
      <c r="D241">
        <v>272.1161274006929</v>
      </c>
      <c r="E241">
        <f t="shared" si="3"/>
        <v>149.917</v>
      </c>
      <c r="F241" t="str" cm="1">
        <f t="array" ref="F241">INDEX({"Pay as you go","Prediction_Pack","Prediction_Payasyougo',""Competitor"},MATCH(MIN(A241:D241),A241:D241,0))</f>
        <v>Pay as you go</v>
      </c>
    </row>
    <row r="242" spans="1:6" x14ac:dyDescent="0.25">
      <c r="A242">
        <v>112.167</v>
      </c>
      <c r="B242">
        <v>118.95686546652557</v>
      </c>
      <c r="C242">
        <v>144.80075513364412</v>
      </c>
      <c r="D242">
        <v>212.95686546652556</v>
      </c>
      <c r="E242">
        <f t="shared" si="3"/>
        <v>112.167</v>
      </c>
      <c r="F242" t="str" cm="1">
        <f t="array" ref="F242">INDEX({"Pay as you go","Prediction_Pack","Prediction_Payasyougo',""Competitor"},MATCH(MIN(A242:D242),A242:D242,0))</f>
        <v>Pay as you go</v>
      </c>
    </row>
    <row r="243" spans="1:6" x14ac:dyDescent="0.25">
      <c r="A243">
        <v>103.739</v>
      </c>
      <c r="B243">
        <v>99.123086686351684</v>
      </c>
      <c r="C243">
        <v>108.96356054217586</v>
      </c>
      <c r="D243">
        <v>208.12308668635166</v>
      </c>
      <c r="E243">
        <f t="shared" si="3"/>
        <v>99.123086686351684</v>
      </c>
      <c r="F243" t="str" cm="1">
        <f t="array" ref="F243">INDEX({"Pay as you go","Prediction_Pack","Prediction_Payasyougo',""Competitor"},MATCH(MIN(A243:D243),A243:D243,0))</f>
        <v>Prediction_Pack</v>
      </c>
    </row>
    <row r="244" spans="1:6" x14ac:dyDescent="0.25">
      <c r="A244">
        <v>126.008</v>
      </c>
      <c r="B244">
        <v>123.55268459571391</v>
      </c>
      <c r="C244">
        <v>162.90842959141403</v>
      </c>
      <c r="D244">
        <v>233.55268459571391</v>
      </c>
      <c r="E244">
        <f t="shared" si="3"/>
        <v>123.55268459571391</v>
      </c>
      <c r="F244" t="str" cm="1">
        <f t="array" ref="F244">INDEX({"Pay as you go","Prediction_Pack","Prediction_Payasyougo',""Competitor"},MATCH(MIN(A244:D244),A244:D244,0))</f>
        <v>Prediction_Pack</v>
      </c>
    </row>
    <row r="245" spans="1:6" x14ac:dyDescent="0.25">
      <c r="A245">
        <v>153.24599999999998</v>
      </c>
      <c r="B245">
        <v>182.32418693856937</v>
      </c>
      <c r="C245">
        <v>254.61621132355543</v>
      </c>
      <c r="D245">
        <v>286.32418693856937</v>
      </c>
      <c r="E245">
        <f t="shared" si="3"/>
        <v>153.24599999999998</v>
      </c>
      <c r="F245" t="str" cm="1">
        <f t="array" ref="F245">INDEX({"Pay as you go","Prediction_Pack","Prediction_Payasyougo',""Competitor"},MATCH(MIN(A245:D245),A245:D245,0))</f>
        <v>Pay as you go</v>
      </c>
    </row>
    <row r="246" spans="1:6" x14ac:dyDescent="0.25">
      <c r="A246">
        <v>150.274</v>
      </c>
      <c r="B246">
        <v>187.41373262532954</v>
      </c>
      <c r="C246">
        <v>272.99061190865541</v>
      </c>
      <c r="D246">
        <v>278.41373262532954</v>
      </c>
      <c r="E246">
        <f t="shared" si="3"/>
        <v>150.274</v>
      </c>
      <c r="F246" t="str" cm="1">
        <f t="array" ref="F246">INDEX({"Pay as you go","Prediction_Pack","Prediction_Payasyougo',""Competitor"},MATCH(MIN(A246:D246),A246:D246,0))</f>
        <v>Pay as you go</v>
      </c>
    </row>
    <row r="247" spans="1:6" x14ac:dyDescent="0.25">
      <c r="A247">
        <v>99.328000000000003</v>
      </c>
      <c r="B247">
        <v>100.69733244876439</v>
      </c>
      <c r="C247">
        <v>108.07548311950057</v>
      </c>
      <c r="D247">
        <v>189.69733244876437</v>
      </c>
      <c r="E247">
        <f t="shared" si="3"/>
        <v>99.328000000000003</v>
      </c>
      <c r="F247" t="str" cm="1">
        <f t="array" ref="F247">INDEX({"Pay as you go","Prediction_Pack","Prediction_Payasyougo',""Competitor"},MATCH(MIN(A247:D247),A247:D247,0))</f>
        <v>Pay as you go</v>
      </c>
    </row>
    <row r="248" spans="1:6" x14ac:dyDescent="0.25">
      <c r="A248">
        <v>234.12299999999999</v>
      </c>
      <c r="B248">
        <v>274.45311811111685</v>
      </c>
      <c r="C248">
        <v>421.19172735001411</v>
      </c>
      <c r="D248">
        <v>416.45311811111685</v>
      </c>
      <c r="E248">
        <f t="shared" si="3"/>
        <v>234.12299999999999</v>
      </c>
      <c r="F248" t="str" cm="1">
        <f t="array" ref="F248">INDEX({"Pay as you go","Prediction_Pack","Prediction_Payasyougo',""Competitor"},MATCH(MIN(A248:D248),A248:D248,0))</f>
        <v>Pay as you go</v>
      </c>
    </row>
    <row r="249" spans="1:6" x14ac:dyDescent="0.25">
      <c r="A249">
        <v>135.10600000000002</v>
      </c>
      <c r="B249">
        <v>139.61705189256639</v>
      </c>
      <c r="C249">
        <v>179.4755664464856</v>
      </c>
      <c r="D249">
        <v>248.61705189256637</v>
      </c>
      <c r="E249">
        <f t="shared" si="3"/>
        <v>135.10600000000002</v>
      </c>
      <c r="F249" t="str" cm="1">
        <f t="array" ref="F249">INDEX({"Pay as you go","Prediction_Pack","Prediction_Payasyougo',""Competitor"},MATCH(MIN(A249:D249),A249:D249,0))</f>
        <v>Pay as you go</v>
      </c>
    </row>
    <row r="250" spans="1:6" x14ac:dyDescent="0.25">
      <c r="A250">
        <v>192.559</v>
      </c>
      <c r="B250">
        <v>205.65019307088281</v>
      </c>
      <c r="C250">
        <v>296.46395769412703</v>
      </c>
      <c r="D250">
        <v>350.65019307088278</v>
      </c>
      <c r="E250">
        <f t="shared" si="3"/>
        <v>192.559</v>
      </c>
      <c r="F250" t="str" cm="1">
        <f t="array" ref="F250">INDEX({"Pay as you go","Prediction_Pack","Prediction_Payasyougo',""Competitor"},MATCH(MIN(A250:D250),A250:D250,0))</f>
        <v>Pay as you go</v>
      </c>
    </row>
    <row r="251" spans="1:6" x14ac:dyDescent="0.25">
      <c r="A251">
        <v>156.16</v>
      </c>
      <c r="B251">
        <v>168.43042349153259</v>
      </c>
      <c r="C251">
        <v>226.85404513052609</v>
      </c>
      <c r="D251">
        <v>284.43042349153262</v>
      </c>
      <c r="E251">
        <f t="shared" si="3"/>
        <v>156.16</v>
      </c>
      <c r="F251" t="str" cm="1">
        <f t="array" ref="F251">INDEX({"Pay as you go","Prediction_Pack","Prediction_Payasyougo',""Competitor"},MATCH(MIN(A251:D251),A251:D251,0))</f>
        <v>Pay as you go</v>
      </c>
    </row>
    <row r="252" spans="1:6" x14ac:dyDescent="0.25">
      <c r="A252">
        <v>107.10599999999999</v>
      </c>
      <c r="B252">
        <v>126.88579141145146</v>
      </c>
      <c r="C252">
        <v>158.75882482954538</v>
      </c>
      <c r="D252">
        <v>207.88579141145146</v>
      </c>
      <c r="E252">
        <f t="shared" si="3"/>
        <v>107.10599999999999</v>
      </c>
      <c r="F252" t="str" cm="1">
        <f t="array" ref="F252">INDEX({"Pay as you go","Prediction_Pack","Prediction_Payasyougo',""Competitor"},MATCH(MIN(A252:D252),A252:D252,0))</f>
        <v>Pay as you go</v>
      </c>
    </row>
    <row r="253" spans="1:6" x14ac:dyDescent="0.25">
      <c r="A253">
        <v>188.66200000000001</v>
      </c>
      <c r="B253">
        <v>215.9738818442006</v>
      </c>
      <c r="C253">
        <v>319.64333686738109</v>
      </c>
      <c r="D253">
        <v>343.9738818442006</v>
      </c>
      <c r="E253">
        <f t="shared" si="3"/>
        <v>188.66200000000001</v>
      </c>
      <c r="F253" t="str" cm="1">
        <f t="array" ref="F253">INDEX({"Pay as you go","Prediction_Pack","Prediction_Payasyougo',""Competitor"},MATCH(MIN(A253:D253),A253:D253,0))</f>
        <v>Pay as you go</v>
      </c>
    </row>
    <row r="254" spans="1:6" x14ac:dyDescent="0.25">
      <c r="A254">
        <v>166.761</v>
      </c>
      <c r="B254">
        <v>180.54670990611083</v>
      </c>
      <c r="C254">
        <v>257.37148156900702</v>
      </c>
      <c r="D254">
        <v>299.54670990611083</v>
      </c>
      <c r="E254">
        <f t="shared" si="3"/>
        <v>166.761</v>
      </c>
      <c r="F254" t="str" cm="1">
        <f t="array" ref="F254">INDEX({"Pay as you go","Prediction_Pack","Prediction_Payasyougo',""Competitor"},MATCH(MIN(A254:D254),A254:D254,0))</f>
        <v>Pay as you go</v>
      </c>
    </row>
    <row r="255" spans="1:6" x14ac:dyDescent="0.25">
      <c r="A255">
        <v>127.274</v>
      </c>
      <c r="B255">
        <v>144.55489273732891</v>
      </c>
      <c r="C255">
        <v>197.03139000129011</v>
      </c>
      <c r="D255">
        <v>239.55489273732891</v>
      </c>
      <c r="E255">
        <f t="shared" si="3"/>
        <v>127.274</v>
      </c>
      <c r="F255" t="str" cm="1">
        <f t="array" ref="F255">INDEX({"Pay as you go","Prediction_Pack","Prediction_Payasyougo',""Competitor"},MATCH(MIN(A255:D255),A255:D255,0))</f>
        <v>Pay as you go</v>
      </c>
    </row>
    <row r="256" spans="1:6" x14ac:dyDescent="0.25">
      <c r="A256">
        <v>139.363</v>
      </c>
      <c r="B256">
        <v>144.75653865881156</v>
      </c>
      <c r="C256">
        <v>191.29808915667698</v>
      </c>
      <c r="D256">
        <v>259.75653865881156</v>
      </c>
      <c r="E256">
        <f t="shared" si="3"/>
        <v>139.363</v>
      </c>
      <c r="F256" t="str" cm="1">
        <f t="array" ref="F256">INDEX({"Pay as you go","Prediction_Pack","Prediction_Payasyougo',""Competitor"},MATCH(MIN(A256:D256),A256:D256,0))</f>
        <v>Pay as you go</v>
      </c>
    </row>
    <row r="257" spans="1:6" x14ac:dyDescent="0.25">
      <c r="A257">
        <v>75.094000000000008</v>
      </c>
      <c r="B257">
        <v>82.126408767807931</v>
      </c>
      <c r="C257">
        <v>79.8502996782303</v>
      </c>
      <c r="D257">
        <v>146.12640876780793</v>
      </c>
      <c r="E257">
        <f t="shared" si="3"/>
        <v>75.094000000000008</v>
      </c>
      <c r="F257" t="str" cm="1">
        <f t="array" ref="F257">INDEX({"Pay as you go","Prediction_Pack","Prediction_Payasyougo',""Competitor"},MATCH(MIN(A257:D257),A257:D257,0))</f>
        <v>Pay as you go</v>
      </c>
    </row>
    <row r="258" spans="1:6" x14ac:dyDescent="0.25">
      <c r="A258">
        <v>101.979</v>
      </c>
      <c r="B258">
        <v>109.25963478622589</v>
      </c>
      <c r="C258">
        <v>126.39046894054809</v>
      </c>
      <c r="D258">
        <v>190.25963478622589</v>
      </c>
      <c r="E258">
        <f t="shared" si="3"/>
        <v>101.979</v>
      </c>
      <c r="F258" t="str" cm="1">
        <f t="array" ref="F258">INDEX({"Pay as you go","Prediction_Pack","Prediction_Payasyougo',""Competitor"},MATCH(MIN(A258:D258),A258:D258,0))</f>
        <v>Pay as you go</v>
      </c>
    </row>
    <row r="259" spans="1:6" x14ac:dyDescent="0.25">
      <c r="A259">
        <v>149.733</v>
      </c>
      <c r="B259">
        <v>157.89848319260278</v>
      </c>
      <c r="C259">
        <v>222.01513321584147</v>
      </c>
      <c r="D259">
        <v>271.89848319260278</v>
      </c>
      <c r="E259">
        <f t="shared" si="3"/>
        <v>149.733</v>
      </c>
      <c r="F259" t="str" cm="1">
        <f t="array" ref="F259">INDEX({"Pay as you go","Prediction_Pack","Prediction_Payasyougo',""Competitor"},MATCH(MIN(A259:D259),A259:D259,0))</f>
        <v>Pay as you go</v>
      </c>
    </row>
    <row r="260" spans="1:6" x14ac:dyDescent="0.25">
      <c r="A260">
        <v>108.386</v>
      </c>
      <c r="B260">
        <v>120.28633972959177</v>
      </c>
      <c r="C260">
        <v>150.44671304238943</v>
      </c>
      <c r="D260">
        <v>204.28633972959176</v>
      </c>
      <c r="E260">
        <f t="shared" si="3"/>
        <v>108.386</v>
      </c>
      <c r="F260" t="str" cm="1">
        <f t="array" ref="F260">INDEX({"Pay as you go","Prediction_Pack","Prediction_Payasyougo',""Competitor"},MATCH(MIN(A260:D260),A260:D260,0))</f>
        <v>Pay as you go</v>
      </c>
    </row>
    <row r="261" spans="1:6" x14ac:dyDescent="0.25">
      <c r="A261">
        <v>143.38900000000001</v>
      </c>
      <c r="B261">
        <v>161.03858995300934</v>
      </c>
      <c r="C261">
        <v>206.77006939259235</v>
      </c>
      <c r="D261">
        <v>275.03858995300931</v>
      </c>
      <c r="E261">
        <f t="shared" si="3"/>
        <v>143.38900000000001</v>
      </c>
      <c r="F261" t="str" cm="1">
        <f t="array" ref="F261">INDEX({"Pay as you go","Prediction_Pack","Prediction_Payasyougo',""Competitor"},MATCH(MIN(A261:D261),A261:D261,0))</f>
        <v>Pay as you go</v>
      </c>
    </row>
    <row r="262" spans="1:6" x14ac:dyDescent="0.25">
      <c r="A262">
        <v>150.22499999999999</v>
      </c>
      <c r="B262">
        <v>169.90162780597464</v>
      </c>
      <c r="C262">
        <v>225.87232719059105</v>
      </c>
      <c r="D262">
        <v>280.90162780597467</v>
      </c>
      <c r="E262">
        <f t="shared" si="3"/>
        <v>150.22499999999999</v>
      </c>
      <c r="F262" t="str" cm="1">
        <f t="array" ref="F262">INDEX({"Pay as you go","Prediction_Pack","Prediction_Payasyougo',""Competitor"},MATCH(MIN(A262:D262),A262:D262,0))</f>
        <v>Pay as you go</v>
      </c>
    </row>
    <row r="263" spans="1:6" x14ac:dyDescent="0.25">
      <c r="A263">
        <v>79.865000000000009</v>
      </c>
      <c r="B263">
        <v>91.821158985244892</v>
      </c>
      <c r="C263">
        <v>104.42245879399636</v>
      </c>
      <c r="D263">
        <v>158.82115898524489</v>
      </c>
      <c r="E263">
        <f t="shared" si="3"/>
        <v>79.865000000000009</v>
      </c>
      <c r="F263" t="str" cm="1">
        <f t="array" ref="F263">INDEX({"Pay as you go","Prediction_Pack","Prediction_Payasyougo',""Competitor"},MATCH(MIN(A263:D263),A263:D263,0))</f>
        <v>Pay as you go</v>
      </c>
    </row>
    <row r="264" spans="1:6" x14ac:dyDescent="0.25">
      <c r="A264">
        <v>141.67000000000002</v>
      </c>
      <c r="B264">
        <v>140.98223959446375</v>
      </c>
      <c r="C264">
        <v>178.2612251616996</v>
      </c>
      <c r="D264">
        <v>259.98223959446375</v>
      </c>
      <c r="E264">
        <f t="shared" si="3"/>
        <v>140.98223959446375</v>
      </c>
      <c r="F264" t="str" cm="1">
        <f t="array" ref="F264">INDEX({"Pay as you go","Prediction_Pack","Prediction_Payasyougo',""Competitor"},MATCH(MIN(A264:D264),A264:D264,0))</f>
        <v>Prediction_Pack</v>
      </c>
    </row>
    <row r="265" spans="1:6" x14ac:dyDescent="0.25">
      <c r="A265">
        <v>158.773</v>
      </c>
      <c r="B265">
        <v>179.38949795048416</v>
      </c>
      <c r="C265">
        <v>259.13122900656401</v>
      </c>
      <c r="D265">
        <v>288.38949795048416</v>
      </c>
      <c r="E265">
        <f t="shared" ref="E265:E328" si="4">MIN(A265:D265)</f>
        <v>158.773</v>
      </c>
      <c r="F265" t="str" cm="1">
        <f t="array" ref="F265">INDEX({"Pay as you go","Prediction_Pack","Prediction_Payasyougo',""Competitor"},MATCH(MIN(A265:D265),A265:D265,0))</f>
        <v>Pay as you go</v>
      </c>
    </row>
    <row r="266" spans="1:6" x14ac:dyDescent="0.25">
      <c r="A266">
        <v>161.12700000000001</v>
      </c>
      <c r="B266">
        <v>169.47964701652941</v>
      </c>
      <c r="C266">
        <v>225.33250560300175</v>
      </c>
      <c r="D266">
        <v>295.47964701652944</v>
      </c>
      <c r="E266">
        <f t="shared" si="4"/>
        <v>161.12700000000001</v>
      </c>
      <c r="F266" t="str" cm="1">
        <f t="array" ref="F266">INDEX({"Pay as you go","Prediction_Pack","Prediction_Payasyougo',""Competitor"},MATCH(MIN(A266:D266),A266:D266,0))</f>
        <v>Pay as you go</v>
      </c>
    </row>
    <row r="267" spans="1:6" x14ac:dyDescent="0.25">
      <c r="A267">
        <v>152.298</v>
      </c>
      <c r="B267">
        <v>152.25415046573019</v>
      </c>
      <c r="C267">
        <v>196.70217933426869</v>
      </c>
      <c r="D267">
        <v>278.25415046573016</v>
      </c>
      <c r="E267">
        <f t="shared" si="4"/>
        <v>152.25415046573019</v>
      </c>
      <c r="F267" t="str" cm="1">
        <f t="array" ref="F267">INDEX({"Pay as you go","Prediction_Pack","Prediction_Payasyougo',""Competitor"},MATCH(MIN(A267:D267),A267:D267,0))</f>
        <v>Prediction_Pack</v>
      </c>
    </row>
    <row r="268" spans="1:6" x14ac:dyDescent="0.25">
      <c r="A268">
        <v>178.708</v>
      </c>
      <c r="B268">
        <v>192.56299819214536</v>
      </c>
      <c r="C268">
        <v>267.8903624760307</v>
      </c>
      <c r="D268">
        <v>324.56299819214536</v>
      </c>
      <c r="E268">
        <f t="shared" si="4"/>
        <v>178.708</v>
      </c>
      <c r="F268" t="str" cm="1">
        <f t="array" ref="F268">INDEX({"Pay as you go","Prediction_Pack","Prediction_Payasyougo',""Competitor"},MATCH(MIN(A268:D268),A268:D268,0))</f>
        <v>Pay as you go</v>
      </c>
    </row>
    <row r="269" spans="1:6" x14ac:dyDescent="0.25">
      <c r="A269">
        <v>121.682</v>
      </c>
      <c r="B269">
        <v>142.91095317520964</v>
      </c>
      <c r="C269">
        <v>173.75445984653851</v>
      </c>
      <c r="D269">
        <v>241.91095317520964</v>
      </c>
      <c r="E269">
        <f t="shared" si="4"/>
        <v>121.682</v>
      </c>
      <c r="F269" t="str" cm="1">
        <f t="array" ref="F269">INDEX({"Pay as you go","Prediction_Pack","Prediction_Payasyougo',""Competitor"},MATCH(MIN(A269:D269),A269:D269,0))</f>
        <v>Pay as you go</v>
      </c>
    </row>
    <row r="270" spans="1:6" x14ac:dyDescent="0.25">
      <c r="A270">
        <v>87.322000000000003</v>
      </c>
      <c r="B270">
        <v>110.83731691049042</v>
      </c>
      <c r="C270">
        <v>140.08218713880137</v>
      </c>
      <c r="D270">
        <v>167.83731691049042</v>
      </c>
      <c r="E270">
        <f t="shared" si="4"/>
        <v>87.322000000000003</v>
      </c>
      <c r="F270" t="str" cm="1">
        <f t="array" ref="F270">INDEX({"Pay as you go","Prediction_Pack","Prediction_Payasyougo',""Competitor"},MATCH(MIN(A270:D270),A270:D270,0))</f>
        <v>Pay as you go</v>
      </c>
    </row>
    <row r="271" spans="1:6" x14ac:dyDescent="0.25">
      <c r="A271">
        <v>113.354</v>
      </c>
      <c r="B271">
        <v>124.38832234429935</v>
      </c>
      <c r="C271">
        <v>154.7159745849699</v>
      </c>
      <c r="D271">
        <v>214.38832234429935</v>
      </c>
      <c r="E271">
        <f t="shared" si="4"/>
        <v>113.354</v>
      </c>
      <c r="F271" t="str" cm="1">
        <f t="array" ref="F271">INDEX({"Pay as you go","Prediction_Pack","Prediction_Payasyougo',""Competitor"},MATCH(MIN(A271:D271),A271:D271,0))</f>
        <v>Pay as you go</v>
      </c>
    </row>
    <row r="272" spans="1:6" x14ac:dyDescent="0.25">
      <c r="A272">
        <v>213.54499999999999</v>
      </c>
      <c r="B272">
        <v>250.96564401237498</v>
      </c>
      <c r="C272">
        <v>367.13569128448063</v>
      </c>
      <c r="D272">
        <v>386.96564401237498</v>
      </c>
      <c r="E272">
        <f t="shared" si="4"/>
        <v>213.54499999999999</v>
      </c>
      <c r="F272" t="str" cm="1">
        <f t="array" ref="F272">INDEX({"Pay as you go","Prediction_Pack","Prediction_Payasyougo',""Competitor"},MATCH(MIN(A272:D272),A272:D272,0))</f>
        <v>Pay as you go</v>
      </c>
    </row>
    <row r="273" spans="1:6" x14ac:dyDescent="0.25">
      <c r="A273">
        <v>120.93599999999999</v>
      </c>
      <c r="B273">
        <v>138.93474218033566</v>
      </c>
      <c r="C273">
        <v>170.35400186987638</v>
      </c>
      <c r="D273">
        <v>226.93474218033566</v>
      </c>
      <c r="E273">
        <f t="shared" si="4"/>
        <v>120.93599999999999</v>
      </c>
      <c r="F273" t="str" cm="1">
        <f t="array" ref="F273">INDEX({"Pay as you go","Prediction_Pack","Prediction_Payasyougo',""Competitor"},MATCH(MIN(A273:D273),A273:D273,0))</f>
        <v>Pay as you go</v>
      </c>
    </row>
    <row r="274" spans="1:6" x14ac:dyDescent="0.25">
      <c r="A274">
        <v>124</v>
      </c>
      <c r="B274">
        <v>137.8579122982992</v>
      </c>
      <c r="C274">
        <v>175.93863199207297</v>
      </c>
      <c r="D274">
        <v>235.8579122982992</v>
      </c>
      <c r="E274">
        <f t="shared" si="4"/>
        <v>124</v>
      </c>
      <c r="F274" t="str" cm="1">
        <f t="array" ref="F274">INDEX({"Pay as you go","Prediction_Pack","Prediction_Payasyougo',""Competitor"},MATCH(MIN(A274:D274),A274:D274,0))</f>
        <v>Pay as you go</v>
      </c>
    </row>
    <row r="275" spans="1:6" x14ac:dyDescent="0.25">
      <c r="A275">
        <v>85.913000000000011</v>
      </c>
      <c r="B275">
        <v>98.73158278697079</v>
      </c>
      <c r="C275">
        <v>108.23500383960967</v>
      </c>
      <c r="D275">
        <v>171.73158278697079</v>
      </c>
      <c r="E275">
        <f t="shared" si="4"/>
        <v>85.913000000000011</v>
      </c>
      <c r="F275" t="str" cm="1">
        <f t="array" ref="F275">INDEX({"Pay as you go","Prediction_Pack","Prediction_Payasyougo',""Competitor"},MATCH(MIN(A275:D275),A275:D275,0))</f>
        <v>Pay as you go</v>
      </c>
    </row>
    <row r="276" spans="1:6" x14ac:dyDescent="0.25">
      <c r="A276">
        <v>201.43600000000001</v>
      </c>
      <c r="B276">
        <v>223.05959600345378</v>
      </c>
      <c r="C276">
        <v>323.15323853575563</v>
      </c>
      <c r="D276">
        <v>357.05959600345375</v>
      </c>
      <c r="E276">
        <f t="shared" si="4"/>
        <v>201.43600000000001</v>
      </c>
      <c r="F276" t="str" cm="1">
        <f t="array" ref="F276">INDEX({"Pay as you go","Prediction_Pack","Prediction_Payasyougo',""Competitor"},MATCH(MIN(A276:D276),A276:D276,0))</f>
        <v>Pay as you go</v>
      </c>
    </row>
    <row r="277" spans="1:6" x14ac:dyDescent="0.25">
      <c r="A277">
        <v>130.62800000000001</v>
      </c>
      <c r="B277">
        <v>156.7140700097564</v>
      </c>
      <c r="C277">
        <v>203.92640220464642</v>
      </c>
      <c r="D277">
        <v>254.7140700097564</v>
      </c>
      <c r="E277">
        <f t="shared" si="4"/>
        <v>130.62800000000001</v>
      </c>
      <c r="F277" t="str" cm="1">
        <f t="array" ref="F277">INDEX({"Pay as you go","Prediction_Pack","Prediction_Payasyougo',""Competitor"},MATCH(MIN(A277:D277),A277:D277,0))</f>
        <v>Pay as you go</v>
      </c>
    </row>
    <row r="278" spans="1:6" x14ac:dyDescent="0.25">
      <c r="A278">
        <v>121.26700000000001</v>
      </c>
      <c r="B278">
        <v>116.55601315166416</v>
      </c>
      <c r="C278">
        <v>140.99467992573608</v>
      </c>
      <c r="D278">
        <v>224.55601315166416</v>
      </c>
      <c r="E278">
        <f t="shared" si="4"/>
        <v>116.55601315166416</v>
      </c>
      <c r="F278" t="str" cm="1">
        <f t="array" ref="F278">INDEX({"Pay as you go","Prediction_Pack","Prediction_Payasyougo',""Competitor"},MATCH(MIN(A278:D278),A278:D278,0))</f>
        <v>Prediction_Pack</v>
      </c>
    </row>
    <row r="279" spans="1:6" x14ac:dyDescent="0.25">
      <c r="A279">
        <v>179.834</v>
      </c>
      <c r="B279">
        <v>195.27126713585207</v>
      </c>
      <c r="C279">
        <v>261.71103336078647</v>
      </c>
      <c r="D279">
        <v>333.2712671358521</v>
      </c>
      <c r="E279">
        <f t="shared" si="4"/>
        <v>179.834</v>
      </c>
      <c r="F279" t="str" cm="1">
        <f t="array" ref="F279">INDEX({"Pay as you go","Prediction_Pack","Prediction_Payasyougo',""Competitor"},MATCH(MIN(A279:D279),A279:D279,0))</f>
        <v>Pay as you go</v>
      </c>
    </row>
    <row r="280" spans="1:6" x14ac:dyDescent="0.25">
      <c r="A280">
        <v>90.831000000000003</v>
      </c>
      <c r="B280">
        <v>92.819157052310075</v>
      </c>
      <c r="C280">
        <v>97.73814729730725</v>
      </c>
      <c r="D280">
        <v>169.81915705231006</v>
      </c>
      <c r="E280">
        <f t="shared" si="4"/>
        <v>90.831000000000003</v>
      </c>
      <c r="F280" t="str" cm="1">
        <f t="array" ref="F280">INDEX({"Pay as you go","Prediction_Pack","Prediction_Payasyougo',""Competitor"},MATCH(MIN(A280:D280),A280:D280,0))</f>
        <v>Pay as you go</v>
      </c>
    </row>
    <row r="281" spans="1:6" x14ac:dyDescent="0.25">
      <c r="A281">
        <v>118.899</v>
      </c>
      <c r="B281">
        <v>132.9904241249867</v>
      </c>
      <c r="C281">
        <v>167.18440943026027</v>
      </c>
      <c r="D281">
        <v>224.99042412498667</v>
      </c>
      <c r="E281">
        <f t="shared" si="4"/>
        <v>118.899</v>
      </c>
      <c r="F281" t="str" cm="1">
        <f t="array" ref="F281">INDEX({"Pay as you go","Prediction_Pack","Prediction_Payasyougo',""Competitor"},MATCH(MIN(A281:D281),A281:D281,0))</f>
        <v>Pay as you go</v>
      </c>
    </row>
    <row r="282" spans="1:6" x14ac:dyDescent="0.25">
      <c r="A282">
        <v>108.387</v>
      </c>
      <c r="B282">
        <v>123.49291894645756</v>
      </c>
      <c r="C282">
        <v>145.46663483875986</v>
      </c>
      <c r="D282">
        <v>213.49291894645756</v>
      </c>
      <c r="E282">
        <f t="shared" si="4"/>
        <v>108.387</v>
      </c>
      <c r="F282" t="str" cm="1">
        <f t="array" ref="F282">INDEX({"Pay as you go","Prediction_Pack","Prediction_Payasyougo',""Competitor"},MATCH(MIN(A282:D282),A282:D282,0))</f>
        <v>Pay as you go</v>
      </c>
    </row>
    <row r="283" spans="1:6" x14ac:dyDescent="0.25">
      <c r="A283">
        <v>117.843</v>
      </c>
      <c r="B283">
        <v>130.24215374492525</v>
      </c>
      <c r="C283">
        <v>159.94534338931905</v>
      </c>
      <c r="D283">
        <v>226.24215374492525</v>
      </c>
      <c r="E283">
        <f t="shared" si="4"/>
        <v>117.843</v>
      </c>
      <c r="F283" t="str" cm="1">
        <f t="array" ref="F283">INDEX({"Pay as you go","Prediction_Pack","Prediction_Payasyougo',""Competitor"},MATCH(MIN(A283:D283),A283:D283,0))</f>
        <v>Pay as you go</v>
      </c>
    </row>
    <row r="284" spans="1:6" x14ac:dyDescent="0.25">
      <c r="A284">
        <v>246.45999999999998</v>
      </c>
      <c r="B284">
        <v>273.95385186879383</v>
      </c>
      <c r="C284">
        <v>409.34896757599603</v>
      </c>
      <c r="D284">
        <v>435.95385186879378</v>
      </c>
      <c r="E284">
        <f t="shared" si="4"/>
        <v>246.45999999999998</v>
      </c>
      <c r="F284" t="str" cm="1">
        <f t="array" ref="F284">INDEX({"Pay as you go","Prediction_Pack","Prediction_Payasyougo',""Competitor"},MATCH(MIN(A284:D284),A284:D284,0))</f>
        <v>Pay as you go</v>
      </c>
    </row>
    <row r="285" spans="1:6" x14ac:dyDescent="0.25">
      <c r="A285">
        <v>147.93600000000001</v>
      </c>
      <c r="B285">
        <v>140.42226828319957</v>
      </c>
      <c r="C285">
        <v>174.11582819931556</v>
      </c>
      <c r="D285">
        <v>269.42226828319957</v>
      </c>
      <c r="E285">
        <f t="shared" si="4"/>
        <v>140.42226828319957</v>
      </c>
      <c r="F285" t="str" cm="1">
        <f t="array" ref="F285">INDEX({"Pay as you go","Prediction_Pack","Prediction_Payasyougo',""Competitor"},MATCH(MIN(A285:D285),A285:D285,0))</f>
        <v>Prediction_Pack</v>
      </c>
    </row>
    <row r="286" spans="1:6" x14ac:dyDescent="0.25">
      <c r="A286">
        <v>142.23499999999999</v>
      </c>
      <c r="B286">
        <v>152.8366907968271</v>
      </c>
      <c r="C286">
        <v>200.72833642977298</v>
      </c>
      <c r="D286">
        <v>264.8366907968271</v>
      </c>
      <c r="E286">
        <f t="shared" si="4"/>
        <v>142.23499999999999</v>
      </c>
      <c r="F286" t="str" cm="1">
        <f t="array" ref="F286">INDEX({"Pay as you go","Prediction_Pack","Prediction_Payasyougo',""Competitor"},MATCH(MIN(A286:D286),A286:D286,0))</f>
        <v>Pay as you go</v>
      </c>
    </row>
    <row r="287" spans="1:6" x14ac:dyDescent="0.25">
      <c r="A287">
        <v>100.64500000000001</v>
      </c>
      <c r="B287">
        <v>116.18593773253664</v>
      </c>
      <c r="C287">
        <v>139.34090479636043</v>
      </c>
      <c r="D287">
        <v>204.18593773253664</v>
      </c>
      <c r="E287">
        <f t="shared" si="4"/>
        <v>100.64500000000001</v>
      </c>
      <c r="F287" t="str" cm="1">
        <f t="array" ref="F287">INDEX({"Pay as you go","Prediction_Pack","Prediction_Payasyougo',""Competitor"},MATCH(MIN(A287:D287),A287:D287,0))</f>
        <v>Pay as you go</v>
      </c>
    </row>
    <row r="288" spans="1:6" x14ac:dyDescent="0.25">
      <c r="A288">
        <v>137.18</v>
      </c>
      <c r="B288">
        <v>162.40005897103896</v>
      </c>
      <c r="C288">
        <v>218.88132638568007</v>
      </c>
      <c r="D288">
        <v>261.40005897103896</v>
      </c>
      <c r="E288">
        <f t="shared" si="4"/>
        <v>137.18</v>
      </c>
      <c r="F288" t="str" cm="1">
        <f t="array" ref="F288">INDEX({"Pay as you go","Prediction_Pack","Prediction_Payasyougo',""Competitor"},MATCH(MIN(A288:D288),A288:D288,0))</f>
        <v>Pay as you go</v>
      </c>
    </row>
    <row r="289" spans="1:6" x14ac:dyDescent="0.25">
      <c r="A289">
        <v>95.606999999999999</v>
      </c>
      <c r="B289">
        <v>97.174604107132922</v>
      </c>
      <c r="C289">
        <v>104.76235840162943</v>
      </c>
      <c r="D289">
        <v>185.17460410713292</v>
      </c>
      <c r="E289">
        <f t="shared" si="4"/>
        <v>95.606999999999999</v>
      </c>
      <c r="F289" t="str" cm="1">
        <f t="array" ref="F289">INDEX({"Pay as you go","Prediction_Pack","Prediction_Payasyougo',""Competitor"},MATCH(MIN(A289:D289),A289:D289,0))</f>
        <v>Pay as you go</v>
      </c>
    </row>
    <row r="290" spans="1:6" x14ac:dyDescent="0.25">
      <c r="A290">
        <v>150.505</v>
      </c>
      <c r="B290">
        <v>179.12406575895625</v>
      </c>
      <c r="C290">
        <v>261.37026314636438</v>
      </c>
      <c r="D290">
        <v>267.12406575895625</v>
      </c>
      <c r="E290">
        <f t="shared" si="4"/>
        <v>150.505</v>
      </c>
      <c r="F290" t="str" cm="1">
        <f t="array" ref="F290">INDEX({"Pay as you go","Prediction_Pack","Prediction_Payasyougo',""Competitor"},MATCH(MIN(A290:D290),A290:D290,0))</f>
        <v>Pay as you go</v>
      </c>
    </row>
    <row r="291" spans="1:6" x14ac:dyDescent="0.25">
      <c r="A291">
        <v>163.01400000000001</v>
      </c>
      <c r="B291">
        <v>175.77009636785073</v>
      </c>
      <c r="C291">
        <v>219.91451270345473</v>
      </c>
      <c r="D291">
        <v>302.77009636785073</v>
      </c>
      <c r="E291">
        <f t="shared" si="4"/>
        <v>163.01400000000001</v>
      </c>
      <c r="F291" t="str" cm="1">
        <f t="array" ref="F291">INDEX({"Pay as you go","Prediction_Pack","Prediction_Payasyougo',""Competitor"},MATCH(MIN(A291:D291),A291:D291,0))</f>
        <v>Pay as you go</v>
      </c>
    </row>
    <row r="292" spans="1:6" x14ac:dyDescent="0.25">
      <c r="A292">
        <v>179.24199999999999</v>
      </c>
      <c r="B292">
        <v>222.06750351733996</v>
      </c>
      <c r="C292">
        <v>318.77164291386833</v>
      </c>
      <c r="D292">
        <v>336.06750351733996</v>
      </c>
      <c r="E292">
        <f t="shared" si="4"/>
        <v>179.24199999999999</v>
      </c>
      <c r="F292" t="str" cm="1">
        <f t="array" ref="F292">INDEX({"Pay as you go","Prediction_Pack","Prediction_Payasyougo',""Competitor"},MATCH(MIN(A292:D292),A292:D292,0))</f>
        <v>Pay as you go</v>
      </c>
    </row>
    <row r="293" spans="1:6" x14ac:dyDescent="0.25">
      <c r="A293">
        <v>97.904000000000011</v>
      </c>
      <c r="B293">
        <v>111.73168974477835</v>
      </c>
      <c r="C293">
        <v>134.78124710091771</v>
      </c>
      <c r="D293">
        <v>198.73168974477835</v>
      </c>
      <c r="E293">
        <f t="shared" si="4"/>
        <v>97.904000000000011</v>
      </c>
      <c r="F293" t="str" cm="1">
        <f t="array" ref="F293">INDEX({"Pay as you go","Prediction_Pack","Prediction_Payasyougo',""Competitor"},MATCH(MIN(A293:D293),A293:D293,0))</f>
        <v>Pay as you go</v>
      </c>
    </row>
    <row r="294" spans="1:6" x14ac:dyDescent="0.25">
      <c r="A294">
        <v>174.411</v>
      </c>
      <c r="B294">
        <v>195.19057932429968</v>
      </c>
      <c r="C294">
        <v>278.2238463937162</v>
      </c>
      <c r="D294">
        <v>318.19057932429968</v>
      </c>
      <c r="E294">
        <f t="shared" si="4"/>
        <v>174.411</v>
      </c>
      <c r="F294" t="str" cm="1">
        <f t="array" ref="F294">INDEX({"Pay as you go","Prediction_Pack","Prediction_Payasyougo',""Competitor"},MATCH(MIN(A294:D294),A294:D294,0))</f>
        <v>Pay as you go</v>
      </c>
    </row>
    <row r="295" spans="1:6" x14ac:dyDescent="0.25">
      <c r="A295">
        <v>100.19500000000001</v>
      </c>
      <c r="B295">
        <v>119.16266042797245</v>
      </c>
      <c r="C295">
        <v>152.34014925272609</v>
      </c>
      <c r="D295">
        <v>193.16266042797244</v>
      </c>
      <c r="E295">
        <f t="shared" si="4"/>
        <v>100.19500000000001</v>
      </c>
      <c r="F295" t="str" cm="1">
        <f t="array" ref="F295">INDEX({"Pay as you go","Prediction_Pack","Prediction_Payasyougo',""Competitor"},MATCH(MIN(A295:D295),A295:D295,0))</f>
        <v>Pay as you go</v>
      </c>
    </row>
    <row r="296" spans="1:6" x14ac:dyDescent="0.25">
      <c r="A296">
        <v>84.192000000000007</v>
      </c>
      <c r="B296">
        <v>94.499499438387431</v>
      </c>
      <c r="C296">
        <v>84.442104731943985</v>
      </c>
      <c r="D296">
        <v>171.49949943838743</v>
      </c>
      <c r="E296">
        <f t="shared" si="4"/>
        <v>84.192000000000007</v>
      </c>
      <c r="F296" t="str" cm="1">
        <f t="array" ref="F296">INDEX({"Pay as you go","Prediction_Pack","Prediction_Payasyougo',""Competitor"},MATCH(MIN(A296:D296),A296:D296,0))</f>
        <v>Pay as you go</v>
      </c>
    </row>
    <row r="297" spans="1:6" x14ac:dyDescent="0.25">
      <c r="A297">
        <v>188.006</v>
      </c>
      <c r="B297">
        <v>211.73320625352767</v>
      </c>
      <c r="C297">
        <v>311.85064387168705</v>
      </c>
      <c r="D297">
        <v>348.73320625352767</v>
      </c>
      <c r="E297">
        <f t="shared" si="4"/>
        <v>188.006</v>
      </c>
      <c r="F297" t="str" cm="1">
        <f t="array" ref="F297">INDEX({"Pay as you go","Prediction_Pack","Prediction_Payasyougo',""Competitor"},MATCH(MIN(A297:D297),A297:D297,0))</f>
        <v>Pay as you go</v>
      </c>
    </row>
    <row r="298" spans="1:6" x14ac:dyDescent="0.25">
      <c r="A298">
        <v>148.57599999999999</v>
      </c>
      <c r="B298">
        <v>161.49586080953429</v>
      </c>
      <c r="C298">
        <v>205.73028678542332</v>
      </c>
      <c r="D298">
        <v>275.49586080953429</v>
      </c>
      <c r="E298">
        <f t="shared" si="4"/>
        <v>148.57599999999999</v>
      </c>
      <c r="F298" t="str" cm="1">
        <f t="array" ref="F298">INDEX({"Pay as you go","Prediction_Pack","Prediction_Payasyougo',""Competitor"},MATCH(MIN(A298:D298),A298:D298,0))</f>
        <v>Pay as you go</v>
      </c>
    </row>
    <row r="299" spans="1:6" x14ac:dyDescent="0.25">
      <c r="A299">
        <v>136.79300000000001</v>
      </c>
      <c r="B299">
        <v>135.38206543055625</v>
      </c>
      <c r="C299">
        <v>165.87865753715533</v>
      </c>
      <c r="D299">
        <v>253.38206543055625</v>
      </c>
      <c r="E299">
        <f t="shared" si="4"/>
        <v>135.38206543055625</v>
      </c>
      <c r="F299" t="str" cm="1">
        <f t="array" ref="F299">INDEX({"Pay as you go","Prediction_Pack","Prediction_Payasyougo',""Competitor"},MATCH(MIN(A299:D299),A299:D299,0))</f>
        <v>Prediction_Pack</v>
      </c>
    </row>
    <row r="300" spans="1:6" x14ac:dyDescent="0.25">
      <c r="A300">
        <v>94.596999999999994</v>
      </c>
      <c r="B300">
        <v>107.72487069032658</v>
      </c>
      <c r="C300">
        <v>121.3979090782596</v>
      </c>
      <c r="D300">
        <v>198.72487069032658</v>
      </c>
      <c r="E300">
        <f t="shared" si="4"/>
        <v>94.596999999999994</v>
      </c>
      <c r="F300" t="str" cm="1">
        <f t="array" ref="F300">INDEX({"Pay as you go","Prediction_Pack","Prediction_Payasyougo',""Competitor"},MATCH(MIN(A300:D300),A300:D300,0))</f>
        <v>Pay as you go</v>
      </c>
    </row>
    <row r="301" spans="1:6" x14ac:dyDescent="0.25">
      <c r="A301">
        <v>149.852</v>
      </c>
      <c r="B301">
        <v>154.6490637756738</v>
      </c>
      <c r="C301">
        <v>187.50140958901554</v>
      </c>
      <c r="D301">
        <v>276.64906377567382</v>
      </c>
      <c r="E301">
        <f t="shared" si="4"/>
        <v>149.852</v>
      </c>
      <c r="F301" t="str" cm="1">
        <f t="array" ref="F301">INDEX({"Pay as you go","Prediction_Pack","Prediction_Payasyougo',""Competitor"},MATCH(MIN(A301:D301),A301:D301,0))</f>
        <v>Pay as you go</v>
      </c>
    </row>
    <row r="302" spans="1:6" x14ac:dyDescent="0.25">
      <c r="A302">
        <v>153.21600000000001</v>
      </c>
      <c r="B302">
        <v>163.94171967086803</v>
      </c>
      <c r="C302">
        <v>218.87397190279623</v>
      </c>
      <c r="D302">
        <v>283.94171967086805</v>
      </c>
      <c r="E302">
        <f t="shared" si="4"/>
        <v>153.21600000000001</v>
      </c>
      <c r="F302" t="str" cm="1">
        <f t="array" ref="F302">INDEX({"Pay as you go","Prediction_Pack","Prediction_Payasyougo',""Competitor"},MATCH(MIN(A302:D302),A302:D302,0))</f>
        <v>Pay as you go</v>
      </c>
    </row>
    <row r="303" spans="1:6" x14ac:dyDescent="0.25">
      <c r="A303">
        <v>126.459</v>
      </c>
      <c r="B303">
        <v>149.81363671973969</v>
      </c>
      <c r="C303">
        <v>185.58607155630324</v>
      </c>
      <c r="D303">
        <v>245.81363671973966</v>
      </c>
      <c r="E303">
        <f t="shared" si="4"/>
        <v>126.459</v>
      </c>
      <c r="F303" t="str" cm="1">
        <f t="array" ref="F303">INDEX({"Pay as you go","Prediction_Pack","Prediction_Payasyougo',""Competitor"},MATCH(MIN(A303:D303),A303:D303,0))</f>
        <v>Pay as you go</v>
      </c>
    </row>
    <row r="304" spans="1:6" x14ac:dyDescent="0.25">
      <c r="A304">
        <v>171.67400000000001</v>
      </c>
      <c r="B304">
        <v>190.26203626115097</v>
      </c>
      <c r="C304">
        <v>270.55941371700442</v>
      </c>
      <c r="D304">
        <v>317.26203626115097</v>
      </c>
      <c r="E304">
        <f t="shared" si="4"/>
        <v>171.67400000000001</v>
      </c>
      <c r="F304" t="str" cm="1">
        <f t="array" ref="F304">INDEX({"Pay as you go","Prediction_Pack","Prediction_Payasyougo',""Competitor"},MATCH(MIN(A304:D304),A304:D304,0))</f>
        <v>Pay as you go</v>
      </c>
    </row>
    <row r="305" spans="1:6" x14ac:dyDescent="0.25">
      <c r="A305">
        <v>123.848</v>
      </c>
      <c r="B305">
        <v>123.8422034156365</v>
      </c>
      <c r="C305">
        <v>142.47566026792921</v>
      </c>
      <c r="D305">
        <v>238.8422034156365</v>
      </c>
      <c r="E305">
        <f t="shared" si="4"/>
        <v>123.8422034156365</v>
      </c>
      <c r="F305" t="str" cm="1">
        <f t="array" ref="F305">INDEX({"Pay as you go","Prediction_Pack","Prediction_Payasyougo',""Competitor"},MATCH(MIN(A305:D305),A305:D305,0))</f>
        <v>Prediction_Pack</v>
      </c>
    </row>
    <row r="306" spans="1:6" x14ac:dyDescent="0.25">
      <c r="A306">
        <v>87.784000000000006</v>
      </c>
      <c r="B306">
        <v>110.30879084781435</v>
      </c>
      <c r="C306">
        <v>117.86886045352034</v>
      </c>
      <c r="D306">
        <v>176.30879084781435</v>
      </c>
      <c r="E306">
        <f t="shared" si="4"/>
        <v>87.784000000000006</v>
      </c>
      <c r="F306" t="str" cm="1">
        <f t="array" ref="F306">INDEX({"Pay as you go","Prediction_Pack","Prediction_Payasyougo',""Competitor"},MATCH(MIN(A306:D306),A306:D306,0))</f>
        <v>Pay as you go</v>
      </c>
    </row>
    <row r="307" spans="1:6" x14ac:dyDescent="0.25">
      <c r="A307">
        <v>112.283</v>
      </c>
      <c r="B307">
        <v>123.63702984247959</v>
      </c>
      <c r="C307">
        <v>160.31019290984653</v>
      </c>
      <c r="D307">
        <v>213.63702984247956</v>
      </c>
      <c r="E307">
        <f t="shared" si="4"/>
        <v>112.283</v>
      </c>
      <c r="F307" t="str" cm="1">
        <f t="array" ref="F307">INDEX({"Pay as you go","Prediction_Pack","Prediction_Payasyougo',""Competitor"},MATCH(MIN(A307:D307),A307:D307,0))</f>
        <v>Pay as you go</v>
      </c>
    </row>
    <row r="308" spans="1:6" x14ac:dyDescent="0.25">
      <c r="A308">
        <v>149.34899999999999</v>
      </c>
      <c r="B308">
        <v>146.38866196409239</v>
      </c>
      <c r="C308">
        <v>205.15207981093371</v>
      </c>
      <c r="D308">
        <v>272.38866196409242</v>
      </c>
      <c r="E308">
        <f t="shared" si="4"/>
        <v>146.38866196409239</v>
      </c>
      <c r="F308" t="str" cm="1">
        <f t="array" ref="F308">INDEX({"Pay as you go","Prediction_Pack","Prediction_Payasyougo',""Competitor"},MATCH(MIN(A308:D308),A308:D308,0))</f>
        <v>Prediction_Pack</v>
      </c>
    </row>
    <row r="309" spans="1:6" x14ac:dyDescent="0.25">
      <c r="A309">
        <v>94.984999999999999</v>
      </c>
      <c r="B309">
        <v>93.663163874055357</v>
      </c>
      <c r="C309">
        <v>95.534901712364928</v>
      </c>
      <c r="D309">
        <v>185.66316387405536</v>
      </c>
      <c r="E309">
        <f t="shared" si="4"/>
        <v>93.663163874055357</v>
      </c>
      <c r="F309" t="str" cm="1">
        <f t="array" ref="F309">INDEX({"Pay as you go","Prediction_Pack","Prediction_Payasyougo',""Competitor"},MATCH(MIN(A309:D309),A309:D309,0))</f>
        <v>Prediction_Pack</v>
      </c>
    </row>
    <row r="310" spans="1:6" x14ac:dyDescent="0.25">
      <c r="A310">
        <v>188.06699999999998</v>
      </c>
      <c r="B310">
        <v>213.01486651959524</v>
      </c>
      <c r="C310">
        <v>313.01493486547321</v>
      </c>
      <c r="D310">
        <v>335.01486651959527</v>
      </c>
      <c r="E310">
        <f t="shared" si="4"/>
        <v>188.06699999999998</v>
      </c>
      <c r="F310" t="str" cm="1">
        <f t="array" ref="F310">INDEX({"Pay as you go","Prediction_Pack","Prediction_Payasyougo',""Competitor"},MATCH(MIN(A310:D310),A310:D310,0))</f>
        <v>Pay as you go</v>
      </c>
    </row>
    <row r="311" spans="1:6" x14ac:dyDescent="0.25">
      <c r="A311">
        <v>158.941</v>
      </c>
      <c r="B311">
        <v>160.32945502912648</v>
      </c>
      <c r="C311">
        <v>227.31919338514041</v>
      </c>
      <c r="D311">
        <v>284.32945502912651</v>
      </c>
      <c r="E311">
        <f t="shared" si="4"/>
        <v>158.941</v>
      </c>
      <c r="F311" t="str" cm="1">
        <f t="array" ref="F311">INDEX({"Pay as you go","Prediction_Pack","Prediction_Payasyougo',""Competitor"},MATCH(MIN(A311:D311),A311:D311,0))</f>
        <v>Pay as you go</v>
      </c>
    </row>
    <row r="312" spans="1:6" x14ac:dyDescent="0.25">
      <c r="A312">
        <v>186.37100000000001</v>
      </c>
      <c r="B312">
        <v>191.50128041667207</v>
      </c>
      <c r="C312">
        <v>272.6600581944507</v>
      </c>
      <c r="D312">
        <v>333.5012804166721</v>
      </c>
      <c r="E312">
        <f t="shared" si="4"/>
        <v>186.37100000000001</v>
      </c>
      <c r="F312" t="str" cm="1">
        <f t="array" ref="F312">INDEX({"Pay as you go","Prediction_Pack","Prediction_Payasyougo',""Competitor"},MATCH(MIN(A312:D312),A312:D312,0))</f>
        <v>Pay as you go</v>
      </c>
    </row>
    <row r="313" spans="1:6" x14ac:dyDescent="0.25">
      <c r="A313">
        <v>139.922</v>
      </c>
      <c r="B313">
        <v>155.38206539144281</v>
      </c>
      <c r="C313">
        <v>196.20501215797256</v>
      </c>
      <c r="D313">
        <v>268.38206539144284</v>
      </c>
      <c r="E313">
        <f t="shared" si="4"/>
        <v>139.922</v>
      </c>
      <c r="F313" t="str" cm="1">
        <f t="array" ref="F313">INDEX({"Pay as you go","Prediction_Pack","Prediction_Payasyougo',""Competitor"},MATCH(MIN(A313:D313),A313:D313,0))</f>
        <v>Pay as you go</v>
      </c>
    </row>
    <row r="314" spans="1:6" x14ac:dyDescent="0.25">
      <c r="A314">
        <v>149.01500000000001</v>
      </c>
      <c r="B314">
        <v>148.50555491327262</v>
      </c>
      <c r="C314">
        <v>199.68457169453714</v>
      </c>
      <c r="D314">
        <v>274.50555491327265</v>
      </c>
      <c r="E314">
        <f t="shared" si="4"/>
        <v>148.50555491327262</v>
      </c>
      <c r="F314" t="str" cm="1">
        <f t="array" ref="F314">INDEX({"Pay as you go","Prediction_Pack","Prediction_Payasyougo',""Competitor"},MATCH(MIN(A314:D314),A314:D314,0))</f>
        <v>Prediction_Pack</v>
      </c>
    </row>
    <row r="315" spans="1:6" x14ac:dyDescent="0.25">
      <c r="A315">
        <v>123.65700000000001</v>
      </c>
      <c r="B315">
        <v>127.57012322850517</v>
      </c>
      <c r="C315">
        <v>166.84471781390172</v>
      </c>
      <c r="D315">
        <v>228.57012322850517</v>
      </c>
      <c r="E315">
        <f t="shared" si="4"/>
        <v>123.65700000000001</v>
      </c>
      <c r="F315" t="str" cm="1">
        <f t="array" ref="F315">INDEX({"Pay as you go","Prediction_Pack","Prediction_Payasyougo',""Competitor"},MATCH(MIN(A315:D315),A315:D315,0))</f>
        <v>Pay as you go</v>
      </c>
    </row>
    <row r="316" spans="1:6" x14ac:dyDescent="0.25">
      <c r="A316">
        <v>154.29400000000001</v>
      </c>
      <c r="B316">
        <v>178.74198218742697</v>
      </c>
      <c r="C316">
        <v>251.4643681944371</v>
      </c>
      <c r="D316">
        <v>286.74198218742697</v>
      </c>
      <c r="E316">
        <f t="shared" si="4"/>
        <v>154.29400000000001</v>
      </c>
      <c r="F316" t="str" cm="1">
        <f t="array" ref="F316">INDEX({"Pay as you go","Prediction_Pack","Prediction_Payasyougo',""Competitor"},MATCH(MIN(A316:D316),A316:D316,0))</f>
        <v>Pay as you go</v>
      </c>
    </row>
    <row r="317" spans="1:6" x14ac:dyDescent="0.25">
      <c r="A317">
        <v>95.641000000000005</v>
      </c>
      <c r="B317">
        <v>106.12774208143881</v>
      </c>
      <c r="C317">
        <v>121.49476042765664</v>
      </c>
      <c r="D317">
        <v>186.12774208143881</v>
      </c>
      <c r="E317">
        <f t="shared" si="4"/>
        <v>95.641000000000005</v>
      </c>
      <c r="F317" t="str" cm="1">
        <f t="array" ref="F317">INDEX({"Pay as you go","Prediction_Pack","Prediction_Payasyougo',""Competitor"},MATCH(MIN(A317:D317),A317:D317,0))</f>
        <v>Pay as you go</v>
      </c>
    </row>
    <row r="318" spans="1:6" x14ac:dyDescent="0.25">
      <c r="A318">
        <v>114.876</v>
      </c>
      <c r="B318">
        <v>109.73201672136562</v>
      </c>
      <c r="C318">
        <v>128.49965201993385</v>
      </c>
      <c r="D318">
        <v>210.7320167213656</v>
      </c>
      <c r="E318">
        <f t="shared" si="4"/>
        <v>109.73201672136562</v>
      </c>
      <c r="F318" t="str" cm="1">
        <f t="array" ref="F318">INDEX({"Pay as you go","Prediction_Pack","Prediction_Payasyougo',""Competitor"},MATCH(MIN(A318:D318),A318:D318,0))</f>
        <v>Prediction_Pack</v>
      </c>
    </row>
    <row r="319" spans="1:6" x14ac:dyDescent="0.25">
      <c r="A319">
        <v>103.92699999999999</v>
      </c>
      <c r="B319">
        <v>123.3866135639237</v>
      </c>
      <c r="C319">
        <v>159.69637756999191</v>
      </c>
      <c r="D319">
        <v>203.3866135639237</v>
      </c>
      <c r="E319">
        <f t="shared" si="4"/>
        <v>103.92699999999999</v>
      </c>
      <c r="F319" t="str" cm="1">
        <f t="array" ref="F319">INDEX({"Pay as you go","Prediction_Pack","Prediction_Payasyougo',""Competitor"},MATCH(MIN(A319:D319),A319:D319,0))</f>
        <v>Pay as you go</v>
      </c>
    </row>
    <row r="320" spans="1:6" x14ac:dyDescent="0.25">
      <c r="A320">
        <v>136.82900000000001</v>
      </c>
      <c r="B320">
        <v>138.62000403747678</v>
      </c>
      <c r="C320">
        <v>161.927216962107</v>
      </c>
      <c r="D320">
        <v>257.6200040374768</v>
      </c>
      <c r="E320">
        <f t="shared" si="4"/>
        <v>136.82900000000001</v>
      </c>
      <c r="F320" t="str" cm="1">
        <f t="array" ref="F320">INDEX({"Pay as you go","Prediction_Pack","Prediction_Payasyougo',""Competitor"},MATCH(MIN(A320:D320),A320:D320,0))</f>
        <v>Pay as you go</v>
      </c>
    </row>
    <row r="321" spans="1:6" x14ac:dyDescent="0.25">
      <c r="A321">
        <v>120.327</v>
      </c>
      <c r="B321">
        <v>141.66064364482119</v>
      </c>
      <c r="C321">
        <v>176.9565635988348</v>
      </c>
      <c r="D321">
        <v>235.66064364482119</v>
      </c>
      <c r="E321">
        <f t="shared" si="4"/>
        <v>120.327</v>
      </c>
      <c r="F321" t="str" cm="1">
        <f t="array" ref="F321">INDEX({"Pay as you go","Prediction_Pack","Prediction_Payasyougo',""Competitor"},MATCH(MIN(A321:D321),A321:D321,0))</f>
        <v>Pay as you go</v>
      </c>
    </row>
    <row r="322" spans="1:6" x14ac:dyDescent="0.25">
      <c r="A322">
        <v>125.509</v>
      </c>
      <c r="B322">
        <v>116.88809809699737</v>
      </c>
      <c r="C322">
        <v>139.79225622252017</v>
      </c>
      <c r="D322">
        <v>229.88809809699737</v>
      </c>
      <c r="E322">
        <f t="shared" si="4"/>
        <v>116.88809809699737</v>
      </c>
      <c r="F322" t="str" cm="1">
        <f t="array" ref="F322">INDEX({"Pay as you go","Prediction_Pack","Prediction_Payasyougo',""Competitor"},MATCH(MIN(A322:D322),A322:D322,0))</f>
        <v>Prediction_Pack</v>
      </c>
    </row>
    <row r="323" spans="1:6" x14ac:dyDescent="0.25">
      <c r="A323">
        <v>107.61800000000001</v>
      </c>
      <c r="B323">
        <v>136.31176667201785</v>
      </c>
      <c r="C323">
        <v>179.26718461192425</v>
      </c>
      <c r="D323">
        <v>209.31176667201785</v>
      </c>
      <c r="E323">
        <f t="shared" si="4"/>
        <v>107.61800000000001</v>
      </c>
      <c r="F323" t="str" cm="1">
        <f t="array" ref="F323">INDEX({"Pay as you go","Prediction_Pack","Prediction_Payasyougo',""Competitor"},MATCH(MIN(A323:D323),A323:D323,0))</f>
        <v>Pay as you go</v>
      </c>
    </row>
    <row r="324" spans="1:6" x14ac:dyDescent="0.25">
      <c r="A324">
        <v>135.309</v>
      </c>
      <c r="B324">
        <v>148.3707250540042</v>
      </c>
      <c r="C324">
        <v>199.51719942451129</v>
      </c>
      <c r="D324">
        <v>249.3707250540042</v>
      </c>
      <c r="E324">
        <f t="shared" si="4"/>
        <v>135.309</v>
      </c>
      <c r="F324" t="str" cm="1">
        <f t="array" ref="F324">INDEX({"Pay as you go","Prediction_Pack","Prediction_Payasyougo',""Competitor"},MATCH(MIN(A324:D324),A324:D324,0))</f>
        <v>Pay as you go</v>
      </c>
    </row>
    <row r="325" spans="1:6" x14ac:dyDescent="0.25">
      <c r="A325">
        <v>112.15</v>
      </c>
      <c r="B325">
        <v>116.45186074136404</v>
      </c>
      <c r="C325">
        <v>145.78663739007706</v>
      </c>
      <c r="D325">
        <v>214.45186074136404</v>
      </c>
      <c r="E325">
        <f t="shared" si="4"/>
        <v>112.15</v>
      </c>
      <c r="F325" t="str" cm="1">
        <f t="array" ref="F325">INDEX({"Pay as you go","Prediction_Pack","Prediction_Payasyougo',""Competitor"},MATCH(MIN(A325:D325),A325:D325,0))</f>
        <v>Pay as you go</v>
      </c>
    </row>
    <row r="326" spans="1:6" x14ac:dyDescent="0.25">
      <c r="A326">
        <v>151.28299999999999</v>
      </c>
      <c r="B326">
        <v>178.58500000661405</v>
      </c>
      <c r="C326">
        <v>260.56620474480644</v>
      </c>
      <c r="D326">
        <v>277.58500000661405</v>
      </c>
      <c r="E326">
        <f t="shared" si="4"/>
        <v>151.28299999999999</v>
      </c>
      <c r="F326" t="str" cm="1">
        <f t="array" ref="F326">INDEX({"Pay as you go","Prediction_Pack","Prediction_Payasyougo',""Competitor"},MATCH(MIN(A326:D326),A326:D326,0))</f>
        <v>Pay as you go</v>
      </c>
    </row>
    <row r="327" spans="1:6" x14ac:dyDescent="0.25">
      <c r="A327">
        <v>208.239</v>
      </c>
      <c r="B327">
        <v>209.75865149687033</v>
      </c>
      <c r="C327">
        <v>299.08343338033467</v>
      </c>
      <c r="D327">
        <v>365.75865149687036</v>
      </c>
      <c r="E327">
        <f t="shared" si="4"/>
        <v>208.239</v>
      </c>
      <c r="F327" t="str" cm="1">
        <f t="array" ref="F327">INDEX({"Pay as you go","Prediction_Pack","Prediction_Payasyougo',""Competitor"},MATCH(MIN(A327:D327),A327:D327,0))</f>
        <v>Pay as you go</v>
      </c>
    </row>
    <row r="328" spans="1:6" x14ac:dyDescent="0.25">
      <c r="A328">
        <v>138.5</v>
      </c>
      <c r="B328">
        <v>153.04227980883903</v>
      </c>
      <c r="C328">
        <v>215.77124733731802</v>
      </c>
      <c r="D328">
        <v>255.042279808839</v>
      </c>
      <c r="E328">
        <f t="shared" si="4"/>
        <v>138.5</v>
      </c>
      <c r="F328" t="str" cm="1">
        <f t="array" ref="F328">INDEX({"Pay as you go","Prediction_Pack","Prediction_Payasyougo',""Competitor"},MATCH(MIN(A328:D328),A328:D328,0))</f>
        <v>Pay as you go</v>
      </c>
    </row>
    <row r="329" spans="1:6" x14ac:dyDescent="0.25">
      <c r="A329">
        <v>108.105</v>
      </c>
      <c r="B329">
        <v>103.73800795610495</v>
      </c>
      <c r="C329">
        <v>124.82228787732092</v>
      </c>
      <c r="D329">
        <v>198.73800795610492</v>
      </c>
      <c r="E329">
        <f t="shared" ref="E329:E392" si="5">MIN(A329:D329)</f>
        <v>103.73800795610495</v>
      </c>
      <c r="F329" t="str" cm="1">
        <f t="array" ref="F329">INDEX({"Pay as you go","Prediction_Pack","Prediction_Payasyougo',""Competitor"},MATCH(MIN(A329:D329),A329:D329,0))</f>
        <v>Prediction_Pack</v>
      </c>
    </row>
    <row r="330" spans="1:6" x14ac:dyDescent="0.25">
      <c r="A330">
        <v>97.856000000000009</v>
      </c>
      <c r="B330">
        <v>109.08441387397986</v>
      </c>
      <c r="C330">
        <v>132.24236705082646</v>
      </c>
      <c r="D330">
        <v>190.08441387397986</v>
      </c>
      <c r="E330">
        <f t="shared" si="5"/>
        <v>97.856000000000009</v>
      </c>
      <c r="F330" t="str" cm="1">
        <f t="array" ref="F330">INDEX({"Pay as you go","Prediction_Pack","Prediction_Payasyougo',""Competitor"},MATCH(MIN(A330:D330),A330:D330,0))</f>
        <v>Pay as you go</v>
      </c>
    </row>
    <row r="331" spans="1:6" x14ac:dyDescent="0.25">
      <c r="A331">
        <v>116.22500000000001</v>
      </c>
      <c r="B331">
        <v>127.84640486101921</v>
      </c>
      <c r="C331">
        <v>166.06165853248544</v>
      </c>
      <c r="D331">
        <v>223.84640486101921</v>
      </c>
      <c r="E331">
        <f t="shared" si="5"/>
        <v>116.22500000000001</v>
      </c>
      <c r="F331" t="str" cm="1">
        <f t="array" ref="F331">INDEX({"Pay as you go","Prediction_Pack","Prediction_Payasyougo',""Competitor"},MATCH(MIN(A331:D331),A331:D331,0))</f>
        <v>Pay as you go</v>
      </c>
    </row>
    <row r="332" spans="1:6" x14ac:dyDescent="0.25">
      <c r="A332">
        <v>164.33499999999998</v>
      </c>
      <c r="B332">
        <v>180.54812400902819</v>
      </c>
      <c r="C332">
        <v>252.08308272565159</v>
      </c>
      <c r="D332">
        <v>304.54812400902819</v>
      </c>
      <c r="E332">
        <f t="shared" si="5"/>
        <v>164.33499999999998</v>
      </c>
      <c r="F332" t="str" cm="1">
        <f t="array" ref="F332">INDEX({"Pay as you go","Prediction_Pack","Prediction_Payasyougo',""Competitor"},MATCH(MIN(A332:D332),A332:D332,0))</f>
        <v>Pay as you go</v>
      </c>
    </row>
    <row r="333" spans="1:6" x14ac:dyDescent="0.25">
      <c r="A333">
        <v>107.581</v>
      </c>
      <c r="B333">
        <v>110.94987330766486</v>
      </c>
      <c r="C333">
        <v>124.49495643608927</v>
      </c>
      <c r="D333">
        <v>211.94987330766486</v>
      </c>
      <c r="E333">
        <f t="shared" si="5"/>
        <v>107.581</v>
      </c>
      <c r="F333" t="str" cm="1">
        <f t="array" ref="F333">INDEX({"Pay as you go","Prediction_Pack","Prediction_Payasyougo',""Competitor"},MATCH(MIN(A333:D333),A333:D333,0))</f>
        <v>Pay as you go</v>
      </c>
    </row>
    <row r="334" spans="1:6" x14ac:dyDescent="0.25">
      <c r="A334">
        <v>122.864</v>
      </c>
      <c r="B334">
        <v>136.53546735358731</v>
      </c>
      <c r="C334">
        <v>179.27946778292653</v>
      </c>
      <c r="D334">
        <v>234.53546735358731</v>
      </c>
      <c r="E334">
        <f t="shared" si="5"/>
        <v>122.864</v>
      </c>
      <c r="F334" t="str" cm="1">
        <f t="array" ref="F334">INDEX({"Pay as you go","Prediction_Pack","Prediction_Payasyougo',""Competitor"},MATCH(MIN(A334:D334),A334:D334,0))</f>
        <v>Pay as you go</v>
      </c>
    </row>
    <row r="335" spans="1:6" x14ac:dyDescent="0.25">
      <c r="A335">
        <v>85.180999999999997</v>
      </c>
      <c r="B335">
        <v>100.59475638778227</v>
      </c>
      <c r="C335">
        <v>111.79693420752562</v>
      </c>
      <c r="D335">
        <v>169.59475638778227</v>
      </c>
      <c r="E335">
        <f t="shared" si="5"/>
        <v>85.180999999999997</v>
      </c>
      <c r="F335" t="str" cm="1">
        <f t="array" ref="F335">INDEX({"Pay as you go","Prediction_Pack","Prediction_Payasyougo',""Competitor"},MATCH(MIN(A335:D335),A335:D335,0))</f>
        <v>Pay as you go</v>
      </c>
    </row>
    <row r="336" spans="1:6" x14ac:dyDescent="0.25">
      <c r="A336">
        <v>92.213000000000008</v>
      </c>
      <c r="B336">
        <v>95.060103703300541</v>
      </c>
      <c r="C336">
        <v>102.38464768556327</v>
      </c>
      <c r="D336">
        <v>188.06010370330054</v>
      </c>
      <c r="E336">
        <f t="shared" si="5"/>
        <v>92.213000000000008</v>
      </c>
      <c r="F336" t="str" cm="1">
        <f t="array" ref="F336">INDEX({"Pay as you go","Prediction_Pack","Prediction_Payasyougo',""Competitor"},MATCH(MIN(A336:D336),A336:D336,0))</f>
        <v>Pay as you go</v>
      </c>
    </row>
    <row r="337" spans="1:6" x14ac:dyDescent="0.25">
      <c r="A337">
        <v>81.457000000000008</v>
      </c>
      <c r="B337">
        <v>92.428761826090934</v>
      </c>
      <c r="C337">
        <v>96.736459961610308</v>
      </c>
      <c r="D337">
        <v>169.42876182609095</v>
      </c>
      <c r="E337">
        <f t="shared" si="5"/>
        <v>81.457000000000008</v>
      </c>
      <c r="F337" t="str" cm="1">
        <f t="array" ref="F337">INDEX({"Pay as you go","Prediction_Pack","Prediction_Payasyougo',""Competitor"},MATCH(MIN(A337:D337),A337:D337,0))</f>
        <v>Pay as you go</v>
      </c>
    </row>
    <row r="338" spans="1:6" x14ac:dyDescent="0.25">
      <c r="A338">
        <v>100.55500000000001</v>
      </c>
      <c r="B338">
        <v>107.60430084541736</v>
      </c>
      <c r="C338">
        <v>126.41526393336022</v>
      </c>
      <c r="D338">
        <v>193.60430084541736</v>
      </c>
      <c r="E338">
        <f t="shared" si="5"/>
        <v>100.55500000000001</v>
      </c>
      <c r="F338" t="str" cm="1">
        <f t="array" ref="F338">INDEX({"Pay as you go","Prediction_Pack","Prediction_Payasyougo',""Competitor"},MATCH(MIN(A338:D338),A338:D338,0))</f>
        <v>Pay as you go</v>
      </c>
    </row>
    <row r="339" spans="1:6" x14ac:dyDescent="0.25">
      <c r="A339">
        <v>116.206</v>
      </c>
      <c r="B339">
        <v>118.24786075301267</v>
      </c>
      <c r="C339">
        <v>136.12701403765411</v>
      </c>
      <c r="D339">
        <v>221.24786075301267</v>
      </c>
      <c r="E339">
        <f t="shared" si="5"/>
        <v>116.206</v>
      </c>
      <c r="F339" t="str" cm="1">
        <f t="array" ref="F339">INDEX({"Pay as you go","Prediction_Pack","Prediction_Payasyougo',""Competitor"},MATCH(MIN(A339:D339),A339:D339,0))</f>
        <v>Pay as you go</v>
      </c>
    </row>
    <row r="340" spans="1:6" x14ac:dyDescent="0.25">
      <c r="A340">
        <v>170.077</v>
      </c>
      <c r="B340">
        <v>199.4030394556724</v>
      </c>
      <c r="C340">
        <v>295.17894376772574</v>
      </c>
      <c r="D340">
        <v>308.4030394556724</v>
      </c>
      <c r="E340">
        <f t="shared" si="5"/>
        <v>170.077</v>
      </c>
      <c r="F340" t="str" cm="1">
        <f t="array" ref="F340">INDEX({"Pay as you go","Prediction_Pack","Prediction_Payasyougo',""Competitor"},MATCH(MIN(A340:D340),A340:D340,0))</f>
        <v>Pay as you go</v>
      </c>
    </row>
    <row r="341" spans="1:6" x14ac:dyDescent="0.25">
      <c r="A341">
        <v>140.48500000000001</v>
      </c>
      <c r="B341">
        <v>139.18603938144989</v>
      </c>
      <c r="C341">
        <v>178.55592116216519</v>
      </c>
      <c r="D341">
        <v>262.18603938144992</v>
      </c>
      <c r="E341">
        <f t="shared" si="5"/>
        <v>139.18603938144989</v>
      </c>
      <c r="F341" t="str" cm="1">
        <f t="array" ref="F341">INDEX({"Pay as you go","Prediction_Pack","Prediction_Payasyougo',""Competitor"},MATCH(MIN(A341:D341),A341:D341,0))</f>
        <v>Prediction_Pack</v>
      </c>
    </row>
    <row r="342" spans="1:6" x14ac:dyDescent="0.25">
      <c r="A342">
        <v>118.289</v>
      </c>
      <c r="B342">
        <v>137.83497904175326</v>
      </c>
      <c r="C342">
        <v>182.4352675315607</v>
      </c>
      <c r="D342">
        <v>220.83497904175326</v>
      </c>
      <c r="E342">
        <f t="shared" si="5"/>
        <v>118.289</v>
      </c>
      <c r="F342" t="str" cm="1">
        <f t="array" ref="F342">INDEX({"Pay as you go","Prediction_Pack","Prediction_Payasyougo',""Competitor"},MATCH(MIN(A342:D342),A342:D342,0))</f>
        <v>Pay as you go</v>
      </c>
    </row>
    <row r="343" spans="1:6" x14ac:dyDescent="0.25">
      <c r="A343">
        <v>87.616</v>
      </c>
      <c r="B343">
        <v>100.57326279221924</v>
      </c>
      <c r="C343">
        <v>121.13773513646055</v>
      </c>
      <c r="D343">
        <v>169.57326279221923</v>
      </c>
      <c r="E343">
        <f t="shared" si="5"/>
        <v>87.616</v>
      </c>
      <c r="F343" t="str" cm="1">
        <f t="array" ref="F343">INDEX({"Pay as you go","Prediction_Pack","Prediction_Payasyougo',""Competitor"},MATCH(MIN(A343:D343),A343:D343,0))</f>
        <v>Pay as you go</v>
      </c>
    </row>
    <row r="344" spans="1:6" x14ac:dyDescent="0.25">
      <c r="A344">
        <v>110.14200000000001</v>
      </c>
      <c r="B344">
        <v>109.79833730058041</v>
      </c>
      <c r="C344">
        <v>126.99728646208283</v>
      </c>
      <c r="D344">
        <v>211.79833730058041</v>
      </c>
      <c r="E344">
        <f t="shared" si="5"/>
        <v>109.79833730058041</v>
      </c>
      <c r="F344" t="str" cm="1">
        <f t="array" ref="F344">INDEX({"Pay as you go","Prediction_Pack","Prediction_Payasyougo',""Competitor"},MATCH(MIN(A344:D344),A344:D344,0))</f>
        <v>Prediction_Pack</v>
      </c>
    </row>
    <row r="345" spans="1:6" x14ac:dyDescent="0.25">
      <c r="A345">
        <v>104.61799999999999</v>
      </c>
      <c r="B345">
        <v>112.27032071726589</v>
      </c>
      <c r="C345">
        <v>127.91222669343512</v>
      </c>
      <c r="D345">
        <v>199.27032071726586</v>
      </c>
      <c r="E345">
        <f t="shared" si="5"/>
        <v>104.61799999999999</v>
      </c>
      <c r="F345" t="str" cm="1">
        <f t="array" ref="F345">INDEX({"Pay as you go","Prediction_Pack","Prediction_Payasyougo',""Competitor"},MATCH(MIN(A345:D345),A345:D345,0))</f>
        <v>Pay as you go</v>
      </c>
    </row>
    <row r="346" spans="1:6" x14ac:dyDescent="0.25">
      <c r="A346">
        <v>119.325</v>
      </c>
      <c r="B346">
        <v>129.00813098889373</v>
      </c>
      <c r="C346">
        <v>152.2128082766217</v>
      </c>
      <c r="D346">
        <v>230.00813098889373</v>
      </c>
      <c r="E346">
        <f t="shared" si="5"/>
        <v>119.325</v>
      </c>
      <c r="F346" t="str" cm="1">
        <f t="array" ref="F346">INDEX({"Pay as you go","Prediction_Pack","Prediction_Payasyougo',""Competitor"},MATCH(MIN(A346:D346),A346:D346,0))</f>
        <v>Pay as you go</v>
      </c>
    </row>
    <row r="347" spans="1:6" x14ac:dyDescent="0.25">
      <c r="A347">
        <v>138.98400000000001</v>
      </c>
      <c r="B347">
        <v>164.75818677650463</v>
      </c>
      <c r="C347">
        <v>217.33870223543542</v>
      </c>
      <c r="D347">
        <v>264.75818677650466</v>
      </c>
      <c r="E347">
        <f t="shared" si="5"/>
        <v>138.98400000000001</v>
      </c>
      <c r="F347" t="str" cm="1">
        <f t="array" ref="F347">INDEX({"Pay as you go","Prediction_Pack","Prediction_Payasyougo',""Competitor"},MATCH(MIN(A347:D347),A347:D347,0))</f>
        <v>Pay as you go</v>
      </c>
    </row>
    <row r="348" spans="1:6" x14ac:dyDescent="0.25">
      <c r="A348">
        <v>124.666</v>
      </c>
      <c r="B348">
        <v>145.18683480843674</v>
      </c>
      <c r="C348">
        <v>198.39553195414575</v>
      </c>
      <c r="D348">
        <v>235.18683480843674</v>
      </c>
      <c r="E348">
        <f t="shared" si="5"/>
        <v>124.666</v>
      </c>
      <c r="F348" t="str" cm="1">
        <f t="array" ref="F348">INDEX({"Pay as you go","Prediction_Pack","Prediction_Payasyougo',""Competitor"},MATCH(MIN(A348:D348),A348:D348,0))</f>
        <v>Pay as you go</v>
      </c>
    </row>
    <row r="349" spans="1:6" x14ac:dyDescent="0.25">
      <c r="A349">
        <v>202.45599999999999</v>
      </c>
      <c r="B349">
        <v>222.80667361452305</v>
      </c>
      <c r="C349">
        <v>330.80918489144619</v>
      </c>
      <c r="D349">
        <v>361.80667361452305</v>
      </c>
      <c r="E349">
        <f t="shared" si="5"/>
        <v>202.45599999999999</v>
      </c>
      <c r="F349" t="str" cm="1">
        <f t="array" ref="F349">INDEX({"Pay as you go","Prediction_Pack","Prediction_Payasyougo',""Competitor"},MATCH(MIN(A349:D349),A349:D349,0))</f>
        <v>Pay as you go</v>
      </c>
    </row>
    <row r="350" spans="1:6" x14ac:dyDescent="0.25">
      <c r="A350">
        <v>105.95099999999999</v>
      </c>
      <c r="B350">
        <v>112.24926293880837</v>
      </c>
      <c r="C350">
        <v>131.9004850810125</v>
      </c>
      <c r="D350">
        <v>204.24926293880836</v>
      </c>
      <c r="E350">
        <f t="shared" si="5"/>
        <v>105.95099999999999</v>
      </c>
      <c r="F350" t="str" cm="1">
        <f t="array" ref="F350">INDEX({"Pay as you go","Prediction_Pack","Prediction_Payasyougo',""Competitor"},MATCH(MIN(A350:D350),A350:D350,0))</f>
        <v>Pay as you go</v>
      </c>
    </row>
    <row r="351" spans="1:6" x14ac:dyDescent="0.25">
      <c r="A351">
        <v>106.262</v>
      </c>
      <c r="B351">
        <v>108.96340911579958</v>
      </c>
      <c r="C351">
        <v>124.49904544442055</v>
      </c>
      <c r="D351">
        <v>199.96340911579958</v>
      </c>
      <c r="E351">
        <f t="shared" si="5"/>
        <v>106.262</v>
      </c>
      <c r="F351" t="str" cm="1">
        <f t="array" ref="F351">INDEX({"Pay as you go","Prediction_Pack","Prediction_Payasyougo',""Competitor"},MATCH(MIN(A351:D351),A351:D351,0))</f>
        <v>Pay as you go</v>
      </c>
    </row>
    <row r="352" spans="1:6" x14ac:dyDescent="0.25">
      <c r="A352">
        <v>161.68200000000002</v>
      </c>
      <c r="B352">
        <v>172.68640832156947</v>
      </c>
      <c r="C352">
        <v>234.82555576499706</v>
      </c>
      <c r="D352">
        <v>294.68640832156944</v>
      </c>
      <c r="E352">
        <f t="shared" si="5"/>
        <v>161.68200000000002</v>
      </c>
      <c r="F352" t="str" cm="1">
        <f t="array" ref="F352">INDEX({"Pay as you go","Prediction_Pack","Prediction_Payasyougo',""Competitor"},MATCH(MIN(A352:D352),A352:D352,0))</f>
        <v>Pay as you go</v>
      </c>
    </row>
    <row r="353" spans="1:6" x14ac:dyDescent="0.25">
      <c r="A353">
        <v>96.748999999999995</v>
      </c>
      <c r="B353">
        <v>107.25493610332167</v>
      </c>
      <c r="C353">
        <v>128.25511050844455</v>
      </c>
      <c r="D353">
        <v>188.25493610332165</v>
      </c>
      <c r="E353">
        <f t="shared" si="5"/>
        <v>96.748999999999995</v>
      </c>
      <c r="F353" t="str" cm="1">
        <f t="array" ref="F353">INDEX({"Pay as you go","Prediction_Pack","Prediction_Payasyougo',""Competitor"},MATCH(MIN(A353:D353),A353:D353,0))</f>
        <v>Pay as you go</v>
      </c>
    </row>
    <row r="354" spans="1:6" x14ac:dyDescent="0.25">
      <c r="A354">
        <v>153.69200000000001</v>
      </c>
      <c r="B354">
        <v>172.17674684237284</v>
      </c>
      <c r="C354">
        <v>242.34020267396556</v>
      </c>
      <c r="D354">
        <v>274.17674684237284</v>
      </c>
      <c r="E354">
        <f t="shared" si="5"/>
        <v>153.69200000000001</v>
      </c>
      <c r="F354" t="str" cm="1">
        <f t="array" ref="F354">INDEX({"Pay as you go","Prediction_Pack","Prediction_Payasyougo',""Competitor"},MATCH(MIN(A354:D354),A354:D354,0))</f>
        <v>Pay as you go</v>
      </c>
    </row>
    <row r="355" spans="1:6" x14ac:dyDescent="0.25">
      <c r="A355">
        <v>104.012</v>
      </c>
      <c r="B355">
        <v>131.24843686572123</v>
      </c>
      <c r="C355">
        <v>172.59283789596765</v>
      </c>
      <c r="D355">
        <v>208.2484368657212</v>
      </c>
      <c r="E355">
        <f t="shared" si="5"/>
        <v>104.012</v>
      </c>
      <c r="F355" t="str" cm="1">
        <f t="array" ref="F355">INDEX({"Pay as you go","Prediction_Pack","Prediction_Payasyougo',""Competitor"},MATCH(MIN(A355:D355),A355:D355,0))</f>
        <v>Pay as you go</v>
      </c>
    </row>
    <row r="356" spans="1:6" x14ac:dyDescent="0.25">
      <c r="A356">
        <v>136.489</v>
      </c>
      <c r="B356">
        <v>144.03713275302627</v>
      </c>
      <c r="C356">
        <v>190.96233520212255</v>
      </c>
      <c r="D356">
        <v>259.0371327530263</v>
      </c>
      <c r="E356">
        <f t="shared" si="5"/>
        <v>136.489</v>
      </c>
      <c r="F356" t="str" cm="1">
        <f t="array" ref="F356">INDEX({"Pay as you go","Prediction_Pack","Prediction_Payasyougo',""Competitor"},MATCH(MIN(A356:D356),A356:D356,0))</f>
        <v>Pay as you go</v>
      </c>
    </row>
    <row r="357" spans="1:6" x14ac:dyDescent="0.25">
      <c r="A357">
        <v>113.28700000000001</v>
      </c>
      <c r="B357">
        <v>124.72316228828882</v>
      </c>
      <c r="C357">
        <v>143.43206154054255</v>
      </c>
      <c r="D357">
        <v>219.72316228828882</v>
      </c>
      <c r="E357">
        <f t="shared" si="5"/>
        <v>113.28700000000001</v>
      </c>
      <c r="F357" t="str" cm="1">
        <f t="array" ref="F357">INDEX({"Pay as you go","Prediction_Pack","Prediction_Payasyougo',""Competitor"},MATCH(MIN(A357:D357),A357:D357,0))</f>
        <v>Pay as you go</v>
      </c>
    </row>
    <row r="358" spans="1:6" x14ac:dyDescent="0.25">
      <c r="A358">
        <v>115.214</v>
      </c>
      <c r="B358">
        <v>115.41035074617969</v>
      </c>
      <c r="C358">
        <v>144.64364750207804</v>
      </c>
      <c r="D358">
        <v>213.41035074617969</v>
      </c>
      <c r="E358">
        <f t="shared" si="5"/>
        <v>115.214</v>
      </c>
      <c r="F358" t="str" cm="1">
        <f t="array" ref="F358">INDEX({"Pay as you go","Prediction_Pack","Prediction_Payasyougo',""Competitor"},MATCH(MIN(A358:D358),A358:D358,0))</f>
        <v>Pay as you go</v>
      </c>
    </row>
    <row r="359" spans="1:6" x14ac:dyDescent="0.25">
      <c r="A359">
        <v>169.65800000000002</v>
      </c>
      <c r="B359">
        <v>189.34733483224227</v>
      </c>
      <c r="C359">
        <v>264.52812012494064</v>
      </c>
      <c r="D359">
        <v>310.34733483224227</v>
      </c>
      <c r="E359">
        <f t="shared" si="5"/>
        <v>169.65800000000002</v>
      </c>
      <c r="F359" t="str" cm="1">
        <f t="array" ref="F359">INDEX({"Pay as you go","Prediction_Pack","Prediction_Payasyougo',""Competitor"},MATCH(MIN(A359:D359),A359:D359,0))</f>
        <v>Pay as you go</v>
      </c>
    </row>
    <row r="360" spans="1:6" x14ac:dyDescent="0.25">
      <c r="A360">
        <v>150.24</v>
      </c>
      <c r="B360">
        <v>166.95309486467346</v>
      </c>
      <c r="C360">
        <v>216.78190208531228</v>
      </c>
      <c r="D360">
        <v>271.95309486467346</v>
      </c>
      <c r="E360">
        <f t="shared" si="5"/>
        <v>150.24</v>
      </c>
      <c r="F360" t="str" cm="1">
        <f t="array" ref="F360">INDEX({"Pay as you go","Prediction_Pack","Prediction_Payasyougo',""Competitor"},MATCH(MIN(A360:D360),A360:D360,0))</f>
        <v>Pay as you go</v>
      </c>
    </row>
    <row r="361" spans="1:6" x14ac:dyDescent="0.25">
      <c r="A361">
        <v>128.815</v>
      </c>
      <c r="B361">
        <v>149.17406712945774</v>
      </c>
      <c r="C361">
        <v>197.50507881780308</v>
      </c>
      <c r="D361">
        <v>240.17406712945774</v>
      </c>
      <c r="E361">
        <f t="shared" si="5"/>
        <v>128.815</v>
      </c>
      <c r="F361" t="str" cm="1">
        <f t="array" ref="F361">INDEX({"Pay as you go","Prediction_Pack","Prediction_Payasyougo',""Competitor"},MATCH(MIN(A361:D361),A361:D361,0))</f>
        <v>Pay as you go</v>
      </c>
    </row>
    <row r="362" spans="1:6" x14ac:dyDescent="0.25">
      <c r="A362">
        <v>175.94800000000001</v>
      </c>
      <c r="B362">
        <v>176.27394137232537</v>
      </c>
      <c r="C362">
        <v>250.39292115490309</v>
      </c>
      <c r="D362">
        <v>314.2739413723254</v>
      </c>
      <c r="E362">
        <f t="shared" si="5"/>
        <v>175.94800000000001</v>
      </c>
      <c r="F362" t="str" cm="1">
        <f t="array" ref="F362">INDEX({"Pay as you go","Prediction_Pack","Prediction_Payasyougo',""Competitor"},MATCH(MIN(A362:D362),A362:D362,0))</f>
        <v>Pay as you go</v>
      </c>
    </row>
    <row r="363" spans="1:6" x14ac:dyDescent="0.25">
      <c r="A363">
        <v>211.71799999999999</v>
      </c>
      <c r="B363">
        <v>250.48795924935561</v>
      </c>
      <c r="C363">
        <v>360.41772070438151</v>
      </c>
      <c r="D363">
        <v>386.48795924935564</v>
      </c>
      <c r="E363">
        <f t="shared" si="5"/>
        <v>211.71799999999999</v>
      </c>
      <c r="F363" t="str" cm="1">
        <f t="array" ref="F363">INDEX({"Pay as you go","Prediction_Pack","Prediction_Payasyougo',""Competitor"},MATCH(MIN(A363:D363),A363:D363,0))</f>
        <v>Pay as you go</v>
      </c>
    </row>
    <row r="364" spans="1:6" x14ac:dyDescent="0.25">
      <c r="A364">
        <v>105.38</v>
      </c>
      <c r="B364">
        <v>108.34900412471927</v>
      </c>
      <c r="C364">
        <v>121.16235308009229</v>
      </c>
      <c r="D364">
        <v>204.34900412471924</v>
      </c>
      <c r="E364">
        <f t="shared" si="5"/>
        <v>105.38</v>
      </c>
      <c r="F364" t="str" cm="1">
        <f t="array" ref="F364">INDEX({"Pay as you go","Prediction_Pack","Prediction_Payasyougo',""Competitor"},MATCH(MIN(A364:D364),A364:D364,0))</f>
        <v>Pay as you go</v>
      </c>
    </row>
    <row r="365" spans="1:6" x14ac:dyDescent="0.25">
      <c r="A365">
        <v>180.87300000000002</v>
      </c>
      <c r="B365">
        <v>196.8448325368407</v>
      </c>
      <c r="C365">
        <v>282.81983741588022</v>
      </c>
      <c r="D365">
        <v>324.84483253684073</v>
      </c>
      <c r="E365">
        <f t="shared" si="5"/>
        <v>180.87300000000002</v>
      </c>
      <c r="F365" t="str" cm="1">
        <f t="array" ref="F365">INDEX({"Pay as you go","Prediction_Pack","Prediction_Payasyougo',""Competitor"},MATCH(MIN(A365:D365),A365:D365,0))</f>
        <v>Pay as you go</v>
      </c>
    </row>
    <row r="366" spans="1:6" x14ac:dyDescent="0.25">
      <c r="A366">
        <v>81.64</v>
      </c>
      <c r="B366">
        <v>88.603691120990376</v>
      </c>
      <c r="C366">
        <v>86.427931886099856</v>
      </c>
      <c r="D366">
        <v>164.60369112099039</v>
      </c>
      <c r="E366">
        <f t="shared" si="5"/>
        <v>81.64</v>
      </c>
      <c r="F366" t="str" cm="1">
        <f t="array" ref="F366">INDEX({"Pay as you go","Prediction_Pack","Prediction_Payasyougo',""Competitor"},MATCH(MIN(A366:D366),A366:D366,0))</f>
        <v>Pay as you go</v>
      </c>
    </row>
    <row r="367" spans="1:6" x14ac:dyDescent="0.25">
      <c r="A367">
        <v>102.959</v>
      </c>
      <c r="B367">
        <v>115.51762530714939</v>
      </c>
      <c r="C367">
        <v>133.98078827273505</v>
      </c>
      <c r="D367">
        <v>203.51762530714939</v>
      </c>
      <c r="E367">
        <f t="shared" si="5"/>
        <v>102.959</v>
      </c>
      <c r="F367" t="str" cm="1">
        <f t="array" ref="F367">INDEX({"Pay as you go","Prediction_Pack","Prediction_Payasyougo',""Competitor"},MATCH(MIN(A367:D367),A367:D367,0))</f>
        <v>Pay as you go</v>
      </c>
    </row>
    <row r="368" spans="1:6" x14ac:dyDescent="0.25">
      <c r="A368">
        <v>142.09</v>
      </c>
      <c r="B368">
        <v>150.26534668599592</v>
      </c>
      <c r="C368">
        <v>194.5676519419259</v>
      </c>
      <c r="D368">
        <v>266.26534668599589</v>
      </c>
      <c r="E368">
        <f t="shared" si="5"/>
        <v>142.09</v>
      </c>
      <c r="F368" t="str" cm="1">
        <f t="array" ref="F368">INDEX({"Pay as you go","Prediction_Pack","Prediction_Payasyougo',""Competitor"},MATCH(MIN(A368:D368),A368:D368,0))</f>
        <v>Pay as you go</v>
      </c>
    </row>
    <row r="369" spans="1:6" x14ac:dyDescent="0.25">
      <c r="A369">
        <v>134.887</v>
      </c>
      <c r="B369">
        <v>131.22290198639507</v>
      </c>
      <c r="C369">
        <v>153.84687676356518</v>
      </c>
      <c r="D369">
        <v>247.22290198639504</v>
      </c>
      <c r="E369">
        <f t="shared" si="5"/>
        <v>131.22290198639507</v>
      </c>
      <c r="F369" t="str" cm="1">
        <f t="array" ref="F369">INDEX({"Pay as you go","Prediction_Pack","Prediction_Payasyougo',""Competitor"},MATCH(MIN(A369:D369),A369:D369,0))</f>
        <v>Prediction_Pack</v>
      </c>
    </row>
    <row r="370" spans="1:6" x14ac:dyDescent="0.25">
      <c r="A370">
        <v>103.63200000000001</v>
      </c>
      <c r="B370">
        <v>119.49643552640565</v>
      </c>
      <c r="C370">
        <v>138.91640970234195</v>
      </c>
      <c r="D370">
        <v>203.49643552640563</v>
      </c>
      <c r="E370">
        <f t="shared" si="5"/>
        <v>103.63200000000001</v>
      </c>
      <c r="F370" t="str" cm="1">
        <f t="array" ref="F370">INDEX({"Pay as you go","Prediction_Pack","Prediction_Payasyougo',""Competitor"},MATCH(MIN(A370:D370),A370:D370,0))</f>
        <v>Pay as you go</v>
      </c>
    </row>
    <row r="371" spans="1:6" x14ac:dyDescent="0.25">
      <c r="A371">
        <v>123.16300000000001</v>
      </c>
      <c r="B371">
        <v>136.05593046848489</v>
      </c>
      <c r="C371">
        <v>177.96943999228057</v>
      </c>
      <c r="D371">
        <v>239.05593046848486</v>
      </c>
      <c r="E371">
        <f t="shared" si="5"/>
        <v>123.16300000000001</v>
      </c>
      <c r="F371" t="str" cm="1">
        <f t="array" ref="F371">INDEX({"Pay as you go","Prediction_Pack","Prediction_Payasyougo',""Competitor"},MATCH(MIN(A371:D371),A371:D371,0))</f>
        <v>Pay as you go</v>
      </c>
    </row>
    <row r="372" spans="1:6" x14ac:dyDescent="0.25">
      <c r="A372">
        <v>137.00799999999998</v>
      </c>
      <c r="B372">
        <v>152.49109593464115</v>
      </c>
      <c r="C372">
        <v>191.7455409738858</v>
      </c>
      <c r="D372">
        <v>264.49109593464118</v>
      </c>
      <c r="E372">
        <f t="shared" si="5"/>
        <v>137.00799999999998</v>
      </c>
      <c r="F372" t="str" cm="1">
        <f t="array" ref="F372">INDEX({"Pay as you go","Prediction_Pack","Prediction_Payasyougo',""Competitor"},MATCH(MIN(A372:D372),A372:D372,0))</f>
        <v>Pay as you go</v>
      </c>
    </row>
    <row r="373" spans="1:6" x14ac:dyDescent="0.25">
      <c r="A373">
        <v>101.98599999999999</v>
      </c>
      <c r="B373">
        <v>121.40694381642385</v>
      </c>
      <c r="C373">
        <v>157.90380669601808</v>
      </c>
      <c r="D373">
        <v>185.40694381642385</v>
      </c>
      <c r="E373">
        <f t="shared" si="5"/>
        <v>101.98599999999999</v>
      </c>
      <c r="F373" t="str" cm="1">
        <f t="array" ref="F373">INDEX({"Pay as you go","Prediction_Pack","Prediction_Payasyougo',""Competitor"},MATCH(MIN(A373:D373),A373:D373,0))</f>
        <v>Pay as you go</v>
      </c>
    </row>
    <row r="374" spans="1:6" x14ac:dyDescent="0.25">
      <c r="A374">
        <v>112.41300000000001</v>
      </c>
      <c r="B374">
        <v>127.5115399515677</v>
      </c>
      <c r="C374">
        <v>153.47625035073938</v>
      </c>
      <c r="D374">
        <v>223.5115399515677</v>
      </c>
      <c r="E374">
        <f t="shared" si="5"/>
        <v>112.41300000000001</v>
      </c>
      <c r="F374" t="str" cm="1">
        <f t="array" ref="F374">INDEX({"Pay as you go","Prediction_Pack","Prediction_Payasyougo',""Competitor"},MATCH(MIN(A374:D374),A374:D374,0))</f>
        <v>Pay as you go</v>
      </c>
    </row>
    <row r="375" spans="1:6" x14ac:dyDescent="0.25">
      <c r="A375">
        <v>124.459</v>
      </c>
      <c r="B375">
        <v>127.60346602271315</v>
      </c>
      <c r="C375">
        <v>155.01282326537503</v>
      </c>
      <c r="D375">
        <v>233.60346602271315</v>
      </c>
      <c r="E375">
        <f t="shared" si="5"/>
        <v>124.459</v>
      </c>
      <c r="F375" t="str" cm="1">
        <f t="array" ref="F375">INDEX({"Pay as you go","Prediction_Pack","Prediction_Payasyougo',""Competitor"},MATCH(MIN(A375:D375),A375:D375,0))</f>
        <v>Pay as you go</v>
      </c>
    </row>
    <row r="376" spans="1:6" x14ac:dyDescent="0.25">
      <c r="A376">
        <v>148.149</v>
      </c>
      <c r="B376">
        <v>163.57425314834768</v>
      </c>
      <c r="C376">
        <v>223.31622810054381</v>
      </c>
      <c r="D376">
        <v>278.57425314834768</v>
      </c>
      <c r="E376">
        <f t="shared" si="5"/>
        <v>148.149</v>
      </c>
      <c r="F376" t="str" cm="1">
        <f t="array" ref="F376">INDEX({"Pay as you go","Prediction_Pack","Prediction_Payasyougo',""Competitor"},MATCH(MIN(A376:D376),A376:D376,0))</f>
        <v>Pay as you go</v>
      </c>
    </row>
    <row r="377" spans="1:6" x14ac:dyDescent="0.25">
      <c r="A377">
        <v>78.209999999999994</v>
      </c>
      <c r="B377">
        <v>82.46134392166951</v>
      </c>
      <c r="C377">
        <v>78.737992072220479</v>
      </c>
      <c r="D377">
        <v>162.46134392166951</v>
      </c>
      <c r="E377">
        <f t="shared" si="5"/>
        <v>78.209999999999994</v>
      </c>
      <c r="F377" t="str" cm="1">
        <f t="array" ref="F377">INDEX({"Pay as you go","Prediction_Pack","Prediction_Payasyougo',""Competitor"},MATCH(MIN(A377:D377),A377:D377,0))</f>
        <v>Pay as you go</v>
      </c>
    </row>
    <row r="378" spans="1:6" x14ac:dyDescent="0.25">
      <c r="A378">
        <v>152.161</v>
      </c>
      <c r="B378">
        <v>176.25625393631995</v>
      </c>
      <c r="C378">
        <v>242.0701856039029</v>
      </c>
      <c r="D378">
        <v>289.25625393631992</v>
      </c>
      <c r="E378">
        <f t="shared" si="5"/>
        <v>152.161</v>
      </c>
      <c r="F378" t="str" cm="1">
        <f t="array" ref="F378">INDEX({"Pay as you go","Prediction_Pack","Prediction_Payasyougo',""Competitor"},MATCH(MIN(A378:D378),A378:D378,0))</f>
        <v>Pay as you go</v>
      </c>
    </row>
    <row r="379" spans="1:6" x14ac:dyDescent="0.25">
      <c r="A379">
        <v>212.934</v>
      </c>
      <c r="B379">
        <v>239.26825576351436</v>
      </c>
      <c r="C379">
        <v>364.1106149824501</v>
      </c>
      <c r="D379">
        <v>378.26825576351439</v>
      </c>
      <c r="E379">
        <f t="shared" si="5"/>
        <v>212.934</v>
      </c>
      <c r="F379" t="str" cm="1">
        <f t="array" ref="F379">INDEX({"Pay as you go","Prediction_Pack","Prediction_Payasyougo',""Competitor"},MATCH(MIN(A379:D379),A379:D379,0))</f>
        <v>Pay as you go</v>
      </c>
    </row>
    <row r="380" spans="1:6" x14ac:dyDescent="0.25">
      <c r="A380">
        <v>132.471</v>
      </c>
      <c r="B380">
        <v>139.76429477258498</v>
      </c>
      <c r="C380">
        <v>186.48554107393844</v>
      </c>
      <c r="D380">
        <v>248.76429477258495</v>
      </c>
      <c r="E380">
        <f t="shared" si="5"/>
        <v>132.471</v>
      </c>
      <c r="F380" t="str" cm="1">
        <f t="array" ref="F380">INDEX({"Pay as you go","Prediction_Pack","Prediction_Payasyougo',""Competitor"},MATCH(MIN(A380:D380),A380:D380,0))</f>
        <v>Pay as you go</v>
      </c>
    </row>
    <row r="381" spans="1:6" x14ac:dyDescent="0.25">
      <c r="A381">
        <v>91.795000000000002</v>
      </c>
      <c r="B381">
        <v>113.17235547039542</v>
      </c>
      <c r="C381">
        <v>133.01814451920606</v>
      </c>
      <c r="D381">
        <v>190.17235547039542</v>
      </c>
      <c r="E381">
        <f t="shared" si="5"/>
        <v>91.795000000000002</v>
      </c>
      <c r="F381" t="str" cm="1">
        <f t="array" ref="F381">INDEX({"Pay as you go","Prediction_Pack","Prediction_Payasyougo',""Competitor"},MATCH(MIN(A381:D381),A381:D381,0))</f>
        <v>Pay as you go</v>
      </c>
    </row>
    <row r="382" spans="1:6" x14ac:dyDescent="0.25">
      <c r="A382">
        <v>129.96100000000001</v>
      </c>
      <c r="B382">
        <v>145.36184477498577</v>
      </c>
      <c r="C382">
        <v>195.80548623763352</v>
      </c>
      <c r="D382">
        <v>245.36184477498577</v>
      </c>
      <c r="E382">
        <f t="shared" si="5"/>
        <v>129.96100000000001</v>
      </c>
      <c r="F382" t="str" cm="1">
        <f t="array" ref="F382">INDEX({"Pay as you go","Prediction_Pack","Prediction_Payasyougo',""Competitor"},MATCH(MIN(A382:D382),A382:D382,0))</f>
        <v>Pay as you go</v>
      </c>
    </row>
    <row r="383" spans="1:6" x14ac:dyDescent="0.25">
      <c r="A383">
        <v>145.50200000000001</v>
      </c>
      <c r="B383">
        <v>142.92318130549103</v>
      </c>
      <c r="C383">
        <v>190.34880738853829</v>
      </c>
      <c r="D383">
        <v>262.92318130549103</v>
      </c>
      <c r="E383">
        <f t="shared" si="5"/>
        <v>142.92318130549103</v>
      </c>
      <c r="F383" t="str" cm="1">
        <f t="array" ref="F383">INDEX({"Pay as you go","Prediction_Pack","Prediction_Payasyougo',""Competitor"},MATCH(MIN(A383:D383),A383:D383,0))</f>
        <v>Prediction_Pack</v>
      </c>
    </row>
    <row r="384" spans="1:6" x14ac:dyDescent="0.25">
      <c r="A384">
        <v>164.31200000000001</v>
      </c>
      <c r="B384">
        <v>182.76706944194385</v>
      </c>
      <c r="C384">
        <v>252.21574616798912</v>
      </c>
      <c r="D384">
        <v>302.76706944194387</v>
      </c>
      <c r="E384">
        <f t="shared" si="5"/>
        <v>164.31200000000001</v>
      </c>
      <c r="F384" t="str" cm="1">
        <f t="array" ref="F384">INDEX({"Pay as you go","Prediction_Pack","Prediction_Payasyougo',""Competitor"},MATCH(MIN(A384:D384),A384:D384,0))</f>
        <v>Pay as you go</v>
      </c>
    </row>
    <row r="385" spans="1:6" x14ac:dyDescent="0.25">
      <c r="A385">
        <v>133.095</v>
      </c>
      <c r="B385">
        <v>151.47594869353711</v>
      </c>
      <c r="C385">
        <v>178.75608835254855</v>
      </c>
      <c r="D385">
        <v>252.47594869353711</v>
      </c>
      <c r="E385">
        <f t="shared" si="5"/>
        <v>133.095</v>
      </c>
      <c r="F385" t="str" cm="1">
        <f t="array" ref="F385">INDEX({"Pay as you go","Prediction_Pack","Prediction_Payasyougo',""Competitor"},MATCH(MIN(A385:D385),A385:D385,0))</f>
        <v>Pay as you go</v>
      </c>
    </row>
    <row r="386" spans="1:6" x14ac:dyDescent="0.25">
      <c r="A386">
        <v>209.101</v>
      </c>
      <c r="B386">
        <v>246.28490097283293</v>
      </c>
      <c r="C386">
        <v>356.66344299856047</v>
      </c>
      <c r="D386">
        <v>381.28490097283293</v>
      </c>
      <c r="E386">
        <f t="shared" si="5"/>
        <v>209.101</v>
      </c>
      <c r="F386" t="str" cm="1">
        <f t="array" ref="F386">INDEX({"Pay as you go","Prediction_Pack","Prediction_Payasyougo',""Competitor"},MATCH(MIN(A386:D386),A386:D386,0))</f>
        <v>Pay as you go</v>
      </c>
    </row>
    <row r="387" spans="1:6" x14ac:dyDescent="0.25">
      <c r="A387">
        <v>174.434</v>
      </c>
      <c r="B387">
        <v>196.93962891058374</v>
      </c>
      <c r="C387">
        <v>291.16898661181898</v>
      </c>
      <c r="D387">
        <v>314.93962891058374</v>
      </c>
      <c r="E387">
        <f t="shared" si="5"/>
        <v>174.434</v>
      </c>
      <c r="F387" t="str" cm="1">
        <f t="array" ref="F387">INDEX({"Pay as you go","Prediction_Pack","Prediction_Payasyougo',""Competitor"},MATCH(MIN(A387:D387),A387:D387,0))</f>
        <v>Pay as you go</v>
      </c>
    </row>
    <row r="388" spans="1:6" x14ac:dyDescent="0.25">
      <c r="A388">
        <v>143.12700000000001</v>
      </c>
      <c r="B388">
        <v>160.80102119290999</v>
      </c>
      <c r="C388">
        <v>206.73030635561665</v>
      </c>
      <c r="D388">
        <v>274.80102119291001</v>
      </c>
      <c r="E388">
        <f t="shared" si="5"/>
        <v>143.12700000000001</v>
      </c>
      <c r="F388" t="str" cm="1">
        <f t="array" ref="F388">INDEX({"Pay as you go","Prediction_Pack","Prediction_Payasyougo',""Competitor"},MATCH(MIN(A388:D388),A388:D388,0))</f>
        <v>Pay as you go</v>
      </c>
    </row>
    <row r="389" spans="1:6" x14ac:dyDescent="0.25">
      <c r="A389">
        <v>233.46299999999999</v>
      </c>
      <c r="B389">
        <v>273.8724701979873</v>
      </c>
      <c r="C389">
        <v>425.44755241003094</v>
      </c>
      <c r="D389">
        <v>410.8724701979873</v>
      </c>
      <c r="E389">
        <f t="shared" si="5"/>
        <v>233.46299999999999</v>
      </c>
      <c r="F389" t="str" cm="1">
        <f t="array" ref="F389">INDEX({"Pay as you go","Prediction_Pack","Prediction_Payasyougo',""Competitor"},MATCH(MIN(A389:D389),A389:D389,0))</f>
        <v>Pay as you go</v>
      </c>
    </row>
    <row r="390" spans="1:6" x14ac:dyDescent="0.25">
      <c r="A390">
        <v>234.75500000000002</v>
      </c>
      <c r="B390">
        <v>259.64916327713058</v>
      </c>
      <c r="C390">
        <v>392.37533035905909</v>
      </c>
      <c r="D390">
        <v>407.64916327713058</v>
      </c>
      <c r="E390">
        <f t="shared" si="5"/>
        <v>234.75500000000002</v>
      </c>
      <c r="F390" t="str" cm="1">
        <f t="array" ref="F390">INDEX({"Pay as you go","Prediction_Pack","Prediction_Payasyougo',""Competitor"},MATCH(MIN(A390:D390),A390:D390,0))</f>
        <v>Pay as you go</v>
      </c>
    </row>
    <row r="391" spans="1:6" x14ac:dyDescent="0.25">
      <c r="A391">
        <v>128.29300000000001</v>
      </c>
      <c r="B391">
        <v>149.30685591730884</v>
      </c>
      <c r="C391">
        <v>192.28524900472499</v>
      </c>
      <c r="D391">
        <v>245.30685591730884</v>
      </c>
      <c r="E391">
        <f t="shared" si="5"/>
        <v>128.29300000000001</v>
      </c>
      <c r="F391" t="str" cm="1">
        <f t="array" ref="F391">INDEX({"Pay as you go","Prediction_Pack","Prediction_Payasyougo',""Competitor"},MATCH(MIN(A391:D391),A391:D391,0))</f>
        <v>Pay as you go</v>
      </c>
    </row>
    <row r="392" spans="1:6" x14ac:dyDescent="0.25">
      <c r="A392">
        <v>79.203999999999994</v>
      </c>
      <c r="B392">
        <v>85.402292352313509</v>
      </c>
      <c r="C392">
        <v>81.705990891910943</v>
      </c>
      <c r="D392">
        <v>160.40229235231351</v>
      </c>
      <c r="E392">
        <f t="shared" si="5"/>
        <v>79.203999999999994</v>
      </c>
      <c r="F392" t="str" cm="1">
        <f t="array" ref="F392">INDEX({"Pay as you go","Prediction_Pack","Prediction_Payasyougo',""Competitor"},MATCH(MIN(A392:D392),A392:D392,0))</f>
        <v>Pay as you go</v>
      </c>
    </row>
    <row r="393" spans="1:6" x14ac:dyDescent="0.25">
      <c r="A393">
        <v>127.08199999999999</v>
      </c>
      <c r="B393">
        <v>136.66823637336572</v>
      </c>
      <c r="C393">
        <v>159.89428486639582</v>
      </c>
      <c r="D393">
        <v>244.66823637336572</v>
      </c>
      <c r="E393">
        <f t="shared" ref="E393:E456" si="6">MIN(A393:D393)</f>
        <v>127.08199999999999</v>
      </c>
      <c r="F393" t="str" cm="1">
        <f t="array" ref="F393">INDEX({"Pay as you go","Prediction_Pack","Prediction_Payasyougo',""Competitor"},MATCH(MIN(A393:D393),A393:D393,0))</f>
        <v>Pay as you go</v>
      </c>
    </row>
    <row r="394" spans="1:6" x14ac:dyDescent="0.25">
      <c r="A394">
        <v>73.226000000000013</v>
      </c>
      <c r="B394">
        <v>93.283088730483158</v>
      </c>
      <c r="C394">
        <v>98.988260763137788</v>
      </c>
      <c r="D394">
        <v>150.28308873048317</v>
      </c>
      <c r="E394">
        <f t="shared" si="6"/>
        <v>73.226000000000013</v>
      </c>
      <c r="F394" t="str" cm="1">
        <f t="array" ref="F394">INDEX({"Pay as you go","Prediction_Pack","Prediction_Payasyougo',""Competitor"},MATCH(MIN(A394:D394),A394:D394,0))</f>
        <v>Pay as you go</v>
      </c>
    </row>
    <row r="395" spans="1:6" x14ac:dyDescent="0.25">
      <c r="A395">
        <v>100.358</v>
      </c>
      <c r="B395">
        <v>103.3108835978972</v>
      </c>
      <c r="C395">
        <v>106.96126607379382</v>
      </c>
      <c r="D395">
        <v>197.3108835978972</v>
      </c>
      <c r="E395">
        <f t="shared" si="6"/>
        <v>100.358</v>
      </c>
      <c r="F395" t="str" cm="1">
        <f t="array" ref="F395">INDEX({"Pay as you go","Prediction_Pack","Prediction_Payasyougo',""Competitor"},MATCH(MIN(A395:D395),A395:D395,0))</f>
        <v>Pay as you go</v>
      </c>
    </row>
    <row r="396" spans="1:6" x14ac:dyDescent="0.25">
      <c r="A396">
        <v>198.71700000000001</v>
      </c>
      <c r="B396">
        <v>203.91179540516748</v>
      </c>
      <c r="C396">
        <v>290.35640283978381</v>
      </c>
      <c r="D396">
        <v>358.91179540516748</v>
      </c>
      <c r="E396">
        <f t="shared" si="6"/>
        <v>198.71700000000001</v>
      </c>
      <c r="F396" t="str" cm="1">
        <f t="array" ref="F396">INDEX({"Pay as you go","Prediction_Pack","Prediction_Payasyougo',""Competitor"},MATCH(MIN(A396:D396),A396:D396,0))</f>
        <v>Pay as you go</v>
      </c>
    </row>
    <row r="397" spans="1:6" x14ac:dyDescent="0.25">
      <c r="A397">
        <v>140.012</v>
      </c>
      <c r="B397">
        <v>146.31648900270105</v>
      </c>
      <c r="C397">
        <v>171.37526611627021</v>
      </c>
      <c r="D397">
        <v>266.31648900270102</v>
      </c>
      <c r="E397">
        <f t="shared" si="6"/>
        <v>140.012</v>
      </c>
      <c r="F397" t="str" cm="1">
        <f t="array" ref="F397">INDEX({"Pay as you go","Prediction_Pack","Prediction_Payasyougo',""Competitor"},MATCH(MIN(A397:D397),A397:D397,0))</f>
        <v>Pay as you go</v>
      </c>
    </row>
    <row r="398" spans="1:6" x14ac:dyDescent="0.25">
      <c r="A398">
        <v>91.161999999999992</v>
      </c>
      <c r="B398">
        <v>111.62223766487719</v>
      </c>
      <c r="C398">
        <v>133.75072763159326</v>
      </c>
      <c r="D398">
        <v>188.62223766487719</v>
      </c>
      <c r="E398">
        <f t="shared" si="6"/>
        <v>91.161999999999992</v>
      </c>
      <c r="F398" t="str" cm="1">
        <f t="array" ref="F398">INDEX({"Pay as you go","Prediction_Pack","Prediction_Payasyougo',""Competitor"},MATCH(MIN(A398:D398),A398:D398,0))</f>
        <v>Pay as you go</v>
      </c>
    </row>
    <row r="399" spans="1:6" x14ac:dyDescent="0.25">
      <c r="A399">
        <v>141.10500000000002</v>
      </c>
      <c r="B399">
        <v>167.01311461480395</v>
      </c>
      <c r="C399">
        <v>229.62275353734807</v>
      </c>
      <c r="D399">
        <v>268.01311461480395</v>
      </c>
      <c r="E399">
        <f t="shared" si="6"/>
        <v>141.10500000000002</v>
      </c>
      <c r="F399" t="str" cm="1">
        <f t="array" ref="F399">INDEX({"Pay as you go","Prediction_Pack","Prediction_Payasyougo',""Competitor"},MATCH(MIN(A399:D399),A399:D399,0))</f>
        <v>Pay as you go</v>
      </c>
    </row>
    <row r="400" spans="1:6" x14ac:dyDescent="0.25">
      <c r="A400">
        <v>146.57599999999999</v>
      </c>
      <c r="B400">
        <v>169.78019479766633</v>
      </c>
      <c r="C400">
        <v>223.19423918667616</v>
      </c>
      <c r="D400">
        <v>280.78019479766635</v>
      </c>
      <c r="E400">
        <f t="shared" si="6"/>
        <v>146.57599999999999</v>
      </c>
      <c r="F400" t="str" cm="1">
        <f t="array" ref="F400">INDEX({"Pay as you go","Prediction_Pack","Prediction_Payasyougo',""Competitor"},MATCH(MIN(A400:D400),A400:D400,0))</f>
        <v>Pay as you go</v>
      </c>
    </row>
    <row r="401" spans="1:6" x14ac:dyDescent="0.25">
      <c r="A401">
        <v>65.200999999999993</v>
      </c>
      <c r="B401">
        <v>75.325784009668965</v>
      </c>
      <c r="C401">
        <v>62.581811288407877</v>
      </c>
      <c r="D401">
        <v>143.32578400966895</v>
      </c>
      <c r="E401">
        <f t="shared" si="6"/>
        <v>62.581811288407877</v>
      </c>
      <c r="F401" t="str" cm="1">
        <f t="array" ref="F401">INDEX({"Pay as you go","Prediction_Pack","Prediction_Payasyougo","Competitor"},MATCH(MIN(A401:D401),A401:D401,0))</f>
        <v>Prediction_Payasyougo</v>
      </c>
    </row>
    <row r="402" spans="1:6" x14ac:dyDescent="0.25">
      <c r="A402">
        <v>189.46300000000002</v>
      </c>
      <c r="B402">
        <v>208.18615163167857</v>
      </c>
      <c r="C402">
        <v>288.53507717096932</v>
      </c>
      <c r="D402">
        <v>344.18615163167857</v>
      </c>
      <c r="E402">
        <f t="shared" si="6"/>
        <v>189.46300000000002</v>
      </c>
      <c r="F402" t="str" cm="1">
        <f t="array" ref="F402">INDEX({"Pay as you go","Prediction_Pack","Prediction_Payasyougo',""Competitor"},MATCH(MIN(A402:D402),A402:D402,0))</f>
        <v>Pay as you go</v>
      </c>
    </row>
    <row r="403" spans="1:6" x14ac:dyDescent="0.25">
      <c r="A403">
        <v>98.964000000000013</v>
      </c>
      <c r="B403">
        <v>111.09725271350246</v>
      </c>
      <c r="C403">
        <v>121.95496984323728</v>
      </c>
      <c r="D403">
        <v>203.09725271350246</v>
      </c>
      <c r="E403">
        <f t="shared" si="6"/>
        <v>98.964000000000013</v>
      </c>
      <c r="F403" t="str" cm="1">
        <f t="array" ref="F403">INDEX({"Pay as you go","Prediction_Pack","Prediction_Payasyougo',""Competitor"},MATCH(MIN(A403:D403),A403:D403,0))</f>
        <v>Pay as you go</v>
      </c>
    </row>
    <row r="404" spans="1:6" x14ac:dyDescent="0.25">
      <c r="A404">
        <v>211.95100000000002</v>
      </c>
      <c r="B404">
        <v>232.17328256649651</v>
      </c>
      <c r="C404">
        <v>343.74771702798881</v>
      </c>
      <c r="D404">
        <v>379.17328256649654</v>
      </c>
      <c r="E404">
        <f t="shared" si="6"/>
        <v>211.95100000000002</v>
      </c>
      <c r="F404" t="str" cm="1">
        <f t="array" ref="F404">INDEX({"Pay as you go","Prediction_Pack","Prediction_Payasyougo',""Competitor"},MATCH(MIN(A404:D404),A404:D404,0))</f>
        <v>Pay as you go</v>
      </c>
    </row>
    <row r="405" spans="1:6" x14ac:dyDescent="0.25">
      <c r="A405">
        <v>108.87700000000001</v>
      </c>
      <c r="B405">
        <v>133.77020686747403</v>
      </c>
      <c r="C405">
        <v>154.21518016111582</v>
      </c>
      <c r="D405">
        <v>225.77020686747403</v>
      </c>
      <c r="E405">
        <f t="shared" si="6"/>
        <v>108.87700000000001</v>
      </c>
      <c r="F405" t="str" cm="1">
        <f t="array" ref="F405">INDEX({"Pay as you go","Prediction_Pack","Prediction_Payasyougo',""Competitor"},MATCH(MIN(A405:D405),A405:D405,0))</f>
        <v>Pay as you go</v>
      </c>
    </row>
    <row r="406" spans="1:6" x14ac:dyDescent="0.25">
      <c r="A406">
        <v>187.774</v>
      </c>
      <c r="B406">
        <v>212.00574761576834</v>
      </c>
      <c r="C406">
        <v>300.59362507758482</v>
      </c>
      <c r="D406">
        <v>344.00574761576837</v>
      </c>
      <c r="E406">
        <f t="shared" si="6"/>
        <v>187.774</v>
      </c>
      <c r="F406" t="str" cm="1">
        <f t="array" ref="F406">INDEX({"Pay as you go","Prediction_Pack","Prediction_Payasyougo',""Competitor"},MATCH(MIN(A406:D406),A406:D406,0))</f>
        <v>Pay as you go</v>
      </c>
    </row>
    <row r="407" spans="1:6" x14ac:dyDescent="0.25">
      <c r="A407">
        <v>109.33200000000001</v>
      </c>
      <c r="B407">
        <v>113.00646033057797</v>
      </c>
      <c r="C407">
        <v>118.67306003973758</v>
      </c>
      <c r="D407">
        <v>220.00646033057797</v>
      </c>
      <c r="E407">
        <f t="shared" si="6"/>
        <v>109.33200000000001</v>
      </c>
      <c r="F407" t="str" cm="1">
        <f t="array" ref="F407">INDEX({"Pay as you go","Prediction_Pack","Prediction_Payasyougo',""Competitor"},MATCH(MIN(A407:D407),A407:D407,0))</f>
        <v>Pay as you go</v>
      </c>
    </row>
    <row r="408" spans="1:6" x14ac:dyDescent="0.25">
      <c r="A408">
        <v>92.775000000000006</v>
      </c>
      <c r="B408">
        <v>101.09986186858117</v>
      </c>
      <c r="C408">
        <v>107.67628052425928</v>
      </c>
      <c r="D408">
        <v>185.09986186858117</v>
      </c>
      <c r="E408">
        <f t="shared" si="6"/>
        <v>92.775000000000006</v>
      </c>
      <c r="F408" t="str" cm="1">
        <f t="array" ref="F408">INDEX({"Pay as you go","Prediction_Pack","Prediction_Payasyougo',""Competitor"},MATCH(MIN(A408:D408),A408:D408,0))</f>
        <v>Pay as you go</v>
      </c>
    </row>
    <row r="409" spans="1:6" x14ac:dyDescent="0.25">
      <c r="A409">
        <v>137.858</v>
      </c>
      <c r="B409">
        <v>147.17941108292769</v>
      </c>
      <c r="C409">
        <v>197.4023345118112</v>
      </c>
      <c r="D409">
        <v>258.17941108292769</v>
      </c>
      <c r="E409">
        <f t="shared" si="6"/>
        <v>137.858</v>
      </c>
      <c r="F409" t="str" cm="1">
        <f t="array" ref="F409">INDEX({"Pay as you go","Prediction_Pack","Prediction_Payasyougo',""Competitor"},MATCH(MIN(A409:D409),A409:D409,0))</f>
        <v>Pay as you go</v>
      </c>
    </row>
    <row r="410" spans="1:6" x14ac:dyDescent="0.25">
      <c r="A410">
        <v>82.063000000000002</v>
      </c>
      <c r="B410">
        <v>93.536018292654404</v>
      </c>
      <c r="C410">
        <v>95.412330533590193</v>
      </c>
      <c r="D410">
        <v>165.5360182926544</v>
      </c>
      <c r="E410">
        <f t="shared" si="6"/>
        <v>82.063000000000002</v>
      </c>
      <c r="F410" t="str" cm="1">
        <f t="array" ref="F410">INDEX({"Pay as you go","Prediction_Pack","Prediction_Payasyougo',""Competitor"},MATCH(MIN(A410:D410),A410:D410,0))</f>
        <v>Pay as you go</v>
      </c>
    </row>
    <row r="411" spans="1:6" x14ac:dyDescent="0.25">
      <c r="A411">
        <v>111.11500000000001</v>
      </c>
      <c r="B411">
        <v>122.07605017326777</v>
      </c>
      <c r="C411">
        <v>162.23911808536687</v>
      </c>
      <c r="D411">
        <v>211.07605017326776</v>
      </c>
      <c r="E411">
        <f t="shared" si="6"/>
        <v>111.11500000000001</v>
      </c>
      <c r="F411" t="str" cm="1">
        <f t="array" ref="F411">INDEX({"Pay as you go","Prediction_Pack","Prediction_Payasyougo',""Competitor"},MATCH(MIN(A411:D411),A411:D411,0))</f>
        <v>Pay as you go</v>
      </c>
    </row>
    <row r="412" spans="1:6" x14ac:dyDescent="0.25">
      <c r="A412">
        <v>91.263000000000005</v>
      </c>
      <c r="B412">
        <v>92.956948247725919</v>
      </c>
      <c r="C412">
        <v>102.37135498874318</v>
      </c>
      <c r="D412">
        <v>174.9569482477259</v>
      </c>
      <c r="E412">
        <f t="shared" si="6"/>
        <v>91.263000000000005</v>
      </c>
      <c r="F412" t="str" cm="1">
        <f t="array" ref="F412">INDEX({"Pay as you go","Prediction_Pack","Prediction_Payasyougo',""Competitor"},MATCH(MIN(A412:D412),A412:D412,0))</f>
        <v>Pay as you go</v>
      </c>
    </row>
    <row r="413" spans="1:6" x14ac:dyDescent="0.25">
      <c r="A413">
        <v>109.709</v>
      </c>
      <c r="B413">
        <v>108.04303359627875</v>
      </c>
      <c r="C413">
        <v>129.79321778213324</v>
      </c>
      <c r="D413">
        <v>204.04303359627875</v>
      </c>
      <c r="E413">
        <f t="shared" si="6"/>
        <v>108.04303359627875</v>
      </c>
      <c r="F413" t="str" cm="1">
        <f t="array" ref="F413">INDEX({"Pay as you go","Prediction_Pack","Prediction_Payasyougo',""Competitor"},MATCH(MIN(A413:D413),A413:D413,0))</f>
        <v>Prediction_Pack</v>
      </c>
    </row>
    <row r="414" spans="1:6" x14ac:dyDescent="0.25">
      <c r="A414">
        <v>84.323999999999998</v>
      </c>
      <c r="B414">
        <v>79.859231372631257</v>
      </c>
      <c r="C414">
        <v>84.017315586869472</v>
      </c>
      <c r="D414">
        <v>158.85923137263126</v>
      </c>
      <c r="E414">
        <f t="shared" si="6"/>
        <v>79.859231372631257</v>
      </c>
      <c r="F414" t="str" cm="1">
        <f t="array" ref="F414">INDEX({"Pay as you go","Prediction_Pack","Prediction_Payasyougo',""Competitor"},MATCH(MIN(A414:D414),A414:D414,0))</f>
        <v>Prediction_Pack</v>
      </c>
    </row>
    <row r="415" spans="1:6" x14ac:dyDescent="0.25">
      <c r="A415">
        <v>114.075</v>
      </c>
      <c r="B415">
        <v>130.62451688558133</v>
      </c>
      <c r="C415">
        <v>165.99997986167182</v>
      </c>
      <c r="D415">
        <v>227.62451688558133</v>
      </c>
      <c r="E415">
        <f t="shared" si="6"/>
        <v>114.075</v>
      </c>
      <c r="F415" t="str" cm="1">
        <f t="array" ref="F415">INDEX({"Pay as you go","Prediction_Pack","Prediction_Payasyougo',""Competitor"},MATCH(MIN(A415:D415),A415:D415,0))</f>
        <v>Pay as you go</v>
      </c>
    </row>
    <row r="416" spans="1:6" x14ac:dyDescent="0.25">
      <c r="A416">
        <v>117.068</v>
      </c>
      <c r="B416">
        <v>126.26183084940013</v>
      </c>
      <c r="C416">
        <v>152.4766147039401</v>
      </c>
      <c r="D416">
        <v>221.26183084940013</v>
      </c>
      <c r="E416">
        <f t="shared" si="6"/>
        <v>117.068</v>
      </c>
      <c r="F416" t="str" cm="1">
        <f t="array" ref="F416">INDEX({"Pay as you go","Prediction_Pack","Prediction_Payasyougo',""Competitor"},MATCH(MIN(A416:D416),A416:D416,0))</f>
        <v>Pay as you go</v>
      </c>
    </row>
    <row r="417" spans="1:6" x14ac:dyDescent="0.25">
      <c r="A417">
        <v>85.185999999999993</v>
      </c>
      <c r="B417">
        <v>94.51437133418176</v>
      </c>
      <c r="C417">
        <v>100.30549782588466</v>
      </c>
      <c r="D417">
        <v>166.51437133418176</v>
      </c>
      <c r="E417">
        <f t="shared" si="6"/>
        <v>85.185999999999993</v>
      </c>
      <c r="F417" t="str" cm="1">
        <f t="array" ref="F417">INDEX({"Pay as you go","Prediction_Pack","Prediction_Payasyougo',""Competitor"},MATCH(MIN(A417:D417),A417:D417,0))</f>
        <v>Pay as you go</v>
      </c>
    </row>
    <row r="418" spans="1:6" x14ac:dyDescent="0.25">
      <c r="A418">
        <v>139.22799999999998</v>
      </c>
      <c r="B418">
        <v>136.57426926762037</v>
      </c>
      <c r="C418">
        <v>166.17223536517429</v>
      </c>
      <c r="D418">
        <v>259.57426926762037</v>
      </c>
      <c r="E418">
        <f t="shared" si="6"/>
        <v>136.57426926762037</v>
      </c>
      <c r="F418" t="str" cm="1">
        <f t="array" ref="F418">INDEX({"Pay as you go","Prediction_Pack","Prediction_Payasyougo',""Competitor"},MATCH(MIN(A418:D418),A418:D418,0))</f>
        <v>Prediction_Pack</v>
      </c>
    </row>
    <row r="419" spans="1:6" x14ac:dyDescent="0.25">
      <c r="A419">
        <v>110.00700000000001</v>
      </c>
      <c r="B419">
        <v>112.80468234696954</v>
      </c>
      <c r="C419">
        <v>128.66733222436665</v>
      </c>
      <c r="D419">
        <v>209.80468234696954</v>
      </c>
      <c r="E419">
        <f t="shared" si="6"/>
        <v>110.00700000000001</v>
      </c>
      <c r="F419" t="str" cm="1">
        <f t="array" ref="F419">INDEX({"Pay as you go","Prediction_Pack","Prediction_Payasyougo',""Competitor"},MATCH(MIN(A419:D419),A419:D419,0))</f>
        <v>Pay as you go</v>
      </c>
    </row>
    <row r="420" spans="1:6" x14ac:dyDescent="0.25">
      <c r="A420">
        <v>89.950999999999993</v>
      </c>
      <c r="B420">
        <v>86.352182967174116</v>
      </c>
      <c r="C420">
        <v>81.72996432776722</v>
      </c>
      <c r="D420">
        <v>171.35218296717412</v>
      </c>
      <c r="E420">
        <f t="shared" si="6"/>
        <v>81.72996432776722</v>
      </c>
      <c r="F420" t="str" cm="1">
        <f t="array" ref="F420">INDEX({"Pay as you go","Prediction_Pack","Prediction_Payasyougo","Competitor"},MATCH(MIN(A420:D420),A420:D420,0))</f>
        <v>Prediction_Payasyougo</v>
      </c>
    </row>
    <row r="421" spans="1:6" x14ac:dyDescent="0.25">
      <c r="A421">
        <v>108.435</v>
      </c>
      <c r="B421">
        <v>110.73026768616481</v>
      </c>
      <c r="C421">
        <v>136.56312029637081</v>
      </c>
      <c r="D421">
        <v>206.73026768616478</v>
      </c>
      <c r="E421">
        <f t="shared" si="6"/>
        <v>108.435</v>
      </c>
      <c r="F421" t="str" cm="1">
        <f t="array" ref="F421">INDEX({"Pay as you go","Prediction_Pack","Prediction_Payasyougo',""Competitor"},MATCH(MIN(A421:D421),A421:D421,0))</f>
        <v>Pay as you go</v>
      </c>
    </row>
    <row r="422" spans="1:6" x14ac:dyDescent="0.25">
      <c r="A422">
        <v>159.31799999999998</v>
      </c>
      <c r="B422">
        <v>176.18820432569646</v>
      </c>
      <c r="C422">
        <v>246.71957033891556</v>
      </c>
      <c r="D422">
        <v>294.18820432569646</v>
      </c>
      <c r="E422">
        <f t="shared" si="6"/>
        <v>159.31799999999998</v>
      </c>
      <c r="F422" t="str" cm="1">
        <f t="array" ref="F422">INDEX({"Pay as you go","Prediction_Pack","Prediction_Payasyougo',""Competitor"},MATCH(MIN(A422:D422),A422:D422,0))</f>
        <v>Pay as you go</v>
      </c>
    </row>
    <row r="423" spans="1:6" x14ac:dyDescent="0.25">
      <c r="A423">
        <v>182.209</v>
      </c>
      <c r="B423">
        <v>197.04956291574484</v>
      </c>
      <c r="C423">
        <v>276.94768788773519</v>
      </c>
      <c r="D423">
        <v>330.04956291574484</v>
      </c>
      <c r="E423">
        <f t="shared" si="6"/>
        <v>182.209</v>
      </c>
      <c r="F423" t="str" cm="1">
        <f t="array" ref="F423">INDEX({"Pay as you go","Prediction_Pack","Prediction_Payasyougo',""Competitor"},MATCH(MIN(A423:D423),A423:D423,0))</f>
        <v>Pay as you go</v>
      </c>
    </row>
    <row r="424" spans="1:6" x14ac:dyDescent="0.25">
      <c r="A424">
        <v>265.73699999999997</v>
      </c>
      <c r="B424">
        <v>311.26181059219914</v>
      </c>
      <c r="C424">
        <v>496.98306671017855</v>
      </c>
      <c r="D424">
        <v>473.26181059219914</v>
      </c>
      <c r="E424">
        <f t="shared" si="6"/>
        <v>265.73699999999997</v>
      </c>
      <c r="F424" t="str" cm="1">
        <f t="array" ref="F424">INDEX({"Pay as you go","Prediction_Pack","Prediction_Payasyougo',""Competitor"},MATCH(MIN(A424:D424),A424:D424,0))</f>
        <v>Pay as you go</v>
      </c>
    </row>
    <row r="425" spans="1:6" x14ac:dyDescent="0.25">
      <c r="A425">
        <v>139.88900000000001</v>
      </c>
      <c r="B425">
        <v>166.21853164527681</v>
      </c>
      <c r="C425">
        <v>239.04371820242855</v>
      </c>
      <c r="D425">
        <v>267.21853164527681</v>
      </c>
      <c r="E425">
        <f t="shared" si="6"/>
        <v>139.88900000000001</v>
      </c>
      <c r="F425" t="str" cm="1">
        <f t="array" ref="F425">INDEX({"Pay as you go","Prediction_Pack","Prediction_Payasyougo',""Competitor"},MATCH(MIN(A425:D425),A425:D425,0))</f>
        <v>Pay as you go</v>
      </c>
    </row>
    <row r="426" spans="1:6" x14ac:dyDescent="0.25">
      <c r="A426">
        <v>95.558000000000007</v>
      </c>
      <c r="B426">
        <v>103.83817447972126</v>
      </c>
      <c r="C426">
        <v>112.11718560461341</v>
      </c>
      <c r="D426">
        <v>183.83817447972126</v>
      </c>
      <c r="E426">
        <f t="shared" si="6"/>
        <v>95.558000000000007</v>
      </c>
      <c r="F426" t="str" cm="1">
        <f t="array" ref="F426">INDEX({"Pay as you go","Prediction_Pack","Prediction_Payasyougo',""Competitor"},MATCH(MIN(A426:D426),A426:D426,0))</f>
        <v>Pay as you go</v>
      </c>
    </row>
    <row r="427" spans="1:6" x14ac:dyDescent="0.25">
      <c r="A427">
        <v>130.73099999999999</v>
      </c>
      <c r="B427">
        <v>153.3187170529967</v>
      </c>
      <c r="C427">
        <v>216.98073294648208</v>
      </c>
      <c r="D427">
        <v>245.3187170529967</v>
      </c>
      <c r="E427">
        <f t="shared" si="6"/>
        <v>130.73099999999999</v>
      </c>
      <c r="F427" t="str" cm="1">
        <f t="array" ref="F427">INDEX({"Pay as you go","Prediction_Pack","Prediction_Payasyougo',""Competitor"},MATCH(MIN(A427:D427),A427:D427,0))</f>
        <v>Pay as you go</v>
      </c>
    </row>
    <row r="428" spans="1:6" x14ac:dyDescent="0.25">
      <c r="A428">
        <v>182.50500000000002</v>
      </c>
      <c r="B428">
        <v>212.03052567020976</v>
      </c>
      <c r="C428">
        <v>327.99016931239254</v>
      </c>
      <c r="D428">
        <v>329.03052567020978</v>
      </c>
      <c r="E428">
        <f t="shared" si="6"/>
        <v>182.50500000000002</v>
      </c>
      <c r="F428" t="str" cm="1">
        <f t="array" ref="F428">INDEX({"Pay as you go","Prediction_Pack","Prediction_Payasyougo',""Competitor"},MATCH(MIN(A428:D428),A428:D428,0))</f>
        <v>Pay as you go</v>
      </c>
    </row>
    <row r="429" spans="1:6" x14ac:dyDescent="0.25">
      <c r="A429">
        <v>115.202</v>
      </c>
      <c r="B429">
        <v>123.9721872582883</v>
      </c>
      <c r="C429">
        <v>154.19374249854241</v>
      </c>
      <c r="D429">
        <v>223.9721872582883</v>
      </c>
      <c r="E429">
        <f t="shared" si="6"/>
        <v>115.202</v>
      </c>
      <c r="F429" t="str" cm="1">
        <f t="array" ref="F429">INDEX({"Pay as you go","Prediction_Pack","Prediction_Payasyougo',""Competitor"},MATCH(MIN(A429:D429),A429:D429,0))</f>
        <v>Pay as you go</v>
      </c>
    </row>
    <row r="430" spans="1:6" x14ac:dyDescent="0.25">
      <c r="A430">
        <v>52.500999999999998</v>
      </c>
      <c r="B430">
        <v>68.734742528569384</v>
      </c>
      <c r="C430">
        <v>65.126275082608728</v>
      </c>
      <c r="D430">
        <v>114.73474252856937</v>
      </c>
      <c r="E430">
        <f t="shared" si="6"/>
        <v>52.500999999999998</v>
      </c>
      <c r="F430" t="str" cm="1">
        <f t="array" ref="F430">INDEX({"Pay as you go","Prediction_Pack","Prediction_Payasyougo',""Competitor"},MATCH(MIN(A430:D430),A430:D430,0))</f>
        <v>Pay as you go</v>
      </c>
    </row>
    <row r="431" spans="1:6" x14ac:dyDescent="0.25">
      <c r="A431">
        <v>138.321</v>
      </c>
      <c r="B431">
        <v>145.76724731230499</v>
      </c>
      <c r="C431">
        <v>177.23550946960148</v>
      </c>
      <c r="D431">
        <v>260.76724731230502</v>
      </c>
      <c r="E431">
        <f t="shared" si="6"/>
        <v>138.321</v>
      </c>
      <c r="F431" t="str" cm="1">
        <f t="array" ref="F431">INDEX({"Pay as you go","Prediction_Pack","Prediction_Payasyougo',""Competitor"},MATCH(MIN(A431:D431),A431:D431,0))</f>
        <v>Pay as you go</v>
      </c>
    </row>
    <row r="432" spans="1:6" x14ac:dyDescent="0.25">
      <c r="A432">
        <v>101.038</v>
      </c>
      <c r="B432">
        <v>110.41896002838885</v>
      </c>
      <c r="C432">
        <v>126.04724050986954</v>
      </c>
      <c r="D432">
        <v>201.41896002838885</v>
      </c>
      <c r="E432">
        <f t="shared" si="6"/>
        <v>101.038</v>
      </c>
      <c r="F432" t="str" cm="1">
        <f t="array" ref="F432">INDEX({"Pay as you go","Prediction_Pack","Prediction_Payasyougo',""Competitor"},MATCH(MIN(A432:D432),A432:D432,0))</f>
        <v>Pay as you go</v>
      </c>
    </row>
    <row r="433" spans="1:6" x14ac:dyDescent="0.25">
      <c r="A433">
        <v>139.39700000000002</v>
      </c>
      <c r="B433">
        <v>163.44998337987349</v>
      </c>
      <c r="C433">
        <v>220.29758318513726</v>
      </c>
      <c r="D433">
        <v>267.44998337987346</v>
      </c>
      <c r="E433">
        <f t="shared" si="6"/>
        <v>139.39700000000002</v>
      </c>
      <c r="F433" t="str" cm="1">
        <f t="array" ref="F433">INDEX({"Pay as you go","Prediction_Pack","Prediction_Payasyougo',""Competitor"},MATCH(MIN(A433:D433),A433:D433,0))</f>
        <v>Pay as you go</v>
      </c>
    </row>
    <row r="434" spans="1:6" x14ac:dyDescent="0.25">
      <c r="A434">
        <v>91.13300000000001</v>
      </c>
      <c r="B434">
        <v>98.958980117609258</v>
      </c>
      <c r="C434">
        <v>111.9706330765089</v>
      </c>
      <c r="D434">
        <v>181.95898011760926</v>
      </c>
      <c r="E434">
        <f t="shared" si="6"/>
        <v>91.13300000000001</v>
      </c>
      <c r="F434" t="str" cm="1">
        <f t="array" ref="F434">INDEX({"Pay as you go","Prediction_Pack","Prediction_Payasyougo',""Competitor"},MATCH(MIN(A434:D434),A434:D434,0))</f>
        <v>Pay as you go</v>
      </c>
    </row>
    <row r="435" spans="1:6" x14ac:dyDescent="0.25">
      <c r="A435">
        <v>75.513000000000005</v>
      </c>
      <c r="B435">
        <v>92.265383415967449</v>
      </c>
      <c r="C435">
        <v>93.769613914226326</v>
      </c>
      <c r="D435">
        <v>159.26538341596745</v>
      </c>
      <c r="E435">
        <f t="shared" si="6"/>
        <v>75.513000000000005</v>
      </c>
      <c r="F435" t="str" cm="1">
        <f t="array" ref="F435">INDEX({"Pay as you go","Prediction_Pack","Prediction_Payasyougo',""Competitor"},MATCH(MIN(A435:D435),A435:D435,0))</f>
        <v>Pay as you go</v>
      </c>
    </row>
    <row r="436" spans="1:6" x14ac:dyDescent="0.25">
      <c r="A436">
        <v>74.347000000000008</v>
      </c>
      <c r="B436">
        <v>96.573201414162867</v>
      </c>
      <c r="C436">
        <v>111.0361003956633</v>
      </c>
      <c r="D436">
        <v>154.57320141416287</v>
      </c>
      <c r="E436">
        <f t="shared" si="6"/>
        <v>74.347000000000008</v>
      </c>
      <c r="F436" t="str" cm="1">
        <f t="array" ref="F436">INDEX({"Pay as you go","Prediction_Pack","Prediction_Payasyougo',""Competitor"},MATCH(MIN(A436:D436),A436:D436,0))</f>
        <v>Pay as you go</v>
      </c>
    </row>
    <row r="437" spans="1:6" x14ac:dyDescent="0.25">
      <c r="A437">
        <v>100.23</v>
      </c>
      <c r="B437">
        <v>99.606221423959681</v>
      </c>
      <c r="C437">
        <v>115.30153059343297</v>
      </c>
      <c r="D437">
        <v>193.60622142395965</v>
      </c>
      <c r="E437">
        <f t="shared" si="6"/>
        <v>99.606221423959681</v>
      </c>
      <c r="F437" t="str" cm="1">
        <f t="array" ref="F437">INDEX({"Pay as you go","Prediction_Pack","Prediction_Payasyougo',""Competitor"},MATCH(MIN(A437:D437),A437:D437,0))</f>
        <v>Prediction_Pack</v>
      </c>
    </row>
    <row r="438" spans="1:6" x14ac:dyDescent="0.25">
      <c r="A438">
        <v>105.28100000000001</v>
      </c>
      <c r="B438">
        <v>94.254454835820241</v>
      </c>
      <c r="C438">
        <v>104.6636772936306</v>
      </c>
      <c r="D438">
        <v>191.25445483582024</v>
      </c>
      <c r="E438">
        <f t="shared" si="6"/>
        <v>94.254454835820241</v>
      </c>
      <c r="F438" t="str" cm="1">
        <f t="array" ref="F438">INDEX({"Pay as you go","Prediction_Pack","Prediction_Payasyougo',""Competitor"},MATCH(MIN(A438:D438),A438:D438,0))</f>
        <v>Prediction_Pack</v>
      </c>
    </row>
    <row r="439" spans="1:6" x14ac:dyDescent="0.25">
      <c r="A439">
        <v>192.17600000000002</v>
      </c>
      <c r="B439">
        <v>211.00269122739635</v>
      </c>
      <c r="C439">
        <v>307.39074343544479</v>
      </c>
      <c r="D439">
        <v>353.00269122739638</v>
      </c>
      <c r="E439">
        <f t="shared" si="6"/>
        <v>192.17600000000002</v>
      </c>
      <c r="F439" t="str" cm="1">
        <f t="array" ref="F439">INDEX({"Pay as you go","Prediction_Pack","Prediction_Payasyougo',""Competitor"},MATCH(MIN(A439:D439),A439:D439,0))</f>
        <v>Pay as you go</v>
      </c>
    </row>
    <row r="440" spans="1:6" x14ac:dyDescent="0.25">
      <c r="A440">
        <v>113.089</v>
      </c>
      <c r="B440">
        <v>125.08363842820697</v>
      </c>
      <c r="C440">
        <v>153.01111853917305</v>
      </c>
      <c r="D440">
        <v>215.08363842820694</v>
      </c>
      <c r="E440">
        <f t="shared" si="6"/>
        <v>113.089</v>
      </c>
      <c r="F440" t="str" cm="1">
        <f t="array" ref="F440">INDEX({"Pay as you go","Prediction_Pack","Prediction_Payasyougo',""Competitor"},MATCH(MIN(A440:D440),A440:D440,0))</f>
        <v>Pay as you go</v>
      </c>
    </row>
    <row r="441" spans="1:6" x14ac:dyDescent="0.25">
      <c r="A441">
        <v>111.337</v>
      </c>
      <c r="B441">
        <v>115.97704418146188</v>
      </c>
      <c r="C441">
        <v>142.54453781152139</v>
      </c>
      <c r="D441">
        <v>213.97704418146188</v>
      </c>
      <c r="E441">
        <f t="shared" si="6"/>
        <v>111.337</v>
      </c>
      <c r="F441" t="str" cm="1">
        <f t="array" ref="F441">INDEX({"Pay as you go","Prediction_Pack","Prediction_Payasyougo',""Competitor"},MATCH(MIN(A441:D441),A441:D441,0))</f>
        <v>Pay as you go</v>
      </c>
    </row>
    <row r="442" spans="1:6" x14ac:dyDescent="0.25">
      <c r="A442">
        <v>116.268</v>
      </c>
      <c r="B442">
        <v>109.03417579643403</v>
      </c>
      <c r="C442">
        <v>119.69406244896149</v>
      </c>
      <c r="D442">
        <v>220.03417579643403</v>
      </c>
      <c r="E442">
        <f t="shared" si="6"/>
        <v>109.03417579643403</v>
      </c>
      <c r="F442" t="str" cm="1">
        <f t="array" ref="F442">INDEX({"Pay as you go","Prediction_Pack","Prediction_Payasyougo',""Competitor"},MATCH(MIN(A442:D442),A442:D442,0))</f>
        <v>Prediction_Pack</v>
      </c>
    </row>
    <row r="443" spans="1:6" x14ac:dyDescent="0.25">
      <c r="A443">
        <v>117.845</v>
      </c>
      <c r="B443">
        <v>122.05130950635515</v>
      </c>
      <c r="C443">
        <v>143.62194017100541</v>
      </c>
      <c r="D443">
        <v>215.05130950635515</v>
      </c>
      <c r="E443">
        <f t="shared" si="6"/>
        <v>117.845</v>
      </c>
      <c r="F443" t="str" cm="1">
        <f t="array" ref="F443">INDEX({"Pay as you go","Prediction_Pack","Prediction_Payasyougo',""Competitor"},MATCH(MIN(A443:D443),A443:D443,0))</f>
        <v>Pay as you go</v>
      </c>
    </row>
    <row r="444" spans="1:6" x14ac:dyDescent="0.25">
      <c r="A444">
        <v>179.22</v>
      </c>
      <c r="B444">
        <v>187.17220858832479</v>
      </c>
      <c r="C444">
        <v>248.51717237330735</v>
      </c>
      <c r="D444">
        <v>333.17220858832479</v>
      </c>
      <c r="E444">
        <f t="shared" si="6"/>
        <v>179.22</v>
      </c>
      <c r="F444" t="str" cm="1">
        <f t="array" ref="F444">INDEX({"Pay as you go","Prediction_Pack","Prediction_Payasyougo',""Competitor"},MATCH(MIN(A444:D444),A444:D444,0))</f>
        <v>Pay as you go</v>
      </c>
    </row>
    <row r="445" spans="1:6" x14ac:dyDescent="0.25">
      <c r="A445">
        <v>108.767</v>
      </c>
      <c r="B445">
        <v>115.08137334701505</v>
      </c>
      <c r="C445">
        <v>148.30878099190372</v>
      </c>
      <c r="D445">
        <v>208.08137334701505</v>
      </c>
      <c r="E445">
        <f t="shared" si="6"/>
        <v>108.767</v>
      </c>
      <c r="F445" t="str" cm="1">
        <f t="array" ref="F445">INDEX({"Pay as you go","Prediction_Pack","Prediction_Payasyougo',""Competitor"},MATCH(MIN(A445:D445),A445:D445,0))</f>
        <v>Pay as you go</v>
      </c>
    </row>
    <row r="446" spans="1:6" x14ac:dyDescent="0.25">
      <c r="A446">
        <v>135.358</v>
      </c>
      <c r="B446">
        <v>132.46981523728633</v>
      </c>
      <c r="C446">
        <v>169.94933378286623</v>
      </c>
      <c r="D446">
        <v>249.46981523728633</v>
      </c>
      <c r="E446">
        <f t="shared" si="6"/>
        <v>132.46981523728633</v>
      </c>
      <c r="F446" t="str" cm="1">
        <f t="array" ref="F446">INDEX({"Pay as you go","Prediction_Pack","Prediction_Payasyougo',""Competitor"},MATCH(MIN(A446:D446),A446:D446,0))</f>
        <v>Prediction_Pack</v>
      </c>
    </row>
    <row r="447" spans="1:6" x14ac:dyDescent="0.25">
      <c r="A447">
        <v>117.035</v>
      </c>
      <c r="B447">
        <v>116.81177441681326</v>
      </c>
      <c r="C447">
        <v>135.153431842716</v>
      </c>
      <c r="D447">
        <v>219.81177441681325</v>
      </c>
      <c r="E447">
        <f t="shared" si="6"/>
        <v>116.81177441681326</v>
      </c>
      <c r="F447" t="str" cm="1">
        <f t="array" ref="F447">INDEX({"Pay as you go","Prediction_Pack","Prediction_Payasyougo',""Competitor"},MATCH(MIN(A447:D447),A447:D447,0))</f>
        <v>Prediction_Pack</v>
      </c>
    </row>
    <row r="448" spans="1:6" x14ac:dyDescent="0.25">
      <c r="A448">
        <v>153.07500000000002</v>
      </c>
      <c r="B448">
        <v>167.76373415354092</v>
      </c>
      <c r="C448">
        <v>224.63190455261827</v>
      </c>
      <c r="D448">
        <v>288.76373415354095</v>
      </c>
      <c r="E448">
        <f t="shared" si="6"/>
        <v>153.07500000000002</v>
      </c>
      <c r="F448" t="str" cm="1">
        <f t="array" ref="F448">INDEX({"Pay as you go","Prediction_Pack","Prediction_Payasyougo',""Competitor"},MATCH(MIN(A448:D448),A448:D448,0))</f>
        <v>Pay as you go</v>
      </c>
    </row>
    <row r="449" spans="1:6" x14ac:dyDescent="0.25">
      <c r="A449">
        <v>192.20499999999998</v>
      </c>
      <c r="B449">
        <v>226.96171662932383</v>
      </c>
      <c r="C449">
        <v>327.53761779748919</v>
      </c>
      <c r="D449">
        <v>351.9617166293238</v>
      </c>
      <c r="E449">
        <f t="shared" si="6"/>
        <v>192.20499999999998</v>
      </c>
      <c r="F449" t="str" cm="1">
        <f t="array" ref="F449">INDEX({"Pay as you go","Prediction_Pack","Prediction_Payasyougo',""Competitor"},MATCH(MIN(A449:D449),A449:D449,0))</f>
        <v>Pay as you go</v>
      </c>
    </row>
    <row r="450" spans="1:6" x14ac:dyDescent="0.25">
      <c r="A450">
        <v>130.428</v>
      </c>
      <c r="B450">
        <v>145.40828772342496</v>
      </c>
      <c r="C450">
        <v>191.6812796536866</v>
      </c>
      <c r="D450">
        <v>245.40828772342496</v>
      </c>
      <c r="E450">
        <f t="shared" si="6"/>
        <v>130.428</v>
      </c>
      <c r="F450" t="str" cm="1">
        <f t="array" ref="F450">INDEX({"Pay as you go","Prediction_Pack","Prediction_Payasyougo',""Competitor"},MATCH(MIN(A450:D450),A450:D450,0))</f>
        <v>Pay as you go</v>
      </c>
    </row>
    <row r="451" spans="1:6" x14ac:dyDescent="0.25">
      <c r="A451">
        <v>95.219000000000008</v>
      </c>
      <c r="B451">
        <v>113.18132647228234</v>
      </c>
      <c r="C451">
        <v>134.27781354137656</v>
      </c>
      <c r="D451">
        <v>190.18132647228234</v>
      </c>
      <c r="E451">
        <f t="shared" si="6"/>
        <v>95.219000000000008</v>
      </c>
      <c r="F451" t="str" cm="1">
        <f t="array" ref="F451">INDEX({"Pay as you go","Prediction_Pack","Prediction_Payasyougo',""Competitor"},MATCH(MIN(A451:D451),A451:D451,0))</f>
        <v>Pay as you go</v>
      </c>
    </row>
    <row r="452" spans="1:6" x14ac:dyDescent="0.25">
      <c r="A452">
        <v>173.62800000000001</v>
      </c>
      <c r="B452">
        <v>200.31607621035673</v>
      </c>
      <c r="C452">
        <v>292.66116422073463</v>
      </c>
      <c r="D452">
        <v>319.3160762103567</v>
      </c>
      <c r="E452">
        <f t="shared" si="6"/>
        <v>173.62800000000001</v>
      </c>
      <c r="F452" t="str" cm="1">
        <f t="array" ref="F452">INDEX({"Pay as you go","Prediction_Pack","Prediction_Payasyougo',""Competitor"},MATCH(MIN(A452:D452),A452:D452,0))</f>
        <v>Pay as you go</v>
      </c>
    </row>
    <row r="453" spans="1:6" x14ac:dyDescent="0.25">
      <c r="A453">
        <v>179.60999999999999</v>
      </c>
      <c r="B453">
        <v>190.35460772316435</v>
      </c>
      <c r="C453">
        <v>271.97488221262546</v>
      </c>
      <c r="D453">
        <v>316.35460772316435</v>
      </c>
      <c r="E453">
        <f t="shared" si="6"/>
        <v>179.60999999999999</v>
      </c>
      <c r="F453" t="str" cm="1">
        <f t="array" ref="F453">INDEX({"Pay as you go","Prediction_Pack","Prediction_Payasyougo',""Competitor"},MATCH(MIN(A453:D453),A453:D453,0))</f>
        <v>Pay as you go</v>
      </c>
    </row>
    <row r="454" spans="1:6" x14ac:dyDescent="0.25">
      <c r="A454">
        <v>125.19200000000001</v>
      </c>
      <c r="B454">
        <v>140.26730132789061</v>
      </c>
      <c r="C454">
        <v>183.82130880808566</v>
      </c>
      <c r="D454">
        <v>234.26730132789061</v>
      </c>
      <c r="E454">
        <f t="shared" si="6"/>
        <v>125.19200000000001</v>
      </c>
      <c r="F454" t="str" cm="1">
        <f t="array" ref="F454">INDEX({"Pay as you go","Prediction_Pack","Prediction_Payasyougo',""Competitor"},MATCH(MIN(A454:D454),A454:D454,0))</f>
        <v>Pay as you go</v>
      </c>
    </row>
    <row r="455" spans="1:6" x14ac:dyDescent="0.25">
      <c r="A455">
        <v>160.04599999999999</v>
      </c>
      <c r="B455">
        <v>177.9182439635504</v>
      </c>
      <c r="C455">
        <v>250.67858544170033</v>
      </c>
      <c r="D455">
        <v>295.91824396355037</v>
      </c>
      <c r="E455">
        <f t="shared" si="6"/>
        <v>160.04599999999999</v>
      </c>
      <c r="F455" t="str" cm="1">
        <f t="array" ref="F455">INDEX({"Pay as you go","Prediction_Pack","Prediction_Payasyougo',""Competitor"},MATCH(MIN(A455:D455),A455:D455,0))</f>
        <v>Pay as you go</v>
      </c>
    </row>
    <row r="456" spans="1:6" x14ac:dyDescent="0.25">
      <c r="A456">
        <v>156.44200000000001</v>
      </c>
      <c r="B456">
        <v>181.71240455554837</v>
      </c>
      <c r="C456">
        <v>255.02426211601829</v>
      </c>
      <c r="D456">
        <v>300.7124045555484</v>
      </c>
      <c r="E456">
        <f t="shared" si="6"/>
        <v>156.44200000000001</v>
      </c>
      <c r="F456" t="str" cm="1">
        <f t="array" ref="F456">INDEX({"Pay as you go","Prediction_Pack","Prediction_Payasyougo',""Competitor"},MATCH(MIN(A456:D456),A456:D456,0))</f>
        <v>Pay as you go</v>
      </c>
    </row>
    <row r="457" spans="1:6" x14ac:dyDescent="0.25">
      <c r="A457">
        <v>134.73099999999999</v>
      </c>
      <c r="B457">
        <v>163.33223308247366</v>
      </c>
      <c r="C457">
        <v>229.20144569210618</v>
      </c>
      <c r="D457">
        <v>252.33223308247366</v>
      </c>
      <c r="E457">
        <f t="shared" ref="E457:E520" si="7">MIN(A457:D457)</f>
        <v>134.73099999999999</v>
      </c>
      <c r="F457" t="str" cm="1">
        <f t="array" ref="F457">INDEX({"Pay as you go","Prediction_Pack","Prediction_Payasyougo',""Competitor"},MATCH(MIN(A457:D457),A457:D457,0))</f>
        <v>Pay as you go</v>
      </c>
    </row>
    <row r="458" spans="1:6" x14ac:dyDescent="0.25">
      <c r="A458">
        <v>116.402</v>
      </c>
      <c r="B458">
        <v>120.65389613747968</v>
      </c>
      <c r="C458">
        <v>147.26264383797007</v>
      </c>
      <c r="D458">
        <v>229.65389613747968</v>
      </c>
      <c r="E458">
        <f t="shared" si="7"/>
        <v>116.402</v>
      </c>
      <c r="F458" t="str" cm="1">
        <f t="array" ref="F458">INDEX({"Pay as you go","Prediction_Pack","Prediction_Payasyougo',""Competitor"},MATCH(MIN(A458:D458),A458:D458,0))</f>
        <v>Pay as you go</v>
      </c>
    </row>
    <row r="459" spans="1:6" x14ac:dyDescent="0.25">
      <c r="A459">
        <v>114.801</v>
      </c>
      <c r="B459">
        <v>136.14325478717043</v>
      </c>
      <c r="C459">
        <v>163.03373585273459</v>
      </c>
      <c r="D459">
        <v>224.14325478717043</v>
      </c>
      <c r="E459">
        <f t="shared" si="7"/>
        <v>114.801</v>
      </c>
      <c r="F459" t="str" cm="1">
        <f t="array" ref="F459">INDEX({"Pay as you go","Prediction_Pack","Prediction_Payasyougo',""Competitor"},MATCH(MIN(A459:D459),A459:D459,0))</f>
        <v>Pay as you go</v>
      </c>
    </row>
    <row r="460" spans="1:6" x14ac:dyDescent="0.25">
      <c r="A460">
        <v>139.66300000000001</v>
      </c>
      <c r="B460">
        <v>160.78501460466217</v>
      </c>
      <c r="C460">
        <v>216.72035839990093</v>
      </c>
      <c r="D460">
        <v>264.78501460466219</v>
      </c>
      <c r="E460">
        <f t="shared" si="7"/>
        <v>139.66300000000001</v>
      </c>
      <c r="F460" t="str" cm="1">
        <f t="array" ref="F460">INDEX({"Pay as you go","Prediction_Pack","Prediction_Payasyougo',""Competitor"},MATCH(MIN(A460:D460),A460:D460,0))</f>
        <v>Pay as you go</v>
      </c>
    </row>
    <row r="461" spans="1:6" x14ac:dyDescent="0.25">
      <c r="A461">
        <v>151.58500000000001</v>
      </c>
      <c r="B461">
        <v>160.20957715355306</v>
      </c>
      <c r="C461">
        <v>203.09386407175387</v>
      </c>
      <c r="D461">
        <v>284.20957715355308</v>
      </c>
      <c r="E461">
        <f t="shared" si="7"/>
        <v>151.58500000000001</v>
      </c>
      <c r="F461" t="str" cm="1">
        <f t="array" ref="F461">INDEX({"Pay as you go","Prediction_Pack","Prediction_Payasyougo',""Competitor"},MATCH(MIN(A461:D461),A461:D461,0))</f>
        <v>Pay as you go</v>
      </c>
    </row>
    <row r="462" spans="1:6" x14ac:dyDescent="0.25">
      <c r="A462">
        <v>114.60799999999999</v>
      </c>
      <c r="B462">
        <v>121.1441143551783</v>
      </c>
      <c r="C462">
        <v>144.8929598439598</v>
      </c>
      <c r="D462">
        <v>220.14411435517829</v>
      </c>
      <c r="E462">
        <f t="shared" si="7"/>
        <v>114.60799999999999</v>
      </c>
      <c r="F462" t="str" cm="1">
        <f t="array" ref="F462">INDEX({"Pay as you go","Prediction_Pack","Prediction_Payasyougo',""Competitor"},MATCH(MIN(A462:D462),A462:D462,0))</f>
        <v>Pay as you go</v>
      </c>
    </row>
    <row r="463" spans="1:6" x14ac:dyDescent="0.25">
      <c r="A463">
        <v>161.947</v>
      </c>
      <c r="B463">
        <v>175.54289705239108</v>
      </c>
      <c r="C463">
        <v>248.16462793304535</v>
      </c>
      <c r="D463">
        <v>298.54289705239108</v>
      </c>
      <c r="E463">
        <f t="shared" si="7"/>
        <v>161.947</v>
      </c>
      <c r="F463" t="str" cm="1">
        <f t="array" ref="F463">INDEX({"Pay as you go","Prediction_Pack","Prediction_Payasyougo',""Competitor"},MATCH(MIN(A463:D463),A463:D463,0))</f>
        <v>Pay as you go</v>
      </c>
    </row>
    <row r="464" spans="1:6" x14ac:dyDescent="0.25">
      <c r="A464">
        <v>148.97199999999998</v>
      </c>
      <c r="B464">
        <v>157.92043416674431</v>
      </c>
      <c r="C464">
        <v>218.37241950884638</v>
      </c>
      <c r="D464">
        <v>275.92043416674431</v>
      </c>
      <c r="E464">
        <f t="shared" si="7"/>
        <v>148.97199999999998</v>
      </c>
      <c r="F464" t="str" cm="1">
        <f t="array" ref="F464">INDEX({"Pay as you go","Prediction_Pack","Prediction_Payasyougo',""Competitor"},MATCH(MIN(A464:D464),A464:D464,0))</f>
        <v>Pay as you go</v>
      </c>
    </row>
    <row r="465" spans="1:6" x14ac:dyDescent="0.25">
      <c r="A465">
        <v>66.795000000000002</v>
      </c>
      <c r="B465">
        <v>79.655400766683954</v>
      </c>
      <c r="C465">
        <v>72.734877607633194</v>
      </c>
      <c r="D465">
        <v>143.65540076668395</v>
      </c>
      <c r="E465">
        <f t="shared" si="7"/>
        <v>66.795000000000002</v>
      </c>
      <c r="F465" t="str" cm="1">
        <f t="array" ref="F465">INDEX({"Pay as you go","Prediction_Pack","Prediction_Payasyougo',""Competitor"},MATCH(MIN(A465:D465),A465:D465,0))</f>
        <v>Pay as you go</v>
      </c>
    </row>
    <row r="466" spans="1:6" x14ac:dyDescent="0.25">
      <c r="A466">
        <v>155.316</v>
      </c>
      <c r="B466">
        <v>185.25830434019099</v>
      </c>
      <c r="C466">
        <v>271.73463768563079</v>
      </c>
      <c r="D466">
        <v>285.25830434019099</v>
      </c>
      <c r="E466">
        <f t="shared" si="7"/>
        <v>155.316</v>
      </c>
      <c r="F466" t="str" cm="1">
        <f t="array" ref="F466">INDEX({"Pay as you go","Prediction_Pack","Prediction_Payasyougo',""Competitor"},MATCH(MIN(A466:D466),A466:D466,0))</f>
        <v>Pay as you go</v>
      </c>
    </row>
    <row r="467" spans="1:6" x14ac:dyDescent="0.25">
      <c r="A467">
        <v>149.93799999999999</v>
      </c>
      <c r="B467">
        <v>160.63989398705468</v>
      </c>
      <c r="C467">
        <v>212.0614454131024</v>
      </c>
      <c r="D467">
        <v>279.63989398705468</v>
      </c>
      <c r="E467">
        <f t="shared" si="7"/>
        <v>149.93799999999999</v>
      </c>
      <c r="F467" t="str" cm="1">
        <f t="array" ref="F467">INDEX({"Pay as you go","Prediction_Pack","Prediction_Payasyougo',""Competitor"},MATCH(MIN(A467:D467),A467:D467,0))</f>
        <v>Pay as you go</v>
      </c>
    </row>
    <row r="468" spans="1:6" x14ac:dyDescent="0.25">
      <c r="A468">
        <v>174.40100000000001</v>
      </c>
      <c r="B468">
        <v>192.26895534302983</v>
      </c>
      <c r="C468">
        <v>265.46826643958173</v>
      </c>
      <c r="D468">
        <v>329.26895534302986</v>
      </c>
      <c r="E468">
        <f t="shared" si="7"/>
        <v>174.40100000000001</v>
      </c>
      <c r="F468" t="str" cm="1">
        <f t="array" ref="F468">INDEX({"Pay as you go","Prediction_Pack","Prediction_Payasyougo',""Competitor"},MATCH(MIN(A468:D468),A468:D468,0))</f>
        <v>Pay as you go</v>
      </c>
    </row>
    <row r="469" spans="1:6" x14ac:dyDescent="0.25">
      <c r="A469">
        <v>142.08800000000002</v>
      </c>
      <c r="B469">
        <v>149.22423945133474</v>
      </c>
      <c r="C469">
        <v>193.4659269504009</v>
      </c>
      <c r="D469">
        <v>270.22423945133477</v>
      </c>
      <c r="E469">
        <f t="shared" si="7"/>
        <v>142.08800000000002</v>
      </c>
      <c r="F469" t="str" cm="1">
        <f t="array" ref="F469">INDEX({"Pay as you go","Prediction_Pack","Prediction_Payasyougo',""Competitor"},MATCH(MIN(A469:D469),A469:D469,0))</f>
        <v>Pay as you go</v>
      </c>
    </row>
    <row r="470" spans="1:6" x14ac:dyDescent="0.25">
      <c r="A470">
        <v>223.69799999999998</v>
      </c>
      <c r="B470">
        <v>267.4962686598459</v>
      </c>
      <c r="C470">
        <v>421.80995953450929</v>
      </c>
      <c r="D470">
        <v>398.4962686598459</v>
      </c>
      <c r="E470">
        <f t="shared" si="7"/>
        <v>223.69799999999998</v>
      </c>
      <c r="F470" t="str" cm="1">
        <f t="array" ref="F470">INDEX({"Pay as you go","Prediction_Pack","Prediction_Payasyougo',""Competitor"},MATCH(MIN(A470:D470),A470:D470,0))</f>
        <v>Pay as you go</v>
      </c>
    </row>
    <row r="471" spans="1:6" x14ac:dyDescent="0.25">
      <c r="A471">
        <v>144.05100000000002</v>
      </c>
      <c r="B471">
        <v>163.28967449486223</v>
      </c>
      <c r="C471">
        <v>220.55875209838641</v>
      </c>
      <c r="D471">
        <v>273.28967449486225</v>
      </c>
      <c r="E471">
        <f t="shared" si="7"/>
        <v>144.05100000000002</v>
      </c>
      <c r="F471" t="str" cm="1">
        <f t="array" ref="F471">INDEX({"Pay as you go","Prediction_Pack","Prediction_Payasyougo',""Competitor"},MATCH(MIN(A471:D471),A471:D471,0))</f>
        <v>Pay as you go</v>
      </c>
    </row>
    <row r="472" spans="1:6" x14ac:dyDescent="0.25">
      <c r="A472">
        <v>125.23099999999999</v>
      </c>
      <c r="B472">
        <v>139.79475361470097</v>
      </c>
      <c r="C472">
        <v>163.99803325524772</v>
      </c>
      <c r="D472">
        <v>242.79475361470097</v>
      </c>
      <c r="E472">
        <f t="shared" si="7"/>
        <v>125.23099999999999</v>
      </c>
      <c r="F472" t="str" cm="1">
        <f t="array" ref="F472">INDEX({"Pay as you go","Prediction_Pack","Prediction_Payasyougo',""Competitor"},MATCH(MIN(A472:D472),A472:D472,0))</f>
        <v>Pay as you go</v>
      </c>
    </row>
    <row r="473" spans="1:6" x14ac:dyDescent="0.25">
      <c r="A473">
        <v>179.26399999999998</v>
      </c>
      <c r="B473">
        <v>217.3999497011541</v>
      </c>
      <c r="C473">
        <v>317.77664260821308</v>
      </c>
      <c r="D473">
        <v>330.39994970115407</v>
      </c>
      <c r="E473">
        <f t="shared" si="7"/>
        <v>179.26399999999998</v>
      </c>
      <c r="F473" t="str" cm="1">
        <f t="array" ref="F473">INDEX({"Pay as you go","Prediction_Pack","Prediction_Payasyougo',""Competitor"},MATCH(MIN(A473:D473),A473:D473,0))</f>
        <v>Pay as you go</v>
      </c>
    </row>
    <row r="474" spans="1:6" x14ac:dyDescent="0.25">
      <c r="A474">
        <v>96.7</v>
      </c>
      <c r="B474">
        <v>103.64284106869007</v>
      </c>
      <c r="C474">
        <v>122.5872304805235</v>
      </c>
      <c r="D474">
        <v>188.64284106869007</v>
      </c>
      <c r="E474">
        <f t="shared" si="7"/>
        <v>96.7</v>
      </c>
      <c r="F474" t="str" cm="1">
        <f t="array" ref="F474">INDEX({"Pay as you go","Prediction_Pack","Prediction_Payasyougo',""Competitor"},MATCH(MIN(A474:D474),A474:D474,0))</f>
        <v>Pay as you go</v>
      </c>
    </row>
    <row r="475" spans="1:6" x14ac:dyDescent="0.25">
      <c r="A475">
        <v>122.45100000000001</v>
      </c>
      <c r="B475">
        <v>130.45406381796789</v>
      </c>
      <c r="C475">
        <v>164.80911489364118</v>
      </c>
      <c r="D475">
        <v>226.45406381796789</v>
      </c>
      <c r="E475">
        <f t="shared" si="7"/>
        <v>122.45100000000001</v>
      </c>
      <c r="F475" t="str" cm="1">
        <f t="array" ref="F475">INDEX({"Pay as you go","Prediction_Pack","Prediction_Payasyougo',""Competitor"},MATCH(MIN(A475:D475),A475:D475,0))</f>
        <v>Pay as you go</v>
      </c>
    </row>
    <row r="476" spans="1:6" x14ac:dyDescent="0.25">
      <c r="A476">
        <v>102.994</v>
      </c>
      <c r="B476">
        <v>114.34849108541761</v>
      </c>
      <c r="C476">
        <v>133.23908437811863</v>
      </c>
      <c r="D476">
        <v>206.34849108541758</v>
      </c>
      <c r="E476">
        <f t="shared" si="7"/>
        <v>102.994</v>
      </c>
      <c r="F476" t="str" cm="1">
        <f t="array" ref="F476">INDEX({"Pay as you go","Prediction_Pack","Prediction_Payasyougo',""Competitor"},MATCH(MIN(A476:D476),A476:D476,0))</f>
        <v>Pay as you go</v>
      </c>
    </row>
    <row r="477" spans="1:6" x14ac:dyDescent="0.25">
      <c r="A477">
        <v>159.727</v>
      </c>
      <c r="B477">
        <v>185.76168629005619</v>
      </c>
      <c r="C477">
        <v>259.30766553206001</v>
      </c>
      <c r="D477">
        <v>306.76168629005622</v>
      </c>
      <c r="E477">
        <f t="shared" si="7"/>
        <v>159.727</v>
      </c>
      <c r="F477" t="str" cm="1">
        <f t="array" ref="F477">INDEX({"Pay as you go","Prediction_Pack","Prediction_Payasyougo',""Competitor"},MATCH(MIN(A477:D477),A477:D477,0))</f>
        <v>Pay as you go</v>
      </c>
    </row>
    <row r="478" spans="1:6" x14ac:dyDescent="0.25">
      <c r="A478">
        <v>190.154</v>
      </c>
      <c r="B478">
        <v>227.82297805554848</v>
      </c>
      <c r="C478">
        <v>353.3141853507106</v>
      </c>
      <c r="D478">
        <v>348.8229780555485</v>
      </c>
      <c r="E478">
        <f t="shared" si="7"/>
        <v>190.154</v>
      </c>
      <c r="F478" t="str" cm="1">
        <f t="array" ref="F478">INDEX({"Pay as you go","Prediction_Pack","Prediction_Payasyougo',""Competitor"},MATCH(MIN(A478:D478),A478:D478,0))</f>
        <v>Pay as you go</v>
      </c>
    </row>
    <row r="479" spans="1:6" x14ac:dyDescent="0.25">
      <c r="A479">
        <v>161.17600000000002</v>
      </c>
      <c r="B479">
        <v>177.7126393410372</v>
      </c>
      <c r="C479">
        <v>252.28145451203406</v>
      </c>
      <c r="D479">
        <v>295.71263934103723</v>
      </c>
      <c r="E479">
        <f t="shared" si="7"/>
        <v>161.17600000000002</v>
      </c>
      <c r="F479" t="str" cm="1">
        <f t="array" ref="F479">INDEX({"Pay as you go","Prediction_Pack","Prediction_Payasyougo',""Competitor"},MATCH(MIN(A479:D479),A479:D479,0))</f>
        <v>Pay as you go</v>
      </c>
    </row>
    <row r="480" spans="1:6" x14ac:dyDescent="0.25">
      <c r="A480">
        <v>131.07599999999999</v>
      </c>
      <c r="B480">
        <v>132.74247095592318</v>
      </c>
      <c r="C480">
        <v>170.21314650177203</v>
      </c>
      <c r="D480">
        <v>244.74247095592318</v>
      </c>
      <c r="E480">
        <f t="shared" si="7"/>
        <v>131.07599999999999</v>
      </c>
      <c r="F480" t="str" cm="1">
        <f t="array" ref="F480">INDEX({"Pay as you go","Prediction_Pack","Prediction_Payasyougo',""Competitor"},MATCH(MIN(A480:D480),A480:D480,0))</f>
        <v>Pay as you go</v>
      </c>
    </row>
    <row r="481" spans="1:6" x14ac:dyDescent="0.25">
      <c r="A481">
        <v>69.378</v>
      </c>
      <c r="B481">
        <v>95.770428060486438</v>
      </c>
      <c r="C481">
        <v>109.57092373872359</v>
      </c>
      <c r="D481">
        <v>148.77042806048644</v>
      </c>
      <c r="E481">
        <f t="shared" si="7"/>
        <v>69.378</v>
      </c>
      <c r="F481" t="str" cm="1">
        <f t="array" ref="F481">INDEX({"Pay as you go","Prediction_Pack","Prediction_Payasyougo',""Competitor"},MATCH(MIN(A481:D481),A481:D481,0))</f>
        <v>Pay as you go</v>
      </c>
    </row>
    <row r="482" spans="1:6" x14ac:dyDescent="0.25">
      <c r="A482">
        <v>98.533000000000001</v>
      </c>
      <c r="B482">
        <v>89.283436562724944</v>
      </c>
      <c r="C482">
        <v>93.906595613012854</v>
      </c>
      <c r="D482">
        <v>190.28343656272494</v>
      </c>
      <c r="E482">
        <f t="shared" si="7"/>
        <v>89.283436562724944</v>
      </c>
      <c r="F482" t="str" cm="1">
        <f t="array" ref="F482">INDEX({"Pay as you go","Prediction_Pack","Prediction_Payasyougo',""Competitor"},MATCH(MIN(A482:D482),A482:D482,0))</f>
        <v>Prediction_Pack</v>
      </c>
    </row>
    <row r="483" spans="1:6" x14ac:dyDescent="0.25">
      <c r="A483">
        <v>153.721</v>
      </c>
      <c r="B483">
        <v>157.40487902884087</v>
      </c>
      <c r="C483">
        <v>209.93625420381704</v>
      </c>
      <c r="D483">
        <v>285.40487902884087</v>
      </c>
      <c r="E483">
        <f t="shared" si="7"/>
        <v>153.721</v>
      </c>
      <c r="F483" t="str" cm="1">
        <f t="array" ref="F483">INDEX({"Pay as you go","Prediction_Pack","Prediction_Payasyougo',""Competitor"},MATCH(MIN(A483:D483),A483:D483,0))</f>
        <v>Pay as you go</v>
      </c>
    </row>
    <row r="484" spans="1:6" x14ac:dyDescent="0.25">
      <c r="A484">
        <v>86.316000000000003</v>
      </c>
      <c r="B484">
        <v>87.835044673121757</v>
      </c>
      <c r="C484">
        <v>95.707559658757731</v>
      </c>
      <c r="D484">
        <v>173.83504467312176</v>
      </c>
      <c r="E484">
        <f t="shared" si="7"/>
        <v>86.316000000000003</v>
      </c>
      <c r="F484" t="str" cm="1">
        <f t="array" ref="F484">INDEX({"Pay as you go","Prediction_Pack","Prediction_Payasyougo',""Competitor"},MATCH(MIN(A484:D484),A484:D484,0))</f>
        <v>Pay as you go</v>
      </c>
    </row>
    <row r="485" spans="1:6" x14ac:dyDescent="0.25">
      <c r="A485">
        <v>124.401</v>
      </c>
      <c r="B485">
        <v>144.13238269070266</v>
      </c>
      <c r="C485">
        <v>195.82321560380439</v>
      </c>
      <c r="D485">
        <v>239.13238269070266</v>
      </c>
      <c r="E485">
        <f t="shared" si="7"/>
        <v>124.401</v>
      </c>
      <c r="F485" t="str" cm="1">
        <f t="array" ref="F485">INDEX({"Pay as you go","Prediction_Pack","Prediction_Payasyougo',""Competitor"},MATCH(MIN(A485:D485),A485:D485,0))</f>
        <v>Pay as you go</v>
      </c>
    </row>
    <row r="486" spans="1:6" x14ac:dyDescent="0.25">
      <c r="A486">
        <v>104.878</v>
      </c>
      <c r="B486">
        <v>116.05484131350616</v>
      </c>
      <c r="C486">
        <v>152.9000274105309</v>
      </c>
      <c r="D486">
        <v>199.05484131350616</v>
      </c>
      <c r="E486">
        <f t="shared" si="7"/>
        <v>104.878</v>
      </c>
      <c r="F486" t="str" cm="1">
        <f t="array" ref="F486">INDEX({"Pay as you go","Prediction_Pack","Prediction_Payasyougo',""Competitor"},MATCH(MIN(A486:D486),A486:D486,0))</f>
        <v>Pay as you go</v>
      </c>
    </row>
    <row r="487" spans="1:6" x14ac:dyDescent="0.25">
      <c r="A487">
        <v>125.43</v>
      </c>
      <c r="B487">
        <v>128.66783590219259</v>
      </c>
      <c r="C487">
        <v>164.48509951906036</v>
      </c>
      <c r="D487">
        <v>229.66783590219259</v>
      </c>
      <c r="E487">
        <f t="shared" si="7"/>
        <v>125.43</v>
      </c>
      <c r="F487" t="str" cm="1">
        <f t="array" ref="F487">INDEX({"Pay as you go","Prediction_Pack","Prediction_Payasyougo',""Competitor"},MATCH(MIN(A487:D487),A487:D487,0))</f>
        <v>Pay as you go</v>
      </c>
    </row>
    <row r="488" spans="1:6" x14ac:dyDescent="0.25">
      <c r="A488">
        <v>125.498</v>
      </c>
      <c r="B488">
        <v>128.0753271356495</v>
      </c>
      <c r="C488">
        <v>160.20111210831629</v>
      </c>
      <c r="D488">
        <v>239.0753271356495</v>
      </c>
      <c r="E488">
        <f t="shared" si="7"/>
        <v>125.498</v>
      </c>
      <c r="F488" t="str" cm="1">
        <f t="array" ref="F488">INDEX({"Pay as you go","Prediction_Pack","Prediction_Payasyougo',""Competitor"},MATCH(MIN(A488:D488),A488:D488,0))</f>
        <v>Pay as you go</v>
      </c>
    </row>
    <row r="489" spans="1:6" x14ac:dyDescent="0.25">
      <c r="A489">
        <v>128.976</v>
      </c>
      <c r="B489">
        <v>142.85199681108909</v>
      </c>
      <c r="C489">
        <v>186.15473660295771</v>
      </c>
      <c r="D489">
        <v>251.85199681108909</v>
      </c>
      <c r="E489">
        <f t="shared" si="7"/>
        <v>128.976</v>
      </c>
      <c r="F489" t="str" cm="1">
        <f t="array" ref="F489">INDEX({"Pay as you go","Prediction_Pack","Prediction_Payasyougo',""Competitor"},MATCH(MIN(A489:D489),A489:D489,0))</f>
        <v>Pay as you go</v>
      </c>
    </row>
    <row r="490" spans="1:6" x14ac:dyDescent="0.25">
      <c r="A490">
        <v>92.057999999999993</v>
      </c>
      <c r="B490">
        <v>105.75570668254841</v>
      </c>
      <c r="C490">
        <v>112.59880952093783</v>
      </c>
      <c r="D490">
        <v>180.75570668254841</v>
      </c>
      <c r="E490">
        <f t="shared" si="7"/>
        <v>92.057999999999993</v>
      </c>
      <c r="F490" t="str" cm="1">
        <f t="array" ref="F490">INDEX({"Pay as you go","Prediction_Pack","Prediction_Payasyougo',""Competitor"},MATCH(MIN(A490:D490),A490:D490,0))</f>
        <v>Pay as you go</v>
      </c>
    </row>
    <row r="491" spans="1:6" x14ac:dyDescent="0.25">
      <c r="A491">
        <v>148.24</v>
      </c>
      <c r="B491">
        <v>166.620255725265</v>
      </c>
      <c r="C491">
        <v>226.5253328979297</v>
      </c>
      <c r="D491">
        <v>287.620255725265</v>
      </c>
      <c r="E491">
        <f t="shared" si="7"/>
        <v>148.24</v>
      </c>
      <c r="F491" t="str" cm="1">
        <f t="array" ref="F491">INDEX({"Pay as you go","Prediction_Pack","Prediction_Payasyougo',""Competitor"},MATCH(MIN(A491:D491),A491:D491,0))</f>
        <v>Pay as you go</v>
      </c>
    </row>
    <row r="492" spans="1:6" x14ac:dyDescent="0.25">
      <c r="A492">
        <v>115.188</v>
      </c>
      <c r="B492">
        <v>129.37902404752467</v>
      </c>
      <c r="C492">
        <v>165.14900866734945</v>
      </c>
      <c r="D492">
        <v>220.37902404752467</v>
      </c>
      <c r="E492">
        <f t="shared" si="7"/>
        <v>115.188</v>
      </c>
      <c r="F492" t="str" cm="1">
        <f t="array" ref="F492">INDEX({"Pay as you go","Prediction_Pack","Prediction_Payasyougo',""Competitor"},MATCH(MIN(A492:D492),A492:D492,0))</f>
        <v>Pay as you go</v>
      </c>
    </row>
    <row r="493" spans="1:6" x14ac:dyDescent="0.25">
      <c r="A493">
        <v>71.626000000000005</v>
      </c>
      <c r="B493">
        <v>89.952757754579622</v>
      </c>
      <c r="C493">
        <v>92.004647921931678</v>
      </c>
      <c r="D493">
        <v>150.95275775457961</v>
      </c>
      <c r="E493">
        <f t="shared" si="7"/>
        <v>71.626000000000005</v>
      </c>
      <c r="F493" t="str" cm="1">
        <f t="array" ref="F493">INDEX({"Pay as you go","Prediction_Pack","Prediction_Payasyougo',""Competitor"},MATCH(MIN(A493:D493),A493:D493,0))</f>
        <v>Pay as you go</v>
      </c>
    </row>
    <row r="494" spans="1:6" x14ac:dyDescent="0.25">
      <c r="A494">
        <v>124.11</v>
      </c>
      <c r="B494">
        <v>131.48926281157893</v>
      </c>
      <c r="C494">
        <v>164.8018171309927</v>
      </c>
      <c r="D494">
        <v>243.48926281157893</v>
      </c>
      <c r="E494">
        <f t="shared" si="7"/>
        <v>124.11</v>
      </c>
      <c r="F494" t="str" cm="1">
        <f t="array" ref="F494">INDEX({"Pay as you go","Prediction_Pack","Prediction_Payasyougo',""Competitor"},MATCH(MIN(A494:D494),A494:D494,0))</f>
        <v>Pay as you go</v>
      </c>
    </row>
    <row r="495" spans="1:6" x14ac:dyDescent="0.25">
      <c r="A495">
        <v>88.800000000000011</v>
      </c>
      <c r="B495">
        <v>87.233620575080536</v>
      </c>
      <c r="C495">
        <v>97.6625647762326</v>
      </c>
      <c r="D495">
        <v>173.23362057508055</v>
      </c>
      <c r="E495">
        <f t="shared" si="7"/>
        <v>87.233620575080536</v>
      </c>
      <c r="F495" t="str" cm="1">
        <f t="array" ref="F495">INDEX({"Pay as you go","Prediction_Pack","Prediction_Payasyougo',""Competitor"},MATCH(MIN(A495:D495),A495:D495,0))</f>
        <v>Prediction_Pack</v>
      </c>
    </row>
    <row r="496" spans="1:6" x14ac:dyDescent="0.25">
      <c r="A496">
        <v>73.218999999999994</v>
      </c>
      <c r="B496">
        <v>76.180601833705339</v>
      </c>
      <c r="C496">
        <v>72.978551005429736</v>
      </c>
      <c r="D496">
        <v>159.18060183370534</v>
      </c>
      <c r="E496">
        <f t="shared" si="7"/>
        <v>72.978551005429736</v>
      </c>
      <c r="F496" t="str" cm="1">
        <f t="array" ref="F496">INDEX({"Pay as you go","Prediction_Pack","Prediction_Payasyougo","Competitor"},MATCH(MIN(A496:D496),A496:D496,0))</f>
        <v>Prediction_Payasyougo</v>
      </c>
    </row>
    <row r="497" spans="1:6" x14ac:dyDescent="0.25">
      <c r="A497">
        <v>129.465</v>
      </c>
      <c r="B497">
        <v>137.44388572825855</v>
      </c>
      <c r="C497">
        <v>165.64694650378019</v>
      </c>
      <c r="D497">
        <v>240.44388572825855</v>
      </c>
      <c r="E497">
        <f t="shared" si="7"/>
        <v>129.465</v>
      </c>
      <c r="F497" t="str" cm="1">
        <f t="array" ref="F497">INDEX({"Pay as you go","Prediction_Pack","Prediction_Payasyougo',""Competitor"},MATCH(MIN(A497:D497),A497:D497,0))</f>
        <v>Pay as you go</v>
      </c>
    </row>
    <row r="498" spans="1:6" x14ac:dyDescent="0.25">
      <c r="A498">
        <v>107.14700000000001</v>
      </c>
      <c r="B498">
        <v>124.36359862699331</v>
      </c>
      <c r="C498">
        <v>158.41638768561774</v>
      </c>
      <c r="D498">
        <v>214.36359862699331</v>
      </c>
      <c r="E498">
        <f t="shared" si="7"/>
        <v>107.14700000000001</v>
      </c>
      <c r="F498" t="str" cm="1">
        <f t="array" ref="F498">INDEX({"Pay as you go","Prediction_Pack","Prediction_Payasyougo',""Competitor"},MATCH(MIN(A498:D498),A498:D498,0))</f>
        <v>Pay as you go</v>
      </c>
    </row>
    <row r="499" spans="1:6" x14ac:dyDescent="0.25">
      <c r="A499">
        <v>112.52900000000001</v>
      </c>
      <c r="B499">
        <v>112.12824971513953</v>
      </c>
      <c r="C499">
        <v>131.5231687375518</v>
      </c>
      <c r="D499">
        <v>214.1282497151395</v>
      </c>
      <c r="E499">
        <f t="shared" si="7"/>
        <v>112.12824971513953</v>
      </c>
      <c r="F499" t="str" cm="1">
        <f t="array" ref="F499">INDEX({"Pay as you go","Prediction_Pack","Prediction_Payasyougo',""Competitor"},MATCH(MIN(A499:D499),A499:D499,0))</f>
        <v>Prediction_Pack</v>
      </c>
    </row>
    <row r="500" spans="1:6" x14ac:dyDescent="0.25">
      <c r="A500">
        <v>77.034000000000006</v>
      </c>
      <c r="B500">
        <v>98.503319491403346</v>
      </c>
      <c r="C500">
        <v>99.527962803518335</v>
      </c>
      <c r="D500">
        <v>161.50331949140335</v>
      </c>
      <c r="E500">
        <f t="shared" si="7"/>
        <v>77.034000000000006</v>
      </c>
      <c r="F500" t="str" cm="1">
        <f t="array" ref="F500">INDEX({"Pay as you go","Prediction_Pack","Prediction_Payasyougo',""Competitor"},MATCH(MIN(A500:D500),A500:D500,0))</f>
        <v>Pay as you go</v>
      </c>
    </row>
    <row r="501" spans="1:6" x14ac:dyDescent="0.25">
      <c r="A501">
        <v>133.196</v>
      </c>
      <c r="B501">
        <v>139.4853570191888</v>
      </c>
      <c r="C501">
        <v>182.45864583632181</v>
      </c>
      <c r="D501">
        <v>248.4853570191888</v>
      </c>
      <c r="E501">
        <f t="shared" si="7"/>
        <v>133.196</v>
      </c>
      <c r="F501" t="str" cm="1">
        <f t="array" ref="F501">INDEX({"Pay as you go","Prediction_Pack","Prediction_Payasyougo',""Competitor"},MATCH(MIN(A501:D501),A501:D501,0))</f>
        <v>Pay as you go</v>
      </c>
    </row>
    <row r="502" spans="1:6" x14ac:dyDescent="0.25">
      <c r="A502">
        <v>96.391000000000005</v>
      </c>
      <c r="B502">
        <v>107.5507491455368</v>
      </c>
      <c r="C502">
        <v>125.28578370118703</v>
      </c>
      <c r="D502">
        <v>193.5507491455368</v>
      </c>
      <c r="E502">
        <f t="shared" si="7"/>
        <v>96.391000000000005</v>
      </c>
      <c r="F502" t="str" cm="1">
        <f t="array" ref="F502">INDEX({"Pay as you go","Prediction_Pack","Prediction_Payasyougo',""Competitor"},MATCH(MIN(A502:D502),A502:D502,0))</f>
        <v>Pay as you go</v>
      </c>
    </row>
    <row r="503" spans="1:6" x14ac:dyDescent="0.25">
      <c r="A503">
        <v>84.453999999999994</v>
      </c>
      <c r="B503">
        <v>95.938943832296189</v>
      </c>
      <c r="C503">
        <v>105.98380714228448</v>
      </c>
      <c r="D503">
        <v>168.93894383229619</v>
      </c>
      <c r="E503">
        <f t="shared" si="7"/>
        <v>84.453999999999994</v>
      </c>
      <c r="F503" t="str" cm="1">
        <f t="array" ref="F503">INDEX({"Pay as you go","Prediction_Pack","Prediction_Payasyougo',""Competitor"},MATCH(MIN(A503:D503),A503:D503,0))</f>
        <v>Pay as you go</v>
      </c>
    </row>
    <row r="504" spans="1:6" x14ac:dyDescent="0.25">
      <c r="A504">
        <v>117.48700000000001</v>
      </c>
      <c r="B504">
        <v>135.30964768978816</v>
      </c>
      <c r="C504">
        <v>166.2694953202566</v>
      </c>
      <c r="D504">
        <v>227.30964768978816</v>
      </c>
      <c r="E504">
        <f t="shared" si="7"/>
        <v>117.48700000000001</v>
      </c>
      <c r="F504" t="str" cm="1">
        <f t="array" ref="F504">INDEX({"Pay as you go","Prediction_Pack","Prediction_Payasyougo',""Competitor"},MATCH(MIN(A504:D504),A504:D504,0))</f>
        <v>Pay as you go</v>
      </c>
    </row>
    <row r="505" spans="1:6" x14ac:dyDescent="0.25">
      <c r="A505">
        <v>155.548</v>
      </c>
      <c r="B505">
        <v>177.05190554883347</v>
      </c>
      <c r="C505">
        <v>256.56007434057028</v>
      </c>
      <c r="D505">
        <v>290.05190554883347</v>
      </c>
      <c r="E505">
        <f t="shared" si="7"/>
        <v>155.548</v>
      </c>
      <c r="F505" t="str" cm="1">
        <f t="array" ref="F505">INDEX({"Pay as you go","Prediction_Pack","Prediction_Payasyougo',""Competitor"},MATCH(MIN(A505:D505),A505:D505,0))</f>
        <v>Pay as you go</v>
      </c>
    </row>
    <row r="506" spans="1:6" x14ac:dyDescent="0.25">
      <c r="A506">
        <v>166.86500000000001</v>
      </c>
      <c r="B506">
        <v>171.40051961525518</v>
      </c>
      <c r="C506">
        <v>239.949630018189</v>
      </c>
      <c r="D506">
        <v>298.40051961525518</v>
      </c>
      <c r="E506">
        <f t="shared" si="7"/>
        <v>166.86500000000001</v>
      </c>
      <c r="F506" t="str" cm="1">
        <f t="array" ref="F506">INDEX({"Pay as you go","Prediction_Pack","Prediction_Payasyougo',""Competitor"},MATCH(MIN(A506:D506),A506:D506,0))</f>
        <v>Pay as you go</v>
      </c>
    </row>
    <row r="507" spans="1:6" x14ac:dyDescent="0.25">
      <c r="A507">
        <v>122.15700000000001</v>
      </c>
      <c r="B507">
        <v>137.01787535022351</v>
      </c>
      <c r="C507">
        <v>179.42907115542246</v>
      </c>
      <c r="D507">
        <v>230.01787535022348</v>
      </c>
      <c r="E507">
        <f t="shared" si="7"/>
        <v>122.15700000000001</v>
      </c>
      <c r="F507" t="str" cm="1">
        <f t="array" ref="F507">INDEX({"Pay as you go","Prediction_Pack","Prediction_Payasyougo',""Competitor"},MATCH(MIN(A507:D507),A507:D507,0))</f>
        <v>Pay as you go</v>
      </c>
    </row>
    <row r="508" spans="1:6" x14ac:dyDescent="0.25">
      <c r="A508">
        <v>89.994</v>
      </c>
      <c r="B508">
        <v>101.21420585716997</v>
      </c>
      <c r="C508">
        <v>113.48545444004228</v>
      </c>
      <c r="D508">
        <v>180.21420585716999</v>
      </c>
      <c r="E508">
        <f t="shared" si="7"/>
        <v>89.994</v>
      </c>
      <c r="F508" t="str" cm="1">
        <f t="array" ref="F508">INDEX({"Pay as you go","Prediction_Pack","Prediction_Payasyougo',""Competitor"},MATCH(MIN(A508:D508),A508:D508,0))</f>
        <v>Pay as you go</v>
      </c>
    </row>
    <row r="509" spans="1:6" x14ac:dyDescent="0.25">
      <c r="A509">
        <v>119.893</v>
      </c>
      <c r="B509">
        <v>139.97971548998083</v>
      </c>
      <c r="C509">
        <v>187.7852891185197</v>
      </c>
      <c r="D509">
        <v>223.97971548998083</v>
      </c>
      <c r="E509">
        <f t="shared" si="7"/>
        <v>119.893</v>
      </c>
      <c r="F509" t="str" cm="1">
        <f t="array" ref="F509">INDEX({"Pay as you go","Prediction_Pack","Prediction_Payasyougo',""Competitor"},MATCH(MIN(A509:D509),A509:D509,0))</f>
        <v>Pay as you go</v>
      </c>
    </row>
    <row r="510" spans="1:6" x14ac:dyDescent="0.25">
      <c r="A510">
        <v>133.785</v>
      </c>
      <c r="B510">
        <v>134.77685466573712</v>
      </c>
      <c r="C510">
        <v>174.07926166520025</v>
      </c>
      <c r="D510">
        <v>247.77685466573709</v>
      </c>
      <c r="E510">
        <f t="shared" si="7"/>
        <v>133.785</v>
      </c>
      <c r="F510" t="str" cm="1">
        <f t="array" ref="F510">INDEX({"Pay as you go","Prediction_Pack","Prediction_Payasyougo',""Competitor"},MATCH(MIN(A510:D510),A510:D510,0))</f>
        <v>Pay as you go</v>
      </c>
    </row>
    <row r="511" spans="1:6" x14ac:dyDescent="0.25">
      <c r="A511">
        <v>126.47</v>
      </c>
      <c r="B511">
        <v>133.94826173758383</v>
      </c>
      <c r="C511">
        <v>165.02624949848646</v>
      </c>
      <c r="D511">
        <v>230.94826173758383</v>
      </c>
      <c r="E511">
        <f t="shared" si="7"/>
        <v>126.47</v>
      </c>
      <c r="F511" t="str" cm="1">
        <f t="array" ref="F511">INDEX({"Pay as you go","Prediction_Pack","Prediction_Payasyougo',""Competitor"},MATCH(MIN(A511:D511),A511:D511,0))</f>
        <v>Pay as you go</v>
      </c>
    </row>
    <row r="512" spans="1:6" x14ac:dyDescent="0.25">
      <c r="A512">
        <v>87.914999999999992</v>
      </c>
      <c r="B512">
        <v>96.521983403947445</v>
      </c>
      <c r="C512">
        <v>119.59127847255749</v>
      </c>
      <c r="D512">
        <v>179.52198340394744</v>
      </c>
      <c r="E512">
        <f t="shared" si="7"/>
        <v>87.914999999999992</v>
      </c>
      <c r="F512" t="str" cm="1">
        <f t="array" ref="F512">INDEX({"Pay as you go","Prediction_Pack","Prediction_Payasyougo',""Competitor"},MATCH(MIN(A512:D512),A512:D512,0))</f>
        <v>Pay as you go</v>
      </c>
    </row>
    <row r="513" spans="1:6" x14ac:dyDescent="0.25">
      <c r="A513">
        <v>82.319000000000003</v>
      </c>
      <c r="B513">
        <v>88.81660403163383</v>
      </c>
      <c r="C513">
        <v>85.019016562335452</v>
      </c>
      <c r="D513">
        <v>163.81660403163383</v>
      </c>
      <c r="E513">
        <f t="shared" si="7"/>
        <v>82.319000000000003</v>
      </c>
      <c r="F513" t="str" cm="1">
        <f t="array" ref="F513">INDEX({"Pay as you go","Prediction_Pack","Prediction_Payasyougo',""Competitor"},MATCH(MIN(A513:D513),A513:D513,0))</f>
        <v>Pay as you go</v>
      </c>
    </row>
    <row r="514" spans="1:6" x14ac:dyDescent="0.25">
      <c r="A514">
        <v>93.738</v>
      </c>
      <c r="B514">
        <v>93.612335731611154</v>
      </c>
      <c r="C514">
        <v>96.51778717174912</v>
      </c>
      <c r="D514">
        <v>185.61233573161115</v>
      </c>
      <c r="E514">
        <f t="shared" si="7"/>
        <v>93.612335731611154</v>
      </c>
      <c r="F514" t="str" cm="1">
        <f t="array" ref="F514">INDEX({"Pay as you go","Prediction_Pack","Prediction_Payasyougo',""Competitor"},MATCH(MIN(A514:D514),A514:D514,0))</f>
        <v>Prediction_Pack</v>
      </c>
    </row>
    <row r="515" spans="1:6" x14ac:dyDescent="0.25">
      <c r="A515">
        <v>111.402</v>
      </c>
      <c r="B515">
        <v>122.40312455942308</v>
      </c>
      <c r="C515">
        <v>159.39107944597214</v>
      </c>
      <c r="D515">
        <v>217.40312455942308</v>
      </c>
      <c r="E515">
        <f t="shared" si="7"/>
        <v>111.402</v>
      </c>
      <c r="F515" t="str" cm="1">
        <f t="array" ref="F515">INDEX({"Pay as you go","Prediction_Pack","Prediction_Payasyougo',""Competitor"},MATCH(MIN(A515:D515),A515:D515,0))</f>
        <v>Pay as you go</v>
      </c>
    </row>
    <row r="516" spans="1:6" x14ac:dyDescent="0.25">
      <c r="A516">
        <v>194.67999999999998</v>
      </c>
      <c r="B516">
        <v>208.48041883588184</v>
      </c>
      <c r="C516">
        <v>313.88678461561631</v>
      </c>
      <c r="D516">
        <v>344.48041883588184</v>
      </c>
      <c r="E516">
        <f t="shared" si="7"/>
        <v>194.67999999999998</v>
      </c>
      <c r="F516" t="str" cm="1">
        <f t="array" ref="F516">INDEX({"Pay as you go","Prediction_Pack","Prediction_Payasyougo',""Competitor"},MATCH(MIN(A516:D516),A516:D516,0))</f>
        <v>Pay as you go</v>
      </c>
    </row>
    <row r="517" spans="1:6" x14ac:dyDescent="0.25">
      <c r="A517">
        <v>82.414999999999992</v>
      </c>
      <c r="B517">
        <v>88.482411051429011</v>
      </c>
      <c r="C517">
        <v>98.561353954231805</v>
      </c>
      <c r="D517">
        <v>164.48241105142901</v>
      </c>
      <c r="E517">
        <f t="shared" si="7"/>
        <v>82.414999999999992</v>
      </c>
      <c r="F517" t="str" cm="1">
        <f t="array" ref="F517">INDEX({"Pay as you go","Prediction_Pack","Prediction_Payasyougo',""Competitor"},MATCH(MIN(A517:D517),A517:D517,0))</f>
        <v>Pay as you go</v>
      </c>
    </row>
    <row r="518" spans="1:6" x14ac:dyDescent="0.25">
      <c r="A518">
        <v>105.67099999999999</v>
      </c>
      <c r="B518">
        <v>112.62192561997165</v>
      </c>
      <c r="C518">
        <v>132.44189848673713</v>
      </c>
      <c r="D518">
        <v>204.62192561997165</v>
      </c>
      <c r="E518">
        <f t="shared" si="7"/>
        <v>105.67099999999999</v>
      </c>
      <c r="F518" t="str" cm="1">
        <f t="array" ref="F518">INDEX({"Pay as you go","Prediction_Pack","Prediction_Payasyougo',""Competitor"},MATCH(MIN(A518:D518),A518:D518,0))</f>
        <v>Pay as you go</v>
      </c>
    </row>
    <row r="519" spans="1:6" x14ac:dyDescent="0.25">
      <c r="A519">
        <v>117.569</v>
      </c>
      <c r="B519">
        <v>122.54702741266576</v>
      </c>
      <c r="C519">
        <v>143.1315489772345</v>
      </c>
      <c r="D519">
        <v>232.54702741266576</v>
      </c>
      <c r="E519">
        <f t="shared" si="7"/>
        <v>117.569</v>
      </c>
      <c r="F519" t="str" cm="1">
        <f t="array" ref="F519">INDEX({"Pay as you go","Prediction_Pack","Prediction_Payasyougo',""Competitor"},MATCH(MIN(A519:D519),A519:D519,0))</f>
        <v>Pay as you go</v>
      </c>
    </row>
    <row r="520" spans="1:6" x14ac:dyDescent="0.25">
      <c r="A520">
        <v>107.41500000000001</v>
      </c>
      <c r="B520">
        <v>139.97375623139743</v>
      </c>
      <c r="C520">
        <v>183.5133639499121</v>
      </c>
      <c r="D520">
        <v>208.9737562313974</v>
      </c>
      <c r="E520">
        <f t="shared" si="7"/>
        <v>107.41500000000001</v>
      </c>
      <c r="F520" t="str" cm="1">
        <f t="array" ref="F520">INDEX({"Pay as you go","Prediction_Pack","Prediction_Payasyougo',""Competitor"},MATCH(MIN(A520:D520),A520:D520,0))</f>
        <v>Pay as you go</v>
      </c>
    </row>
    <row r="521" spans="1:6" x14ac:dyDescent="0.25">
      <c r="A521">
        <v>84.813999999999993</v>
      </c>
      <c r="B521">
        <v>101.36711433524192</v>
      </c>
      <c r="C521">
        <v>113.27649176802134</v>
      </c>
      <c r="D521">
        <v>175.36711433524192</v>
      </c>
      <c r="E521">
        <f t="shared" ref="E521:E584" si="8">MIN(A521:D521)</f>
        <v>84.813999999999993</v>
      </c>
      <c r="F521" t="str" cm="1">
        <f t="array" ref="F521">INDEX({"Pay as you go","Prediction_Pack","Prediction_Payasyougo',""Competitor"},MATCH(MIN(A521:D521),A521:D521,0))</f>
        <v>Pay as you go</v>
      </c>
    </row>
    <row r="522" spans="1:6" x14ac:dyDescent="0.25">
      <c r="A522">
        <v>155.505</v>
      </c>
      <c r="B522">
        <v>175.60309419798546</v>
      </c>
      <c r="C522">
        <v>249.0171443230071</v>
      </c>
      <c r="D522">
        <v>283.60309419798546</v>
      </c>
      <c r="E522">
        <f t="shared" si="8"/>
        <v>155.505</v>
      </c>
      <c r="F522" t="str" cm="1">
        <f t="array" ref="F522">INDEX({"Pay as you go","Prediction_Pack","Prediction_Payasyougo',""Competitor"},MATCH(MIN(A522:D522),A522:D522,0))</f>
        <v>Pay as you go</v>
      </c>
    </row>
    <row r="523" spans="1:6" x14ac:dyDescent="0.25">
      <c r="A523">
        <v>171.25399999999999</v>
      </c>
      <c r="B523">
        <v>184.36601943284808</v>
      </c>
      <c r="C523">
        <v>257.60718727347734</v>
      </c>
      <c r="D523">
        <v>314.36601943284808</v>
      </c>
      <c r="E523">
        <f t="shared" si="8"/>
        <v>171.25399999999999</v>
      </c>
      <c r="F523" t="str" cm="1">
        <f t="array" ref="F523">INDEX({"Pay as you go","Prediction_Pack","Prediction_Payasyougo',""Competitor"},MATCH(MIN(A523:D523),A523:D523,0))</f>
        <v>Pay as you go</v>
      </c>
    </row>
    <row r="524" spans="1:6" x14ac:dyDescent="0.25">
      <c r="A524">
        <v>108.81</v>
      </c>
      <c r="B524">
        <v>106.83546934715739</v>
      </c>
      <c r="C524">
        <v>123.10189508483489</v>
      </c>
      <c r="D524">
        <v>212.83546934715739</v>
      </c>
      <c r="E524">
        <f t="shared" si="8"/>
        <v>106.83546934715739</v>
      </c>
      <c r="F524" t="str" cm="1">
        <f t="array" ref="F524">INDEX({"Pay as you go","Prediction_Pack","Prediction_Payasyougo',""Competitor"},MATCH(MIN(A524:D524),A524:D524,0))</f>
        <v>Prediction_Pack</v>
      </c>
    </row>
    <row r="525" spans="1:6" x14ac:dyDescent="0.25">
      <c r="A525">
        <v>125.599</v>
      </c>
      <c r="B525">
        <v>127.53560197670257</v>
      </c>
      <c r="C525">
        <v>154.74027181537477</v>
      </c>
      <c r="D525">
        <v>238.53560197670257</v>
      </c>
      <c r="E525">
        <f t="shared" si="8"/>
        <v>125.599</v>
      </c>
      <c r="F525" t="str" cm="1">
        <f t="array" ref="F525">INDEX({"Pay as you go","Prediction_Pack","Prediction_Payasyougo',""Competitor"},MATCH(MIN(A525:D525),A525:D525,0))</f>
        <v>Pay as you go</v>
      </c>
    </row>
    <row r="526" spans="1:6" x14ac:dyDescent="0.25">
      <c r="A526">
        <v>148.38800000000001</v>
      </c>
      <c r="B526">
        <v>166.58591044746794</v>
      </c>
      <c r="C526">
        <v>220.19916500178283</v>
      </c>
      <c r="D526">
        <v>281.58591044746794</v>
      </c>
      <c r="E526">
        <f t="shared" si="8"/>
        <v>148.38800000000001</v>
      </c>
      <c r="F526" t="str" cm="1">
        <f t="array" ref="F526">INDEX({"Pay as you go","Prediction_Pack","Prediction_Payasyougo',""Competitor"},MATCH(MIN(A526:D526),A526:D526,0))</f>
        <v>Pay as you go</v>
      </c>
    </row>
    <row r="527" spans="1:6" x14ac:dyDescent="0.25">
      <c r="A527">
        <v>102.883</v>
      </c>
      <c r="B527">
        <v>107.9927464718676</v>
      </c>
      <c r="C527">
        <v>127.33635971455132</v>
      </c>
      <c r="D527">
        <v>208.9927464718676</v>
      </c>
      <c r="E527">
        <f t="shared" si="8"/>
        <v>102.883</v>
      </c>
      <c r="F527" t="str" cm="1">
        <f t="array" ref="F527">INDEX({"Pay as you go","Prediction_Pack","Prediction_Payasyougo',""Competitor"},MATCH(MIN(A527:D527),A527:D527,0))</f>
        <v>Pay as you go</v>
      </c>
    </row>
    <row r="528" spans="1:6" x14ac:dyDescent="0.25">
      <c r="A528">
        <v>137.53300000000002</v>
      </c>
      <c r="B528">
        <v>152.2247946709137</v>
      </c>
      <c r="C528">
        <v>206.16334361868974</v>
      </c>
      <c r="D528">
        <v>254.22479467091367</v>
      </c>
      <c r="E528">
        <f t="shared" si="8"/>
        <v>137.53300000000002</v>
      </c>
      <c r="F528" t="str" cm="1">
        <f t="array" ref="F528">INDEX({"Pay as you go","Prediction_Pack","Prediction_Payasyougo',""Competitor"},MATCH(MIN(A528:D528),A528:D528,0))</f>
        <v>Pay as you go</v>
      </c>
    </row>
    <row r="529" spans="1:6" x14ac:dyDescent="0.25">
      <c r="A529">
        <v>228.03900000000002</v>
      </c>
      <c r="B529">
        <v>244.66263363123343</v>
      </c>
      <c r="C529">
        <v>376.66613876262807</v>
      </c>
      <c r="D529">
        <v>404.66263363123346</v>
      </c>
      <c r="E529">
        <f t="shared" si="8"/>
        <v>228.03900000000002</v>
      </c>
      <c r="F529" t="str" cm="1">
        <f t="array" ref="F529">INDEX({"Pay as you go","Prediction_Pack","Prediction_Payasyougo',""Competitor"},MATCH(MIN(A529:D529),A529:D529,0))</f>
        <v>Pay as you go</v>
      </c>
    </row>
    <row r="530" spans="1:6" x14ac:dyDescent="0.25">
      <c r="A530">
        <v>91.756</v>
      </c>
      <c r="B530">
        <v>90.235599954152946</v>
      </c>
      <c r="C530">
        <v>98.097202089475431</v>
      </c>
      <c r="D530">
        <v>182.23559995415295</v>
      </c>
      <c r="E530">
        <f t="shared" si="8"/>
        <v>90.235599954152946</v>
      </c>
      <c r="F530" t="str" cm="1">
        <f t="array" ref="F530">INDEX({"Pay as you go","Prediction_Pack","Prediction_Payasyougo',""Competitor"},MATCH(MIN(A530:D530),A530:D530,0))</f>
        <v>Prediction_Pack</v>
      </c>
    </row>
    <row r="531" spans="1:6" x14ac:dyDescent="0.25">
      <c r="A531">
        <v>185.92700000000002</v>
      </c>
      <c r="B531">
        <v>218.00831538720954</v>
      </c>
      <c r="C531">
        <v>315.80776963229857</v>
      </c>
      <c r="D531">
        <v>346.00831538720956</v>
      </c>
      <c r="E531">
        <f t="shared" si="8"/>
        <v>185.92700000000002</v>
      </c>
      <c r="F531" t="str" cm="1">
        <f t="array" ref="F531">INDEX({"Pay as you go","Prediction_Pack","Prediction_Payasyougo',""Competitor"},MATCH(MIN(A531:D531),A531:D531,0))</f>
        <v>Pay as you go</v>
      </c>
    </row>
    <row r="532" spans="1:6" x14ac:dyDescent="0.25">
      <c r="A532">
        <v>112.11</v>
      </c>
      <c r="B532">
        <v>139.03656012594769</v>
      </c>
      <c r="C532">
        <v>192.58478293698133</v>
      </c>
      <c r="D532">
        <v>218.03656012594766</v>
      </c>
      <c r="E532">
        <f t="shared" si="8"/>
        <v>112.11</v>
      </c>
      <c r="F532" t="str" cm="1">
        <f t="array" ref="F532">INDEX({"Pay as you go","Prediction_Pack","Prediction_Payasyougo',""Competitor"},MATCH(MIN(A532:D532),A532:D532,0))</f>
        <v>Pay as you go</v>
      </c>
    </row>
    <row r="533" spans="1:6" x14ac:dyDescent="0.25">
      <c r="A533">
        <v>174.00600000000003</v>
      </c>
      <c r="B533">
        <v>188.19767194941105</v>
      </c>
      <c r="C533">
        <v>272.47333102045343</v>
      </c>
      <c r="D533">
        <v>314.19767194941107</v>
      </c>
      <c r="E533">
        <f t="shared" si="8"/>
        <v>174.00600000000003</v>
      </c>
      <c r="F533" t="str" cm="1">
        <f t="array" ref="F533">INDEX({"Pay as you go","Prediction_Pack","Prediction_Payasyougo',""Competitor"},MATCH(MIN(A533:D533),A533:D533,0))</f>
        <v>Pay as you go</v>
      </c>
    </row>
    <row r="534" spans="1:6" x14ac:dyDescent="0.25">
      <c r="A534">
        <v>191.31099999999998</v>
      </c>
      <c r="B534">
        <v>226.06070801321002</v>
      </c>
      <c r="C534">
        <v>349.28125828919099</v>
      </c>
      <c r="D534">
        <v>351.06070801320999</v>
      </c>
      <c r="E534">
        <f t="shared" si="8"/>
        <v>191.31099999999998</v>
      </c>
      <c r="F534" t="str" cm="1">
        <f t="array" ref="F534">INDEX({"Pay as you go","Prediction_Pack","Prediction_Payasyougo',""Competitor"},MATCH(MIN(A534:D534),A534:D534,0))</f>
        <v>Pay as you go</v>
      </c>
    </row>
    <row r="535" spans="1:6" x14ac:dyDescent="0.25">
      <c r="A535">
        <v>91.251999999999995</v>
      </c>
      <c r="B535">
        <v>95.432260119426616</v>
      </c>
      <c r="C535">
        <v>106.7989411109139</v>
      </c>
      <c r="D535">
        <v>188.43226011942662</v>
      </c>
      <c r="E535">
        <f t="shared" si="8"/>
        <v>91.251999999999995</v>
      </c>
      <c r="F535" t="str" cm="1">
        <f t="array" ref="F535">INDEX({"Pay as you go","Prediction_Pack","Prediction_Payasyougo',""Competitor"},MATCH(MIN(A535:D535),A535:D535,0))</f>
        <v>Pay as you go</v>
      </c>
    </row>
    <row r="536" spans="1:6" x14ac:dyDescent="0.25">
      <c r="A536">
        <v>175.774</v>
      </c>
      <c r="B536">
        <v>196.81624561219814</v>
      </c>
      <c r="C536">
        <v>293.17329223220952</v>
      </c>
      <c r="D536">
        <v>314.81624561219814</v>
      </c>
      <c r="E536">
        <f t="shared" si="8"/>
        <v>175.774</v>
      </c>
      <c r="F536" t="str" cm="1">
        <f t="array" ref="F536">INDEX({"Pay as you go","Prediction_Pack","Prediction_Payasyougo',""Competitor"},MATCH(MIN(A536:D536),A536:D536,0))</f>
        <v>Pay as you go</v>
      </c>
    </row>
    <row r="537" spans="1:6" x14ac:dyDescent="0.25">
      <c r="A537">
        <v>98.620999999999995</v>
      </c>
      <c r="B537">
        <v>107.07055279708733</v>
      </c>
      <c r="C537">
        <v>123.29805153511987</v>
      </c>
      <c r="D537">
        <v>198.07055279708732</v>
      </c>
      <c r="E537">
        <f t="shared" si="8"/>
        <v>98.620999999999995</v>
      </c>
      <c r="F537" t="str" cm="1">
        <f t="array" ref="F537">INDEX({"Pay as you go","Prediction_Pack","Prediction_Payasyougo',""Competitor"},MATCH(MIN(A537:D537),A537:D537,0))</f>
        <v>Pay as you go</v>
      </c>
    </row>
    <row r="538" spans="1:6" x14ac:dyDescent="0.25">
      <c r="A538">
        <v>154.59800000000001</v>
      </c>
      <c r="B538">
        <v>172.21940970965446</v>
      </c>
      <c r="C538">
        <v>234.06732372339997</v>
      </c>
      <c r="D538">
        <v>289.21940970965449</v>
      </c>
      <c r="E538">
        <f t="shared" si="8"/>
        <v>154.59800000000001</v>
      </c>
      <c r="F538" t="str" cm="1">
        <f t="array" ref="F538">INDEX({"Pay as you go","Prediction_Pack","Prediction_Payasyougo',""Competitor"},MATCH(MIN(A538:D538),A538:D538,0))</f>
        <v>Pay as you go</v>
      </c>
    </row>
    <row r="539" spans="1:6" x14ac:dyDescent="0.25">
      <c r="A539">
        <v>93.414000000000001</v>
      </c>
      <c r="B539">
        <v>94.395156503601157</v>
      </c>
      <c r="C539">
        <v>112.0403392560966</v>
      </c>
      <c r="D539">
        <v>177.39515650360116</v>
      </c>
      <c r="E539">
        <f t="shared" si="8"/>
        <v>93.414000000000001</v>
      </c>
      <c r="F539" t="str" cm="1">
        <f t="array" ref="F539">INDEX({"Pay as you go","Prediction_Pack","Prediction_Payasyougo',""Competitor"},MATCH(MIN(A539:D539),A539:D539,0))</f>
        <v>Pay as you go</v>
      </c>
    </row>
    <row r="540" spans="1:6" x14ac:dyDescent="0.25">
      <c r="A540">
        <v>124.78400000000001</v>
      </c>
      <c r="B540">
        <v>140.16440706947932</v>
      </c>
      <c r="C540">
        <v>172.92352232515549</v>
      </c>
      <c r="D540">
        <v>239.16440706947932</v>
      </c>
      <c r="E540">
        <f t="shared" si="8"/>
        <v>124.78400000000001</v>
      </c>
      <c r="F540" t="str" cm="1">
        <f t="array" ref="F540">INDEX({"Pay as you go","Prediction_Pack","Prediction_Payasyougo',""Competitor"},MATCH(MIN(A540:D540),A540:D540,0))</f>
        <v>Pay as you go</v>
      </c>
    </row>
    <row r="541" spans="1:6" x14ac:dyDescent="0.25">
      <c r="A541">
        <v>88.614000000000004</v>
      </c>
      <c r="B541">
        <v>94.101209624854135</v>
      </c>
      <c r="C541">
        <v>110.43847408370678</v>
      </c>
      <c r="D541">
        <v>177.10120962485414</v>
      </c>
      <c r="E541">
        <f t="shared" si="8"/>
        <v>88.614000000000004</v>
      </c>
      <c r="F541" t="str" cm="1">
        <f t="array" ref="F541">INDEX({"Pay as you go","Prediction_Pack","Prediction_Payasyougo',""Competitor"},MATCH(MIN(A541:D541),A541:D541,0))</f>
        <v>Pay as you go</v>
      </c>
    </row>
    <row r="542" spans="1:6" x14ac:dyDescent="0.25">
      <c r="A542">
        <v>126.449</v>
      </c>
      <c r="B542">
        <v>131.47566208335761</v>
      </c>
      <c r="C542">
        <v>173.48259477352178</v>
      </c>
      <c r="D542">
        <v>233.47566208335761</v>
      </c>
      <c r="E542">
        <f t="shared" si="8"/>
        <v>126.449</v>
      </c>
      <c r="F542" t="str" cm="1">
        <f t="array" ref="F542">INDEX({"Pay as you go","Prediction_Pack","Prediction_Payasyougo',""Competitor"},MATCH(MIN(A542:D542),A542:D542,0))</f>
        <v>Pay as you go</v>
      </c>
    </row>
    <row r="543" spans="1:6" x14ac:dyDescent="0.25">
      <c r="A543">
        <v>81.850999999999999</v>
      </c>
      <c r="B543">
        <v>83.54078724620021</v>
      </c>
      <c r="C543">
        <v>81.486589249465879</v>
      </c>
      <c r="D543">
        <v>168.54078724620021</v>
      </c>
      <c r="E543">
        <f t="shared" si="8"/>
        <v>81.486589249465879</v>
      </c>
      <c r="F543" t="str" cm="1">
        <f t="array" ref="F543">INDEX({"Pay as you go","Prediction_Pack","Prediction_Payasyougo","Competitor"},MATCH(MIN(A543:D543),A543:D543,0))</f>
        <v>Prediction_Payasyougo</v>
      </c>
    </row>
    <row r="544" spans="1:6" x14ac:dyDescent="0.25">
      <c r="A544">
        <v>72.271999999999991</v>
      </c>
      <c r="B544">
        <v>84.643415744744232</v>
      </c>
      <c r="C544">
        <v>79.649891609429318</v>
      </c>
      <c r="D544">
        <v>154.64341574474423</v>
      </c>
      <c r="E544">
        <f t="shared" si="8"/>
        <v>72.271999999999991</v>
      </c>
      <c r="F544" t="str" cm="1">
        <f t="array" ref="F544">INDEX({"Pay as you go","Prediction_Pack","Prediction_Payasyougo',""Competitor"},MATCH(MIN(A544:D544),A544:D544,0))</f>
        <v>Pay as you go</v>
      </c>
    </row>
    <row r="545" spans="1:6" x14ac:dyDescent="0.25">
      <c r="A545">
        <v>108.32600000000001</v>
      </c>
      <c r="B545">
        <v>122.67900240439681</v>
      </c>
      <c r="C545">
        <v>151.01733342645076</v>
      </c>
      <c r="D545">
        <v>222.67900240439681</v>
      </c>
      <c r="E545">
        <f t="shared" si="8"/>
        <v>108.32600000000001</v>
      </c>
      <c r="F545" t="str" cm="1">
        <f t="array" ref="F545">INDEX({"Pay as you go","Prediction_Pack","Prediction_Payasyougo',""Competitor"},MATCH(MIN(A545:D545),A545:D545,0))</f>
        <v>Pay as you go</v>
      </c>
    </row>
    <row r="546" spans="1:6" x14ac:dyDescent="0.25">
      <c r="A546">
        <v>131.49</v>
      </c>
      <c r="B546">
        <v>152.04376949110531</v>
      </c>
      <c r="C546">
        <v>211.24244892781036</v>
      </c>
      <c r="D546">
        <v>254.04376949110528</v>
      </c>
      <c r="E546">
        <f t="shared" si="8"/>
        <v>131.49</v>
      </c>
      <c r="F546" t="str" cm="1">
        <f t="array" ref="F546">INDEX({"Pay as you go","Prediction_Pack","Prediction_Payasyougo',""Competitor"},MATCH(MIN(A546:D546),A546:D546,0))</f>
        <v>Pay as you go</v>
      </c>
    </row>
    <row r="547" spans="1:6" x14ac:dyDescent="0.25">
      <c r="A547">
        <v>90.515000000000001</v>
      </c>
      <c r="B547">
        <v>91.235337980174947</v>
      </c>
      <c r="C547">
        <v>98.098115766290093</v>
      </c>
      <c r="D547">
        <v>183.23533798017496</v>
      </c>
      <c r="E547">
        <f t="shared" si="8"/>
        <v>90.515000000000001</v>
      </c>
      <c r="F547" t="str" cm="1">
        <f t="array" ref="F547">INDEX({"Pay as you go","Prediction_Pack","Prediction_Payasyougo',""Competitor"},MATCH(MIN(A547:D547),A547:D547,0))</f>
        <v>Pay as you go</v>
      </c>
    </row>
    <row r="548" spans="1:6" x14ac:dyDescent="0.25">
      <c r="A548">
        <v>157.85399999999998</v>
      </c>
      <c r="B548">
        <v>180.50121974707602</v>
      </c>
      <c r="C548">
        <v>252.28236641319435</v>
      </c>
      <c r="D548">
        <v>294.50121974707599</v>
      </c>
      <c r="E548">
        <f t="shared" si="8"/>
        <v>157.85399999999998</v>
      </c>
      <c r="F548" t="str" cm="1">
        <f t="array" ref="F548">INDEX({"Pay as you go","Prediction_Pack","Prediction_Payasyougo',""Competitor"},MATCH(MIN(A548:D548),A548:D548,0))</f>
        <v>Pay as you go</v>
      </c>
    </row>
    <row r="549" spans="1:6" x14ac:dyDescent="0.25">
      <c r="A549">
        <v>190.13200000000001</v>
      </c>
      <c r="B549">
        <v>221.77542643153174</v>
      </c>
      <c r="C549">
        <v>318.70185240972086</v>
      </c>
      <c r="D549">
        <v>350.77542643153174</v>
      </c>
      <c r="E549">
        <f t="shared" si="8"/>
        <v>190.13200000000001</v>
      </c>
      <c r="F549" t="str" cm="1">
        <f t="array" ref="F549">INDEX({"Pay as you go","Prediction_Pack","Prediction_Payasyougo',""Competitor"},MATCH(MIN(A549:D549),A549:D549,0))</f>
        <v>Pay as you go</v>
      </c>
    </row>
    <row r="550" spans="1:6" x14ac:dyDescent="0.25">
      <c r="A550">
        <v>82.366</v>
      </c>
      <c r="B550">
        <v>95.425254714156438</v>
      </c>
      <c r="C550">
        <v>96.422700970772098</v>
      </c>
      <c r="D550">
        <v>173.42525471415644</v>
      </c>
      <c r="E550">
        <f t="shared" si="8"/>
        <v>82.366</v>
      </c>
      <c r="F550" t="str" cm="1">
        <f t="array" ref="F550">INDEX({"Pay as you go","Prediction_Pack","Prediction_Payasyougo',""Competitor"},MATCH(MIN(A550:D550),A550:D550,0))</f>
        <v>Pay as you go</v>
      </c>
    </row>
    <row r="551" spans="1:6" x14ac:dyDescent="0.25">
      <c r="A551">
        <v>150.37</v>
      </c>
      <c r="B551">
        <v>192.78578675379458</v>
      </c>
      <c r="C551">
        <v>285.11590985995184</v>
      </c>
      <c r="D551">
        <v>279.78578675379458</v>
      </c>
      <c r="E551">
        <f t="shared" si="8"/>
        <v>150.37</v>
      </c>
      <c r="F551" t="str" cm="1">
        <f t="array" ref="F551">INDEX({"Pay as you go","Prediction_Pack","Prediction_Payasyougo',""Competitor"},MATCH(MIN(A551:D551),A551:D551,0))</f>
        <v>Pay as you go</v>
      </c>
    </row>
    <row r="552" spans="1:6" x14ac:dyDescent="0.25">
      <c r="A552">
        <v>113.84100000000001</v>
      </c>
      <c r="B552">
        <v>133.53563594158194</v>
      </c>
      <c r="C552">
        <v>168.06241404723323</v>
      </c>
      <c r="D552">
        <v>225.53563594158192</v>
      </c>
      <c r="E552">
        <f t="shared" si="8"/>
        <v>113.84100000000001</v>
      </c>
      <c r="F552" t="str" cm="1">
        <f t="array" ref="F552">INDEX({"Pay as you go","Prediction_Pack","Prediction_Payasyougo',""Competitor"},MATCH(MIN(A552:D552),A552:D552,0))</f>
        <v>Pay as you go</v>
      </c>
    </row>
    <row r="553" spans="1:6" x14ac:dyDescent="0.25">
      <c r="A553">
        <v>123.142</v>
      </c>
      <c r="B553">
        <v>123.40356841639647</v>
      </c>
      <c r="C553">
        <v>161.37309980895591</v>
      </c>
      <c r="D553">
        <v>228.40356841639647</v>
      </c>
      <c r="E553">
        <f t="shared" si="8"/>
        <v>123.142</v>
      </c>
      <c r="F553" t="str" cm="1">
        <f t="array" ref="F553">INDEX({"Pay as you go","Prediction_Pack","Prediction_Payasyougo',""Competitor"},MATCH(MIN(A553:D553),A553:D553,0))</f>
        <v>Pay as you go</v>
      </c>
    </row>
    <row r="554" spans="1:6" x14ac:dyDescent="0.25">
      <c r="A554">
        <v>111.745</v>
      </c>
      <c r="B554">
        <v>130.12947331603559</v>
      </c>
      <c r="C554">
        <v>160.5108128042292</v>
      </c>
      <c r="D554">
        <v>216.12947331603556</v>
      </c>
      <c r="E554">
        <f t="shared" si="8"/>
        <v>111.745</v>
      </c>
      <c r="F554" t="str" cm="1">
        <f t="array" ref="F554">INDEX({"Pay as you go","Prediction_Pack","Prediction_Payasyougo',""Competitor"},MATCH(MIN(A554:D554),A554:D554,0))</f>
        <v>Pay as you go</v>
      </c>
    </row>
    <row r="555" spans="1:6" x14ac:dyDescent="0.25">
      <c r="A555">
        <v>127.872</v>
      </c>
      <c r="B555">
        <v>140.37601251268632</v>
      </c>
      <c r="C555">
        <v>185.09274767530709</v>
      </c>
      <c r="D555">
        <v>244.37601251268632</v>
      </c>
      <c r="E555">
        <f t="shared" si="8"/>
        <v>127.872</v>
      </c>
      <c r="F555" t="str" cm="1">
        <f t="array" ref="F555">INDEX({"Pay as you go","Prediction_Pack","Prediction_Payasyougo',""Competitor"},MATCH(MIN(A555:D555),A555:D555,0))</f>
        <v>Pay as you go</v>
      </c>
    </row>
    <row r="556" spans="1:6" x14ac:dyDescent="0.25">
      <c r="A556">
        <v>119.444</v>
      </c>
      <c r="B556">
        <v>142.88281712283919</v>
      </c>
      <c r="C556">
        <v>197.38954686026671</v>
      </c>
      <c r="D556">
        <v>232.88281712283919</v>
      </c>
      <c r="E556">
        <f t="shared" si="8"/>
        <v>119.444</v>
      </c>
      <c r="F556" t="str" cm="1">
        <f t="array" ref="F556">INDEX({"Pay as you go","Prediction_Pack","Prediction_Payasyougo',""Competitor"},MATCH(MIN(A556:D556),A556:D556,0))</f>
        <v>Pay as you go</v>
      </c>
    </row>
    <row r="557" spans="1:6" x14ac:dyDescent="0.25">
      <c r="A557">
        <v>108.938</v>
      </c>
      <c r="B557">
        <v>114.17028538538193</v>
      </c>
      <c r="C557">
        <v>134.29278955452361</v>
      </c>
      <c r="D557">
        <v>201.17028538538193</v>
      </c>
      <c r="E557">
        <f t="shared" si="8"/>
        <v>108.938</v>
      </c>
      <c r="F557" t="str" cm="1">
        <f t="array" ref="F557">INDEX({"Pay as you go","Prediction_Pack","Prediction_Payasyougo',""Competitor"},MATCH(MIN(A557:D557),A557:D557,0))</f>
        <v>Pay as you go</v>
      </c>
    </row>
    <row r="558" spans="1:6" x14ac:dyDescent="0.25">
      <c r="A558">
        <v>142.333</v>
      </c>
      <c r="B558">
        <v>148.65893344133843</v>
      </c>
      <c r="C558">
        <v>205.21507544626897</v>
      </c>
      <c r="D558">
        <v>254.65893344133843</v>
      </c>
      <c r="E558">
        <f t="shared" si="8"/>
        <v>142.333</v>
      </c>
      <c r="F558" t="str" cm="1">
        <f t="array" ref="F558">INDEX({"Pay as you go","Prediction_Pack","Prediction_Payasyougo',""Competitor"},MATCH(MIN(A558:D558),A558:D558,0))</f>
        <v>Pay as you go</v>
      </c>
    </row>
    <row r="559" spans="1:6" x14ac:dyDescent="0.25">
      <c r="A559">
        <v>143.702</v>
      </c>
      <c r="B559">
        <v>159.36451316208166</v>
      </c>
      <c r="C559">
        <v>217.57323002299543</v>
      </c>
      <c r="D559">
        <v>268.36451316208166</v>
      </c>
      <c r="E559">
        <f t="shared" si="8"/>
        <v>143.702</v>
      </c>
      <c r="F559" t="str" cm="1">
        <f t="array" ref="F559">INDEX({"Pay as you go","Prediction_Pack","Prediction_Payasyougo',""Competitor"},MATCH(MIN(A559:D559),A559:D559,0))</f>
        <v>Pay as you go</v>
      </c>
    </row>
    <row r="560" spans="1:6" x14ac:dyDescent="0.25">
      <c r="A560">
        <v>167.14400000000001</v>
      </c>
      <c r="B560">
        <v>176.91025132978532</v>
      </c>
      <c r="C560">
        <v>247.30606265785866</v>
      </c>
      <c r="D560">
        <v>304.91025132978535</v>
      </c>
      <c r="E560">
        <f t="shared" si="8"/>
        <v>167.14400000000001</v>
      </c>
      <c r="F560" t="str" cm="1">
        <f t="array" ref="F560">INDEX({"Pay as you go","Prediction_Pack","Prediction_Payasyougo',""Competitor"},MATCH(MIN(A560:D560),A560:D560,0))</f>
        <v>Pay as you go</v>
      </c>
    </row>
    <row r="561" spans="1:6" x14ac:dyDescent="0.25">
      <c r="A561">
        <v>96.215000000000003</v>
      </c>
      <c r="B561">
        <v>114.1777144344087</v>
      </c>
      <c r="C561">
        <v>131.80356084380753</v>
      </c>
      <c r="D561">
        <v>191.1777144344087</v>
      </c>
      <c r="E561">
        <f t="shared" si="8"/>
        <v>96.215000000000003</v>
      </c>
      <c r="F561" t="str" cm="1">
        <f t="array" ref="F561">INDEX({"Pay as you go","Prediction_Pack","Prediction_Payasyougo',""Competitor"},MATCH(MIN(A561:D561),A561:D561,0))</f>
        <v>Pay as you go</v>
      </c>
    </row>
    <row r="562" spans="1:6" x14ac:dyDescent="0.25">
      <c r="A562">
        <v>50.177000000000007</v>
      </c>
      <c r="B562">
        <v>68.001320239793444</v>
      </c>
      <c r="C562">
        <v>62.992829840237256</v>
      </c>
      <c r="D562">
        <v>114.00132023979344</v>
      </c>
      <c r="E562">
        <f t="shared" si="8"/>
        <v>50.177000000000007</v>
      </c>
      <c r="F562" t="str" cm="1">
        <f t="array" ref="F562">INDEX({"Pay as you go","Prediction_Pack","Prediction_Payasyougo',""Competitor"},MATCH(MIN(A562:D562),A562:D562,0))</f>
        <v>Pay as you go</v>
      </c>
    </row>
    <row r="563" spans="1:6" x14ac:dyDescent="0.25">
      <c r="A563">
        <v>108.863</v>
      </c>
      <c r="B563">
        <v>127.90998330289605</v>
      </c>
      <c r="C563">
        <v>161.53549971753856</v>
      </c>
      <c r="D563">
        <v>213.90998330289602</v>
      </c>
      <c r="E563">
        <f t="shared" si="8"/>
        <v>108.863</v>
      </c>
      <c r="F563" t="str" cm="1">
        <f t="array" ref="F563">INDEX({"Pay as you go","Prediction_Pack","Prediction_Payasyougo',""Competitor"},MATCH(MIN(A563:D563),A563:D563,0))</f>
        <v>Pay as you go</v>
      </c>
    </row>
    <row r="564" spans="1:6" x14ac:dyDescent="0.25">
      <c r="A564">
        <v>161.95699999999999</v>
      </c>
      <c r="B564">
        <v>168.04485587940502</v>
      </c>
      <c r="C564">
        <v>239.11115497101707</v>
      </c>
      <c r="D564">
        <v>284.04485587940502</v>
      </c>
      <c r="E564">
        <f t="shared" si="8"/>
        <v>161.95699999999999</v>
      </c>
      <c r="F564" t="str" cm="1">
        <f t="array" ref="F564">INDEX({"Pay as you go","Prediction_Pack","Prediction_Payasyougo',""Competitor"},MATCH(MIN(A564:D564),A564:D564,0))</f>
        <v>Pay as you go</v>
      </c>
    </row>
    <row r="565" spans="1:6" x14ac:dyDescent="0.25">
      <c r="A565">
        <v>134.273</v>
      </c>
      <c r="B565">
        <v>157.5470586184266</v>
      </c>
      <c r="C565">
        <v>220.47105572125909</v>
      </c>
      <c r="D565">
        <v>245.5470586184266</v>
      </c>
      <c r="E565">
        <f t="shared" si="8"/>
        <v>134.273</v>
      </c>
      <c r="F565" t="str" cm="1">
        <f t="array" ref="F565">INDEX({"Pay as you go","Prediction_Pack","Prediction_Payasyougo',""Competitor"},MATCH(MIN(A565:D565),A565:D565,0))</f>
        <v>Pay as you go</v>
      </c>
    </row>
    <row r="566" spans="1:6" x14ac:dyDescent="0.25">
      <c r="A566">
        <v>104.79700000000001</v>
      </c>
      <c r="B566">
        <v>116.16578588755499</v>
      </c>
      <c r="C566">
        <v>144.26260508304031</v>
      </c>
      <c r="D566">
        <v>204.16578588755499</v>
      </c>
      <c r="E566">
        <f t="shared" si="8"/>
        <v>104.79700000000001</v>
      </c>
      <c r="F566" t="str" cm="1">
        <f t="array" ref="F566">INDEX({"Pay as you go","Prediction_Pack","Prediction_Payasyougo',""Competitor"},MATCH(MIN(A566:D566),A566:D566,0))</f>
        <v>Pay as you go</v>
      </c>
    </row>
    <row r="567" spans="1:6" x14ac:dyDescent="0.25">
      <c r="A567">
        <v>145.446</v>
      </c>
      <c r="B567">
        <v>150.27350018136497</v>
      </c>
      <c r="C567">
        <v>193.59423360284705</v>
      </c>
      <c r="D567">
        <v>266.27350018136497</v>
      </c>
      <c r="E567">
        <f t="shared" si="8"/>
        <v>145.446</v>
      </c>
      <c r="F567" t="str" cm="1">
        <f t="array" ref="F567">INDEX({"Pay as you go","Prediction_Pack","Prediction_Payasyougo',""Competitor"},MATCH(MIN(A567:D567),A567:D567,0))</f>
        <v>Pay as you go</v>
      </c>
    </row>
    <row r="568" spans="1:6" x14ac:dyDescent="0.25">
      <c r="A568">
        <v>125.53700000000001</v>
      </c>
      <c r="B568">
        <v>147.64486692508933</v>
      </c>
      <c r="C568">
        <v>198.25773151217376</v>
      </c>
      <c r="D568">
        <v>238.6448669250893</v>
      </c>
      <c r="E568">
        <f t="shared" si="8"/>
        <v>125.53700000000001</v>
      </c>
      <c r="F568" t="str" cm="1">
        <f t="array" ref="F568">INDEX({"Pay as you go","Prediction_Pack","Prediction_Payasyougo',""Competitor"},MATCH(MIN(A568:D568),A568:D568,0))</f>
        <v>Pay as you go</v>
      </c>
    </row>
    <row r="569" spans="1:6" x14ac:dyDescent="0.25">
      <c r="A569">
        <v>121.57300000000001</v>
      </c>
      <c r="B569">
        <v>145.66780240802677</v>
      </c>
      <c r="C569">
        <v>190.99489075238398</v>
      </c>
      <c r="D569">
        <v>235.66780240802677</v>
      </c>
      <c r="E569">
        <f t="shared" si="8"/>
        <v>121.57300000000001</v>
      </c>
      <c r="F569" t="str" cm="1">
        <f t="array" ref="F569">INDEX({"Pay as you go","Prediction_Pack","Prediction_Payasyougo',""Competitor"},MATCH(MIN(A569:D569),A569:D569,0))</f>
        <v>Pay as you go</v>
      </c>
    </row>
    <row r="570" spans="1:6" x14ac:dyDescent="0.25">
      <c r="A570">
        <v>126.90599999999999</v>
      </c>
      <c r="B570">
        <v>125.798259075451</v>
      </c>
      <c r="C570">
        <v>160.97096222399881</v>
      </c>
      <c r="D570">
        <v>225.798259075451</v>
      </c>
      <c r="E570">
        <f t="shared" si="8"/>
        <v>125.798259075451</v>
      </c>
      <c r="F570" t="str" cm="1">
        <f t="array" ref="F570">INDEX({"Pay as you go","Prediction_Pack","Prediction_Payasyougo',""Competitor"},MATCH(MIN(A570:D570),A570:D570,0))</f>
        <v>Prediction_Pack</v>
      </c>
    </row>
    <row r="571" spans="1:6" x14ac:dyDescent="0.25">
      <c r="A571">
        <v>88.988</v>
      </c>
      <c r="B571">
        <v>92.936036169507673</v>
      </c>
      <c r="C571">
        <v>89.002944539313916</v>
      </c>
      <c r="D571">
        <v>174.93603616950767</v>
      </c>
      <c r="E571">
        <f t="shared" si="8"/>
        <v>88.988</v>
      </c>
      <c r="F571" t="str" cm="1">
        <f t="array" ref="F571">INDEX({"Pay as you go","Prediction_Pack","Prediction_Payasyougo',""Competitor"},MATCH(MIN(A571:D571),A571:D571,0))</f>
        <v>Pay as you go</v>
      </c>
    </row>
    <row r="572" spans="1:6" x14ac:dyDescent="0.25">
      <c r="A572">
        <v>152.054</v>
      </c>
      <c r="B572">
        <v>162.1258054462148</v>
      </c>
      <c r="C572">
        <v>215.50045059664316</v>
      </c>
      <c r="D572">
        <v>271.12580544621483</v>
      </c>
      <c r="E572">
        <f t="shared" si="8"/>
        <v>152.054</v>
      </c>
      <c r="F572" t="str" cm="1">
        <f t="array" ref="F572">INDEX({"Pay as you go","Prediction_Pack","Prediction_Payasyougo',""Competitor"},MATCH(MIN(A572:D572),A572:D572,0))</f>
        <v>Pay as you go</v>
      </c>
    </row>
    <row r="573" spans="1:6" x14ac:dyDescent="0.25">
      <c r="A573">
        <v>136.721</v>
      </c>
      <c r="B573">
        <v>132.24627218410669</v>
      </c>
      <c r="C573">
        <v>158.78372101772806</v>
      </c>
      <c r="D573">
        <v>253.24627218410669</v>
      </c>
      <c r="E573">
        <f t="shared" si="8"/>
        <v>132.24627218410669</v>
      </c>
      <c r="F573" t="str" cm="1">
        <f t="array" ref="F573">INDEX({"Pay as you go","Prediction_Pack","Prediction_Payasyougo',""Competitor"},MATCH(MIN(A573:D573),A573:D573,0))</f>
        <v>Prediction_Pack</v>
      </c>
    </row>
    <row r="574" spans="1:6" x14ac:dyDescent="0.25">
      <c r="A574">
        <v>132.85</v>
      </c>
      <c r="B574">
        <v>130.6668841584154</v>
      </c>
      <c r="C574">
        <v>178.67897487059017</v>
      </c>
      <c r="D574">
        <v>237.6668841584154</v>
      </c>
      <c r="E574">
        <f t="shared" si="8"/>
        <v>130.6668841584154</v>
      </c>
      <c r="F574" t="str" cm="1">
        <f t="array" ref="F574">INDEX({"Pay as you go","Prediction_Pack","Prediction_Payasyougo',""Competitor"},MATCH(MIN(A574:D574),A574:D574,0))</f>
        <v>Prediction_Pack</v>
      </c>
    </row>
    <row r="575" spans="1:6" x14ac:dyDescent="0.25">
      <c r="A575">
        <v>104.748</v>
      </c>
      <c r="B575">
        <v>103.8743940218681</v>
      </c>
      <c r="C575">
        <v>122.03985062548995</v>
      </c>
      <c r="D575">
        <v>198.87439402186808</v>
      </c>
      <c r="E575">
        <f t="shared" si="8"/>
        <v>103.8743940218681</v>
      </c>
      <c r="F575" t="str" cm="1">
        <f t="array" ref="F575">INDEX({"Pay as you go","Prediction_Pack","Prediction_Payasyougo',""Competitor"},MATCH(MIN(A575:D575),A575:D575,0))</f>
        <v>Prediction_Pack</v>
      </c>
    </row>
    <row r="576" spans="1:6" x14ac:dyDescent="0.25">
      <c r="A576">
        <v>175.20699999999999</v>
      </c>
      <c r="B576">
        <v>199.34618842706647</v>
      </c>
      <c r="C576">
        <v>293.8707127230698</v>
      </c>
      <c r="D576">
        <v>318.34618842706647</v>
      </c>
      <c r="E576">
        <f t="shared" si="8"/>
        <v>175.20699999999999</v>
      </c>
      <c r="F576" t="str" cm="1">
        <f t="array" ref="F576">INDEX({"Pay as you go","Prediction_Pack","Prediction_Payasyougo',""Competitor"},MATCH(MIN(A576:D576),A576:D576,0))</f>
        <v>Pay as you go</v>
      </c>
    </row>
    <row r="577" spans="1:6" x14ac:dyDescent="0.25">
      <c r="A577">
        <v>159.602</v>
      </c>
      <c r="B577">
        <v>182.60583025771339</v>
      </c>
      <c r="C577">
        <v>262.31131567795114</v>
      </c>
      <c r="D577">
        <v>296.60583025771342</v>
      </c>
      <c r="E577">
        <f t="shared" si="8"/>
        <v>159.602</v>
      </c>
      <c r="F577" t="str" cm="1">
        <f t="array" ref="F577">INDEX({"Pay as you go","Prediction_Pack","Prediction_Payasyougo',""Competitor"},MATCH(MIN(A577:D577),A577:D577,0))</f>
        <v>Pay as you go</v>
      </c>
    </row>
    <row r="578" spans="1:6" x14ac:dyDescent="0.25">
      <c r="A578">
        <v>170.255</v>
      </c>
      <c r="B578">
        <v>210.60091174564963</v>
      </c>
      <c r="C578">
        <v>323.02531664842832</v>
      </c>
      <c r="D578">
        <v>307.60091174564963</v>
      </c>
      <c r="E578">
        <f t="shared" si="8"/>
        <v>170.255</v>
      </c>
      <c r="F578" t="str" cm="1">
        <f t="array" ref="F578">INDEX({"Pay as you go","Prediction_Pack","Prediction_Payasyougo',""Competitor"},MATCH(MIN(A578:D578),A578:D578,0))</f>
        <v>Pay as you go</v>
      </c>
    </row>
    <row r="579" spans="1:6" x14ac:dyDescent="0.25">
      <c r="A579">
        <v>88.318000000000012</v>
      </c>
      <c r="B579">
        <v>89.632117517372393</v>
      </c>
      <c r="C579">
        <v>100.2511968725025</v>
      </c>
      <c r="D579">
        <v>165.63211751737239</v>
      </c>
      <c r="E579">
        <f t="shared" si="8"/>
        <v>88.318000000000012</v>
      </c>
      <c r="F579" t="str" cm="1">
        <f t="array" ref="F579">INDEX({"Pay as you go","Prediction_Pack","Prediction_Payasyougo',""Competitor"},MATCH(MIN(A579:D579),A579:D579,0))</f>
        <v>Pay as you go</v>
      </c>
    </row>
    <row r="580" spans="1:6" x14ac:dyDescent="0.25">
      <c r="A580">
        <v>160.77700000000002</v>
      </c>
      <c r="B580">
        <v>167.59738798360684</v>
      </c>
      <c r="C580">
        <v>237.24418672185098</v>
      </c>
      <c r="D580">
        <v>293.59738798360684</v>
      </c>
      <c r="E580">
        <f t="shared" si="8"/>
        <v>160.77700000000002</v>
      </c>
      <c r="F580" t="str" cm="1">
        <f t="array" ref="F580">INDEX({"Pay as you go","Prediction_Pack","Prediction_Payasyougo',""Competitor"},MATCH(MIN(A580:D580),A580:D580,0))</f>
        <v>Pay as you go</v>
      </c>
    </row>
    <row r="581" spans="1:6" x14ac:dyDescent="0.25">
      <c r="A581">
        <v>159.21800000000002</v>
      </c>
      <c r="B581">
        <v>156.44438079805863</v>
      </c>
      <c r="C581">
        <v>201.22519101263325</v>
      </c>
      <c r="D581">
        <v>289.44438079805866</v>
      </c>
      <c r="E581">
        <f t="shared" si="8"/>
        <v>156.44438079805863</v>
      </c>
      <c r="F581" t="str" cm="1">
        <f t="array" ref="F581">INDEX({"Pay as you go","Prediction_Pack","Prediction_Payasyougo',""Competitor"},MATCH(MIN(A581:D581),A581:D581,0))</f>
        <v>Prediction_Pack</v>
      </c>
    </row>
    <row r="582" spans="1:6" x14ac:dyDescent="0.25">
      <c r="A582">
        <v>129.25900000000001</v>
      </c>
      <c r="B582">
        <v>137.87955661799515</v>
      </c>
      <c r="C582">
        <v>182.5122364958076</v>
      </c>
      <c r="D582">
        <v>240.87955661799515</v>
      </c>
      <c r="E582">
        <f t="shared" si="8"/>
        <v>129.25900000000001</v>
      </c>
      <c r="F582" t="str" cm="1">
        <f t="array" ref="F582">INDEX({"Pay as you go","Prediction_Pack","Prediction_Payasyougo',""Competitor"},MATCH(MIN(A582:D582),A582:D582,0))</f>
        <v>Pay as you go</v>
      </c>
    </row>
    <row r="583" spans="1:6" x14ac:dyDescent="0.25">
      <c r="A583">
        <v>135.66600000000003</v>
      </c>
      <c r="B583">
        <v>149.55546907356776</v>
      </c>
      <c r="C583">
        <v>206.09739800240692</v>
      </c>
      <c r="D583">
        <v>245.55546907356776</v>
      </c>
      <c r="E583">
        <f t="shared" si="8"/>
        <v>135.66600000000003</v>
      </c>
      <c r="F583" t="str" cm="1">
        <f t="array" ref="F583">INDEX({"Pay as you go","Prediction_Pack","Prediction_Payasyougo',""Competitor"},MATCH(MIN(A583:D583),A583:D583,0))</f>
        <v>Pay as you go</v>
      </c>
    </row>
    <row r="584" spans="1:6" x14ac:dyDescent="0.25">
      <c r="A584">
        <v>121.455</v>
      </c>
      <c r="B584">
        <v>140.06393521305267</v>
      </c>
      <c r="C584">
        <v>185.56909650316246</v>
      </c>
      <c r="D584">
        <v>229.06393521305267</v>
      </c>
      <c r="E584">
        <f t="shared" si="8"/>
        <v>121.455</v>
      </c>
      <c r="F584" t="str" cm="1">
        <f t="array" ref="F584">INDEX({"Pay as you go","Prediction_Pack","Prediction_Payasyougo',""Competitor"},MATCH(MIN(A584:D584),A584:D584,0))</f>
        <v>Pay as you go</v>
      </c>
    </row>
    <row r="585" spans="1:6" x14ac:dyDescent="0.25">
      <c r="A585">
        <v>162.63000000000002</v>
      </c>
      <c r="B585">
        <v>180.22331659537193</v>
      </c>
      <c r="C585">
        <v>251.48790321477583</v>
      </c>
      <c r="D585">
        <v>299.22331659537195</v>
      </c>
      <c r="E585">
        <f t="shared" ref="E585:E648" si="9">MIN(A585:D585)</f>
        <v>162.63000000000002</v>
      </c>
      <c r="F585" t="str" cm="1">
        <f t="array" ref="F585">INDEX({"Pay as you go","Prediction_Pack","Prediction_Payasyougo',""Competitor"},MATCH(MIN(A585:D585),A585:D585,0))</f>
        <v>Pay as you go</v>
      </c>
    </row>
    <row r="586" spans="1:6" x14ac:dyDescent="0.25">
      <c r="A586">
        <v>110.20399999999999</v>
      </c>
      <c r="B586">
        <v>113.08148094908682</v>
      </c>
      <c r="C586">
        <v>133.966493529171</v>
      </c>
      <c r="D586">
        <v>210.08148094908682</v>
      </c>
      <c r="E586">
        <f t="shared" si="9"/>
        <v>110.20399999999999</v>
      </c>
      <c r="F586" t="str" cm="1">
        <f t="array" ref="F586">INDEX({"Pay as you go","Prediction_Pack","Prediction_Payasyougo',""Competitor"},MATCH(MIN(A586:D586),A586:D586,0))</f>
        <v>Pay as you go</v>
      </c>
    </row>
    <row r="587" spans="1:6" x14ac:dyDescent="0.25">
      <c r="A587">
        <v>91.727000000000004</v>
      </c>
      <c r="B587">
        <v>108.11673357878666</v>
      </c>
      <c r="C587">
        <v>134.17945890026152</v>
      </c>
      <c r="D587">
        <v>179.11673357878666</v>
      </c>
      <c r="E587">
        <f t="shared" si="9"/>
        <v>91.727000000000004</v>
      </c>
      <c r="F587" t="str" cm="1">
        <f t="array" ref="F587">INDEX({"Pay as you go","Prediction_Pack","Prediction_Payasyougo',""Competitor"},MATCH(MIN(A587:D587),A587:D587,0))</f>
        <v>Pay as you go</v>
      </c>
    </row>
    <row r="588" spans="1:6" x14ac:dyDescent="0.25">
      <c r="A588">
        <v>87.488</v>
      </c>
      <c r="B588">
        <v>94.905301635983008</v>
      </c>
      <c r="C588">
        <v>98.156876478480513</v>
      </c>
      <c r="D588">
        <v>171.90530163598299</v>
      </c>
      <c r="E588">
        <f t="shared" si="9"/>
        <v>87.488</v>
      </c>
      <c r="F588" t="str" cm="1">
        <f t="array" ref="F588">INDEX({"Pay as you go","Prediction_Pack","Prediction_Payasyougo',""Competitor"},MATCH(MIN(A588:D588),A588:D588,0))</f>
        <v>Pay as you go</v>
      </c>
    </row>
    <row r="589" spans="1:6" x14ac:dyDescent="0.25">
      <c r="A589">
        <v>119.90600000000001</v>
      </c>
      <c r="B589">
        <v>141.24909290402968</v>
      </c>
      <c r="C589">
        <v>173.88855940254194</v>
      </c>
      <c r="D589">
        <v>230.24909290402968</v>
      </c>
      <c r="E589">
        <f t="shared" si="9"/>
        <v>119.90600000000001</v>
      </c>
      <c r="F589" t="str" cm="1">
        <f t="array" ref="F589">INDEX({"Pay as you go","Prediction_Pack","Prediction_Payasyougo',""Competitor"},MATCH(MIN(A589:D589),A589:D589,0))</f>
        <v>Pay as you go</v>
      </c>
    </row>
    <row r="590" spans="1:6" x14ac:dyDescent="0.25">
      <c r="A590">
        <v>78.692999999999998</v>
      </c>
      <c r="B590">
        <v>84.211030958022093</v>
      </c>
      <c r="C590">
        <v>84.297368259271579</v>
      </c>
      <c r="D590">
        <v>154.21103095802209</v>
      </c>
      <c r="E590">
        <f t="shared" si="9"/>
        <v>78.692999999999998</v>
      </c>
      <c r="F590" t="str" cm="1">
        <f t="array" ref="F590">INDEX({"Pay as you go","Prediction_Pack","Prediction_Payasyougo',""Competitor"},MATCH(MIN(A590:D590),A590:D590,0))</f>
        <v>Pay as you go</v>
      </c>
    </row>
    <row r="591" spans="1:6" x14ac:dyDescent="0.25">
      <c r="A591">
        <v>84.797000000000011</v>
      </c>
      <c r="B591">
        <v>77.317957647431257</v>
      </c>
      <c r="C591">
        <v>76.599197607751123</v>
      </c>
      <c r="D591">
        <v>155.31795764743126</v>
      </c>
      <c r="E591">
        <f t="shared" si="9"/>
        <v>76.599197607751123</v>
      </c>
      <c r="F591" t="str" cm="1">
        <f t="array" ref="F591">INDEX({"Pay as you go","Prediction_Pack","Prediction_Payasyougo","Competitor"},MATCH(MIN(A591:D591),A591:D591,0))</f>
        <v>Prediction_Payasyougo</v>
      </c>
    </row>
    <row r="592" spans="1:6" x14ac:dyDescent="0.25">
      <c r="A592">
        <v>130.80700000000002</v>
      </c>
      <c r="B592">
        <v>125.47385760428489</v>
      </c>
      <c r="C592">
        <v>161.62094672907517</v>
      </c>
      <c r="D592">
        <v>235.47385760428486</v>
      </c>
      <c r="E592">
        <f t="shared" si="9"/>
        <v>125.47385760428489</v>
      </c>
      <c r="F592" t="str" cm="1">
        <f t="array" ref="F592">INDEX({"Pay as you go","Prediction_Pack","Prediction_Payasyougo',""Competitor"},MATCH(MIN(A592:D592),A592:D592,0))</f>
        <v>Prediction_Pack</v>
      </c>
    </row>
    <row r="593" spans="1:6" x14ac:dyDescent="0.25">
      <c r="A593">
        <v>60.481000000000002</v>
      </c>
      <c r="B593">
        <v>64.467925939742571</v>
      </c>
      <c r="C593">
        <v>59.88</v>
      </c>
      <c r="D593">
        <v>134.46792593974257</v>
      </c>
      <c r="E593">
        <f t="shared" si="9"/>
        <v>59.88</v>
      </c>
      <c r="F593" t="str" cm="1">
        <f t="array" ref="F593">INDEX({"Pay as you go","Prediction_Pack","Prediction_Payasyougo","Competitor"},MATCH(MIN(A593:D593),A593:D593,0))</f>
        <v>Prediction_Payasyougo</v>
      </c>
    </row>
    <row r="594" spans="1:6" x14ac:dyDescent="0.25">
      <c r="A594">
        <v>154.34500000000003</v>
      </c>
      <c r="B594">
        <v>171.51430350478307</v>
      </c>
      <c r="C594">
        <v>247.42791050592987</v>
      </c>
      <c r="D594">
        <v>278.51430350478307</v>
      </c>
      <c r="E594">
        <f t="shared" si="9"/>
        <v>154.34500000000003</v>
      </c>
      <c r="F594" t="str" cm="1">
        <f t="array" ref="F594">INDEX({"Pay as you go","Prediction_Pack","Prediction_Payasyougo',""Competitor"},MATCH(MIN(A594:D594),A594:D594,0))</f>
        <v>Pay as you go</v>
      </c>
    </row>
    <row r="595" spans="1:6" x14ac:dyDescent="0.25">
      <c r="A595">
        <v>123.301</v>
      </c>
      <c r="B595">
        <v>133.9784119686183</v>
      </c>
      <c r="C595">
        <v>155.49932416829219</v>
      </c>
      <c r="D595">
        <v>235.9784119686183</v>
      </c>
      <c r="E595">
        <f t="shared" si="9"/>
        <v>123.301</v>
      </c>
      <c r="F595" t="str" cm="1">
        <f t="array" ref="F595">INDEX({"Pay as you go","Prediction_Pack","Prediction_Payasyougo',""Competitor"},MATCH(MIN(A595:D595),A595:D595,0))</f>
        <v>Pay as you go</v>
      </c>
    </row>
    <row r="596" spans="1:6" x14ac:dyDescent="0.25">
      <c r="A596">
        <v>96.762999999999991</v>
      </c>
      <c r="B596">
        <v>103.99471239179022</v>
      </c>
      <c r="C596">
        <v>125.30148113016787</v>
      </c>
      <c r="D596">
        <v>183.99471239179022</v>
      </c>
      <c r="E596">
        <f t="shared" si="9"/>
        <v>96.762999999999991</v>
      </c>
      <c r="F596" t="str" cm="1">
        <f t="array" ref="F596">INDEX({"Pay as you go","Prediction_Pack","Prediction_Payasyougo',""Competitor"},MATCH(MIN(A596:D596),A596:D596,0))</f>
        <v>Pay as you go</v>
      </c>
    </row>
    <row r="597" spans="1:6" x14ac:dyDescent="0.25">
      <c r="A597">
        <v>128.02199999999999</v>
      </c>
      <c r="B597">
        <v>132.99467361123797</v>
      </c>
      <c r="C597">
        <v>167.78531197081065</v>
      </c>
      <c r="D597">
        <v>239.99467361123797</v>
      </c>
      <c r="E597">
        <f t="shared" si="9"/>
        <v>128.02199999999999</v>
      </c>
      <c r="F597" t="str" cm="1">
        <f t="array" ref="F597">INDEX({"Pay as you go","Prediction_Pack","Prediction_Payasyougo',""Competitor"},MATCH(MIN(A597:D597),A597:D597,0))</f>
        <v>Pay as you go</v>
      </c>
    </row>
    <row r="598" spans="1:6" x14ac:dyDescent="0.25">
      <c r="A598">
        <v>51.311</v>
      </c>
      <c r="B598">
        <v>79.220165800361968</v>
      </c>
      <c r="C598">
        <v>72.614072264793307</v>
      </c>
      <c r="D598">
        <v>127.22016580036197</v>
      </c>
      <c r="E598">
        <f t="shared" si="9"/>
        <v>51.311</v>
      </c>
      <c r="F598" t="str" cm="1">
        <f t="array" ref="F598">INDEX({"Pay as you go","Prediction_Pack","Prediction_Payasyougo',""Competitor"},MATCH(MIN(A598:D598),A598:D598,0))</f>
        <v>Pay as you go</v>
      </c>
    </row>
    <row r="599" spans="1:6" x14ac:dyDescent="0.25">
      <c r="A599">
        <v>132.42599999999999</v>
      </c>
      <c r="B599">
        <v>151.1551735956759</v>
      </c>
      <c r="C599">
        <v>212.21618695004514</v>
      </c>
      <c r="D599">
        <v>248.1551735956759</v>
      </c>
      <c r="E599">
        <f t="shared" si="9"/>
        <v>132.42599999999999</v>
      </c>
      <c r="F599" t="str" cm="1">
        <f t="array" ref="F599">INDEX({"Pay as you go","Prediction_Pack","Prediction_Payasyougo',""Competitor"},MATCH(MIN(A599:D599),A599:D599,0))</f>
        <v>Pay as you go</v>
      </c>
    </row>
    <row r="600" spans="1:6" x14ac:dyDescent="0.25">
      <c r="A600">
        <v>116.669</v>
      </c>
      <c r="B600">
        <v>119.0597565903</v>
      </c>
      <c r="C600">
        <v>148.85207156688591</v>
      </c>
      <c r="D600">
        <v>218.0597565903</v>
      </c>
      <c r="E600">
        <f t="shared" si="9"/>
        <v>116.669</v>
      </c>
      <c r="F600" t="str" cm="1">
        <f t="array" ref="F600">INDEX({"Pay as you go","Prediction_Pack","Prediction_Payasyougo',""Competitor"},MATCH(MIN(A600:D600),A600:D600,0))</f>
        <v>Pay as you go</v>
      </c>
    </row>
    <row r="601" spans="1:6" x14ac:dyDescent="0.25">
      <c r="A601">
        <v>160.49300000000002</v>
      </c>
      <c r="B601">
        <v>175.23342958770309</v>
      </c>
      <c r="C601">
        <v>244.25408905400167</v>
      </c>
      <c r="D601">
        <v>293.23342958770309</v>
      </c>
      <c r="E601">
        <f t="shared" si="9"/>
        <v>160.49300000000002</v>
      </c>
      <c r="F601" t="str" cm="1">
        <f t="array" ref="F601">INDEX({"Pay as you go","Prediction_Pack","Prediction_Payasyougo',""Competitor"},MATCH(MIN(A601:D601),A601:D601,0))</f>
        <v>Pay as you go</v>
      </c>
    </row>
    <row r="602" spans="1:6" x14ac:dyDescent="0.25">
      <c r="A602">
        <v>108.52200000000001</v>
      </c>
      <c r="B602">
        <v>103.3260428254855</v>
      </c>
      <c r="C602">
        <v>122.08533414156464</v>
      </c>
      <c r="D602">
        <v>203.3260428254855</v>
      </c>
      <c r="E602">
        <f t="shared" si="9"/>
        <v>103.3260428254855</v>
      </c>
      <c r="F602" t="str" cm="1">
        <f t="array" ref="F602">INDEX({"Pay as you go","Prediction_Pack","Prediction_Payasyougo',""Competitor"},MATCH(MIN(A602:D602),A602:D602,0))</f>
        <v>Prediction_Pack</v>
      </c>
    </row>
    <row r="603" spans="1:6" x14ac:dyDescent="0.25">
      <c r="A603">
        <v>229.744</v>
      </c>
      <c r="B603">
        <v>256.40326007226861</v>
      </c>
      <c r="C603">
        <v>391.31613297212209</v>
      </c>
      <c r="D603">
        <v>404.40326007226861</v>
      </c>
      <c r="E603">
        <f t="shared" si="9"/>
        <v>229.744</v>
      </c>
      <c r="F603" t="str" cm="1">
        <f t="array" ref="F603">INDEX({"Pay as you go","Prediction_Pack","Prediction_Payasyougo',""Competitor"},MATCH(MIN(A603:D603),A603:D603,0))</f>
        <v>Pay as you go</v>
      </c>
    </row>
    <row r="604" spans="1:6" x14ac:dyDescent="0.25">
      <c r="A604">
        <v>93.62</v>
      </c>
      <c r="B604">
        <v>103.745551801597</v>
      </c>
      <c r="C604">
        <v>121.60862085649828</v>
      </c>
      <c r="D604">
        <v>178.745551801597</v>
      </c>
      <c r="E604">
        <f t="shared" si="9"/>
        <v>93.62</v>
      </c>
      <c r="F604" t="str" cm="1">
        <f t="array" ref="F604">INDEX({"Pay as you go","Prediction_Pack","Prediction_Payasyougo',""Competitor"},MATCH(MIN(A604:D604),A604:D604,0))</f>
        <v>Pay as you go</v>
      </c>
    </row>
    <row r="605" spans="1:6" x14ac:dyDescent="0.25">
      <c r="A605">
        <v>247.83</v>
      </c>
      <c r="B605">
        <v>288.554080125518</v>
      </c>
      <c r="C605">
        <v>448.96180759882969</v>
      </c>
      <c r="D605">
        <v>428.554080125518</v>
      </c>
      <c r="E605">
        <f t="shared" si="9"/>
        <v>247.83</v>
      </c>
      <c r="F605" t="str" cm="1">
        <f t="array" ref="F605">INDEX({"Pay as you go","Prediction_Pack","Prediction_Payasyougo',""Competitor"},MATCH(MIN(A605:D605),A605:D605,0))</f>
        <v>Pay as you go</v>
      </c>
    </row>
    <row r="606" spans="1:6" x14ac:dyDescent="0.25">
      <c r="A606">
        <v>156.22999999999999</v>
      </c>
      <c r="B606">
        <v>175.84229499778871</v>
      </c>
      <c r="C606">
        <v>231.14984969742332</v>
      </c>
      <c r="D606">
        <v>292.84229499778871</v>
      </c>
      <c r="E606">
        <f t="shared" si="9"/>
        <v>156.22999999999999</v>
      </c>
      <c r="F606" t="str" cm="1">
        <f t="array" ref="F606">INDEX({"Pay as you go","Prediction_Pack","Prediction_Payasyougo',""Competitor"},MATCH(MIN(A606:D606),A606:D606,0))</f>
        <v>Pay as you go</v>
      </c>
    </row>
    <row r="607" spans="1:6" x14ac:dyDescent="0.25">
      <c r="A607">
        <v>62.073000000000008</v>
      </c>
      <c r="B607">
        <v>80.163644082818649</v>
      </c>
      <c r="C607">
        <v>85.092698879855334</v>
      </c>
      <c r="D607">
        <v>129.16364408281865</v>
      </c>
      <c r="E607">
        <f t="shared" si="9"/>
        <v>62.073000000000008</v>
      </c>
      <c r="F607" t="str" cm="1">
        <f t="array" ref="F607">INDEX({"Pay as you go","Prediction_Pack","Prediction_Payasyougo',""Competitor"},MATCH(MIN(A607:D607),A607:D607,0))</f>
        <v>Pay as you go</v>
      </c>
    </row>
    <row r="608" spans="1:6" x14ac:dyDescent="0.25">
      <c r="A608">
        <v>178.73399999999998</v>
      </c>
      <c r="B608">
        <v>201.01369220853206</v>
      </c>
      <c r="C608">
        <v>284.77613899114141</v>
      </c>
      <c r="D608">
        <v>330.01369220853206</v>
      </c>
      <c r="E608">
        <f t="shared" si="9"/>
        <v>178.73399999999998</v>
      </c>
      <c r="F608" t="str" cm="1">
        <f t="array" ref="F608">INDEX({"Pay as you go","Prediction_Pack","Prediction_Payasyougo',""Competitor"},MATCH(MIN(A608:D608),A608:D608,0))</f>
        <v>Pay as you go</v>
      </c>
    </row>
    <row r="609" spans="1:6" x14ac:dyDescent="0.25">
      <c r="A609">
        <v>215.69800000000001</v>
      </c>
      <c r="B609">
        <v>237.78375963194253</v>
      </c>
      <c r="C609">
        <v>356.22904336589482</v>
      </c>
      <c r="D609">
        <v>380.78375963194253</v>
      </c>
      <c r="E609">
        <f t="shared" si="9"/>
        <v>215.69800000000001</v>
      </c>
      <c r="F609" t="str" cm="1">
        <f t="array" ref="F609">INDEX({"Pay as you go","Prediction_Pack","Prediction_Payasyougo',""Competitor"},MATCH(MIN(A609:D609),A609:D609,0))</f>
        <v>Pay as you go</v>
      </c>
    </row>
    <row r="610" spans="1:6" x14ac:dyDescent="0.25">
      <c r="A610">
        <v>105.553</v>
      </c>
      <c r="B610">
        <v>123.86831512596888</v>
      </c>
      <c r="C610">
        <v>162.68980040808549</v>
      </c>
      <c r="D610">
        <v>198.86831512596885</v>
      </c>
      <c r="E610">
        <f t="shared" si="9"/>
        <v>105.553</v>
      </c>
      <c r="F610" t="str" cm="1">
        <f t="array" ref="F610">INDEX({"Pay as you go","Prediction_Pack","Prediction_Payasyougo',""Competitor"},MATCH(MIN(A610:D610),A610:D610,0))</f>
        <v>Pay as you go</v>
      </c>
    </row>
    <row r="611" spans="1:6" x14ac:dyDescent="0.25">
      <c r="A611">
        <v>117.89100000000001</v>
      </c>
      <c r="B611">
        <v>130.24100442993307</v>
      </c>
      <c r="C611">
        <v>163.73583266106726</v>
      </c>
      <c r="D611">
        <v>216.24100442993307</v>
      </c>
      <c r="E611">
        <f t="shared" si="9"/>
        <v>117.89100000000001</v>
      </c>
      <c r="F611" t="str" cm="1">
        <f t="array" ref="F611">INDEX({"Pay as you go","Prediction_Pack","Prediction_Payasyougo',""Competitor"},MATCH(MIN(A611:D611),A611:D611,0))</f>
        <v>Pay as you go</v>
      </c>
    </row>
    <row r="612" spans="1:6" x14ac:dyDescent="0.25">
      <c r="A612">
        <v>74.958999999999989</v>
      </c>
      <c r="B612">
        <v>86.530584446024122</v>
      </c>
      <c r="C612">
        <v>99.131139065255852</v>
      </c>
      <c r="D612">
        <v>147.53058444602414</v>
      </c>
      <c r="E612">
        <f t="shared" si="9"/>
        <v>74.958999999999989</v>
      </c>
      <c r="F612" t="str" cm="1">
        <f t="array" ref="F612">INDEX({"Pay as you go","Prediction_Pack","Prediction_Payasyougo',""Competitor"},MATCH(MIN(A612:D612),A612:D612,0))</f>
        <v>Pay as you go</v>
      </c>
    </row>
    <row r="613" spans="1:6" x14ac:dyDescent="0.25">
      <c r="A613">
        <v>160.012</v>
      </c>
      <c r="B613">
        <v>190.25864230919206</v>
      </c>
      <c r="C613">
        <v>261.68754333606535</v>
      </c>
      <c r="D613">
        <v>301.25864230919206</v>
      </c>
      <c r="E613">
        <f t="shared" si="9"/>
        <v>160.012</v>
      </c>
      <c r="F613" t="str" cm="1">
        <f t="array" ref="F613">INDEX({"Pay as you go","Prediction_Pack","Prediction_Payasyougo',""Competitor"},MATCH(MIN(A613:D613),A613:D613,0))</f>
        <v>Pay as you go</v>
      </c>
    </row>
    <row r="614" spans="1:6" x14ac:dyDescent="0.25">
      <c r="A614">
        <v>119.95400000000001</v>
      </c>
      <c r="B614">
        <v>138.33393296409247</v>
      </c>
      <c r="C614">
        <v>185.22913328755629</v>
      </c>
      <c r="D614">
        <v>227.33393296409247</v>
      </c>
      <c r="E614">
        <f t="shared" si="9"/>
        <v>119.95400000000001</v>
      </c>
      <c r="F614" t="str" cm="1">
        <f t="array" ref="F614">INDEX({"Pay as you go","Prediction_Pack","Prediction_Payasyougo',""Competitor"},MATCH(MIN(A614:D614),A614:D614,0))</f>
        <v>Pay as you go</v>
      </c>
    </row>
    <row r="615" spans="1:6" x14ac:dyDescent="0.25">
      <c r="A615">
        <v>158.74599999999998</v>
      </c>
      <c r="B615">
        <v>160.32211289874564</v>
      </c>
      <c r="C615">
        <v>211.15153987216806</v>
      </c>
      <c r="D615">
        <v>284.32211289874562</v>
      </c>
      <c r="E615">
        <f t="shared" si="9"/>
        <v>158.74599999999998</v>
      </c>
      <c r="F615" t="str" cm="1">
        <f t="array" ref="F615">INDEX({"Pay as you go","Prediction_Pack","Prediction_Payasyougo',""Competitor"},MATCH(MIN(A615:D615),A615:D615,0))</f>
        <v>Pay as you go</v>
      </c>
    </row>
    <row r="616" spans="1:6" x14ac:dyDescent="0.25">
      <c r="A616">
        <v>107.65</v>
      </c>
      <c r="B616">
        <v>122.22551848255202</v>
      </c>
      <c r="C616">
        <v>146.41211974442197</v>
      </c>
      <c r="D616">
        <v>201.22551848255202</v>
      </c>
      <c r="E616">
        <f t="shared" si="9"/>
        <v>107.65</v>
      </c>
      <c r="F616" t="str" cm="1">
        <f t="array" ref="F616">INDEX({"Pay as you go","Prediction_Pack","Prediction_Payasyougo',""Competitor"},MATCH(MIN(A616:D616),A616:D616,0))</f>
        <v>Pay as you go</v>
      </c>
    </row>
    <row r="617" spans="1:6" x14ac:dyDescent="0.25">
      <c r="A617">
        <v>149.83699999999999</v>
      </c>
      <c r="B617">
        <v>170.72290395815583</v>
      </c>
      <c r="C617">
        <v>242.43643015333782</v>
      </c>
      <c r="D617">
        <v>277.72290395815583</v>
      </c>
      <c r="E617">
        <f t="shared" si="9"/>
        <v>149.83699999999999</v>
      </c>
      <c r="F617" t="str" cm="1">
        <f t="array" ref="F617">INDEX({"Pay as you go","Prediction_Pack","Prediction_Payasyougo',""Competitor"},MATCH(MIN(A617:D617),A617:D617,0))</f>
        <v>Pay as you go</v>
      </c>
    </row>
    <row r="618" spans="1:6" x14ac:dyDescent="0.25">
      <c r="A618">
        <v>128.13300000000001</v>
      </c>
      <c r="B618">
        <v>134.58659655419601</v>
      </c>
      <c r="C618">
        <v>169.05317225654437</v>
      </c>
      <c r="D618">
        <v>236.58659655419601</v>
      </c>
      <c r="E618">
        <f t="shared" si="9"/>
        <v>128.13300000000001</v>
      </c>
      <c r="F618" t="str" cm="1">
        <f t="array" ref="F618">INDEX({"Pay as you go","Prediction_Pack","Prediction_Payasyougo',""Competitor"},MATCH(MIN(A618:D618),A618:D618,0))</f>
        <v>Pay as you go</v>
      </c>
    </row>
    <row r="619" spans="1:6" x14ac:dyDescent="0.25">
      <c r="A619">
        <v>173.03899999999999</v>
      </c>
      <c r="B619">
        <v>184.116478920361</v>
      </c>
      <c r="C619">
        <v>263.86989160158765</v>
      </c>
      <c r="D619">
        <v>314.11647892036103</v>
      </c>
      <c r="E619">
        <f t="shared" si="9"/>
        <v>173.03899999999999</v>
      </c>
      <c r="F619" t="str" cm="1">
        <f t="array" ref="F619">INDEX({"Pay as you go","Prediction_Pack","Prediction_Payasyougo',""Competitor"},MATCH(MIN(A619:D619),A619:D619,0))</f>
        <v>Pay as you go</v>
      </c>
    </row>
    <row r="620" spans="1:6" x14ac:dyDescent="0.25">
      <c r="A620">
        <v>133.76300000000001</v>
      </c>
      <c r="B620">
        <v>144.78606804182033</v>
      </c>
      <c r="C620">
        <v>190.89819581239115</v>
      </c>
      <c r="D620">
        <v>244.7860680418203</v>
      </c>
      <c r="E620">
        <f t="shared" si="9"/>
        <v>133.76300000000001</v>
      </c>
      <c r="F620" t="str" cm="1">
        <f t="array" ref="F620">INDEX({"Pay as you go","Prediction_Pack","Prediction_Payasyougo',""Competitor"},MATCH(MIN(A620:D620),A620:D620,0))</f>
        <v>Pay as you go</v>
      </c>
    </row>
    <row r="621" spans="1:6" x14ac:dyDescent="0.25">
      <c r="A621">
        <v>145.983</v>
      </c>
      <c r="B621">
        <v>158.94903340127397</v>
      </c>
      <c r="C621">
        <v>216.68184436508827</v>
      </c>
      <c r="D621">
        <v>272.94903340127399</v>
      </c>
      <c r="E621">
        <f t="shared" si="9"/>
        <v>145.983</v>
      </c>
      <c r="F621" t="str" cm="1">
        <f t="array" ref="F621">INDEX({"Pay as you go","Prediction_Pack","Prediction_Payasyougo',""Competitor"},MATCH(MIN(A621:D621),A621:D621,0))</f>
        <v>Pay as you go</v>
      </c>
    </row>
    <row r="622" spans="1:6" x14ac:dyDescent="0.25">
      <c r="A622">
        <v>169.22399999999999</v>
      </c>
      <c r="B622">
        <v>183.66520267470878</v>
      </c>
      <c r="C622">
        <v>263.55462881544065</v>
      </c>
      <c r="D622">
        <v>313.66520267470878</v>
      </c>
      <c r="E622">
        <f t="shared" si="9"/>
        <v>169.22399999999999</v>
      </c>
      <c r="F622" t="str" cm="1">
        <f t="array" ref="F622">INDEX({"Pay as you go","Prediction_Pack","Prediction_Payasyougo',""Competitor"},MATCH(MIN(A622:D622),A622:D622,0))</f>
        <v>Pay as you go</v>
      </c>
    </row>
    <row r="623" spans="1:6" x14ac:dyDescent="0.25">
      <c r="A623">
        <v>109.92</v>
      </c>
      <c r="B623">
        <v>135.17599484336947</v>
      </c>
      <c r="C623">
        <v>179.92545823331267</v>
      </c>
      <c r="D623">
        <v>208.17599484336947</v>
      </c>
      <c r="E623">
        <f t="shared" si="9"/>
        <v>109.92</v>
      </c>
      <c r="F623" t="str" cm="1">
        <f t="array" ref="F623">INDEX({"Pay as you go","Prediction_Pack","Prediction_Payasyougo',""Competitor"},MATCH(MIN(A623:D623),A623:D623,0))</f>
        <v>Pay as you go</v>
      </c>
    </row>
    <row r="624" spans="1:6" x14ac:dyDescent="0.25">
      <c r="A624">
        <v>166.48700000000002</v>
      </c>
      <c r="B624">
        <v>194.29389218612502</v>
      </c>
      <c r="C624">
        <v>275.35453624400668</v>
      </c>
      <c r="D624">
        <v>306.29389218612505</v>
      </c>
      <c r="E624">
        <f t="shared" si="9"/>
        <v>166.48700000000002</v>
      </c>
      <c r="F624" t="str" cm="1">
        <f t="array" ref="F624">INDEX({"Pay as you go","Prediction_Pack","Prediction_Payasyougo',""Competitor"},MATCH(MIN(A624:D624),A624:D624,0))</f>
        <v>Pay as you go</v>
      </c>
    </row>
    <row r="625" spans="1:6" x14ac:dyDescent="0.25">
      <c r="A625">
        <v>96.408000000000001</v>
      </c>
      <c r="B625">
        <v>107.15303620915438</v>
      </c>
      <c r="C625">
        <v>119.80910103032512</v>
      </c>
      <c r="D625">
        <v>193.15303620915438</v>
      </c>
      <c r="E625">
        <f t="shared" si="9"/>
        <v>96.408000000000001</v>
      </c>
      <c r="F625" t="str" cm="1">
        <f t="array" ref="F625">INDEX({"Pay as you go","Prediction_Pack","Prediction_Payasyougo',""Competitor"},MATCH(MIN(A625:D625),A625:D625,0))</f>
        <v>Pay as you go</v>
      </c>
    </row>
    <row r="626" spans="1:6" x14ac:dyDescent="0.25">
      <c r="A626">
        <v>87.918000000000006</v>
      </c>
      <c r="B626">
        <v>103.92593786363317</v>
      </c>
      <c r="C626">
        <v>117.09731165976233</v>
      </c>
      <c r="D626">
        <v>178.92593786363315</v>
      </c>
      <c r="E626">
        <f t="shared" si="9"/>
        <v>87.918000000000006</v>
      </c>
      <c r="F626" t="str" cm="1">
        <f t="array" ref="F626">INDEX({"Pay as you go","Prediction_Pack","Prediction_Payasyougo',""Competitor"},MATCH(MIN(A626:D626),A626:D626,0))</f>
        <v>Pay as you go</v>
      </c>
    </row>
    <row r="627" spans="1:6" x14ac:dyDescent="0.25">
      <c r="A627">
        <v>198.53399999999999</v>
      </c>
      <c r="B627">
        <v>243.6796818223072</v>
      </c>
      <c r="C627">
        <v>381.93044305421137</v>
      </c>
      <c r="D627">
        <v>358.6796818223072</v>
      </c>
      <c r="E627">
        <f t="shared" si="9"/>
        <v>198.53399999999999</v>
      </c>
      <c r="F627" t="str" cm="1">
        <f t="array" ref="F627">INDEX({"Pay as you go","Prediction_Pack","Prediction_Payasyougo',""Competitor"},MATCH(MIN(A627:D627),A627:D627,0))</f>
        <v>Pay as you go</v>
      </c>
    </row>
    <row r="628" spans="1:6" x14ac:dyDescent="0.25">
      <c r="A628">
        <v>114.39400000000001</v>
      </c>
      <c r="B628">
        <v>126.58053006084299</v>
      </c>
      <c r="C628">
        <v>147.23838123780862</v>
      </c>
      <c r="D628">
        <v>216.58053006084296</v>
      </c>
      <c r="E628">
        <f t="shared" si="9"/>
        <v>114.39400000000001</v>
      </c>
      <c r="F628" t="str" cm="1">
        <f t="array" ref="F628">INDEX({"Pay as you go","Prediction_Pack","Prediction_Payasyougo',""Competitor"},MATCH(MIN(A628:D628),A628:D628,0))</f>
        <v>Pay as you go</v>
      </c>
    </row>
    <row r="629" spans="1:6" x14ac:dyDescent="0.25">
      <c r="A629">
        <v>140.173</v>
      </c>
      <c r="B629">
        <v>168.69633855284374</v>
      </c>
      <c r="C629">
        <v>244.24271487552301</v>
      </c>
      <c r="D629">
        <v>259.69633855284377</v>
      </c>
      <c r="E629">
        <f t="shared" si="9"/>
        <v>140.173</v>
      </c>
      <c r="F629" t="str" cm="1">
        <f t="array" ref="F629">INDEX({"Pay as you go","Prediction_Pack","Prediction_Payasyougo',""Competitor"},MATCH(MIN(A629:D629),A629:D629,0))</f>
        <v>Pay as you go</v>
      </c>
    </row>
    <row r="630" spans="1:6" x14ac:dyDescent="0.25">
      <c r="A630">
        <v>137.803</v>
      </c>
      <c r="B630">
        <v>162.67798988178708</v>
      </c>
      <c r="C630">
        <v>223.47763175136922</v>
      </c>
      <c r="D630">
        <v>257.67798988178708</v>
      </c>
      <c r="E630">
        <f t="shared" si="9"/>
        <v>137.803</v>
      </c>
      <c r="F630" t="str" cm="1">
        <f t="array" ref="F630">INDEX({"Pay as you go","Prediction_Pack","Prediction_Payasyougo',""Competitor"},MATCH(MIN(A630:D630),A630:D630,0))</f>
        <v>Pay as you go</v>
      </c>
    </row>
    <row r="631" spans="1:6" x14ac:dyDescent="0.25">
      <c r="A631">
        <v>104.553</v>
      </c>
      <c r="B631">
        <v>120.40293254979738</v>
      </c>
      <c r="C631">
        <v>151.82175502549671</v>
      </c>
      <c r="D631">
        <v>199.40293254979738</v>
      </c>
      <c r="E631">
        <f t="shared" si="9"/>
        <v>104.553</v>
      </c>
      <c r="F631" t="str" cm="1">
        <f t="array" ref="F631">INDEX({"Pay as you go","Prediction_Pack","Prediction_Payasyougo',""Competitor"},MATCH(MIN(A631:D631),A631:D631,0))</f>
        <v>Pay as you go</v>
      </c>
    </row>
    <row r="632" spans="1:6" x14ac:dyDescent="0.25">
      <c r="A632">
        <v>129.09700000000001</v>
      </c>
      <c r="B632">
        <v>136.44484070537263</v>
      </c>
      <c r="C632">
        <v>164.84138283585938</v>
      </c>
      <c r="D632">
        <v>243.44484070537263</v>
      </c>
      <c r="E632">
        <f t="shared" si="9"/>
        <v>129.09700000000001</v>
      </c>
      <c r="F632" t="str" cm="1">
        <f t="array" ref="F632">INDEX({"Pay as you go","Prediction_Pack","Prediction_Payasyougo',""Competitor"},MATCH(MIN(A632:D632),A632:D632,0))</f>
        <v>Pay as you go</v>
      </c>
    </row>
    <row r="633" spans="1:6" x14ac:dyDescent="0.25">
      <c r="A633">
        <v>179.215</v>
      </c>
      <c r="B633">
        <v>210.79227525671135</v>
      </c>
      <c r="C633">
        <v>305.60042509512004</v>
      </c>
      <c r="D633">
        <v>321.79227525671132</v>
      </c>
      <c r="E633">
        <f t="shared" si="9"/>
        <v>179.215</v>
      </c>
      <c r="F633" t="str" cm="1">
        <f t="array" ref="F633">INDEX({"Pay as you go","Prediction_Pack","Prediction_Payasyougo',""Competitor"},MATCH(MIN(A633:D633),A633:D633,0))</f>
        <v>Pay as you go</v>
      </c>
    </row>
    <row r="634" spans="1:6" x14ac:dyDescent="0.25">
      <c r="A634">
        <v>139.92499999999998</v>
      </c>
      <c r="B634">
        <v>144.85533675417685</v>
      </c>
      <c r="C634">
        <v>193.01776551885507</v>
      </c>
      <c r="D634">
        <v>254.85533675417682</v>
      </c>
      <c r="E634">
        <f t="shared" si="9"/>
        <v>139.92499999999998</v>
      </c>
      <c r="F634" t="str" cm="1">
        <f t="array" ref="F634">INDEX({"Pay as you go","Prediction_Pack","Prediction_Payasyougo',""Competitor"},MATCH(MIN(A634:D634),A634:D634,0))</f>
        <v>Pay as you go</v>
      </c>
    </row>
    <row r="635" spans="1:6" x14ac:dyDescent="0.25">
      <c r="A635">
        <v>124.758</v>
      </c>
      <c r="B635">
        <v>148.32321109644406</v>
      </c>
      <c r="C635">
        <v>205.57540310187048</v>
      </c>
      <c r="D635">
        <v>234.32321109644403</v>
      </c>
      <c r="E635">
        <f t="shared" si="9"/>
        <v>124.758</v>
      </c>
      <c r="F635" t="str" cm="1">
        <f t="array" ref="F635">INDEX({"Pay as you go","Prediction_Pack","Prediction_Payasyougo',""Competitor"},MATCH(MIN(A635:D635),A635:D635,0))</f>
        <v>Pay as you go</v>
      </c>
    </row>
    <row r="636" spans="1:6" x14ac:dyDescent="0.25">
      <c r="A636">
        <v>121.337</v>
      </c>
      <c r="B636">
        <v>153.06697622356799</v>
      </c>
      <c r="C636">
        <v>214.14806430042879</v>
      </c>
      <c r="D636">
        <v>235.06697622356799</v>
      </c>
      <c r="E636">
        <f t="shared" si="9"/>
        <v>121.337</v>
      </c>
      <c r="F636" t="str" cm="1">
        <f t="array" ref="F636">INDEX({"Pay as you go","Prediction_Pack","Prediction_Payasyougo',""Competitor"},MATCH(MIN(A636:D636),A636:D636,0))</f>
        <v>Pay as you go</v>
      </c>
    </row>
    <row r="637" spans="1:6" x14ac:dyDescent="0.25">
      <c r="A637">
        <v>99.646000000000001</v>
      </c>
      <c r="B637">
        <v>93.082593892871898</v>
      </c>
      <c r="C637">
        <v>100.6572431788266</v>
      </c>
      <c r="D637">
        <v>190.0825938928719</v>
      </c>
      <c r="E637">
        <f t="shared" si="9"/>
        <v>93.082593892871898</v>
      </c>
      <c r="F637" t="str" cm="1">
        <f t="array" ref="F637">INDEX({"Pay as you go","Prediction_Pack","Prediction_Payasyougo',""Competitor"},MATCH(MIN(A637:D637),A637:D637,0))</f>
        <v>Prediction_Pack</v>
      </c>
    </row>
    <row r="638" spans="1:6" x14ac:dyDescent="0.25">
      <c r="A638">
        <v>105.18</v>
      </c>
      <c r="B638">
        <v>103.78671415451907</v>
      </c>
      <c r="C638">
        <v>110.46547985364923</v>
      </c>
      <c r="D638">
        <v>203.78671415451907</v>
      </c>
      <c r="E638">
        <f t="shared" si="9"/>
        <v>103.78671415451907</v>
      </c>
      <c r="F638" t="str" cm="1">
        <f t="array" ref="F638">INDEX({"Pay as you go","Prediction_Pack","Prediction_Payasyougo',""Competitor"},MATCH(MIN(A638:D638),A638:D638,0))</f>
        <v>Prediction_Pack</v>
      </c>
    </row>
    <row r="639" spans="1:6" x14ac:dyDescent="0.25">
      <c r="A639">
        <v>179.72899999999998</v>
      </c>
      <c r="B639">
        <v>205.68987266485459</v>
      </c>
      <c r="C639">
        <v>306.06341345798478</v>
      </c>
      <c r="D639">
        <v>330.68987266485459</v>
      </c>
      <c r="E639">
        <f t="shared" si="9"/>
        <v>179.72899999999998</v>
      </c>
      <c r="F639" t="str" cm="1">
        <f t="array" ref="F639">INDEX({"Pay as you go","Prediction_Pack","Prediction_Payasyougo',""Competitor"},MATCH(MIN(A639:D639),A639:D639,0))</f>
        <v>Pay as you go</v>
      </c>
    </row>
    <row r="640" spans="1:6" x14ac:dyDescent="0.25">
      <c r="A640">
        <v>170.756</v>
      </c>
      <c r="B640">
        <v>211.05569222502808</v>
      </c>
      <c r="C640">
        <v>317.95094275822782</v>
      </c>
      <c r="D640">
        <v>307.05569222502811</v>
      </c>
      <c r="E640">
        <f t="shared" si="9"/>
        <v>170.756</v>
      </c>
      <c r="F640" t="str" cm="1">
        <f t="array" ref="F640">INDEX({"Pay as you go","Prediction_Pack","Prediction_Payasyougo',""Competitor"},MATCH(MIN(A640:D640),A640:D640,0))</f>
        <v>Pay as you go</v>
      </c>
    </row>
    <row r="641" spans="1:6" x14ac:dyDescent="0.25">
      <c r="A641">
        <v>139.399</v>
      </c>
      <c r="B641">
        <v>158.60634740122566</v>
      </c>
      <c r="C641">
        <v>206.39854837971652</v>
      </c>
      <c r="D641">
        <v>266.60634740122566</v>
      </c>
      <c r="E641">
        <f t="shared" si="9"/>
        <v>139.399</v>
      </c>
      <c r="F641" t="str" cm="1">
        <f t="array" ref="F641">INDEX({"Pay as you go","Prediction_Pack","Prediction_Payasyougo',""Competitor"},MATCH(MIN(A641:D641),A641:D641,0))</f>
        <v>Pay as you go</v>
      </c>
    </row>
    <row r="642" spans="1:6" x14ac:dyDescent="0.25">
      <c r="A642">
        <v>145.6</v>
      </c>
      <c r="B642">
        <v>150.37256486596073</v>
      </c>
      <c r="C642">
        <v>209.29845310693534</v>
      </c>
      <c r="D642">
        <v>262.37256486596073</v>
      </c>
      <c r="E642">
        <f t="shared" si="9"/>
        <v>145.6</v>
      </c>
      <c r="F642" t="str" cm="1">
        <f t="array" ref="F642">INDEX({"Pay as you go","Prediction_Pack","Prediction_Payasyougo',""Competitor"},MATCH(MIN(A642:D642),A642:D642,0))</f>
        <v>Pay as you go</v>
      </c>
    </row>
    <row r="643" spans="1:6" x14ac:dyDescent="0.25">
      <c r="A643">
        <v>123.581</v>
      </c>
      <c r="B643">
        <v>137.01856601877523</v>
      </c>
      <c r="C643">
        <v>164.46226604068565</v>
      </c>
      <c r="D643">
        <v>240.01856601877523</v>
      </c>
      <c r="E643">
        <f t="shared" si="9"/>
        <v>123.581</v>
      </c>
      <c r="F643" t="str" cm="1">
        <f t="array" ref="F643">INDEX({"Pay as you go","Prediction_Pack","Prediction_Payasyougo',""Competitor"},MATCH(MIN(A643:D643),A643:D643,0))</f>
        <v>Pay as you go</v>
      </c>
    </row>
    <row r="644" spans="1:6" x14ac:dyDescent="0.25">
      <c r="A644">
        <v>136.38200000000001</v>
      </c>
      <c r="B644">
        <v>138.88527606405819</v>
      </c>
      <c r="C644">
        <v>183.8343787640151</v>
      </c>
      <c r="D644">
        <v>246.88527606405819</v>
      </c>
      <c r="E644">
        <f t="shared" si="9"/>
        <v>136.38200000000001</v>
      </c>
      <c r="F644" t="str" cm="1">
        <f t="array" ref="F644">INDEX({"Pay as you go","Prediction_Pack","Prediction_Payasyougo',""Competitor"},MATCH(MIN(A644:D644),A644:D644,0))</f>
        <v>Pay as you go</v>
      </c>
    </row>
    <row r="645" spans="1:6" x14ac:dyDescent="0.25">
      <c r="A645">
        <v>186.30900000000003</v>
      </c>
      <c r="B645">
        <v>205.71550537807883</v>
      </c>
      <c r="C645">
        <v>297.90661470830696</v>
      </c>
      <c r="D645">
        <v>335.71550537807883</v>
      </c>
      <c r="E645">
        <f t="shared" si="9"/>
        <v>186.30900000000003</v>
      </c>
      <c r="F645" t="str" cm="1">
        <f t="array" ref="F645">INDEX({"Pay as you go","Prediction_Pack","Prediction_Payasyougo',""Competitor"},MATCH(MIN(A645:D645),A645:D645,0))</f>
        <v>Pay as you go</v>
      </c>
    </row>
    <row r="646" spans="1:6" x14ac:dyDescent="0.25">
      <c r="A646">
        <v>136.63900000000001</v>
      </c>
      <c r="B646">
        <v>159.87574797337808</v>
      </c>
      <c r="C646">
        <v>218.82403725854218</v>
      </c>
      <c r="D646">
        <v>258.87574797337811</v>
      </c>
      <c r="E646">
        <f t="shared" si="9"/>
        <v>136.63900000000001</v>
      </c>
      <c r="F646" t="str" cm="1">
        <f t="array" ref="F646">INDEX({"Pay as you go","Prediction_Pack","Prediction_Payasyougo',""Competitor"},MATCH(MIN(A646:D646),A646:D646,0))</f>
        <v>Pay as you go</v>
      </c>
    </row>
    <row r="647" spans="1:6" x14ac:dyDescent="0.25">
      <c r="A647">
        <v>110.889</v>
      </c>
      <c r="B647">
        <v>119.02107947051348</v>
      </c>
      <c r="C647">
        <v>155.76794159891699</v>
      </c>
      <c r="D647">
        <v>213.02107947051348</v>
      </c>
      <c r="E647">
        <f t="shared" si="9"/>
        <v>110.889</v>
      </c>
      <c r="F647" t="str" cm="1">
        <f t="array" ref="F647">INDEX({"Pay as you go","Prediction_Pack","Prediction_Payasyougo',""Competitor"},MATCH(MIN(A647:D647),A647:D647,0))</f>
        <v>Pay as you go</v>
      </c>
    </row>
    <row r="648" spans="1:6" x14ac:dyDescent="0.25">
      <c r="A648">
        <v>102.898</v>
      </c>
      <c r="B648">
        <v>107.76808483295909</v>
      </c>
      <c r="C648">
        <v>116.92438402583588</v>
      </c>
      <c r="D648">
        <v>198.76808483295906</v>
      </c>
      <c r="E648">
        <f t="shared" si="9"/>
        <v>102.898</v>
      </c>
      <c r="F648" t="str" cm="1">
        <f t="array" ref="F648">INDEX({"Pay as you go","Prediction_Pack","Prediction_Payasyougo',""Competitor"},MATCH(MIN(A648:D648),A648:D648,0))</f>
        <v>Pay as you go</v>
      </c>
    </row>
    <row r="649" spans="1:6" x14ac:dyDescent="0.25">
      <c r="A649">
        <v>157.43200000000002</v>
      </c>
      <c r="B649">
        <v>203.58460381098587</v>
      </c>
      <c r="C649">
        <v>293.77717694214414</v>
      </c>
      <c r="D649">
        <v>298.58460381098587</v>
      </c>
      <c r="E649">
        <f t="shared" ref="E649:E712" si="10">MIN(A649:D649)</f>
        <v>157.43200000000002</v>
      </c>
      <c r="F649" t="str" cm="1">
        <f t="array" ref="F649">INDEX({"Pay as you go","Prediction_Pack","Prediction_Payasyougo',""Competitor"},MATCH(MIN(A649:D649),A649:D649,0))</f>
        <v>Pay as you go</v>
      </c>
    </row>
    <row r="650" spans="1:6" x14ac:dyDescent="0.25">
      <c r="A650">
        <v>116.85599999999999</v>
      </c>
      <c r="B650">
        <v>116.43008904587393</v>
      </c>
      <c r="C650">
        <v>145.78164281835492</v>
      </c>
      <c r="D650">
        <v>219.43008904587393</v>
      </c>
      <c r="E650">
        <f t="shared" si="10"/>
        <v>116.43008904587393</v>
      </c>
      <c r="F650" t="str" cm="1">
        <f t="array" ref="F650">INDEX({"Pay as you go","Prediction_Pack","Prediction_Payasyougo',""Competitor"},MATCH(MIN(A650:D650),A650:D650,0))</f>
        <v>Prediction_Pack</v>
      </c>
    </row>
    <row r="651" spans="1:6" x14ac:dyDescent="0.25">
      <c r="A651">
        <v>139.339</v>
      </c>
      <c r="B651">
        <v>170.10526623824563</v>
      </c>
      <c r="C651">
        <v>229.71779132896356</v>
      </c>
      <c r="D651">
        <v>261.10526623824563</v>
      </c>
      <c r="E651">
        <f t="shared" si="10"/>
        <v>139.339</v>
      </c>
      <c r="F651" t="str" cm="1">
        <f t="array" ref="F651">INDEX({"Pay as you go","Prediction_Pack","Prediction_Payasyougo',""Competitor"},MATCH(MIN(A651:D651),A651:D651,0))</f>
        <v>Pay as you go</v>
      </c>
    </row>
    <row r="652" spans="1:6" x14ac:dyDescent="0.25">
      <c r="A652">
        <v>175.18100000000001</v>
      </c>
      <c r="B652">
        <v>187.61432847760796</v>
      </c>
      <c r="C652">
        <v>258.12819110166555</v>
      </c>
      <c r="D652">
        <v>318.61432847760796</v>
      </c>
      <c r="E652">
        <f t="shared" si="10"/>
        <v>175.18100000000001</v>
      </c>
      <c r="F652" t="str" cm="1">
        <f t="array" ref="F652">INDEX({"Pay as you go","Prediction_Pack","Prediction_Payasyougo',""Competitor"},MATCH(MIN(A652:D652),A652:D652,0))</f>
        <v>Pay as you go</v>
      </c>
    </row>
    <row r="653" spans="1:6" x14ac:dyDescent="0.25">
      <c r="A653">
        <v>71.388999999999996</v>
      </c>
      <c r="B653">
        <v>76.994251736133052</v>
      </c>
      <c r="C653">
        <v>78.244779435499055</v>
      </c>
      <c r="D653">
        <v>149.99425173613304</v>
      </c>
      <c r="E653">
        <f t="shared" si="10"/>
        <v>71.388999999999996</v>
      </c>
      <c r="F653" t="str" cm="1">
        <f t="array" ref="F653">INDEX({"Pay as you go","Prediction_Pack","Prediction_Payasyougo',""Competitor"},MATCH(MIN(A653:D653),A653:D653,0))</f>
        <v>Pay as you go</v>
      </c>
    </row>
    <row r="654" spans="1:6" x14ac:dyDescent="0.25">
      <c r="A654">
        <v>124.33200000000001</v>
      </c>
      <c r="B654">
        <v>129.23722859542275</v>
      </c>
      <c r="C654">
        <v>169.55838800077544</v>
      </c>
      <c r="D654">
        <v>230.23722859542275</v>
      </c>
      <c r="E654">
        <f t="shared" si="10"/>
        <v>124.33200000000001</v>
      </c>
      <c r="F654" t="str" cm="1">
        <f t="array" ref="F654">INDEX({"Pay as you go","Prediction_Pack","Prediction_Payasyougo',""Competitor"},MATCH(MIN(A654:D654),A654:D654,0))</f>
        <v>Pay as you go</v>
      </c>
    </row>
    <row r="655" spans="1:6" x14ac:dyDescent="0.25">
      <c r="A655">
        <v>146.38000000000002</v>
      </c>
      <c r="B655">
        <v>163.70268063811878</v>
      </c>
      <c r="C655">
        <v>221.63393645344325</v>
      </c>
      <c r="D655">
        <v>278.70268063811875</v>
      </c>
      <c r="E655">
        <f t="shared" si="10"/>
        <v>146.38000000000002</v>
      </c>
      <c r="F655" t="str" cm="1">
        <f t="array" ref="F655">INDEX({"Pay as you go","Prediction_Pack","Prediction_Payasyougo',""Competitor"},MATCH(MIN(A655:D655),A655:D655,0))</f>
        <v>Pay as you go</v>
      </c>
    </row>
    <row r="656" spans="1:6" x14ac:dyDescent="0.25">
      <c r="A656">
        <v>154.76300000000001</v>
      </c>
      <c r="B656">
        <v>179.27027972148946</v>
      </c>
      <c r="C656">
        <v>253.79964895684475</v>
      </c>
      <c r="D656">
        <v>287.27027972148943</v>
      </c>
      <c r="E656">
        <f t="shared" si="10"/>
        <v>154.76300000000001</v>
      </c>
      <c r="F656" t="str" cm="1">
        <f t="array" ref="F656">INDEX({"Pay as you go","Prediction_Pack","Prediction_Payasyougo',""Competitor"},MATCH(MIN(A656:D656),A656:D656,0))</f>
        <v>Pay as you go</v>
      </c>
    </row>
    <row r="657" spans="1:6" x14ac:dyDescent="0.25">
      <c r="A657">
        <v>84.619</v>
      </c>
      <c r="B657">
        <v>102.53995528812098</v>
      </c>
      <c r="C657">
        <v>110.16591695335319</v>
      </c>
      <c r="D657">
        <v>181.53995528812098</v>
      </c>
      <c r="E657">
        <f t="shared" si="10"/>
        <v>84.619</v>
      </c>
      <c r="F657" t="str" cm="1">
        <f t="array" ref="F657">INDEX({"Pay as you go","Prediction_Pack","Prediction_Payasyougo',""Competitor"},MATCH(MIN(A657:D657),A657:D657,0))</f>
        <v>Pay as you go</v>
      </c>
    </row>
    <row r="658" spans="1:6" x14ac:dyDescent="0.25">
      <c r="A658">
        <v>120.72</v>
      </c>
      <c r="B658">
        <v>124.51349633358814</v>
      </c>
      <c r="C658">
        <v>143.09464202986385</v>
      </c>
      <c r="D658">
        <v>234.51349633358814</v>
      </c>
      <c r="E658">
        <f t="shared" si="10"/>
        <v>120.72</v>
      </c>
      <c r="F658" t="str" cm="1">
        <f t="array" ref="F658">INDEX({"Pay as you go","Prediction_Pack","Prediction_Payasyougo',""Competitor"},MATCH(MIN(A658:D658),A658:D658,0))</f>
        <v>Pay as you go</v>
      </c>
    </row>
    <row r="659" spans="1:6" x14ac:dyDescent="0.25">
      <c r="A659">
        <v>128.84299999999999</v>
      </c>
      <c r="B659">
        <v>156.04951605015802</v>
      </c>
      <c r="C659">
        <v>223.04873642960257</v>
      </c>
      <c r="D659">
        <v>244.04951605015802</v>
      </c>
      <c r="E659">
        <f t="shared" si="10"/>
        <v>128.84299999999999</v>
      </c>
      <c r="F659" t="str" cm="1">
        <f t="array" ref="F659">INDEX({"Pay as you go","Prediction_Pack","Prediction_Payasyougo',""Competitor"},MATCH(MIN(A659:D659),A659:D659,0))</f>
        <v>Pay as you go</v>
      </c>
    </row>
    <row r="660" spans="1:6" x14ac:dyDescent="0.25">
      <c r="A660">
        <v>120.25</v>
      </c>
      <c r="B660">
        <v>129.06426655851368</v>
      </c>
      <c r="C660">
        <v>157.5516222474441</v>
      </c>
      <c r="D660">
        <v>235.06426655851368</v>
      </c>
      <c r="E660">
        <f t="shared" si="10"/>
        <v>120.25</v>
      </c>
      <c r="F660" t="str" cm="1">
        <f t="array" ref="F660">INDEX({"Pay as you go","Prediction_Pack","Prediction_Payasyougo',""Competitor"},MATCH(MIN(A660:D660),A660:D660,0))</f>
        <v>Pay as you go</v>
      </c>
    </row>
    <row r="661" spans="1:6" x14ac:dyDescent="0.25">
      <c r="A661">
        <v>105.515</v>
      </c>
      <c r="B661">
        <v>116.98140477871637</v>
      </c>
      <c r="C661">
        <v>132.28240052942917</v>
      </c>
      <c r="D661">
        <v>209.98140477871635</v>
      </c>
      <c r="E661">
        <f t="shared" si="10"/>
        <v>105.515</v>
      </c>
      <c r="F661" t="str" cm="1">
        <f t="array" ref="F661">INDEX({"Pay as you go","Prediction_Pack","Prediction_Payasyougo',""Competitor"},MATCH(MIN(A661:D661),A661:D661,0))</f>
        <v>Pay as you go</v>
      </c>
    </row>
    <row r="662" spans="1:6" x14ac:dyDescent="0.25">
      <c r="A662">
        <v>116.71300000000001</v>
      </c>
      <c r="B662">
        <v>133.61041202030856</v>
      </c>
      <c r="C662">
        <v>168.27945578529463</v>
      </c>
      <c r="D662">
        <v>220.61041202030856</v>
      </c>
      <c r="E662">
        <f t="shared" si="10"/>
        <v>116.71300000000001</v>
      </c>
      <c r="F662" t="str" cm="1">
        <f t="array" ref="F662">INDEX({"Pay as you go","Prediction_Pack","Prediction_Payasyougo',""Competitor"},MATCH(MIN(A662:D662),A662:D662,0))</f>
        <v>Pay as you go</v>
      </c>
    </row>
    <row r="663" spans="1:6" x14ac:dyDescent="0.25">
      <c r="A663">
        <v>148.898</v>
      </c>
      <c r="B663">
        <v>156.22501136586388</v>
      </c>
      <c r="C663">
        <v>214.11616746187207</v>
      </c>
      <c r="D663">
        <v>279.22501136586391</v>
      </c>
      <c r="E663">
        <f t="shared" si="10"/>
        <v>148.898</v>
      </c>
      <c r="F663" t="str" cm="1">
        <f t="array" ref="F663">INDEX({"Pay as you go","Prediction_Pack","Prediction_Payasyougo',""Competitor"},MATCH(MIN(A663:D663),A663:D663,0))</f>
        <v>Pay as you go</v>
      </c>
    </row>
    <row r="664" spans="1:6" x14ac:dyDescent="0.25">
      <c r="A664">
        <v>125.25700000000001</v>
      </c>
      <c r="B664">
        <v>152.92418038364062</v>
      </c>
      <c r="C664">
        <v>204.42398210110281</v>
      </c>
      <c r="D664">
        <v>239.92418038364062</v>
      </c>
      <c r="E664">
        <f t="shared" si="10"/>
        <v>125.25700000000001</v>
      </c>
      <c r="F664" t="str" cm="1">
        <f t="array" ref="F664">INDEX({"Pay as you go","Prediction_Pack","Prediction_Payasyougo',""Competitor"},MATCH(MIN(A664:D664),A664:D664,0))</f>
        <v>Pay as you go</v>
      </c>
    </row>
    <row r="665" spans="1:6" x14ac:dyDescent="0.25">
      <c r="A665">
        <v>100.485</v>
      </c>
      <c r="B665">
        <v>112.25567122852254</v>
      </c>
      <c r="C665">
        <v>126.2118119125947</v>
      </c>
      <c r="D665">
        <v>198.25567122852254</v>
      </c>
      <c r="E665">
        <f t="shared" si="10"/>
        <v>100.485</v>
      </c>
      <c r="F665" t="str" cm="1">
        <f t="array" ref="F665">INDEX({"Pay as you go","Prediction_Pack","Prediction_Payasyougo',""Competitor"},MATCH(MIN(A665:D665),A665:D665,0))</f>
        <v>Pay as you go</v>
      </c>
    </row>
    <row r="666" spans="1:6" x14ac:dyDescent="0.25">
      <c r="A666">
        <v>133.46299999999999</v>
      </c>
      <c r="B666">
        <v>141.16031217772056</v>
      </c>
      <c r="C666">
        <v>180.72668136263266</v>
      </c>
      <c r="D666">
        <v>255.16031217772053</v>
      </c>
      <c r="E666">
        <f t="shared" si="10"/>
        <v>133.46299999999999</v>
      </c>
      <c r="F666" t="str" cm="1">
        <f t="array" ref="F666">INDEX({"Pay as you go","Prediction_Pack","Prediction_Payasyougo',""Competitor"},MATCH(MIN(A666:D666),A666:D666,0))</f>
        <v>Pay as you go</v>
      </c>
    </row>
    <row r="667" spans="1:6" x14ac:dyDescent="0.25">
      <c r="A667">
        <v>126.10900000000001</v>
      </c>
      <c r="B667">
        <v>147.17707044906933</v>
      </c>
      <c r="C667">
        <v>201.6736593561339</v>
      </c>
      <c r="D667">
        <v>238.17707044906933</v>
      </c>
      <c r="E667">
        <f t="shared" si="10"/>
        <v>126.10900000000001</v>
      </c>
      <c r="F667" t="str" cm="1">
        <f t="array" ref="F667">INDEX({"Pay as you go","Prediction_Pack","Prediction_Payasyougo',""Competitor"},MATCH(MIN(A667:D667),A667:D667,0))</f>
        <v>Pay as you go</v>
      </c>
    </row>
    <row r="668" spans="1:6" x14ac:dyDescent="0.25">
      <c r="A668">
        <v>153.11700000000002</v>
      </c>
      <c r="B668">
        <v>175.90930242051908</v>
      </c>
      <c r="C668">
        <v>255.59074517073029</v>
      </c>
      <c r="D668">
        <v>278.90930242051905</v>
      </c>
      <c r="E668">
        <f t="shared" si="10"/>
        <v>153.11700000000002</v>
      </c>
      <c r="F668" t="str" cm="1">
        <f t="array" ref="F668">INDEX({"Pay as you go","Prediction_Pack","Prediction_Payasyougo',""Competitor"},MATCH(MIN(A668:D668),A668:D668,0))</f>
        <v>Pay as you go</v>
      </c>
    </row>
    <row r="669" spans="1:6" x14ac:dyDescent="0.25">
      <c r="A669">
        <v>179.96899999999999</v>
      </c>
      <c r="B669">
        <v>201.35961489517379</v>
      </c>
      <c r="C669">
        <v>296.16782185234018</v>
      </c>
      <c r="D669">
        <v>325.35961489517376</v>
      </c>
      <c r="E669">
        <f t="shared" si="10"/>
        <v>179.96899999999999</v>
      </c>
      <c r="F669" t="str" cm="1">
        <f t="array" ref="F669">INDEX({"Pay as you go","Prediction_Pack","Prediction_Payasyougo',""Competitor"},MATCH(MIN(A669:D669),A669:D669,0))</f>
        <v>Pay as you go</v>
      </c>
    </row>
    <row r="670" spans="1:6" x14ac:dyDescent="0.25">
      <c r="A670">
        <v>113.01</v>
      </c>
      <c r="B670">
        <v>120.01164155185984</v>
      </c>
      <c r="C670">
        <v>146.05374614891863</v>
      </c>
      <c r="D670">
        <v>214.01164155185981</v>
      </c>
      <c r="E670">
        <f t="shared" si="10"/>
        <v>113.01</v>
      </c>
      <c r="F670" t="str" cm="1">
        <f t="array" ref="F670">INDEX({"Pay as you go","Prediction_Pack","Prediction_Payasyougo',""Competitor"},MATCH(MIN(A670:D670),A670:D670,0))</f>
        <v>Pay as you go</v>
      </c>
    </row>
    <row r="671" spans="1:6" x14ac:dyDescent="0.25">
      <c r="A671">
        <v>121.51899999999999</v>
      </c>
      <c r="B671">
        <v>111.78983024342104</v>
      </c>
      <c r="C671">
        <v>133.75218679031849</v>
      </c>
      <c r="D671">
        <v>223.78983024342102</v>
      </c>
      <c r="E671">
        <f t="shared" si="10"/>
        <v>111.78983024342104</v>
      </c>
      <c r="F671" t="str" cm="1">
        <f t="array" ref="F671">INDEX({"Pay as you go","Prediction_Pack","Prediction_Payasyougo',""Competitor"},MATCH(MIN(A671:D671),A671:D671,0))</f>
        <v>Prediction_Pack</v>
      </c>
    </row>
    <row r="672" spans="1:6" x14ac:dyDescent="0.25">
      <c r="A672">
        <v>116.78400000000001</v>
      </c>
      <c r="B672">
        <v>111.92253227940856</v>
      </c>
      <c r="C672">
        <v>140.34564251585738</v>
      </c>
      <c r="D672">
        <v>218.92253227940853</v>
      </c>
      <c r="E672">
        <f t="shared" si="10"/>
        <v>111.92253227940856</v>
      </c>
      <c r="F672" t="str" cm="1">
        <f t="array" ref="F672">INDEX({"Pay as you go","Prediction_Pack","Prediction_Payasyougo',""Competitor"},MATCH(MIN(A672:D672),A672:D672,0))</f>
        <v>Prediction_Pack</v>
      </c>
    </row>
    <row r="673" spans="1:6" x14ac:dyDescent="0.25">
      <c r="A673">
        <v>161.33200000000002</v>
      </c>
      <c r="B673">
        <v>188.18748339366553</v>
      </c>
      <c r="C673">
        <v>271.13300545456923</v>
      </c>
      <c r="D673">
        <v>299.18748339366556</v>
      </c>
      <c r="E673">
        <f t="shared" si="10"/>
        <v>161.33200000000002</v>
      </c>
      <c r="F673" t="str" cm="1">
        <f t="array" ref="F673">INDEX({"Pay as you go","Prediction_Pack","Prediction_Payasyougo',""Competitor"},MATCH(MIN(A673:D673),A673:D673,0))</f>
        <v>Pay as you go</v>
      </c>
    </row>
    <row r="674" spans="1:6" x14ac:dyDescent="0.25">
      <c r="A674">
        <v>167.96099999999998</v>
      </c>
      <c r="B674">
        <v>174.55111686441128</v>
      </c>
      <c r="C674">
        <v>245.18933211713377</v>
      </c>
      <c r="D674">
        <v>296.55111686441131</v>
      </c>
      <c r="E674">
        <f t="shared" si="10"/>
        <v>167.96099999999998</v>
      </c>
      <c r="F674" t="str" cm="1">
        <f t="array" ref="F674">INDEX({"Pay as you go","Prediction_Pack","Prediction_Payasyougo',""Competitor"},MATCH(MIN(A674:D674),A674:D674,0))</f>
        <v>Pay as you go</v>
      </c>
    </row>
    <row r="675" spans="1:6" x14ac:dyDescent="0.25">
      <c r="A675">
        <v>100.352</v>
      </c>
      <c r="B675">
        <v>111.75222997912803</v>
      </c>
      <c r="C675">
        <v>137.98633217260658</v>
      </c>
      <c r="D675">
        <v>193.75222997912803</v>
      </c>
      <c r="E675">
        <f t="shared" si="10"/>
        <v>100.352</v>
      </c>
      <c r="F675" t="str" cm="1">
        <f t="array" ref="F675">INDEX({"Pay as you go","Prediction_Pack","Prediction_Payasyougo',""Competitor"},MATCH(MIN(A675:D675),A675:D675,0))</f>
        <v>Pay as you go</v>
      </c>
    </row>
    <row r="676" spans="1:6" x14ac:dyDescent="0.25">
      <c r="A676">
        <v>158.315</v>
      </c>
      <c r="B676">
        <v>174.92882665637862</v>
      </c>
      <c r="C676">
        <v>256.26429121969517</v>
      </c>
      <c r="D676">
        <v>292.92882665637865</v>
      </c>
      <c r="E676">
        <f t="shared" si="10"/>
        <v>158.315</v>
      </c>
      <c r="F676" t="str" cm="1">
        <f t="array" ref="F676">INDEX({"Pay as you go","Prediction_Pack","Prediction_Payasyougo',""Competitor"},MATCH(MIN(A676:D676),A676:D676,0))</f>
        <v>Pay as you go</v>
      </c>
    </row>
    <row r="677" spans="1:6" x14ac:dyDescent="0.25">
      <c r="A677">
        <v>134.202</v>
      </c>
      <c r="B677">
        <v>139.84716441079721</v>
      </c>
      <c r="C677">
        <v>183.94678745246671</v>
      </c>
      <c r="D677">
        <v>248.84716441079721</v>
      </c>
      <c r="E677">
        <f t="shared" si="10"/>
        <v>134.202</v>
      </c>
      <c r="F677" t="str" cm="1">
        <f t="array" ref="F677">INDEX({"Pay as you go","Prediction_Pack","Prediction_Payasyougo',""Competitor"},MATCH(MIN(A677:D677),A677:D677,0))</f>
        <v>Pay as you go</v>
      </c>
    </row>
    <row r="678" spans="1:6" x14ac:dyDescent="0.25">
      <c r="A678">
        <v>218.995</v>
      </c>
      <c r="B678">
        <v>252.14682030725706</v>
      </c>
      <c r="C678">
        <v>387.79754326845665</v>
      </c>
      <c r="D678">
        <v>394.14682030725709</v>
      </c>
      <c r="E678">
        <f t="shared" si="10"/>
        <v>218.995</v>
      </c>
      <c r="F678" t="str" cm="1">
        <f t="array" ref="F678">INDEX({"Pay as you go","Prediction_Pack","Prediction_Payasyougo',""Competitor"},MATCH(MIN(A678:D678),A678:D678,0))</f>
        <v>Pay as you go</v>
      </c>
    </row>
    <row r="679" spans="1:6" x14ac:dyDescent="0.25">
      <c r="A679">
        <v>145.02699999999999</v>
      </c>
      <c r="B679">
        <v>150.03669433989936</v>
      </c>
      <c r="C679">
        <v>197.70538118332152</v>
      </c>
      <c r="D679">
        <v>266.03669433989938</v>
      </c>
      <c r="E679">
        <f t="shared" si="10"/>
        <v>145.02699999999999</v>
      </c>
      <c r="F679" t="str" cm="1">
        <f t="array" ref="F679">INDEX({"Pay as you go","Prediction_Pack","Prediction_Payasyougo',""Competitor"},MATCH(MIN(A679:D679),A679:D679,0))</f>
        <v>Pay as you go</v>
      </c>
    </row>
    <row r="680" spans="1:6" x14ac:dyDescent="0.25">
      <c r="A680">
        <v>124.584</v>
      </c>
      <c r="B680">
        <v>142.77650630820585</v>
      </c>
      <c r="C680">
        <v>189.20651537472727</v>
      </c>
      <c r="D680">
        <v>242.77650630820585</v>
      </c>
      <c r="E680">
        <f t="shared" si="10"/>
        <v>124.584</v>
      </c>
      <c r="F680" t="str" cm="1">
        <f t="array" ref="F680">INDEX({"Pay as you go","Prediction_Pack","Prediction_Payasyougo',""Competitor"},MATCH(MIN(A680:D680),A680:D680,0))</f>
        <v>Pay as you go</v>
      </c>
    </row>
    <row r="681" spans="1:6" x14ac:dyDescent="0.25">
      <c r="A681">
        <v>109.212</v>
      </c>
      <c r="B681">
        <v>127.28989037950416</v>
      </c>
      <c r="C681">
        <v>159.55876377173468</v>
      </c>
      <c r="D681">
        <v>213.28989037950416</v>
      </c>
      <c r="E681">
        <f t="shared" si="10"/>
        <v>109.212</v>
      </c>
      <c r="F681" t="str" cm="1">
        <f t="array" ref="F681">INDEX({"Pay as you go","Prediction_Pack","Prediction_Payasyougo',""Competitor"},MATCH(MIN(A681:D681),A681:D681,0))</f>
        <v>Pay as you go</v>
      </c>
    </row>
    <row r="682" spans="1:6" x14ac:dyDescent="0.25">
      <c r="A682">
        <v>137.024</v>
      </c>
      <c r="B682">
        <v>151.97362068250942</v>
      </c>
      <c r="C682">
        <v>195.92049025778852</v>
      </c>
      <c r="D682">
        <v>268.97362068250942</v>
      </c>
      <c r="E682">
        <f t="shared" si="10"/>
        <v>137.024</v>
      </c>
      <c r="F682" t="str" cm="1">
        <f t="array" ref="F682">INDEX({"Pay as you go","Prediction_Pack","Prediction_Payasyougo',""Competitor"},MATCH(MIN(A682:D682),A682:D682,0))</f>
        <v>Pay as you go</v>
      </c>
    </row>
    <row r="683" spans="1:6" x14ac:dyDescent="0.25">
      <c r="A683">
        <v>106.07700000000001</v>
      </c>
      <c r="B683">
        <v>104.70537713188617</v>
      </c>
      <c r="C683">
        <v>119.77670207669723</v>
      </c>
      <c r="D683">
        <v>204.70537713188617</v>
      </c>
      <c r="E683">
        <f t="shared" si="10"/>
        <v>104.70537713188617</v>
      </c>
      <c r="F683" t="str" cm="1">
        <f t="array" ref="F683">INDEX({"Pay as you go","Prediction_Pack","Prediction_Payasyougo',""Competitor"},MATCH(MIN(A683:D683),A683:D683,0))</f>
        <v>Prediction_Pack</v>
      </c>
    </row>
    <row r="684" spans="1:6" x14ac:dyDescent="0.25">
      <c r="A684">
        <v>94.984000000000009</v>
      </c>
      <c r="B684">
        <v>120.12891059122111</v>
      </c>
      <c r="C684">
        <v>148.49681995663948</v>
      </c>
      <c r="D684">
        <v>189.12891059122111</v>
      </c>
      <c r="E684">
        <f t="shared" si="10"/>
        <v>94.984000000000009</v>
      </c>
      <c r="F684" t="str" cm="1">
        <f t="array" ref="F684">INDEX({"Pay as you go","Prediction_Pack","Prediction_Payasyougo',""Competitor"},MATCH(MIN(A684:D684),A684:D684,0))</f>
        <v>Pay as you go</v>
      </c>
    </row>
    <row r="685" spans="1:6" x14ac:dyDescent="0.25">
      <c r="A685">
        <v>127.319</v>
      </c>
      <c r="B685">
        <v>140.72072585481564</v>
      </c>
      <c r="C685">
        <v>180.85096781232713</v>
      </c>
      <c r="D685">
        <v>239.72072585481564</v>
      </c>
      <c r="E685">
        <f t="shared" si="10"/>
        <v>127.319</v>
      </c>
      <c r="F685" t="str" cm="1">
        <f t="array" ref="F685">INDEX({"Pay as you go","Prediction_Pack","Prediction_Payasyougo',""Competitor"},MATCH(MIN(A685:D685),A685:D685,0))</f>
        <v>Pay as you go</v>
      </c>
    </row>
    <row r="686" spans="1:6" x14ac:dyDescent="0.25">
      <c r="A686">
        <v>158.04300000000001</v>
      </c>
      <c r="B686">
        <v>172.50185579521695</v>
      </c>
      <c r="C686">
        <v>242.86171377335788</v>
      </c>
      <c r="D686">
        <v>283.50185579521695</v>
      </c>
      <c r="E686">
        <f t="shared" si="10"/>
        <v>158.04300000000001</v>
      </c>
      <c r="F686" t="str" cm="1">
        <f t="array" ref="F686">INDEX({"Pay as you go","Prediction_Pack","Prediction_Payasyougo',""Competitor"},MATCH(MIN(A686:D686),A686:D686,0))</f>
        <v>Pay as you go</v>
      </c>
    </row>
    <row r="687" spans="1:6" x14ac:dyDescent="0.25">
      <c r="A687">
        <v>161.72</v>
      </c>
      <c r="B687">
        <v>177.97962098294778</v>
      </c>
      <c r="C687">
        <v>233.26481043530259</v>
      </c>
      <c r="D687">
        <v>295.97962098294778</v>
      </c>
      <c r="E687">
        <f t="shared" si="10"/>
        <v>161.72</v>
      </c>
      <c r="F687" t="str" cm="1">
        <f t="array" ref="F687">INDEX({"Pay as you go","Prediction_Pack","Prediction_Payasyougo',""Competitor"},MATCH(MIN(A687:D687),A687:D687,0))</f>
        <v>Pay as you go</v>
      </c>
    </row>
    <row r="688" spans="1:6" x14ac:dyDescent="0.25">
      <c r="A688">
        <v>132.29599999999999</v>
      </c>
      <c r="B688">
        <v>155.5018154196305</v>
      </c>
      <c r="C688">
        <v>215.64483417562766</v>
      </c>
      <c r="D688">
        <v>248.50181541963047</v>
      </c>
      <c r="E688">
        <f t="shared" si="10"/>
        <v>132.29599999999999</v>
      </c>
      <c r="F688" t="str" cm="1">
        <f t="array" ref="F688">INDEX({"Pay as you go","Prediction_Pack","Prediction_Payasyougo',""Competitor"},MATCH(MIN(A688:D688),A688:D688,0))</f>
        <v>Pay as you go</v>
      </c>
    </row>
    <row r="689" spans="1:6" x14ac:dyDescent="0.25">
      <c r="A689">
        <v>119.12800000000001</v>
      </c>
      <c r="B689">
        <v>132.09365490659917</v>
      </c>
      <c r="C689">
        <v>178.2614944330607</v>
      </c>
      <c r="D689">
        <v>224.09365490659917</v>
      </c>
      <c r="E689">
        <f t="shared" si="10"/>
        <v>119.12800000000001</v>
      </c>
      <c r="F689" t="str" cm="1">
        <f t="array" ref="F689">INDEX({"Pay as you go","Prediction_Pack","Prediction_Payasyougo',""Competitor"},MATCH(MIN(A689:D689),A689:D689,0))</f>
        <v>Pay as you go</v>
      </c>
    </row>
    <row r="690" spans="1:6" x14ac:dyDescent="0.25">
      <c r="A690">
        <v>172.63500000000002</v>
      </c>
      <c r="B690">
        <v>196.18841467234108</v>
      </c>
      <c r="C690">
        <v>291.35133914732285</v>
      </c>
      <c r="D690">
        <v>314.18841467234108</v>
      </c>
      <c r="E690">
        <f t="shared" si="10"/>
        <v>172.63500000000002</v>
      </c>
      <c r="F690" t="str" cm="1">
        <f t="array" ref="F690">INDEX({"Pay as you go","Prediction_Pack","Prediction_Payasyougo',""Competitor"},MATCH(MIN(A690:D690),A690:D690,0))</f>
        <v>Pay as you go</v>
      </c>
    </row>
    <row r="691" spans="1:6" x14ac:dyDescent="0.25">
      <c r="A691">
        <v>95.507999999999996</v>
      </c>
      <c r="B691">
        <v>126.52973756769222</v>
      </c>
      <c r="C691">
        <v>168.52263397857391</v>
      </c>
      <c r="D691">
        <v>192.52973756769222</v>
      </c>
      <c r="E691">
        <f t="shared" si="10"/>
        <v>95.507999999999996</v>
      </c>
      <c r="F691" t="str" cm="1">
        <f t="array" ref="F691">INDEX({"Pay as you go","Prediction_Pack","Prediction_Payasyougo',""Competitor"},MATCH(MIN(A691:D691),A691:D691,0))</f>
        <v>Pay as you go</v>
      </c>
    </row>
    <row r="692" spans="1:6" x14ac:dyDescent="0.25">
      <c r="A692">
        <v>102.53400000000001</v>
      </c>
      <c r="B692">
        <v>117.74432173719498</v>
      </c>
      <c r="C692">
        <v>143.23934075196445</v>
      </c>
      <c r="D692">
        <v>195.74432173719498</v>
      </c>
      <c r="E692">
        <f t="shared" si="10"/>
        <v>102.53400000000001</v>
      </c>
      <c r="F692" t="str" cm="1">
        <f t="array" ref="F692">INDEX({"Pay as you go","Prediction_Pack","Prediction_Payasyougo',""Competitor"},MATCH(MIN(A692:D692),A692:D692,0))</f>
        <v>Pay as you go</v>
      </c>
    </row>
    <row r="693" spans="1:6" x14ac:dyDescent="0.25">
      <c r="A693">
        <v>111.07700000000001</v>
      </c>
      <c r="B693">
        <v>106.49407201899248</v>
      </c>
      <c r="C693">
        <v>118.87173228961095</v>
      </c>
      <c r="D693">
        <v>217.49407201899245</v>
      </c>
      <c r="E693">
        <f t="shared" si="10"/>
        <v>106.49407201899248</v>
      </c>
      <c r="F693" t="str" cm="1">
        <f t="array" ref="F693">INDEX({"Pay as you go","Prediction_Pack","Prediction_Payasyougo',""Competitor"},MATCH(MIN(A693:D693),A693:D693,0))</f>
        <v>Prediction_Pack</v>
      </c>
    </row>
    <row r="694" spans="1:6" x14ac:dyDescent="0.25">
      <c r="A694">
        <v>126.68400000000001</v>
      </c>
      <c r="B694">
        <v>141.03315067107249</v>
      </c>
      <c r="C694">
        <v>185.29658536849411</v>
      </c>
      <c r="D694">
        <v>240.03315067107249</v>
      </c>
      <c r="E694">
        <f t="shared" si="10"/>
        <v>126.68400000000001</v>
      </c>
      <c r="F694" t="str" cm="1">
        <f t="array" ref="F694">INDEX({"Pay as you go","Prediction_Pack","Prediction_Payasyougo',""Competitor"},MATCH(MIN(A694:D694),A694:D694,0))</f>
        <v>Pay as you go</v>
      </c>
    </row>
    <row r="695" spans="1:6" x14ac:dyDescent="0.25">
      <c r="A695">
        <v>125.99499999999999</v>
      </c>
      <c r="B695">
        <v>147.99097498405843</v>
      </c>
      <c r="C695">
        <v>196.33745035862708</v>
      </c>
      <c r="D695">
        <v>243.99097498405843</v>
      </c>
      <c r="E695">
        <f t="shared" si="10"/>
        <v>125.99499999999999</v>
      </c>
      <c r="F695" t="str" cm="1">
        <f t="array" ref="F695">INDEX({"Pay as you go","Prediction_Pack","Prediction_Payasyougo',""Competitor"},MATCH(MIN(A695:D695),A695:D695,0))</f>
        <v>Pay as you go</v>
      </c>
    </row>
    <row r="696" spans="1:6" x14ac:dyDescent="0.25">
      <c r="A696">
        <v>183.667</v>
      </c>
      <c r="B696">
        <v>193.69415608838534</v>
      </c>
      <c r="C696">
        <v>270.13440178513946</v>
      </c>
      <c r="D696">
        <v>330.69415608838534</v>
      </c>
      <c r="E696">
        <f t="shared" si="10"/>
        <v>183.667</v>
      </c>
      <c r="F696" t="str" cm="1">
        <f t="array" ref="F696">INDEX({"Pay as you go","Prediction_Pack","Prediction_Payasyougo',""Competitor"},MATCH(MIN(A696:D696),A696:D696,0))</f>
        <v>Pay as you go</v>
      </c>
    </row>
    <row r="697" spans="1:6" x14ac:dyDescent="0.25">
      <c r="A697">
        <v>101.893</v>
      </c>
      <c r="B697">
        <v>98.632282476923848</v>
      </c>
      <c r="C697">
        <v>103.38912841364925</v>
      </c>
      <c r="D697">
        <v>191.63228247692382</v>
      </c>
      <c r="E697">
        <f t="shared" si="10"/>
        <v>98.632282476923848</v>
      </c>
      <c r="F697" t="str" cm="1">
        <f t="array" ref="F697">INDEX({"Pay as you go","Prediction_Pack","Prediction_Payasyougo',""Competitor"},MATCH(MIN(A697:D697),A697:D697,0))</f>
        <v>Prediction_Pack</v>
      </c>
    </row>
    <row r="698" spans="1:6" x14ac:dyDescent="0.25">
      <c r="A698">
        <v>126.84099999999999</v>
      </c>
      <c r="B698">
        <v>141.72907154150653</v>
      </c>
      <c r="C698">
        <v>174.50416828987088</v>
      </c>
      <c r="D698">
        <v>244.72907154150653</v>
      </c>
      <c r="E698">
        <f t="shared" si="10"/>
        <v>126.84099999999999</v>
      </c>
      <c r="F698" t="str" cm="1">
        <f t="array" ref="F698">INDEX({"Pay as you go","Prediction_Pack","Prediction_Payasyougo',""Competitor"},MATCH(MIN(A698:D698),A698:D698,0))</f>
        <v>Pay as you go</v>
      </c>
    </row>
    <row r="699" spans="1:6" x14ac:dyDescent="0.25">
      <c r="A699">
        <v>184.411</v>
      </c>
      <c r="B699">
        <v>206.16336201356879</v>
      </c>
      <c r="C699">
        <v>311.45334534758985</v>
      </c>
      <c r="D699">
        <v>327.16336201356881</v>
      </c>
      <c r="E699">
        <f t="shared" si="10"/>
        <v>184.411</v>
      </c>
      <c r="F699" t="str" cm="1">
        <f t="array" ref="F699">INDEX({"Pay as you go","Prediction_Pack","Prediction_Payasyougo',""Competitor"},MATCH(MIN(A699:D699),A699:D699,0))</f>
        <v>Pay as you go</v>
      </c>
    </row>
    <row r="700" spans="1:6" x14ac:dyDescent="0.25">
      <c r="A700">
        <v>60.76</v>
      </c>
      <c r="B700">
        <v>92.063493698070175</v>
      </c>
      <c r="C700">
        <v>102.90405868053864</v>
      </c>
      <c r="D700">
        <v>144.06349369807018</v>
      </c>
      <c r="E700">
        <f t="shared" si="10"/>
        <v>60.76</v>
      </c>
      <c r="F700" t="str" cm="1">
        <f t="array" ref="F700">INDEX({"Pay as you go","Prediction_Pack","Prediction_Payasyougo',""Competitor"},MATCH(MIN(A700:D700),A700:D700,0))</f>
        <v>Pay as you go</v>
      </c>
    </row>
    <row r="701" spans="1:6" x14ac:dyDescent="0.25">
      <c r="A701">
        <v>133.72800000000001</v>
      </c>
      <c r="B701">
        <v>158.90610738214701</v>
      </c>
      <c r="C701">
        <v>226.74989601730698</v>
      </c>
      <c r="D701">
        <v>257.90610738214701</v>
      </c>
      <c r="E701">
        <f t="shared" si="10"/>
        <v>133.72800000000001</v>
      </c>
      <c r="F701" t="str" cm="1">
        <f t="array" ref="F701">INDEX({"Pay as you go","Prediction_Pack","Prediction_Payasyougo',""Competitor"},MATCH(MIN(A701:D701),A701:D701,0))</f>
        <v>Pay as you go</v>
      </c>
    </row>
    <row r="702" spans="1:6" x14ac:dyDescent="0.25">
      <c r="A702">
        <v>157.02700000000002</v>
      </c>
      <c r="B702">
        <v>169.0963098348135</v>
      </c>
      <c r="C702">
        <v>232.16121049420116</v>
      </c>
      <c r="D702">
        <v>285.0963098348135</v>
      </c>
      <c r="E702">
        <f t="shared" si="10"/>
        <v>157.02700000000002</v>
      </c>
      <c r="F702" t="str" cm="1">
        <f t="array" ref="F702">INDEX({"Pay as you go","Prediction_Pack","Prediction_Payasyougo',""Competitor"},MATCH(MIN(A702:D702),A702:D702,0))</f>
        <v>Pay as you go</v>
      </c>
    </row>
    <row r="703" spans="1:6" x14ac:dyDescent="0.25">
      <c r="A703">
        <v>96.763999999999996</v>
      </c>
      <c r="B703">
        <v>98.012575180897414</v>
      </c>
      <c r="C703">
        <v>103.00464384461753</v>
      </c>
      <c r="D703">
        <v>191.01257518089741</v>
      </c>
      <c r="E703">
        <f t="shared" si="10"/>
        <v>96.763999999999996</v>
      </c>
      <c r="F703" t="str" cm="1">
        <f t="array" ref="F703">INDEX({"Pay as you go","Prediction_Pack","Prediction_Payasyougo',""Competitor"},MATCH(MIN(A703:D703),A703:D703,0))</f>
        <v>Pay as you go</v>
      </c>
    </row>
    <row r="704" spans="1:6" x14ac:dyDescent="0.25">
      <c r="A704">
        <v>153.76300000000001</v>
      </c>
      <c r="B704">
        <v>166.62499839702915</v>
      </c>
      <c r="C704">
        <v>224.70314490110226</v>
      </c>
      <c r="D704">
        <v>287.62499839702917</v>
      </c>
      <c r="E704">
        <f t="shared" si="10"/>
        <v>153.76300000000001</v>
      </c>
      <c r="F704" t="str" cm="1">
        <f t="array" ref="F704">INDEX({"Pay as you go","Prediction_Pack","Prediction_Payasyougo',""Competitor"},MATCH(MIN(A704:D704),A704:D704,0))</f>
        <v>Pay as you go</v>
      </c>
    </row>
    <row r="705" spans="1:6" x14ac:dyDescent="0.25">
      <c r="A705">
        <v>96.48</v>
      </c>
      <c r="B705">
        <v>100.13916208364662</v>
      </c>
      <c r="C705">
        <v>117.22332202370137</v>
      </c>
      <c r="D705">
        <v>189.13916208364662</v>
      </c>
      <c r="E705">
        <f t="shared" si="10"/>
        <v>96.48</v>
      </c>
      <c r="F705" t="str" cm="1">
        <f t="array" ref="F705">INDEX({"Pay as you go","Prediction_Pack","Prediction_Payasyougo',""Competitor"},MATCH(MIN(A705:D705),A705:D705,0))</f>
        <v>Pay as you go</v>
      </c>
    </row>
    <row r="706" spans="1:6" x14ac:dyDescent="0.25">
      <c r="A706">
        <v>143.072</v>
      </c>
      <c r="B706">
        <v>162.51528154868748</v>
      </c>
      <c r="C706">
        <v>221.90405164730376</v>
      </c>
      <c r="D706">
        <v>271.51528154868748</v>
      </c>
      <c r="E706">
        <f t="shared" si="10"/>
        <v>143.072</v>
      </c>
      <c r="F706" t="str" cm="1">
        <f t="array" ref="F706">INDEX({"Pay as you go","Prediction_Pack","Prediction_Payasyougo',""Competitor"},MATCH(MIN(A706:D706),A706:D706,0))</f>
        <v>Pay as you go</v>
      </c>
    </row>
    <row r="707" spans="1:6" x14ac:dyDescent="0.25">
      <c r="A707">
        <v>169.999</v>
      </c>
      <c r="B707">
        <v>181.82769524556832</v>
      </c>
      <c r="C707">
        <v>254.40833275195692</v>
      </c>
      <c r="D707">
        <v>305.82769524556835</v>
      </c>
      <c r="E707">
        <f t="shared" si="10"/>
        <v>169.999</v>
      </c>
      <c r="F707" t="str" cm="1">
        <f t="array" ref="F707">INDEX({"Pay as you go","Prediction_Pack","Prediction_Payasyougo',""Competitor"},MATCH(MIN(A707:D707),A707:D707,0))</f>
        <v>Pay as you go</v>
      </c>
    </row>
    <row r="708" spans="1:6" x14ac:dyDescent="0.25">
      <c r="A708">
        <v>91.948999999999998</v>
      </c>
      <c r="B708">
        <v>102.47021015203146</v>
      </c>
      <c r="C708">
        <v>109.38360780314432</v>
      </c>
      <c r="D708">
        <v>181.47021015203146</v>
      </c>
      <c r="E708">
        <f t="shared" si="10"/>
        <v>91.948999999999998</v>
      </c>
      <c r="F708" t="str" cm="1">
        <f t="array" ref="F708">INDEX({"Pay as you go","Prediction_Pack","Prediction_Payasyougo',""Competitor"},MATCH(MIN(A708:D708),A708:D708,0))</f>
        <v>Pay as you go</v>
      </c>
    </row>
    <row r="709" spans="1:6" x14ac:dyDescent="0.25">
      <c r="A709">
        <v>89.543000000000006</v>
      </c>
      <c r="B709">
        <v>113.91034785103122</v>
      </c>
      <c r="C709">
        <v>135.74803045759904</v>
      </c>
      <c r="D709">
        <v>190.91034785103122</v>
      </c>
      <c r="E709">
        <f t="shared" si="10"/>
        <v>89.543000000000006</v>
      </c>
      <c r="F709" t="str" cm="1">
        <f t="array" ref="F709">INDEX({"Pay as you go","Prediction_Pack","Prediction_Payasyougo',""Competitor"},MATCH(MIN(A709:D709),A709:D709,0))</f>
        <v>Pay as you go</v>
      </c>
    </row>
    <row r="710" spans="1:6" x14ac:dyDescent="0.25">
      <c r="A710">
        <v>88.73</v>
      </c>
      <c r="B710">
        <v>113.88426840240189</v>
      </c>
      <c r="C710">
        <v>135.64031302676094</v>
      </c>
      <c r="D710">
        <v>180.88426840240189</v>
      </c>
      <c r="E710">
        <f t="shared" si="10"/>
        <v>88.73</v>
      </c>
      <c r="F710" t="str" cm="1">
        <f t="array" ref="F710">INDEX({"Pay as you go","Prediction_Pack","Prediction_Payasyougo',""Competitor"},MATCH(MIN(A710:D710),A710:D710,0))</f>
        <v>Pay as you go</v>
      </c>
    </row>
    <row r="711" spans="1:6" x14ac:dyDescent="0.25">
      <c r="A711">
        <v>54.447000000000003</v>
      </c>
      <c r="B711">
        <v>65.968901837950114</v>
      </c>
      <c r="C711">
        <v>59.88</v>
      </c>
      <c r="D711">
        <v>110.96890183795011</v>
      </c>
      <c r="E711">
        <f t="shared" si="10"/>
        <v>54.447000000000003</v>
      </c>
      <c r="F711" t="str" cm="1">
        <f t="array" ref="F711">INDEX({"Pay as you go","Prediction_Pack","Prediction_Payasyougo',""Competitor"},MATCH(MIN(A711:D711),A711:D711,0))</f>
        <v>Pay as you go</v>
      </c>
    </row>
    <row r="712" spans="1:6" x14ac:dyDescent="0.25">
      <c r="A712">
        <v>117.62400000000001</v>
      </c>
      <c r="B712">
        <v>123.04437117962894</v>
      </c>
      <c r="C712">
        <v>151.44056348098994</v>
      </c>
      <c r="D712">
        <v>223.04437117962894</v>
      </c>
      <c r="E712">
        <f t="shared" si="10"/>
        <v>117.62400000000001</v>
      </c>
      <c r="F712" t="str" cm="1">
        <f t="array" ref="F712">INDEX({"Pay as you go","Prediction_Pack","Prediction_Payasyougo',""Competitor"},MATCH(MIN(A712:D712),A712:D712,0))</f>
        <v>Pay as you go</v>
      </c>
    </row>
    <row r="713" spans="1:6" x14ac:dyDescent="0.25">
      <c r="A713">
        <v>68.623999999999995</v>
      </c>
      <c r="B713">
        <v>84.477926500987266</v>
      </c>
      <c r="C713">
        <v>90.008008815589648</v>
      </c>
      <c r="D713">
        <v>144.47792650098725</v>
      </c>
      <c r="E713">
        <f t="shared" ref="E713:E776" si="11">MIN(A713:D713)</f>
        <v>68.623999999999995</v>
      </c>
      <c r="F713" t="str" cm="1">
        <f t="array" ref="F713">INDEX({"Pay as you go","Prediction_Pack","Prediction_Payasyougo',""Competitor"},MATCH(MIN(A713:D713),A713:D713,0))</f>
        <v>Pay as you go</v>
      </c>
    </row>
    <row r="714" spans="1:6" x14ac:dyDescent="0.25">
      <c r="A714">
        <v>130.333</v>
      </c>
      <c r="B714">
        <v>144.03699528173391</v>
      </c>
      <c r="C714">
        <v>186.5533209196592</v>
      </c>
      <c r="D714">
        <v>244.03699528173391</v>
      </c>
      <c r="E714">
        <f t="shared" si="11"/>
        <v>130.333</v>
      </c>
      <c r="F714" t="str" cm="1">
        <f t="array" ref="F714">INDEX({"Pay as you go","Prediction_Pack","Prediction_Payasyougo',""Competitor"},MATCH(MIN(A714:D714),A714:D714,0))</f>
        <v>Pay as you go</v>
      </c>
    </row>
    <row r="715" spans="1:6" x14ac:dyDescent="0.25">
      <c r="A715">
        <v>147.321</v>
      </c>
      <c r="B715">
        <v>148.75540841286269</v>
      </c>
      <c r="C715">
        <v>201.24199830989124</v>
      </c>
      <c r="D715">
        <v>269.75540841286272</v>
      </c>
      <c r="E715">
        <f t="shared" si="11"/>
        <v>147.321</v>
      </c>
      <c r="F715" t="str" cm="1">
        <f t="array" ref="F715">INDEX({"Pay as you go","Prediction_Pack","Prediction_Payasyougo',""Competitor"},MATCH(MIN(A715:D715),A715:D715,0))</f>
        <v>Pay as you go</v>
      </c>
    </row>
    <row r="716" spans="1:6" x14ac:dyDescent="0.25">
      <c r="A716">
        <v>116.72</v>
      </c>
      <c r="B716">
        <v>129.85634383071951</v>
      </c>
      <c r="C716">
        <v>174.15499329292251</v>
      </c>
      <c r="D716">
        <v>221.85634383071948</v>
      </c>
      <c r="E716">
        <f t="shared" si="11"/>
        <v>116.72</v>
      </c>
      <c r="F716" t="str" cm="1">
        <f t="array" ref="F716">INDEX({"Pay as you go","Prediction_Pack","Prediction_Payasyougo',""Competitor"},MATCH(MIN(A716:D716),A716:D716,0))</f>
        <v>Pay as you go</v>
      </c>
    </row>
    <row r="717" spans="1:6" x14ac:dyDescent="0.25">
      <c r="A717">
        <v>148.874</v>
      </c>
      <c r="B717">
        <v>179.49610486748054</v>
      </c>
      <c r="C717">
        <v>250.36139645665537</v>
      </c>
      <c r="D717">
        <v>283.49610486748054</v>
      </c>
      <c r="E717">
        <f t="shared" si="11"/>
        <v>148.874</v>
      </c>
      <c r="F717" t="str" cm="1">
        <f t="array" ref="F717">INDEX({"Pay as you go","Prediction_Pack","Prediction_Payasyougo',""Competitor"},MATCH(MIN(A717:D717),A717:D717,0))</f>
        <v>Pay as you go</v>
      </c>
    </row>
    <row r="718" spans="1:6" x14ac:dyDescent="0.25">
      <c r="A718">
        <v>155.822</v>
      </c>
      <c r="B718">
        <v>166.71200641226395</v>
      </c>
      <c r="C718">
        <v>230.36897112092069</v>
      </c>
      <c r="D718">
        <v>292.71200641226392</v>
      </c>
      <c r="E718">
        <f t="shared" si="11"/>
        <v>155.822</v>
      </c>
      <c r="F718" t="str" cm="1">
        <f t="array" ref="F718">INDEX({"Pay as you go","Prediction_Pack","Prediction_Payasyougo',""Competitor"},MATCH(MIN(A718:D718),A718:D718,0))</f>
        <v>Pay as you go</v>
      </c>
    </row>
    <row r="719" spans="1:6" x14ac:dyDescent="0.25">
      <c r="A719">
        <v>84.963000000000008</v>
      </c>
      <c r="B719">
        <v>107.32843582059868</v>
      </c>
      <c r="C719">
        <v>125.92056437826389</v>
      </c>
      <c r="D719">
        <v>178.32843582059868</v>
      </c>
      <c r="E719">
        <f t="shared" si="11"/>
        <v>84.963000000000008</v>
      </c>
      <c r="F719" t="str" cm="1">
        <f t="array" ref="F719">INDEX({"Pay as you go","Prediction_Pack","Prediction_Payasyougo',""Competitor"},MATCH(MIN(A719:D719),A719:D719,0))</f>
        <v>Pay as you go</v>
      </c>
    </row>
    <row r="720" spans="1:6" x14ac:dyDescent="0.25">
      <c r="A720">
        <v>197.20599999999999</v>
      </c>
      <c r="B720">
        <v>217.99137341495742</v>
      </c>
      <c r="C720">
        <v>316.84741028479976</v>
      </c>
      <c r="D720">
        <v>355.99137341495742</v>
      </c>
      <c r="E720">
        <f t="shared" si="11"/>
        <v>197.20599999999999</v>
      </c>
      <c r="F720" t="str" cm="1">
        <f t="array" ref="F720">INDEX({"Pay as you go","Prediction_Pack","Prediction_Payasyougo',""Competitor"},MATCH(MIN(A720:D720),A720:D720,0))</f>
        <v>Pay as you go</v>
      </c>
    </row>
    <row r="721" spans="1:6" x14ac:dyDescent="0.25">
      <c r="A721">
        <v>133.88300000000001</v>
      </c>
      <c r="B721">
        <v>128.50193428073086</v>
      </c>
      <c r="C721">
        <v>163.9801255832289</v>
      </c>
      <c r="D721">
        <v>244.50193428073086</v>
      </c>
      <c r="E721">
        <f t="shared" si="11"/>
        <v>128.50193428073086</v>
      </c>
      <c r="F721" t="str" cm="1">
        <f t="array" ref="F721">INDEX({"Pay as you go","Prediction_Pack","Prediction_Payasyougo',""Competitor"},MATCH(MIN(A721:D721),A721:D721,0))</f>
        <v>Prediction_Pack</v>
      </c>
    </row>
    <row r="722" spans="1:6" x14ac:dyDescent="0.25">
      <c r="A722">
        <v>214.596</v>
      </c>
      <c r="B722">
        <v>245.03961206466849</v>
      </c>
      <c r="C722">
        <v>356.64508410430443</v>
      </c>
      <c r="D722">
        <v>390.03961206466852</v>
      </c>
      <c r="E722">
        <f t="shared" si="11"/>
        <v>214.596</v>
      </c>
      <c r="F722" t="str" cm="1">
        <f t="array" ref="F722">INDEX({"Pay as you go","Prediction_Pack","Prediction_Payasyougo',""Competitor"},MATCH(MIN(A722:D722),A722:D722,0))</f>
        <v>Pay as you go</v>
      </c>
    </row>
    <row r="723" spans="1:6" x14ac:dyDescent="0.25">
      <c r="A723">
        <v>119.512</v>
      </c>
      <c r="B723">
        <v>121.50615280458746</v>
      </c>
      <c r="C723">
        <v>154.03978732460737</v>
      </c>
      <c r="D723">
        <v>220.50615280458746</v>
      </c>
      <c r="E723">
        <f t="shared" si="11"/>
        <v>119.512</v>
      </c>
      <c r="F723" t="str" cm="1">
        <f t="array" ref="F723">INDEX({"Pay as you go","Prediction_Pack","Prediction_Payasyougo',""Competitor"},MATCH(MIN(A723:D723),A723:D723,0))</f>
        <v>Pay as you go</v>
      </c>
    </row>
    <row r="724" spans="1:6" x14ac:dyDescent="0.25">
      <c r="A724">
        <v>92.644999999999996</v>
      </c>
      <c r="B724">
        <v>108.32778347760174</v>
      </c>
      <c r="C724">
        <v>128.40389631486818</v>
      </c>
      <c r="D724">
        <v>194.32778347760174</v>
      </c>
      <c r="E724">
        <f t="shared" si="11"/>
        <v>92.644999999999996</v>
      </c>
      <c r="F724" t="str" cm="1">
        <f t="array" ref="F724">INDEX({"Pay as you go","Prediction_Pack","Prediction_Payasyougo',""Competitor"},MATCH(MIN(A724:D724),A724:D724,0))</f>
        <v>Pay as you go</v>
      </c>
    </row>
    <row r="725" spans="1:6" x14ac:dyDescent="0.25">
      <c r="A725">
        <v>202.655</v>
      </c>
      <c r="B725">
        <v>241.03695878038064</v>
      </c>
      <c r="C725">
        <v>365.20437712705404</v>
      </c>
      <c r="D725">
        <v>365.03695878038064</v>
      </c>
      <c r="E725">
        <f t="shared" si="11"/>
        <v>202.655</v>
      </c>
      <c r="F725" t="str" cm="1">
        <f t="array" ref="F725">INDEX({"Pay as you go","Prediction_Pack","Prediction_Payasyougo',""Competitor"},MATCH(MIN(A725:D725),A725:D725,0))</f>
        <v>Pay as you go</v>
      </c>
    </row>
    <row r="726" spans="1:6" x14ac:dyDescent="0.25">
      <c r="A726">
        <v>141.304</v>
      </c>
      <c r="B726">
        <v>158.18905744551645</v>
      </c>
      <c r="C726">
        <v>218.86354945031422</v>
      </c>
      <c r="D726">
        <v>261.18905744551648</v>
      </c>
      <c r="E726">
        <f t="shared" si="11"/>
        <v>141.304</v>
      </c>
      <c r="F726" t="str" cm="1">
        <f t="array" ref="F726">INDEX({"Pay as you go","Prediction_Pack","Prediction_Payasyougo',""Competitor"},MATCH(MIN(A726:D726),A726:D726,0))</f>
        <v>Pay as you go</v>
      </c>
    </row>
    <row r="727" spans="1:6" x14ac:dyDescent="0.25">
      <c r="A727">
        <v>154.19900000000001</v>
      </c>
      <c r="B727">
        <v>167.17643581367329</v>
      </c>
      <c r="C727">
        <v>219.45562030125058</v>
      </c>
      <c r="D727">
        <v>293.17643581367332</v>
      </c>
      <c r="E727">
        <f t="shared" si="11"/>
        <v>154.19900000000001</v>
      </c>
      <c r="F727" t="str" cm="1">
        <f t="array" ref="F727">INDEX({"Pay as you go","Prediction_Pack","Prediction_Payasyougo',""Competitor"},MATCH(MIN(A727:D727),A727:D727,0))</f>
        <v>Pay as you go</v>
      </c>
    </row>
    <row r="728" spans="1:6" x14ac:dyDescent="0.25">
      <c r="A728">
        <v>123.432</v>
      </c>
      <c r="B728">
        <v>138.51901412798148</v>
      </c>
      <c r="C728">
        <v>177.82716683893682</v>
      </c>
      <c r="D728">
        <v>236.51901412798148</v>
      </c>
      <c r="E728">
        <f t="shared" si="11"/>
        <v>123.432</v>
      </c>
      <c r="F728" t="str" cm="1">
        <f t="array" ref="F728">INDEX({"Pay as you go","Prediction_Pack","Prediction_Payasyougo',""Competitor"},MATCH(MIN(A728:D728),A728:D728,0))</f>
        <v>Pay as you go</v>
      </c>
    </row>
    <row r="729" spans="1:6" x14ac:dyDescent="0.25">
      <c r="A729">
        <v>189.15600000000001</v>
      </c>
      <c r="B729">
        <v>209.87913984361987</v>
      </c>
      <c r="C729">
        <v>308.81450425035308</v>
      </c>
      <c r="D729">
        <v>340.8791398436199</v>
      </c>
      <c r="E729">
        <f t="shared" si="11"/>
        <v>189.15600000000001</v>
      </c>
      <c r="F729" t="str" cm="1">
        <f t="array" ref="F729">INDEX({"Pay as you go","Prediction_Pack","Prediction_Payasyougo',""Competitor"},MATCH(MIN(A729:D729),A729:D729,0))</f>
        <v>Pay as you go</v>
      </c>
    </row>
    <row r="730" spans="1:6" x14ac:dyDescent="0.25">
      <c r="A730">
        <v>146.54599999999999</v>
      </c>
      <c r="B730">
        <v>176.28263799369122</v>
      </c>
      <c r="C730">
        <v>248.64431071405696</v>
      </c>
      <c r="D730">
        <v>279.28263799369125</v>
      </c>
      <c r="E730">
        <f t="shared" si="11"/>
        <v>146.54599999999999</v>
      </c>
      <c r="F730" t="str" cm="1">
        <f t="array" ref="F730">INDEX({"Pay as you go","Prediction_Pack","Prediction_Payasyougo',""Competitor"},MATCH(MIN(A730:D730),A730:D730,0))</f>
        <v>Pay as you go</v>
      </c>
    </row>
    <row r="731" spans="1:6" x14ac:dyDescent="0.25">
      <c r="A731">
        <v>100.292</v>
      </c>
      <c r="B731">
        <v>118.25013821584906</v>
      </c>
      <c r="C731">
        <v>137.08385415347476</v>
      </c>
      <c r="D731">
        <v>201.25013821584906</v>
      </c>
      <c r="E731">
        <f t="shared" si="11"/>
        <v>100.292</v>
      </c>
      <c r="F731" t="str" cm="1">
        <f t="array" ref="F731">INDEX({"Pay as you go","Prediction_Pack","Prediction_Payasyougo',""Competitor"},MATCH(MIN(A731:D731),A731:D731,0))</f>
        <v>Pay as you go</v>
      </c>
    </row>
    <row r="732" spans="1:6" x14ac:dyDescent="0.25">
      <c r="A732">
        <v>137.626</v>
      </c>
      <c r="B732">
        <v>157.63021411361495</v>
      </c>
      <c r="C732">
        <v>221.12722050659505</v>
      </c>
      <c r="D732">
        <v>255.63021411361493</v>
      </c>
      <c r="E732">
        <f t="shared" si="11"/>
        <v>137.626</v>
      </c>
      <c r="F732" t="str" cm="1">
        <f t="array" ref="F732">INDEX({"Pay as you go","Prediction_Pack","Prediction_Payasyougo',""Competitor"},MATCH(MIN(A732:D732),A732:D732,0))</f>
        <v>Pay as you go</v>
      </c>
    </row>
    <row r="733" spans="1:6" x14ac:dyDescent="0.25">
      <c r="A733">
        <v>94.078999999999994</v>
      </c>
      <c r="B733">
        <v>112.63927810229418</v>
      </c>
      <c r="C733">
        <v>137.6778320293287</v>
      </c>
      <c r="D733">
        <v>184.63927810229418</v>
      </c>
      <c r="E733">
        <f t="shared" si="11"/>
        <v>94.078999999999994</v>
      </c>
      <c r="F733" t="str" cm="1">
        <f t="array" ref="F733">INDEX({"Pay as you go","Prediction_Pack","Prediction_Payasyougo',""Competitor"},MATCH(MIN(A733:D733),A733:D733,0))</f>
        <v>Pay as you go</v>
      </c>
    </row>
    <row r="734" spans="1:6" x14ac:dyDescent="0.25">
      <c r="A734">
        <v>102.649</v>
      </c>
      <c r="B734">
        <v>120.4517370362889</v>
      </c>
      <c r="C734">
        <v>153.43461829571626</v>
      </c>
      <c r="D734">
        <v>194.4517370362889</v>
      </c>
      <c r="E734">
        <f t="shared" si="11"/>
        <v>102.649</v>
      </c>
      <c r="F734" t="str" cm="1">
        <f t="array" ref="F734">INDEX({"Pay as you go","Prediction_Pack","Prediction_Payasyougo',""Competitor"},MATCH(MIN(A734:D734),A734:D734,0))</f>
        <v>Pay as you go</v>
      </c>
    </row>
    <row r="735" spans="1:6" x14ac:dyDescent="0.25">
      <c r="A735">
        <v>110.78999999999999</v>
      </c>
      <c r="B735">
        <v>131.05186722230181</v>
      </c>
      <c r="C735">
        <v>168.08775766040654</v>
      </c>
      <c r="D735">
        <v>218.05186722230178</v>
      </c>
      <c r="E735">
        <f t="shared" si="11"/>
        <v>110.78999999999999</v>
      </c>
      <c r="F735" t="str" cm="1">
        <f t="array" ref="F735">INDEX({"Pay as you go","Prediction_Pack","Prediction_Payasyougo',""Competitor"},MATCH(MIN(A735:D735),A735:D735,0))</f>
        <v>Pay as you go</v>
      </c>
    </row>
    <row r="736" spans="1:6" x14ac:dyDescent="0.25">
      <c r="A736">
        <v>144.64500000000001</v>
      </c>
      <c r="B736">
        <v>158.91926950855512</v>
      </c>
      <c r="C736">
        <v>215.11767513891968</v>
      </c>
      <c r="D736">
        <v>267.91926950855515</v>
      </c>
      <c r="E736">
        <f t="shared" si="11"/>
        <v>144.64500000000001</v>
      </c>
      <c r="F736" t="str" cm="1">
        <f t="array" ref="F736">INDEX({"Pay as you go","Prediction_Pack","Prediction_Payasyougo',""Competitor"},MATCH(MIN(A736:D736),A736:D736,0))</f>
        <v>Pay as you go</v>
      </c>
    </row>
    <row r="737" spans="1:6" x14ac:dyDescent="0.25">
      <c r="A737">
        <v>94.597999999999999</v>
      </c>
      <c r="B737">
        <v>104.03971108928444</v>
      </c>
      <c r="C737">
        <v>111.96365638742009</v>
      </c>
      <c r="D737">
        <v>189.03971108928442</v>
      </c>
      <c r="E737">
        <f t="shared" si="11"/>
        <v>94.597999999999999</v>
      </c>
      <c r="F737" t="str" cm="1">
        <f t="array" ref="F737">INDEX({"Pay as you go","Prediction_Pack","Prediction_Payasyougo',""Competitor"},MATCH(MIN(A737:D737),A737:D737,0))</f>
        <v>Pay as you go</v>
      </c>
    </row>
    <row r="738" spans="1:6" x14ac:dyDescent="0.25">
      <c r="A738">
        <v>117.515</v>
      </c>
      <c r="B738">
        <v>115.32101989235952</v>
      </c>
      <c r="C738">
        <v>138.20230980454522</v>
      </c>
      <c r="D738">
        <v>223.32101989235952</v>
      </c>
      <c r="E738">
        <f t="shared" si="11"/>
        <v>115.32101989235952</v>
      </c>
      <c r="F738" t="str" cm="1">
        <f t="array" ref="F738">INDEX({"Pay as you go","Prediction_Pack","Prediction_Payasyougo',""Competitor"},MATCH(MIN(A738:D738),A738:D738,0))</f>
        <v>Prediction_Pack</v>
      </c>
    </row>
    <row r="739" spans="1:6" x14ac:dyDescent="0.25">
      <c r="A739">
        <v>93.166000000000011</v>
      </c>
      <c r="B739">
        <v>97.632117799225909</v>
      </c>
      <c r="C739">
        <v>104.57882532518161</v>
      </c>
      <c r="D739">
        <v>175.63211779922591</v>
      </c>
      <c r="E739">
        <f t="shared" si="11"/>
        <v>93.166000000000011</v>
      </c>
      <c r="F739" t="str" cm="1">
        <f t="array" ref="F739">INDEX({"Pay as you go","Prediction_Pack","Prediction_Payasyougo',""Competitor"},MATCH(MIN(A739:D739),A739:D739,0))</f>
        <v>Pay as you go</v>
      </c>
    </row>
    <row r="740" spans="1:6" x14ac:dyDescent="0.25">
      <c r="A740">
        <v>122.711</v>
      </c>
      <c r="B740">
        <v>123.25440038966315</v>
      </c>
      <c r="C740">
        <v>145.62575114820262</v>
      </c>
      <c r="D740">
        <v>228.25440038966315</v>
      </c>
      <c r="E740">
        <f t="shared" si="11"/>
        <v>122.711</v>
      </c>
      <c r="F740" t="str" cm="1">
        <f t="array" ref="F740">INDEX({"Pay as you go","Prediction_Pack","Prediction_Payasyougo',""Competitor"},MATCH(MIN(A740:D740),A740:D740,0))</f>
        <v>Pay as you go</v>
      </c>
    </row>
    <row r="741" spans="1:6" x14ac:dyDescent="0.25">
      <c r="A741">
        <v>125.402</v>
      </c>
      <c r="B741">
        <v>144.84657158864653</v>
      </c>
      <c r="C741">
        <v>183.2359535074041</v>
      </c>
      <c r="D741">
        <v>234.84657158864653</v>
      </c>
      <c r="E741">
        <f t="shared" si="11"/>
        <v>125.402</v>
      </c>
      <c r="F741" t="str" cm="1">
        <f t="array" ref="F741">INDEX({"Pay as you go","Prediction_Pack","Prediction_Payasyougo',""Competitor"},MATCH(MIN(A741:D741),A741:D741,0))</f>
        <v>Pay as you go</v>
      </c>
    </row>
    <row r="742" spans="1:6" x14ac:dyDescent="0.25">
      <c r="A742">
        <v>147.24700000000001</v>
      </c>
      <c r="B742">
        <v>164.26412553174981</v>
      </c>
      <c r="C742">
        <v>233.63466458009245</v>
      </c>
      <c r="D742">
        <v>264.26412553174981</v>
      </c>
      <c r="E742">
        <f t="shared" si="11"/>
        <v>147.24700000000001</v>
      </c>
      <c r="F742" t="str" cm="1">
        <f t="array" ref="F742">INDEX({"Pay as you go","Prediction_Pack","Prediction_Payasyougo',""Competitor"},MATCH(MIN(A742:D742),A742:D742,0))</f>
        <v>Pay as you go</v>
      </c>
    </row>
    <row r="743" spans="1:6" x14ac:dyDescent="0.25">
      <c r="A743">
        <v>161.43899999999999</v>
      </c>
      <c r="B743">
        <v>180.34624261906845</v>
      </c>
      <c r="C743">
        <v>256.07716737884476</v>
      </c>
      <c r="D743">
        <v>294.34624261906845</v>
      </c>
      <c r="E743">
        <f t="shared" si="11"/>
        <v>161.43899999999999</v>
      </c>
      <c r="F743" t="str" cm="1">
        <f t="array" ref="F743">INDEX({"Pay as you go","Prediction_Pack","Prediction_Payasyougo',""Competitor"},MATCH(MIN(A743:D743),A743:D743,0))</f>
        <v>Pay as you go</v>
      </c>
    </row>
    <row r="744" spans="1:6" x14ac:dyDescent="0.25">
      <c r="A744">
        <v>130.577</v>
      </c>
      <c r="B744">
        <v>155.57932868226473</v>
      </c>
      <c r="C744">
        <v>205.4361428634314</v>
      </c>
      <c r="D744">
        <v>248.57932868226473</v>
      </c>
      <c r="E744">
        <f t="shared" si="11"/>
        <v>130.577</v>
      </c>
      <c r="F744" t="str" cm="1">
        <f t="array" ref="F744">INDEX({"Pay as you go","Prediction_Pack","Prediction_Payasyougo',""Competitor"},MATCH(MIN(A744:D744),A744:D744,0))</f>
        <v>Pay as you go</v>
      </c>
    </row>
    <row r="745" spans="1:6" x14ac:dyDescent="0.25">
      <c r="A745">
        <v>196.83700000000002</v>
      </c>
      <c r="B745">
        <v>230.34891164829108</v>
      </c>
      <c r="C745">
        <v>348.61711480262858</v>
      </c>
      <c r="D745">
        <v>346.34891164829105</v>
      </c>
      <c r="E745">
        <f t="shared" si="11"/>
        <v>196.83700000000002</v>
      </c>
      <c r="F745" t="str" cm="1">
        <f t="array" ref="F745">INDEX({"Pay as you go","Prediction_Pack","Prediction_Payasyougo',""Competitor"},MATCH(MIN(A745:D745),A745:D745,0))</f>
        <v>Pay as you go</v>
      </c>
    </row>
    <row r="746" spans="1:6" x14ac:dyDescent="0.25">
      <c r="A746">
        <v>110.28999999999999</v>
      </c>
      <c r="B746">
        <v>106.42370458766555</v>
      </c>
      <c r="C746">
        <v>125.34326004229845</v>
      </c>
      <c r="D746">
        <v>212.42370458766553</v>
      </c>
      <c r="E746">
        <f t="shared" si="11"/>
        <v>106.42370458766555</v>
      </c>
      <c r="F746" t="str" cm="1">
        <f t="array" ref="F746">INDEX({"Pay as you go","Prediction_Pack","Prediction_Payasyougo',""Competitor"},MATCH(MIN(A746:D746),A746:D746,0))</f>
        <v>Prediction_Pack</v>
      </c>
    </row>
    <row r="747" spans="1:6" x14ac:dyDescent="0.25">
      <c r="A747">
        <v>122.458</v>
      </c>
      <c r="B747">
        <v>120.51423595414572</v>
      </c>
      <c r="C747">
        <v>138.18607792815345</v>
      </c>
      <c r="D747">
        <v>224.5142359541457</v>
      </c>
      <c r="E747">
        <f t="shared" si="11"/>
        <v>120.51423595414572</v>
      </c>
      <c r="F747" t="str" cm="1">
        <f t="array" ref="F747">INDEX({"Pay as you go","Prediction_Pack","Prediction_Payasyougo',""Competitor"},MATCH(MIN(A747:D747),A747:D747,0))</f>
        <v>Prediction_Pack</v>
      </c>
    </row>
    <row r="748" spans="1:6" x14ac:dyDescent="0.25">
      <c r="A748">
        <v>89.236000000000004</v>
      </c>
      <c r="B748">
        <v>106.55733900064442</v>
      </c>
      <c r="C748">
        <v>131.79493962515318</v>
      </c>
      <c r="D748">
        <v>172.55733900064442</v>
      </c>
      <c r="E748">
        <f t="shared" si="11"/>
        <v>89.236000000000004</v>
      </c>
      <c r="F748" t="str" cm="1">
        <f t="array" ref="F748">INDEX({"Pay as you go","Prediction_Pack","Prediction_Payasyougo',""Competitor"},MATCH(MIN(A748:D748),A748:D748,0))</f>
        <v>Pay as you go</v>
      </c>
    </row>
    <row r="749" spans="1:6" x14ac:dyDescent="0.25">
      <c r="A749">
        <v>174.53200000000001</v>
      </c>
      <c r="B749">
        <v>203.277346323312</v>
      </c>
      <c r="C749">
        <v>284.96491310585435</v>
      </c>
      <c r="D749">
        <v>317.27734632331203</v>
      </c>
      <c r="E749">
        <f t="shared" si="11"/>
        <v>174.53200000000001</v>
      </c>
      <c r="F749" t="str" cm="1">
        <f t="array" ref="F749">INDEX({"Pay as you go","Prediction_Pack","Prediction_Payasyougo',""Competitor"},MATCH(MIN(A749:D749),A749:D749,0))</f>
        <v>Pay as you go</v>
      </c>
    </row>
    <row r="750" spans="1:6" x14ac:dyDescent="0.25">
      <c r="A750">
        <v>110.88600000000001</v>
      </c>
      <c r="B750">
        <v>120.62531445348517</v>
      </c>
      <c r="C750">
        <v>143.79649675131421</v>
      </c>
      <c r="D750">
        <v>209.62531445348515</v>
      </c>
      <c r="E750">
        <f t="shared" si="11"/>
        <v>110.88600000000001</v>
      </c>
      <c r="F750" t="str" cm="1">
        <f t="array" ref="F750">INDEX({"Pay as you go","Prediction_Pack","Prediction_Payasyougo',""Competitor"},MATCH(MIN(A750:D750),A750:D750,0))</f>
        <v>Pay as you go</v>
      </c>
    </row>
    <row r="751" spans="1:6" x14ac:dyDescent="0.25">
      <c r="A751">
        <v>133.35599999999999</v>
      </c>
      <c r="B751">
        <v>146.01266402077979</v>
      </c>
      <c r="C751">
        <v>192.7248173422426</v>
      </c>
      <c r="D751">
        <v>246.01266402077979</v>
      </c>
      <c r="E751">
        <f t="shared" si="11"/>
        <v>133.35599999999999</v>
      </c>
      <c r="F751" t="str" cm="1">
        <f t="array" ref="F751">INDEX({"Pay as you go","Prediction_Pack","Prediction_Payasyougo',""Competitor"},MATCH(MIN(A751:D751),A751:D751,0))</f>
        <v>Pay as you go</v>
      </c>
    </row>
    <row r="752" spans="1:6" x14ac:dyDescent="0.25">
      <c r="A752">
        <v>156.90700000000001</v>
      </c>
      <c r="B752">
        <v>184.77027587282865</v>
      </c>
      <c r="C752">
        <v>269.3843889041126</v>
      </c>
      <c r="D752">
        <v>279.77027587282868</v>
      </c>
      <c r="E752">
        <f t="shared" si="11"/>
        <v>156.90700000000001</v>
      </c>
      <c r="F752" t="str" cm="1">
        <f t="array" ref="F752">INDEX({"Pay as you go","Prediction_Pack","Prediction_Payasyougo',""Competitor"},MATCH(MIN(A752:D752),A752:D752,0))</f>
        <v>Pay as you go</v>
      </c>
    </row>
    <row r="753" spans="1:6" x14ac:dyDescent="0.25">
      <c r="A753">
        <v>133.273</v>
      </c>
      <c r="B753">
        <v>134.96516688349465</v>
      </c>
      <c r="C753">
        <v>179.53496126575379</v>
      </c>
      <c r="D753">
        <v>237.96516688349462</v>
      </c>
      <c r="E753">
        <f t="shared" si="11"/>
        <v>133.273</v>
      </c>
      <c r="F753" t="str" cm="1">
        <f t="array" ref="F753">INDEX({"Pay as you go","Prediction_Pack","Prediction_Payasyougo',""Competitor"},MATCH(MIN(A753:D753),A753:D753,0))</f>
        <v>Pay as you go</v>
      </c>
    </row>
    <row r="754" spans="1:6" x14ac:dyDescent="0.25">
      <c r="A754">
        <v>115.286</v>
      </c>
      <c r="B754">
        <v>120.3705224950248</v>
      </c>
      <c r="C754">
        <v>154.15063375226197</v>
      </c>
      <c r="D754">
        <v>214.3705224950248</v>
      </c>
      <c r="E754">
        <f t="shared" si="11"/>
        <v>115.286</v>
      </c>
      <c r="F754" t="str" cm="1">
        <f t="array" ref="F754">INDEX({"Pay as you go","Prediction_Pack","Prediction_Payasyougo',""Competitor"},MATCH(MIN(A754:D754),A754:D754,0))</f>
        <v>Pay as you go</v>
      </c>
    </row>
    <row r="755" spans="1:6" x14ac:dyDescent="0.25">
      <c r="A755">
        <v>151.00700000000001</v>
      </c>
      <c r="B755">
        <v>173.72633965355229</v>
      </c>
      <c r="C755">
        <v>230.59896855960457</v>
      </c>
      <c r="D755">
        <v>275.72633965355232</v>
      </c>
      <c r="E755">
        <f t="shared" si="11"/>
        <v>151.00700000000001</v>
      </c>
      <c r="F755" t="str" cm="1">
        <f t="array" ref="F755">INDEX({"Pay as you go","Prediction_Pack","Prediction_Payasyougo',""Competitor"},MATCH(MIN(A755:D755),A755:D755,0))</f>
        <v>Pay as you go</v>
      </c>
    </row>
    <row r="756" spans="1:6" x14ac:dyDescent="0.25">
      <c r="A756">
        <v>117.05799999999999</v>
      </c>
      <c r="B756">
        <v>142.59861567153499</v>
      </c>
      <c r="C756">
        <v>177.71152958561572</v>
      </c>
      <c r="D756">
        <v>237.59861567153499</v>
      </c>
      <c r="E756">
        <f t="shared" si="11"/>
        <v>117.05799999999999</v>
      </c>
      <c r="F756" t="str" cm="1">
        <f t="array" ref="F756">INDEX({"Pay as you go","Prediction_Pack","Prediction_Payasyougo',""Competitor"},MATCH(MIN(A756:D756),A756:D756,0))</f>
        <v>Pay as you go</v>
      </c>
    </row>
    <row r="757" spans="1:6" x14ac:dyDescent="0.25">
      <c r="A757">
        <v>128.81800000000001</v>
      </c>
      <c r="B757">
        <v>136.08619072395763</v>
      </c>
      <c r="C757">
        <v>164.79494847738931</v>
      </c>
      <c r="D757">
        <v>239.08619072395763</v>
      </c>
      <c r="E757">
        <f t="shared" si="11"/>
        <v>128.81800000000001</v>
      </c>
      <c r="F757" t="str" cm="1">
        <f t="array" ref="F757">INDEX({"Pay as you go","Prediction_Pack","Prediction_Payasyougo',""Competitor"},MATCH(MIN(A757:D757),A757:D757,0))</f>
        <v>Pay as you go</v>
      </c>
    </row>
    <row r="758" spans="1:6" x14ac:dyDescent="0.25">
      <c r="A758">
        <v>134.66299999999998</v>
      </c>
      <c r="B758">
        <v>147.85316140517781</v>
      </c>
      <c r="C758">
        <v>197.50459507625024</v>
      </c>
      <c r="D758">
        <v>243.85316140517781</v>
      </c>
      <c r="E758">
        <f t="shared" si="11"/>
        <v>134.66299999999998</v>
      </c>
      <c r="F758" t="str" cm="1">
        <f t="array" ref="F758">INDEX({"Pay as you go","Prediction_Pack","Prediction_Payasyougo',""Competitor"},MATCH(MIN(A758:D758),A758:D758,0))</f>
        <v>Pay as you go</v>
      </c>
    </row>
    <row r="759" spans="1:6" x14ac:dyDescent="0.25">
      <c r="A759">
        <v>98.975999999999999</v>
      </c>
      <c r="B759">
        <v>109.84299562931737</v>
      </c>
      <c r="C759">
        <v>121.76869486004387</v>
      </c>
      <c r="D759">
        <v>185.84299562931736</v>
      </c>
      <c r="E759">
        <f t="shared" si="11"/>
        <v>98.975999999999999</v>
      </c>
      <c r="F759" t="str" cm="1">
        <f t="array" ref="F759">INDEX({"Pay as you go","Prediction_Pack","Prediction_Payasyougo',""Competitor"},MATCH(MIN(A759:D759),A759:D759,0))</f>
        <v>Pay as you go</v>
      </c>
    </row>
    <row r="760" spans="1:6" x14ac:dyDescent="0.25">
      <c r="A760">
        <v>109.64100000000001</v>
      </c>
      <c r="B760">
        <v>140.33469130152659</v>
      </c>
      <c r="C760">
        <v>188.25316910670688</v>
      </c>
      <c r="D760">
        <v>214.33469130152659</v>
      </c>
      <c r="E760">
        <f t="shared" si="11"/>
        <v>109.64100000000001</v>
      </c>
      <c r="F760" t="str" cm="1">
        <f t="array" ref="F760">INDEX({"Pay as you go","Prediction_Pack","Prediction_Payasyougo',""Competitor"},MATCH(MIN(A760:D760),A760:D760,0))</f>
        <v>Pay as you go</v>
      </c>
    </row>
    <row r="761" spans="1:6" x14ac:dyDescent="0.25">
      <c r="A761">
        <v>182.994</v>
      </c>
      <c r="B761">
        <v>215.76732786336163</v>
      </c>
      <c r="C761">
        <v>316.14109746112422</v>
      </c>
      <c r="D761">
        <v>327.76732786336163</v>
      </c>
      <c r="E761">
        <f t="shared" si="11"/>
        <v>182.994</v>
      </c>
      <c r="F761" t="str" cm="1">
        <f t="array" ref="F761">INDEX({"Pay as you go","Prediction_Pack","Prediction_Payasyougo',""Competitor"},MATCH(MIN(A761:D761),A761:D761,0))</f>
        <v>Pay as you go</v>
      </c>
    </row>
    <row r="762" spans="1:6" x14ac:dyDescent="0.25">
      <c r="A762">
        <v>104.22800000000001</v>
      </c>
      <c r="B762">
        <v>113.19865886136671</v>
      </c>
      <c r="C762">
        <v>132.91698176594858</v>
      </c>
      <c r="D762">
        <v>200.19865886136671</v>
      </c>
      <c r="E762">
        <f t="shared" si="11"/>
        <v>104.22800000000001</v>
      </c>
      <c r="F762" t="str" cm="1">
        <f t="array" ref="F762">INDEX({"Pay as you go","Prediction_Pack","Prediction_Payasyougo',""Competitor"},MATCH(MIN(A762:D762),A762:D762,0))</f>
        <v>Pay as you go</v>
      </c>
    </row>
    <row r="763" spans="1:6" x14ac:dyDescent="0.25">
      <c r="A763">
        <v>75.593000000000004</v>
      </c>
      <c r="B763">
        <v>82.697574522636472</v>
      </c>
      <c r="C763">
        <v>85.515568924008818</v>
      </c>
      <c r="D763">
        <v>152.69757452263647</v>
      </c>
      <c r="E763">
        <f t="shared" si="11"/>
        <v>75.593000000000004</v>
      </c>
      <c r="F763" t="str" cm="1">
        <f t="array" ref="F763">INDEX({"Pay as you go","Prediction_Pack","Prediction_Payasyougo',""Competitor"},MATCH(MIN(A763:D763),A763:D763,0))</f>
        <v>Pay as you go</v>
      </c>
    </row>
    <row r="764" spans="1:6" x14ac:dyDescent="0.25">
      <c r="A764">
        <v>94.466999999999999</v>
      </c>
      <c r="B764">
        <v>98.844829208723411</v>
      </c>
      <c r="C764">
        <v>110.28119187366246</v>
      </c>
      <c r="D764">
        <v>181.84482920872341</v>
      </c>
      <c r="E764">
        <f t="shared" si="11"/>
        <v>94.466999999999999</v>
      </c>
      <c r="F764" t="str" cm="1">
        <f t="array" ref="F764">INDEX({"Pay as you go","Prediction_Pack","Prediction_Payasyougo',""Competitor"},MATCH(MIN(A764:D764),A764:D764,0))</f>
        <v>Pay as you go</v>
      </c>
    </row>
    <row r="765" spans="1:6" x14ac:dyDescent="0.25">
      <c r="A765">
        <v>110.41200000000001</v>
      </c>
      <c r="B765">
        <v>119.77985705457419</v>
      </c>
      <c r="C765">
        <v>146.00439576656385</v>
      </c>
      <c r="D765">
        <v>208.77985705457419</v>
      </c>
      <c r="E765">
        <f t="shared" si="11"/>
        <v>110.41200000000001</v>
      </c>
      <c r="F765" t="str" cm="1">
        <f t="array" ref="F765">INDEX({"Pay as you go","Prediction_Pack","Prediction_Payasyougo',""Competitor"},MATCH(MIN(A765:D765),A765:D765,0))</f>
        <v>Pay as you go</v>
      </c>
    </row>
    <row r="766" spans="1:6" x14ac:dyDescent="0.25">
      <c r="A766">
        <v>133.33600000000001</v>
      </c>
      <c r="B766">
        <v>167.61681058700825</v>
      </c>
      <c r="C766">
        <v>244.69463117434574</v>
      </c>
      <c r="D766">
        <v>243.61681058700825</v>
      </c>
      <c r="E766">
        <f t="shared" si="11"/>
        <v>133.33600000000001</v>
      </c>
      <c r="F766" t="str" cm="1">
        <f t="array" ref="F766">INDEX({"Pay as you go","Prediction_Pack","Prediction_Payasyougo',""Competitor"},MATCH(MIN(A766:D766),A766:D766,0))</f>
        <v>Pay as you go</v>
      </c>
    </row>
    <row r="767" spans="1:6" x14ac:dyDescent="0.25">
      <c r="A767">
        <v>143.845</v>
      </c>
      <c r="B767">
        <v>142.8934957560806</v>
      </c>
      <c r="C767">
        <v>176.30503702948397</v>
      </c>
      <c r="D767">
        <v>256.8934957560806</v>
      </c>
      <c r="E767">
        <f t="shared" si="11"/>
        <v>142.8934957560806</v>
      </c>
      <c r="F767" t="str" cm="1">
        <f t="array" ref="F767">INDEX({"Pay as you go","Prediction_Pack","Prediction_Payasyougo',""Competitor"},MATCH(MIN(A767:D767),A767:D767,0))</f>
        <v>Prediction_Pack</v>
      </c>
    </row>
    <row r="768" spans="1:6" x14ac:dyDescent="0.25">
      <c r="A768">
        <v>151.58799999999999</v>
      </c>
      <c r="B768">
        <v>163.10598915298337</v>
      </c>
      <c r="C768">
        <v>216.91972442934173</v>
      </c>
      <c r="D768">
        <v>283.10598915298334</v>
      </c>
      <c r="E768">
        <f t="shared" si="11"/>
        <v>151.58799999999999</v>
      </c>
      <c r="F768" t="str" cm="1">
        <f t="array" ref="F768">INDEX({"Pay as you go","Prediction_Pack","Prediction_Payasyougo',""Competitor"},MATCH(MIN(A768:D768),A768:D768,0))</f>
        <v>Pay as you go</v>
      </c>
    </row>
    <row r="769" spans="1:6" x14ac:dyDescent="0.25">
      <c r="A769">
        <v>94.884999999999991</v>
      </c>
      <c r="B769">
        <v>103.85018703543551</v>
      </c>
      <c r="C769">
        <v>121.72071576971334</v>
      </c>
      <c r="D769">
        <v>183.85018703543551</v>
      </c>
      <c r="E769">
        <f t="shared" si="11"/>
        <v>94.884999999999991</v>
      </c>
      <c r="F769" t="str" cm="1">
        <f t="array" ref="F769">INDEX({"Pay as you go","Prediction_Pack","Prediction_Payasyougo',""Competitor"},MATCH(MIN(A769:D769),A769:D769,0))</f>
        <v>Pay as you go</v>
      </c>
    </row>
    <row r="770" spans="1:6" x14ac:dyDescent="0.25">
      <c r="A770">
        <v>74.971999999999994</v>
      </c>
      <c r="B770">
        <v>83.598022385262126</v>
      </c>
      <c r="C770">
        <v>86.898581163046046</v>
      </c>
      <c r="D770">
        <v>148.59802238526211</v>
      </c>
      <c r="E770">
        <f t="shared" si="11"/>
        <v>74.971999999999994</v>
      </c>
      <c r="F770" t="str" cm="1">
        <f t="array" ref="F770">INDEX({"Pay as you go","Prediction_Pack","Prediction_Payasyougo',""Competitor"},MATCH(MIN(A770:D770),A770:D770,0))</f>
        <v>Pay as you go</v>
      </c>
    </row>
    <row r="771" spans="1:6" x14ac:dyDescent="0.25">
      <c r="A771">
        <v>81.197000000000003</v>
      </c>
      <c r="B771">
        <v>107.39268888348471</v>
      </c>
      <c r="C771">
        <v>122.54712065500351</v>
      </c>
      <c r="D771">
        <v>162.39268888348471</v>
      </c>
      <c r="E771">
        <f t="shared" si="11"/>
        <v>81.197000000000003</v>
      </c>
      <c r="F771" t="str" cm="1">
        <f t="array" ref="F771">INDEX({"Pay as you go","Prediction_Pack","Prediction_Payasyougo',""Competitor"},MATCH(MIN(A771:D771),A771:D771,0))</f>
        <v>Pay as you go</v>
      </c>
    </row>
    <row r="772" spans="1:6" x14ac:dyDescent="0.25">
      <c r="A772">
        <v>162.399</v>
      </c>
      <c r="B772">
        <v>194.01141446667671</v>
      </c>
      <c r="C772">
        <v>279.05034507742255</v>
      </c>
      <c r="D772">
        <v>301.01141446667674</v>
      </c>
      <c r="E772">
        <f t="shared" si="11"/>
        <v>162.399</v>
      </c>
      <c r="F772" t="str" cm="1">
        <f t="array" ref="F772">INDEX({"Pay as you go","Prediction_Pack","Prediction_Payasyougo',""Competitor"},MATCH(MIN(A772:D772),A772:D772,0))</f>
        <v>Pay as you go</v>
      </c>
    </row>
    <row r="773" spans="1:6" x14ac:dyDescent="0.25">
      <c r="A773">
        <v>161.9</v>
      </c>
      <c r="B773">
        <v>184.76999616773858</v>
      </c>
      <c r="C773">
        <v>264.45934903104751</v>
      </c>
      <c r="D773">
        <v>294.76999616773861</v>
      </c>
      <c r="E773">
        <f t="shared" si="11"/>
        <v>161.9</v>
      </c>
      <c r="F773" t="str" cm="1">
        <f t="array" ref="F773">INDEX({"Pay as you go","Prediction_Pack","Prediction_Payasyougo',""Competitor"},MATCH(MIN(A773:D773),A773:D773,0))</f>
        <v>Pay as you go</v>
      </c>
    </row>
    <row r="774" spans="1:6" x14ac:dyDescent="0.25">
      <c r="A774">
        <v>124.92100000000001</v>
      </c>
      <c r="B774">
        <v>140.89094073369725</v>
      </c>
      <c r="C774">
        <v>189.44939159388474</v>
      </c>
      <c r="D774">
        <v>234.89094073369725</v>
      </c>
      <c r="E774">
        <f t="shared" si="11"/>
        <v>124.92100000000001</v>
      </c>
      <c r="F774" t="str" cm="1">
        <f t="array" ref="F774">INDEX({"Pay as you go","Prediction_Pack","Prediction_Payasyougo',""Competitor"},MATCH(MIN(A774:D774),A774:D774,0))</f>
        <v>Pay as you go</v>
      </c>
    </row>
    <row r="775" spans="1:6" x14ac:dyDescent="0.25">
      <c r="A775">
        <v>149.33199999999999</v>
      </c>
      <c r="B775">
        <v>155.32402704759653</v>
      </c>
      <c r="C775">
        <v>214.13716198531694</v>
      </c>
      <c r="D775">
        <v>273.32402704759653</v>
      </c>
      <c r="E775">
        <f t="shared" si="11"/>
        <v>149.33199999999999</v>
      </c>
      <c r="F775" t="str" cm="1">
        <f t="array" ref="F775">INDEX({"Pay as you go","Prediction_Pack","Prediction_Payasyougo',""Competitor"},MATCH(MIN(A775:D775),A775:D775,0))</f>
        <v>Pay as you go</v>
      </c>
    </row>
    <row r="776" spans="1:6" x14ac:dyDescent="0.25">
      <c r="A776">
        <v>130.63400000000001</v>
      </c>
      <c r="B776">
        <v>134.22974889331439</v>
      </c>
      <c r="C776">
        <v>185.0916456260656</v>
      </c>
      <c r="D776">
        <v>242.22974889331439</v>
      </c>
      <c r="E776">
        <f t="shared" si="11"/>
        <v>130.63400000000001</v>
      </c>
      <c r="F776" t="str" cm="1">
        <f t="array" ref="F776">INDEX({"Pay as you go","Prediction_Pack","Prediction_Payasyougo',""Competitor"},MATCH(MIN(A776:D776),A776:D776,0))</f>
        <v>Pay as you go</v>
      </c>
    </row>
    <row r="777" spans="1:6" x14ac:dyDescent="0.25">
      <c r="A777">
        <v>107.143</v>
      </c>
      <c r="B777">
        <v>122.88332517889947</v>
      </c>
      <c r="C777">
        <v>157.31385936083311</v>
      </c>
      <c r="D777">
        <v>196.88332517889947</v>
      </c>
      <c r="E777">
        <f t="shared" ref="E777:E840" si="12">MIN(A777:D777)</f>
        <v>107.143</v>
      </c>
      <c r="F777" t="str" cm="1">
        <f t="array" ref="F777">INDEX({"Pay as you go","Prediction_Pack","Prediction_Payasyougo',""Competitor"},MATCH(MIN(A777:D777),A777:D777,0))</f>
        <v>Pay as you go</v>
      </c>
    </row>
    <row r="778" spans="1:6" x14ac:dyDescent="0.25">
      <c r="A778">
        <v>205.73500000000001</v>
      </c>
      <c r="B778">
        <v>224.99993365019151</v>
      </c>
      <c r="C778">
        <v>336.75377860772846</v>
      </c>
      <c r="D778">
        <v>364.99993365019151</v>
      </c>
      <c r="E778">
        <f t="shared" si="12"/>
        <v>205.73500000000001</v>
      </c>
      <c r="F778" t="str" cm="1">
        <f t="array" ref="F778">INDEX({"Pay as you go","Prediction_Pack","Prediction_Payasyougo',""Competitor"},MATCH(MIN(A778:D778),A778:D778,0))</f>
        <v>Pay as you go</v>
      </c>
    </row>
    <row r="779" spans="1:6" x14ac:dyDescent="0.25">
      <c r="A779">
        <v>104.468</v>
      </c>
      <c r="B779">
        <v>141.94701475645104</v>
      </c>
      <c r="C779">
        <v>196.03432932693525</v>
      </c>
      <c r="D779">
        <v>205.94701475645104</v>
      </c>
      <c r="E779">
        <f t="shared" si="12"/>
        <v>104.468</v>
      </c>
      <c r="F779" t="str" cm="1">
        <f t="array" ref="F779">INDEX({"Pay as you go","Prediction_Pack","Prediction_Payasyougo',""Competitor"},MATCH(MIN(A779:D779),A779:D779,0))</f>
        <v>Pay as you go</v>
      </c>
    </row>
    <row r="780" spans="1:6" x14ac:dyDescent="0.25">
      <c r="A780">
        <v>77.121000000000009</v>
      </c>
      <c r="B780">
        <v>92.652925100276406</v>
      </c>
      <c r="C780">
        <v>90.037842979765571</v>
      </c>
      <c r="D780">
        <v>159.65292510027641</v>
      </c>
      <c r="E780">
        <f t="shared" si="12"/>
        <v>77.121000000000009</v>
      </c>
      <c r="F780" t="str" cm="1">
        <f t="array" ref="F780">INDEX({"Pay as you go","Prediction_Pack","Prediction_Payasyougo',""Competitor"},MATCH(MIN(A780:D780),A780:D780,0))</f>
        <v>Pay as you go</v>
      </c>
    </row>
    <row r="781" spans="1:6" x14ac:dyDescent="0.25">
      <c r="A781">
        <v>105.83500000000001</v>
      </c>
      <c r="B781">
        <v>140.78568340142968</v>
      </c>
      <c r="C781">
        <v>200.4116483412287</v>
      </c>
      <c r="D781">
        <v>199.78568340142968</v>
      </c>
      <c r="E781">
        <f t="shared" si="12"/>
        <v>105.83500000000001</v>
      </c>
      <c r="F781" t="str" cm="1">
        <f t="array" ref="F781">INDEX({"Pay as you go","Prediction_Pack","Prediction_Payasyougo',""Competitor"},MATCH(MIN(A781:D781),A781:D781,0))</f>
        <v>Pay as you go</v>
      </c>
    </row>
    <row r="782" spans="1:6" x14ac:dyDescent="0.25">
      <c r="A782">
        <v>103.34399999999999</v>
      </c>
      <c r="B782">
        <v>117.52725360688774</v>
      </c>
      <c r="C782">
        <v>152.73126318447001</v>
      </c>
      <c r="D782">
        <v>200.52725360688774</v>
      </c>
      <c r="E782">
        <f t="shared" si="12"/>
        <v>103.34399999999999</v>
      </c>
      <c r="F782" t="str" cm="1">
        <f t="array" ref="F782">INDEX({"Pay as you go","Prediction_Pack","Prediction_Payasyougo',""Competitor"},MATCH(MIN(A782:D782),A782:D782,0))</f>
        <v>Pay as you go</v>
      </c>
    </row>
    <row r="783" spans="1:6" x14ac:dyDescent="0.25">
      <c r="A783">
        <v>106.511</v>
      </c>
      <c r="B783">
        <v>120.83427746234619</v>
      </c>
      <c r="C783">
        <v>148.54437436835738</v>
      </c>
      <c r="D783">
        <v>209.83427746234617</v>
      </c>
      <c r="E783">
        <f t="shared" si="12"/>
        <v>106.511</v>
      </c>
      <c r="F783" t="str" cm="1">
        <f t="array" ref="F783">INDEX({"Pay as you go","Prediction_Pack","Prediction_Payasyougo',""Competitor"},MATCH(MIN(A783:D783),A783:D783,0))</f>
        <v>Pay as you go</v>
      </c>
    </row>
    <row r="784" spans="1:6" x14ac:dyDescent="0.25">
      <c r="A784">
        <v>129.11799999999999</v>
      </c>
      <c r="B784">
        <v>136.5111391886287</v>
      </c>
      <c r="C784">
        <v>177.75124009918028</v>
      </c>
      <c r="D784">
        <v>244.5111391886287</v>
      </c>
      <c r="E784">
        <f t="shared" si="12"/>
        <v>129.11799999999999</v>
      </c>
      <c r="F784" t="str" cm="1">
        <f t="array" ref="F784">INDEX({"Pay as you go","Prediction_Pack","Prediction_Payasyougo',""Competitor"},MATCH(MIN(A784:D784),A784:D784,0))</f>
        <v>Pay as you go</v>
      </c>
    </row>
    <row r="785" spans="1:6" x14ac:dyDescent="0.25">
      <c r="A785">
        <v>141.50900000000001</v>
      </c>
      <c r="B785">
        <v>165.20739413706832</v>
      </c>
      <c r="C785">
        <v>223.7983025308026</v>
      </c>
      <c r="D785">
        <v>265.20739413706832</v>
      </c>
      <c r="E785">
        <f t="shared" si="12"/>
        <v>141.50900000000001</v>
      </c>
      <c r="F785" t="str" cm="1">
        <f t="array" ref="F785">INDEX({"Pay as you go","Prediction_Pack","Prediction_Payasyougo',""Competitor"},MATCH(MIN(A785:D785),A785:D785,0))</f>
        <v>Pay as you go</v>
      </c>
    </row>
    <row r="786" spans="1:6" x14ac:dyDescent="0.25">
      <c r="A786">
        <v>169.45500000000001</v>
      </c>
      <c r="B786">
        <v>200.71450959863947</v>
      </c>
      <c r="C786">
        <v>296.61482346925266</v>
      </c>
      <c r="D786">
        <v>314.71450959863949</v>
      </c>
      <c r="E786">
        <f t="shared" si="12"/>
        <v>169.45500000000001</v>
      </c>
      <c r="F786" t="str" cm="1">
        <f t="array" ref="F786">INDEX({"Pay as you go","Prediction_Pack","Prediction_Payasyougo',""Competitor"},MATCH(MIN(A786:D786),A786:D786,0))</f>
        <v>Pay as you go</v>
      </c>
    </row>
    <row r="787" spans="1:6" x14ac:dyDescent="0.25">
      <c r="A787">
        <v>123.029</v>
      </c>
      <c r="B787">
        <v>135.35301128847888</v>
      </c>
      <c r="C787">
        <v>184.50080443353733</v>
      </c>
      <c r="D787">
        <v>228.35301128847888</v>
      </c>
      <c r="E787">
        <f t="shared" si="12"/>
        <v>123.029</v>
      </c>
      <c r="F787" t="str" cm="1">
        <f t="array" ref="F787">INDEX({"Pay as you go","Prediction_Pack","Prediction_Payasyougo',""Competitor"},MATCH(MIN(A787:D787),A787:D787,0))</f>
        <v>Pay as you go</v>
      </c>
    </row>
    <row r="788" spans="1:6" x14ac:dyDescent="0.25">
      <c r="A788">
        <v>116.354</v>
      </c>
      <c r="B788">
        <v>124.42194556302732</v>
      </c>
      <c r="C788">
        <v>157.32162044503943</v>
      </c>
      <c r="D788">
        <v>214.42194556302732</v>
      </c>
      <c r="E788">
        <f t="shared" si="12"/>
        <v>116.354</v>
      </c>
      <c r="F788" t="str" cm="1">
        <f t="array" ref="F788">INDEX({"Pay as you go","Prediction_Pack","Prediction_Payasyougo',""Competitor"},MATCH(MIN(A788:D788),A788:D788,0))</f>
        <v>Pay as you go</v>
      </c>
    </row>
    <row r="789" spans="1:6" x14ac:dyDescent="0.25">
      <c r="A789">
        <v>88.084000000000003</v>
      </c>
      <c r="B789">
        <v>112.93073449217212</v>
      </c>
      <c r="C789">
        <v>133.55225388449745</v>
      </c>
      <c r="D789">
        <v>179.93073449217212</v>
      </c>
      <c r="E789">
        <f t="shared" si="12"/>
        <v>88.084000000000003</v>
      </c>
      <c r="F789" t="str" cm="1">
        <f t="array" ref="F789">INDEX({"Pay as you go","Prediction_Pack","Prediction_Payasyougo',""Competitor"},MATCH(MIN(A789:D789),A789:D789,0))</f>
        <v>Pay as you go</v>
      </c>
    </row>
    <row r="790" spans="1:6" x14ac:dyDescent="0.25">
      <c r="A790">
        <v>83.286999999999992</v>
      </c>
      <c r="B790">
        <v>91.998796699584858</v>
      </c>
      <c r="C790">
        <v>103.99096642794458</v>
      </c>
      <c r="D790">
        <v>163.99879669958486</v>
      </c>
      <c r="E790">
        <f t="shared" si="12"/>
        <v>83.286999999999992</v>
      </c>
      <c r="F790" t="str" cm="1">
        <f t="array" ref="F790">INDEX({"Pay as you go","Prediction_Pack","Prediction_Payasyougo',""Competitor"},MATCH(MIN(A790:D790),A790:D790,0))</f>
        <v>Pay as you go</v>
      </c>
    </row>
    <row r="791" spans="1:6" x14ac:dyDescent="0.25">
      <c r="A791">
        <v>153.006</v>
      </c>
      <c r="B791">
        <v>199.73015287901515</v>
      </c>
      <c r="C791">
        <v>288.84627939607225</v>
      </c>
      <c r="D791">
        <v>288.73015287901518</v>
      </c>
      <c r="E791">
        <f t="shared" si="12"/>
        <v>153.006</v>
      </c>
      <c r="F791" t="str" cm="1">
        <f t="array" ref="F791">INDEX({"Pay as you go","Prediction_Pack","Prediction_Payasyougo',""Competitor"},MATCH(MIN(A791:D791),A791:D791,0))</f>
        <v>Pay as you go</v>
      </c>
    </row>
    <row r="792" spans="1:6" x14ac:dyDescent="0.25">
      <c r="A792">
        <v>73.851000000000013</v>
      </c>
      <c r="B792">
        <v>87.290210619432997</v>
      </c>
      <c r="C792">
        <v>98.409813123253727</v>
      </c>
      <c r="D792">
        <v>148.290210619433</v>
      </c>
      <c r="E792">
        <f t="shared" si="12"/>
        <v>73.851000000000013</v>
      </c>
      <c r="F792" t="str" cm="1">
        <f t="array" ref="F792">INDEX({"Pay as you go","Prediction_Pack","Prediction_Payasyougo',""Competitor"},MATCH(MIN(A792:D792),A792:D792,0))</f>
        <v>Pay as you go</v>
      </c>
    </row>
    <row r="793" spans="1:6" x14ac:dyDescent="0.25">
      <c r="A793">
        <v>178.83100000000002</v>
      </c>
      <c r="B793">
        <v>213.71333162338209</v>
      </c>
      <c r="C793">
        <v>314.75684988026507</v>
      </c>
      <c r="D793">
        <v>330.71333162338209</v>
      </c>
      <c r="E793">
        <f t="shared" si="12"/>
        <v>178.83100000000002</v>
      </c>
      <c r="F793" t="str" cm="1">
        <f t="array" ref="F793">INDEX({"Pay as you go","Prediction_Pack","Prediction_Payasyougo',""Competitor"},MATCH(MIN(A793:D793),A793:D793,0))</f>
        <v>Pay as you go</v>
      </c>
    </row>
    <row r="794" spans="1:6" x14ac:dyDescent="0.25">
      <c r="A794">
        <v>163.70500000000001</v>
      </c>
      <c r="B794">
        <v>181.04979824594682</v>
      </c>
      <c r="C794">
        <v>262.57567628526033</v>
      </c>
      <c r="D794">
        <v>295.04979824594682</v>
      </c>
      <c r="E794">
        <f t="shared" si="12"/>
        <v>163.70500000000001</v>
      </c>
      <c r="F794" t="str" cm="1">
        <f t="array" ref="F794">INDEX({"Pay as you go","Prediction_Pack","Prediction_Payasyougo',""Competitor"},MATCH(MIN(A794:D794),A794:D794,0))</f>
        <v>Pay as you go</v>
      </c>
    </row>
    <row r="795" spans="1:6" x14ac:dyDescent="0.25">
      <c r="A795">
        <v>164.107</v>
      </c>
      <c r="B795">
        <v>183.24523912076964</v>
      </c>
      <c r="C795">
        <v>251.4650409576121</v>
      </c>
      <c r="D795">
        <v>303.24523912076961</v>
      </c>
      <c r="E795">
        <f t="shared" si="12"/>
        <v>164.107</v>
      </c>
      <c r="F795" t="str" cm="1">
        <f t="array" ref="F795">INDEX({"Pay as you go","Prediction_Pack","Prediction_Payasyougo',""Competitor"},MATCH(MIN(A795:D795),A795:D795,0))</f>
        <v>Pay as you go</v>
      </c>
    </row>
    <row r="796" spans="1:6" x14ac:dyDescent="0.25">
      <c r="A796">
        <v>226.71100000000001</v>
      </c>
      <c r="B796">
        <v>271.68569828083304</v>
      </c>
      <c r="C796">
        <v>415.98017501792924</v>
      </c>
      <c r="D796">
        <v>408.68569828083304</v>
      </c>
      <c r="E796">
        <f t="shared" si="12"/>
        <v>226.71100000000001</v>
      </c>
      <c r="F796" t="str" cm="1">
        <f t="array" ref="F796">INDEX({"Pay as you go","Prediction_Pack","Prediction_Payasyougo',""Competitor"},MATCH(MIN(A796:D796),A796:D796,0))</f>
        <v>Pay as you go</v>
      </c>
    </row>
    <row r="797" spans="1:6" x14ac:dyDescent="0.25">
      <c r="A797">
        <v>128.345</v>
      </c>
      <c r="B797">
        <v>132.82898250804374</v>
      </c>
      <c r="C797">
        <v>155.8026255152904</v>
      </c>
      <c r="D797">
        <v>244.82898250804374</v>
      </c>
      <c r="E797">
        <f t="shared" si="12"/>
        <v>128.345</v>
      </c>
      <c r="F797" t="str" cm="1">
        <f t="array" ref="F797">INDEX({"Pay as you go","Prediction_Pack","Prediction_Payasyougo',""Competitor"},MATCH(MIN(A797:D797),A797:D797,0))</f>
        <v>Pay as you go</v>
      </c>
    </row>
    <row r="798" spans="1:6" x14ac:dyDescent="0.25">
      <c r="A798">
        <v>118.74000000000001</v>
      </c>
      <c r="B798">
        <v>123.7978195228234</v>
      </c>
      <c r="C798">
        <v>161.53509067370834</v>
      </c>
      <c r="D798">
        <v>223.79781952282337</v>
      </c>
      <c r="E798">
        <f t="shared" si="12"/>
        <v>118.74000000000001</v>
      </c>
      <c r="F798" t="str" cm="1">
        <f t="array" ref="F798">INDEX({"Pay as you go","Prediction_Pack","Prediction_Payasyougo',""Competitor"},MATCH(MIN(A798:D798),A798:D798,0))</f>
        <v>Pay as you go</v>
      </c>
    </row>
    <row r="799" spans="1:6" x14ac:dyDescent="0.25">
      <c r="A799">
        <v>132.959</v>
      </c>
      <c r="B799">
        <v>145.78729060523153</v>
      </c>
      <c r="C799">
        <v>195.08872205475987</v>
      </c>
      <c r="D799">
        <v>235.78729060523153</v>
      </c>
      <c r="E799">
        <f t="shared" si="12"/>
        <v>132.959</v>
      </c>
      <c r="F799" t="str" cm="1">
        <f t="array" ref="F799">INDEX({"Pay as you go","Prediction_Pack","Prediction_Payasyougo',""Competitor"},MATCH(MIN(A799:D799),A799:D799,0))</f>
        <v>Pay as you go</v>
      </c>
    </row>
    <row r="800" spans="1:6" x14ac:dyDescent="0.25">
      <c r="A800">
        <v>97.085999999999999</v>
      </c>
      <c r="B800">
        <v>111.41946017110634</v>
      </c>
      <c r="C800">
        <v>125.46128850227234</v>
      </c>
      <c r="D800">
        <v>198.41946017110632</v>
      </c>
      <c r="E800">
        <f t="shared" si="12"/>
        <v>97.085999999999999</v>
      </c>
      <c r="F800" t="str" cm="1">
        <f t="array" ref="F800">INDEX({"Pay as you go","Prediction_Pack","Prediction_Payasyougo',""Competitor"},MATCH(MIN(A800:D800),A800:D800,0))</f>
        <v>Pay as you go</v>
      </c>
    </row>
    <row r="801" spans="1:6" x14ac:dyDescent="0.25">
      <c r="A801">
        <v>124.342</v>
      </c>
      <c r="B801">
        <v>150.00788992236406</v>
      </c>
      <c r="C801">
        <v>191.30041760944266</v>
      </c>
      <c r="D801">
        <v>241.00788992236406</v>
      </c>
      <c r="E801">
        <f t="shared" si="12"/>
        <v>124.342</v>
      </c>
      <c r="F801" t="str" cm="1">
        <f t="array" ref="F801">INDEX({"Pay as you go","Prediction_Pack","Prediction_Payasyougo',""Competitor"},MATCH(MIN(A801:D801),A801:D801,0))</f>
        <v>Pay as you go</v>
      </c>
    </row>
    <row r="802" spans="1:6" x14ac:dyDescent="0.25">
      <c r="A802">
        <v>106.08800000000001</v>
      </c>
      <c r="B802">
        <v>124.00504647456842</v>
      </c>
      <c r="C802">
        <v>157.96561394916435</v>
      </c>
      <c r="D802">
        <v>204.00504647456842</v>
      </c>
      <c r="E802">
        <f t="shared" si="12"/>
        <v>106.08800000000001</v>
      </c>
      <c r="F802" t="str" cm="1">
        <f t="array" ref="F802">INDEX({"Pay as you go","Prediction_Pack","Prediction_Payasyougo',""Competitor"},MATCH(MIN(A802:D802),A802:D802,0))</f>
        <v>Pay as you go</v>
      </c>
    </row>
    <row r="803" spans="1:6" x14ac:dyDescent="0.25">
      <c r="A803">
        <v>134.65600000000001</v>
      </c>
      <c r="B803">
        <v>144.16974958359998</v>
      </c>
      <c r="C803">
        <v>181.06534150673176</v>
      </c>
      <c r="D803">
        <v>254.16974958359998</v>
      </c>
      <c r="E803">
        <f t="shared" si="12"/>
        <v>134.65600000000001</v>
      </c>
      <c r="F803" t="str" cm="1">
        <f t="array" ref="F803">INDEX({"Pay as you go","Prediction_Pack","Prediction_Payasyougo',""Competitor"},MATCH(MIN(A803:D803),A803:D803,0))</f>
        <v>Pay as you go</v>
      </c>
    </row>
    <row r="804" spans="1:6" x14ac:dyDescent="0.25">
      <c r="A804">
        <v>122.944</v>
      </c>
      <c r="B804">
        <v>132.76393735382831</v>
      </c>
      <c r="C804">
        <v>161.88780786989258</v>
      </c>
      <c r="D804">
        <v>234.76393735382828</v>
      </c>
      <c r="E804">
        <f t="shared" si="12"/>
        <v>122.944</v>
      </c>
      <c r="F804" t="str" cm="1">
        <f t="array" ref="F804">INDEX({"Pay as you go","Prediction_Pack","Prediction_Payasyougo',""Competitor"},MATCH(MIN(A804:D804),A804:D804,0))</f>
        <v>Pay as you go</v>
      </c>
    </row>
    <row r="805" spans="1:6" x14ac:dyDescent="0.25">
      <c r="A805">
        <v>128.35599999999999</v>
      </c>
      <c r="B805">
        <v>136.48507804236482</v>
      </c>
      <c r="C805">
        <v>179.82943280446514</v>
      </c>
      <c r="D805">
        <v>234.48507804236482</v>
      </c>
      <c r="E805">
        <f t="shared" si="12"/>
        <v>128.35599999999999</v>
      </c>
      <c r="F805" t="str" cm="1">
        <f t="array" ref="F805">INDEX({"Pay as you go","Prediction_Pack","Prediction_Payasyougo',""Competitor"},MATCH(MIN(A805:D805),A805:D805,0))</f>
        <v>Pay as you go</v>
      </c>
    </row>
    <row r="806" spans="1:6" x14ac:dyDescent="0.25">
      <c r="A806">
        <v>119.661</v>
      </c>
      <c r="B806">
        <v>145.26251951436021</v>
      </c>
      <c r="C806">
        <v>194.46626672238023</v>
      </c>
      <c r="D806">
        <v>230.26251951436021</v>
      </c>
      <c r="E806">
        <f t="shared" si="12"/>
        <v>119.661</v>
      </c>
      <c r="F806" t="str" cm="1">
        <f t="array" ref="F806">INDEX({"Pay as you go","Prediction_Pack","Prediction_Payasyougo',""Competitor"},MATCH(MIN(A806:D806),A806:D806,0))</f>
        <v>Pay as you go</v>
      </c>
    </row>
    <row r="807" spans="1:6" x14ac:dyDescent="0.25">
      <c r="A807">
        <v>116.913</v>
      </c>
      <c r="B807">
        <v>130.67098599597313</v>
      </c>
      <c r="C807">
        <v>181.7967966484602</v>
      </c>
      <c r="D807">
        <v>217.67098599597313</v>
      </c>
      <c r="E807">
        <f t="shared" si="12"/>
        <v>116.913</v>
      </c>
      <c r="F807" t="str" cm="1">
        <f t="array" ref="F807">INDEX({"Pay as you go","Prediction_Pack","Prediction_Payasyougo',""Competitor"},MATCH(MIN(A807:D807),A807:D807,0))</f>
        <v>Pay as you go</v>
      </c>
    </row>
    <row r="808" spans="1:6" x14ac:dyDescent="0.25">
      <c r="A808">
        <v>95.885000000000005</v>
      </c>
      <c r="B808">
        <v>123.79581376732671</v>
      </c>
      <c r="C808">
        <v>160.5139668929007</v>
      </c>
      <c r="D808">
        <v>188.79581376732671</v>
      </c>
      <c r="E808">
        <f t="shared" si="12"/>
        <v>95.885000000000005</v>
      </c>
      <c r="F808" t="str" cm="1">
        <f t="array" ref="F808">INDEX({"Pay as you go","Prediction_Pack","Prediction_Payasyougo',""Competitor"},MATCH(MIN(A808:D808),A808:D808,0))</f>
        <v>Pay as you go</v>
      </c>
    </row>
    <row r="809" spans="1:6" x14ac:dyDescent="0.25">
      <c r="A809">
        <v>97.538000000000011</v>
      </c>
      <c r="B809">
        <v>114.6474724255371</v>
      </c>
      <c r="C809">
        <v>135.20653048136489</v>
      </c>
      <c r="D809">
        <v>191.6474724255371</v>
      </c>
      <c r="E809">
        <f t="shared" si="12"/>
        <v>97.538000000000011</v>
      </c>
      <c r="F809" t="str" cm="1">
        <f t="array" ref="F809">INDEX({"Pay as you go","Prediction_Pack","Prediction_Payasyougo',""Competitor"},MATCH(MIN(A809:D809),A809:D809,0))</f>
        <v>Pay as you go</v>
      </c>
    </row>
    <row r="810" spans="1:6" x14ac:dyDescent="0.25">
      <c r="A810">
        <v>123.944</v>
      </c>
      <c r="B810">
        <v>152.31787802233814</v>
      </c>
      <c r="C810">
        <v>202.30409988851625</v>
      </c>
      <c r="D810">
        <v>239.31787802233811</v>
      </c>
      <c r="E810">
        <f t="shared" si="12"/>
        <v>123.944</v>
      </c>
      <c r="F810" t="str" cm="1">
        <f t="array" ref="F810">INDEX({"Pay as you go","Prediction_Pack","Prediction_Payasyougo',""Competitor"},MATCH(MIN(A810:D810),A810:D810,0))</f>
        <v>Pay as you go</v>
      </c>
    </row>
    <row r="811" spans="1:6" x14ac:dyDescent="0.25">
      <c r="A811">
        <v>122.044</v>
      </c>
      <c r="B811">
        <v>139.83055008616185</v>
      </c>
      <c r="C811">
        <v>188.1710411499665</v>
      </c>
      <c r="D811">
        <v>223.83055008616182</v>
      </c>
      <c r="E811">
        <f t="shared" si="12"/>
        <v>122.044</v>
      </c>
      <c r="F811" t="str" cm="1">
        <f t="array" ref="F811">INDEX({"Pay as you go","Prediction_Pack","Prediction_Payasyougo',""Competitor"},MATCH(MIN(A811:D811),A811:D811,0))</f>
        <v>Pay as you go</v>
      </c>
    </row>
    <row r="812" spans="1:6" x14ac:dyDescent="0.25">
      <c r="A812">
        <v>84.363000000000014</v>
      </c>
      <c r="B812">
        <v>110.24441886298136</v>
      </c>
      <c r="C812">
        <v>127.24341396531278</v>
      </c>
      <c r="D812">
        <v>166.24441886298135</v>
      </c>
      <c r="E812">
        <f t="shared" si="12"/>
        <v>84.363000000000014</v>
      </c>
      <c r="F812" t="str" cm="1">
        <f t="array" ref="F812">INDEX({"Pay as you go","Prediction_Pack","Prediction_Payasyougo',""Competitor"},MATCH(MIN(A812:D812),A812:D812,0))</f>
        <v>Pay as you go</v>
      </c>
    </row>
    <row r="813" spans="1:6" x14ac:dyDescent="0.25">
      <c r="A813">
        <v>112.777</v>
      </c>
      <c r="B813">
        <v>131.93984219230424</v>
      </c>
      <c r="C813">
        <v>158.29296492278863</v>
      </c>
      <c r="D813">
        <v>218.93984219230424</v>
      </c>
      <c r="E813">
        <f t="shared" si="12"/>
        <v>112.777</v>
      </c>
      <c r="F813" t="str" cm="1">
        <f t="array" ref="F813">INDEX({"Pay as you go","Prediction_Pack","Prediction_Payasyougo',""Competitor"},MATCH(MIN(A813:D813),A813:D813,0))</f>
        <v>Pay as you go</v>
      </c>
    </row>
    <row r="814" spans="1:6" x14ac:dyDescent="0.25">
      <c r="A814">
        <v>121.268</v>
      </c>
      <c r="B814">
        <v>118.01255616489152</v>
      </c>
      <c r="C814">
        <v>149.21854823258548</v>
      </c>
      <c r="D814">
        <v>222.01255616489152</v>
      </c>
      <c r="E814">
        <f t="shared" si="12"/>
        <v>118.01255616489152</v>
      </c>
      <c r="F814" t="str" cm="1">
        <f t="array" ref="F814">INDEX({"Pay as you go","Prediction_Pack","Prediction_Payasyougo',""Competitor"},MATCH(MIN(A814:D814),A814:D814,0))</f>
        <v>Prediction_Pack</v>
      </c>
    </row>
    <row r="815" spans="1:6" x14ac:dyDescent="0.25">
      <c r="A815">
        <v>96.680999999999997</v>
      </c>
      <c r="B815">
        <v>110.96617571520653</v>
      </c>
      <c r="C815">
        <v>138.95690923228761</v>
      </c>
      <c r="D815">
        <v>187.9661757152065</v>
      </c>
      <c r="E815">
        <f t="shared" si="12"/>
        <v>96.680999999999997</v>
      </c>
      <c r="F815" t="str" cm="1">
        <f t="array" ref="F815">INDEX({"Pay as you go","Prediction_Pack","Prediction_Payasyougo',""Competitor"},MATCH(MIN(A815:D815),A815:D815,0))</f>
        <v>Pay as you go</v>
      </c>
    </row>
    <row r="816" spans="1:6" x14ac:dyDescent="0.25">
      <c r="A816">
        <v>111.774</v>
      </c>
      <c r="B816">
        <v>135.73021155284238</v>
      </c>
      <c r="C816">
        <v>178.82541119955607</v>
      </c>
      <c r="D816">
        <v>218.73021155284235</v>
      </c>
      <c r="E816">
        <f t="shared" si="12"/>
        <v>111.774</v>
      </c>
      <c r="F816" t="str" cm="1">
        <f t="array" ref="F816">INDEX({"Pay as you go","Prediction_Pack","Prediction_Payasyougo',""Competitor"},MATCH(MIN(A816:D816),A816:D816,0))</f>
        <v>Pay as you go</v>
      </c>
    </row>
    <row r="817" spans="1:6" x14ac:dyDescent="0.25">
      <c r="A817">
        <v>164.38</v>
      </c>
      <c r="B817">
        <v>201.72759787705971</v>
      </c>
      <c r="C817">
        <v>288.12486269106756</v>
      </c>
      <c r="D817">
        <v>305.72759787705974</v>
      </c>
      <c r="E817">
        <f t="shared" si="12"/>
        <v>164.38</v>
      </c>
      <c r="F817" t="str" cm="1">
        <f t="array" ref="F817">INDEX({"Pay as you go","Prediction_Pack","Prediction_Payasyougo',""Competitor"},MATCH(MIN(A817:D817),A817:D817,0))</f>
        <v>Pay as you go</v>
      </c>
    </row>
    <row r="818" spans="1:6" x14ac:dyDescent="0.25">
      <c r="A818">
        <v>119.77300000000001</v>
      </c>
      <c r="B818">
        <v>140.30690490194297</v>
      </c>
      <c r="C818">
        <v>183.57742383113552</v>
      </c>
      <c r="D818">
        <v>229.30690490194294</v>
      </c>
      <c r="E818">
        <f t="shared" si="12"/>
        <v>119.77300000000001</v>
      </c>
      <c r="F818" t="str" cm="1">
        <f t="array" ref="F818">INDEX({"Pay as you go","Prediction_Pack","Prediction_Payasyougo',""Competitor"},MATCH(MIN(A818:D818),A818:D818,0))</f>
        <v>Pay as you go</v>
      </c>
    </row>
    <row r="819" spans="1:6" x14ac:dyDescent="0.25">
      <c r="A819">
        <v>73.691000000000003</v>
      </c>
      <c r="B819">
        <v>86.379735439974326</v>
      </c>
      <c r="C819">
        <v>84.628774651351875</v>
      </c>
      <c r="D819">
        <v>157.37973543997433</v>
      </c>
      <c r="E819">
        <f t="shared" si="12"/>
        <v>73.691000000000003</v>
      </c>
      <c r="F819" t="str" cm="1">
        <f t="array" ref="F819">INDEX({"Pay as you go","Prediction_Pack","Prediction_Payasyougo',""Competitor"},MATCH(MIN(A819:D819),A819:D819,0))</f>
        <v>Pay as you go</v>
      </c>
    </row>
    <row r="820" spans="1:6" x14ac:dyDescent="0.25">
      <c r="A820">
        <v>148.94199999999998</v>
      </c>
      <c r="B820">
        <v>167.06219273473795</v>
      </c>
      <c r="C820">
        <v>242.68369426704209</v>
      </c>
      <c r="D820">
        <v>273.06219273473795</v>
      </c>
      <c r="E820">
        <f t="shared" si="12"/>
        <v>148.94199999999998</v>
      </c>
      <c r="F820" t="str" cm="1">
        <f t="array" ref="F820">INDEX({"Pay as you go","Prediction_Pack","Prediction_Payasyougo',""Competitor"},MATCH(MIN(A820:D820),A820:D820,0))</f>
        <v>Pay as you go</v>
      </c>
    </row>
    <row r="821" spans="1:6" x14ac:dyDescent="0.25">
      <c r="A821">
        <v>70.346000000000004</v>
      </c>
      <c r="B821">
        <v>83.650522645515125</v>
      </c>
      <c r="C821">
        <v>82.362030783576671</v>
      </c>
      <c r="D821">
        <v>143.65052264551511</v>
      </c>
      <c r="E821">
        <f t="shared" si="12"/>
        <v>70.346000000000004</v>
      </c>
      <c r="F821" t="str" cm="1">
        <f t="array" ref="F821">INDEX({"Pay as you go","Prediction_Pack","Prediction_Payasyougo',""Competitor"},MATCH(MIN(A821:D821),A821:D821,0))</f>
        <v>Pay as you go</v>
      </c>
    </row>
    <row r="822" spans="1:6" x14ac:dyDescent="0.25">
      <c r="A822">
        <v>51.024999999999999</v>
      </c>
      <c r="B822">
        <v>71.587615983439576</v>
      </c>
      <c r="C822">
        <v>66.465440078010005</v>
      </c>
      <c r="D822">
        <v>123.58761598343958</v>
      </c>
      <c r="E822">
        <f t="shared" si="12"/>
        <v>51.024999999999999</v>
      </c>
      <c r="F822" t="str" cm="1">
        <f t="array" ref="F822">INDEX({"Pay as you go","Prediction_Pack","Prediction_Payasyougo',""Competitor"},MATCH(MIN(A822:D822),A822:D822,0))</f>
        <v>Pay as you go</v>
      </c>
    </row>
    <row r="823" spans="1:6" x14ac:dyDescent="0.25">
      <c r="A823">
        <v>100.428</v>
      </c>
      <c r="B823">
        <v>113.39435582951286</v>
      </c>
      <c r="C823">
        <v>125.80670584944224</v>
      </c>
      <c r="D823">
        <v>200.39435582951285</v>
      </c>
      <c r="E823">
        <f t="shared" si="12"/>
        <v>100.428</v>
      </c>
      <c r="F823" t="str" cm="1">
        <f t="array" ref="F823">INDEX({"Pay as you go","Prediction_Pack","Prediction_Payasyougo',""Competitor"},MATCH(MIN(A823:D823),A823:D823,0))</f>
        <v>Pay as you go</v>
      </c>
    </row>
    <row r="824" spans="1:6" x14ac:dyDescent="0.25">
      <c r="A824">
        <v>87.438999999999993</v>
      </c>
      <c r="B824">
        <v>101.56916289376677</v>
      </c>
      <c r="C824">
        <v>104.67877801439917</v>
      </c>
      <c r="D824">
        <v>180.56916289376679</v>
      </c>
      <c r="E824">
        <f t="shared" si="12"/>
        <v>87.438999999999993</v>
      </c>
      <c r="F824" t="str" cm="1">
        <f t="array" ref="F824">INDEX({"Pay as you go","Prediction_Pack","Prediction_Payasyougo',""Competitor"},MATCH(MIN(A824:D824),A824:D824,0))</f>
        <v>Pay as you go</v>
      </c>
    </row>
    <row r="825" spans="1:6" x14ac:dyDescent="0.25">
      <c r="A825">
        <v>80.930999999999997</v>
      </c>
      <c r="B825">
        <v>105.62659611159071</v>
      </c>
      <c r="C825">
        <v>122.03336493676298</v>
      </c>
      <c r="D825">
        <v>170.62659611159071</v>
      </c>
      <c r="E825">
        <f t="shared" si="12"/>
        <v>80.930999999999997</v>
      </c>
      <c r="F825" t="str" cm="1">
        <f t="array" ref="F825">INDEX({"Pay as you go","Prediction_Pack","Prediction_Payasyougo',""Competitor"},MATCH(MIN(A825:D825),A825:D825,0))</f>
        <v>Pay as you go</v>
      </c>
    </row>
    <row r="826" spans="1:6" x14ac:dyDescent="0.25">
      <c r="A826">
        <v>191.76500000000001</v>
      </c>
      <c r="B826">
        <v>221.96169742165759</v>
      </c>
      <c r="C826">
        <v>334.95060566098937</v>
      </c>
      <c r="D826">
        <v>345.96169742165756</v>
      </c>
      <c r="E826">
        <f t="shared" si="12"/>
        <v>191.76500000000001</v>
      </c>
      <c r="F826" t="str" cm="1">
        <f t="array" ref="F826">INDEX({"Pay as you go","Prediction_Pack","Prediction_Payasyougo',""Competitor"},MATCH(MIN(A826:D826),A826:D826,0))</f>
        <v>Pay as you go</v>
      </c>
    </row>
    <row r="827" spans="1:6" x14ac:dyDescent="0.25">
      <c r="A827">
        <v>201.56399999999999</v>
      </c>
      <c r="B827">
        <v>229.03448746780469</v>
      </c>
      <c r="C827">
        <v>333.70854459362113</v>
      </c>
      <c r="D827">
        <v>365.03448746780469</v>
      </c>
      <c r="E827">
        <f t="shared" si="12"/>
        <v>201.56399999999999</v>
      </c>
      <c r="F827" t="str" cm="1">
        <f t="array" ref="F827">INDEX({"Pay as you go","Prediction_Pack","Prediction_Payasyougo',""Competitor"},MATCH(MIN(A827:D827),A827:D827,0))</f>
        <v>Pay as you go</v>
      </c>
    </row>
    <row r="828" spans="1:6" x14ac:dyDescent="0.25">
      <c r="A828">
        <v>151.82399999999998</v>
      </c>
      <c r="B828">
        <v>194.48575353777659</v>
      </c>
      <c r="C828">
        <v>279.52581501410458</v>
      </c>
      <c r="D828">
        <v>286.48575353777659</v>
      </c>
      <c r="E828">
        <f t="shared" si="12"/>
        <v>151.82399999999998</v>
      </c>
      <c r="F828" t="str" cm="1">
        <f t="array" ref="F828">INDEX({"Pay as you go","Prediction_Pack","Prediction_Payasyougo',""Competitor"},MATCH(MIN(A828:D828),A828:D828,0))</f>
        <v>Pay as you go</v>
      </c>
    </row>
    <row r="829" spans="1:6" x14ac:dyDescent="0.25">
      <c r="A829">
        <v>152.24400000000003</v>
      </c>
      <c r="B829">
        <v>160.13086292028106</v>
      </c>
      <c r="C829">
        <v>208.36721094796712</v>
      </c>
      <c r="D829">
        <v>279.13086292028106</v>
      </c>
      <c r="E829">
        <f t="shared" si="12"/>
        <v>152.24400000000003</v>
      </c>
      <c r="F829" t="str" cm="1">
        <f t="array" ref="F829">INDEX({"Pay as you go","Prediction_Pack","Prediction_Payasyougo',""Competitor"},MATCH(MIN(A829:D829),A829:D829,0))</f>
        <v>Pay as you go</v>
      </c>
    </row>
    <row r="830" spans="1:6" x14ac:dyDescent="0.25">
      <c r="A830">
        <v>117.398</v>
      </c>
      <c r="B830">
        <v>128.23139449752878</v>
      </c>
      <c r="C830">
        <v>146.3475436684038</v>
      </c>
      <c r="D830">
        <v>229.23139449752878</v>
      </c>
      <c r="E830">
        <f t="shared" si="12"/>
        <v>117.398</v>
      </c>
      <c r="F830" t="str" cm="1">
        <f t="array" ref="F830">INDEX({"Pay as you go","Prediction_Pack","Prediction_Payasyougo',""Competitor"},MATCH(MIN(A830:D830),A830:D830,0))</f>
        <v>Pay as you go</v>
      </c>
    </row>
    <row r="831" spans="1:6" x14ac:dyDescent="0.25">
      <c r="A831">
        <v>92.27000000000001</v>
      </c>
      <c r="B831">
        <v>95.923818581138946</v>
      </c>
      <c r="C831">
        <v>106.23468448182683</v>
      </c>
      <c r="D831">
        <v>178.92381858113896</v>
      </c>
      <c r="E831">
        <f t="shared" si="12"/>
        <v>92.27000000000001</v>
      </c>
      <c r="F831" t="str" cm="1">
        <f t="array" ref="F831">INDEX({"Pay as you go","Prediction_Pack","Prediction_Payasyougo',""Competitor"},MATCH(MIN(A831:D831),A831:D831,0))</f>
        <v>Pay as you go</v>
      </c>
    </row>
    <row r="832" spans="1:6" x14ac:dyDescent="0.25">
      <c r="A832">
        <v>142.43200000000002</v>
      </c>
      <c r="B832">
        <v>165.20199272552077</v>
      </c>
      <c r="C832">
        <v>220.10631887894229</v>
      </c>
      <c r="D832">
        <v>265.20199272552077</v>
      </c>
      <c r="E832">
        <f t="shared" si="12"/>
        <v>142.43200000000002</v>
      </c>
      <c r="F832" t="str" cm="1">
        <f t="array" ref="F832">INDEX({"Pay as you go","Prediction_Pack","Prediction_Payasyougo',""Competitor"},MATCH(MIN(A832:D832),A832:D832,0))</f>
        <v>Pay as you go</v>
      </c>
    </row>
    <row r="833" spans="1:6" x14ac:dyDescent="0.25">
      <c r="A833">
        <v>138.387</v>
      </c>
      <c r="B833">
        <v>156.45169321490337</v>
      </c>
      <c r="C833">
        <v>212.60399681126998</v>
      </c>
      <c r="D833">
        <v>254.45169321490334</v>
      </c>
      <c r="E833">
        <f t="shared" si="12"/>
        <v>138.387</v>
      </c>
      <c r="F833" t="str" cm="1">
        <f t="array" ref="F833">INDEX({"Pay as you go","Prediction_Pack","Prediction_Payasyougo',""Competitor"},MATCH(MIN(A833:D833),A833:D833,0))</f>
        <v>Pay as you go</v>
      </c>
    </row>
    <row r="834" spans="1:6" x14ac:dyDescent="0.25">
      <c r="A834">
        <v>226.12199999999999</v>
      </c>
      <c r="B834">
        <v>276.91182088240777</v>
      </c>
      <c r="C834">
        <v>432.77675544183495</v>
      </c>
      <c r="D834">
        <v>404.91182088240777</v>
      </c>
      <c r="E834">
        <f t="shared" si="12"/>
        <v>226.12199999999999</v>
      </c>
      <c r="F834" t="str" cm="1">
        <f t="array" ref="F834">INDEX({"Pay as you go","Prediction_Pack","Prediction_Payasyougo',""Competitor"},MATCH(MIN(A834:D834),A834:D834,0))</f>
        <v>Pay as you go</v>
      </c>
    </row>
    <row r="835" spans="1:6" x14ac:dyDescent="0.25">
      <c r="A835">
        <v>96.715999999999994</v>
      </c>
      <c r="B835">
        <v>123.38540691763833</v>
      </c>
      <c r="C835">
        <v>165.53061376295918</v>
      </c>
      <c r="D835">
        <v>198.38540691763833</v>
      </c>
      <c r="E835">
        <f t="shared" si="12"/>
        <v>96.715999999999994</v>
      </c>
      <c r="F835" t="str" cm="1">
        <f t="array" ref="F835">INDEX({"Pay as you go","Prediction_Pack","Prediction_Payasyougo',""Competitor"},MATCH(MIN(A835:D835),A835:D835,0))</f>
        <v>Pay as you go</v>
      </c>
    </row>
    <row r="836" spans="1:6" x14ac:dyDescent="0.25">
      <c r="A836">
        <v>131.24600000000001</v>
      </c>
      <c r="B836">
        <v>140.34318855167513</v>
      </c>
      <c r="C836">
        <v>190.10423871606434</v>
      </c>
      <c r="D836">
        <v>244.34318855167513</v>
      </c>
      <c r="E836">
        <f t="shared" si="12"/>
        <v>131.24600000000001</v>
      </c>
      <c r="F836" t="str" cm="1">
        <f t="array" ref="F836">INDEX({"Pay as you go","Prediction_Pack","Prediction_Payasyougo',""Competitor"},MATCH(MIN(A836:D836),A836:D836,0))</f>
        <v>Pay as you go</v>
      </c>
    </row>
    <row r="837" spans="1:6" x14ac:dyDescent="0.25">
      <c r="A837">
        <v>89.192000000000007</v>
      </c>
      <c r="B837">
        <v>103.75376951285679</v>
      </c>
      <c r="C837">
        <v>119.34124130625892</v>
      </c>
      <c r="D837">
        <v>178.75376951285679</v>
      </c>
      <c r="E837">
        <f t="shared" si="12"/>
        <v>89.192000000000007</v>
      </c>
      <c r="F837" t="str" cm="1">
        <f t="array" ref="F837">INDEX({"Pay as you go","Prediction_Pack","Prediction_Payasyougo',""Competitor"},MATCH(MIN(A837:D837),A837:D837,0))</f>
        <v>Pay as you go</v>
      </c>
    </row>
    <row r="838" spans="1:6" x14ac:dyDescent="0.25">
      <c r="A838">
        <v>73.835000000000008</v>
      </c>
      <c r="B838">
        <v>91.590560107486112</v>
      </c>
      <c r="C838">
        <v>93.148426441747731</v>
      </c>
      <c r="D838">
        <v>158.59056010748611</v>
      </c>
      <c r="E838">
        <f t="shared" si="12"/>
        <v>73.835000000000008</v>
      </c>
      <c r="F838" t="str" cm="1">
        <f t="array" ref="F838">INDEX({"Pay as you go","Prediction_Pack","Prediction_Payasyougo',""Competitor"},MATCH(MIN(A838:D838),A838:D838,0))</f>
        <v>Pay as you go</v>
      </c>
    </row>
    <row r="839" spans="1:6" x14ac:dyDescent="0.25">
      <c r="A839">
        <v>214.74299999999999</v>
      </c>
      <c r="B839">
        <v>265.53029130314854</v>
      </c>
      <c r="C839">
        <v>415.66153553577254</v>
      </c>
      <c r="D839">
        <v>385.53029130314854</v>
      </c>
      <c r="E839">
        <f t="shared" si="12"/>
        <v>214.74299999999999</v>
      </c>
      <c r="F839" t="str" cm="1">
        <f t="array" ref="F839">INDEX({"Pay as you go","Prediction_Pack","Prediction_Payasyougo',""Competitor"},MATCH(MIN(A839:D839),A839:D839,0))</f>
        <v>Pay as you go</v>
      </c>
    </row>
    <row r="840" spans="1:6" x14ac:dyDescent="0.25">
      <c r="A840">
        <v>88.858000000000004</v>
      </c>
      <c r="B840">
        <v>99.429710678283172</v>
      </c>
      <c r="C840">
        <v>116.62836354105315</v>
      </c>
      <c r="D840">
        <v>178.42971067828319</v>
      </c>
      <c r="E840">
        <f t="shared" si="12"/>
        <v>88.858000000000004</v>
      </c>
      <c r="F840" t="str" cm="1">
        <f t="array" ref="F840">INDEX({"Pay as you go","Prediction_Pack","Prediction_Payasyougo',""Competitor"},MATCH(MIN(A840:D840),A840:D840,0))</f>
        <v>Pay as you go</v>
      </c>
    </row>
    <row r="841" spans="1:6" x14ac:dyDescent="0.25">
      <c r="A841">
        <v>105.075</v>
      </c>
      <c r="B841">
        <v>138.19219901359921</v>
      </c>
      <c r="C841">
        <v>186.85070552284586</v>
      </c>
      <c r="D841">
        <v>212.19219901359921</v>
      </c>
      <c r="E841">
        <f t="shared" ref="E841:E904" si="13">MIN(A841:D841)</f>
        <v>105.075</v>
      </c>
      <c r="F841" t="str" cm="1">
        <f t="array" ref="F841">INDEX({"Pay as you go","Prediction_Pack","Prediction_Payasyougo',""Competitor"},MATCH(MIN(A841:D841),A841:D841,0))</f>
        <v>Pay as you go</v>
      </c>
    </row>
    <row r="842" spans="1:6" x14ac:dyDescent="0.25">
      <c r="A842">
        <v>40.550999999999995</v>
      </c>
      <c r="B842">
        <v>66.701969901607399</v>
      </c>
      <c r="C842">
        <v>63.265813842553953</v>
      </c>
      <c r="D842">
        <v>107.7019699016074</v>
      </c>
      <c r="E842">
        <f t="shared" si="13"/>
        <v>40.550999999999995</v>
      </c>
      <c r="F842" t="str" cm="1">
        <f t="array" ref="F842">INDEX({"Pay as you go","Prediction_Pack","Prediction_Payasyougo',""Competitor"},MATCH(MIN(A842:D842),A842:D842,0))</f>
        <v>Pay as you go</v>
      </c>
    </row>
    <row r="843" spans="1:6" x14ac:dyDescent="0.25">
      <c r="A843">
        <v>91.093999999999994</v>
      </c>
      <c r="B843">
        <v>116.99112669339112</v>
      </c>
      <c r="C843">
        <v>132.78546228155079</v>
      </c>
      <c r="D843">
        <v>189.99112669339112</v>
      </c>
      <c r="E843">
        <f t="shared" si="13"/>
        <v>91.093999999999994</v>
      </c>
      <c r="F843" t="str" cm="1">
        <f t="array" ref="F843">INDEX({"Pay as you go","Prediction_Pack","Prediction_Payasyougo',""Competitor"},MATCH(MIN(A843:D843),A843:D843,0))</f>
        <v>Pay as you go</v>
      </c>
    </row>
    <row r="844" spans="1:6" x14ac:dyDescent="0.25">
      <c r="A844">
        <v>157.17099999999999</v>
      </c>
      <c r="B844">
        <v>174.48539457699246</v>
      </c>
      <c r="C844">
        <v>248.78150721978227</v>
      </c>
      <c r="D844">
        <v>281.48539457699246</v>
      </c>
      <c r="E844">
        <f t="shared" si="13"/>
        <v>157.17099999999999</v>
      </c>
      <c r="F844" t="str" cm="1">
        <f t="array" ref="F844">INDEX({"Pay as you go","Prediction_Pack","Prediction_Payasyougo',""Competitor"},MATCH(MIN(A844:D844),A844:D844,0))</f>
        <v>Pay as you go</v>
      </c>
    </row>
    <row r="845" spans="1:6" x14ac:dyDescent="0.25">
      <c r="A845">
        <v>132.05200000000002</v>
      </c>
      <c r="B845">
        <v>153.17876189414892</v>
      </c>
      <c r="C845">
        <v>205.21080680246536</v>
      </c>
      <c r="D845">
        <v>250.17876189414892</v>
      </c>
      <c r="E845">
        <f t="shared" si="13"/>
        <v>132.05200000000002</v>
      </c>
      <c r="F845" t="str" cm="1">
        <f t="array" ref="F845">INDEX({"Pay as you go","Prediction_Pack","Prediction_Payasyougo',""Competitor"},MATCH(MIN(A845:D845),A845:D845,0))</f>
        <v>Pay as you go</v>
      </c>
    </row>
    <row r="846" spans="1:6" x14ac:dyDescent="0.25">
      <c r="A846">
        <v>108.566</v>
      </c>
      <c r="B846">
        <v>103.80548951915802</v>
      </c>
      <c r="C846">
        <v>123.9511865671515</v>
      </c>
      <c r="D846">
        <v>203.80548951915802</v>
      </c>
      <c r="E846">
        <f t="shared" si="13"/>
        <v>103.80548951915802</v>
      </c>
      <c r="F846" t="str" cm="1">
        <f t="array" ref="F846">INDEX({"Pay as you go","Prediction_Pack","Prediction_Payasyougo',""Competitor"},MATCH(MIN(A846:D846),A846:D846,0))</f>
        <v>Prediction_Pack</v>
      </c>
    </row>
    <row r="847" spans="1:6" x14ac:dyDescent="0.25">
      <c r="A847">
        <v>137.494</v>
      </c>
      <c r="B847">
        <v>164.39198877358058</v>
      </c>
      <c r="C847">
        <v>234.11463312236401</v>
      </c>
      <c r="D847">
        <v>254.39198877358058</v>
      </c>
      <c r="E847">
        <f t="shared" si="13"/>
        <v>137.494</v>
      </c>
      <c r="F847" t="str" cm="1">
        <f t="array" ref="F847">INDEX({"Pay as you go","Prediction_Pack","Prediction_Payasyougo',""Competitor"},MATCH(MIN(A847:D847),A847:D847,0))</f>
        <v>Pay as you go</v>
      </c>
    </row>
    <row r="848" spans="1:6" x14ac:dyDescent="0.25">
      <c r="A848">
        <v>173.76599999999999</v>
      </c>
      <c r="B848">
        <v>194.52102995572344</v>
      </c>
      <c r="C848">
        <v>268.27694748849569</v>
      </c>
      <c r="D848">
        <v>316.52102995572346</v>
      </c>
      <c r="E848">
        <f t="shared" si="13"/>
        <v>173.76599999999999</v>
      </c>
      <c r="F848" t="str" cm="1">
        <f t="array" ref="F848">INDEX({"Pay as you go","Prediction_Pack","Prediction_Payasyougo',""Competitor"},MATCH(MIN(A848:D848),A848:D848,0))</f>
        <v>Pay as you go</v>
      </c>
    </row>
    <row r="849" spans="1:6" x14ac:dyDescent="0.25">
      <c r="A849">
        <v>95.626999999999995</v>
      </c>
      <c r="B849">
        <v>92.748400160286849</v>
      </c>
      <c r="C849">
        <v>100.57318893674977</v>
      </c>
      <c r="D849">
        <v>179.74840016028685</v>
      </c>
      <c r="E849">
        <f t="shared" si="13"/>
        <v>92.748400160286849</v>
      </c>
      <c r="F849" t="str" cm="1">
        <f t="array" ref="F849">INDEX({"Pay as you go","Prediction_Pack","Prediction_Payasyougo',""Competitor"},MATCH(MIN(A849:D849),A849:D849,0))</f>
        <v>Prediction_Pack</v>
      </c>
    </row>
    <row r="850" spans="1:6" x14ac:dyDescent="0.25">
      <c r="A850">
        <v>118.414</v>
      </c>
      <c r="B850">
        <v>130.76293548461217</v>
      </c>
      <c r="C850">
        <v>172.41674253545622</v>
      </c>
      <c r="D850">
        <v>227.76293548461217</v>
      </c>
      <c r="E850">
        <f t="shared" si="13"/>
        <v>118.414</v>
      </c>
      <c r="F850" t="str" cm="1">
        <f t="array" ref="F850">INDEX({"Pay as you go","Prediction_Pack","Prediction_Payasyougo',""Competitor"},MATCH(MIN(A850:D850),A850:D850,0))</f>
        <v>Pay as you go</v>
      </c>
    </row>
    <row r="851" spans="1:6" x14ac:dyDescent="0.25">
      <c r="A851">
        <v>146.87100000000001</v>
      </c>
      <c r="B851">
        <v>151.97401844567818</v>
      </c>
      <c r="C851">
        <v>202.15282531463015</v>
      </c>
      <c r="D851">
        <v>268.97401844567821</v>
      </c>
      <c r="E851">
        <f t="shared" si="13"/>
        <v>146.87100000000001</v>
      </c>
      <c r="F851" t="str" cm="1">
        <f t="array" ref="F851">INDEX({"Pay as you go","Prediction_Pack","Prediction_Payasyougo',""Competitor"},MATCH(MIN(A851:D851),A851:D851,0))</f>
        <v>Pay as you go</v>
      </c>
    </row>
    <row r="852" spans="1:6" x14ac:dyDescent="0.25">
      <c r="A852">
        <v>119.74400000000001</v>
      </c>
      <c r="B852">
        <v>137.28559132257422</v>
      </c>
      <c r="C852">
        <v>165.41095866062571</v>
      </c>
      <c r="D852">
        <v>230.28559132257422</v>
      </c>
      <c r="E852">
        <f t="shared" si="13"/>
        <v>119.74400000000001</v>
      </c>
      <c r="F852" t="str" cm="1">
        <f t="array" ref="F852">INDEX({"Pay as you go","Prediction_Pack","Prediction_Payasyougo',""Competitor"},MATCH(MIN(A852:D852),A852:D852,0))</f>
        <v>Pay as you go</v>
      </c>
    </row>
    <row r="853" spans="1:6" x14ac:dyDescent="0.25">
      <c r="A853">
        <v>84.036999999999992</v>
      </c>
      <c r="B853">
        <v>98.25790033202216</v>
      </c>
      <c r="C853">
        <v>112.86450713860958</v>
      </c>
      <c r="D853">
        <v>172.25790033202216</v>
      </c>
      <c r="E853">
        <f t="shared" si="13"/>
        <v>84.036999999999992</v>
      </c>
      <c r="F853" t="str" cm="1">
        <f t="array" ref="F853">INDEX({"Pay as you go","Prediction_Pack","Prediction_Payasyougo',""Competitor"},MATCH(MIN(A853:D853),A853:D853,0))</f>
        <v>Pay as you go</v>
      </c>
    </row>
    <row r="854" spans="1:6" x14ac:dyDescent="0.25">
      <c r="A854">
        <v>122.83199999999999</v>
      </c>
      <c r="B854">
        <v>144.04578487825646</v>
      </c>
      <c r="C854">
        <v>194.12721507798665</v>
      </c>
      <c r="D854">
        <v>234.04578487825646</v>
      </c>
      <c r="E854">
        <f t="shared" si="13"/>
        <v>122.83199999999999</v>
      </c>
      <c r="F854" t="str" cm="1">
        <f t="array" ref="F854">INDEX({"Pay as you go","Prediction_Pack","Prediction_Payasyougo',""Competitor"},MATCH(MIN(A854:D854),A854:D854,0))</f>
        <v>Pay as you go</v>
      </c>
    </row>
    <row r="855" spans="1:6" x14ac:dyDescent="0.25">
      <c r="A855">
        <v>98.103999999999999</v>
      </c>
      <c r="B855">
        <v>126.6839338780612</v>
      </c>
      <c r="C855">
        <v>159.58865859683249</v>
      </c>
      <c r="D855">
        <v>202.6839338780612</v>
      </c>
      <c r="E855">
        <f t="shared" si="13"/>
        <v>98.103999999999999</v>
      </c>
      <c r="F855" t="str" cm="1">
        <f t="array" ref="F855">INDEX({"Pay as you go","Prediction_Pack","Prediction_Payasyougo',""Competitor"},MATCH(MIN(A855:D855),A855:D855,0))</f>
        <v>Pay as you go</v>
      </c>
    </row>
    <row r="856" spans="1:6" x14ac:dyDescent="0.25">
      <c r="A856">
        <v>137.85</v>
      </c>
      <c r="B856">
        <v>145.25646005490159</v>
      </c>
      <c r="C856">
        <v>201.81758205169476</v>
      </c>
      <c r="D856">
        <v>250.25646005490159</v>
      </c>
      <c r="E856">
        <f t="shared" si="13"/>
        <v>137.85</v>
      </c>
      <c r="F856" t="str" cm="1">
        <f t="array" ref="F856">INDEX({"Pay as you go","Prediction_Pack","Prediction_Payasyougo',""Competitor"},MATCH(MIN(A856:D856),A856:D856,0))</f>
        <v>Pay as you go</v>
      </c>
    </row>
    <row r="857" spans="1:6" x14ac:dyDescent="0.25">
      <c r="A857">
        <v>147.16799999999998</v>
      </c>
      <c r="B857">
        <v>182.12673588246557</v>
      </c>
      <c r="C857">
        <v>270.965946506124</v>
      </c>
      <c r="D857">
        <v>277.1267358824656</v>
      </c>
      <c r="E857">
        <f t="shared" si="13"/>
        <v>147.16799999999998</v>
      </c>
      <c r="F857" t="str" cm="1">
        <f t="array" ref="F857">INDEX({"Pay as you go","Prediction_Pack","Prediction_Payasyougo',""Competitor"},MATCH(MIN(A857:D857),A857:D857,0))</f>
        <v>Pay as you go</v>
      </c>
    </row>
    <row r="858" spans="1:6" x14ac:dyDescent="0.25">
      <c r="A858">
        <v>95.706000000000003</v>
      </c>
      <c r="B858">
        <v>100.16249238906863</v>
      </c>
      <c r="C858">
        <v>115.76191361740207</v>
      </c>
      <c r="D858">
        <v>179.16249238906863</v>
      </c>
      <c r="E858">
        <f t="shared" si="13"/>
        <v>95.706000000000003</v>
      </c>
      <c r="F858" t="str" cm="1">
        <f t="array" ref="F858">INDEX({"Pay as you go","Prediction_Pack","Prediction_Payasyougo',""Competitor"},MATCH(MIN(A858:D858),A858:D858,0))</f>
        <v>Pay as you go</v>
      </c>
    </row>
    <row r="859" spans="1:6" x14ac:dyDescent="0.25">
      <c r="A859">
        <v>118.20099999999999</v>
      </c>
      <c r="B859">
        <v>130.92526611857812</v>
      </c>
      <c r="C859">
        <v>164.4476768774376</v>
      </c>
      <c r="D859">
        <v>211.92526611857812</v>
      </c>
      <c r="E859">
        <f t="shared" si="13"/>
        <v>118.20099999999999</v>
      </c>
      <c r="F859" t="str" cm="1">
        <f t="array" ref="F859">INDEX({"Pay as you go","Prediction_Pack","Prediction_Payasyougo',""Competitor"},MATCH(MIN(A859:D859),A859:D859,0))</f>
        <v>Pay as you go</v>
      </c>
    </row>
    <row r="860" spans="1:6" x14ac:dyDescent="0.25">
      <c r="A860">
        <v>157.185</v>
      </c>
      <c r="B860">
        <v>180.31569382402702</v>
      </c>
      <c r="C860">
        <v>227.69742605479718</v>
      </c>
      <c r="D860">
        <v>293.31569382402705</v>
      </c>
      <c r="E860">
        <f t="shared" si="13"/>
        <v>157.185</v>
      </c>
      <c r="F860" t="str" cm="1">
        <f t="array" ref="F860">INDEX({"Pay as you go","Prediction_Pack","Prediction_Payasyougo',""Competitor"},MATCH(MIN(A860:D860),A860:D860,0))</f>
        <v>Pay as you go</v>
      </c>
    </row>
    <row r="861" spans="1:6" x14ac:dyDescent="0.25">
      <c r="A861">
        <v>93.39500000000001</v>
      </c>
      <c r="B861">
        <v>97.127194094328445</v>
      </c>
      <c r="C861">
        <v>100.57395067172227</v>
      </c>
      <c r="D861">
        <v>180.12719409432844</v>
      </c>
      <c r="E861">
        <f t="shared" si="13"/>
        <v>93.39500000000001</v>
      </c>
      <c r="F861" t="str" cm="1">
        <f t="array" ref="F861">INDEX({"Pay as you go","Prediction_Pack","Prediction_Payasyougo',""Competitor"},MATCH(MIN(A861:D861),A861:D861,0))</f>
        <v>Pay as you go</v>
      </c>
    </row>
    <row r="862" spans="1:6" x14ac:dyDescent="0.25">
      <c r="A862">
        <v>146.06</v>
      </c>
      <c r="B862">
        <v>179.16775344615496</v>
      </c>
      <c r="C862">
        <v>269.17181714365574</v>
      </c>
      <c r="D862">
        <v>268.16775344615496</v>
      </c>
      <c r="E862">
        <f t="shared" si="13"/>
        <v>146.06</v>
      </c>
      <c r="F862" t="str" cm="1">
        <f t="array" ref="F862">INDEX({"Pay as you go","Prediction_Pack","Prediction_Payasyougo',""Competitor"},MATCH(MIN(A862:D862),A862:D862,0))</f>
        <v>Pay as you go</v>
      </c>
    </row>
    <row r="863" spans="1:6" x14ac:dyDescent="0.25">
      <c r="A863">
        <v>152.71100000000001</v>
      </c>
      <c r="B863">
        <v>176.80031750695034</v>
      </c>
      <c r="C863">
        <v>248.10852182508762</v>
      </c>
      <c r="D863">
        <v>284.80031750695036</v>
      </c>
      <c r="E863">
        <f t="shared" si="13"/>
        <v>152.71100000000001</v>
      </c>
      <c r="F863" t="str" cm="1">
        <f t="array" ref="F863">INDEX({"Pay as you go","Prediction_Pack","Prediction_Payasyougo',""Competitor"},MATCH(MIN(A863:D863),A863:D863,0))</f>
        <v>Pay as you go</v>
      </c>
    </row>
    <row r="864" spans="1:6" x14ac:dyDescent="0.25">
      <c r="A864">
        <v>101.687</v>
      </c>
      <c r="B864">
        <v>112.23092438205899</v>
      </c>
      <c r="C864">
        <v>133.56649310347208</v>
      </c>
      <c r="D864">
        <v>199.23092438205896</v>
      </c>
      <c r="E864">
        <f t="shared" si="13"/>
        <v>101.687</v>
      </c>
      <c r="F864" t="str" cm="1">
        <f t="array" ref="F864">INDEX({"Pay as you go","Prediction_Pack","Prediction_Payasyougo',""Competitor"},MATCH(MIN(A864:D864),A864:D864,0))</f>
        <v>Pay as you go</v>
      </c>
    </row>
    <row r="865" spans="1:6" x14ac:dyDescent="0.25">
      <c r="A865">
        <v>143.09399999999999</v>
      </c>
      <c r="B865">
        <v>164.57372573338773</v>
      </c>
      <c r="C865">
        <v>233.97393611562998</v>
      </c>
      <c r="D865">
        <v>264.57372573338773</v>
      </c>
      <c r="E865">
        <f t="shared" si="13"/>
        <v>143.09399999999999</v>
      </c>
      <c r="F865" t="str" cm="1">
        <f t="array" ref="F865">INDEX({"Pay as you go","Prediction_Pack","Prediction_Payasyougo',""Competitor"},MATCH(MIN(A865:D865),A865:D865,0))</f>
        <v>Pay as you go</v>
      </c>
    </row>
    <row r="866" spans="1:6" x14ac:dyDescent="0.25">
      <c r="A866">
        <v>149.01900000000001</v>
      </c>
      <c r="B866">
        <v>179.53774084344474</v>
      </c>
      <c r="C866">
        <v>249.89959086225218</v>
      </c>
      <c r="D866">
        <v>283.53774084344474</v>
      </c>
      <c r="E866">
        <f t="shared" si="13"/>
        <v>149.01900000000001</v>
      </c>
      <c r="F866" t="str" cm="1">
        <f t="array" ref="F866">INDEX({"Pay as you go","Prediction_Pack","Prediction_Payasyougo',""Competitor"},MATCH(MIN(A866:D866),A866:D866,0))</f>
        <v>Pay as you go</v>
      </c>
    </row>
    <row r="867" spans="1:6" x14ac:dyDescent="0.25">
      <c r="A867">
        <v>92.284000000000006</v>
      </c>
      <c r="B867">
        <v>97.045080789637936</v>
      </c>
      <c r="C867">
        <v>106.17703525628137</v>
      </c>
      <c r="D867">
        <v>180.04508078963795</v>
      </c>
      <c r="E867">
        <f t="shared" si="13"/>
        <v>92.284000000000006</v>
      </c>
      <c r="F867" t="str" cm="1">
        <f t="array" ref="F867">INDEX({"Pay as you go","Prediction_Pack","Prediction_Payasyougo',""Competitor"},MATCH(MIN(A867:D867),A867:D867,0))</f>
        <v>Pay as you go</v>
      </c>
    </row>
    <row r="868" spans="1:6" x14ac:dyDescent="0.25">
      <c r="A868">
        <v>124.422</v>
      </c>
      <c r="B868">
        <v>144.19962320328111</v>
      </c>
      <c r="C868">
        <v>196.76668885708594</v>
      </c>
      <c r="D868">
        <v>234.19962320328111</v>
      </c>
      <c r="E868">
        <f t="shared" si="13"/>
        <v>124.422</v>
      </c>
      <c r="F868" t="str" cm="1">
        <f t="array" ref="F868">INDEX({"Pay as you go","Prediction_Pack","Prediction_Payasyougo',""Competitor"},MATCH(MIN(A868:D868),A868:D868,0))</f>
        <v>Pay as you go</v>
      </c>
    </row>
    <row r="869" spans="1:6" x14ac:dyDescent="0.25">
      <c r="A869">
        <v>134.185</v>
      </c>
      <c r="B869">
        <v>164.50885795830075</v>
      </c>
      <c r="C869">
        <v>216.06010390950854</v>
      </c>
      <c r="D869">
        <v>259.50885795830072</v>
      </c>
      <c r="E869">
        <f t="shared" si="13"/>
        <v>134.185</v>
      </c>
      <c r="F869" t="str" cm="1">
        <f t="array" ref="F869">INDEX({"Pay as you go","Prediction_Pack","Prediction_Payasyougo',""Competitor"},MATCH(MIN(A869:D869),A869:D869,0))</f>
        <v>Pay as you go</v>
      </c>
    </row>
    <row r="870" spans="1:6" x14ac:dyDescent="0.25">
      <c r="A870">
        <v>92.444000000000003</v>
      </c>
      <c r="B870">
        <v>115.75714879535465</v>
      </c>
      <c r="C870">
        <v>143.94160656322657</v>
      </c>
      <c r="D870">
        <v>183.75714879535465</v>
      </c>
      <c r="E870">
        <f t="shared" si="13"/>
        <v>92.444000000000003</v>
      </c>
      <c r="F870" t="str" cm="1">
        <f t="array" ref="F870">INDEX({"Pay as you go","Prediction_Pack","Prediction_Payasyougo',""Competitor"},MATCH(MIN(A870:D870),A870:D870,0))</f>
        <v>Pay as you go</v>
      </c>
    </row>
    <row r="871" spans="1:6" x14ac:dyDescent="0.25">
      <c r="A871">
        <v>77.762</v>
      </c>
      <c r="B871">
        <v>102.8224893632818</v>
      </c>
      <c r="C871">
        <v>118.61045962329023</v>
      </c>
      <c r="D871">
        <v>161.82248936328179</v>
      </c>
      <c r="E871">
        <f t="shared" si="13"/>
        <v>77.762</v>
      </c>
      <c r="F871" t="str" cm="1">
        <f t="array" ref="F871">INDEX({"Pay as you go","Prediction_Pack","Prediction_Payasyougo',""Competitor"},MATCH(MIN(A871:D871),A871:D871,0))</f>
        <v>Pay as you go</v>
      </c>
    </row>
    <row r="872" spans="1:6" x14ac:dyDescent="0.25">
      <c r="A872">
        <v>100.285</v>
      </c>
      <c r="B872">
        <v>115.58880620916756</v>
      </c>
      <c r="C872">
        <v>145.89857500138442</v>
      </c>
      <c r="D872">
        <v>198.58880620916756</v>
      </c>
      <c r="E872">
        <f t="shared" si="13"/>
        <v>100.285</v>
      </c>
      <c r="F872" t="str" cm="1">
        <f t="array" ref="F872">INDEX({"Pay as you go","Prediction_Pack","Prediction_Payasyougo',""Competitor"},MATCH(MIN(A872:D872),A872:D872,0))</f>
        <v>Pay as you go</v>
      </c>
    </row>
    <row r="873" spans="1:6" x14ac:dyDescent="0.25">
      <c r="A873">
        <v>106.581</v>
      </c>
      <c r="B873">
        <v>127.97370458535883</v>
      </c>
      <c r="C873">
        <v>168.95006160691921</v>
      </c>
      <c r="D873">
        <v>203.97370458535883</v>
      </c>
      <c r="E873">
        <f t="shared" si="13"/>
        <v>106.581</v>
      </c>
      <c r="F873" t="str" cm="1">
        <f t="array" ref="F873">INDEX({"Pay as you go","Prediction_Pack","Prediction_Payasyougo',""Competitor"},MATCH(MIN(A873:D873),A873:D873,0))</f>
        <v>Pay as you go</v>
      </c>
    </row>
    <row r="874" spans="1:6" x14ac:dyDescent="0.25">
      <c r="A874">
        <v>134.262</v>
      </c>
      <c r="B874">
        <v>132.16667446167733</v>
      </c>
      <c r="C874">
        <v>163.65869439326346</v>
      </c>
      <c r="D874">
        <v>244.16667446167733</v>
      </c>
      <c r="E874">
        <f t="shared" si="13"/>
        <v>132.16667446167733</v>
      </c>
      <c r="F874" t="str" cm="1">
        <f t="array" ref="F874">INDEX({"Pay as you go","Prediction_Pack","Prediction_Payasyougo',""Competitor"},MATCH(MIN(A874:D874),A874:D874,0))</f>
        <v>Prediction_Pack</v>
      </c>
    </row>
    <row r="875" spans="1:6" x14ac:dyDescent="0.25">
      <c r="A875">
        <v>143.78300000000002</v>
      </c>
      <c r="B875">
        <v>162.93590372407894</v>
      </c>
      <c r="C875">
        <v>236.77706408107949</v>
      </c>
      <c r="D875">
        <v>262.93590372407897</v>
      </c>
      <c r="E875">
        <f t="shared" si="13"/>
        <v>143.78300000000002</v>
      </c>
      <c r="F875" t="str" cm="1">
        <f t="array" ref="F875">INDEX({"Pay as you go","Prediction_Pack","Prediction_Payasyougo',""Competitor"},MATCH(MIN(A875:D875),A875:D875,0))</f>
        <v>Pay as you go</v>
      </c>
    </row>
    <row r="876" spans="1:6" x14ac:dyDescent="0.25">
      <c r="A876">
        <v>168.899</v>
      </c>
      <c r="B876">
        <v>203.26852927456329</v>
      </c>
      <c r="C876">
        <v>292.60909703695864</v>
      </c>
      <c r="D876">
        <v>313.26852927456332</v>
      </c>
      <c r="E876">
        <f t="shared" si="13"/>
        <v>168.899</v>
      </c>
      <c r="F876" t="str" cm="1">
        <f t="array" ref="F876">INDEX({"Pay as you go","Prediction_Pack","Prediction_Payasyougo',""Competitor"},MATCH(MIN(A876:D876),A876:D876,0))</f>
        <v>Pay as you go</v>
      </c>
    </row>
    <row r="877" spans="1:6" x14ac:dyDescent="0.25">
      <c r="A877">
        <v>102.104</v>
      </c>
      <c r="B877">
        <v>112.57259486580983</v>
      </c>
      <c r="C877">
        <v>136.73141662262611</v>
      </c>
      <c r="D877">
        <v>194.57259486580983</v>
      </c>
      <c r="E877">
        <f t="shared" si="13"/>
        <v>102.104</v>
      </c>
      <c r="F877" t="str" cm="1">
        <f t="array" ref="F877">INDEX({"Pay as you go","Prediction_Pack","Prediction_Payasyougo',""Competitor"},MATCH(MIN(A877:D877),A877:D877,0))</f>
        <v>Pay as you go</v>
      </c>
    </row>
    <row r="878" spans="1:6" x14ac:dyDescent="0.25">
      <c r="A878">
        <v>97.244</v>
      </c>
      <c r="B878">
        <v>96.284728325425334</v>
      </c>
      <c r="C878">
        <v>106.26865513189674</v>
      </c>
      <c r="D878">
        <v>189.28472832542533</v>
      </c>
      <c r="E878">
        <f t="shared" si="13"/>
        <v>96.284728325425334</v>
      </c>
      <c r="F878" t="str" cm="1">
        <f t="array" ref="F878">INDEX({"Pay as you go","Prediction_Pack","Prediction_Payasyougo',""Competitor"},MATCH(MIN(A878:D878),A878:D878,0))</f>
        <v>Prediction_Pack</v>
      </c>
    </row>
    <row r="879" spans="1:6" x14ac:dyDescent="0.25">
      <c r="A879">
        <v>100.702</v>
      </c>
      <c r="B879">
        <v>126.41361788127909</v>
      </c>
      <c r="C879">
        <v>156.36798121974749</v>
      </c>
      <c r="D879">
        <v>201.41361788127909</v>
      </c>
      <c r="E879">
        <f t="shared" si="13"/>
        <v>100.702</v>
      </c>
      <c r="F879" t="str" cm="1">
        <f t="array" ref="F879">INDEX({"Pay as you go","Prediction_Pack","Prediction_Payasyougo',""Competitor"},MATCH(MIN(A879:D879),A879:D879,0))</f>
        <v>Pay as you go</v>
      </c>
    </row>
    <row r="880" spans="1:6" x14ac:dyDescent="0.25">
      <c r="A880">
        <v>133.36600000000001</v>
      </c>
      <c r="B880">
        <v>156.21104898070604</v>
      </c>
      <c r="C880">
        <v>207.7812926634995</v>
      </c>
      <c r="D880">
        <v>249.21104898070604</v>
      </c>
      <c r="E880">
        <f t="shared" si="13"/>
        <v>133.36600000000001</v>
      </c>
      <c r="F880" t="str" cm="1">
        <f t="array" ref="F880">INDEX({"Pay as you go","Prediction_Pack","Prediction_Payasyougo',""Competitor"},MATCH(MIN(A880:D880),A880:D880,0))</f>
        <v>Pay as you go</v>
      </c>
    </row>
    <row r="881" spans="1:6" x14ac:dyDescent="0.25">
      <c r="A881">
        <v>153.04500000000002</v>
      </c>
      <c r="B881">
        <v>176.82722827662539</v>
      </c>
      <c r="C881">
        <v>241.46802524968371</v>
      </c>
      <c r="D881">
        <v>289.82722827662536</v>
      </c>
      <c r="E881">
        <f t="shared" si="13"/>
        <v>153.04500000000002</v>
      </c>
      <c r="F881" t="str" cm="1">
        <f t="array" ref="F881">INDEX({"Pay as you go","Prediction_Pack","Prediction_Payasyougo',""Competitor"},MATCH(MIN(A881:D881),A881:D881,0))</f>
        <v>Pay as you go</v>
      </c>
    </row>
    <row r="882" spans="1:6" x14ac:dyDescent="0.25">
      <c r="A882">
        <v>145.70500000000001</v>
      </c>
      <c r="B882">
        <v>177.69268621454489</v>
      </c>
      <c r="C882">
        <v>243.8625592695723</v>
      </c>
      <c r="D882">
        <v>275.69268621454489</v>
      </c>
      <c r="E882">
        <f t="shared" si="13"/>
        <v>145.70500000000001</v>
      </c>
      <c r="F882" t="str" cm="1">
        <f t="array" ref="F882">INDEX({"Pay as you go","Prediction_Pack","Prediction_Payasyougo',""Competitor"},MATCH(MIN(A882:D882),A882:D882,0))</f>
        <v>Pay as you go</v>
      </c>
    </row>
    <row r="883" spans="1:6" x14ac:dyDescent="0.25">
      <c r="A883">
        <v>153.61100000000002</v>
      </c>
      <c r="B883">
        <v>200.62623651693534</v>
      </c>
      <c r="C883">
        <v>305.28047333620128</v>
      </c>
      <c r="D883">
        <v>279.62623651693536</v>
      </c>
      <c r="E883">
        <f t="shared" si="13"/>
        <v>153.61100000000002</v>
      </c>
      <c r="F883" t="str" cm="1">
        <f t="array" ref="F883">INDEX({"Pay as you go","Prediction_Pack","Prediction_Payasyougo',""Competitor"},MATCH(MIN(A883:D883),A883:D883,0))</f>
        <v>Pay as you go</v>
      </c>
    </row>
    <row r="884" spans="1:6" x14ac:dyDescent="0.25">
      <c r="A884">
        <v>135.03</v>
      </c>
      <c r="B884">
        <v>171.5619798055032</v>
      </c>
      <c r="C884">
        <v>237.92334092902266</v>
      </c>
      <c r="D884">
        <v>258.5619798055032</v>
      </c>
      <c r="E884">
        <f t="shared" si="13"/>
        <v>135.03</v>
      </c>
      <c r="F884" t="str" cm="1">
        <f t="array" ref="F884">INDEX({"Pay as you go","Prediction_Pack","Prediction_Payasyougo',""Competitor"},MATCH(MIN(A884:D884),A884:D884,0))</f>
        <v>Pay as you go</v>
      </c>
    </row>
    <row r="885" spans="1:6" x14ac:dyDescent="0.25">
      <c r="A885">
        <v>74.554000000000002</v>
      </c>
      <c r="B885">
        <v>81.050287569845551</v>
      </c>
      <c r="C885">
        <v>68.727354379884005</v>
      </c>
      <c r="D885">
        <v>155.05028756984555</v>
      </c>
      <c r="E885">
        <f t="shared" si="13"/>
        <v>68.727354379884005</v>
      </c>
      <c r="F885" t="str" cm="1">
        <f t="array" ref="F885">INDEX({"Pay as you go","Prediction_Pack","Prediction_Payasyougo","Competitor"},MATCH(MIN(A885:D885),A885:D885,0))</f>
        <v>Prediction_Payasyougo</v>
      </c>
    </row>
    <row r="886" spans="1:6" x14ac:dyDescent="0.25">
      <c r="A886">
        <v>79.786999999999992</v>
      </c>
      <c r="B886">
        <v>80.988663220761978</v>
      </c>
      <c r="C886">
        <v>84.408926793909671</v>
      </c>
      <c r="D886">
        <v>154.98866322076199</v>
      </c>
      <c r="E886">
        <f t="shared" si="13"/>
        <v>79.786999999999992</v>
      </c>
      <c r="F886" t="str" cm="1">
        <f t="array" ref="F886">INDEX({"Pay as you go","Prediction_Pack","Prediction_Payasyougo',""Competitor"},MATCH(MIN(A886:D886),A886:D886,0))</f>
        <v>Pay as you go</v>
      </c>
    </row>
    <row r="887" spans="1:6" x14ac:dyDescent="0.25">
      <c r="A887">
        <v>112.45</v>
      </c>
      <c r="B887">
        <v>119.45541083531482</v>
      </c>
      <c r="C887">
        <v>144.93920945877713</v>
      </c>
      <c r="D887">
        <v>213.45541083531481</v>
      </c>
      <c r="E887">
        <f t="shared" si="13"/>
        <v>112.45</v>
      </c>
      <c r="F887" t="str" cm="1">
        <f t="array" ref="F887">INDEX({"Pay as you go","Prediction_Pack","Prediction_Payasyougo',""Competitor"},MATCH(MIN(A887:D887),A887:D887,0))</f>
        <v>Pay as you go</v>
      </c>
    </row>
    <row r="888" spans="1:6" x14ac:dyDescent="0.25">
      <c r="A888">
        <v>90.83</v>
      </c>
      <c r="B888">
        <v>116.93339390761219</v>
      </c>
      <c r="C888">
        <v>144.41135503335795</v>
      </c>
      <c r="D888">
        <v>184.93339390761219</v>
      </c>
      <c r="E888">
        <f t="shared" si="13"/>
        <v>90.83</v>
      </c>
      <c r="F888" t="str" cm="1">
        <f t="array" ref="F888">INDEX({"Pay as you go","Prediction_Pack","Prediction_Payasyougo',""Competitor"},MATCH(MIN(A888:D888),A888:D888,0))</f>
        <v>Pay as you go</v>
      </c>
    </row>
    <row r="889" spans="1:6" x14ac:dyDescent="0.25">
      <c r="A889">
        <v>50.46</v>
      </c>
      <c r="B889">
        <v>71.743918978499025</v>
      </c>
      <c r="C889">
        <v>73.199751985162052</v>
      </c>
      <c r="D889">
        <v>118.74391897849902</v>
      </c>
      <c r="E889">
        <f t="shared" si="13"/>
        <v>50.46</v>
      </c>
      <c r="F889" t="str" cm="1">
        <f t="array" ref="F889">INDEX({"Pay as you go","Prediction_Pack","Prediction_Payasyougo',""Competitor"},MATCH(MIN(A889:D889),A889:D889,0))</f>
        <v>Pay as you go</v>
      </c>
    </row>
    <row r="890" spans="1:6" x14ac:dyDescent="0.25">
      <c r="A890">
        <v>151.30500000000001</v>
      </c>
      <c r="B890">
        <v>170.79267872984425</v>
      </c>
      <c r="C890">
        <v>236.12251510648193</v>
      </c>
      <c r="D890">
        <v>287.79267872984428</v>
      </c>
      <c r="E890">
        <f t="shared" si="13"/>
        <v>151.30500000000001</v>
      </c>
      <c r="F890" t="str" cm="1">
        <f t="array" ref="F890">INDEX({"Pay as you go","Prediction_Pack","Prediction_Payasyougo',""Competitor"},MATCH(MIN(A890:D890),A890:D890,0))</f>
        <v>Pay as you go</v>
      </c>
    </row>
    <row r="891" spans="1:6" x14ac:dyDescent="0.25">
      <c r="A891">
        <v>192.851</v>
      </c>
      <c r="B891">
        <v>222.69095441535762</v>
      </c>
      <c r="C891">
        <v>342.66253417728439</v>
      </c>
      <c r="D891">
        <v>346.69095441535762</v>
      </c>
      <c r="E891">
        <f t="shared" si="13"/>
        <v>192.851</v>
      </c>
      <c r="F891" t="str" cm="1">
        <f t="array" ref="F891">INDEX({"Pay as you go","Prediction_Pack","Prediction_Payasyougo',""Competitor"},MATCH(MIN(A891:D891),A891:D891,0))</f>
        <v>Pay as you go</v>
      </c>
    </row>
    <row r="892" spans="1:6" x14ac:dyDescent="0.25">
      <c r="A892">
        <v>149.88400000000001</v>
      </c>
      <c r="B892">
        <v>184.37049916870777</v>
      </c>
      <c r="C892">
        <v>277.36301740739384</v>
      </c>
      <c r="D892">
        <v>279.37049916870779</v>
      </c>
      <c r="E892">
        <f t="shared" si="13"/>
        <v>149.88400000000001</v>
      </c>
      <c r="F892" t="str" cm="1">
        <f t="array" ref="F892">INDEX({"Pay as you go","Prediction_Pack","Prediction_Payasyougo',""Competitor"},MATCH(MIN(A892:D892),A892:D892,0))</f>
        <v>Pay as you go</v>
      </c>
    </row>
    <row r="893" spans="1:6" x14ac:dyDescent="0.25">
      <c r="A893">
        <v>133.97000000000003</v>
      </c>
      <c r="B893">
        <v>144.59027258490093</v>
      </c>
      <c r="C893">
        <v>194.73856671400264</v>
      </c>
      <c r="D893">
        <v>244.59027258490093</v>
      </c>
      <c r="E893">
        <f t="shared" si="13"/>
        <v>133.97000000000003</v>
      </c>
      <c r="F893" t="str" cm="1">
        <f t="array" ref="F893">INDEX({"Pay as you go","Prediction_Pack","Prediction_Payasyougo',""Competitor"},MATCH(MIN(A893:D893),A893:D893,0))</f>
        <v>Pay as you go</v>
      </c>
    </row>
    <row r="894" spans="1:6" x14ac:dyDescent="0.25">
      <c r="A894">
        <v>116.00399999999999</v>
      </c>
      <c r="B894">
        <v>128.35988352135553</v>
      </c>
      <c r="C894">
        <v>166.5451460300097</v>
      </c>
      <c r="D894">
        <v>219.35988352135553</v>
      </c>
      <c r="E894">
        <f t="shared" si="13"/>
        <v>116.00399999999999</v>
      </c>
      <c r="F894" t="str" cm="1">
        <f t="array" ref="F894">INDEX({"Pay as you go","Prediction_Pack","Prediction_Payasyougo',""Competitor"},MATCH(MIN(A894:D894),A894:D894,0))</f>
        <v>Pay as you go</v>
      </c>
    </row>
    <row r="895" spans="1:6" x14ac:dyDescent="0.25">
      <c r="A895">
        <v>125.55799999999999</v>
      </c>
      <c r="B895">
        <v>135.76556254725648</v>
      </c>
      <c r="C895">
        <v>154.53488619820374</v>
      </c>
      <c r="D895">
        <v>242.76556254725648</v>
      </c>
      <c r="E895">
        <f t="shared" si="13"/>
        <v>125.55799999999999</v>
      </c>
      <c r="F895" t="str" cm="1">
        <f t="array" ref="F895">INDEX({"Pay as you go","Prediction_Pack","Prediction_Payasyougo',""Competitor"},MATCH(MIN(A895:D895),A895:D895,0))</f>
        <v>Pay as you go</v>
      </c>
    </row>
    <row r="896" spans="1:6" x14ac:dyDescent="0.25">
      <c r="A896">
        <v>79.384</v>
      </c>
      <c r="B896">
        <v>88.529164750283954</v>
      </c>
      <c r="C896">
        <v>93.239393591261774</v>
      </c>
      <c r="D896">
        <v>164.52916475028394</v>
      </c>
      <c r="E896">
        <f t="shared" si="13"/>
        <v>79.384</v>
      </c>
      <c r="F896" t="str" cm="1">
        <f t="array" ref="F896">INDEX({"Pay as you go","Prediction_Pack","Prediction_Payasyougo',""Competitor"},MATCH(MIN(A896:D896),A896:D896,0))</f>
        <v>Pay as you go</v>
      </c>
    </row>
    <row r="897" spans="1:6" x14ac:dyDescent="0.25">
      <c r="A897">
        <v>142.58800000000002</v>
      </c>
      <c r="B897">
        <v>177.57861997736904</v>
      </c>
      <c r="C897">
        <v>247.87377758381274</v>
      </c>
      <c r="D897">
        <v>270.57861997736904</v>
      </c>
      <c r="E897">
        <f t="shared" si="13"/>
        <v>142.58800000000002</v>
      </c>
      <c r="F897" t="str" cm="1">
        <f t="array" ref="F897">INDEX({"Pay as you go","Prediction_Pack","Prediction_Payasyougo',""Competitor"},MATCH(MIN(A897:D897),A897:D897,0))</f>
        <v>Pay as you go</v>
      </c>
    </row>
    <row r="898" spans="1:6" x14ac:dyDescent="0.25">
      <c r="A898">
        <v>102.444</v>
      </c>
      <c r="B898">
        <v>99.755370094236142</v>
      </c>
      <c r="C898">
        <v>101.49328460245313</v>
      </c>
      <c r="D898">
        <v>198.75537009423613</v>
      </c>
      <c r="E898">
        <f t="shared" si="13"/>
        <v>99.755370094236142</v>
      </c>
      <c r="F898" t="str" cm="1">
        <f t="array" ref="F898">INDEX({"Pay as you go","Prediction_Pack","Prediction_Payasyougo',""Competitor"},MATCH(MIN(A898:D898),A898:D898,0))</f>
        <v>Prediction_Pack</v>
      </c>
    </row>
    <row r="899" spans="1:6" x14ac:dyDescent="0.25">
      <c r="A899">
        <v>201.87199999999999</v>
      </c>
      <c r="B899">
        <v>248.03106074924162</v>
      </c>
      <c r="C899">
        <v>387.1910004042067</v>
      </c>
      <c r="D899">
        <v>369.03106074924165</v>
      </c>
      <c r="E899">
        <f t="shared" si="13"/>
        <v>201.87199999999999</v>
      </c>
      <c r="F899" t="str" cm="1">
        <f t="array" ref="F899">INDEX({"Pay as you go","Prediction_Pack","Prediction_Payasyougo',""Competitor"},MATCH(MIN(A899:D899),A899:D899,0))</f>
        <v>Pay as you go</v>
      </c>
    </row>
    <row r="900" spans="1:6" x14ac:dyDescent="0.25">
      <c r="A900">
        <v>203.87200000000001</v>
      </c>
      <c r="B900">
        <v>243.40586064543609</v>
      </c>
      <c r="C900">
        <v>381.85105335628043</v>
      </c>
      <c r="D900">
        <v>363.40586064543606</v>
      </c>
      <c r="E900">
        <f t="shared" si="13"/>
        <v>203.87200000000001</v>
      </c>
      <c r="F900" t="str" cm="1">
        <f t="array" ref="F900">INDEX({"Pay as you go","Prediction_Pack","Prediction_Payasyougo',""Competitor"},MATCH(MIN(A900:D900),A900:D900,0))</f>
        <v>Pay as you go</v>
      </c>
    </row>
    <row r="901" spans="1:6" x14ac:dyDescent="0.25">
      <c r="A901">
        <v>109.75700000000001</v>
      </c>
      <c r="B901">
        <v>116.24316989999078</v>
      </c>
      <c r="C901">
        <v>127.58701302420181</v>
      </c>
      <c r="D901">
        <v>214.24316989999076</v>
      </c>
      <c r="E901">
        <f t="shared" si="13"/>
        <v>109.75700000000001</v>
      </c>
      <c r="F901" t="str" cm="1">
        <f t="array" ref="F901">INDEX({"Pay as you go","Prediction_Pack","Prediction_Payasyougo',""Competitor"},MATCH(MIN(A901:D901),A901:D901,0))</f>
        <v>Pay as you go</v>
      </c>
    </row>
    <row r="902" spans="1:6" x14ac:dyDescent="0.25">
      <c r="A902">
        <v>114.786</v>
      </c>
      <c r="B902">
        <v>121.51552401226765</v>
      </c>
      <c r="C902">
        <v>150.65234835377782</v>
      </c>
      <c r="D902">
        <v>220.51552401226763</v>
      </c>
      <c r="E902">
        <f t="shared" si="13"/>
        <v>114.786</v>
      </c>
      <c r="F902" t="str" cm="1">
        <f t="array" ref="F902">INDEX({"Pay as you go","Prediction_Pack","Prediction_Payasyougo',""Competitor"},MATCH(MIN(A902:D902),A902:D902,0))</f>
        <v>Pay as you go</v>
      </c>
    </row>
    <row r="903" spans="1:6" x14ac:dyDescent="0.25">
      <c r="A903">
        <v>96.453999999999994</v>
      </c>
      <c r="B903">
        <v>129.07569642283673</v>
      </c>
      <c r="C903">
        <v>152.03026142429641</v>
      </c>
      <c r="D903">
        <v>200.07569642283673</v>
      </c>
      <c r="E903">
        <f t="shared" si="13"/>
        <v>96.453999999999994</v>
      </c>
      <c r="F903" t="str" cm="1">
        <f t="array" ref="F903">INDEX({"Pay as you go","Prediction_Pack","Prediction_Payasyougo',""Competitor"},MATCH(MIN(A903:D903),A903:D903,0))</f>
        <v>Pay as you go</v>
      </c>
    </row>
    <row r="904" spans="1:6" x14ac:dyDescent="0.25">
      <c r="A904">
        <v>98.808999999999997</v>
      </c>
      <c r="B904">
        <v>108.06671342206319</v>
      </c>
      <c r="C904">
        <v>121.87965771596609</v>
      </c>
      <c r="D904">
        <v>189.06671342206317</v>
      </c>
      <c r="E904">
        <f t="shared" si="13"/>
        <v>98.808999999999997</v>
      </c>
      <c r="F904" t="str" cm="1">
        <f t="array" ref="F904">INDEX({"Pay as you go","Prediction_Pack","Prediction_Payasyougo',""Competitor"},MATCH(MIN(A904:D904),A904:D904,0))</f>
        <v>Pay as you go</v>
      </c>
    </row>
    <row r="905" spans="1:6" x14ac:dyDescent="0.25">
      <c r="A905">
        <v>102.982</v>
      </c>
      <c r="B905">
        <v>112.00734347182389</v>
      </c>
      <c r="C905">
        <v>138.95158931702557</v>
      </c>
      <c r="D905">
        <v>199.00734347182387</v>
      </c>
      <c r="E905">
        <f t="shared" ref="E905:E968" si="14">MIN(A905:D905)</f>
        <v>102.982</v>
      </c>
      <c r="F905" t="str" cm="1">
        <f t="array" ref="F905">INDEX({"Pay as you go","Prediction_Pack","Prediction_Payasyougo',""Competitor"},MATCH(MIN(A905:D905),A905:D905,0))</f>
        <v>Pay as you go</v>
      </c>
    </row>
    <row r="906" spans="1:6" x14ac:dyDescent="0.25">
      <c r="A906">
        <v>93.993000000000009</v>
      </c>
      <c r="B906">
        <v>112.98301375277214</v>
      </c>
      <c r="C906">
        <v>138.47006553251416</v>
      </c>
      <c r="D906">
        <v>184.98301375277214</v>
      </c>
      <c r="E906">
        <f t="shared" si="14"/>
        <v>93.993000000000009</v>
      </c>
      <c r="F906" t="str" cm="1">
        <f t="array" ref="F906">INDEX({"Pay as you go","Prediction_Pack","Prediction_Payasyougo',""Competitor"},MATCH(MIN(A906:D906),A906:D906,0))</f>
        <v>Pay as you go</v>
      </c>
    </row>
    <row r="907" spans="1:6" x14ac:dyDescent="0.25">
      <c r="A907">
        <v>105.209</v>
      </c>
      <c r="B907">
        <v>121.51123046484777</v>
      </c>
      <c r="C907">
        <v>139.4090165982644</v>
      </c>
      <c r="D907">
        <v>210.51123046484776</v>
      </c>
      <c r="E907">
        <f t="shared" si="14"/>
        <v>105.209</v>
      </c>
      <c r="F907" t="str" cm="1">
        <f t="array" ref="F907">INDEX({"Pay as you go","Prediction_Pack","Prediction_Payasyougo',""Competitor"},MATCH(MIN(A907:D907),A907:D907,0))</f>
        <v>Pay as you go</v>
      </c>
    </row>
    <row r="908" spans="1:6" x14ac:dyDescent="0.25">
      <c r="A908">
        <v>105.43900000000001</v>
      </c>
      <c r="B908">
        <v>122.61535983499266</v>
      </c>
      <c r="C908">
        <v>154.83029616678738</v>
      </c>
      <c r="D908">
        <v>207.61535983499266</v>
      </c>
      <c r="E908">
        <f t="shared" si="14"/>
        <v>105.43900000000001</v>
      </c>
      <c r="F908" t="str" cm="1">
        <f t="array" ref="F908">INDEX({"Pay as you go","Prediction_Pack","Prediction_Payasyougo',""Competitor"},MATCH(MIN(A908:D908),A908:D908,0))</f>
        <v>Pay as you go</v>
      </c>
    </row>
    <row r="909" spans="1:6" x14ac:dyDescent="0.25">
      <c r="A909">
        <v>112.41900000000001</v>
      </c>
      <c r="B909">
        <v>130.32515673521235</v>
      </c>
      <c r="C909">
        <v>167.55939126164182</v>
      </c>
      <c r="D909">
        <v>216.32515673521232</v>
      </c>
      <c r="E909">
        <f t="shared" si="14"/>
        <v>112.41900000000001</v>
      </c>
      <c r="F909" t="str" cm="1">
        <f t="array" ref="F909">INDEX({"Pay as you go","Prediction_Pack","Prediction_Payasyougo',""Competitor"},MATCH(MIN(A909:D909),A909:D909,0))</f>
        <v>Pay as you go</v>
      </c>
    </row>
    <row r="910" spans="1:6" x14ac:dyDescent="0.25">
      <c r="A910">
        <v>95.233000000000004</v>
      </c>
      <c r="B910">
        <v>115.11406998675722</v>
      </c>
      <c r="C910">
        <v>127.72999338484979</v>
      </c>
      <c r="D910">
        <v>188.11406998675722</v>
      </c>
      <c r="E910">
        <f t="shared" si="14"/>
        <v>95.233000000000004</v>
      </c>
      <c r="F910" t="str" cm="1">
        <f t="array" ref="F910">INDEX({"Pay as you go","Prediction_Pack","Prediction_Payasyougo',""Competitor"},MATCH(MIN(A910:D910),A910:D910,0))</f>
        <v>Pay as you go</v>
      </c>
    </row>
    <row r="911" spans="1:6" x14ac:dyDescent="0.25">
      <c r="A911">
        <v>116.578</v>
      </c>
      <c r="B911">
        <v>124.4077110595525</v>
      </c>
      <c r="C911">
        <v>152.20230657948778</v>
      </c>
      <c r="D911">
        <v>219.4077110595525</v>
      </c>
      <c r="E911">
        <f t="shared" si="14"/>
        <v>116.578</v>
      </c>
      <c r="F911" t="str" cm="1">
        <f t="array" ref="F911">INDEX({"Pay as you go","Prediction_Pack","Prediction_Payasyougo',""Competitor"},MATCH(MIN(A911:D911),A911:D911,0))</f>
        <v>Pay as you go</v>
      </c>
    </row>
    <row r="912" spans="1:6" x14ac:dyDescent="0.25">
      <c r="A912">
        <v>107.045</v>
      </c>
      <c r="B912">
        <v>132.26022613702912</v>
      </c>
      <c r="C912">
        <v>156.05861977344892</v>
      </c>
      <c r="D912">
        <v>219.26022613702912</v>
      </c>
      <c r="E912">
        <f t="shared" si="14"/>
        <v>107.045</v>
      </c>
      <c r="F912" t="str" cm="1">
        <f t="array" ref="F912">INDEX({"Pay as you go","Prediction_Pack","Prediction_Payasyougo',""Competitor"},MATCH(MIN(A912:D912),A912:D912,0))</f>
        <v>Pay as you go</v>
      </c>
    </row>
    <row r="913" spans="1:6" x14ac:dyDescent="0.25">
      <c r="A913">
        <v>93.613</v>
      </c>
      <c r="B913">
        <v>105.12186075033181</v>
      </c>
      <c r="C913">
        <v>119.03150192975167</v>
      </c>
      <c r="D913">
        <v>190.12186075033179</v>
      </c>
      <c r="E913">
        <f t="shared" si="14"/>
        <v>93.613</v>
      </c>
      <c r="F913" t="str" cm="1">
        <f t="array" ref="F913">INDEX({"Pay as you go","Prediction_Pack","Prediction_Payasyougo',""Competitor"},MATCH(MIN(A913:D913),A913:D913,0))</f>
        <v>Pay as you go</v>
      </c>
    </row>
    <row r="914" spans="1:6" x14ac:dyDescent="0.25">
      <c r="A914">
        <v>66.623000000000005</v>
      </c>
      <c r="B914">
        <v>77.794988293042053</v>
      </c>
      <c r="C914">
        <v>72.609097572686323</v>
      </c>
      <c r="D914">
        <v>145.79498829304205</v>
      </c>
      <c r="E914">
        <f t="shared" si="14"/>
        <v>66.623000000000005</v>
      </c>
      <c r="F914" t="str" cm="1">
        <f t="array" ref="F914">INDEX({"Pay as you go","Prediction_Pack","Prediction_Payasyougo',""Competitor"},MATCH(MIN(A914:D914),A914:D914,0))</f>
        <v>Pay as you go</v>
      </c>
    </row>
    <row r="915" spans="1:6" x14ac:dyDescent="0.25">
      <c r="A915">
        <v>94.055000000000007</v>
      </c>
      <c r="B915">
        <v>108.15258784178862</v>
      </c>
      <c r="C915">
        <v>123.16490508761406</v>
      </c>
      <c r="D915">
        <v>178.1525878417886</v>
      </c>
      <c r="E915">
        <f t="shared" si="14"/>
        <v>94.055000000000007</v>
      </c>
      <c r="F915" t="str" cm="1">
        <f t="array" ref="F915">INDEX({"Pay as you go","Prediction_Pack","Prediction_Payasyougo',""Competitor"},MATCH(MIN(A915:D915),A915:D915,0))</f>
        <v>Pay as you go</v>
      </c>
    </row>
    <row r="916" spans="1:6" x14ac:dyDescent="0.25">
      <c r="A916">
        <v>82.42</v>
      </c>
      <c r="B916">
        <v>82.932840750689621</v>
      </c>
      <c r="C916">
        <v>79.468878795639597</v>
      </c>
      <c r="D916">
        <v>166.93284075068962</v>
      </c>
      <c r="E916">
        <f t="shared" si="14"/>
        <v>79.468878795639597</v>
      </c>
      <c r="F916" t="str" cm="1">
        <f t="array" ref="F916">INDEX({"Pay as you go","Prediction_Pack","Prediction_Payasyougo","Competitor"},MATCH(MIN(A916:D916),A916:D916,0))</f>
        <v>Prediction_Payasyougo</v>
      </c>
    </row>
    <row r="917" spans="1:6" x14ac:dyDescent="0.25">
      <c r="A917">
        <v>110.03500000000001</v>
      </c>
      <c r="B917">
        <v>129.79090421047559</v>
      </c>
      <c r="C917">
        <v>164.20427718191559</v>
      </c>
      <c r="D917">
        <v>210.79090421047559</v>
      </c>
      <c r="E917">
        <f t="shared" si="14"/>
        <v>110.03500000000001</v>
      </c>
      <c r="F917" t="str" cm="1">
        <f t="array" ref="F917">INDEX({"Pay as you go","Prediction_Pack","Prediction_Payasyougo',""Competitor"},MATCH(MIN(A917:D917),A917:D917,0))</f>
        <v>Pay as you go</v>
      </c>
    </row>
    <row r="918" spans="1:6" x14ac:dyDescent="0.25">
      <c r="A918">
        <v>98.177000000000007</v>
      </c>
      <c r="B918">
        <v>113.0065485913079</v>
      </c>
      <c r="C918">
        <v>128.2760562221242</v>
      </c>
      <c r="D918">
        <v>195.0065485913079</v>
      </c>
      <c r="E918">
        <f t="shared" si="14"/>
        <v>98.177000000000007</v>
      </c>
      <c r="F918" t="str" cm="1">
        <f t="array" ref="F918">INDEX({"Pay as you go","Prediction_Pack","Prediction_Payasyougo',""Competitor"},MATCH(MIN(A918:D918),A918:D918,0))</f>
        <v>Pay as you go</v>
      </c>
    </row>
    <row r="919" spans="1:6" x14ac:dyDescent="0.25">
      <c r="A919">
        <v>107.12100000000001</v>
      </c>
      <c r="B919">
        <v>122.1706845011621</v>
      </c>
      <c r="C919">
        <v>160.58726741567565</v>
      </c>
      <c r="D919">
        <v>207.17068450116207</v>
      </c>
      <c r="E919">
        <f t="shared" si="14"/>
        <v>107.12100000000001</v>
      </c>
      <c r="F919" t="str" cm="1">
        <f t="array" ref="F919">INDEX({"Pay as you go","Prediction_Pack","Prediction_Payasyougo',""Competitor"},MATCH(MIN(A919:D919),A919:D919,0))</f>
        <v>Pay as you go</v>
      </c>
    </row>
    <row r="920" spans="1:6" x14ac:dyDescent="0.25">
      <c r="A920">
        <v>103.94600000000001</v>
      </c>
      <c r="B920">
        <v>123.70768784228838</v>
      </c>
      <c r="C920">
        <v>158.39121477416521</v>
      </c>
      <c r="D920">
        <v>198.70768784228838</v>
      </c>
      <c r="E920">
        <f t="shared" si="14"/>
        <v>103.94600000000001</v>
      </c>
      <c r="F920" t="str" cm="1">
        <f t="array" ref="F920">INDEX({"Pay as you go","Prediction_Pack","Prediction_Payasyougo',""Competitor"},MATCH(MIN(A920:D920),A920:D920,0))</f>
        <v>Pay as you go</v>
      </c>
    </row>
    <row r="921" spans="1:6" x14ac:dyDescent="0.25">
      <c r="A921">
        <v>84.672000000000011</v>
      </c>
      <c r="B921">
        <v>103.30120461129738</v>
      </c>
      <c r="C921">
        <v>116.76711535742153</v>
      </c>
      <c r="D921">
        <v>178.30120461129738</v>
      </c>
      <c r="E921">
        <f t="shared" si="14"/>
        <v>84.672000000000011</v>
      </c>
      <c r="F921" t="str" cm="1">
        <f t="array" ref="F921">INDEX({"Pay as you go","Prediction_Pack","Prediction_Payasyougo',""Competitor"},MATCH(MIN(A921:D921),A921:D921,0))</f>
        <v>Pay as you go</v>
      </c>
    </row>
    <row r="922" spans="1:6" x14ac:dyDescent="0.25">
      <c r="A922">
        <v>144.40900000000002</v>
      </c>
      <c r="B922">
        <v>163.79375516921084</v>
      </c>
      <c r="C922">
        <v>221.46220922989949</v>
      </c>
      <c r="D922">
        <v>268.79375516921084</v>
      </c>
      <c r="E922">
        <f t="shared" si="14"/>
        <v>144.40900000000002</v>
      </c>
      <c r="F922" t="str" cm="1">
        <f t="array" ref="F922">INDEX({"Pay as you go","Prediction_Pack","Prediction_Payasyougo',""Competitor"},MATCH(MIN(A922:D922),A922:D922,0))</f>
        <v>Pay as you go</v>
      </c>
    </row>
    <row r="923" spans="1:6" x14ac:dyDescent="0.25">
      <c r="A923">
        <v>182.57000000000002</v>
      </c>
      <c r="B923">
        <v>210.12230666444219</v>
      </c>
      <c r="C923">
        <v>303.33644863872757</v>
      </c>
      <c r="D923">
        <v>331.12230666444219</v>
      </c>
      <c r="E923">
        <f t="shared" si="14"/>
        <v>182.57000000000002</v>
      </c>
      <c r="F923" t="str" cm="1">
        <f t="array" ref="F923">INDEX({"Pay as you go","Prediction_Pack","Prediction_Payasyougo',""Competitor"},MATCH(MIN(A923:D923),A923:D923,0))</f>
        <v>Pay as you go</v>
      </c>
    </row>
    <row r="924" spans="1:6" x14ac:dyDescent="0.25">
      <c r="A924">
        <v>111.41500000000001</v>
      </c>
      <c r="B924">
        <v>115.34278172016121</v>
      </c>
      <c r="C924">
        <v>140.17431270100388</v>
      </c>
      <c r="D924">
        <v>208.34278172016121</v>
      </c>
      <c r="E924">
        <f t="shared" si="14"/>
        <v>111.41500000000001</v>
      </c>
      <c r="F924" t="str" cm="1">
        <f t="array" ref="F924">INDEX({"Pay as you go","Prediction_Pack","Prediction_Payasyougo',""Competitor"},MATCH(MIN(A924:D924),A924:D924,0))</f>
        <v>Pay as you go</v>
      </c>
    </row>
    <row r="925" spans="1:6" x14ac:dyDescent="0.25">
      <c r="A925">
        <v>105.791</v>
      </c>
      <c r="B925">
        <v>147.34362736630501</v>
      </c>
      <c r="C925">
        <v>198.14341162950299</v>
      </c>
      <c r="D925">
        <v>208.34362736630501</v>
      </c>
      <c r="E925">
        <f t="shared" si="14"/>
        <v>105.791</v>
      </c>
      <c r="F925" t="str" cm="1">
        <f t="array" ref="F925">INDEX({"Pay as you go","Prediction_Pack","Prediction_Payasyougo',""Competitor"},MATCH(MIN(A925:D925),A925:D925,0))</f>
        <v>Pay as you go</v>
      </c>
    </row>
    <row r="926" spans="1:6" x14ac:dyDescent="0.25">
      <c r="A926">
        <v>87.599000000000004</v>
      </c>
      <c r="B926">
        <v>98.050345887815922</v>
      </c>
      <c r="C926">
        <v>104.13700136921236</v>
      </c>
      <c r="D926">
        <v>176.05034588781592</v>
      </c>
      <c r="E926">
        <f t="shared" si="14"/>
        <v>87.599000000000004</v>
      </c>
      <c r="F926" t="str" cm="1">
        <f t="array" ref="F926">INDEX({"Pay as you go","Prediction_Pack","Prediction_Payasyougo',""Competitor"},MATCH(MIN(A926:D926),A926:D926,0))</f>
        <v>Pay as you go</v>
      </c>
    </row>
    <row r="927" spans="1:6" x14ac:dyDescent="0.25">
      <c r="A927">
        <v>82.795000000000002</v>
      </c>
      <c r="B927">
        <v>89.921320560194047</v>
      </c>
      <c r="C927">
        <v>101.61918524112683</v>
      </c>
      <c r="D927">
        <v>165.92132056019403</v>
      </c>
      <c r="E927">
        <f t="shared" si="14"/>
        <v>82.795000000000002</v>
      </c>
      <c r="F927" t="str" cm="1">
        <f t="array" ref="F927">INDEX({"Pay as you go","Prediction_Pack","Prediction_Payasyougo',""Competitor"},MATCH(MIN(A927:D927),A927:D927,0))</f>
        <v>Pay as you go</v>
      </c>
    </row>
    <row r="928" spans="1:6" x14ac:dyDescent="0.25">
      <c r="A928">
        <v>73.576999999999998</v>
      </c>
      <c r="B928">
        <v>84.571859872735558</v>
      </c>
      <c r="C928">
        <v>91.411851670871172</v>
      </c>
      <c r="D928">
        <v>149.57185987273556</v>
      </c>
      <c r="E928">
        <f t="shared" si="14"/>
        <v>73.576999999999998</v>
      </c>
      <c r="F928" t="str" cm="1">
        <f t="array" ref="F928">INDEX({"Pay as you go","Prediction_Pack","Prediction_Payasyougo',""Competitor"},MATCH(MIN(A928:D928),A928:D928,0))</f>
        <v>Pay as you go</v>
      </c>
    </row>
    <row r="929" spans="1:6" x14ac:dyDescent="0.25">
      <c r="A929">
        <v>98.734999999999999</v>
      </c>
      <c r="B929">
        <v>137.92091328666419</v>
      </c>
      <c r="C929">
        <v>182.48756160129975</v>
      </c>
      <c r="D929">
        <v>200.92091328666416</v>
      </c>
      <c r="E929">
        <f t="shared" si="14"/>
        <v>98.734999999999999</v>
      </c>
      <c r="F929" t="str" cm="1">
        <f t="array" ref="F929">INDEX({"Pay as you go","Prediction_Pack","Prediction_Payasyougo',""Competitor"},MATCH(MIN(A929:D929),A929:D929,0))</f>
        <v>Pay as you go</v>
      </c>
    </row>
    <row r="930" spans="1:6" x14ac:dyDescent="0.25">
      <c r="A930">
        <v>94.676000000000002</v>
      </c>
      <c r="B930">
        <v>111.89520610925939</v>
      </c>
      <c r="C930">
        <v>130.72370332341316</v>
      </c>
      <c r="D930">
        <v>182.89520610925939</v>
      </c>
      <c r="E930">
        <f t="shared" si="14"/>
        <v>94.676000000000002</v>
      </c>
      <c r="F930" t="str" cm="1">
        <f t="array" ref="F930">INDEX({"Pay as you go","Prediction_Pack","Prediction_Payasyougo',""Competitor"},MATCH(MIN(A930:D930),A930:D930,0))</f>
        <v>Pay as you go</v>
      </c>
    </row>
    <row r="931" spans="1:6" x14ac:dyDescent="0.25">
      <c r="A931">
        <v>144.71299999999999</v>
      </c>
      <c r="B931">
        <v>169.46067268290628</v>
      </c>
      <c r="C931">
        <v>227.03587214412283</v>
      </c>
      <c r="D931">
        <v>275.46067268290631</v>
      </c>
      <c r="E931">
        <f t="shared" si="14"/>
        <v>144.71299999999999</v>
      </c>
      <c r="F931" t="str" cm="1">
        <f t="array" ref="F931">INDEX({"Pay as you go","Prediction_Pack","Prediction_Payasyougo',""Competitor"},MATCH(MIN(A931:D931),A931:D931,0))</f>
        <v>Pay as you go</v>
      </c>
    </row>
    <row r="932" spans="1:6" x14ac:dyDescent="0.25">
      <c r="A932">
        <v>119.645</v>
      </c>
      <c r="B932">
        <v>130.10475847203884</v>
      </c>
      <c r="C932">
        <v>163.06763612751465</v>
      </c>
      <c r="D932">
        <v>226.10475847203884</v>
      </c>
      <c r="E932">
        <f t="shared" si="14"/>
        <v>119.645</v>
      </c>
      <c r="F932" t="str" cm="1">
        <f t="array" ref="F932">INDEX({"Pay as you go","Prediction_Pack","Prediction_Payasyougo',""Competitor"},MATCH(MIN(A932:D932),A932:D932,0))</f>
        <v>Pay as you go</v>
      </c>
    </row>
    <row r="933" spans="1:6" x14ac:dyDescent="0.25">
      <c r="A933">
        <v>70.225999999999999</v>
      </c>
      <c r="B933">
        <v>93.585912085111744</v>
      </c>
      <c r="C933">
        <v>106.75815982278607</v>
      </c>
      <c r="D933">
        <v>150.58591208511174</v>
      </c>
      <c r="E933">
        <f t="shared" si="14"/>
        <v>70.225999999999999</v>
      </c>
      <c r="F933" t="str" cm="1">
        <f t="array" ref="F933">INDEX({"Pay as you go","Prediction_Pack","Prediction_Payasyougo',""Competitor"},MATCH(MIN(A933:D933),A933:D933,0))</f>
        <v>Pay as you go</v>
      </c>
    </row>
    <row r="934" spans="1:6" x14ac:dyDescent="0.25">
      <c r="A934">
        <v>117.99000000000001</v>
      </c>
      <c r="B934">
        <v>138.23019286582584</v>
      </c>
      <c r="C934">
        <v>176.99043873801554</v>
      </c>
      <c r="D934">
        <v>232.23019286582584</v>
      </c>
      <c r="E934">
        <f t="shared" si="14"/>
        <v>117.99000000000001</v>
      </c>
      <c r="F934" t="str" cm="1">
        <f t="array" ref="F934">INDEX({"Pay as you go","Prediction_Pack","Prediction_Payasyougo',""Competitor"},MATCH(MIN(A934:D934),A934:D934,0))</f>
        <v>Pay as you go</v>
      </c>
    </row>
    <row r="935" spans="1:6" x14ac:dyDescent="0.25">
      <c r="A935">
        <v>117.628</v>
      </c>
      <c r="B935">
        <v>143.7501493518927</v>
      </c>
      <c r="C935">
        <v>188.94831673491754</v>
      </c>
      <c r="D935">
        <v>228.7501493518927</v>
      </c>
      <c r="E935">
        <f t="shared" si="14"/>
        <v>117.628</v>
      </c>
      <c r="F935" t="str" cm="1">
        <f t="array" ref="F935">INDEX({"Pay as you go","Prediction_Pack","Prediction_Payasyougo',""Competitor"},MATCH(MIN(A935:D935),A935:D935,0))</f>
        <v>Pay as you go</v>
      </c>
    </row>
    <row r="936" spans="1:6" x14ac:dyDescent="0.25">
      <c r="A936">
        <v>139.15900000000002</v>
      </c>
      <c r="B936">
        <v>154.27778318349527</v>
      </c>
      <c r="C936">
        <v>208.78154769634958</v>
      </c>
      <c r="D936">
        <v>262.27778318349527</v>
      </c>
      <c r="E936">
        <f t="shared" si="14"/>
        <v>139.15900000000002</v>
      </c>
      <c r="F936" t="str" cm="1">
        <f t="array" ref="F936">INDEX({"Pay as you go","Prediction_Pack","Prediction_Payasyougo',""Competitor"},MATCH(MIN(A936:D936),A936:D936,0))</f>
        <v>Pay as you go</v>
      </c>
    </row>
    <row r="937" spans="1:6" x14ac:dyDescent="0.25">
      <c r="A937">
        <v>118.99199999999999</v>
      </c>
      <c r="B937">
        <v>151.03168165124214</v>
      </c>
      <c r="C937">
        <v>209.44616554634212</v>
      </c>
      <c r="D937">
        <v>233.03168165124214</v>
      </c>
      <c r="E937">
        <f t="shared" si="14"/>
        <v>118.99199999999999</v>
      </c>
      <c r="F937" t="str" cm="1">
        <f t="array" ref="F937">INDEX({"Pay as you go","Prediction_Pack","Prediction_Payasyougo',""Competitor"},MATCH(MIN(A937:D937),A937:D937,0))</f>
        <v>Pay as you go</v>
      </c>
    </row>
    <row r="938" spans="1:6" x14ac:dyDescent="0.25">
      <c r="A938">
        <v>144.37900000000002</v>
      </c>
      <c r="B938">
        <v>165.31966399216157</v>
      </c>
      <c r="C938">
        <v>216.14301260535012</v>
      </c>
      <c r="D938">
        <v>275.31966399216157</v>
      </c>
      <c r="E938">
        <f t="shared" si="14"/>
        <v>144.37900000000002</v>
      </c>
      <c r="F938" t="str" cm="1">
        <f t="array" ref="F938">INDEX({"Pay as you go","Prediction_Pack","Prediction_Payasyougo',""Competitor"},MATCH(MIN(A938:D938),A938:D938,0))</f>
        <v>Pay as you go</v>
      </c>
    </row>
    <row r="939" spans="1:6" x14ac:dyDescent="0.25">
      <c r="A939">
        <v>133.31100000000001</v>
      </c>
      <c r="B939">
        <v>160.28574254551287</v>
      </c>
      <c r="C939">
        <v>215.77940373796633</v>
      </c>
      <c r="D939">
        <v>249.28574254551287</v>
      </c>
      <c r="E939">
        <f t="shared" si="14"/>
        <v>133.31100000000001</v>
      </c>
      <c r="F939" t="str" cm="1">
        <f t="array" ref="F939">INDEX({"Pay as you go","Prediction_Pack","Prediction_Payasyougo',""Competitor"},MATCH(MIN(A939:D939),A939:D939,0))</f>
        <v>Pay as you go</v>
      </c>
    </row>
    <row r="940" spans="1:6" x14ac:dyDescent="0.25">
      <c r="A940">
        <v>117.512</v>
      </c>
      <c r="B940">
        <v>125.7384909517595</v>
      </c>
      <c r="C940">
        <v>147.15158735539529</v>
      </c>
      <c r="D940">
        <v>225.73849095175947</v>
      </c>
      <c r="E940">
        <f t="shared" si="14"/>
        <v>117.512</v>
      </c>
      <c r="F940" t="str" cm="1">
        <f t="array" ref="F940">INDEX({"Pay as you go","Prediction_Pack","Prediction_Payasyougo',""Competitor"},MATCH(MIN(A940:D940),A940:D940,0))</f>
        <v>Pay as you go</v>
      </c>
    </row>
    <row r="941" spans="1:6" x14ac:dyDescent="0.25">
      <c r="A941">
        <v>97.367000000000004</v>
      </c>
      <c r="B941">
        <v>131.94359285591315</v>
      </c>
      <c r="C941">
        <v>169.60850498498056</v>
      </c>
      <c r="D941">
        <v>203.94359285591315</v>
      </c>
      <c r="E941">
        <f t="shared" si="14"/>
        <v>97.367000000000004</v>
      </c>
      <c r="F941" t="str" cm="1">
        <f t="array" ref="F941">INDEX({"Pay as you go","Prediction_Pack","Prediction_Payasyougo',""Competitor"},MATCH(MIN(A941:D941),A941:D941,0))</f>
        <v>Pay as you go</v>
      </c>
    </row>
    <row r="942" spans="1:6" x14ac:dyDescent="0.25">
      <c r="A942">
        <v>125.871</v>
      </c>
      <c r="B942">
        <v>148.25758129102908</v>
      </c>
      <c r="C942">
        <v>180.94449546909397</v>
      </c>
      <c r="D942">
        <v>249.25758129102908</v>
      </c>
      <c r="E942">
        <f t="shared" si="14"/>
        <v>125.871</v>
      </c>
      <c r="F942" t="str" cm="1">
        <f t="array" ref="F942">INDEX({"Pay as you go","Prediction_Pack","Prediction_Payasyougo',""Competitor"},MATCH(MIN(A942:D942),A942:D942,0))</f>
        <v>Pay as you go</v>
      </c>
    </row>
    <row r="943" spans="1:6" x14ac:dyDescent="0.25">
      <c r="A943">
        <v>127.899</v>
      </c>
      <c r="B943">
        <v>149.26672776241116</v>
      </c>
      <c r="C943">
        <v>185.68880683966873</v>
      </c>
      <c r="D943">
        <v>245.26672776241116</v>
      </c>
      <c r="E943">
        <f t="shared" si="14"/>
        <v>127.899</v>
      </c>
      <c r="F943" t="str" cm="1">
        <f t="array" ref="F943">INDEX({"Pay as you go","Prediction_Pack","Prediction_Payasyougo',""Competitor"},MATCH(MIN(A943:D943),A943:D943,0))</f>
        <v>Pay as you go</v>
      </c>
    </row>
    <row r="944" spans="1:6" x14ac:dyDescent="0.25">
      <c r="A944">
        <v>148.233</v>
      </c>
      <c r="B944">
        <v>170.45071714467986</v>
      </c>
      <c r="C944">
        <v>246.37676266746348</v>
      </c>
      <c r="D944">
        <v>271.45071714467986</v>
      </c>
      <c r="E944">
        <f t="shared" si="14"/>
        <v>148.233</v>
      </c>
      <c r="F944" t="str" cm="1">
        <f t="array" ref="F944">INDEX({"Pay as you go","Prediction_Pack","Prediction_Payasyougo',""Competitor"},MATCH(MIN(A944:D944),A944:D944,0))</f>
        <v>Pay as you go</v>
      </c>
    </row>
    <row r="945" spans="1:6" x14ac:dyDescent="0.25">
      <c r="A945">
        <v>216.887</v>
      </c>
      <c r="B945">
        <v>255.45656754943991</v>
      </c>
      <c r="C945">
        <v>384.12308945625881</v>
      </c>
      <c r="D945">
        <v>393.45656754943991</v>
      </c>
      <c r="E945">
        <f t="shared" si="14"/>
        <v>216.887</v>
      </c>
      <c r="F945" t="str" cm="1">
        <f t="array" ref="F945">INDEX({"Pay as you go","Prediction_Pack","Prediction_Payasyougo',""Competitor"},MATCH(MIN(A945:D945),A945:D945,0))</f>
        <v>Pay as you go</v>
      </c>
    </row>
    <row r="946" spans="1:6" x14ac:dyDescent="0.25">
      <c r="A946">
        <v>141.80199999999999</v>
      </c>
      <c r="B946">
        <v>149.34640891587958</v>
      </c>
      <c r="C946">
        <v>198.55628893775048</v>
      </c>
      <c r="D946">
        <v>259.34640891587958</v>
      </c>
      <c r="E946">
        <f t="shared" si="14"/>
        <v>141.80199999999999</v>
      </c>
      <c r="F946" t="str" cm="1">
        <f t="array" ref="F946">INDEX({"Pay as you go","Prediction_Pack","Prediction_Payasyougo',""Competitor"},MATCH(MIN(A946:D946),A946:D946,0))</f>
        <v>Pay as you go</v>
      </c>
    </row>
    <row r="947" spans="1:6" x14ac:dyDescent="0.25">
      <c r="A947">
        <v>184.84799999999998</v>
      </c>
      <c r="B947">
        <v>217.82772676208944</v>
      </c>
      <c r="C947">
        <v>322.03758595362541</v>
      </c>
      <c r="D947">
        <v>335.82772676208941</v>
      </c>
      <c r="E947">
        <f t="shared" si="14"/>
        <v>184.84799999999998</v>
      </c>
      <c r="F947" t="str" cm="1">
        <f t="array" ref="F947">INDEX({"Pay as you go","Prediction_Pack","Prediction_Payasyougo',""Competitor"},MATCH(MIN(A947:D947),A947:D947,0))</f>
        <v>Pay as you go</v>
      </c>
    </row>
    <row r="948" spans="1:6" x14ac:dyDescent="0.25">
      <c r="A948">
        <v>173.47300000000001</v>
      </c>
      <c r="B948">
        <v>183.68144506707213</v>
      </c>
      <c r="C948">
        <v>262.64202047723489</v>
      </c>
      <c r="D948">
        <v>308.68144506707216</v>
      </c>
      <c r="E948">
        <f t="shared" si="14"/>
        <v>173.47300000000001</v>
      </c>
      <c r="F948" t="str" cm="1">
        <f t="array" ref="F948">INDEX({"Pay as you go","Prediction_Pack","Prediction_Payasyougo',""Competitor"},MATCH(MIN(A948:D948),A948:D948,0))</f>
        <v>Pay as you go</v>
      </c>
    </row>
    <row r="949" spans="1:6" x14ac:dyDescent="0.25">
      <c r="A949">
        <v>117.36199999999999</v>
      </c>
      <c r="B949">
        <v>133.91682114213876</v>
      </c>
      <c r="C949">
        <v>172.90491369643664</v>
      </c>
      <c r="D949">
        <v>215.91682114213876</v>
      </c>
      <c r="E949">
        <f t="shared" si="14"/>
        <v>117.36199999999999</v>
      </c>
      <c r="F949" t="str" cm="1">
        <f t="array" ref="F949">INDEX({"Pay as you go","Prediction_Pack","Prediction_Payasyougo',""Competitor"},MATCH(MIN(A949:D949),A949:D949,0))</f>
        <v>Pay as you go</v>
      </c>
    </row>
    <row r="950" spans="1:6" x14ac:dyDescent="0.25">
      <c r="A950">
        <v>143.61600000000001</v>
      </c>
      <c r="B950">
        <v>147.92349370226336</v>
      </c>
      <c r="C950">
        <v>191.38021470835935</v>
      </c>
      <c r="D950">
        <v>263.92349370226333</v>
      </c>
      <c r="E950">
        <f t="shared" si="14"/>
        <v>143.61600000000001</v>
      </c>
      <c r="F950" t="str" cm="1">
        <f t="array" ref="F950">INDEX({"Pay as you go","Prediction_Pack","Prediction_Payasyougo',""Competitor"},MATCH(MIN(A950:D950),A950:D950,0))</f>
        <v>Pay as you go</v>
      </c>
    </row>
    <row r="951" spans="1:6" x14ac:dyDescent="0.25">
      <c r="A951">
        <v>138.21799999999999</v>
      </c>
      <c r="B951">
        <v>165.4494795381236</v>
      </c>
      <c r="C951">
        <v>220.71916846524636</v>
      </c>
      <c r="D951">
        <v>265.44947953812357</v>
      </c>
      <c r="E951">
        <f t="shared" si="14"/>
        <v>138.21799999999999</v>
      </c>
      <c r="F951" t="str" cm="1">
        <f t="array" ref="F951">INDEX({"Pay as you go","Prediction_Pack","Prediction_Payasyougo',""Competitor"},MATCH(MIN(A951:D951),A951:D951,0))</f>
        <v>Pay as you go</v>
      </c>
    </row>
    <row r="952" spans="1:6" x14ac:dyDescent="0.25">
      <c r="A952">
        <v>196.155</v>
      </c>
      <c r="B952">
        <v>243.75550475407786</v>
      </c>
      <c r="C952">
        <v>384.21293981977084</v>
      </c>
      <c r="D952">
        <v>353.75550475407789</v>
      </c>
      <c r="E952">
        <f t="shared" si="14"/>
        <v>196.155</v>
      </c>
      <c r="F952" t="str" cm="1">
        <f t="array" ref="F952">INDEX({"Pay as you go","Prediction_Pack","Prediction_Payasyougo',""Competitor"},MATCH(MIN(A952:D952),A952:D952,0))</f>
        <v>Pay as you go</v>
      </c>
    </row>
    <row r="953" spans="1:6" x14ac:dyDescent="0.25">
      <c r="A953">
        <v>144.45500000000001</v>
      </c>
      <c r="B953">
        <v>159.86298900201811</v>
      </c>
      <c r="C953">
        <v>231.44583444985761</v>
      </c>
      <c r="D953">
        <v>268.86298900201808</v>
      </c>
      <c r="E953">
        <f t="shared" si="14"/>
        <v>144.45500000000001</v>
      </c>
      <c r="F953" t="str" cm="1">
        <f t="array" ref="F953">INDEX({"Pay as you go","Prediction_Pack","Prediction_Payasyougo',""Competitor"},MATCH(MIN(A953:D953),A953:D953,0))</f>
        <v>Pay as you go</v>
      </c>
    </row>
    <row r="954" spans="1:6" x14ac:dyDescent="0.25">
      <c r="A954">
        <v>121.227</v>
      </c>
      <c r="B954">
        <v>132.67651018930721</v>
      </c>
      <c r="C954">
        <v>173.91133837032871</v>
      </c>
      <c r="D954">
        <v>224.67651018930721</v>
      </c>
      <c r="E954">
        <f t="shared" si="14"/>
        <v>121.227</v>
      </c>
      <c r="F954" t="str" cm="1">
        <f t="array" ref="F954">INDEX({"Pay as you go","Prediction_Pack","Prediction_Payasyougo',""Competitor"},MATCH(MIN(A954:D954),A954:D954,0))</f>
        <v>Pay as you go</v>
      </c>
    </row>
    <row r="955" spans="1:6" x14ac:dyDescent="0.25">
      <c r="A955">
        <v>105.27818037435893</v>
      </c>
      <c r="B955">
        <v>127.03973904560556</v>
      </c>
      <c r="C955">
        <v>147.18831062196907</v>
      </c>
      <c r="D955">
        <v>213.03973904560553</v>
      </c>
      <c r="E955">
        <f t="shared" si="14"/>
        <v>105.27818037435893</v>
      </c>
      <c r="F955" t="str" cm="1">
        <f t="array" ref="F955">INDEX({"Pay as you go","Prediction_Pack","Prediction_Payasyougo',""Competitor"},MATCH(MIN(A955:D955),A955:D955,0))</f>
        <v>Pay as you go</v>
      </c>
    </row>
    <row r="956" spans="1:6" x14ac:dyDescent="0.25">
      <c r="A956">
        <v>87.402274186321989</v>
      </c>
      <c r="B956">
        <v>87.308825061464859</v>
      </c>
      <c r="C956">
        <v>85.527237848139151</v>
      </c>
      <c r="D956">
        <v>178.30882506146486</v>
      </c>
      <c r="E956">
        <f t="shared" si="14"/>
        <v>85.527237848139151</v>
      </c>
      <c r="F956" t="str" cm="1">
        <f t="array" ref="F956">INDEX({"Pay as you go","Prediction_Pack","Prediction_Payasyougo","Competitor"},MATCH(MIN(A956:D956),A956:D956,0))</f>
        <v>Prediction_Payasyougo</v>
      </c>
    </row>
    <row r="957" spans="1:6" x14ac:dyDescent="0.25">
      <c r="A957">
        <v>81.159001163172732</v>
      </c>
      <c r="B957">
        <v>103.29315413702415</v>
      </c>
      <c r="C957">
        <v>114.49894889448352</v>
      </c>
      <c r="D957">
        <v>173.29315413702415</v>
      </c>
      <c r="E957">
        <f t="shared" si="14"/>
        <v>81.159001163172732</v>
      </c>
      <c r="F957" t="str" cm="1">
        <f t="array" ref="F957">INDEX({"Pay as you go","Prediction_Pack","Prediction_Payasyougo',""Competitor"},MATCH(MIN(A957:D957),A957:D957,0))</f>
        <v>Pay as you go</v>
      </c>
    </row>
    <row r="958" spans="1:6" x14ac:dyDescent="0.25">
      <c r="A958">
        <v>86.175315377680036</v>
      </c>
      <c r="B958">
        <v>94.328518064642481</v>
      </c>
      <c r="C958">
        <v>94.403605340245662</v>
      </c>
      <c r="D958">
        <v>176.32851806464248</v>
      </c>
      <c r="E958">
        <f t="shared" si="14"/>
        <v>86.175315377680036</v>
      </c>
      <c r="F958" t="str" cm="1">
        <f t="array" ref="F958">INDEX({"Pay as you go","Prediction_Pack","Prediction_Payasyougo',""Competitor"},MATCH(MIN(A958:D958),A958:D958,0))</f>
        <v>Pay as you go</v>
      </c>
    </row>
    <row r="959" spans="1:6" x14ac:dyDescent="0.25">
      <c r="A959">
        <v>99.929411371348053</v>
      </c>
      <c r="B959">
        <v>109.2177637266507</v>
      </c>
      <c r="C959">
        <v>122.80600149048277</v>
      </c>
      <c r="D959">
        <v>200.2177637266507</v>
      </c>
      <c r="E959">
        <f t="shared" si="14"/>
        <v>99.929411371348053</v>
      </c>
      <c r="F959" t="str" cm="1">
        <f t="array" ref="F959">INDEX({"Pay as you go","Prediction_Pack","Prediction_Payasyougo',""Competitor"},MATCH(MIN(A959:D959),A959:D959,0))</f>
        <v>Pay as you go</v>
      </c>
    </row>
    <row r="960" spans="1:6" x14ac:dyDescent="0.25">
      <c r="A960">
        <v>110.83752384707455</v>
      </c>
      <c r="B960">
        <v>142.12108274322222</v>
      </c>
      <c r="C960">
        <v>182.40984565737179</v>
      </c>
      <c r="D960">
        <v>221.12108274322222</v>
      </c>
      <c r="E960">
        <f t="shared" si="14"/>
        <v>110.83752384707455</v>
      </c>
      <c r="F960" t="str" cm="1">
        <f t="array" ref="F960">INDEX({"Pay as you go","Prediction_Pack","Prediction_Payasyougo',""Competitor"},MATCH(MIN(A960:D960),A960:D960,0))</f>
        <v>Pay as you go</v>
      </c>
    </row>
    <row r="961" spans="1:6" x14ac:dyDescent="0.25">
      <c r="A961">
        <v>106.32651801127558</v>
      </c>
      <c r="B961">
        <v>119.92460906426584</v>
      </c>
      <c r="C961">
        <v>146.30918108354646</v>
      </c>
      <c r="D961">
        <v>203.92460906426584</v>
      </c>
      <c r="E961">
        <f t="shared" si="14"/>
        <v>106.32651801127558</v>
      </c>
      <c r="F961" t="str" cm="1">
        <f t="array" ref="F961">INDEX({"Pay as you go","Prediction_Pack","Prediction_Payasyougo',""Competitor"},MATCH(MIN(A961:D961),A961:D961,0))</f>
        <v>Pay as you go</v>
      </c>
    </row>
    <row r="962" spans="1:6" x14ac:dyDescent="0.25">
      <c r="A962">
        <v>83.904118525160257</v>
      </c>
      <c r="B962">
        <v>90.58542696621717</v>
      </c>
      <c r="C962">
        <v>97.826515838826225</v>
      </c>
      <c r="D962">
        <v>167.58542696621717</v>
      </c>
      <c r="E962">
        <f t="shared" si="14"/>
        <v>83.904118525160257</v>
      </c>
      <c r="F962" t="str" cm="1">
        <f t="array" ref="F962">INDEX({"Pay as you go","Prediction_Pack","Prediction_Payasyougo',""Competitor"},MATCH(MIN(A962:D962),A962:D962,0))</f>
        <v>Pay as you go</v>
      </c>
    </row>
    <row r="963" spans="1:6" x14ac:dyDescent="0.25">
      <c r="A963">
        <v>103.09057786825868</v>
      </c>
      <c r="B963">
        <v>111.12098017534896</v>
      </c>
      <c r="C963">
        <v>138.51812979049521</v>
      </c>
      <c r="D963">
        <v>203.12098017534896</v>
      </c>
      <c r="E963">
        <f t="shared" si="14"/>
        <v>103.09057786825868</v>
      </c>
      <c r="F963" t="str" cm="1">
        <f t="array" ref="F963">INDEX({"Pay as you go","Prediction_Pack","Prediction_Payasyougo',""Competitor"},MATCH(MIN(A963:D963),A963:D963,0))</f>
        <v>Pay as you go</v>
      </c>
    </row>
    <row r="964" spans="1:6" x14ac:dyDescent="0.25">
      <c r="A964">
        <v>74.291219821491012</v>
      </c>
      <c r="B964">
        <v>92.001137516975732</v>
      </c>
      <c r="C964">
        <v>105.40781138291655</v>
      </c>
      <c r="D964">
        <v>159.00113751697572</v>
      </c>
      <c r="E964">
        <f t="shared" si="14"/>
        <v>74.291219821491012</v>
      </c>
      <c r="F964" t="str" cm="1">
        <f t="array" ref="F964">INDEX({"Pay as you go","Prediction_Pack","Prediction_Payasyougo',""Competitor"},MATCH(MIN(A964:D964),A964:D964,0))</f>
        <v>Pay as you go</v>
      </c>
    </row>
    <row r="965" spans="1:6" x14ac:dyDescent="0.25">
      <c r="A965">
        <v>177.55583116015069</v>
      </c>
      <c r="B965">
        <v>196.852831637734</v>
      </c>
      <c r="C965">
        <v>290.62016883076558</v>
      </c>
      <c r="D965">
        <v>319.85283163773403</v>
      </c>
      <c r="E965">
        <f t="shared" si="14"/>
        <v>177.55583116015069</v>
      </c>
      <c r="F965" t="str" cm="1">
        <f t="array" ref="F965">INDEX({"Pay as you go","Prediction_Pack","Prediction_Payasyougo',""Competitor"},MATCH(MIN(A965:D965),A965:D965,0))</f>
        <v>Pay as you go</v>
      </c>
    </row>
    <row r="966" spans="1:6" x14ac:dyDescent="0.25">
      <c r="A966">
        <v>95.568337192384362</v>
      </c>
      <c r="B966">
        <v>122.4482484416709</v>
      </c>
      <c r="C966">
        <v>167.63913480642299</v>
      </c>
      <c r="D966">
        <v>187.4482484416709</v>
      </c>
      <c r="E966">
        <f t="shared" si="14"/>
        <v>95.568337192384362</v>
      </c>
      <c r="F966" t="str" cm="1">
        <f t="array" ref="F966">INDEX({"Pay as you go","Prediction_Pack","Prediction_Payasyougo',""Competitor"},MATCH(MIN(A966:D966),A966:D966,0))</f>
        <v>Pay as you go</v>
      </c>
    </row>
    <row r="967" spans="1:6" x14ac:dyDescent="0.25">
      <c r="A967">
        <v>115.89845361229538</v>
      </c>
      <c r="B967">
        <v>134.04497778490176</v>
      </c>
      <c r="C967">
        <v>171.67680316343655</v>
      </c>
      <c r="D967">
        <v>226.04497778490176</v>
      </c>
      <c r="E967">
        <f t="shared" si="14"/>
        <v>115.89845361229538</v>
      </c>
      <c r="F967" t="str" cm="1">
        <f t="array" ref="F967">INDEX({"Pay as you go","Prediction_Pack","Prediction_Payasyougo',""Competitor"},MATCH(MIN(A967:D967),A967:D967,0))</f>
        <v>Pay as you go</v>
      </c>
    </row>
    <row r="968" spans="1:6" x14ac:dyDescent="0.25">
      <c r="A968">
        <v>63.946743540678376</v>
      </c>
      <c r="B968">
        <v>79.92938458169877</v>
      </c>
      <c r="C968">
        <v>82.432528026907349</v>
      </c>
      <c r="D968">
        <v>138.92938458169877</v>
      </c>
      <c r="E968">
        <f t="shared" si="14"/>
        <v>63.946743540678376</v>
      </c>
      <c r="F968" t="str" cm="1">
        <f t="array" ref="F968">INDEX({"Pay as you go","Prediction_Pack","Prediction_Payasyougo',""Competitor"},MATCH(MIN(A968:D968),A968:D968,0))</f>
        <v>Pay as you go</v>
      </c>
    </row>
    <row r="969" spans="1:6" x14ac:dyDescent="0.25">
      <c r="A969">
        <v>98.293001020800233</v>
      </c>
      <c r="B969">
        <v>114.52035027964149</v>
      </c>
      <c r="C969">
        <v>154.90833529735667</v>
      </c>
      <c r="D969">
        <v>187.52035027964149</v>
      </c>
      <c r="E969">
        <f t="shared" ref="E969:E1007" si="15">MIN(A969:D969)</f>
        <v>98.293001020800233</v>
      </c>
      <c r="F969" t="str" cm="1">
        <f t="array" ref="F969">INDEX({"Pay as you go","Prediction_Pack","Prediction_Payasyougo',""Competitor"},MATCH(MIN(A969:D969),A969:D969,0))</f>
        <v>Pay as you go</v>
      </c>
    </row>
    <row r="970" spans="1:6" x14ac:dyDescent="0.25">
      <c r="A970">
        <v>146.74853374627537</v>
      </c>
      <c r="B970">
        <v>160.0897762843957</v>
      </c>
      <c r="C970">
        <v>207.08536486828896</v>
      </c>
      <c r="D970">
        <v>278.08977628439573</v>
      </c>
      <c r="E970">
        <f t="shared" si="15"/>
        <v>146.74853374627537</v>
      </c>
      <c r="F970" t="str" cm="1">
        <f t="array" ref="F970">INDEX({"Pay as you go","Prediction_Pack","Prediction_Payasyougo',""Competitor"},MATCH(MIN(A970:D970),A970:D970,0))</f>
        <v>Pay as you go</v>
      </c>
    </row>
    <row r="971" spans="1:6" x14ac:dyDescent="0.25">
      <c r="A971">
        <v>99.191801117255451</v>
      </c>
      <c r="B971">
        <v>122.21915566632754</v>
      </c>
      <c r="C971">
        <v>152.62995467678789</v>
      </c>
      <c r="D971">
        <v>201.21915566632754</v>
      </c>
      <c r="E971">
        <f t="shared" si="15"/>
        <v>99.191801117255451</v>
      </c>
      <c r="F971" t="str" cm="1">
        <f t="array" ref="F971">INDEX({"Pay as you go","Prediction_Pack","Prediction_Payasyougo',""Competitor"},MATCH(MIN(A971:D971),A971:D971,0))</f>
        <v>Pay as you go</v>
      </c>
    </row>
    <row r="972" spans="1:6" x14ac:dyDescent="0.25">
      <c r="A972">
        <v>115.5442190813985</v>
      </c>
      <c r="B972">
        <v>142.79939146710737</v>
      </c>
      <c r="C972">
        <v>182.69186747350531</v>
      </c>
      <c r="D972">
        <v>231.79939146710737</v>
      </c>
      <c r="E972">
        <f t="shared" si="15"/>
        <v>115.5442190813985</v>
      </c>
      <c r="F972" t="str" cm="1">
        <f t="array" ref="F972">INDEX({"Pay as you go","Prediction_Pack","Prediction_Payasyougo',""Competitor"},MATCH(MIN(A972:D972),A972:D972,0))</f>
        <v>Pay as you go</v>
      </c>
    </row>
    <row r="973" spans="1:6" x14ac:dyDescent="0.25">
      <c r="A973">
        <v>145.10545792760135</v>
      </c>
      <c r="B973">
        <v>167.01482760731091</v>
      </c>
      <c r="C973">
        <v>240.09803191122268</v>
      </c>
      <c r="D973">
        <v>273.01482760731091</v>
      </c>
      <c r="E973">
        <f t="shared" si="15"/>
        <v>145.10545792760135</v>
      </c>
      <c r="F973" t="str" cm="1">
        <f t="array" ref="F973">INDEX({"Pay as you go","Prediction_Pack","Prediction_Payasyougo',""Competitor"},MATCH(MIN(A973:D973),A973:D973,0))</f>
        <v>Pay as you go</v>
      </c>
    </row>
    <row r="974" spans="1:6" x14ac:dyDescent="0.25">
      <c r="A974">
        <v>125.10157969609742</v>
      </c>
      <c r="B974">
        <v>135.43126005145072</v>
      </c>
      <c r="C974">
        <v>171.5576867085459</v>
      </c>
      <c r="D974">
        <v>238.43126005145069</v>
      </c>
      <c r="E974">
        <f t="shared" si="15"/>
        <v>125.10157969609742</v>
      </c>
      <c r="F974" t="str" cm="1">
        <f t="array" ref="F974">INDEX({"Pay as you go","Prediction_Pack","Prediction_Payasyougo',""Competitor"},MATCH(MIN(A974:D974),A974:D974,0))</f>
        <v>Pay as you go</v>
      </c>
    </row>
    <row r="975" spans="1:6" x14ac:dyDescent="0.25">
      <c r="A975">
        <v>133.14038571747321</v>
      </c>
      <c r="B975">
        <v>156.7851042509042</v>
      </c>
      <c r="C975">
        <v>212.95718515814727</v>
      </c>
      <c r="D975">
        <v>249.78510425090417</v>
      </c>
      <c r="E975">
        <f t="shared" si="15"/>
        <v>133.14038571747321</v>
      </c>
      <c r="F975" t="str" cm="1">
        <f t="array" ref="F975">INDEX({"Pay as you go","Prediction_Pack","Prediction_Payasyougo',""Competitor"},MATCH(MIN(A975:D975),A975:D975,0))</f>
        <v>Pay as you go</v>
      </c>
    </row>
    <row r="976" spans="1:6" x14ac:dyDescent="0.25">
      <c r="A976">
        <v>119.79945719433931</v>
      </c>
      <c r="B976">
        <v>135.90915931550234</v>
      </c>
      <c r="C976">
        <v>172.36224615242324</v>
      </c>
      <c r="D976">
        <v>228.90915931550234</v>
      </c>
      <c r="E976">
        <f t="shared" si="15"/>
        <v>119.79945719433931</v>
      </c>
      <c r="F976" t="str" cm="1">
        <f t="array" ref="F976">INDEX({"Pay as you go","Prediction_Pack","Prediction_Payasyougo',""Competitor"},MATCH(MIN(A976:D976),A976:D976,0))</f>
        <v>Pay as you go</v>
      </c>
    </row>
    <row r="977" spans="1:6" x14ac:dyDescent="0.25">
      <c r="A977">
        <v>139.8805379048143</v>
      </c>
      <c r="B977">
        <v>160.78758700936498</v>
      </c>
      <c r="C977">
        <v>203.85780206478952</v>
      </c>
      <c r="D977">
        <v>269.78758700936498</v>
      </c>
      <c r="E977">
        <f t="shared" si="15"/>
        <v>139.8805379048143</v>
      </c>
      <c r="F977" t="str" cm="1">
        <f t="array" ref="F977">INDEX({"Pay as you go","Prediction_Pack","Prediction_Payasyougo',""Competitor"},MATCH(MIN(A977:D977),A977:D977,0))</f>
        <v>Pay as you go</v>
      </c>
    </row>
    <row r="978" spans="1:6" x14ac:dyDescent="0.25">
      <c r="A978">
        <v>163.88510635522385</v>
      </c>
      <c r="B978">
        <v>200.1921104489675</v>
      </c>
      <c r="C978">
        <v>292.2094353217135</v>
      </c>
      <c r="D978">
        <v>304.19211044896753</v>
      </c>
      <c r="E978">
        <f t="shared" si="15"/>
        <v>163.88510635522385</v>
      </c>
      <c r="F978" t="str" cm="1">
        <f t="array" ref="F978">INDEX({"Pay as you go","Prediction_Pack","Prediction_Payasyougo',""Competitor"},MATCH(MIN(A978:D978),A978:D978,0))</f>
        <v>Pay as you go</v>
      </c>
    </row>
    <row r="979" spans="1:6" x14ac:dyDescent="0.25">
      <c r="A979">
        <v>71.904754485193891</v>
      </c>
      <c r="B979">
        <v>107.90300587675057</v>
      </c>
      <c r="C979">
        <v>126.9358788493083</v>
      </c>
      <c r="D979">
        <v>158.90300587675057</v>
      </c>
      <c r="E979">
        <f t="shared" si="15"/>
        <v>71.904754485193891</v>
      </c>
      <c r="F979" t="str" cm="1">
        <f t="array" ref="F979">INDEX({"Pay as you go","Prediction_Pack","Prediction_Payasyougo',""Competitor"},MATCH(MIN(A979:D979),A979:D979,0))</f>
        <v>Pay as you go</v>
      </c>
    </row>
    <row r="980" spans="1:6" x14ac:dyDescent="0.25">
      <c r="A980">
        <v>51.201158201492873</v>
      </c>
      <c r="B980">
        <v>63.933225891942179</v>
      </c>
      <c r="C980">
        <v>59.88</v>
      </c>
      <c r="D980">
        <v>123.93322589194219</v>
      </c>
      <c r="E980">
        <f t="shared" si="15"/>
        <v>51.201158201492873</v>
      </c>
      <c r="F980" t="str" cm="1">
        <f t="array" ref="F980">INDEX({"Pay as you go","Prediction_Pack","Prediction_Payasyougo',""Competitor"},MATCH(MIN(A980:D980),A980:D980,0))</f>
        <v>Pay as you go</v>
      </c>
    </row>
    <row r="981" spans="1:6" x14ac:dyDescent="0.25">
      <c r="A981">
        <v>158.47916794379771</v>
      </c>
      <c r="B981">
        <v>185.69173673845393</v>
      </c>
      <c r="C981">
        <v>265.66527802622818</v>
      </c>
      <c r="D981">
        <v>296.69173673845393</v>
      </c>
      <c r="E981">
        <f t="shared" si="15"/>
        <v>158.47916794379771</v>
      </c>
      <c r="F981" t="str" cm="1">
        <f t="array" ref="F981">INDEX({"Pay as you go","Prediction_Pack","Prediction_Payasyougo',""Competitor"},MATCH(MIN(A981:D981),A981:D981,0))</f>
        <v>Pay as you go</v>
      </c>
    </row>
    <row r="982" spans="1:6" x14ac:dyDescent="0.25">
      <c r="A982">
        <v>96.323920045871631</v>
      </c>
      <c r="B982">
        <v>119.31340255787549</v>
      </c>
      <c r="C982">
        <v>140.34084200459534</v>
      </c>
      <c r="D982">
        <v>208.31340255787546</v>
      </c>
      <c r="E982">
        <f t="shared" si="15"/>
        <v>96.323920045871631</v>
      </c>
      <c r="F982" t="str" cm="1">
        <f t="array" ref="F982">INDEX({"Pay as you go","Prediction_Pack","Prediction_Payasyougo',""Competitor"},MATCH(MIN(A982:D982),A982:D982,0))</f>
        <v>Pay as you go</v>
      </c>
    </row>
    <row r="983" spans="1:6" x14ac:dyDescent="0.25">
      <c r="A983">
        <v>137.717176646963</v>
      </c>
      <c r="B983">
        <v>159.84045437392211</v>
      </c>
      <c r="C983">
        <v>228.29751080329117</v>
      </c>
      <c r="D983">
        <v>263.84045437392211</v>
      </c>
      <c r="E983">
        <f t="shared" si="15"/>
        <v>137.717176646963</v>
      </c>
      <c r="F983" t="str" cm="1">
        <f t="array" ref="F983">INDEX({"Pay as you go","Prediction_Pack","Prediction_Payasyougo',""Competitor"},MATCH(MIN(A983:D983),A983:D983,0))</f>
        <v>Pay as you go</v>
      </c>
    </row>
    <row r="984" spans="1:6" x14ac:dyDescent="0.25">
      <c r="A984">
        <v>69.246628592599336</v>
      </c>
      <c r="B984">
        <v>87.880593448908414</v>
      </c>
      <c r="C984">
        <v>90.425345663965345</v>
      </c>
      <c r="D984">
        <v>158.8805934489084</v>
      </c>
      <c r="E984">
        <f t="shared" si="15"/>
        <v>69.246628592599336</v>
      </c>
      <c r="F984" t="str" cm="1">
        <f t="array" ref="F984">INDEX({"Pay as you go","Prediction_Pack","Prediction_Payasyougo',""Competitor"},MATCH(MIN(A984:D984),A984:D984,0))</f>
        <v>Pay as you go</v>
      </c>
    </row>
    <row r="985" spans="1:6" x14ac:dyDescent="0.25">
      <c r="A985">
        <v>122.63023902625484</v>
      </c>
      <c r="B985">
        <v>147.01631142374833</v>
      </c>
      <c r="C985">
        <v>206.72502345322837</v>
      </c>
      <c r="D985">
        <v>238.01631142374833</v>
      </c>
      <c r="E985">
        <f t="shared" si="15"/>
        <v>122.63023902625484</v>
      </c>
      <c r="F985" t="str" cm="1">
        <f t="array" ref="F985">INDEX({"Pay as you go","Prediction_Pack","Prediction_Payasyougo',""Competitor"},MATCH(MIN(A985:D985),A985:D985,0))</f>
        <v>Pay as you go</v>
      </c>
    </row>
    <row r="986" spans="1:6" x14ac:dyDescent="0.25">
      <c r="A986">
        <v>78.814857709582526</v>
      </c>
      <c r="B986">
        <v>103.3041066205476</v>
      </c>
      <c r="C986">
        <v>123.1180552822548</v>
      </c>
      <c r="D986">
        <v>163.3041066205476</v>
      </c>
      <c r="E986">
        <f t="shared" si="15"/>
        <v>78.814857709582526</v>
      </c>
      <c r="F986" t="str" cm="1">
        <f t="array" ref="F986">INDEX({"Pay as you go","Prediction_Pack","Prediction_Payasyougo',""Competitor"},MATCH(MIN(A986:D986),A986:D986,0))</f>
        <v>Pay as you go</v>
      </c>
    </row>
    <row r="987" spans="1:6" x14ac:dyDescent="0.25">
      <c r="A987">
        <v>158.65865638149589</v>
      </c>
      <c r="B987">
        <v>174.9002604614162</v>
      </c>
      <c r="C987">
        <v>251.17882310393009</v>
      </c>
      <c r="D987">
        <v>292.90026046141622</v>
      </c>
      <c r="E987">
        <f t="shared" si="15"/>
        <v>158.65865638149589</v>
      </c>
      <c r="F987" t="str" cm="1">
        <f t="array" ref="F987">INDEX({"Pay as you go","Prediction_Pack","Prediction_Payasyougo',""Competitor"},MATCH(MIN(A987:D987),A987:D987,0))</f>
        <v>Pay as you go</v>
      </c>
    </row>
    <row r="988" spans="1:6" x14ac:dyDescent="0.25">
      <c r="A988">
        <v>212.25900159713439</v>
      </c>
      <c r="B988">
        <v>246.38614036554591</v>
      </c>
      <c r="C988">
        <v>383.84161441060371</v>
      </c>
      <c r="D988">
        <v>382.38614036554594</v>
      </c>
      <c r="E988">
        <f t="shared" si="15"/>
        <v>212.25900159713439</v>
      </c>
      <c r="F988" t="str" cm="1">
        <f t="array" ref="F988">INDEX({"Pay as you go","Prediction_Pack","Prediction_Payasyougo',""Competitor"},MATCH(MIN(A988:D988),A988:D988,0))</f>
        <v>Pay as you go</v>
      </c>
    </row>
    <row r="989" spans="1:6" x14ac:dyDescent="0.25">
      <c r="A989">
        <v>101.30275485008508</v>
      </c>
      <c r="B989">
        <v>125.78908203010059</v>
      </c>
      <c r="C989">
        <v>156.56587630042034</v>
      </c>
      <c r="D989">
        <v>211.78908203010059</v>
      </c>
      <c r="E989">
        <f t="shared" si="15"/>
        <v>101.30275485008508</v>
      </c>
      <c r="F989" t="str" cm="1">
        <f t="array" ref="F989">INDEX({"Pay as you go","Prediction_Pack","Prediction_Payasyougo',""Competitor"},MATCH(MIN(A989:D989),A989:D989,0))</f>
        <v>Pay as you go</v>
      </c>
    </row>
    <row r="990" spans="1:6" x14ac:dyDescent="0.25">
      <c r="A990">
        <v>145.67500857291185</v>
      </c>
      <c r="B990">
        <v>149.80068005848025</v>
      </c>
      <c r="C990">
        <v>185.00224592262614</v>
      </c>
      <c r="D990">
        <v>270.80068005848022</v>
      </c>
      <c r="E990">
        <f t="shared" si="15"/>
        <v>145.67500857291185</v>
      </c>
      <c r="F990" t="str" cm="1">
        <f t="array" ref="F990">INDEX({"Pay as you go","Prediction_Pack","Prediction_Payasyougo',""Competitor"},MATCH(MIN(A990:D990),A990:D990,0))</f>
        <v>Pay as you go</v>
      </c>
    </row>
    <row r="991" spans="1:6" x14ac:dyDescent="0.25">
      <c r="A991">
        <v>101.83647419263306</v>
      </c>
      <c r="B991">
        <v>118.12800143093349</v>
      </c>
      <c r="C991">
        <v>149.62430149880942</v>
      </c>
      <c r="D991">
        <v>207.12800143093349</v>
      </c>
      <c r="E991">
        <f t="shared" si="15"/>
        <v>101.83647419263306</v>
      </c>
      <c r="F991" t="str" cm="1">
        <f t="array" ref="F991">INDEX({"Pay as you go","Prediction_Pack","Prediction_Payasyougo',""Competitor"},MATCH(MIN(A991:D991),A991:D991,0))</f>
        <v>Pay as you go</v>
      </c>
    </row>
    <row r="992" spans="1:6" x14ac:dyDescent="0.25">
      <c r="A992">
        <v>96.963765260425134</v>
      </c>
      <c r="B992">
        <v>111.97447587177817</v>
      </c>
      <c r="C992">
        <v>128.08437359044635</v>
      </c>
      <c r="D992">
        <v>198.97447587177814</v>
      </c>
      <c r="E992">
        <f t="shared" si="15"/>
        <v>96.963765260425134</v>
      </c>
      <c r="F992" t="str" cm="1">
        <f t="array" ref="F992">INDEX({"Pay as you go","Prediction_Pack","Prediction_Payasyougo',""Competitor"},MATCH(MIN(A992:D992),A992:D992,0))</f>
        <v>Pay as you go</v>
      </c>
    </row>
    <row r="993" spans="1:6" x14ac:dyDescent="0.25">
      <c r="A993">
        <v>70.43329669543742</v>
      </c>
      <c r="B993">
        <v>95.676336103346955</v>
      </c>
      <c r="C993">
        <v>108.1370129186505</v>
      </c>
      <c r="D993">
        <v>153.67633610334696</v>
      </c>
      <c r="E993">
        <f t="shared" si="15"/>
        <v>70.43329669543742</v>
      </c>
      <c r="F993" t="str" cm="1">
        <f t="array" ref="F993">INDEX({"Pay as you go","Prediction_Pack","Prediction_Payasyougo',""Competitor"},MATCH(MIN(A993:D993),A993:D993,0))</f>
        <v>Pay as you go</v>
      </c>
    </row>
    <row r="994" spans="1:6" x14ac:dyDescent="0.25">
      <c r="A994">
        <v>141.83445985979631</v>
      </c>
      <c r="B994">
        <v>160.51396165473821</v>
      </c>
      <c r="C994">
        <v>217.7060485860471</v>
      </c>
      <c r="D994">
        <v>264.51396165473824</v>
      </c>
      <c r="E994">
        <f t="shared" si="15"/>
        <v>141.83445985979631</v>
      </c>
      <c r="F994" t="str" cm="1">
        <f t="array" ref="F994">INDEX({"Pay as you go","Prediction_Pack","Prediction_Payasyougo',""Competitor"},MATCH(MIN(A994:D994),A994:D994,0))</f>
        <v>Pay as you go</v>
      </c>
    </row>
    <row r="995" spans="1:6" x14ac:dyDescent="0.25">
      <c r="A995">
        <v>125.92393103833318</v>
      </c>
      <c r="B995">
        <v>146.11531486385906</v>
      </c>
      <c r="C995">
        <v>187.70833556866694</v>
      </c>
      <c r="D995">
        <v>241.11531486385906</v>
      </c>
      <c r="E995">
        <f t="shared" si="15"/>
        <v>125.92393103833318</v>
      </c>
      <c r="F995" t="str" cm="1">
        <f t="array" ref="F995">INDEX({"Pay as you go","Prediction_Pack","Prediction_Payasyougo',""Competitor"},MATCH(MIN(A995:D995),A995:D995,0))</f>
        <v>Pay as you go</v>
      </c>
    </row>
    <row r="996" spans="1:6" x14ac:dyDescent="0.25">
      <c r="A996">
        <v>80.550972384490805</v>
      </c>
      <c r="B996">
        <v>107.82952562351954</v>
      </c>
      <c r="C996">
        <v>127.10375390960994</v>
      </c>
      <c r="D996">
        <v>168.82952562351954</v>
      </c>
      <c r="E996">
        <f t="shared" si="15"/>
        <v>80.550972384490805</v>
      </c>
      <c r="F996" t="str" cm="1">
        <f t="array" ref="F996">INDEX({"Pay as you go","Prediction_Pack","Prediction_Payasyougo',""Competitor"},MATCH(MIN(A996:D996),A996:D996,0))</f>
        <v>Pay as you go</v>
      </c>
    </row>
    <row r="997" spans="1:6" x14ac:dyDescent="0.25">
      <c r="A997">
        <v>137.3921552475272</v>
      </c>
      <c r="B997">
        <v>168.46455486595201</v>
      </c>
      <c r="C997">
        <v>223.70655882549246</v>
      </c>
      <c r="D997">
        <v>269.46455486595198</v>
      </c>
      <c r="E997">
        <f t="shared" si="15"/>
        <v>137.3921552475272</v>
      </c>
      <c r="F997" t="str" cm="1">
        <f t="array" ref="F997">INDEX({"Pay as you go","Prediction_Pack","Prediction_Payasyougo',""Competitor"},MATCH(MIN(A997:D997),A997:D997,0))</f>
        <v>Pay as you go</v>
      </c>
    </row>
    <row r="998" spans="1:6" x14ac:dyDescent="0.25">
      <c r="A998">
        <v>124.74785537019383</v>
      </c>
      <c r="B998">
        <v>152.25375597302258</v>
      </c>
      <c r="C998">
        <v>208.28619662028592</v>
      </c>
      <c r="D998">
        <v>234.25375597302258</v>
      </c>
      <c r="E998">
        <f t="shared" si="15"/>
        <v>124.74785537019383</v>
      </c>
      <c r="F998" t="str" cm="1">
        <f t="array" ref="F998">INDEX({"Pay as you go","Prediction_Pack","Prediction_Payasyougo',""Competitor"},MATCH(MIN(A998:D998),A998:D998,0))</f>
        <v>Pay as you go</v>
      </c>
    </row>
    <row r="999" spans="1:6" x14ac:dyDescent="0.25">
      <c r="A999">
        <v>143.33805693171891</v>
      </c>
      <c r="B999">
        <v>150.56369239515433</v>
      </c>
      <c r="C999">
        <v>203.59859360831101</v>
      </c>
      <c r="D999">
        <v>267.56369239515431</v>
      </c>
      <c r="E999">
        <f t="shared" si="15"/>
        <v>143.33805693171891</v>
      </c>
      <c r="F999" t="str" cm="1">
        <f t="array" ref="F999">INDEX({"Pay as you go","Prediction_Pack","Prediction_Payasyougo',""Competitor"},MATCH(MIN(A999:D999),A999:D999,0))</f>
        <v>Pay as you go</v>
      </c>
    </row>
    <row r="1000" spans="1:6" x14ac:dyDescent="0.25">
      <c r="A1000">
        <v>77.969486938452292</v>
      </c>
      <c r="B1000">
        <v>105.75166292661945</v>
      </c>
      <c r="C1000">
        <v>127.63624013765752</v>
      </c>
      <c r="D1000">
        <v>165.75166292661945</v>
      </c>
      <c r="E1000">
        <f t="shared" si="15"/>
        <v>77.969486938452292</v>
      </c>
      <c r="F1000" t="str" cm="1">
        <f t="array" ref="F1000">INDEX({"Pay as you go","Prediction_Pack","Prediction_Payasyougo',""Competitor"},MATCH(MIN(A1000:D1000),A1000:D1000,0))</f>
        <v>Pay as you go</v>
      </c>
    </row>
    <row r="1001" spans="1:6" x14ac:dyDescent="0.25">
      <c r="A1001">
        <v>159.25602275416458</v>
      </c>
      <c r="B1001">
        <v>184.43486766217751</v>
      </c>
      <c r="C1001">
        <v>267.65102480502708</v>
      </c>
      <c r="D1001">
        <v>289.43486766217751</v>
      </c>
      <c r="E1001">
        <f t="shared" si="15"/>
        <v>159.25602275416458</v>
      </c>
      <c r="F1001" t="str" cm="1">
        <f t="array" ref="F1001">INDEX({"Pay as you go","Prediction_Pack","Prediction_Payasyougo',""Competitor"},MATCH(MIN(A1001:D1001),A1001:D1001,0))</f>
        <v>Pay as you go</v>
      </c>
    </row>
    <row r="1002" spans="1:6" x14ac:dyDescent="0.25">
      <c r="A1002">
        <v>81.951180441557582</v>
      </c>
      <c r="B1002">
        <v>110.18225711768918</v>
      </c>
      <c r="C1002">
        <v>132.92614728720375</v>
      </c>
      <c r="D1002">
        <v>172.18225711768918</v>
      </c>
      <c r="E1002">
        <f t="shared" si="15"/>
        <v>81.951180441557582</v>
      </c>
      <c r="F1002" t="str" cm="1">
        <f t="array" ref="F1002">INDEX({"Pay as you go","Prediction_Pack","Prediction_Payasyougo',""Competitor"},MATCH(MIN(A1002:D1002),A1002:D1002,0))</f>
        <v>Pay as you go</v>
      </c>
    </row>
    <row r="1003" spans="1:6" x14ac:dyDescent="0.25">
      <c r="A1003">
        <v>103.44807317018282</v>
      </c>
      <c r="B1003">
        <v>130.50038290663761</v>
      </c>
      <c r="C1003">
        <v>174.3744915061406</v>
      </c>
      <c r="D1003">
        <v>207.50038290663761</v>
      </c>
      <c r="E1003">
        <f t="shared" si="15"/>
        <v>103.44807317018282</v>
      </c>
      <c r="F1003" t="str" cm="1">
        <f t="array" ref="F1003">INDEX({"Pay as you go","Prediction_Pack","Prediction_Payasyougo',""Competitor"},MATCH(MIN(A1003:D1003),A1003:D1003,0))</f>
        <v>Pay as you go</v>
      </c>
    </row>
    <row r="1004" spans="1:6" x14ac:dyDescent="0.25">
      <c r="A1004">
        <v>141.6909517385223</v>
      </c>
      <c r="B1004">
        <v>143.87604754609248</v>
      </c>
      <c r="C1004">
        <v>185.94016893268233</v>
      </c>
      <c r="D1004">
        <v>258.87604754609248</v>
      </c>
      <c r="E1004">
        <f t="shared" si="15"/>
        <v>141.6909517385223</v>
      </c>
      <c r="F1004" t="str" cm="1">
        <f t="array" ref="F1004">INDEX({"Pay as you go","Prediction_Pack","Prediction_Payasyougo',""Competitor"},MATCH(MIN(A1004:D1004),A1004:D1004,0))</f>
        <v>Pay as you go</v>
      </c>
    </row>
    <row r="1005" spans="1:6" x14ac:dyDescent="0.25">
      <c r="A1005">
        <v>144.44928633791727</v>
      </c>
      <c r="B1005">
        <v>164.20767331236237</v>
      </c>
      <c r="C1005">
        <v>218.35845458040035</v>
      </c>
      <c r="D1005">
        <v>274.20767331236237</v>
      </c>
      <c r="E1005">
        <f t="shared" si="15"/>
        <v>144.44928633791727</v>
      </c>
      <c r="F1005" t="str" cm="1">
        <f t="array" ref="F1005">INDEX({"Pay as you go","Prediction_Pack","Prediction_Payasyougo',""Competitor"},MATCH(MIN(A1005:D1005),A1005:D1005,0))</f>
        <v>Pay as you go</v>
      </c>
    </row>
    <row r="1006" spans="1:6" x14ac:dyDescent="0.25">
      <c r="A1006">
        <v>95.494493855775346</v>
      </c>
      <c r="B1006">
        <v>107.40802121121841</v>
      </c>
      <c r="C1006">
        <v>134.23558108778414</v>
      </c>
      <c r="D1006">
        <v>198.4080212112184</v>
      </c>
      <c r="E1006">
        <f t="shared" si="15"/>
        <v>95.494493855775346</v>
      </c>
      <c r="F1006" t="str" cm="1">
        <f t="array" ref="F1006">INDEX({"Pay as you go","Prediction_Pack","Prediction_Payasyougo',""Competitor"},MATCH(MIN(A1006:D1006),A1006:D1006,0))</f>
        <v>Pay as you go</v>
      </c>
    </row>
    <row r="1007" spans="1:6" x14ac:dyDescent="0.25">
      <c r="A1007">
        <v>95.459171675085997</v>
      </c>
      <c r="B1007">
        <v>134.23750958596997</v>
      </c>
      <c r="C1007">
        <v>177.52279238018102</v>
      </c>
      <c r="D1007">
        <v>202.23750958596995</v>
      </c>
      <c r="E1007">
        <f t="shared" si="15"/>
        <v>95.459171675085997</v>
      </c>
      <c r="F1007" t="str" cm="1">
        <f t="array" ref="F1007">INDEX({"Pay as you go","Prediction_Pack","Prediction_Payasyougo',""Competitor"},MATCH(MIN(A1007:D1007),A1007:D1007,0))</f>
        <v>Pay as you go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0D8C1-25C2-4ACD-8951-ADA4208E7610}">
  <dimension ref="A2:K1007"/>
  <sheetViews>
    <sheetView workbookViewId="0">
      <selection activeCell="B2" sqref="B2"/>
    </sheetView>
  </sheetViews>
  <sheetFormatPr defaultRowHeight="15" x14ac:dyDescent="0.25"/>
  <cols>
    <col min="1" max="1" width="29.42578125" bestFit="1" customWidth="1"/>
    <col min="2" max="2" width="16.28515625" bestFit="1" customWidth="1"/>
    <col min="3" max="3" width="26" bestFit="1" customWidth="1"/>
    <col min="4" max="4" width="31.42578125" bestFit="1" customWidth="1"/>
    <col min="5" max="5" width="11" bestFit="1" customWidth="1"/>
    <col min="10" max="10" width="27.85546875" bestFit="1" customWidth="1"/>
    <col min="11" max="11" width="12.7109375" bestFit="1" customWidth="1"/>
  </cols>
  <sheetData>
    <row r="2" spans="1:6" x14ac:dyDescent="0.25">
      <c r="A2" s="4" t="s">
        <v>2</v>
      </c>
      <c r="B2" s="4">
        <f>COUNTIF(F8:F1007,"Pay as you go")</f>
        <v>426</v>
      </c>
      <c r="C2" t="s">
        <v>14</v>
      </c>
    </row>
    <row r="3" spans="1:6" x14ac:dyDescent="0.25">
      <c r="A3" s="4" t="s">
        <v>3</v>
      </c>
      <c r="B3" s="4">
        <f>COUNTIF(F8:F1007,"Prediction_PACK")</f>
        <v>404</v>
      </c>
      <c r="C3" t="s">
        <v>14</v>
      </c>
    </row>
    <row r="4" spans="1:6" x14ac:dyDescent="0.25">
      <c r="A4" s="4" t="s">
        <v>4</v>
      </c>
      <c r="B4" s="4">
        <f>COUNTIF(F8:F1007,"Prediction_Payasyougo")</f>
        <v>170</v>
      </c>
      <c r="C4" t="s">
        <v>14</v>
      </c>
    </row>
    <row r="7" spans="1:6" x14ac:dyDescent="0.25">
      <c r="A7" t="s">
        <v>2</v>
      </c>
      <c r="B7" t="s">
        <v>3</v>
      </c>
      <c r="C7" t="s">
        <v>4</v>
      </c>
      <c r="D7" t="s">
        <v>5</v>
      </c>
      <c r="E7" t="s">
        <v>0</v>
      </c>
      <c r="F7" t="s">
        <v>1</v>
      </c>
    </row>
    <row r="8" spans="1:6" x14ac:dyDescent="0.25">
      <c r="A8">
        <v>179.76300000000001</v>
      </c>
      <c r="B8">
        <v>167.88</v>
      </c>
      <c r="C8">
        <v>212.37449999999998</v>
      </c>
      <c r="D8">
        <v>189.88</v>
      </c>
      <c r="E8">
        <f>MIN(A8:D8)</f>
        <v>167.88</v>
      </c>
      <c r="F8" t="str" cm="1">
        <f t="array" ref="F8">INDEX({"Pay as you go","Prediction_PACK","Prediction_Payasyougo","Competitor"},MATCH(MIN(A8:D8), A8:D8, 0))</f>
        <v>Prediction_PACK</v>
      </c>
    </row>
    <row r="9" spans="1:6" x14ac:dyDescent="0.25">
      <c r="A9">
        <v>155.13899999999998</v>
      </c>
      <c r="B9">
        <v>152.88</v>
      </c>
      <c r="C9">
        <v>202.29899999999998</v>
      </c>
      <c r="D9">
        <v>179.88</v>
      </c>
      <c r="E9">
        <f t="shared" ref="E9:E72" si="0">MIN(A9:D9)</f>
        <v>152.88</v>
      </c>
      <c r="F9" t="str" cm="1">
        <f t="array" ref="F9">INDEX({"Pay as you go","Prediction_PACK","Prediction_Payasyougo","Competitor"},MATCH(MIN(A9:D9), A9:D9, 0))</f>
        <v>Prediction_PACK</v>
      </c>
    </row>
    <row r="10" spans="1:6" x14ac:dyDescent="0.25">
      <c r="A10">
        <v>136.17499999999998</v>
      </c>
      <c r="B10">
        <v>147.88</v>
      </c>
      <c r="C10">
        <v>184.73099999999999</v>
      </c>
      <c r="D10">
        <v>169.88</v>
      </c>
      <c r="E10">
        <f t="shared" si="0"/>
        <v>136.17499999999998</v>
      </c>
      <c r="F10" t="str" cm="1">
        <f t="array" ref="F10">INDEX({"Pay as you go","Prediction_PACK","Prediction_Payasyougo","Competitor"},MATCH(MIN(A10:D10), A10:D10, 0))</f>
        <v>Pay as you go</v>
      </c>
    </row>
    <row r="11" spans="1:6" x14ac:dyDescent="0.25">
      <c r="A11">
        <v>173.05100000000002</v>
      </c>
      <c r="B11">
        <v>167.88</v>
      </c>
      <c r="C11">
        <v>185.09100000000001</v>
      </c>
      <c r="D11">
        <v>179.88</v>
      </c>
      <c r="E11">
        <f t="shared" si="0"/>
        <v>167.88</v>
      </c>
      <c r="F11" t="str" cm="1">
        <f t="array" ref="F11">INDEX({"Pay as you go","Prediction_PACK","Prediction_Payasyougo","Competitor"},MATCH(MIN(A11:D11), A11:D11, 0))</f>
        <v>Prediction_PACK</v>
      </c>
    </row>
    <row r="12" spans="1:6" x14ac:dyDescent="0.25">
      <c r="A12">
        <v>179.215</v>
      </c>
      <c r="B12">
        <v>167.88</v>
      </c>
      <c r="C12">
        <v>195.54449999999997</v>
      </c>
      <c r="D12">
        <v>189.88</v>
      </c>
      <c r="E12">
        <f t="shared" si="0"/>
        <v>167.88</v>
      </c>
      <c r="F12" t="str" cm="1">
        <f t="array" ref="F12">INDEX({"Pay as you go","Prediction_PACK","Prediction_Payasyougo","Competitor"},MATCH(MIN(A12:D12), A12:D12, 0))</f>
        <v>Prediction_PACK</v>
      </c>
    </row>
    <row r="13" spans="1:6" x14ac:dyDescent="0.25">
      <c r="A13">
        <v>189.67400000000001</v>
      </c>
      <c r="B13">
        <v>147.88</v>
      </c>
      <c r="C13">
        <v>181.89599999999999</v>
      </c>
      <c r="D13">
        <v>189.88</v>
      </c>
      <c r="E13">
        <f t="shared" si="0"/>
        <v>147.88</v>
      </c>
      <c r="F13" t="str" cm="1">
        <f t="array" ref="F13">INDEX({"Pay as you go","Prediction_PACK","Prediction_Payasyougo","Competitor"},MATCH(MIN(A13:D13), A13:D13, 0))</f>
        <v>Prediction_PACK</v>
      </c>
    </row>
    <row r="14" spans="1:6" x14ac:dyDescent="0.25">
      <c r="A14">
        <v>190.81700000000001</v>
      </c>
      <c r="B14">
        <v>157.88</v>
      </c>
      <c r="C14">
        <v>174.273</v>
      </c>
      <c r="D14">
        <v>179.88</v>
      </c>
      <c r="E14">
        <f t="shared" si="0"/>
        <v>157.88</v>
      </c>
      <c r="F14" t="str" cm="1">
        <f t="array" ref="F14">INDEX({"Pay as you go","Prediction_PACK","Prediction_Payasyougo","Competitor"},MATCH(MIN(A14:D14), A14:D14, 0))</f>
        <v>Prediction_PACK</v>
      </c>
    </row>
    <row r="15" spans="1:6" x14ac:dyDescent="0.25">
      <c r="A15">
        <v>138.41000000000003</v>
      </c>
      <c r="B15">
        <v>152.88</v>
      </c>
      <c r="C15">
        <v>178.77749999999997</v>
      </c>
      <c r="D15">
        <v>169.88</v>
      </c>
      <c r="E15">
        <f t="shared" si="0"/>
        <v>138.41000000000003</v>
      </c>
      <c r="F15" t="str" cm="1">
        <f t="array" ref="F15">INDEX({"Pay as you go","Prediction_PACK","Prediction_Payasyougo","Competitor"},MATCH(MIN(A15:D15), A15:D15, 0))</f>
        <v>Pay as you go</v>
      </c>
    </row>
    <row r="16" spans="1:6" x14ac:dyDescent="0.25">
      <c r="A16">
        <v>163.232</v>
      </c>
      <c r="B16">
        <v>147.88</v>
      </c>
      <c r="C16">
        <v>175.01999999999998</v>
      </c>
      <c r="D16">
        <v>189.88</v>
      </c>
      <c r="E16">
        <f t="shared" si="0"/>
        <v>147.88</v>
      </c>
      <c r="F16" t="str" cm="1">
        <f t="array" ref="F16">INDEX({"Pay as you go","Prediction_PACK","Prediction_Payasyougo","Competitor"},MATCH(MIN(A16:D16), A16:D16, 0))</f>
        <v>Prediction_PACK</v>
      </c>
    </row>
    <row r="17" spans="1:11" x14ac:dyDescent="0.25">
      <c r="A17">
        <v>182.61700000000002</v>
      </c>
      <c r="B17">
        <v>127.88</v>
      </c>
      <c r="C17">
        <v>151.76849999999999</v>
      </c>
      <c r="D17">
        <v>179.88</v>
      </c>
      <c r="E17">
        <f t="shared" si="0"/>
        <v>127.88</v>
      </c>
      <c r="F17" t="str" cm="1">
        <f t="array" ref="F17">INDEX({"Pay as you go","Prediction_PACK","Prediction_Payasyougo","Competitor"},MATCH(MIN(A17:D17), A17:D17, 0))</f>
        <v>Prediction_PACK</v>
      </c>
    </row>
    <row r="18" spans="1:11" x14ac:dyDescent="0.25">
      <c r="A18">
        <v>205.59900000000002</v>
      </c>
      <c r="B18">
        <v>147.88</v>
      </c>
      <c r="C18">
        <v>172.91399999999999</v>
      </c>
      <c r="D18">
        <v>209.88</v>
      </c>
      <c r="E18">
        <f t="shared" si="0"/>
        <v>147.88</v>
      </c>
      <c r="F18" t="str" cm="1">
        <f t="array" ref="F18">INDEX({"Pay as you go","Prediction_PACK","Prediction_Payasyougo","Competitor"},MATCH(MIN(A18:D18), A18:D18, 0))</f>
        <v>Prediction_PACK</v>
      </c>
    </row>
    <row r="19" spans="1:11" x14ac:dyDescent="0.25">
      <c r="A19">
        <v>131.15</v>
      </c>
      <c r="B19">
        <v>127.88</v>
      </c>
      <c r="C19">
        <v>149.28899999999999</v>
      </c>
      <c r="D19">
        <v>159.88</v>
      </c>
      <c r="E19">
        <f t="shared" si="0"/>
        <v>127.88</v>
      </c>
      <c r="F19" t="str" cm="1">
        <f t="array" ref="F19">INDEX({"Pay as you go","Prediction_PACK","Prediction_Payasyougo","Competitor"},MATCH(MIN(A19:D19), A19:D19, 0))</f>
        <v>Prediction_PACK</v>
      </c>
    </row>
    <row r="20" spans="1:11" x14ac:dyDescent="0.25">
      <c r="A20">
        <v>153.30100000000002</v>
      </c>
      <c r="B20">
        <v>137.88</v>
      </c>
      <c r="C20">
        <v>151.09799999999998</v>
      </c>
      <c r="D20">
        <v>179.88</v>
      </c>
      <c r="E20">
        <f t="shared" si="0"/>
        <v>137.88</v>
      </c>
      <c r="F20" t="str" cm="1">
        <f t="array" ref="F20">INDEX({"Pay as you go","Prediction_PACK","Prediction_Payasyougo","Competitor"},MATCH(MIN(A20:D20), A20:D20, 0))</f>
        <v>Prediction_PACK</v>
      </c>
    </row>
    <row r="21" spans="1:11" x14ac:dyDescent="0.25">
      <c r="A21">
        <v>204.762</v>
      </c>
      <c r="B21">
        <v>167.88</v>
      </c>
      <c r="C21">
        <v>191.37299999999999</v>
      </c>
      <c r="D21">
        <v>209.88</v>
      </c>
      <c r="E21">
        <f t="shared" si="0"/>
        <v>167.88</v>
      </c>
      <c r="F21" t="str" cm="1">
        <f t="array" ref="F21">INDEX({"Pay as you go","Prediction_PACK","Prediction_Payasyougo","Competitor"},MATCH(MIN(A21:D21), A21:D21, 0))</f>
        <v>Prediction_PACK</v>
      </c>
      <c r="K21" s="3"/>
    </row>
    <row r="22" spans="1:11" x14ac:dyDescent="0.25">
      <c r="A22">
        <v>150.03</v>
      </c>
      <c r="B22">
        <v>147.88</v>
      </c>
      <c r="C22">
        <v>175.72199999999998</v>
      </c>
      <c r="D22">
        <v>179.88</v>
      </c>
      <c r="E22">
        <f t="shared" si="0"/>
        <v>147.88</v>
      </c>
      <c r="F22" t="str" cm="1">
        <f t="array" ref="F22">INDEX({"Pay as you go","Prediction_PACK","Prediction_Payasyougo","Competitor"},MATCH(MIN(A22:D22), A22:D22, 0))</f>
        <v>Prediction_PACK</v>
      </c>
      <c r="K22" s="3"/>
    </row>
    <row r="23" spans="1:11" x14ac:dyDescent="0.25">
      <c r="A23">
        <v>149.30900000000003</v>
      </c>
      <c r="B23">
        <v>137.88</v>
      </c>
      <c r="C23">
        <v>144.18599999999998</v>
      </c>
      <c r="D23">
        <v>179.88</v>
      </c>
      <c r="E23">
        <f t="shared" si="0"/>
        <v>137.88</v>
      </c>
      <c r="F23" t="str" cm="1">
        <f t="array" ref="F23">INDEX({"Pay as you go","Prediction_PACK","Prediction_Payasyougo","Competitor"},MATCH(MIN(A23:D23), A23:D23, 0))</f>
        <v>Prediction_PACK</v>
      </c>
      <c r="K23" s="3"/>
    </row>
    <row r="24" spans="1:11" x14ac:dyDescent="0.25">
      <c r="A24">
        <v>135.05799999999999</v>
      </c>
      <c r="B24">
        <v>122.88</v>
      </c>
      <c r="C24">
        <v>143.76299999999998</v>
      </c>
      <c r="D24">
        <v>149.88</v>
      </c>
      <c r="E24">
        <f t="shared" si="0"/>
        <v>122.88</v>
      </c>
      <c r="F24" t="str" cm="1">
        <f t="array" ref="F24">INDEX({"Pay as you go","Prediction_PACK","Prediction_Payasyougo","Competitor"},MATCH(MIN(A24:D24), A24:D24, 0))</f>
        <v>Prediction_PACK</v>
      </c>
      <c r="K24" s="1"/>
    </row>
    <row r="25" spans="1:11" x14ac:dyDescent="0.25">
      <c r="A25">
        <v>110.59400000000001</v>
      </c>
      <c r="B25">
        <v>122.88</v>
      </c>
      <c r="C25">
        <v>143.08799999999999</v>
      </c>
      <c r="D25">
        <v>139.88</v>
      </c>
      <c r="E25">
        <f t="shared" si="0"/>
        <v>110.59400000000001</v>
      </c>
      <c r="F25" t="str" cm="1">
        <f t="array" ref="F25">INDEX({"Pay as you go","Prediction_PACK","Prediction_Payasyougo","Competitor"},MATCH(MIN(A25:D25), A25:D25, 0))</f>
        <v>Pay as you go</v>
      </c>
    </row>
    <row r="26" spans="1:11" x14ac:dyDescent="0.25">
      <c r="A26">
        <v>102.04900000000001</v>
      </c>
      <c r="B26">
        <v>122.88</v>
      </c>
      <c r="C26">
        <v>140.5455</v>
      </c>
      <c r="D26">
        <v>149.88</v>
      </c>
      <c r="E26">
        <f t="shared" si="0"/>
        <v>102.04900000000001</v>
      </c>
      <c r="F26" t="str" cm="1">
        <f t="array" ref="F26">INDEX({"Pay as you go","Prediction_PACK","Prediction_Payasyougo","Competitor"},MATCH(MIN(A26:D26), A26:D26, 0))</f>
        <v>Pay as you go</v>
      </c>
    </row>
    <row r="27" spans="1:11" x14ac:dyDescent="0.25">
      <c r="A27">
        <v>148.886</v>
      </c>
      <c r="B27">
        <v>137.88</v>
      </c>
      <c r="C27">
        <v>140.7525</v>
      </c>
      <c r="D27">
        <v>169.88</v>
      </c>
      <c r="E27">
        <f t="shared" si="0"/>
        <v>137.88</v>
      </c>
      <c r="F27" t="str" cm="1">
        <f t="array" ref="F27">INDEX({"Pay as you go","Prediction_PACK","Prediction_Payasyougo","Competitor"},MATCH(MIN(A27:D27), A27:D27, 0))</f>
        <v>Prediction_PACK</v>
      </c>
    </row>
    <row r="28" spans="1:11" x14ac:dyDescent="0.25">
      <c r="A28">
        <v>149.881</v>
      </c>
      <c r="B28">
        <v>137.88</v>
      </c>
      <c r="C28">
        <v>144.61349999999999</v>
      </c>
      <c r="D28">
        <v>149.88</v>
      </c>
      <c r="E28">
        <f t="shared" si="0"/>
        <v>137.88</v>
      </c>
      <c r="F28" t="str" cm="1">
        <f t="array" ref="F28">INDEX({"Pay as you go","Prediction_PACK","Prediction_Payasyougo","Competitor"},MATCH(MIN(A28:D28), A28:D28, 0))</f>
        <v>Prediction_PACK</v>
      </c>
    </row>
    <row r="29" spans="1:11" x14ac:dyDescent="0.25">
      <c r="A29">
        <v>151.114</v>
      </c>
      <c r="B29">
        <v>122.88</v>
      </c>
      <c r="C29">
        <v>138.8895</v>
      </c>
      <c r="D29">
        <v>149.88</v>
      </c>
      <c r="E29">
        <f t="shared" si="0"/>
        <v>122.88</v>
      </c>
      <c r="F29" t="str" cm="1">
        <f t="array" ref="F29">INDEX({"Pay as you go","Prediction_PACK","Prediction_Payasyougo","Competitor"},MATCH(MIN(A29:D29), A29:D29, 0))</f>
        <v>Prediction_PACK</v>
      </c>
    </row>
    <row r="30" spans="1:11" x14ac:dyDescent="0.25">
      <c r="A30">
        <v>159.98400000000001</v>
      </c>
      <c r="B30">
        <v>137.88</v>
      </c>
      <c r="C30">
        <v>167.28449999999998</v>
      </c>
      <c r="D30">
        <v>179.88</v>
      </c>
      <c r="E30">
        <f t="shared" si="0"/>
        <v>137.88</v>
      </c>
      <c r="F30" t="str" cm="1">
        <f t="array" ref="F30">INDEX({"Pay as you go","Prediction_PACK","Prediction_Payasyougo","Competitor"},MATCH(MIN(A30:D30), A30:D30, 0))</f>
        <v>Prediction_PACK</v>
      </c>
    </row>
    <row r="31" spans="1:11" x14ac:dyDescent="0.25">
      <c r="A31">
        <v>150.202</v>
      </c>
      <c r="B31">
        <v>137.88</v>
      </c>
      <c r="C31">
        <v>148.28549999999998</v>
      </c>
      <c r="D31">
        <v>169.88</v>
      </c>
      <c r="E31">
        <f t="shared" si="0"/>
        <v>137.88</v>
      </c>
      <c r="F31" t="str" cm="1">
        <f t="array" ref="F31">INDEX({"Pay as you go","Prediction_PACK","Prediction_Payasyougo","Competitor"},MATCH(MIN(A31:D31), A31:D31, 0))</f>
        <v>Prediction_PACK</v>
      </c>
    </row>
    <row r="32" spans="1:11" x14ac:dyDescent="0.25">
      <c r="A32">
        <v>179.08800000000002</v>
      </c>
      <c r="B32">
        <v>147.88</v>
      </c>
      <c r="C32">
        <v>146.14349999999999</v>
      </c>
      <c r="D32">
        <v>179.88</v>
      </c>
      <c r="E32">
        <f t="shared" si="0"/>
        <v>146.14349999999999</v>
      </c>
      <c r="F32" t="str" cm="1">
        <f t="array" ref="F32">INDEX({"Pay as you go","Prediction_PACK","Prediction_Payasyougo","Competitor"},MATCH(MIN(A32:D32), A32:D32, 0))</f>
        <v>Prediction_Payasyougo</v>
      </c>
    </row>
    <row r="33" spans="1:6" x14ac:dyDescent="0.25">
      <c r="A33">
        <v>254.38200000000001</v>
      </c>
      <c r="B33">
        <v>197.88</v>
      </c>
      <c r="C33">
        <v>224.67749999999998</v>
      </c>
      <c r="D33">
        <v>229.88</v>
      </c>
      <c r="E33">
        <f t="shared" si="0"/>
        <v>197.88</v>
      </c>
      <c r="F33" t="str" cm="1">
        <f t="array" ref="F33">INDEX({"Pay as you go","Prediction_PACK","Prediction_Payasyougo","Competitor"},MATCH(MIN(A33:D33), A33:D33, 0))</f>
        <v>Prediction_PACK</v>
      </c>
    </row>
    <row r="34" spans="1:6" x14ac:dyDescent="0.25">
      <c r="A34">
        <v>162.91300000000001</v>
      </c>
      <c r="B34">
        <v>137.88</v>
      </c>
      <c r="C34">
        <v>147.39449999999999</v>
      </c>
      <c r="D34">
        <v>169.88</v>
      </c>
      <c r="E34">
        <f t="shared" si="0"/>
        <v>137.88</v>
      </c>
      <c r="F34" t="str" cm="1">
        <f t="array" ref="F34">INDEX({"Pay as you go","Prediction_PACK","Prediction_Payasyougo","Competitor"},MATCH(MIN(A34:D34), A34:D34, 0))</f>
        <v>Prediction_PACK</v>
      </c>
    </row>
    <row r="35" spans="1:6" x14ac:dyDescent="0.25">
      <c r="A35">
        <v>125.693</v>
      </c>
      <c r="B35">
        <v>122.88</v>
      </c>
      <c r="C35">
        <v>134.637</v>
      </c>
      <c r="D35">
        <v>159.88</v>
      </c>
      <c r="E35">
        <f t="shared" si="0"/>
        <v>122.88</v>
      </c>
      <c r="F35" t="str" cm="1">
        <f t="array" ref="F35">INDEX({"Pay as you go","Prediction_PACK","Prediction_Payasyougo","Competitor"},MATCH(MIN(A35:D35), A35:D35, 0))</f>
        <v>Prediction_PACK</v>
      </c>
    </row>
    <row r="36" spans="1:6" x14ac:dyDescent="0.25">
      <c r="A36">
        <v>115.584</v>
      </c>
      <c r="B36">
        <v>122.88</v>
      </c>
      <c r="C36">
        <v>134.59649999999999</v>
      </c>
      <c r="D36">
        <v>149.88</v>
      </c>
      <c r="E36">
        <f t="shared" si="0"/>
        <v>115.584</v>
      </c>
      <c r="F36" t="str" cm="1">
        <f t="array" ref="F36">INDEX({"Pay as you go","Prediction_PACK","Prediction_Payasyougo","Competitor"},MATCH(MIN(A36:D36), A36:D36, 0))</f>
        <v>Pay as you go</v>
      </c>
    </row>
    <row r="37" spans="1:6" x14ac:dyDescent="0.25">
      <c r="A37">
        <v>182.892</v>
      </c>
      <c r="B37">
        <v>151.88</v>
      </c>
      <c r="C37">
        <v>152.0925</v>
      </c>
      <c r="D37">
        <v>169.88</v>
      </c>
      <c r="E37">
        <f t="shared" si="0"/>
        <v>151.88</v>
      </c>
      <c r="F37" t="str" cm="1">
        <f t="array" ref="F37">INDEX({"Pay as you go","Prediction_PACK","Prediction_Payasyougo","Competitor"},MATCH(MIN(A37:D37), A37:D37, 0))</f>
        <v>Prediction_PACK</v>
      </c>
    </row>
    <row r="38" spans="1:6" x14ac:dyDescent="0.25">
      <c r="A38">
        <v>198.08800000000002</v>
      </c>
      <c r="B38">
        <v>187.88</v>
      </c>
      <c r="C38">
        <v>223.1925</v>
      </c>
      <c r="D38">
        <v>209.88</v>
      </c>
      <c r="E38">
        <f t="shared" si="0"/>
        <v>187.88</v>
      </c>
      <c r="F38" t="str" cm="1">
        <f t="array" ref="F38">INDEX({"Pay as you go","Prediction_PACK","Prediction_Payasyougo","Competitor"},MATCH(MIN(A38:D38), A38:D38, 0))</f>
        <v>Prediction_PACK</v>
      </c>
    </row>
    <row r="39" spans="1:6" x14ac:dyDescent="0.25">
      <c r="A39">
        <v>204.643</v>
      </c>
      <c r="B39">
        <v>147.88</v>
      </c>
      <c r="C39">
        <v>147.05699999999999</v>
      </c>
      <c r="D39">
        <v>199.88</v>
      </c>
      <c r="E39">
        <f t="shared" si="0"/>
        <v>147.05699999999999</v>
      </c>
      <c r="F39" t="str" cm="1">
        <f t="array" ref="F39">INDEX({"Pay as you go","Prediction_PACK","Prediction_Payasyougo","Competitor"},MATCH(MIN(A39:D39), A39:D39, 0))</f>
        <v>Prediction_Payasyougo</v>
      </c>
    </row>
    <row r="40" spans="1:6" x14ac:dyDescent="0.25">
      <c r="A40">
        <v>133.88499999999999</v>
      </c>
      <c r="B40">
        <v>122.88</v>
      </c>
      <c r="C40">
        <v>132.22499999999999</v>
      </c>
      <c r="D40">
        <v>149.88</v>
      </c>
      <c r="E40">
        <f t="shared" si="0"/>
        <v>122.88</v>
      </c>
      <c r="F40" t="str" cm="1">
        <f t="array" ref="F40">INDEX({"Pay as you go","Prediction_PACK","Prediction_Payasyougo","Competitor"},MATCH(MIN(A40:D40), A40:D40, 0))</f>
        <v>Prediction_PACK</v>
      </c>
    </row>
    <row r="41" spans="1:6" x14ac:dyDescent="0.25">
      <c r="A41">
        <v>149.32999999999998</v>
      </c>
      <c r="B41">
        <v>122.88</v>
      </c>
      <c r="C41">
        <v>131.53649999999999</v>
      </c>
      <c r="D41">
        <v>159.88</v>
      </c>
      <c r="E41">
        <f t="shared" si="0"/>
        <v>122.88</v>
      </c>
      <c r="F41" t="str" cm="1">
        <f t="array" ref="F41">INDEX({"Pay as you go","Prediction_PACK","Prediction_Payasyougo","Competitor"},MATCH(MIN(A41:D41), A41:D41, 0))</f>
        <v>Prediction_PACK</v>
      </c>
    </row>
    <row r="42" spans="1:6" x14ac:dyDescent="0.25">
      <c r="A42">
        <v>180.517</v>
      </c>
      <c r="B42">
        <v>147.88</v>
      </c>
      <c r="C42">
        <v>169.91249999999999</v>
      </c>
      <c r="D42">
        <v>189.88</v>
      </c>
      <c r="E42">
        <f t="shared" si="0"/>
        <v>147.88</v>
      </c>
      <c r="F42" t="str" cm="1">
        <f t="array" ref="F42">INDEX({"Pay as you go","Prediction_PACK","Prediction_Payasyougo","Competitor"},MATCH(MIN(A42:D42), A42:D42, 0))</f>
        <v>Prediction_PACK</v>
      </c>
    </row>
    <row r="43" spans="1:6" x14ac:dyDescent="0.25">
      <c r="A43">
        <v>98.048999999999992</v>
      </c>
      <c r="B43">
        <v>122.88</v>
      </c>
      <c r="C43">
        <v>130.87950000000001</v>
      </c>
      <c r="D43">
        <v>149.88</v>
      </c>
      <c r="E43">
        <f t="shared" si="0"/>
        <v>98.048999999999992</v>
      </c>
      <c r="F43" t="str" cm="1">
        <f t="array" ref="F43">INDEX({"Pay as you go","Prediction_PACK","Prediction_Payasyougo","Competitor"},MATCH(MIN(A43:D43), A43:D43, 0))</f>
        <v>Pay as you go</v>
      </c>
    </row>
    <row r="44" spans="1:6" x14ac:dyDescent="0.25">
      <c r="A44">
        <v>163.239</v>
      </c>
      <c r="B44">
        <v>137.88</v>
      </c>
      <c r="C44">
        <v>162.13200000000001</v>
      </c>
      <c r="D44">
        <v>169.88</v>
      </c>
      <c r="E44">
        <f t="shared" si="0"/>
        <v>137.88</v>
      </c>
      <c r="F44" t="str" cm="1">
        <f t="array" ref="F44">INDEX({"Pay as you go","Prediction_PACK","Prediction_Payasyougo","Competitor"},MATCH(MIN(A44:D44), A44:D44, 0))</f>
        <v>Prediction_PACK</v>
      </c>
    </row>
    <row r="45" spans="1:6" x14ac:dyDescent="0.25">
      <c r="A45">
        <v>141.32900000000001</v>
      </c>
      <c r="B45">
        <v>135.88</v>
      </c>
      <c r="C45">
        <v>136.131</v>
      </c>
      <c r="D45">
        <v>169.88</v>
      </c>
      <c r="E45">
        <f t="shared" si="0"/>
        <v>135.88</v>
      </c>
      <c r="F45" t="str" cm="1">
        <f t="array" ref="F45">INDEX({"Pay as you go","Prediction_PACK","Prediction_Payasyougo","Competitor"},MATCH(MIN(A45:D45), A45:D45, 0))</f>
        <v>Prediction_PACK</v>
      </c>
    </row>
    <row r="46" spans="1:6" x14ac:dyDescent="0.25">
      <c r="A46">
        <v>156.64100000000002</v>
      </c>
      <c r="B46">
        <v>137.88</v>
      </c>
      <c r="C46">
        <v>150.405</v>
      </c>
      <c r="D46">
        <v>179.88</v>
      </c>
      <c r="E46">
        <f t="shared" si="0"/>
        <v>137.88</v>
      </c>
      <c r="F46" t="str" cm="1">
        <f t="array" ref="F46">INDEX({"Pay as you go","Prediction_PACK","Prediction_Payasyougo","Competitor"},MATCH(MIN(A46:D46), A46:D46, 0))</f>
        <v>Prediction_PACK</v>
      </c>
    </row>
    <row r="47" spans="1:6" x14ac:dyDescent="0.25">
      <c r="A47">
        <v>196.529</v>
      </c>
      <c r="B47">
        <v>147.88</v>
      </c>
      <c r="C47">
        <v>179.03399999999999</v>
      </c>
      <c r="D47">
        <v>189.88</v>
      </c>
      <c r="E47">
        <f t="shared" si="0"/>
        <v>147.88</v>
      </c>
      <c r="F47" t="str" cm="1">
        <f t="array" ref="F47">INDEX({"Pay as you go","Prediction_PACK","Prediction_Payasyougo","Competitor"},MATCH(MIN(A47:D47), A47:D47, 0))</f>
        <v>Prediction_PACK</v>
      </c>
    </row>
    <row r="48" spans="1:6" x14ac:dyDescent="0.25">
      <c r="A48">
        <v>203.303</v>
      </c>
      <c r="B48">
        <v>147.88</v>
      </c>
      <c r="C48">
        <v>158.35199999999998</v>
      </c>
      <c r="D48">
        <v>199.88</v>
      </c>
      <c r="E48">
        <f t="shared" si="0"/>
        <v>147.88</v>
      </c>
      <c r="F48" t="str" cm="1">
        <f t="array" ref="F48">INDEX({"Pay as you go","Prediction_PACK","Prediction_Payasyougo","Competitor"},MATCH(MIN(A48:D48), A48:D48, 0))</f>
        <v>Prediction_PACK</v>
      </c>
    </row>
    <row r="49" spans="1:6" x14ac:dyDescent="0.25">
      <c r="A49">
        <v>201.72499999999999</v>
      </c>
      <c r="B49">
        <v>167.88</v>
      </c>
      <c r="C49">
        <v>172.3965</v>
      </c>
      <c r="D49">
        <v>199.88</v>
      </c>
      <c r="E49">
        <f t="shared" si="0"/>
        <v>167.88</v>
      </c>
      <c r="F49" t="str" cm="1">
        <f t="array" ref="F49">INDEX({"Pay as you go","Prediction_PACK","Prediction_Payasyougo","Competitor"},MATCH(MIN(A49:D49), A49:D49, 0))</f>
        <v>Prediction_PACK</v>
      </c>
    </row>
    <row r="50" spans="1:6" x14ac:dyDescent="0.25">
      <c r="A50">
        <v>125.376</v>
      </c>
      <c r="B50">
        <v>127.88</v>
      </c>
      <c r="C50">
        <v>130.81199999999998</v>
      </c>
      <c r="D50">
        <v>149.88</v>
      </c>
      <c r="E50">
        <f t="shared" si="0"/>
        <v>125.376</v>
      </c>
      <c r="F50" t="str" cm="1">
        <f t="array" ref="F50">INDEX({"Pay as you go","Prediction_PACK","Prediction_Payasyougo","Competitor"},MATCH(MIN(A50:D50), A50:D50, 0))</f>
        <v>Pay as you go</v>
      </c>
    </row>
    <row r="51" spans="1:6" x14ac:dyDescent="0.25">
      <c r="A51">
        <v>156.86100000000002</v>
      </c>
      <c r="B51">
        <v>147.88</v>
      </c>
      <c r="C51">
        <v>153.11399999999998</v>
      </c>
      <c r="D51">
        <v>169.88</v>
      </c>
      <c r="E51">
        <f t="shared" si="0"/>
        <v>147.88</v>
      </c>
      <c r="F51" t="str" cm="1">
        <f t="array" ref="F51">INDEX({"Pay as you go","Prediction_PACK","Prediction_Payasyougo","Competitor"},MATCH(MIN(A51:D51), A51:D51, 0))</f>
        <v>Prediction_PACK</v>
      </c>
    </row>
    <row r="52" spans="1:6" x14ac:dyDescent="0.25">
      <c r="A52">
        <v>134.36600000000001</v>
      </c>
      <c r="B52">
        <v>127.88</v>
      </c>
      <c r="C52">
        <v>129.33150000000001</v>
      </c>
      <c r="D52">
        <v>169.88</v>
      </c>
      <c r="E52">
        <f t="shared" si="0"/>
        <v>127.88</v>
      </c>
      <c r="F52" t="str" cm="1">
        <f t="array" ref="F52">INDEX({"Pay as you go","Prediction_PACK","Prediction_Payasyougo","Competitor"},MATCH(MIN(A52:D52), A52:D52, 0))</f>
        <v>Prediction_PACK</v>
      </c>
    </row>
    <row r="53" spans="1:6" x14ac:dyDescent="0.25">
      <c r="A53">
        <v>134.601</v>
      </c>
      <c r="B53">
        <v>127.88</v>
      </c>
      <c r="C53">
        <v>129.77249999999998</v>
      </c>
      <c r="D53">
        <v>159.88</v>
      </c>
      <c r="E53">
        <f t="shared" si="0"/>
        <v>127.88</v>
      </c>
      <c r="F53" t="str" cm="1">
        <f t="array" ref="F53">INDEX({"Pay as you go","Prediction_PACK","Prediction_Payasyougo","Competitor"},MATCH(MIN(A53:D53), A53:D53, 0))</f>
        <v>Prediction_PACK</v>
      </c>
    </row>
    <row r="54" spans="1:6" x14ac:dyDescent="0.25">
      <c r="A54">
        <v>97.03</v>
      </c>
      <c r="B54">
        <v>117.88</v>
      </c>
      <c r="C54">
        <v>125.691</v>
      </c>
      <c r="D54">
        <v>139.88</v>
      </c>
      <c r="E54">
        <f t="shared" si="0"/>
        <v>97.03</v>
      </c>
      <c r="F54" t="str" cm="1">
        <f t="array" ref="F54">INDEX({"Pay as you go","Prediction_PACK","Prediction_Payasyougo","Competitor"},MATCH(MIN(A54:D54), A54:D54, 0))</f>
        <v>Pay as you go</v>
      </c>
    </row>
    <row r="55" spans="1:6" x14ac:dyDescent="0.25">
      <c r="A55">
        <v>116.98</v>
      </c>
      <c r="B55">
        <v>117.88</v>
      </c>
      <c r="C55">
        <v>125.151</v>
      </c>
      <c r="D55">
        <v>149.88</v>
      </c>
      <c r="E55">
        <f t="shared" si="0"/>
        <v>116.98</v>
      </c>
      <c r="F55" t="str" cm="1">
        <f t="array" ref="F55">INDEX({"Pay as you go","Prediction_PACK","Prediction_Payasyougo","Competitor"},MATCH(MIN(A55:D55), A55:D55, 0))</f>
        <v>Pay as you go</v>
      </c>
    </row>
    <row r="56" spans="1:6" x14ac:dyDescent="0.25">
      <c r="A56">
        <v>158.98099999999999</v>
      </c>
      <c r="B56">
        <v>127.88</v>
      </c>
      <c r="C56">
        <v>129.41249999999999</v>
      </c>
      <c r="D56">
        <v>159.88</v>
      </c>
      <c r="E56">
        <f t="shared" si="0"/>
        <v>127.88</v>
      </c>
      <c r="F56" t="str" cm="1">
        <f t="array" ref="F56">INDEX({"Pay as you go","Prediction_PACK","Prediction_Payasyougo","Competitor"},MATCH(MIN(A56:D56), A56:D56, 0))</f>
        <v>Prediction_PACK</v>
      </c>
    </row>
    <row r="57" spans="1:6" x14ac:dyDescent="0.25">
      <c r="A57">
        <v>125.809</v>
      </c>
      <c r="B57">
        <v>127.88</v>
      </c>
      <c r="C57">
        <v>128.91749999999999</v>
      </c>
      <c r="D57">
        <v>159.88</v>
      </c>
      <c r="E57">
        <f t="shared" si="0"/>
        <v>125.809</v>
      </c>
      <c r="F57" t="str" cm="1">
        <f t="array" ref="F57">INDEX({"Pay as you go","Prediction_PACK","Prediction_Payasyougo","Competitor"},MATCH(MIN(A57:D57), A57:D57, 0))</f>
        <v>Pay as you go</v>
      </c>
    </row>
    <row r="58" spans="1:6" x14ac:dyDescent="0.25">
      <c r="A58">
        <v>122.12400000000001</v>
      </c>
      <c r="B58">
        <v>127.88</v>
      </c>
      <c r="C58">
        <v>125.637</v>
      </c>
      <c r="D58">
        <v>159.88</v>
      </c>
      <c r="E58">
        <f t="shared" si="0"/>
        <v>122.12400000000001</v>
      </c>
      <c r="F58" t="str" cm="1">
        <f t="array" ref="F58">INDEX({"Pay as you go","Prediction_PACK","Prediction_Payasyougo","Competitor"},MATCH(MIN(A58:D58), A58:D58, 0))</f>
        <v>Pay as you go</v>
      </c>
    </row>
    <row r="59" spans="1:6" x14ac:dyDescent="0.25">
      <c r="A59">
        <v>151.876</v>
      </c>
      <c r="B59">
        <v>137.88</v>
      </c>
      <c r="C59">
        <v>162.9555</v>
      </c>
      <c r="D59">
        <v>189.88</v>
      </c>
      <c r="E59">
        <f t="shared" si="0"/>
        <v>137.88</v>
      </c>
      <c r="F59" t="str" cm="1">
        <f t="array" ref="F59">INDEX({"Pay as you go","Prediction_PACK","Prediction_Payasyougo","Competitor"},MATCH(MIN(A59:D59), A59:D59, 0))</f>
        <v>Prediction_PACK</v>
      </c>
    </row>
    <row r="60" spans="1:6" x14ac:dyDescent="0.25">
      <c r="A60">
        <v>117.745</v>
      </c>
      <c r="B60">
        <v>117.88</v>
      </c>
      <c r="C60">
        <v>123.8145</v>
      </c>
      <c r="D60">
        <v>149.88</v>
      </c>
      <c r="E60">
        <f t="shared" si="0"/>
        <v>117.745</v>
      </c>
      <c r="F60" t="str" cm="1">
        <f t="array" ref="F60">INDEX({"Pay as you go","Prediction_PACK","Prediction_Payasyougo","Competitor"},MATCH(MIN(A60:D60), A60:D60, 0))</f>
        <v>Pay as you go</v>
      </c>
    </row>
    <row r="61" spans="1:6" x14ac:dyDescent="0.25">
      <c r="A61">
        <v>139.88400000000001</v>
      </c>
      <c r="B61">
        <v>127.88</v>
      </c>
      <c r="C61">
        <v>139.39349999999999</v>
      </c>
      <c r="D61">
        <v>169.88</v>
      </c>
      <c r="E61">
        <f t="shared" si="0"/>
        <v>127.88</v>
      </c>
      <c r="F61" t="str" cm="1">
        <f t="array" ref="F61">INDEX({"Pay as you go","Prediction_PACK","Prediction_Payasyougo","Competitor"},MATCH(MIN(A61:D61), A61:D61, 0))</f>
        <v>Prediction_PACK</v>
      </c>
    </row>
    <row r="62" spans="1:6" x14ac:dyDescent="0.25">
      <c r="A62">
        <v>201.548</v>
      </c>
      <c r="B62">
        <v>157.88</v>
      </c>
      <c r="C62">
        <v>185.0145</v>
      </c>
      <c r="D62">
        <v>199.88</v>
      </c>
      <c r="E62">
        <f t="shared" si="0"/>
        <v>157.88</v>
      </c>
      <c r="F62" t="str" cm="1">
        <f t="array" ref="F62">INDEX({"Pay as you go","Prediction_PACK","Prediction_Payasyougo","Competitor"},MATCH(MIN(A62:D62), A62:D62, 0))</f>
        <v>Prediction_PACK</v>
      </c>
    </row>
    <row r="63" spans="1:6" x14ac:dyDescent="0.25">
      <c r="A63">
        <v>130.79500000000002</v>
      </c>
      <c r="B63">
        <v>127.88</v>
      </c>
      <c r="C63">
        <v>124.413</v>
      </c>
      <c r="D63">
        <v>149.88</v>
      </c>
      <c r="E63">
        <f t="shared" si="0"/>
        <v>124.413</v>
      </c>
      <c r="F63" t="str" cm="1">
        <f t="array" ref="F63">INDEX({"Pay as you go","Prediction_PACK","Prediction_Payasyougo","Competitor"},MATCH(MIN(A63:D63), A63:D63, 0))</f>
        <v>Prediction_Payasyougo</v>
      </c>
    </row>
    <row r="64" spans="1:6" x14ac:dyDescent="0.25">
      <c r="A64">
        <v>218.22</v>
      </c>
      <c r="B64">
        <v>147.88</v>
      </c>
      <c r="C64">
        <v>146.697</v>
      </c>
      <c r="D64">
        <v>219.88</v>
      </c>
      <c r="E64">
        <f t="shared" si="0"/>
        <v>146.697</v>
      </c>
      <c r="F64" t="str" cm="1">
        <f t="array" ref="F64">INDEX({"Pay as you go","Prediction_PACK","Prediction_Payasyougo","Competitor"},MATCH(MIN(A64:D64), A64:D64, 0))</f>
        <v>Prediction_Payasyougo</v>
      </c>
    </row>
    <row r="65" spans="1:6" x14ac:dyDescent="0.25">
      <c r="A65">
        <v>150.31700000000001</v>
      </c>
      <c r="B65">
        <v>137.88</v>
      </c>
      <c r="C65">
        <v>151.26900000000001</v>
      </c>
      <c r="D65">
        <v>179.88</v>
      </c>
      <c r="E65">
        <f t="shared" si="0"/>
        <v>137.88</v>
      </c>
      <c r="F65" t="str" cm="1">
        <f t="array" ref="F65">INDEX({"Pay as you go","Prediction_PACK","Prediction_Payasyougo","Competitor"},MATCH(MIN(A65:D65), A65:D65, 0))</f>
        <v>Prediction_PACK</v>
      </c>
    </row>
    <row r="66" spans="1:6" x14ac:dyDescent="0.25">
      <c r="A66">
        <v>86.303000000000011</v>
      </c>
      <c r="B66">
        <v>117.88</v>
      </c>
      <c r="C66">
        <v>122.13149999999999</v>
      </c>
      <c r="D66">
        <v>139.88</v>
      </c>
      <c r="E66">
        <f t="shared" si="0"/>
        <v>86.303000000000011</v>
      </c>
      <c r="F66" t="str" cm="1">
        <f t="array" ref="F66">INDEX({"Pay as you go","Prediction_PACK","Prediction_Payasyougo","Competitor"},MATCH(MIN(A66:D66), A66:D66, 0))</f>
        <v>Pay as you go</v>
      </c>
    </row>
    <row r="67" spans="1:6" x14ac:dyDescent="0.25">
      <c r="A67">
        <v>168.636</v>
      </c>
      <c r="B67">
        <v>157.88</v>
      </c>
      <c r="C67">
        <v>199.91399999999999</v>
      </c>
      <c r="D67">
        <v>199.88</v>
      </c>
      <c r="E67">
        <f t="shared" si="0"/>
        <v>157.88</v>
      </c>
      <c r="F67" t="str" cm="1">
        <f t="array" ref="F67">INDEX({"Pay as you go","Prediction_PACK","Prediction_Payasyougo","Competitor"},MATCH(MIN(A67:D67), A67:D67, 0))</f>
        <v>Prediction_PACK</v>
      </c>
    </row>
    <row r="68" spans="1:6" x14ac:dyDescent="0.25">
      <c r="A68">
        <v>179.392</v>
      </c>
      <c r="B68">
        <v>152.88</v>
      </c>
      <c r="C68">
        <v>189.303</v>
      </c>
      <c r="D68">
        <v>189.88</v>
      </c>
      <c r="E68">
        <f t="shared" si="0"/>
        <v>152.88</v>
      </c>
      <c r="F68" t="str" cm="1">
        <f t="array" ref="F68">INDEX({"Pay as you go","Prediction_PACK","Prediction_Payasyougo","Competitor"},MATCH(MIN(A68:D68), A68:D68, 0))</f>
        <v>Prediction_PACK</v>
      </c>
    </row>
    <row r="69" spans="1:6" x14ac:dyDescent="0.25">
      <c r="A69">
        <v>110.124</v>
      </c>
      <c r="B69">
        <v>127.88</v>
      </c>
      <c r="C69">
        <v>129.20999999999998</v>
      </c>
      <c r="D69">
        <v>139.88</v>
      </c>
      <c r="E69">
        <f t="shared" si="0"/>
        <v>110.124</v>
      </c>
      <c r="F69" t="str" cm="1">
        <f t="array" ref="F69">INDEX({"Pay as you go","Prediction_PACK","Prediction_Payasyougo","Competitor"},MATCH(MIN(A69:D69), A69:D69, 0))</f>
        <v>Pay as you go</v>
      </c>
    </row>
    <row r="70" spans="1:6" x14ac:dyDescent="0.25">
      <c r="A70">
        <v>169.59299999999999</v>
      </c>
      <c r="B70">
        <v>157.88</v>
      </c>
      <c r="C70">
        <v>157.23599999999999</v>
      </c>
      <c r="D70">
        <v>179.88</v>
      </c>
      <c r="E70">
        <f t="shared" si="0"/>
        <v>157.23599999999999</v>
      </c>
      <c r="F70" t="str" cm="1">
        <f t="array" ref="F70">INDEX({"Pay as you go","Prediction_PACK","Prediction_Payasyougo","Competitor"},MATCH(MIN(A70:D70), A70:D70, 0))</f>
        <v>Prediction_Payasyougo</v>
      </c>
    </row>
    <row r="71" spans="1:6" x14ac:dyDescent="0.25">
      <c r="A71">
        <v>128.02199999999999</v>
      </c>
      <c r="B71">
        <v>123.88</v>
      </c>
      <c r="C71">
        <v>122.7615</v>
      </c>
      <c r="D71">
        <v>149.88</v>
      </c>
      <c r="E71">
        <f t="shared" si="0"/>
        <v>122.7615</v>
      </c>
      <c r="F71" t="str" cm="1">
        <f t="array" ref="F71">INDEX({"Pay as you go","Prediction_PACK","Prediction_Payasyougo","Competitor"},MATCH(MIN(A71:D71), A71:D71, 0))</f>
        <v>Prediction_Payasyougo</v>
      </c>
    </row>
    <row r="72" spans="1:6" x14ac:dyDescent="0.25">
      <c r="A72">
        <v>218.68300000000002</v>
      </c>
      <c r="B72">
        <v>177.88</v>
      </c>
      <c r="C72">
        <v>174.8895</v>
      </c>
      <c r="D72">
        <v>209.88</v>
      </c>
      <c r="E72">
        <f t="shared" si="0"/>
        <v>174.8895</v>
      </c>
      <c r="F72" t="str" cm="1">
        <f t="array" ref="F72">INDEX({"Pay as you go","Prediction_PACK","Prediction_Payasyougo","Competitor"},MATCH(MIN(A72:D72), A72:D72, 0))</f>
        <v>Prediction_Payasyougo</v>
      </c>
    </row>
    <row r="73" spans="1:6" x14ac:dyDescent="0.25">
      <c r="A73">
        <v>176.27199999999999</v>
      </c>
      <c r="B73">
        <v>157.88</v>
      </c>
      <c r="C73">
        <v>185.07749999999999</v>
      </c>
      <c r="D73">
        <v>179.88</v>
      </c>
      <c r="E73">
        <f t="shared" ref="E73:E136" si="1">MIN(A73:D73)</f>
        <v>157.88</v>
      </c>
      <c r="F73" t="str" cm="1">
        <f t="array" ref="F73">INDEX({"Pay as you go","Prediction_PACK","Prediction_Payasyougo","Competitor"},MATCH(MIN(A73:D73), A73:D73, 0))</f>
        <v>Prediction_PACK</v>
      </c>
    </row>
    <row r="74" spans="1:6" x14ac:dyDescent="0.25">
      <c r="A74">
        <v>187.78199999999998</v>
      </c>
      <c r="B74">
        <v>167.88</v>
      </c>
      <c r="C74">
        <v>188.15100000000001</v>
      </c>
      <c r="D74">
        <v>189.88</v>
      </c>
      <c r="E74">
        <f t="shared" si="1"/>
        <v>167.88</v>
      </c>
      <c r="F74" t="str" cm="1">
        <f t="array" ref="F74">INDEX({"Pay as you go","Prediction_PACK","Prediction_Payasyougo","Competitor"},MATCH(MIN(A74:D74), A74:D74, 0))</f>
        <v>Prediction_PACK</v>
      </c>
    </row>
    <row r="75" spans="1:6" x14ac:dyDescent="0.25">
      <c r="A75">
        <v>146.911</v>
      </c>
      <c r="B75">
        <v>117.88</v>
      </c>
      <c r="C75">
        <v>119.0985</v>
      </c>
      <c r="D75">
        <v>139.88</v>
      </c>
      <c r="E75">
        <f t="shared" si="1"/>
        <v>117.88</v>
      </c>
      <c r="F75" t="str" cm="1">
        <f t="array" ref="F75">INDEX({"Pay as you go","Prediction_PACK","Prediction_Payasyougo","Competitor"},MATCH(MIN(A75:D75), A75:D75, 0))</f>
        <v>Prediction_PACK</v>
      </c>
    </row>
    <row r="76" spans="1:6" x14ac:dyDescent="0.25">
      <c r="A76">
        <v>140.39400000000001</v>
      </c>
      <c r="B76">
        <v>123.88</v>
      </c>
      <c r="C76">
        <v>120.309</v>
      </c>
      <c r="D76">
        <v>149.88</v>
      </c>
      <c r="E76">
        <f t="shared" si="1"/>
        <v>120.309</v>
      </c>
      <c r="F76" t="str" cm="1">
        <f t="array" ref="F76">INDEX({"Pay as you go","Prediction_PACK","Prediction_Payasyougo","Competitor"},MATCH(MIN(A76:D76), A76:D76, 0))</f>
        <v>Prediction_Payasyougo</v>
      </c>
    </row>
    <row r="77" spans="1:6" x14ac:dyDescent="0.25">
      <c r="A77">
        <v>221.239</v>
      </c>
      <c r="B77">
        <v>187.88</v>
      </c>
      <c r="C77">
        <v>193.61849999999998</v>
      </c>
      <c r="D77">
        <v>209.88</v>
      </c>
      <c r="E77">
        <f t="shared" si="1"/>
        <v>187.88</v>
      </c>
      <c r="F77" t="str" cm="1">
        <f t="array" ref="F77">INDEX({"Pay as you go","Prediction_PACK","Prediction_Payasyougo","Competitor"},MATCH(MIN(A77:D77), A77:D77, 0))</f>
        <v>Prediction_PACK</v>
      </c>
    </row>
    <row r="78" spans="1:6" x14ac:dyDescent="0.25">
      <c r="A78">
        <v>166.011</v>
      </c>
      <c r="B78">
        <v>137.88</v>
      </c>
      <c r="C78">
        <v>134.196</v>
      </c>
      <c r="D78">
        <v>169.88</v>
      </c>
      <c r="E78">
        <f t="shared" si="1"/>
        <v>134.196</v>
      </c>
      <c r="F78" t="str" cm="1">
        <f t="array" ref="F78">INDEX({"Pay as you go","Prediction_PACK","Prediction_Payasyougo","Competitor"},MATCH(MIN(A78:D78), A78:D78, 0))</f>
        <v>Prediction_Payasyougo</v>
      </c>
    </row>
    <row r="79" spans="1:6" x14ac:dyDescent="0.25">
      <c r="A79">
        <v>126.96</v>
      </c>
      <c r="B79">
        <v>127.88</v>
      </c>
      <c r="C79">
        <v>123.4635</v>
      </c>
      <c r="D79">
        <v>149.88</v>
      </c>
      <c r="E79">
        <f t="shared" si="1"/>
        <v>123.4635</v>
      </c>
      <c r="F79" t="str" cm="1">
        <f t="array" ref="F79">INDEX({"Pay as you go","Prediction_PACK","Prediction_Payasyougo","Competitor"},MATCH(MIN(A79:D79), A79:D79, 0))</f>
        <v>Prediction_Payasyougo</v>
      </c>
    </row>
    <row r="80" spans="1:6" x14ac:dyDescent="0.25">
      <c r="A80">
        <v>150.898</v>
      </c>
      <c r="B80">
        <v>137.88</v>
      </c>
      <c r="C80">
        <v>154.3065</v>
      </c>
      <c r="D80">
        <v>179.88</v>
      </c>
      <c r="E80">
        <f t="shared" si="1"/>
        <v>137.88</v>
      </c>
      <c r="F80" t="str" cm="1">
        <f t="array" ref="F80">INDEX({"Pay as you go","Prediction_PACK","Prediction_Payasyougo","Competitor"},MATCH(MIN(A80:D80), A80:D80, 0))</f>
        <v>Prediction_PACK</v>
      </c>
    </row>
    <row r="81" spans="1:6" x14ac:dyDescent="0.25">
      <c r="A81">
        <v>146.78700000000001</v>
      </c>
      <c r="B81">
        <v>137.88</v>
      </c>
      <c r="C81">
        <v>144.92849999999999</v>
      </c>
      <c r="D81">
        <v>169.88</v>
      </c>
      <c r="E81">
        <f t="shared" si="1"/>
        <v>137.88</v>
      </c>
      <c r="F81" t="str" cm="1">
        <f t="array" ref="F81">INDEX({"Pay as you go","Prediction_PACK","Prediction_Payasyougo","Competitor"},MATCH(MIN(A81:D81), A81:D81, 0))</f>
        <v>Prediction_PACK</v>
      </c>
    </row>
    <row r="82" spans="1:6" x14ac:dyDescent="0.25">
      <c r="A82">
        <v>181.87700000000001</v>
      </c>
      <c r="B82">
        <v>167.88</v>
      </c>
      <c r="C82">
        <v>182.39099999999999</v>
      </c>
      <c r="D82">
        <v>179.88</v>
      </c>
      <c r="E82">
        <f t="shared" si="1"/>
        <v>167.88</v>
      </c>
      <c r="F82" t="str" cm="1">
        <f t="array" ref="F82">INDEX({"Pay as you go","Prediction_PACK","Prediction_Payasyougo","Competitor"},MATCH(MIN(A82:D82), A82:D82, 0))</f>
        <v>Prediction_PACK</v>
      </c>
    </row>
    <row r="83" spans="1:6" x14ac:dyDescent="0.25">
      <c r="A83">
        <v>223.32299999999998</v>
      </c>
      <c r="B83">
        <v>177.88</v>
      </c>
      <c r="C83">
        <v>199.11750000000001</v>
      </c>
      <c r="D83">
        <v>209.88</v>
      </c>
      <c r="E83">
        <f t="shared" si="1"/>
        <v>177.88</v>
      </c>
      <c r="F83" t="str" cm="1">
        <f t="array" ref="F83">INDEX({"Pay as you go","Prediction_PACK","Prediction_Payasyougo","Competitor"},MATCH(MIN(A83:D83), A83:D83, 0))</f>
        <v>Prediction_PACK</v>
      </c>
    </row>
    <row r="84" spans="1:6" x14ac:dyDescent="0.25">
      <c r="A84">
        <v>157.42999999999998</v>
      </c>
      <c r="B84">
        <v>137.88</v>
      </c>
      <c r="C84">
        <v>140.4015</v>
      </c>
      <c r="D84">
        <v>169.88</v>
      </c>
      <c r="E84">
        <f t="shared" si="1"/>
        <v>137.88</v>
      </c>
      <c r="F84" t="str" cm="1">
        <f t="array" ref="F84">INDEX({"Pay as you go","Prediction_PACK","Prediction_Payasyougo","Competitor"},MATCH(MIN(A84:D84), A84:D84, 0))</f>
        <v>Prediction_PACK</v>
      </c>
    </row>
    <row r="85" spans="1:6" x14ac:dyDescent="0.25">
      <c r="A85">
        <v>171.952</v>
      </c>
      <c r="B85">
        <v>137.88</v>
      </c>
      <c r="C85">
        <v>143.673</v>
      </c>
      <c r="D85">
        <v>169.88</v>
      </c>
      <c r="E85">
        <f t="shared" si="1"/>
        <v>137.88</v>
      </c>
      <c r="F85" t="str" cm="1">
        <f t="array" ref="F85">INDEX({"Pay as you go","Prediction_PACK","Prediction_Payasyougo","Competitor"},MATCH(MIN(A85:D85), A85:D85, 0))</f>
        <v>Prediction_PACK</v>
      </c>
    </row>
    <row r="86" spans="1:6" x14ac:dyDescent="0.25">
      <c r="A86">
        <v>217.03900000000002</v>
      </c>
      <c r="B86">
        <v>167.88</v>
      </c>
      <c r="C86">
        <v>187.14299999999997</v>
      </c>
      <c r="D86">
        <v>189.88</v>
      </c>
      <c r="E86">
        <f t="shared" si="1"/>
        <v>167.88</v>
      </c>
      <c r="F86" t="str" cm="1">
        <f t="array" ref="F86">INDEX({"Pay as you go","Prediction_PACK","Prediction_Payasyougo","Competitor"},MATCH(MIN(A86:D86), A86:D86, 0))</f>
        <v>Prediction_PACK</v>
      </c>
    </row>
    <row r="87" spans="1:6" x14ac:dyDescent="0.25">
      <c r="A87">
        <v>104.14400000000001</v>
      </c>
      <c r="B87">
        <v>115.88</v>
      </c>
      <c r="C87">
        <v>115.9845</v>
      </c>
      <c r="D87">
        <v>149.88</v>
      </c>
      <c r="E87">
        <f t="shared" si="1"/>
        <v>104.14400000000001</v>
      </c>
      <c r="F87" t="str" cm="1">
        <f t="array" ref="F87">INDEX({"Pay as you go","Prediction_PACK","Prediction_Payasyougo","Competitor"},MATCH(MIN(A87:D87), A87:D87, 0))</f>
        <v>Pay as you go</v>
      </c>
    </row>
    <row r="88" spans="1:6" x14ac:dyDescent="0.25">
      <c r="A88">
        <v>158.477</v>
      </c>
      <c r="B88">
        <v>127.88</v>
      </c>
      <c r="C88">
        <v>127.9545</v>
      </c>
      <c r="D88">
        <v>169.88</v>
      </c>
      <c r="E88">
        <f t="shared" si="1"/>
        <v>127.88</v>
      </c>
      <c r="F88" t="str" cm="1">
        <f t="array" ref="F88">INDEX({"Pay as you go","Prediction_PACK","Prediction_Payasyougo","Competitor"},MATCH(MIN(A88:D88), A88:D88, 0))</f>
        <v>Prediction_PACK</v>
      </c>
    </row>
    <row r="89" spans="1:6" x14ac:dyDescent="0.25">
      <c r="A89">
        <v>162.82</v>
      </c>
      <c r="B89">
        <v>137.88</v>
      </c>
      <c r="C89">
        <v>138.17849999999999</v>
      </c>
      <c r="D89">
        <v>169.88</v>
      </c>
      <c r="E89">
        <f t="shared" si="1"/>
        <v>137.88</v>
      </c>
      <c r="F89" t="str" cm="1">
        <f t="array" ref="F89">INDEX({"Pay as you go","Prediction_PACK","Prediction_Payasyougo","Competitor"},MATCH(MIN(A89:D89), A89:D89, 0))</f>
        <v>Prediction_PACK</v>
      </c>
    </row>
    <row r="90" spans="1:6" x14ac:dyDescent="0.25">
      <c r="A90">
        <v>131.09799999999998</v>
      </c>
      <c r="B90">
        <v>123.88</v>
      </c>
      <c r="C90">
        <v>117.19499999999999</v>
      </c>
      <c r="D90">
        <v>149.88</v>
      </c>
      <c r="E90">
        <f t="shared" si="1"/>
        <v>117.19499999999999</v>
      </c>
      <c r="F90" t="str" cm="1">
        <f t="array" ref="F90">INDEX({"Pay as you go","Prediction_PACK","Prediction_Payasyougo","Competitor"},MATCH(MIN(A90:D90), A90:D90, 0))</f>
        <v>Prediction_Payasyougo</v>
      </c>
    </row>
    <row r="91" spans="1:6" x14ac:dyDescent="0.25">
      <c r="A91">
        <v>164.49600000000001</v>
      </c>
      <c r="B91">
        <v>137.88</v>
      </c>
      <c r="C91">
        <v>146.57549999999998</v>
      </c>
      <c r="D91">
        <v>179.88</v>
      </c>
      <c r="E91">
        <f t="shared" si="1"/>
        <v>137.88</v>
      </c>
      <c r="F91" t="str" cm="1">
        <f t="array" ref="F91">INDEX({"Pay as you go","Prediction_PACK","Prediction_Payasyougo","Competitor"},MATCH(MIN(A91:D91), A91:D91, 0))</f>
        <v>Prediction_PACK</v>
      </c>
    </row>
    <row r="92" spans="1:6" x14ac:dyDescent="0.25">
      <c r="A92">
        <v>172.18</v>
      </c>
      <c r="B92">
        <v>147.88</v>
      </c>
      <c r="C92">
        <v>156.381</v>
      </c>
      <c r="D92">
        <v>179.88</v>
      </c>
      <c r="E92">
        <f t="shared" si="1"/>
        <v>147.88</v>
      </c>
      <c r="F92" t="str" cm="1">
        <f t="array" ref="F92">INDEX({"Pay as you go","Prediction_PACK","Prediction_Payasyougo","Competitor"},MATCH(MIN(A92:D92), A92:D92, 0))</f>
        <v>Prediction_PACK</v>
      </c>
    </row>
    <row r="93" spans="1:6" x14ac:dyDescent="0.25">
      <c r="A93">
        <v>116.645</v>
      </c>
      <c r="B93">
        <v>115.88</v>
      </c>
      <c r="C93">
        <v>114.06299999999999</v>
      </c>
      <c r="D93">
        <v>149.88</v>
      </c>
      <c r="E93">
        <f t="shared" si="1"/>
        <v>114.06299999999999</v>
      </c>
      <c r="F93" t="str" cm="1">
        <f t="array" ref="F93">INDEX({"Pay as you go","Prediction_PACK","Prediction_Payasyougo","Competitor"},MATCH(MIN(A93:D93), A93:D93, 0))</f>
        <v>Prediction_Payasyougo</v>
      </c>
    </row>
    <row r="94" spans="1:6" x14ac:dyDescent="0.25">
      <c r="A94">
        <v>102.40900000000001</v>
      </c>
      <c r="B94">
        <v>115.88</v>
      </c>
      <c r="C94">
        <v>114</v>
      </c>
      <c r="D94">
        <v>139.88</v>
      </c>
      <c r="E94">
        <f t="shared" si="1"/>
        <v>102.40900000000001</v>
      </c>
      <c r="F94" t="str" cm="1">
        <f t="array" ref="F94">INDEX({"Pay as you go","Prediction_PACK","Prediction_Payasyougo","Competitor"},MATCH(MIN(A94:D94), A94:D94, 0))</f>
        <v>Pay as you go</v>
      </c>
    </row>
    <row r="95" spans="1:6" x14ac:dyDescent="0.25">
      <c r="A95">
        <v>123.976</v>
      </c>
      <c r="B95">
        <v>131.88</v>
      </c>
      <c r="C95">
        <v>128.733</v>
      </c>
      <c r="D95">
        <v>149.88</v>
      </c>
      <c r="E95">
        <f t="shared" si="1"/>
        <v>123.976</v>
      </c>
      <c r="F95" t="str" cm="1">
        <f t="array" ref="F95">INDEX({"Pay as you go","Prediction_PACK","Prediction_Payasyougo","Competitor"},MATCH(MIN(A95:D95), A95:D95, 0))</f>
        <v>Pay as you go</v>
      </c>
    </row>
    <row r="96" spans="1:6" x14ac:dyDescent="0.25">
      <c r="A96">
        <v>108.042</v>
      </c>
      <c r="B96">
        <v>115.88</v>
      </c>
      <c r="C96">
        <v>113.55449999999999</v>
      </c>
      <c r="D96">
        <v>139.88</v>
      </c>
      <c r="E96">
        <f t="shared" si="1"/>
        <v>108.042</v>
      </c>
      <c r="F96" t="str" cm="1">
        <f t="array" ref="F96">INDEX({"Pay as you go","Prediction_PACK","Prediction_Payasyougo","Competitor"},MATCH(MIN(A96:D96), A96:D96, 0))</f>
        <v>Pay as you go</v>
      </c>
    </row>
    <row r="97" spans="1:6" x14ac:dyDescent="0.25">
      <c r="A97">
        <v>120.36999999999999</v>
      </c>
      <c r="B97">
        <v>119.88</v>
      </c>
      <c r="C97">
        <v>113.82</v>
      </c>
      <c r="D97">
        <v>149.88</v>
      </c>
      <c r="E97">
        <f t="shared" si="1"/>
        <v>113.82</v>
      </c>
      <c r="F97" t="str" cm="1">
        <f t="array" ref="F97">INDEX({"Pay as you go","Prediction_PACK","Prediction_Payasyougo","Competitor"},MATCH(MIN(A97:D97), A97:D97, 0))</f>
        <v>Prediction_Payasyougo</v>
      </c>
    </row>
    <row r="98" spans="1:6" x14ac:dyDescent="0.25">
      <c r="A98">
        <v>111.205</v>
      </c>
      <c r="B98">
        <v>115.88</v>
      </c>
      <c r="C98">
        <v>112.88849999999999</v>
      </c>
      <c r="D98">
        <v>129.88</v>
      </c>
      <c r="E98">
        <f t="shared" si="1"/>
        <v>111.205</v>
      </c>
      <c r="F98" t="str" cm="1">
        <f t="array" ref="F98">INDEX({"Pay as you go","Prediction_PACK","Prediction_Payasyougo","Competitor"},MATCH(MIN(A98:D98), A98:D98, 0))</f>
        <v>Pay as you go</v>
      </c>
    </row>
    <row r="99" spans="1:6" x14ac:dyDescent="0.25">
      <c r="A99">
        <v>96.934000000000012</v>
      </c>
      <c r="B99">
        <v>115.88</v>
      </c>
      <c r="C99">
        <v>112.87049999999999</v>
      </c>
      <c r="D99">
        <v>129.88</v>
      </c>
      <c r="E99">
        <f t="shared" si="1"/>
        <v>96.934000000000012</v>
      </c>
      <c r="F99" t="str" cm="1">
        <f t="array" ref="F99">INDEX({"Pay as you go","Prediction_PACK","Prediction_Payasyougo","Competitor"},MATCH(MIN(A99:D99), A99:D99, 0))</f>
        <v>Pay as you go</v>
      </c>
    </row>
    <row r="100" spans="1:6" x14ac:dyDescent="0.25">
      <c r="A100">
        <v>75.602999999999994</v>
      </c>
      <c r="B100">
        <v>115.88</v>
      </c>
      <c r="C100">
        <v>112.416</v>
      </c>
      <c r="D100">
        <v>129.88</v>
      </c>
      <c r="E100">
        <f t="shared" si="1"/>
        <v>75.602999999999994</v>
      </c>
      <c r="F100" t="str" cm="1">
        <f t="array" ref="F100">INDEX({"Pay as you go","Prediction_PACK","Prediction_Payasyougo","Competitor"},MATCH(MIN(A100:D100), A100:D100, 0))</f>
        <v>Pay as you go</v>
      </c>
    </row>
    <row r="101" spans="1:6" x14ac:dyDescent="0.25">
      <c r="A101">
        <v>158.708</v>
      </c>
      <c r="B101">
        <v>157.88</v>
      </c>
      <c r="C101">
        <v>167.30699999999999</v>
      </c>
      <c r="D101">
        <v>179.88</v>
      </c>
      <c r="E101">
        <f t="shared" si="1"/>
        <v>157.88</v>
      </c>
      <c r="F101" t="str" cm="1">
        <f t="array" ref="F101">INDEX({"Pay as you go","Prediction_PACK","Prediction_Payasyougo","Competitor"},MATCH(MIN(A101:D101), A101:D101, 0))</f>
        <v>Prediction_PACK</v>
      </c>
    </row>
    <row r="102" spans="1:6" x14ac:dyDescent="0.25">
      <c r="A102">
        <v>122.69199999999999</v>
      </c>
      <c r="B102">
        <v>123.88</v>
      </c>
      <c r="C102">
        <v>118.45049999999999</v>
      </c>
      <c r="D102">
        <v>149.88</v>
      </c>
      <c r="E102">
        <f t="shared" si="1"/>
        <v>118.45049999999999</v>
      </c>
      <c r="F102" t="str" cm="1">
        <f t="array" ref="F102">INDEX({"Pay as you go","Prediction_PACK","Prediction_Payasyougo","Competitor"},MATCH(MIN(A102:D102), A102:D102, 0))</f>
        <v>Prediction_Payasyougo</v>
      </c>
    </row>
    <row r="103" spans="1:6" x14ac:dyDescent="0.25">
      <c r="A103">
        <v>146.928</v>
      </c>
      <c r="B103">
        <v>127.88</v>
      </c>
      <c r="C103">
        <v>130.15049999999999</v>
      </c>
      <c r="D103">
        <v>169.88</v>
      </c>
      <c r="E103">
        <f t="shared" si="1"/>
        <v>127.88</v>
      </c>
      <c r="F103" t="str" cm="1">
        <f t="array" ref="F103">INDEX({"Pay as you go","Prediction_PACK","Prediction_Payasyougo","Competitor"},MATCH(MIN(A103:D103), A103:D103, 0))</f>
        <v>Prediction_PACK</v>
      </c>
    </row>
    <row r="104" spans="1:6" x14ac:dyDescent="0.25">
      <c r="A104">
        <v>125.92999999999999</v>
      </c>
      <c r="B104">
        <v>115.88</v>
      </c>
      <c r="C104">
        <v>113.96849999999999</v>
      </c>
      <c r="D104">
        <v>149.88</v>
      </c>
      <c r="E104">
        <f t="shared" si="1"/>
        <v>113.96849999999999</v>
      </c>
      <c r="F104" t="str" cm="1">
        <f t="array" ref="F104">INDEX({"Pay as you go","Prediction_PACK","Prediction_Payasyougo","Competitor"},MATCH(MIN(A104:D104), A104:D104, 0))</f>
        <v>Prediction_Payasyougo</v>
      </c>
    </row>
    <row r="105" spans="1:6" x14ac:dyDescent="0.25">
      <c r="A105">
        <v>159.04</v>
      </c>
      <c r="B105">
        <v>147.88</v>
      </c>
      <c r="C105">
        <v>154.941</v>
      </c>
      <c r="D105">
        <v>169.88</v>
      </c>
      <c r="E105">
        <f t="shared" si="1"/>
        <v>147.88</v>
      </c>
      <c r="F105" t="str" cm="1">
        <f t="array" ref="F105">INDEX({"Pay as you go","Prediction_PACK","Prediction_Payasyougo","Competitor"},MATCH(MIN(A105:D105), A105:D105, 0))</f>
        <v>Prediction_PACK</v>
      </c>
    </row>
    <row r="106" spans="1:6" x14ac:dyDescent="0.25">
      <c r="A106">
        <v>137.69499999999999</v>
      </c>
      <c r="B106">
        <v>137.88</v>
      </c>
      <c r="C106">
        <v>138.084</v>
      </c>
      <c r="D106">
        <v>159.88</v>
      </c>
      <c r="E106">
        <f t="shared" si="1"/>
        <v>137.69499999999999</v>
      </c>
      <c r="F106" t="str" cm="1">
        <f t="array" ref="F106">INDEX({"Pay as you go","Prediction_PACK","Prediction_Payasyougo","Competitor"},MATCH(MIN(A106:D106), A106:D106, 0))</f>
        <v>Pay as you go</v>
      </c>
    </row>
    <row r="107" spans="1:6" x14ac:dyDescent="0.25">
      <c r="A107">
        <v>86.312000000000012</v>
      </c>
      <c r="B107">
        <v>111.88</v>
      </c>
      <c r="C107">
        <v>109.96799999999999</v>
      </c>
      <c r="D107">
        <v>129.88</v>
      </c>
      <c r="E107">
        <f t="shared" si="1"/>
        <v>86.312000000000012</v>
      </c>
      <c r="F107" t="str" cm="1">
        <f t="array" ref="F107">INDEX({"Pay as you go","Prediction_PACK","Prediction_Payasyougo","Competitor"},MATCH(MIN(A107:D107), A107:D107, 0))</f>
        <v>Pay as you go</v>
      </c>
    </row>
    <row r="108" spans="1:6" x14ac:dyDescent="0.25">
      <c r="A108">
        <v>151.29700000000003</v>
      </c>
      <c r="B108">
        <v>137.88</v>
      </c>
      <c r="C108">
        <v>146.76</v>
      </c>
      <c r="D108">
        <v>169.88</v>
      </c>
      <c r="E108">
        <f t="shared" si="1"/>
        <v>137.88</v>
      </c>
      <c r="F108" t="str" cm="1">
        <f t="array" ref="F108">INDEX({"Pay as you go","Prediction_PACK","Prediction_Payasyougo","Competitor"},MATCH(MIN(A108:D108), A108:D108, 0))</f>
        <v>Prediction_PACK</v>
      </c>
    </row>
    <row r="109" spans="1:6" x14ac:dyDescent="0.25">
      <c r="A109">
        <v>123.684</v>
      </c>
      <c r="B109">
        <v>127.88</v>
      </c>
      <c r="C109">
        <v>127.67999999999999</v>
      </c>
      <c r="D109">
        <v>149.88</v>
      </c>
      <c r="E109">
        <f t="shared" si="1"/>
        <v>123.684</v>
      </c>
      <c r="F109" t="str" cm="1">
        <f t="array" ref="F109">INDEX({"Pay as you go","Prediction_PACK","Prediction_Payasyougo","Competitor"},MATCH(MIN(A109:D109), A109:D109, 0))</f>
        <v>Pay as you go</v>
      </c>
    </row>
    <row r="110" spans="1:6" x14ac:dyDescent="0.25">
      <c r="A110">
        <v>122.583</v>
      </c>
      <c r="B110">
        <v>137.88</v>
      </c>
      <c r="C110">
        <v>145.995</v>
      </c>
      <c r="D110">
        <v>159.88</v>
      </c>
      <c r="E110">
        <f t="shared" si="1"/>
        <v>122.583</v>
      </c>
      <c r="F110" t="str" cm="1">
        <f t="array" ref="F110">INDEX({"Pay as you go","Prediction_PACK","Prediction_Payasyougo","Competitor"},MATCH(MIN(A110:D110), A110:D110, 0))</f>
        <v>Pay as you go</v>
      </c>
    </row>
    <row r="111" spans="1:6" x14ac:dyDescent="0.25">
      <c r="A111">
        <v>110.804</v>
      </c>
      <c r="B111">
        <v>111.88</v>
      </c>
      <c r="C111">
        <v>109.12649999999999</v>
      </c>
      <c r="D111">
        <v>139.88</v>
      </c>
      <c r="E111">
        <f t="shared" si="1"/>
        <v>109.12649999999999</v>
      </c>
      <c r="F111" t="str" cm="1">
        <f t="array" ref="F111">INDEX({"Pay as you go","Prediction_PACK","Prediction_Payasyougo","Competitor"},MATCH(MIN(A111:D111), A111:D111, 0))</f>
        <v>Prediction_Payasyougo</v>
      </c>
    </row>
    <row r="112" spans="1:6" x14ac:dyDescent="0.25">
      <c r="A112">
        <v>153.43900000000002</v>
      </c>
      <c r="B112">
        <v>123.88</v>
      </c>
      <c r="C112">
        <v>117.9465</v>
      </c>
      <c r="D112">
        <v>169.88</v>
      </c>
      <c r="E112">
        <f t="shared" si="1"/>
        <v>117.9465</v>
      </c>
      <c r="F112" t="str" cm="1">
        <f t="array" ref="F112">INDEX({"Pay as you go","Prediction_PACK","Prediction_Payasyougo","Competitor"},MATCH(MIN(A112:D112), A112:D112, 0))</f>
        <v>Prediction_Payasyougo</v>
      </c>
    </row>
    <row r="113" spans="1:6" x14ac:dyDescent="0.25">
      <c r="A113">
        <v>129.11500000000001</v>
      </c>
      <c r="B113">
        <v>139.88</v>
      </c>
      <c r="C113">
        <v>136.3965</v>
      </c>
      <c r="D113">
        <v>159.88</v>
      </c>
      <c r="E113">
        <f t="shared" si="1"/>
        <v>129.11500000000001</v>
      </c>
      <c r="F113" t="str" cm="1">
        <f t="array" ref="F113">INDEX({"Pay as you go","Prediction_PACK","Prediction_Payasyougo","Competitor"},MATCH(MIN(A113:D113), A113:D113, 0))</f>
        <v>Pay as you go</v>
      </c>
    </row>
    <row r="114" spans="1:6" x14ac:dyDescent="0.25">
      <c r="A114">
        <v>157.578</v>
      </c>
      <c r="B114">
        <v>137.88</v>
      </c>
      <c r="C114">
        <v>140.172</v>
      </c>
      <c r="D114">
        <v>159.88</v>
      </c>
      <c r="E114">
        <f t="shared" si="1"/>
        <v>137.88</v>
      </c>
      <c r="F114" t="str" cm="1">
        <f t="array" ref="F114">INDEX({"Pay as you go","Prediction_PACK","Prediction_Payasyougo","Competitor"},MATCH(MIN(A114:D114), A114:D114, 0))</f>
        <v>Prediction_PACK</v>
      </c>
    </row>
    <row r="115" spans="1:6" x14ac:dyDescent="0.25">
      <c r="A115">
        <v>171.16800000000001</v>
      </c>
      <c r="B115">
        <v>147.88</v>
      </c>
      <c r="C115">
        <v>145.923</v>
      </c>
      <c r="D115">
        <v>179.88</v>
      </c>
      <c r="E115">
        <f t="shared" si="1"/>
        <v>145.923</v>
      </c>
      <c r="F115" t="str" cm="1">
        <f t="array" ref="F115">INDEX({"Pay as you go","Prediction_PACK","Prediction_Payasyougo","Competitor"},MATCH(MIN(A115:D115), A115:D115, 0))</f>
        <v>Prediction_Payasyougo</v>
      </c>
    </row>
    <row r="116" spans="1:6" x14ac:dyDescent="0.25">
      <c r="A116">
        <v>145.76400000000001</v>
      </c>
      <c r="B116">
        <v>127.88</v>
      </c>
      <c r="C116">
        <v>122.298</v>
      </c>
      <c r="D116">
        <v>169.88</v>
      </c>
      <c r="E116">
        <f t="shared" si="1"/>
        <v>122.298</v>
      </c>
      <c r="F116" t="str" cm="1">
        <f t="array" ref="F116">INDEX({"Pay as you go","Prediction_PACK","Prediction_Payasyougo","Competitor"},MATCH(MIN(A116:D116), A116:D116, 0))</f>
        <v>Prediction_Payasyougo</v>
      </c>
    </row>
    <row r="117" spans="1:6" x14ac:dyDescent="0.25">
      <c r="A117">
        <v>138.76999999999998</v>
      </c>
      <c r="B117">
        <v>115.88</v>
      </c>
      <c r="C117">
        <v>112.2315</v>
      </c>
      <c r="D117">
        <v>159.88</v>
      </c>
      <c r="E117">
        <f t="shared" si="1"/>
        <v>112.2315</v>
      </c>
      <c r="F117" t="str" cm="1">
        <f t="array" ref="F117">INDEX({"Pay as you go","Prediction_PACK","Prediction_Payasyougo","Competitor"},MATCH(MIN(A117:D117), A117:D117, 0))</f>
        <v>Prediction_Payasyougo</v>
      </c>
    </row>
    <row r="118" spans="1:6" x14ac:dyDescent="0.25">
      <c r="A118">
        <v>127.15</v>
      </c>
      <c r="B118">
        <v>147.88</v>
      </c>
      <c r="C118">
        <v>158.16299999999998</v>
      </c>
      <c r="D118">
        <v>159.88</v>
      </c>
      <c r="E118">
        <f t="shared" si="1"/>
        <v>127.15</v>
      </c>
      <c r="F118" t="str" cm="1">
        <f t="array" ref="F118">INDEX({"Pay as you go","Prediction_PACK","Prediction_Payasyougo","Competitor"},MATCH(MIN(A118:D118), A118:D118, 0))</f>
        <v>Pay as you go</v>
      </c>
    </row>
    <row r="119" spans="1:6" x14ac:dyDescent="0.25">
      <c r="A119">
        <v>193.89500000000001</v>
      </c>
      <c r="B119">
        <v>157.88</v>
      </c>
      <c r="C119">
        <v>174.84449999999998</v>
      </c>
      <c r="D119">
        <v>199.88</v>
      </c>
      <c r="E119">
        <f t="shared" si="1"/>
        <v>157.88</v>
      </c>
      <c r="F119" t="str" cm="1">
        <f t="array" ref="F119">INDEX({"Pay as you go","Prediction_PACK","Prediction_Payasyougo","Competitor"},MATCH(MIN(A119:D119), A119:D119, 0))</f>
        <v>Prediction_PACK</v>
      </c>
    </row>
    <row r="120" spans="1:6" x14ac:dyDescent="0.25">
      <c r="A120">
        <v>209.55800000000002</v>
      </c>
      <c r="B120">
        <v>177.88</v>
      </c>
      <c r="C120">
        <v>182.78249999999997</v>
      </c>
      <c r="D120">
        <v>199.88</v>
      </c>
      <c r="E120">
        <f t="shared" si="1"/>
        <v>177.88</v>
      </c>
      <c r="F120" t="str" cm="1">
        <f t="array" ref="F120">INDEX({"Pay as you go","Prediction_PACK","Prediction_Payasyougo","Competitor"},MATCH(MIN(A120:D120), A120:D120, 0))</f>
        <v>Prediction_PACK</v>
      </c>
    </row>
    <row r="121" spans="1:6" x14ac:dyDescent="0.25">
      <c r="A121">
        <v>153.04500000000002</v>
      </c>
      <c r="B121">
        <v>127.88</v>
      </c>
      <c r="C121">
        <v>116.196</v>
      </c>
      <c r="D121">
        <v>169.88</v>
      </c>
      <c r="E121">
        <f t="shared" si="1"/>
        <v>116.196</v>
      </c>
      <c r="F121" t="str" cm="1">
        <f t="array" ref="F121">INDEX({"Pay as you go","Prediction_PACK","Prediction_Payasyougo","Competitor"},MATCH(MIN(A121:D121), A121:D121, 0))</f>
        <v>Prediction_Payasyougo</v>
      </c>
    </row>
    <row r="122" spans="1:6" x14ac:dyDescent="0.25">
      <c r="A122">
        <v>117.39100000000001</v>
      </c>
      <c r="B122">
        <v>107.88</v>
      </c>
      <c r="C122">
        <v>107.88</v>
      </c>
      <c r="D122">
        <v>144.88</v>
      </c>
      <c r="E122">
        <f t="shared" si="1"/>
        <v>107.88</v>
      </c>
      <c r="F122" t="str" cm="1">
        <f t="array" ref="F122">INDEX({"Pay as you go","Prediction_PACK","Prediction_Payasyougo","Competitor"},MATCH(MIN(A122:D122), A122:D122, 0))</f>
        <v>Prediction_PACK</v>
      </c>
    </row>
    <row r="123" spans="1:6" x14ac:dyDescent="0.25">
      <c r="A123">
        <v>157.929</v>
      </c>
      <c r="B123">
        <v>137.88</v>
      </c>
      <c r="C123">
        <v>154.82849999999999</v>
      </c>
      <c r="D123">
        <v>179.88</v>
      </c>
      <c r="E123">
        <f t="shared" si="1"/>
        <v>137.88</v>
      </c>
      <c r="F123" t="str" cm="1">
        <f t="array" ref="F123">INDEX({"Pay as you go","Prediction_PACK","Prediction_Payasyougo","Competitor"},MATCH(MIN(A123:D123), A123:D123, 0))</f>
        <v>Prediction_PACK</v>
      </c>
    </row>
    <row r="124" spans="1:6" x14ac:dyDescent="0.25">
      <c r="A124">
        <v>95.183000000000007</v>
      </c>
      <c r="B124">
        <v>111.88</v>
      </c>
      <c r="C124">
        <v>110.26949999999999</v>
      </c>
      <c r="D124">
        <v>139.88</v>
      </c>
      <c r="E124">
        <f t="shared" si="1"/>
        <v>95.183000000000007</v>
      </c>
      <c r="F124" t="str" cm="1">
        <f t="array" ref="F124">INDEX({"Pay as you go","Prediction_PACK","Prediction_Payasyougo","Competitor"},MATCH(MIN(A124:D124), A124:D124, 0))</f>
        <v>Pay as you go</v>
      </c>
    </row>
    <row r="125" spans="1:6" x14ac:dyDescent="0.25">
      <c r="A125">
        <v>152.99699999999999</v>
      </c>
      <c r="B125">
        <v>127.88</v>
      </c>
      <c r="C125">
        <v>133.035</v>
      </c>
      <c r="D125">
        <v>169.88</v>
      </c>
      <c r="E125">
        <f t="shared" si="1"/>
        <v>127.88</v>
      </c>
      <c r="F125" t="str" cm="1">
        <f t="array" ref="F125">INDEX({"Pay as you go","Prediction_PACK","Prediction_Payasyougo","Competitor"},MATCH(MIN(A125:D125), A125:D125, 0))</f>
        <v>Prediction_PACK</v>
      </c>
    </row>
    <row r="126" spans="1:6" x14ac:dyDescent="0.25">
      <c r="A126">
        <v>131.779</v>
      </c>
      <c r="B126">
        <v>111.88</v>
      </c>
      <c r="C126">
        <v>110.62049999999999</v>
      </c>
      <c r="D126">
        <v>149.88</v>
      </c>
      <c r="E126">
        <f t="shared" si="1"/>
        <v>110.62049999999999</v>
      </c>
      <c r="F126" t="str" cm="1">
        <f t="array" ref="F126">INDEX({"Pay as you go","Prediction_PACK","Prediction_Payasyougo","Competitor"},MATCH(MIN(A126:D126), A126:D126, 0))</f>
        <v>Prediction_Payasyougo</v>
      </c>
    </row>
    <row r="127" spans="1:6" x14ac:dyDescent="0.25">
      <c r="A127">
        <v>232.566</v>
      </c>
      <c r="B127">
        <v>177.88</v>
      </c>
      <c r="C127">
        <v>207.78899999999999</v>
      </c>
      <c r="D127">
        <v>209.88</v>
      </c>
      <c r="E127">
        <f t="shared" si="1"/>
        <v>177.88</v>
      </c>
      <c r="F127" t="str" cm="1">
        <f t="array" ref="F127">INDEX({"Pay as you go","Prediction_PACK","Prediction_Payasyougo","Competitor"},MATCH(MIN(A127:D127), A127:D127, 0))</f>
        <v>Prediction_PACK</v>
      </c>
    </row>
    <row r="128" spans="1:6" x14ac:dyDescent="0.25">
      <c r="A128">
        <v>98.998000000000005</v>
      </c>
      <c r="B128">
        <v>107.88</v>
      </c>
      <c r="C128">
        <v>107.88</v>
      </c>
      <c r="D128">
        <v>129.88</v>
      </c>
      <c r="E128">
        <f t="shared" si="1"/>
        <v>98.998000000000005</v>
      </c>
      <c r="F128" t="str" cm="1">
        <f t="array" ref="F128">INDEX({"Pay as you go","Prediction_PACK","Prediction_Payasyougo","Competitor"},MATCH(MIN(A128:D128), A128:D128, 0))</f>
        <v>Pay as you go</v>
      </c>
    </row>
    <row r="129" spans="1:6" x14ac:dyDescent="0.25">
      <c r="A129">
        <v>132.15900000000002</v>
      </c>
      <c r="B129">
        <v>119.88</v>
      </c>
      <c r="C129">
        <v>116.81699999999999</v>
      </c>
      <c r="D129">
        <v>149.88</v>
      </c>
      <c r="E129">
        <f t="shared" si="1"/>
        <v>116.81699999999999</v>
      </c>
      <c r="F129" t="str" cm="1">
        <f t="array" ref="F129">INDEX({"Pay as you go","Prediction_PACK","Prediction_Payasyougo","Competitor"},MATCH(MIN(A129:D129), A129:D129, 0))</f>
        <v>Prediction_Payasyougo</v>
      </c>
    </row>
    <row r="130" spans="1:6" x14ac:dyDescent="0.25">
      <c r="A130">
        <v>169.238</v>
      </c>
      <c r="B130">
        <v>137.88</v>
      </c>
      <c r="C130">
        <v>142.51650000000001</v>
      </c>
      <c r="D130">
        <v>179.88</v>
      </c>
      <c r="E130">
        <f t="shared" si="1"/>
        <v>137.88</v>
      </c>
      <c r="F130" t="str" cm="1">
        <f t="array" ref="F130">INDEX({"Pay as you go","Prediction_PACK","Prediction_Payasyougo","Competitor"},MATCH(MIN(A130:D130), A130:D130, 0))</f>
        <v>Prediction_PACK</v>
      </c>
    </row>
    <row r="131" spans="1:6" x14ac:dyDescent="0.25">
      <c r="A131">
        <v>143.41</v>
      </c>
      <c r="B131">
        <v>123.88</v>
      </c>
      <c r="C131">
        <v>119.52149999999999</v>
      </c>
      <c r="D131">
        <v>159.88</v>
      </c>
      <c r="E131">
        <f t="shared" si="1"/>
        <v>119.52149999999999</v>
      </c>
      <c r="F131" t="str" cm="1">
        <f t="array" ref="F131">INDEX({"Pay as you go","Prediction_PACK","Prediction_Payasyougo","Competitor"},MATCH(MIN(A131:D131), A131:D131, 0))</f>
        <v>Prediction_Payasyougo</v>
      </c>
    </row>
    <row r="132" spans="1:6" x14ac:dyDescent="0.25">
      <c r="A132">
        <v>107.483</v>
      </c>
      <c r="B132">
        <v>115.88</v>
      </c>
      <c r="C132">
        <v>112.52849999999999</v>
      </c>
      <c r="D132">
        <v>139.88</v>
      </c>
      <c r="E132">
        <f t="shared" si="1"/>
        <v>107.483</v>
      </c>
      <c r="F132" t="str" cm="1">
        <f t="array" ref="F132">INDEX({"Pay as you go","Prediction_PACK","Prediction_Payasyougo","Competitor"},MATCH(MIN(A132:D132), A132:D132, 0))</f>
        <v>Pay as you go</v>
      </c>
    </row>
    <row r="133" spans="1:6" x14ac:dyDescent="0.25">
      <c r="A133">
        <v>123.15900000000001</v>
      </c>
      <c r="B133">
        <v>117.88</v>
      </c>
      <c r="C133">
        <v>123.44999999999999</v>
      </c>
      <c r="D133">
        <v>159.88</v>
      </c>
      <c r="E133">
        <f t="shared" si="1"/>
        <v>117.88</v>
      </c>
      <c r="F133" t="str" cm="1">
        <f t="array" ref="F133">INDEX({"Pay as you go","Prediction_PACK","Prediction_Payasyougo","Competitor"},MATCH(MIN(A133:D133), A133:D133, 0))</f>
        <v>Prediction_PACK</v>
      </c>
    </row>
    <row r="134" spans="1:6" x14ac:dyDescent="0.25">
      <c r="A134">
        <v>117.71899999999999</v>
      </c>
      <c r="B134">
        <v>107.88</v>
      </c>
      <c r="C134">
        <v>107.88</v>
      </c>
      <c r="D134">
        <v>149.88</v>
      </c>
      <c r="E134">
        <f t="shared" si="1"/>
        <v>107.88</v>
      </c>
      <c r="F134" t="str" cm="1">
        <f t="array" ref="F134">INDEX({"Pay as you go","Prediction_PACK","Prediction_Payasyougo","Competitor"},MATCH(MIN(A134:D134), A134:D134, 0))</f>
        <v>Prediction_PACK</v>
      </c>
    </row>
    <row r="135" spans="1:6" x14ac:dyDescent="0.25">
      <c r="A135">
        <v>151.12500000000003</v>
      </c>
      <c r="B135">
        <v>135.88</v>
      </c>
      <c r="C135">
        <v>126.8385</v>
      </c>
      <c r="D135">
        <v>169.88</v>
      </c>
      <c r="E135">
        <f t="shared" si="1"/>
        <v>126.8385</v>
      </c>
      <c r="F135" t="str" cm="1">
        <f t="array" ref="F135">INDEX({"Pay as you go","Prediction_PACK","Prediction_Payasyougo","Competitor"},MATCH(MIN(A135:D135), A135:D135, 0))</f>
        <v>Prediction_Payasyougo</v>
      </c>
    </row>
    <row r="136" spans="1:6" x14ac:dyDescent="0.25">
      <c r="A136">
        <v>128.791</v>
      </c>
      <c r="B136">
        <v>119.88</v>
      </c>
      <c r="C136">
        <v>116.3805</v>
      </c>
      <c r="D136">
        <v>159.88</v>
      </c>
      <c r="E136">
        <f t="shared" si="1"/>
        <v>116.3805</v>
      </c>
      <c r="F136" t="str" cm="1">
        <f t="array" ref="F136">INDEX({"Pay as you go","Prediction_PACK","Prediction_Payasyougo","Competitor"},MATCH(MIN(A136:D136), A136:D136, 0))</f>
        <v>Prediction_Payasyougo</v>
      </c>
    </row>
    <row r="137" spans="1:6" x14ac:dyDescent="0.25">
      <c r="A137">
        <v>186.88400000000001</v>
      </c>
      <c r="B137">
        <v>147.88</v>
      </c>
      <c r="C137">
        <v>170.09699999999998</v>
      </c>
      <c r="D137">
        <v>189.88</v>
      </c>
      <c r="E137">
        <f t="shared" ref="E137:E200" si="2">MIN(A137:D137)</f>
        <v>147.88</v>
      </c>
      <c r="F137" t="str" cm="1">
        <f t="array" ref="F137">INDEX({"Pay as you go","Prediction_PACK","Prediction_Payasyougo","Competitor"},MATCH(MIN(A137:D137), A137:D137, 0))</f>
        <v>Prediction_PACK</v>
      </c>
    </row>
    <row r="138" spans="1:6" x14ac:dyDescent="0.25">
      <c r="A138">
        <v>118.01599999999999</v>
      </c>
      <c r="B138">
        <v>117.88</v>
      </c>
      <c r="C138">
        <v>117.1995</v>
      </c>
      <c r="D138">
        <v>159.88</v>
      </c>
      <c r="E138">
        <f t="shared" si="2"/>
        <v>117.1995</v>
      </c>
      <c r="F138" t="str" cm="1">
        <f t="array" ref="F138">INDEX({"Pay as you go","Prediction_PACK","Prediction_Payasyougo","Competitor"},MATCH(MIN(A138:D138), A138:D138, 0))</f>
        <v>Prediction_Payasyougo</v>
      </c>
    </row>
    <row r="139" spans="1:6" x14ac:dyDescent="0.25">
      <c r="A139">
        <v>111.244</v>
      </c>
      <c r="B139">
        <v>107.88</v>
      </c>
      <c r="C139">
        <v>107.88</v>
      </c>
      <c r="D139">
        <v>129.88</v>
      </c>
      <c r="E139">
        <f t="shared" si="2"/>
        <v>107.88</v>
      </c>
      <c r="F139" t="str" cm="1">
        <f t="array" ref="F139">INDEX({"Pay as you go","Prediction_PACK","Prediction_Payasyougo","Competitor"},MATCH(MIN(A139:D139), A139:D139, 0))</f>
        <v>Prediction_PACK</v>
      </c>
    </row>
    <row r="140" spans="1:6" x14ac:dyDescent="0.25">
      <c r="A140">
        <v>159.59299999999999</v>
      </c>
      <c r="B140">
        <v>131.88</v>
      </c>
      <c r="C140">
        <v>130.0155</v>
      </c>
      <c r="D140">
        <v>159.88</v>
      </c>
      <c r="E140">
        <f t="shared" si="2"/>
        <v>130.0155</v>
      </c>
      <c r="F140" t="str" cm="1">
        <f t="array" ref="F140">INDEX({"Pay as you go","Prediction_PACK","Prediction_Payasyougo","Competitor"},MATCH(MIN(A140:D140), A140:D140, 0))</f>
        <v>Prediction_Payasyougo</v>
      </c>
    </row>
    <row r="141" spans="1:6" x14ac:dyDescent="0.25">
      <c r="A141">
        <v>188.065</v>
      </c>
      <c r="B141">
        <v>137.88</v>
      </c>
      <c r="C141">
        <v>151.58849999999998</v>
      </c>
      <c r="D141">
        <v>189.88</v>
      </c>
      <c r="E141">
        <f t="shared" si="2"/>
        <v>137.88</v>
      </c>
      <c r="F141" t="str" cm="1">
        <f t="array" ref="F141">INDEX({"Pay as you go","Prediction_PACK","Prediction_Payasyougo","Competitor"},MATCH(MIN(A141:D141), A141:D141, 0))</f>
        <v>Prediction_PACK</v>
      </c>
    </row>
    <row r="142" spans="1:6" x14ac:dyDescent="0.25">
      <c r="A142">
        <v>152.07400000000001</v>
      </c>
      <c r="B142">
        <v>137.88</v>
      </c>
      <c r="C142">
        <v>164.24699999999999</v>
      </c>
      <c r="D142">
        <v>179.88</v>
      </c>
      <c r="E142">
        <f t="shared" si="2"/>
        <v>137.88</v>
      </c>
      <c r="F142" t="str" cm="1">
        <f t="array" ref="F142">INDEX({"Pay as you go","Prediction_PACK","Prediction_Payasyougo","Competitor"},MATCH(MIN(A142:D142), A142:D142, 0))</f>
        <v>Prediction_PACK</v>
      </c>
    </row>
    <row r="143" spans="1:6" x14ac:dyDescent="0.25">
      <c r="A143">
        <v>129.07400000000001</v>
      </c>
      <c r="B143">
        <v>111.88</v>
      </c>
      <c r="C143">
        <v>110.8365</v>
      </c>
      <c r="D143">
        <v>154.88</v>
      </c>
      <c r="E143">
        <f t="shared" si="2"/>
        <v>110.8365</v>
      </c>
      <c r="F143" t="str" cm="1">
        <f t="array" ref="F143">INDEX({"Pay as you go","Prediction_PACK","Prediction_Payasyougo","Competitor"},MATCH(MIN(A143:D143), A143:D143, 0))</f>
        <v>Prediction_Payasyougo</v>
      </c>
    </row>
    <row r="144" spans="1:6" x14ac:dyDescent="0.25">
      <c r="A144">
        <v>110.494</v>
      </c>
      <c r="B144">
        <v>115.88</v>
      </c>
      <c r="C144">
        <v>115.90799999999999</v>
      </c>
      <c r="D144">
        <v>139.88</v>
      </c>
      <c r="E144">
        <f t="shared" si="2"/>
        <v>110.494</v>
      </c>
      <c r="F144" t="str" cm="1">
        <f t="array" ref="F144">INDEX({"Pay as you go","Prediction_PACK","Prediction_Payasyougo","Competitor"},MATCH(MIN(A144:D144), A144:D144, 0))</f>
        <v>Pay as you go</v>
      </c>
    </row>
    <row r="145" spans="1:6" x14ac:dyDescent="0.25">
      <c r="A145">
        <v>167.31900000000002</v>
      </c>
      <c r="B145">
        <v>147.88</v>
      </c>
      <c r="C145">
        <v>184.46549999999999</v>
      </c>
      <c r="D145">
        <v>189.88</v>
      </c>
      <c r="E145">
        <f t="shared" si="2"/>
        <v>147.88</v>
      </c>
      <c r="F145" t="str" cm="1">
        <f t="array" ref="F145">INDEX({"Pay as you go","Prediction_PACK","Prediction_Payasyougo","Competitor"},MATCH(MIN(A145:D145), A145:D145, 0))</f>
        <v>Prediction_PACK</v>
      </c>
    </row>
    <row r="146" spans="1:6" x14ac:dyDescent="0.25">
      <c r="A146">
        <v>117</v>
      </c>
      <c r="B146">
        <v>107.88</v>
      </c>
      <c r="C146">
        <v>107.88</v>
      </c>
      <c r="D146">
        <v>154.88</v>
      </c>
      <c r="E146">
        <f t="shared" si="2"/>
        <v>107.88</v>
      </c>
      <c r="F146" t="str" cm="1">
        <f t="array" ref="F146">INDEX({"Pay as you go","Prediction_PACK","Prediction_Payasyougo","Competitor"},MATCH(MIN(A146:D146), A146:D146, 0))</f>
        <v>Prediction_PACK</v>
      </c>
    </row>
    <row r="147" spans="1:6" x14ac:dyDescent="0.25">
      <c r="A147">
        <v>82.813999999999993</v>
      </c>
      <c r="B147">
        <v>107.88</v>
      </c>
      <c r="C147">
        <v>107.88</v>
      </c>
      <c r="D147">
        <v>129.88</v>
      </c>
      <c r="E147">
        <f t="shared" si="2"/>
        <v>82.813999999999993</v>
      </c>
      <c r="F147" t="str" cm="1">
        <f t="array" ref="F147">INDEX({"Pay as you go","Prediction_PACK","Prediction_Payasyougo","Competitor"},MATCH(MIN(A147:D147), A147:D147, 0))</f>
        <v>Pay as you go</v>
      </c>
    </row>
    <row r="148" spans="1:6" x14ac:dyDescent="0.25">
      <c r="A148">
        <v>173.73499999999999</v>
      </c>
      <c r="B148">
        <v>147.88</v>
      </c>
      <c r="C148">
        <v>172.815</v>
      </c>
      <c r="D148">
        <v>189.88</v>
      </c>
      <c r="E148">
        <f t="shared" si="2"/>
        <v>147.88</v>
      </c>
      <c r="F148" t="str" cm="1">
        <f t="array" ref="F148">INDEX({"Pay as you go","Prediction_PACK","Prediction_Payasyougo","Competitor"},MATCH(MIN(A148:D148), A148:D148, 0))</f>
        <v>Prediction_PACK</v>
      </c>
    </row>
    <row r="149" spans="1:6" x14ac:dyDescent="0.25">
      <c r="A149">
        <v>100.819</v>
      </c>
      <c r="B149">
        <v>111.88</v>
      </c>
      <c r="C149">
        <v>111.3</v>
      </c>
      <c r="D149">
        <v>139.88</v>
      </c>
      <c r="E149">
        <f t="shared" si="2"/>
        <v>100.819</v>
      </c>
      <c r="F149" t="str" cm="1">
        <f t="array" ref="F149">INDEX({"Pay as you go","Prediction_PACK","Prediction_Payasyougo","Competitor"},MATCH(MIN(A149:D149), A149:D149, 0))</f>
        <v>Pay as you go</v>
      </c>
    </row>
    <row r="150" spans="1:6" x14ac:dyDescent="0.25">
      <c r="A150">
        <v>81.89800000000001</v>
      </c>
      <c r="B150">
        <v>107.88</v>
      </c>
      <c r="C150">
        <v>107.88</v>
      </c>
      <c r="D150">
        <v>134.88</v>
      </c>
      <c r="E150">
        <f t="shared" si="2"/>
        <v>81.89800000000001</v>
      </c>
      <c r="F150" t="str" cm="1">
        <f t="array" ref="F150">INDEX({"Pay as you go","Prediction_PACK","Prediction_Payasyougo","Competitor"},MATCH(MIN(A150:D150), A150:D150, 0))</f>
        <v>Pay as you go</v>
      </c>
    </row>
    <row r="151" spans="1:6" x14ac:dyDescent="0.25">
      <c r="A151">
        <v>147.76900000000001</v>
      </c>
      <c r="B151">
        <v>137.88</v>
      </c>
      <c r="C151">
        <v>135.51</v>
      </c>
      <c r="D151">
        <v>179.88</v>
      </c>
      <c r="E151">
        <f t="shared" si="2"/>
        <v>135.51</v>
      </c>
      <c r="F151" t="str" cm="1">
        <f t="array" ref="F151">INDEX({"Pay as you go","Prediction_PACK","Prediction_Payasyougo","Competitor"},MATCH(MIN(A151:D151), A151:D151, 0))</f>
        <v>Prediction_Payasyougo</v>
      </c>
    </row>
    <row r="152" spans="1:6" x14ac:dyDescent="0.25">
      <c r="A152">
        <v>165.98600000000002</v>
      </c>
      <c r="B152">
        <v>122.88</v>
      </c>
      <c r="C152">
        <v>133.74599999999998</v>
      </c>
      <c r="D152">
        <v>159.88</v>
      </c>
      <c r="E152">
        <f t="shared" si="2"/>
        <v>122.88</v>
      </c>
      <c r="F152" t="str" cm="1">
        <f t="array" ref="F152">INDEX({"Pay as you go","Prediction_PACK","Prediction_Payasyougo","Competitor"},MATCH(MIN(A152:D152), A152:D152, 0))</f>
        <v>Prediction_PACK</v>
      </c>
    </row>
    <row r="153" spans="1:6" x14ac:dyDescent="0.25">
      <c r="A153">
        <v>164.85300000000001</v>
      </c>
      <c r="B153">
        <v>127.88</v>
      </c>
      <c r="C153">
        <v>146.73749999999998</v>
      </c>
      <c r="D153">
        <v>179.88</v>
      </c>
      <c r="E153">
        <f t="shared" si="2"/>
        <v>127.88</v>
      </c>
      <c r="F153" t="str" cm="1">
        <f t="array" ref="F153">INDEX({"Pay as you go","Prediction_PACK","Prediction_Payasyougo","Competitor"},MATCH(MIN(A153:D153), A153:D153, 0))</f>
        <v>Prediction_PACK</v>
      </c>
    </row>
    <row r="154" spans="1:6" x14ac:dyDescent="0.25">
      <c r="A154">
        <v>187.24199999999999</v>
      </c>
      <c r="B154">
        <v>147.88</v>
      </c>
      <c r="C154">
        <v>156.66449999999998</v>
      </c>
      <c r="D154">
        <v>199.88</v>
      </c>
      <c r="E154">
        <f t="shared" si="2"/>
        <v>147.88</v>
      </c>
      <c r="F154" t="str" cm="1">
        <f t="array" ref="F154">INDEX({"Pay as you go","Prediction_PACK","Prediction_Payasyougo","Competitor"},MATCH(MIN(A154:D154), A154:D154, 0))</f>
        <v>Prediction_PACK</v>
      </c>
    </row>
    <row r="155" spans="1:6" x14ac:dyDescent="0.25">
      <c r="A155">
        <v>130.84199999999998</v>
      </c>
      <c r="B155">
        <v>119.88</v>
      </c>
      <c r="C155">
        <v>114.5715</v>
      </c>
      <c r="D155">
        <v>149.88</v>
      </c>
      <c r="E155">
        <f t="shared" si="2"/>
        <v>114.5715</v>
      </c>
      <c r="F155" t="str" cm="1">
        <f t="array" ref="F155">INDEX({"Pay as you go","Prediction_PACK","Prediction_Payasyougo","Competitor"},MATCH(MIN(A155:D155), A155:D155, 0))</f>
        <v>Prediction_Payasyougo</v>
      </c>
    </row>
    <row r="156" spans="1:6" x14ac:dyDescent="0.25">
      <c r="A156">
        <v>91.661000000000001</v>
      </c>
      <c r="B156">
        <v>115.88</v>
      </c>
      <c r="C156">
        <v>112.884</v>
      </c>
      <c r="D156">
        <v>139.88</v>
      </c>
      <c r="E156">
        <f t="shared" si="2"/>
        <v>91.661000000000001</v>
      </c>
      <c r="F156" t="str" cm="1">
        <f t="array" ref="F156">INDEX({"Pay as you go","Prediction_PACK","Prediction_Payasyougo","Competitor"},MATCH(MIN(A156:D156), A156:D156, 0))</f>
        <v>Pay as you go</v>
      </c>
    </row>
    <row r="157" spans="1:6" x14ac:dyDescent="0.25">
      <c r="A157">
        <v>110.06100000000001</v>
      </c>
      <c r="B157">
        <v>115.88</v>
      </c>
      <c r="C157">
        <v>115.854</v>
      </c>
      <c r="D157">
        <v>139.88</v>
      </c>
      <c r="E157">
        <f t="shared" si="2"/>
        <v>110.06100000000001</v>
      </c>
      <c r="F157" t="str" cm="1">
        <f t="array" ref="F157">INDEX({"Pay as you go","Prediction_PACK","Prediction_Payasyougo","Competitor"},MATCH(MIN(A157:D157), A157:D157, 0))</f>
        <v>Pay as you go</v>
      </c>
    </row>
    <row r="158" spans="1:6" x14ac:dyDescent="0.25">
      <c r="A158">
        <v>111.81100000000001</v>
      </c>
      <c r="B158">
        <v>107.88</v>
      </c>
      <c r="C158">
        <v>107.88</v>
      </c>
      <c r="D158">
        <v>139.88</v>
      </c>
      <c r="E158">
        <f t="shared" si="2"/>
        <v>107.88</v>
      </c>
      <c r="F158" t="str" cm="1">
        <f t="array" ref="F158">INDEX({"Pay as you go","Prediction_PACK","Prediction_Payasyougo","Competitor"},MATCH(MIN(A158:D158), A158:D158, 0))</f>
        <v>Prediction_PACK</v>
      </c>
    </row>
    <row r="159" spans="1:6" x14ac:dyDescent="0.25">
      <c r="A159">
        <v>72.88600000000001</v>
      </c>
      <c r="B159">
        <v>107.88</v>
      </c>
      <c r="C159">
        <v>107.88</v>
      </c>
      <c r="D159">
        <v>129.88</v>
      </c>
      <c r="E159">
        <f t="shared" si="2"/>
        <v>72.88600000000001</v>
      </c>
      <c r="F159" t="str" cm="1">
        <f t="array" ref="F159">INDEX({"Pay as you go","Prediction_PACK","Prediction_Payasyougo","Competitor"},MATCH(MIN(A159:D159), A159:D159, 0))</f>
        <v>Pay as you go</v>
      </c>
    </row>
    <row r="160" spans="1:6" x14ac:dyDescent="0.25">
      <c r="A160">
        <v>175.47900000000001</v>
      </c>
      <c r="B160">
        <v>157.88</v>
      </c>
      <c r="C160">
        <v>186.14849999999998</v>
      </c>
      <c r="D160">
        <v>189.88</v>
      </c>
      <c r="E160">
        <f t="shared" si="2"/>
        <v>157.88</v>
      </c>
      <c r="F160" t="str" cm="1">
        <f t="array" ref="F160">INDEX({"Pay as you go","Prediction_PACK","Prediction_Payasyougo","Competitor"},MATCH(MIN(A160:D160), A160:D160, 0))</f>
        <v>Prediction_PACK</v>
      </c>
    </row>
    <row r="161" spans="1:6" x14ac:dyDescent="0.25">
      <c r="A161">
        <v>176.25399999999999</v>
      </c>
      <c r="B161">
        <v>147.88</v>
      </c>
      <c r="C161">
        <v>176.25749999999999</v>
      </c>
      <c r="D161">
        <v>189.88</v>
      </c>
      <c r="E161">
        <f t="shared" si="2"/>
        <v>147.88</v>
      </c>
      <c r="F161" t="str" cm="1">
        <f t="array" ref="F161">INDEX({"Pay as you go","Prediction_PACK","Prediction_Payasyougo","Competitor"},MATCH(MIN(A161:D161), A161:D161, 0))</f>
        <v>Prediction_PACK</v>
      </c>
    </row>
    <row r="162" spans="1:6" x14ac:dyDescent="0.25">
      <c r="A162">
        <v>131.625</v>
      </c>
      <c r="B162">
        <v>111.88</v>
      </c>
      <c r="C162">
        <v>110.949</v>
      </c>
      <c r="D162">
        <v>139.88</v>
      </c>
      <c r="E162">
        <f t="shared" si="2"/>
        <v>110.949</v>
      </c>
      <c r="F162" t="str" cm="1">
        <f t="array" ref="F162">INDEX({"Pay as you go","Prediction_PACK","Prediction_Payasyougo","Competitor"},MATCH(MIN(A162:D162), A162:D162, 0))</f>
        <v>Prediction_Payasyougo</v>
      </c>
    </row>
    <row r="163" spans="1:6" x14ac:dyDescent="0.25">
      <c r="A163">
        <v>146.38500000000002</v>
      </c>
      <c r="B163">
        <v>107.88</v>
      </c>
      <c r="C163">
        <v>107.88</v>
      </c>
      <c r="D163">
        <v>159.88</v>
      </c>
      <c r="E163">
        <f t="shared" si="2"/>
        <v>107.88</v>
      </c>
      <c r="F163" t="str" cm="1">
        <f t="array" ref="F163">INDEX({"Pay as you go","Prediction_PACK","Prediction_Payasyougo","Competitor"},MATCH(MIN(A163:D163), A163:D163, 0))</f>
        <v>Prediction_PACK</v>
      </c>
    </row>
    <row r="164" spans="1:6" x14ac:dyDescent="0.25">
      <c r="A164">
        <v>145.97499999999999</v>
      </c>
      <c r="B164">
        <v>127.88</v>
      </c>
      <c r="C164">
        <v>129.56549999999999</v>
      </c>
      <c r="D164">
        <v>149.88</v>
      </c>
      <c r="E164">
        <f t="shared" si="2"/>
        <v>127.88</v>
      </c>
      <c r="F164" t="str" cm="1">
        <f t="array" ref="F164">INDEX({"Pay as you go","Prediction_PACK","Prediction_Payasyougo","Competitor"},MATCH(MIN(A164:D164), A164:D164, 0))</f>
        <v>Prediction_PACK</v>
      </c>
    </row>
    <row r="165" spans="1:6" x14ac:dyDescent="0.25">
      <c r="A165">
        <v>116.667</v>
      </c>
      <c r="B165">
        <v>107.88</v>
      </c>
      <c r="C165">
        <v>107.88</v>
      </c>
      <c r="D165">
        <v>144.88</v>
      </c>
      <c r="E165">
        <f t="shared" si="2"/>
        <v>107.88</v>
      </c>
      <c r="F165" t="str" cm="1">
        <f t="array" ref="F165">INDEX({"Pay as you go","Prediction_PACK","Prediction_Payasyougo","Competitor"},MATCH(MIN(A165:D165), A165:D165, 0))</f>
        <v>Prediction_PACK</v>
      </c>
    </row>
    <row r="166" spans="1:6" x14ac:dyDescent="0.25">
      <c r="A166">
        <v>108.05500000000001</v>
      </c>
      <c r="B166">
        <v>107.88</v>
      </c>
      <c r="C166">
        <v>107.88</v>
      </c>
      <c r="D166">
        <v>154.88</v>
      </c>
      <c r="E166">
        <f t="shared" si="2"/>
        <v>107.88</v>
      </c>
      <c r="F166" t="str" cm="1">
        <f t="array" ref="F166">INDEX({"Pay as you go","Prediction_PACK","Prediction_Payasyougo","Competitor"},MATCH(MIN(A166:D166), A166:D166, 0))</f>
        <v>Prediction_PACK</v>
      </c>
    </row>
    <row r="167" spans="1:6" x14ac:dyDescent="0.25">
      <c r="A167">
        <v>114.432</v>
      </c>
      <c r="B167">
        <v>117.88</v>
      </c>
      <c r="C167">
        <v>120.78149999999999</v>
      </c>
      <c r="D167">
        <v>149.88</v>
      </c>
      <c r="E167">
        <f t="shared" si="2"/>
        <v>114.432</v>
      </c>
      <c r="F167" t="str" cm="1">
        <f t="array" ref="F167">INDEX({"Pay as you go","Prediction_PACK","Prediction_Payasyougo","Competitor"},MATCH(MIN(A167:D167), A167:D167, 0))</f>
        <v>Pay as you go</v>
      </c>
    </row>
    <row r="168" spans="1:6" x14ac:dyDescent="0.25">
      <c r="A168">
        <v>140.49599999999998</v>
      </c>
      <c r="B168">
        <v>131.88</v>
      </c>
      <c r="C168">
        <v>130.083</v>
      </c>
      <c r="D168">
        <v>159.88</v>
      </c>
      <c r="E168">
        <f t="shared" si="2"/>
        <v>130.083</v>
      </c>
      <c r="F168" t="str" cm="1">
        <f t="array" ref="F168">INDEX({"Pay as you go","Prediction_PACK","Prediction_Payasyougo","Competitor"},MATCH(MIN(A168:D168), A168:D168, 0))</f>
        <v>Prediction_Payasyougo</v>
      </c>
    </row>
    <row r="169" spans="1:6" x14ac:dyDescent="0.25">
      <c r="A169">
        <v>140.20800000000003</v>
      </c>
      <c r="B169">
        <v>123.88</v>
      </c>
      <c r="C169">
        <v>121.9785</v>
      </c>
      <c r="D169">
        <v>159.88</v>
      </c>
      <c r="E169">
        <f t="shared" si="2"/>
        <v>121.9785</v>
      </c>
      <c r="F169" t="str" cm="1">
        <f t="array" ref="F169">INDEX({"Pay as you go","Prediction_PACK","Prediction_Payasyougo","Competitor"},MATCH(MIN(A169:D169), A169:D169, 0))</f>
        <v>Prediction_Payasyougo</v>
      </c>
    </row>
    <row r="170" spans="1:6" x14ac:dyDescent="0.25">
      <c r="A170">
        <v>132.51500000000001</v>
      </c>
      <c r="B170">
        <v>127.88</v>
      </c>
      <c r="C170">
        <v>125.322</v>
      </c>
      <c r="D170">
        <v>169.88</v>
      </c>
      <c r="E170">
        <f t="shared" si="2"/>
        <v>125.322</v>
      </c>
      <c r="F170" t="str" cm="1">
        <f t="array" ref="F170">INDEX({"Pay as you go","Prediction_PACK","Prediction_Payasyougo","Competitor"},MATCH(MIN(A170:D170), A170:D170, 0))</f>
        <v>Prediction_Payasyougo</v>
      </c>
    </row>
    <row r="171" spans="1:6" x14ac:dyDescent="0.25">
      <c r="A171">
        <v>182.077</v>
      </c>
      <c r="B171">
        <v>147.88</v>
      </c>
      <c r="C171">
        <v>179.16449999999998</v>
      </c>
      <c r="D171">
        <v>199.88</v>
      </c>
      <c r="E171">
        <f t="shared" si="2"/>
        <v>147.88</v>
      </c>
      <c r="F171" t="str" cm="1">
        <f t="array" ref="F171">INDEX({"Pay as you go","Prediction_PACK","Prediction_Payasyougo","Competitor"},MATCH(MIN(A171:D171), A171:D171, 0))</f>
        <v>Prediction_PACK</v>
      </c>
    </row>
    <row r="172" spans="1:6" x14ac:dyDescent="0.25">
      <c r="A172">
        <v>160.648</v>
      </c>
      <c r="B172">
        <v>137.88</v>
      </c>
      <c r="C172">
        <v>159.405</v>
      </c>
      <c r="D172">
        <v>179.88</v>
      </c>
      <c r="E172">
        <f t="shared" si="2"/>
        <v>137.88</v>
      </c>
      <c r="F172" t="str" cm="1">
        <f t="array" ref="F172">INDEX({"Pay as you go","Prediction_PACK","Prediction_Payasyougo","Competitor"},MATCH(MIN(A172:D172), A172:D172, 0))</f>
        <v>Prediction_PACK</v>
      </c>
    </row>
    <row r="173" spans="1:6" x14ac:dyDescent="0.25">
      <c r="A173">
        <v>128.88900000000001</v>
      </c>
      <c r="B173">
        <v>111.88</v>
      </c>
      <c r="C173">
        <v>108.8115</v>
      </c>
      <c r="D173">
        <v>154.88</v>
      </c>
      <c r="E173">
        <f t="shared" si="2"/>
        <v>108.8115</v>
      </c>
      <c r="F173" t="str" cm="1">
        <f t="array" ref="F173">INDEX({"Pay as you go","Prediction_PACK","Prediction_Payasyougo","Competitor"},MATCH(MIN(A173:D173), A173:D173, 0))</f>
        <v>Prediction_Payasyougo</v>
      </c>
    </row>
    <row r="174" spans="1:6" x14ac:dyDescent="0.25">
      <c r="A174">
        <v>122.71600000000001</v>
      </c>
      <c r="B174">
        <v>111.88</v>
      </c>
      <c r="C174">
        <v>110.80499999999999</v>
      </c>
      <c r="D174">
        <v>144.88</v>
      </c>
      <c r="E174">
        <f t="shared" si="2"/>
        <v>110.80499999999999</v>
      </c>
      <c r="F174" t="str" cm="1">
        <f t="array" ref="F174">INDEX({"Pay as you go","Prediction_PACK","Prediction_Payasyougo","Competitor"},MATCH(MIN(A174:D174), A174:D174, 0))</f>
        <v>Prediction_Payasyougo</v>
      </c>
    </row>
    <row r="175" spans="1:6" x14ac:dyDescent="0.25">
      <c r="A175">
        <v>116.254</v>
      </c>
      <c r="B175">
        <v>119.88</v>
      </c>
      <c r="C175">
        <v>116.07</v>
      </c>
      <c r="D175">
        <v>159.88</v>
      </c>
      <c r="E175">
        <f t="shared" si="2"/>
        <v>116.07</v>
      </c>
      <c r="F175" t="str" cm="1">
        <f t="array" ref="F175">INDEX({"Pay as you go","Prediction_PACK","Prediction_Payasyougo","Competitor"},MATCH(MIN(A175:D175), A175:D175, 0))</f>
        <v>Prediction_Payasyougo</v>
      </c>
    </row>
    <row r="176" spans="1:6" x14ac:dyDescent="0.25">
      <c r="A176">
        <v>145.81799999999998</v>
      </c>
      <c r="B176">
        <v>137.88</v>
      </c>
      <c r="C176">
        <v>179.142</v>
      </c>
      <c r="D176">
        <v>189.88</v>
      </c>
      <c r="E176">
        <f t="shared" si="2"/>
        <v>137.88</v>
      </c>
      <c r="F176" t="str" cm="1">
        <f t="array" ref="F176">INDEX({"Pay as you go","Prediction_PACK","Prediction_Payasyougo","Competitor"},MATCH(MIN(A176:D176), A176:D176, 0))</f>
        <v>Prediction_PACK</v>
      </c>
    </row>
    <row r="177" spans="1:6" x14ac:dyDescent="0.25">
      <c r="A177">
        <v>117.926</v>
      </c>
      <c r="B177">
        <v>107.88</v>
      </c>
      <c r="C177">
        <v>107.88</v>
      </c>
      <c r="D177">
        <v>129.88</v>
      </c>
      <c r="E177">
        <f t="shared" si="2"/>
        <v>107.88</v>
      </c>
      <c r="F177" t="str" cm="1">
        <f t="array" ref="F177">INDEX({"Pay as you go","Prediction_PACK","Prediction_Payasyougo","Competitor"},MATCH(MIN(A177:D177), A177:D177, 0))</f>
        <v>Prediction_PACK</v>
      </c>
    </row>
    <row r="178" spans="1:6" x14ac:dyDescent="0.25">
      <c r="A178">
        <v>112.959</v>
      </c>
      <c r="B178">
        <v>117.88</v>
      </c>
      <c r="C178">
        <v>128.19299999999998</v>
      </c>
      <c r="D178">
        <v>149.88</v>
      </c>
      <c r="E178">
        <f t="shared" si="2"/>
        <v>112.959</v>
      </c>
      <c r="F178" t="str" cm="1">
        <f t="array" ref="F178">INDEX({"Pay as you go","Prediction_PACK","Prediction_Payasyougo","Competitor"},MATCH(MIN(A178:D178), A178:D178, 0))</f>
        <v>Pay as you go</v>
      </c>
    </row>
    <row r="179" spans="1:6" x14ac:dyDescent="0.25">
      <c r="A179">
        <v>131.45600000000002</v>
      </c>
      <c r="B179">
        <v>127.88</v>
      </c>
      <c r="C179">
        <v>125.0115</v>
      </c>
      <c r="D179">
        <v>159.88</v>
      </c>
      <c r="E179">
        <f t="shared" si="2"/>
        <v>125.0115</v>
      </c>
      <c r="F179" t="str" cm="1">
        <f t="array" ref="F179">INDEX({"Pay as you go","Prediction_PACK","Prediction_Payasyougo","Competitor"},MATCH(MIN(A179:D179), A179:D179, 0))</f>
        <v>Prediction_Payasyougo</v>
      </c>
    </row>
    <row r="180" spans="1:6" x14ac:dyDescent="0.25">
      <c r="A180">
        <v>115.23899999999999</v>
      </c>
      <c r="B180">
        <v>123.88</v>
      </c>
      <c r="C180">
        <v>118.67999999999999</v>
      </c>
      <c r="D180">
        <v>149.88</v>
      </c>
      <c r="E180">
        <f t="shared" si="2"/>
        <v>115.23899999999999</v>
      </c>
      <c r="F180" t="str" cm="1">
        <f t="array" ref="F180">INDEX({"Pay as you go","Prediction_PACK","Prediction_Payasyougo","Competitor"},MATCH(MIN(A180:D180), A180:D180, 0))</f>
        <v>Pay as you go</v>
      </c>
    </row>
    <row r="181" spans="1:6" x14ac:dyDescent="0.25">
      <c r="A181">
        <v>143.64499999999998</v>
      </c>
      <c r="B181">
        <v>127.88</v>
      </c>
      <c r="C181">
        <v>129.8175</v>
      </c>
      <c r="D181">
        <v>169.88</v>
      </c>
      <c r="E181">
        <f t="shared" si="2"/>
        <v>127.88</v>
      </c>
      <c r="F181" t="str" cm="1">
        <f t="array" ref="F181">INDEX({"Pay as you go","Prediction_PACK","Prediction_Payasyougo","Competitor"},MATCH(MIN(A181:D181), A181:D181, 0))</f>
        <v>Prediction_PACK</v>
      </c>
    </row>
    <row r="182" spans="1:6" x14ac:dyDescent="0.25">
      <c r="A182">
        <v>211.709</v>
      </c>
      <c r="B182">
        <v>139.88</v>
      </c>
      <c r="C182">
        <v>130.3305</v>
      </c>
      <c r="D182">
        <v>209.88</v>
      </c>
      <c r="E182">
        <f t="shared" si="2"/>
        <v>130.3305</v>
      </c>
      <c r="F182" t="str" cm="1">
        <f t="array" ref="F182">INDEX({"Pay as you go","Prediction_PACK","Prediction_Payasyougo","Competitor"},MATCH(MIN(A182:D182), A182:D182, 0))</f>
        <v>Prediction_Payasyougo</v>
      </c>
    </row>
    <row r="183" spans="1:6" x14ac:dyDescent="0.25">
      <c r="A183">
        <v>88.045999999999992</v>
      </c>
      <c r="B183">
        <v>107.88</v>
      </c>
      <c r="C183">
        <v>107.88</v>
      </c>
      <c r="D183">
        <v>124.88</v>
      </c>
      <c r="E183">
        <f t="shared" si="2"/>
        <v>88.045999999999992</v>
      </c>
      <c r="F183" t="str" cm="1">
        <f t="array" ref="F183">INDEX({"Pay as you go","Prediction_PACK","Prediction_Payasyougo","Competitor"},MATCH(MIN(A183:D183), A183:D183, 0))</f>
        <v>Pay as you go</v>
      </c>
    </row>
    <row r="184" spans="1:6" x14ac:dyDescent="0.25">
      <c r="A184">
        <v>122.86499999999999</v>
      </c>
      <c r="B184">
        <v>107.88</v>
      </c>
      <c r="C184">
        <v>107.88</v>
      </c>
      <c r="D184">
        <v>149.88</v>
      </c>
      <c r="E184">
        <f t="shared" si="2"/>
        <v>107.88</v>
      </c>
      <c r="F184" t="str" cm="1">
        <f t="array" ref="F184">INDEX({"Pay as you go","Prediction_PACK","Prediction_Payasyougo","Competitor"},MATCH(MIN(A184:D184), A184:D184, 0))</f>
        <v>Prediction_PACK</v>
      </c>
    </row>
    <row r="185" spans="1:6" x14ac:dyDescent="0.25">
      <c r="A185">
        <v>149.89400000000001</v>
      </c>
      <c r="B185">
        <v>127.88</v>
      </c>
      <c r="C185">
        <v>133.44450000000001</v>
      </c>
      <c r="D185">
        <v>159.88</v>
      </c>
      <c r="E185">
        <f t="shared" si="2"/>
        <v>127.88</v>
      </c>
      <c r="F185" t="str" cm="1">
        <f t="array" ref="F185">INDEX({"Pay as you go","Prediction_PACK","Prediction_Payasyougo","Competitor"},MATCH(MIN(A185:D185), A185:D185, 0))</f>
        <v>Prediction_PACK</v>
      </c>
    </row>
    <row r="186" spans="1:6" x14ac:dyDescent="0.25">
      <c r="A186">
        <v>104.3</v>
      </c>
      <c r="B186">
        <v>117.88</v>
      </c>
      <c r="C186">
        <v>118.40549999999999</v>
      </c>
      <c r="D186">
        <v>139.88</v>
      </c>
      <c r="E186">
        <f t="shared" si="2"/>
        <v>104.3</v>
      </c>
      <c r="F186" t="str" cm="1">
        <f t="array" ref="F186">INDEX({"Pay as you go","Prediction_PACK","Prediction_Payasyougo","Competitor"},MATCH(MIN(A186:D186), A186:D186, 0))</f>
        <v>Pay as you go</v>
      </c>
    </row>
    <row r="187" spans="1:6" x14ac:dyDescent="0.25">
      <c r="A187">
        <v>112.444</v>
      </c>
      <c r="B187">
        <v>115.88</v>
      </c>
      <c r="C187">
        <v>115.143</v>
      </c>
      <c r="D187">
        <v>149.88</v>
      </c>
      <c r="E187">
        <f t="shared" si="2"/>
        <v>112.444</v>
      </c>
      <c r="F187" t="str" cm="1">
        <f t="array" ref="F187">INDEX({"Pay as you go","Prediction_PACK","Prediction_Payasyougo","Competitor"},MATCH(MIN(A187:D187), A187:D187, 0))</f>
        <v>Pay as you go</v>
      </c>
    </row>
    <row r="188" spans="1:6" x14ac:dyDescent="0.25">
      <c r="A188">
        <v>126.49100000000001</v>
      </c>
      <c r="B188">
        <v>117.88</v>
      </c>
      <c r="C188">
        <v>116.93849999999999</v>
      </c>
      <c r="D188">
        <v>149.88</v>
      </c>
      <c r="E188">
        <f t="shared" si="2"/>
        <v>116.93849999999999</v>
      </c>
      <c r="F188" t="str" cm="1">
        <f t="array" ref="F188">INDEX({"Pay as you go","Prediction_PACK","Prediction_Payasyougo","Competitor"},MATCH(MIN(A188:D188), A188:D188, 0))</f>
        <v>Prediction_Payasyougo</v>
      </c>
    </row>
    <row r="189" spans="1:6" x14ac:dyDescent="0.25">
      <c r="A189">
        <v>147.13899999999998</v>
      </c>
      <c r="B189">
        <v>137.88</v>
      </c>
      <c r="C189">
        <v>142.7955</v>
      </c>
      <c r="D189">
        <v>169.88</v>
      </c>
      <c r="E189">
        <f t="shared" si="2"/>
        <v>137.88</v>
      </c>
      <c r="F189" t="str" cm="1">
        <f t="array" ref="F189">INDEX({"Pay as you go","Prediction_PACK","Prediction_Payasyougo","Competitor"},MATCH(MIN(A189:D189), A189:D189, 0))</f>
        <v>Prediction_PACK</v>
      </c>
    </row>
    <row r="190" spans="1:6" x14ac:dyDescent="0.25">
      <c r="A190">
        <v>128.83000000000001</v>
      </c>
      <c r="B190">
        <v>137.88</v>
      </c>
      <c r="C190">
        <v>154.89150000000001</v>
      </c>
      <c r="D190">
        <v>159.88</v>
      </c>
      <c r="E190">
        <f t="shared" si="2"/>
        <v>128.83000000000001</v>
      </c>
      <c r="F190" t="str" cm="1">
        <f t="array" ref="F190">INDEX({"Pay as you go","Prediction_PACK","Prediction_Payasyougo","Competitor"},MATCH(MIN(A190:D190), A190:D190, 0))</f>
        <v>Pay as you go</v>
      </c>
    </row>
    <row r="191" spans="1:6" x14ac:dyDescent="0.25">
      <c r="A191">
        <v>131.708</v>
      </c>
      <c r="B191">
        <v>127.88</v>
      </c>
      <c r="C191">
        <v>133.548</v>
      </c>
      <c r="D191">
        <v>179.88</v>
      </c>
      <c r="E191">
        <f t="shared" si="2"/>
        <v>127.88</v>
      </c>
      <c r="F191" t="str" cm="1">
        <f t="array" ref="F191">INDEX({"Pay as you go","Prediction_PACK","Prediction_Payasyougo","Competitor"},MATCH(MIN(A191:D191), A191:D191, 0))</f>
        <v>Prediction_PACK</v>
      </c>
    </row>
    <row r="192" spans="1:6" x14ac:dyDescent="0.25">
      <c r="A192">
        <v>96.072000000000003</v>
      </c>
      <c r="B192">
        <v>107.88</v>
      </c>
      <c r="C192">
        <v>107.88</v>
      </c>
      <c r="D192">
        <v>129.88</v>
      </c>
      <c r="E192">
        <f t="shared" si="2"/>
        <v>96.072000000000003</v>
      </c>
      <c r="F192" t="str" cm="1">
        <f t="array" ref="F192">INDEX({"Pay as you go","Prediction_PACK","Prediction_Payasyougo","Competitor"},MATCH(MIN(A192:D192), A192:D192, 0))</f>
        <v>Pay as you go</v>
      </c>
    </row>
    <row r="193" spans="1:6" x14ac:dyDescent="0.25">
      <c r="A193">
        <v>166.11100000000002</v>
      </c>
      <c r="B193">
        <v>147.88</v>
      </c>
      <c r="C193">
        <v>171.95099999999999</v>
      </c>
      <c r="D193">
        <v>179.88</v>
      </c>
      <c r="E193">
        <f t="shared" si="2"/>
        <v>147.88</v>
      </c>
      <c r="F193" t="str" cm="1">
        <f t="array" ref="F193">INDEX({"Pay as you go","Prediction_PACK","Prediction_Payasyougo","Competitor"},MATCH(MIN(A193:D193), A193:D193, 0))</f>
        <v>Prediction_PACK</v>
      </c>
    </row>
    <row r="194" spans="1:6" x14ac:dyDescent="0.25">
      <c r="A194">
        <v>122.343</v>
      </c>
      <c r="B194">
        <v>127.88</v>
      </c>
      <c r="C194">
        <v>131.928</v>
      </c>
      <c r="D194">
        <v>169.88</v>
      </c>
      <c r="E194">
        <f t="shared" si="2"/>
        <v>122.343</v>
      </c>
      <c r="F194" t="str" cm="1">
        <f t="array" ref="F194">INDEX({"Pay as you go","Prediction_PACK","Prediction_Payasyougo","Competitor"},MATCH(MIN(A194:D194), A194:D194, 0))</f>
        <v>Pay as you go</v>
      </c>
    </row>
    <row r="195" spans="1:6" x14ac:dyDescent="0.25">
      <c r="A195">
        <v>111.02100000000002</v>
      </c>
      <c r="B195">
        <v>122.88</v>
      </c>
      <c r="C195">
        <v>135.01049999999998</v>
      </c>
      <c r="D195">
        <v>149.88</v>
      </c>
      <c r="E195">
        <f t="shared" si="2"/>
        <v>111.02100000000002</v>
      </c>
      <c r="F195" t="str" cm="1">
        <f t="array" ref="F195">INDEX({"Pay as you go","Prediction_PACK","Prediction_Payasyougo","Competitor"},MATCH(MIN(A195:D195), A195:D195, 0))</f>
        <v>Pay as you go</v>
      </c>
    </row>
    <row r="196" spans="1:6" x14ac:dyDescent="0.25">
      <c r="A196">
        <v>155.858</v>
      </c>
      <c r="B196">
        <v>147.88</v>
      </c>
      <c r="C196">
        <v>166.857</v>
      </c>
      <c r="D196">
        <v>179.88</v>
      </c>
      <c r="E196">
        <f t="shared" si="2"/>
        <v>147.88</v>
      </c>
      <c r="F196" t="str" cm="1">
        <f t="array" ref="F196">INDEX({"Pay as you go","Prediction_PACK","Prediction_Payasyougo","Competitor"},MATCH(MIN(A196:D196), A196:D196, 0))</f>
        <v>Prediction_PACK</v>
      </c>
    </row>
    <row r="197" spans="1:6" x14ac:dyDescent="0.25">
      <c r="A197">
        <v>167.41800000000001</v>
      </c>
      <c r="B197">
        <v>127.88</v>
      </c>
      <c r="C197">
        <v>137.77799999999999</v>
      </c>
      <c r="D197">
        <v>189.88</v>
      </c>
      <c r="E197">
        <f t="shared" si="2"/>
        <v>127.88</v>
      </c>
      <c r="F197" t="str" cm="1">
        <f t="array" ref="F197">INDEX({"Pay as you go","Prediction_PACK","Prediction_Payasyougo","Competitor"},MATCH(MIN(A197:D197), A197:D197, 0))</f>
        <v>Prediction_PACK</v>
      </c>
    </row>
    <row r="198" spans="1:6" x14ac:dyDescent="0.25">
      <c r="A198">
        <v>103.133</v>
      </c>
      <c r="B198">
        <v>107.88</v>
      </c>
      <c r="C198">
        <v>107.88</v>
      </c>
      <c r="D198">
        <v>139.88</v>
      </c>
      <c r="E198">
        <f t="shared" si="2"/>
        <v>103.133</v>
      </c>
      <c r="F198" t="str" cm="1">
        <f t="array" ref="F198">INDEX({"Pay as you go","Prediction_PACK","Prediction_Payasyougo","Competitor"},MATCH(MIN(A198:D198), A198:D198, 0))</f>
        <v>Pay as you go</v>
      </c>
    </row>
    <row r="199" spans="1:6" x14ac:dyDescent="0.25">
      <c r="A199">
        <v>130.87</v>
      </c>
      <c r="B199">
        <v>117.88</v>
      </c>
      <c r="C199">
        <v>122.1225</v>
      </c>
      <c r="D199">
        <v>159.88</v>
      </c>
      <c r="E199">
        <f t="shared" si="2"/>
        <v>117.88</v>
      </c>
      <c r="F199" t="str" cm="1">
        <f t="array" ref="F199">INDEX({"Pay as you go","Prediction_PACK","Prediction_Payasyougo","Competitor"},MATCH(MIN(A199:D199), A199:D199, 0))</f>
        <v>Prediction_PACK</v>
      </c>
    </row>
    <row r="200" spans="1:6" x14ac:dyDescent="0.25">
      <c r="A200">
        <v>188.06299999999999</v>
      </c>
      <c r="B200">
        <v>137.88</v>
      </c>
      <c r="C200">
        <v>153.18599999999998</v>
      </c>
      <c r="D200">
        <v>199.88</v>
      </c>
      <c r="E200">
        <f t="shared" si="2"/>
        <v>137.88</v>
      </c>
      <c r="F200" t="str" cm="1">
        <f t="array" ref="F200">INDEX({"Pay as you go","Prediction_PACK","Prediction_Payasyougo","Competitor"},MATCH(MIN(A200:D200), A200:D200, 0))</f>
        <v>Prediction_PACK</v>
      </c>
    </row>
    <row r="201" spans="1:6" x14ac:dyDescent="0.25">
      <c r="A201">
        <v>128.554</v>
      </c>
      <c r="B201">
        <v>123.88</v>
      </c>
      <c r="C201">
        <v>119.66999999999999</v>
      </c>
      <c r="D201">
        <v>159.88</v>
      </c>
      <c r="E201">
        <f t="shared" ref="E201:E264" si="3">MIN(A201:D201)</f>
        <v>119.66999999999999</v>
      </c>
      <c r="F201" t="str" cm="1">
        <f t="array" ref="F201">INDEX({"Pay as you go","Prediction_PACK","Prediction_Payasyougo","Competitor"},MATCH(MIN(A201:D201), A201:D201, 0))</f>
        <v>Prediction_Payasyougo</v>
      </c>
    </row>
    <row r="202" spans="1:6" x14ac:dyDescent="0.25">
      <c r="A202">
        <v>142.81700000000001</v>
      </c>
      <c r="B202">
        <v>137.88</v>
      </c>
      <c r="C202">
        <v>139.0515</v>
      </c>
      <c r="D202">
        <v>169.88</v>
      </c>
      <c r="E202">
        <f t="shared" si="3"/>
        <v>137.88</v>
      </c>
      <c r="F202" t="str" cm="1">
        <f t="array" ref="F202">INDEX({"Pay as you go","Prediction_PACK","Prediction_Payasyougo","Competitor"},MATCH(MIN(A202:D202), A202:D202, 0))</f>
        <v>Prediction_PACK</v>
      </c>
    </row>
    <row r="203" spans="1:6" x14ac:dyDescent="0.25">
      <c r="A203">
        <v>128.17500000000001</v>
      </c>
      <c r="B203">
        <v>117.88</v>
      </c>
      <c r="C203">
        <v>121.6365</v>
      </c>
      <c r="D203">
        <v>149.88</v>
      </c>
      <c r="E203">
        <f t="shared" si="3"/>
        <v>117.88</v>
      </c>
      <c r="F203" t="str" cm="1">
        <f t="array" ref="F203">INDEX({"Pay as you go","Prediction_PACK","Prediction_Payasyougo","Competitor"},MATCH(MIN(A203:D203), A203:D203, 0))</f>
        <v>Prediction_PACK</v>
      </c>
    </row>
    <row r="204" spans="1:6" x14ac:dyDescent="0.25">
      <c r="A204">
        <v>137.74299999999999</v>
      </c>
      <c r="B204">
        <v>115.88</v>
      </c>
      <c r="C204">
        <v>113.30699999999999</v>
      </c>
      <c r="D204">
        <v>159.88</v>
      </c>
      <c r="E204">
        <f t="shared" si="3"/>
        <v>113.30699999999999</v>
      </c>
      <c r="F204" t="str" cm="1">
        <f t="array" ref="F204">INDEX({"Pay as you go","Prediction_PACK","Prediction_Payasyougo","Competitor"},MATCH(MIN(A204:D204), A204:D204, 0))</f>
        <v>Prediction_Payasyougo</v>
      </c>
    </row>
    <row r="205" spans="1:6" x14ac:dyDescent="0.25">
      <c r="A205">
        <v>136.09799999999998</v>
      </c>
      <c r="B205">
        <v>123.88</v>
      </c>
      <c r="C205">
        <v>120.723</v>
      </c>
      <c r="D205">
        <v>159.88</v>
      </c>
      <c r="E205">
        <f t="shared" si="3"/>
        <v>120.723</v>
      </c>
      <c r="F205" t="str" cm="1">
        <f t="array" ref="F205">INDEX({"Pay as you go","Prediction_PACK","Prediction_Payasyougo","Competitor"},MATCH(MIN(A205:D205), A205:D205, 0))</f>
        <v>Prediction_Payasyougo</v>
      </c>
    </row>
    <row r="206" spans="1:6" x14ac:dyDescent="0.25">
      <c r="A206">
        <v>218.25200000000001</v>
      </c>
      <c r="B206">
        <v>157.88</v>
      </c>
      <c r="C206">
        <v>198.01499999999999</v>
      </c>
      <c r="D206">
        <v>209.88</v>
      </c>
      <c r="E206">
        <f t="shared" si="3"/>
        <v>157.88</v>
      </c>
      <c r="F206" t="str" cm="1">
        <f t="array" ref="F206">INDEX({"Pay as you go","Prediction_PACK","Prediction_Payasyougo","Competitor"},MATCH(MIN(A206:D206), A206:D206, 0))</f>
        <v>Prediction_PACK</v>
      </c>
    </row>
    <row r="207" spans="1:6" x14ac:dyDescent="0.25">
      <c r="A207">
        <v>216.69400000000002</v>
      </c>
      <c r="B207">
        <v>157.88</v>
      </c>
      <c r="C207">
        <v>201.5385</v>
      </c>
      <c r="D207">
        <v>219.88</v>
      </c>
      <c r="E207">
        <f t="shared" si="3"/>
        <v>157.88</v>
      </c>
      <c r="F207" t="str" cm="1">
        <f t="array" ref="F207">INDEX({"Pay as you go","Prediction_PACK","Prediction_Payasyougo","Competitor"},MATCH(MIN(A207:D207), A207:D207, 0))</f>
        <v>Prediction_PACK</v>
      </c>
    </row>
    <row r="208" spans="1:6" x14ac:dyDescent="0.25">
      <c r="A208">
        <v>120.926</v>
      </c>
      <c r="B208">
        <v>115.88</v>
      </c>
      <c r="C208">
        <v>116.142</v>
      </c>
      <c r="D208">
        <v>149.88</v>
      </c>
      <c r="E208">
        <f t="shared" si="3"/>
        <v>115.88</v>
      </c>
      <c r="F208" t="str" cm="1">
        <f t="array" ref="F208">INDEX({"Pay as you go","Prediction_PACK","Prediction_Payasyougo","Competitor"},MATCH(MIN(A208:D208), A208:D208, 0))</f>
        <v>Prediction_PACK</v>
      </c>
    </row>
    <row r="209" spans="1:6" x14ac:dyDescent="0.25">
      <c r="A209">
        <v>104.524</v>
      </c>
      <c r="B209">
        <v>117.88</v>
      </c>
      <c r="C209">
        <v>117.90599999999999</v>
      </c>
      <c r="D209">
        <v>149.88</v>
      </c>
      <c r="E209">
        <f t="shared" si="3"/>
        <v>104.524</v>
      </c>
      <c r="F209" t="str" cm="1">
        <f t="array" ref="F209">INDEX({"Pay as you go","Prediction_PACK","Prediction_Payasyougo","Competitor"},MATCH(MIN(A209:D209), A209:D209, 0))</f>
        <v>Pay as you go</v>
      </c>
    </row>
    <row r="210" spans="1:6" x14ac:dyDescent="0.25">
      <c r="A210">
        <v>147.13400000000001</v>
      </c>
      <c r="B210">
        <v>123.88</v>
      </c>
      <c r="C210">
        <v>119.32799999999999</v>
      </c>
      <c r="D210">
        <v>179.88</v>
      </c>
      <c r="E210">
        <f t="shared" si="3"/>
        <v>119.32799999999999</v>
      </c>
      <c r="F210" t="str" cm="1">
        <f t="array" ref="F210">INDEX({"Pay as you go","Prediction_PACK","Prediction_Payasyougo","Competitor"},MATCH(MIN(A210:D210), A210:D210, 0))</f>
        <v>Prediction_Payasyougo</v>
      </c>
    </row>
    <row r="211" spans="1:6" x14ac:dyDescent="0.25">
      <c r="A211">
        <v>126.19499999999999</v>
      </c>
      <c r="B211">
        <v>122.88</v>
      </c>
      <c r="C211">
        <v>140.91449999999998</v>
      </c>
      <c r="D211">
        <v>169.88</v>
      </c>
      <c r="E211">
        <f t="shared" si="3"/>
        <v>122.88</v>
      </c>
      <c r="F211" t="str" cm="1">
        <f t="array" ref="F211">INDEX({"Pay as you go","Prediction_PACK","Prediction_Payasyougo","Competitor"},MATCH(MIN(A211:D211), A211:D211, 0))</f>
        <v>Prediction_PACK</v>
      </c>
    </row>
    <row r="212" spans="1:6" x14ac:dyDescent="0.25">
      <c r="A212">
        <v>187.56200000000001</v>
      </c>
      <c r="B212">
        <v>155.88</v>
      </c>
      <c r="C212">
        <v>152.4075</v>
      </c>
      <c r="D212">
        <v>199.88</v>
      </c>
      <c r="E212">
        <f t="shared" si="3"/>
        <v>152.4075</v>
      </c>
      <c r="F212" t="str" cm="1">
        <f t="array" ref="F212">INDEX({"Pay as you go","Prediction_PACK","Prediction_Payasyougo","Competitor"},MATCH(MIN(A212:D212), A212:D212, 0))</f>
        <v>Prediction_Payasyougo</v>
      </c>
    </row>
    <row r="213" spans="1:6" x14ac:dyDescent="0.25">
      <c r="A213">
        <v>139.75200000000001</v>
      </c>
      <c r="B213">
        <v>117.88</v>
      </c>
      <c r="C213">
        <v>123.5985</v>
      </c>
      <c r="D213">
        <v>149.88</v>
      </c>
      <c r="E213">
        <f t="shared" si="3"/>
        <v>117.88</v>
      </c>
      <c r="F213" t="str" cm="1">
        <f t="array" ref="F213">INDEX({"Pay as you go","Prediction_PACK","Prediction_Payasyougo","Competitor"},MATCH(MIN(A213:D213), A213:D213, 0))</f>
        <v>Prediction_PACK</v>
      </c>
    </row>
    <row r="214" spans="1:6" x14ac:dyDescent="0.25">
      <c r="A214">
        <v>190.31800000000001</v>
      </c>
      <c r="B214">
        <v>157.88</v>
      </c>
      <c r="C214">
        <v>175.85699999999997</v>
      </c>
      <c r="D214">
        <v>179.88</v>
      </c>
      <c r="E214">
        <f t="shared" si="3"/>
        <v>157.88</v>
      </c>
      <c r="F214" t="str" cm="1">
        <f t="array" ref="F214">INDEX({"Pay as you go","Prediction_PACK","Prediction_Payasyougo","Competitor"},MATCH(MIN(A214:D214), A214:D214, 0))</f>
        <v>Prediction_PACK</v>
      </c>
    </row>
    <row r="215" spans="1:6" x14ac:dyDescent="0.25">
      <c r="A215">
        <v>167.298</v>
      </c>
      <c r="B215">
        <v>127.88</v>
      </c>
      <c r="C215">
        <v>126.2535</v>
      </c>
      <c r="D215">
        <v>169.88</v>
      </c>
      <c r="E215">
        <f t="shared" si="3"/>
        <v>126.2535</v>
      </c>
      <c r="F215" t="str" cm="1">
        <f t="array" ref="F215">INDEX({"Pay as you go","Prediction_PACK","Prediction_Payasyougo","Competitor"},MATCH(MIN(A215:D215), A215:D215, 0))</f>
        <v>Prediction_Payasyougo</v>
      </c>
    </row>
    <row r="216" spans="1:6" x14ac:dyDescent="0.25">
      <c r="A216">
        <v>161.20000000000002</v>
      </c>
      <c r="B216">
        <v>157.88</v>
      </c>
      <c r="C216">
        <v>170.06549999999999</v>
      </c>
      <c r="D216">
        <v>179.88</v>
      </c>
      <c r="E216">
        <f t="shared" si="3"/>
        <v>157.88</v>
      </c>
      <c r="F216" t="str" cm="1">
        <f t="array" ref="F216">INDEX({"Pay as you go","Prediction_PACK","Prediction_Payasyougo","Competitor"},MATCH(MIN(A216:D216), A216:D216, 0))</f>
        <v>Prediction_PACK</v>
      </c>
    </row>
    <row r="217" spans="1:6" x14ac:dyDescent="0.25">
      <c r="A217">
        <v>132.745</v>
      </c>
      <c r="B217">
        <v>137.88</v>
      </c>
      <c r="C217">
        <v>142.99349999999998</v>
      </c>
      <c r="D217">
        <v>159.88</v>
      </c>
      <c r="E217">
        <f t="shared" si="3"/>
        <v>132.745</v>
      </c>
      <c r="F217" t="str" cm="1">
        <f t="array" ref="F217">INDEX({"Pay as you go","Prediction_PACK","Prediction_Payasyougo","Competitor"},MATCH(MIN(A217:D217), A217:D217, 0))</f>
        <v>Pay as you go</v>
      </c>
    </row>
    <row r="218" spans="1:6" x14ac:dyDescent="0.25">
      <c r="A218">
        <v>123.56099999999999</v>
      </c>
      <c r="B218">
        <v>107.88</v>
      </c>
      <c r="C218">
        <v>107.88</v>
      </c>
      <c r="D218">
        <v>134.88</v>
      </c>
      <c r="E218">
        <f t="shared" si="3"/>
        <v>107.88</v>
      </c>
      <c r="F218" t="str" cm="1">
        <f t="array" ref="F218">INDEX({"Pay as you go","Prediction_PACK","Prediction_Payasyougo","Competitor"},MATCH(MIN(A218:D218), A218:D218, 0))</f>
        <v>Prediction_PACK</v>
      </c>
    </row>
    <row r="219" spans="1:6" x14ac:dyDescent="0.25">
      <c r="A219">
        <v>87.075000000000003</v>
      </c>
      <c r="B219">
        <v>111.88</v>
      </c>
      <c r="C219">
        <v>111.61499999999999</v>
      </c>
      <c r="D219">
        <v>139.88</v>
      </c>
      <c r="E219">
        <f t="shared" si="3"/>
        <v>87.075000000000003</v>
      </c>
      <c r="F219" t="str" cm="1">
        <f t="array" ref="F219">INDEX({"Pay as you go","Prediction_PACK","Prediction_Payasyougo","Competitor"},MATCH(MIN(A219:D219), A219:D219, 0))</f>
        <v>Pay as you go</v>
      </c>
    </row>
    <row r="220" spans="1:6" x14ac:dyDescent="0.25">
      <c r="A220">
        <v>143.72600000000003</v>
      </c>
      <c r="B220">
        <v>119.88</v>
      </c>
      <c r="C220">
        <v>117.9195</v>
      </c>
      <c r="D220">
        <v>159.88</v>
      </c>
      <c r="E220">
        <f t="shared" si="3"/>
        <v>117.9195</v>
      </c>
      <c r="F220" t="str" cm="1">
        <f t="array" ref="F220">INDEX({"Pay as you go","Prediction_PACK","Prediction_Payasyougo","Competitor"},MATCH(MIN(A220:D220), A220:D220, 0))</f>
        <v>Prediction_Payasyougo</v>
      </c>
    </row>
    <row r="221" spans="1:6" x14ac:dyDescent="0.25">
      <c r="A221">
        <v>90.671000000000006</v>
      </c>
      <c r="B221">
        <v>107.88</v>
      </c>
      <c r="C221">
        <v>107.88</v>
      </c>
      <c r="D221">
        <v>134.88</v>
      </c>
      <c r="E221">
        <f t="shared" si="3"/>
        <v>90.671000000000006</v>
      </c>
      <c r="F221" t="str" cm="1">
        <f t="array" ref="F221">INDEX({"Pay as you go","Prediction_PACK","Prediction_Payasyougo","Competitor"},MATCH(MIN(A221:D221), A221:D221, 0))</f>
        <v>Pay as you go</v>
      </c>
    </row>
    <row r="222" spans="1:6" x14ac:dyDescent="0.25">
      <c r="A222">
        <v>111.03100000000001</v>
      </c>
      <c r="B222">
        <v>111.88</v>
      </c>
      <c r="C222">
        <v>110.994</v>
      </c>
      <c r="D222">
        <v>154.88</v>
      </c>
      <c r="E222">
        <f t="shared" si="3"/>
        <v>110.994</v>
      </c>
      <c r="F222" t="str" cm="1">
        <f t="array" ref="F222">INDEX({"Pay as you go","Prediction_PACK","Prediction_Payasyougo","Competitor"},MATCH(MIN(A222:D222), A222:D222, 0))</f>
        <v>Prediction_Payasyougo</v>
      </c>
    </row>
    <row r="223" spans="1:6" x14ac:dyDescent="0.25">
      <c r="A223">
        <v>146.86799999999999</v>
      </c>
      <c r="B223">
        <v>147.88</v>
      </c>
      <c r="C223">
        <v>182.50349999999997</v>
      </c>
      <c r="D223">
        <v>179.88</v>
      </c>
      <c r="E223">
        <f t="shared" si="3"/>
        <v>146.86799999999999</v>
      </c>
      <c r="F223" t="str" cm="1">
        <f t="array" ref="F223">INDEX({"Pay as you go","Prediction_PACK","Prediction_Payasyougo","Competitor"},MATCH(MIN(A223:D223), A223:D223, 0))</f>
        <v>Pay as you go</v>
      </c>
    </row>
    <row r="224" spans="1:6" x14ac:dyDescent="0.25">
      <c r="A224">
        <v>99.521000000000001</v>
      </c>
      <c r="B224">
        <v>117.88</v>
      </c>
      <c r="C224">
        <v>116.916</v>
      </c>
      <c r="D224">
        <v>139.88</v>
      </c>
      <c r="E224">
        <f t="shared" si="3"/>
        <v>99.521000000000001</v>
      </c>
      <c r="F224" t="str" cm="1">
        <f t="array" ref="F224">INDEX({"Pay as you go","Prediction_PACK","Prediction_Payasyougo","Competitor"},MATCH(MIN(A224:D224), A224:D224, 0))</f>
        <v>Pay as you go</v>
      </c>
    </row>
    <row r="225" spans="1:6" x14ac:dyDescent="0.25">
      <c r="A225">
        <v>158.03100000000001</v>
      </c>
      <c r="B225">
        <v>137.88</v>
      </c>
      <c r="C225">
        <v>147.61949999999999</v>
      </c>
      <c r="D225">
        <v>189.88</v>
      </c>
      <c r="E225">
        <f t="shared" si="3"/>
        <v>137.88</v>
      </c>
      <c r="F225" t="str" cm="1">
        <f t="array" ref="F225">INDEX({"Pay as you go","Prediction_PACK","Prediction_Payasyougo","Competitor"},MATCH(MIN(A225:D225), A225:D225, 0))</f>
        <v>Prediction_PACK</v>
      </c>
    </row>
    <row r="226" spans="1:6" x14ac:dyDescent="0.25">
      <c r="A226">
        <v>156.928</v>
      </c>
      <c r="B226">
        <v>137.88</v>
      </c>
      <c r="C226">
        <v>139.67249999999999</v>
      </c>
      <c r="D226">
        <v>169.88</v>
      </c>
      <c r="E226">
        <f t="shared" si="3"/>
        <v>137.88</v>
      </c>
      <c r="F226" t="str" cm="1">
        <f t="array" ref="F226">INDEX({"Pay as you go","Prediction_PACK","Prediction_Payasyougo","Competitor"},MATCH(MIN(A226:D226), A226:D226, 0))</f>
        <v>Prediction_PACK</v>
      </c>
    </row>
    <row r="227" spans="1:6" x14ac:dyDescent="0.25">
      <c r="A227">
        <v>131.23099999999999</v>
      </c>
      <c r="B227">
        <v>127.88</v>
      </c>
      <c r="C227">
        <v>132.53549999999998</v>
      </c>
      <c r="D227">
        <v>159.88</v>
      </c>
      <c r="E227">
        <f t="shared" si="3"/>
        <v>127.88</v>
      </c>
      <c r="F227" t="str" cm="1">
        <f t="array" ref="F227">INDEX({"Pay as you go","Prediction_PACK","Prediction_Payasyougo","Competitor"},MATCH(MIN(A227:D227), A227:D227, 0))</f>
        <v>Prediction_PACK</v>
      </c>
    </row>
    <row r="228" spans="1:6" x14ac:dyDescent="0.25">
      <c r="A228">
        <v>157.11600000000001</v>
      </c>
      <c r="B228">
        <v>127.88</v>
      </c>
      <c r="C228">
        <v>146.33699999999999</v>
      </c>
      <c r="D228">
        <v>179.88</v>
      </c>
      <c r="E228">
        <f t="shared" si="3"/>
        <v>127.88</v>
      </c>
      <c r="F228" t="str" cm="1">
        <f t="array" ref="F228">INDEX({"Pay as you go","Prediction_PACK","Prediction_Payasyougo","Competitor"},MATCH(MIN(A228:D228), A228:D228, 0))</f>
        <v>Prediction_PACK</v>
      </c>
    </row>
    <row r="229" spans="1:6" x14ac:dyDescent="0.25">
      <c r="A229">
        <v>84.155000000000001</v>
      </c>
      <c r="B229">
        <v>107.88</v>
      </c>
      <c r="C229">
        <v>107.88</v>
      </c>
      <c r="D229">
        <v>134.88</v>
      </c>
      <c r="E229">
        <f t="shared" si="3"/>
        <v>84.155000000000001</v>
      </c>
      <c r="F229" t="str" cm="1">
        <f t="array" ref="F229">INDEX({"Pay as you go","Prediction_PACK","Prediction_Payasyougo","Competitor"},MATCH(MIN(A229:D229), A229:D229, 0))</f>
        <v>Pay as you go</v>
      </c>
    </row>
    <row r="230" spans="1:6" x14ac:dyDescent="0.25">
      <c r="A230">
        <v>122.46300000000001</v>
      </c>
      <c r="B230">
        <v>137.88</v>
      </c>
      <c r="C230">
        <v>155.59350000000001</v>
      </c>
      <c r="D230">
        <v>169.88</v>
      </c>
      <c r="E230">
        <f t="shared" si="3"/>
        <v>122.46300000000001</v>
      </c>
      <c r="F230" t="str" cm="1">
        <f t="array" ref="F230">INDEX({"Pay as you go","Prediction_PACK","Prediction_Payasyougo","Competitor"},MATCH(MIN(A230:D230), A230:D230, 0))</f>
        <v>Pay as you go</v>
      </c>
    </row>
    <row r="231" spans="1:6" x14ac:dyDescent="0.25">
      <c r="A231">
        <v>133.84200000000001</v>
      </c>
      <c r="B231">
        <v>115.88</v>
      </c>
      <c r="C231">
        <v>116.583</v>
      </c>
      <c r="D231">
        <v>149.88</v>
      </c>
      <c r="E231">
        <f t="shared" si="3"/>
        <v>115.88</v>
      </c>
      <c r="F231" t="str" cm="1">
        <f t="array" ref="F231">INDEX({"Pay as you go","Prediction_PACK","Prediction_Payasyougo","Competitor"},MATCH(MIN(A231:D231), A231:D231, 0))</f>
        <v>Prediction_PACK</v>
      </c>
    </row>
    <row r="232" spans="1:6" x14ac:dyDescent="0.25">
      <c r="A232">
        <v>175.25300000000001</v>
      </c>
      <c r="B232">
        <v>147.88</v>
      </c>
      <c r="C232">
        <v>165.33150000000001</v>
      </c>
      <c r="D232">
        <v>179.88</v>
      </c>
      <c r="E232">
        <f t="shared" si="3"/>
        <v>147.88</v>
      </c>
      <c r="F232" t="str" cm="1">
        <f t="array" ref="F232">INDEX({"Pay as you go","Prediction_PACK","Prediction_Payasyougo","Competitor"},MATCH(MIN(A232:D232), A232:D232, 0))</f>
        <v>Prediction_PACK</v>
      </c>
    </row>
    <row r="233" spans="1:6" x14ac:dyDescent="0.25">
      <c r="A233">
        <v>157.227</v>
      </c>
      <c r="B233">
        <v>137.88</v>
      </c>
      <c r="C233">
        <v>150.04050000000001</v>
      </c>
      <c r="D233">
        <v>159.88</v>
      </c>
      <c r="E233">
        <f t="shared" si="3"/>
        <v>137.88</v>
      </c>
      <c r="F233" t="str" cm="1">
        <f t="array" ref="F233">INDEX({"Pay as you go","Prediction_PACK","Prediction_Payasyougo","Competitor"},MATCH(MIN(A233:D233), A233:D233, 0))</f>
        <v>Prediction_PACK</v>
      </c>
    </row>
    <row r="234" spans="1:6" x14ac:dyDescent="0.25">
      <c r="A234">
        <v>102.74000000000001</v>
      </c>
      <c r="B234">
        <v>111.88</v>
      </c>
      <c r="C234">
        <v>110.98949999999999</v>
      </c>
      <c r="D234">
        <v>129.88</v>
      </c>
      <c r="E234">
        <f t="shared" si="3"/>
        <v>102.74000000000001</v>
      </c>
      <c r="F234" t="str" cm="1">
        <f t="array" ref="F234">INDEX({"Pay as you go","Prediction_PACK","Prediction_Payasyougo","Competitor"},MATCH(MIN(A234:D234), A234:D234, 0))</f>
        <v>Pay as you go</v>
      </c>
    </row>
    <row r="235" spans="1:6" x14ac:dyDescent="0.25">
      <c r="A235">
        <v>293.05400000000003</v>
      </c>
      <c r="B235">
        <v>197.88</v>
      </c>
      <c r="C235">
        <v>237.642</v>
      </c>
      <c r="D235">
        <v>239.88</v>
      </c>
      <c r="E235">
        <f t="shared" si="3"/>
        <v>197.88</v>
      </c>
      <c r="F235" t="str" cm="1">
        <f t="array" ref="F235">INDEX({"Pay as you go","Prediction_PACK","Prediction_Payasyougo","Competitor"},MATCH(MIN(A235:D235), A235:D235, 0))</f>
        <v>Prediction_PACK</v>
      </c>
    </row>
    <row r="236" spans="1:6" x14ac:dyDescent="0.25">
      <c r="A236">
        <v>158.16399999999999</v>
      </c>
      <c r="B236">
        <v>115.88</v>
      </c>
      <c r="C236">
        <v>115.77749999999999</v>
      </c>
      <c r="D236">
        <v>149.88</v>
      </c>
      <c r="E236">
        <f t="shared" si="3"/>
        <v>115.77749999999999</v>
      </c>
      <c r="F236" t="str" cm="1">
        <f t="array" ref="F236">INDEX({"Pay as you go","Prediction_PACK","Prediction_Payasyougo","Competitor"},MATCH(MIN(A236:D236), A236:D236, 0))</f>
        <v>Prediction_Payasyougo</v>
      </c>
    </row>
    <row r="237" spans="1:6" x14ac:dyDescent="0.25">
      <c r="A237">
        <v>153.47300000000001</v>
      </c>
      <c r="B237">
        <v>119.88</v>
      </c>
      <c r="C237">
        <v>116.3445</v>
      </c>
      <c r="D237">
        <v>159.88</v>
      </c>
      <c r="E237">
        <f t="shared" si="3"/>
        <v>116.3445</v>
      </c>
      <c r="F237" t="str" cm="1">
        <f t="array" ref="F237">INDEX({"Pay as you go","Prediction_PACK","Prediction_Payasyougo","Competitor"},MATCH(MIN(A237:D237), A237:D237, 0))</f>
        <v>Prediction_Payasyougo</v>
      </c>
    </row>
    <row r="238" spans="1:6" x14ac:dyDescent="0.25">
      <c r="A238">
        <v>101.40700000000001</v>
      </c>
      <c r="B238">
        <v>107.88</v>
      </c>
      <c r="C238">
        <v>107.88</v>
      </c>
      <c r="D238">
        <v>119.88</v>
      </c>
      <c r="E238">
        <f t="shared" si="3"/>
        <v>101.40700000000001</v>
      </c>
      <c r="F238" t="str" cm="1">
        <f t="array" ref="F238">INDEX({"Pay as you go","Prediction_PACK","Prediction_Payasyougo","Competitor"},MATCH(MIN(A238:D238), A238:D238, 0))</f>
        <v>Pay as you go</v>
      </c>
    </row>
    <row r="239" spans="1:6" x14ac:dyDescent="0.25">
      <c r="A239">
        <v>115.97800000000001</v>
      </c>
      <c r="B239">
        <v>115.88</v>
      </c>
      <c r="C239">
        <v>115.92149999999999</v>
      </c>
      <c r="D239">
        <v>149.88</v>
      </c>
      <c r="E239">
        <f t="shared" si="3"/>
        <v>115.88</v>
      </c>
      <c r="F239" t="str" cm="1">
        <f t="array" ref="F239">INDEX({"Pay as you go","Prediction_PACK","Prediction_Payasyougo","Competitor"},MATCH(MIN(A239:D239), A239:D239, 0))</f>
        <v>Prediction_PACK</v>
      </c>
    </row>
    <row r="240" spans="1:6" x14ac:dyDescent="0.25">
      <c r="A240">
        <v>141.607</v>
      </c>
      <c r="B240">
        <v>127.88</v>
      </c>
      <c r="C240">
        <v>137.5215</v>
      </c>
      <c r="D240">
        <v>159.88</v>
      </c>
      <c r="E240">
        <f t="shared" si="3"/>
        <v>127.88</v>
      </c>
      <c r="F240" t="str" cm="1">
        <f t="array" ref="F240">INDEX({"Pay as you go","Prediction_PACK","Prediction_Payasyougo","Competitor"},MATCH(MIN(A240:D240), A240:D240, 0))</f>
        <v>Prediction_PACK</v>
      </c>
    </row>
    <row r="241" spans="1:6" x14ac:dyDescent="0.25">
      <c r="A241">
        <v>149.917</v>
      </c>
      <c r="B241">
        <v>127.88</v>
      </c>
      <c r="C241">
        <v>126.4965</v>
      </c>
      <c r="D241">
        <v>159.88</v>
      </c>
      <c r="E241">
        <f t="shared" si="3"/>
        <v>126.4965</v>
      </c>
      <c r="F241" t="str" cm="1">
        <f t="array" ref="F241">INDEX({"Pay as you go","Prediction_PACK","Prediction_Payasyougo","Competitor"},MATCH(MIN(A241:D241), A241:D241, 0))</f>
        <v>Prediction_Payasyougo</v>
      </c>
    </row>
    <row r="242" spans="1:6" x14ac:dyDescent="0.25">
      <c r="A242">
        <v>112.167</v>
      </c>
      <c r="B242">
        <v>107.88</v>
      </c>
      <c r="C242">
        <v>107.88</v>
      </c>
      <c r="D242">
        <v>134.88</v>
      </c>
      <c r="E242">
        <f t="shared" si="3"/>
        <v>107.88</v>
      </c>
      <c r="F242" t="str" cm="1">
        <f t="array" ref="F242">INDEX({"Pay as you go","Prediction_PACK","Prediction_Payasyougo","Competitor"},MATCH(MIN(A242:D242), A242:D242, 0))</f>
        <v>Prediction_PACK</v>
      </c>
    </row>
    <row r="243" spans="1:6" x14ac:dyDescent="0.25">
      <c r="A243">
        <v>103.739</v>
      </c>
      <c r="B243">
        <v>107.88</v>
      </c>
      <c r="C243">
        <v>107.88</v>
      </c>
      <c r="D243">
        <v>124.88</v>
      </c>
      <c r="E243">
        <f t="shared" si="3"/>
        <v>103.739</v>
      </c>
      <c r="F243" t="str" cm="1">
        <f t="array" ref="F243">INDEX({"Pay as you go","Prediction_PACK","Prediction_Payasyougo","Competitor"},MATCH(MIN(A243:D243), A243:D243, 0))</f>
        <v>Pay as you go</v>
      </c>
    </row>
    <row r="244" spans="1:6" x14ac:dyDescent="0.25">
      <c r="A244">
        <v>126.008</v>
      </c>
      <c r="B244">
        <v>117.88</v>
      </c>
      <c r="C244">
        <v>129.8355</v>
      </c>
      <c r="D244">
        <v>139.88</v>
      </c>
      <c r="E244">
        <f t="shared" si="3"/>
        <v>117.88</v>
      </c>
      <c r="F244" t="str" cm="1">
        <f t="array" ref="F244">INDEX({"Pay as you go","Prediction_PACK","Prediction_Payasyougo","Competitor"},MATCH(MIN(A244:D244), A244:D244, 0))</f>
        <v>Prediction_PACK</v>
      </c>
    </row>
    <row r="245" spans="1:6" x14ac:dyDescent="0.25">
      <c r="A245">
        <v>153.24599999999998</v>
      </c>
      <c r="B245">
        <v>137.88</v>
      </c>
      <c r="C245">
        <v>141.96299999999999</v>
      </c>
      <c r="D245">
        <v>159.88</v>
      </c>
      <c r="E245">
        <f t="shared" si="3"/>
        <v>137.88</v>
      </c>
      <c r="F245" t="str" cm="1">
        <f t="array" ref="F245">INDEX({"Pay as you go","Prediction_PACK","Prediction_Payasyougo","Competitor"},MATCH(MIN(A245:D245), A245:D245, 0))</f>
        <v>Prediction_PACK</v>
      </c>
    </row>
    <row r="246" spans="1:6" x14ac:dyDescent="0.25">
      <c r="A246">
        <v>150.274</v>
      </c>
      <c r="B246">
        <v>147.88</v>
      </c>
      <c r="C246">
        <v>155.8545</v>
      </c>
      <c r="D246">
        <v>179.88</v>
      </c>
      <c r="E246">
        <f t="shared" si="3"/>
        <v>147.88</v>
      </c>
      <c r="F246" t="str" cm="1">
        <f t="array" ref="F246">INDEX({"Pay as you go","Prediction_PACK","Prediction_Payasyougo","Competitor"},MATCH(MIN(A246:D246), A246:D246, 0))</f>
        <v>Prediction_PACK</v>
      </c>
    </row>
    <row r="247" spans="1:6" x14ac:dyDescent="0.25">
      <c r="A247">
        <v>99.328000000000003</v>
      </c>
      <c r="B247">
        <v>107.88</v>
      </c>
      <c r="C247">
        <v>107.88</v>
      </c>
      <c r="D247">
        <v>119.88</v>
      </c>
      <c r="E247">
        <f t="shared" si="3"/>
        <v>99.328000000000003</v>
      </c>
      <c r="F247" t="str" cm="1">
        <f t="array" ref="F247">INDEX({"Pay as you go","Prediction_PACK","Prediction_Payasyougo","Competitor"},MATCH(MIN(A247:D247), A247:D247, 0))</f>
        <v>Pay as you go</v>
      </c>
    </row>
    <row r="248" spans="1:6" x14ac:dyDescent="0.25">
      <c r="A248">
        <v>234.12299999999999</v>
      </c>
      <c r="B248">
        <v>187.88</v>
      </c>
      <c r="C248">
        <v>253.15799999999999</v>
      </c>
      <c r="D248">
        <v>219.88</v>
      </c>
      <c r="E248">
        <f t="shared" si="3"/>
        <v>187.88</v>
      </c>
      <c r="F248" t="str" cm="1">
        <f t="array" ref="F248">INDEX({"Pay as you go","Prediction_PACK","Prediction_Payasyougo","Competitor"},MATCH(MIN(A248:D248), A248:D248, 0))</f>
        <v>Prediction_PACK</v>
      </c>
    </row>
    <row r="249" spans="1:6" x14ac:dyDescent="0.25">
      <c r="A249">
        <v>135.10600000000002</v>
      </c>
      <c r="B249">
        <v>117.88</v>
      </c>
      <c r="C249">
        <v>125.61449999999999</v>
      </c>
      <c r="D249">
        <v>149.88</v>
      </c>
      <c r="E249">
        <f t="shared" si="3"/>
        <v>117.88</v>
      </c>
      <c r="F249" t="str" cm="1">
        <f t="array" ref="F249">INDEX({"Pay as you go","Prediction_PACK","Prediction_Payasyougo","Competitor"},MATCH(MIN(A249:D249), A249:D249, 0))</f>
        <v>Prediction_PACK</v>
      </c>
    </row>
    <row r="250" spans="1:6" x14ac:dyDescent="0.25">
      <c r="A250">
        <v>192.559</v>
      </c>
      <c r="B250">
        <v>157.88</v>
      </c>
      <c r="C250">
        <v>160.78649999999999</v>
      </c>
      <c r="D250">
        <v>189.88</v>
      </c>
      <c r="E250">
        <f t="shared" si="3"/>
        <v>157.88</v>
      </c>
      <c r="F250" t="str" cm="1">
        <f t="array" ref="F250">INDEX({"Pay as you go","Prediction_PACK","Prediction_Payasyougo","Competitor"},MATCH(MIN(A250:D250), A250:D250, 0))</f>
        <v>Prediction_PACK</v>
      </c>
    </row>
    <row r="251" spans="1:6" x14ac:dyDescent="0.25">
      <c r="A251">
        <v>156.16</v>
      </c>
      <c r="B251">
        <v>117.88</v>
      </c>
      <c r="C251">
        <v>128.54399999999998</v>
      </c>
      <c r="D251">
        <v>169.88</v>
      </c>
      <c r="E251">
        <f t="shared" si="3"/>
        <v>117.88</v>
      </c>
      <c r="F251" t="str" cm="1">
        <f t="array" ref="F251">INDEX({"Pay as you go","Prediction_PACK","Prediction_Payasyougo","Competitor"},MATCH(MIN(A251:D251), A251:D251, 0))</f>
        <v>Prediction_PACK</v>
      </c>
    </row>
    <row r="252" spans="1:6" x14ac:dyDescent="0.25">
      <c r="A252">
        <v>107.10599999999999</v>
      </c>
      <c r="B252">
        <v>107.88</v>
      </c>
      <c r="C252">
        <v>107.88</v>
      </c>
      <c r="D252">
        <v>149.88</v>
      </c>
      <c r="E252">
        <f t="shared" si="3"/>
        <v>107.10599999999999</v>
      </c>
      <c r="F252" t="str" cm="1">
        <f t="array" ref="F252">INDEX({"Pay as you go","Prediction_PACK","Prediction_Payasyougo","Competitor"},MATCH(MIN(A252:D252), A252:D252, 0))</f>
        <v>Pay as you go</v>
      </c>
    </row>
    <row r="253" spans="1:6" x14ac:dyDescent="0.25">
      <c r="A253">
        <v>188.66200000000001</v>
      </c>
      <c r="B253">
        <v>147.88</v>
      </c>
      <c r="C253">
        <v>181.91399999999999</v>
      </c>
      <c r="D253">
        <v>189.88</v>
      </c>
      <c r="E253">
        <f t="shared" si="3"/>
        <v>147.88</v>
      </c>
      <c r="F253" t="str" cm="1">
        <f t="array" ref="F253">INDEX({"Pay as you go","Prediction_PACK","Prediction_Payasyougo","Competitor"},MATCH(MIN(A253:D253), A253:D253, 0))</f>
        <v>Prediction_PACK</v>
      </c>
    </row>
    <row r="254" spans="1:6" x14ac:dyDescent="0.25">
      <c r="A254">
        <v>166.761</v>
      </c>
      <c r="B254">
        <v>137.88</v>
      </c>
      <c r="C254">
        <v>137.346</v>
      </c>
      <c r="D254">
        <v>169.88</v>
      </c>
      <c r="E254">
        <f t="shared" si="3"/>
        <v>137.346</v>
      </c>
      <c r="F254" t="str" cm="1">
        <f t="array" ref="F254">INDEX({"Pay as you go","Prediction_PACK","Prediction_Payasyougo","Competitor"},MATCH(MIN(A254:D254), A254:D254, 0))</f>
        <v>Prediction_Payasyougo</v>
      </c>
    </row>
    <row r="255" spans="1:6" x14ac:dyDescent="0.25">
      <c r="A255">
        <v>127.274</v>
      </c>
      <c r="B255">
        <v>115.88</v>
      </c>
      <c r="C255">
        <v>113.56349999999999</v>
      </c>
      <c r="D255">
        <v>159.88</v>
      </c>
      <c r="E255">
        <f t="shared" si="3"/>
        <v>113.56349999999999</v>
      </c>
      <c r="F255" t="str" cm="1">
        <f t="array" ref="F255">INDEX({"Pay as you go","Prediction_PACK","Prediction_Payasyougo","Competitor"},MATCH(MIN(A255:D255), A255:D255, 0))</f>
        <v>Prediction_Payasyougo</v>
      </c>
    </row>
    <row r="256" spans="1:6" x14ac:dyDescent="0.25">
      <c r="A256">
        <v>139.363</v>
      </c>
      <c r="B256">
        <v>122.88</v>
      </c>
      <c r="C256">
        <v>134.24549999999999</v>
      </c>
      <c r="D256">
        <v>149.88</v>
      </c>
      <c r="E256">
        <f t="shared" si="3"/>
        <v>122.88</v>
      </c>
      <c r="F256" t="str" cm="1">
        <f t="array" ref="F256">INDEX({"Pay as you go","Prediction_PACK","Prediction_Payasyougo","Competitor"},MATCH(MIN(A256:D256), A256:D256, 0))</f>
        <v>Prediction_PACK</v>
      </c>
    </row>
    <row r="257" spans="1:6" x14ac:dyDescent="0.25">
      <c r="A257">
        <v>75.094000000000008</v>
      </c>
      <c r="B257">
        <v>107.88</v>
      </c>
      <c r="C257">
        <v>107.88</v>
      </c>
      <c r="D257">
        <v>119.88</v>
      </c>
      <c r="E257">
        <f t="shared" si="3"/>
        <v>75.094000000000008</v>
      </c>
      <c r="F257" t="str" cm="1">
        <f t="array" ref="F257">INDEX({"Pay as you go","Prediction_PACK","Prediction_Payasyougo","Competitor"},MATCH(MIN(A257:D257), A257:D257, 0))</f>
        <v>Pay as you go</v>
      </c>
    </row>
    <row r="258" spans="1:6" x14ac:dyDescent="0.25">
      <c r="A258">
        <v>101.979</v>
      </c>
      <c r="B258">
        <v>107.88</v>
      </c>
      <c r="C258">
        <v>107.88</v>
      </c>
      <c r="D258">
        <v>134.88</v>
      </c>
      <c r="E258">
        <f t="shared" si="3"/>
        <v>101.979</v>
      </c>
      <c r="F258" t="str" cm="1">
        <f t="array" ref="F258">INDEX({"Pay as you go","Prediction_PACK","Prediction_Payasyougo","Competitor"},MATCH(MIN(A258:D258), A258:D258, 0))</f>
        <v>Pay as you go</v>
      </c>
    </row>
    <row r="259" spans="1:6" x14ac:dyDescent="0.25">
      <c r="A259">
        <v>149.733</v>
      </c>
      <c r="B259">
        <v>127.88</v>
      </c>
      <c r="C259">
        <v>151.69649999999999</v>
      </c>
      <c r="D259">
        <v>159.88</v>
      </c>
      <c r="E259">
        <f t="shared" si="3"/>
        <v>127.88</v>
      </c>
      <c r="F259" t="str" cm="1">
        <f t="array" ref="F259">INDEX({"Pay as you go","Prediction_PACK","Prediction_Payasyougo","Competitor"},MATCH(MIN(A259:D259), A259:D259, 0))</f>
        <v>Prediction_PACK</v>
      </c>
    </row>
    <row r="260" spans="1:6" x14ac:dyDescent="0.25">
      <c r="A260">
        <v>108.386</v>
      </c>
      <c r="B260">
        <v>117.88</v>
      </c>
      <c r="C260">
        <v>129.94799999999998</v>
      </c>
      <c r="D260">
        <v>139.88</v>
      </c>
      <c r="E260">
        <f t="shared" si="3"/>
        <v>108.386</v>
      </c>
      <c r="F260" t="str" cm="1">
        <f t="array" ref="F260">INDEX({"Pay as you go","Prediction_PACK","Prediction_Payasyougo","Competitor"},MATCH(MIN(A260:D260), A260:D260, 0))</f>
        <v>Pay as you go</v>
      </c>
    </row>
    <row r="261" spans="1:6" x14ac:dyDescent="0.25">
      <c r="A261">
        <v>143.38900000000001</v>
      </c>
      <c r="B261">
        <v>127.88</v>
      </c>
      <c r="C261">
        <v>132.67499999999998</v>
      </c>
      <c r="D261">
        <v>169.88</v>
      </c>
      <c r="E261">
        <f t="shared" si="3"/>
        <v>127.88</v>
      </c>
      <c r="F261" t="str" cm="1">
        <f t="array" ref="F261">INDEX({"Pay as you go","Prediction_PACK","Prediction_Payasyougo","Competitor"},MATCH(MIN(A261:D261), A261:D261, 0))</f>
        <v>Prediction_PACK</v>
      </c>
    </row>
    <row r="262" spans="1:6" x14ac:dyDescent="0.25">
      <c r="A262">
        <v>150.22499999999999</v>
      </c>
      <c r="B262">
        <v>135.88</v>
      </c>
      <c r="C262">
        <v>132.108</v>
      </c>
      <c r="D262">
        <v>159.88</v>
      </c>
      <c r="E262">
        <f t="shared" si="3"/>
        <v>132.108</v>
      </c>
      <c r="F262" t="str" cm="1">
        <f t="array" ref="F262">INDEX({"Pay as you go","Prediction_PACK","Prediction_Payasyougo","Competitor"},MATCH(MIN(A262:D262), A262:D262, 0))</f>
        <v>Prediction_Payasyougo</v>
      </c>
    </row>
    <row r="263" spans="1:6" x14ac:dyDescent="0.25">
      <c r="A263">
        <v>79.865000000000009</v>
      </c>
      <c r="B263">
        <v>107.88</v>
      </c>
      <c r="C263">
        <v>107.88</v>
      </c>
      <c r="D263">
        <v>124.88</v>
      </c>
      <c r="E263">
        <f t="shared" si="3"/>
        <v>79.865000000000009</v>
      </c>
      <c r="F263" t="str" cm="1">
        <f t="array" ref="F263">INDEX({"Pay as you go","Prediction_PACK","Prediction_Payasyougo","Competitor"},MATCH(MIN(A263:D263), A263:D263, 0))</f>
        <v>Pay as you go</v>
      </c>
    </row>
    <row r="264" spans="1:6" x14ac:dyDescent="0.25">
      <c r="A264">
        <v>141.67000000000002</v>
      </c>
      <c r="B264">
        <v>107.88</v>
      </c>
      <c r="C264">
        <v>107.88</v>
      </c>
      <c r="D264">
        <v>144.88</v>
      </c>
      <c r="E264">
        <f t="shared" si="3"/>
        <v>107.88</v>
      </c>
      <c r="F264" t="str" cm="1">
        <f t="array" ref="F264">INDEX({"Pay as you go","Prediction_PACK","Prediction_Payasyougo","Competitor"},MATCH(MIN(A264:D264), A264:D264, 0))</f>
        <v>Prediction_PACK</v>
      </c>
    </row>
    <row r="265" spans="1:6" x14ac:dyDescent="0.25">
      <c r="A265">
        <v>158.773</v>
      </c>
      <c r="B265">
        <v>137.88</v>
      </c>
      <c r="C265">
        <v>164.59350000000001</v>
      </c>
      <c r="D265">
        <v>169.88</v>
      </c>
      <c r="E265">
        <f t="shared" ref="E265:E328" si="4">MIN(A265:D265)</f>
        <v>137.88</v>
      </c>
      <c r="F265" t="str" cm="1">
        <f t="array" ref="F265">INDEX({"Pay as you go","Prediction_PACK","Prediction_Payasyougo","Competitor"},MATCH(MIN(A265:D265), A265:D265, 0))</f>
        <v>Prediction_PACK</v>
      </c>
    </row>
    <row r="266" spans="1:6" x14ac:dyDescent="0.25">
      <c r="A266">
        <v>161.12700000000001</v>
      </c>
      <c r="B266">
        <v>137.88</v>
      </c>
      <c r="C266">
        <v>136.42349999999999</v>
      </c>
      <c r="D266">
        <v>159.88</v>
      </c>
      <c r="E266">
        <f t="shared" si="4"/>
        <v>136.42349999999999</v>
      </c>
      <c r="F266" t="str" cm="1">
        <f t="array" ref="F266">INDEX({"Pay as you go","Prediction_PACK","Prediction_Payasyougo","Competitor"},MATCH(MIN(A266:D266), A266:D266, 0))</f>
        <v>Prediction_Payasyougo</v>
      </c>
    </row>
    <row r="267" spans="1:6" x14ac:dyDescent="0.25">
      <c r="A267">
        <v>152.298</v>
      </c>
      <c r="B267">
        <v>111.88</v>
      </c>
      <c r="C267">
        <v>110.589</v>
      </c>
      <c r="D267">
        <v>159.88</v>
      </c>
      <c r="E267">
        <f t="shared" si="4"/>
        <v>110.589</v>
      </c>
      <c r="F267" t="str" cm="1">
        <f t="array" ref="F267">INDEX({"Pay as you go","Prediction_PACK","Prediction_Payasyougo","Competitor"},MATCH(MIN(A267:D267), A267:D267, 0))</f>
        <v>Prediction_Payasyougo</v>
      </c>
    </row>
    <row r="268" spans="1:6" x14ac:dyDescent="0.25">
      <c r="A268">
        <v>178.708</v>
      </c>
      <c r="B268">
        <v>127.88</v>
      </c>
      <c r="C268">
        <v>137.30549999999999</v>
      </c>
      <c r="D268">
        <v>179.88</v>
      </c>
      <c r="E268">
        <f t="shared" si="4"/>
        <v>127.88</v>
      </c>
      <c r="F268" t="str" cm="1">
        <f t="array" ref="F268">INDEX({"Pay as you go","Prediction_PACK","Prediction_Payasyougo","Competitor"},MATCH(MIN(A268:D268), A268:D268, 0))</f>
        <v>Prediction_PACK</v>
      </c>
    </row>
    <row r="269" spans="1:6" x14ac:dyDescent="0.25">
      <c r="A269">
        <v>121.682</v>
      </c>
      <c r="B269">
        <v>127.88</v>
      </c>
      <c r="C269">
        <v>121.82549999999999</v>
      </c>
      <c r="D269">
        <v>139.88</v>
      </c>
      <c r="E269">
        <f t="shared" si="4"/>
        <v>121.682</v>
      </c>
      <c r="F269" t="str" cm="1">
        <f t="array" ref="F269">INDEX({"Pay as you go","Prediction_PACK","Prediction_Payasyougo","Competitor"},MATCH(MIN(A269:D269), A269:D269, 0))</f>
        <v>Pay as you go</v>
      </c>
    </row>
    <row r="270" spans="1:6" x14ac:dyDescent="0.25">
      <c r="A270">
        <v>87.322000000000003</v>
      </c>
      <c r="B270">
        <v>117.88</v>
      </c>
      <c r="C270">
        <v>128.08499999999998</v>
      </c>
      <c r="D270">
        <v>139.88</v>
      </c>
      <c r="E270">
        <f t="shared" si="4"/>
        <v>87.322000000000003</v>
      </c>
      <c r="F270" t="str" cm="1">
        <f t="array" ref="F270">INDEX({"Pay as you go","Prediction_PACK","Prediction_Payasyougo","Competitor"},MATCH(MIN(A270:D270), A270:D270, 0))</f>
        <v>Pay as you go</v>
      </c>
    </row>
    <row r="271" spans="1:6" x14ac:dyDescent="0.25">
      <c r="A271">
        <v>113.354</v>
      </c>
      <c r="B271">
        <v>111.88</v>
      </c>
      <c r="C271">
        <v>110.80499999999999</v>
      </c>
      <c r="D271">
        <v>139.88</v>
      </c>
      <c r="E271">
        <f t="shared" si="4"/>
        <v>110.80499999999999</v>
      </c>
      <c r="F271" t="str" cm="1">
        <f t="array" ref="F271">INDEX({"Pay as you go","Prediction_PACK","Prediction_Payasyougo","Competitor"},MATCH(MIN(A271:D271), A271:D271, 0))</f>
        <v>Prediction_Payasyougo</v>
      </c>
    </row>
    <row r="272" spans="1:6" x14ac:dyDescent="0.25">
      <c r="A272">
        <v>213.54499999999999</v>
      </c>
      <c r="B272">
        <v>167.88</v>
      </c>
      <c r="C272">
        <v>196.94399999999999</v>
      </c>
      <c r="D272">
        <v>209.88</v>
      </c>
      <c r="E272">
        <f t="shared" si="4"/>
        <v>167.88</v>
      </c>
      <c r="F272" t="str" cm="1">
        <f t="array" ref="F272">INDEX({"Pay as you go","Prediction_PACK","Prediction_Payasyougo","Competitor"},MATCH(MIN(A272:D272), A272:D272, 0))</f>
        <v>Prediction_PACK</v>
      </c>
    </row>
    <row r="273" spans="1:6" x14ac:dyDescent="0.25">
      <c r="A273">
        <v>120.93599999999999</v>
      </c>
      <c r="B273">
        <v>119.88</v>
      </c>
      <c r="C273">
        <v>113.09099999999999</v>
      </c>
      <c r="D273">
        <v>149.88</v>
      </c>
      <c r="E273">
        <f t="shared" si="4"/>
        <v>113.09099999999999</v>
      </c>
      <c r="F273" t="str" cm="1">
        <f t="array" ref="F273">INDEX({"Pay as you go","Prediction_PACK","Prediction_Payasyougo","Competitor"},MATCH(MIN(A273:D273), A273:D273, 0))</f>
        <v>Prediction_Payasyougo</v>
      </c>
    </row>
    <row r="274" spans="1:6" x14ac:dyDescent="0.25">
      <c r="A274">
        <v>124</v>
      </c>
      <c r="B274">
        <v>127.88</v>
      </c>
      <c r="C274">
        <v>125.0295</v>
      </c>
      <c r="D274">
        <v>149.88</v>
      </c>
      <c r="E274">
        <f t="shared" si="4"/>
        <v>124</v>
      </c>
      <c r="F274" t="str" cm="1">
        <f t="array" ref="F274">INDEX({"Pay as you go","Prediction_PACK","Prediction_Payasyougo","Competitor"},MATCH(MIN(A274:D274), A274:D274, 0))</f>
        <v>Pay as you go</v>
      </c>
    </row>
    <row r="275" spans="1:6" x14ac:dyDescent="0.25">
      <c r="A275">
        <v>85.913000000000011</v>
      </c>
      <c r="B275">
        <v>111.88</v>
      </c>
      <c r="C275">
        <v>109.878</v>
      </c>
      <c r="D275">
        <v>129.88</v>
      </c>
      <c r="E275">
        <f t="shared" si="4"/>
        <v>85.913000000000011</v>
      </c>
      <c r="F275" t="str" cm="1">
        <f t="array" ref="F275">INDEX({"Pay as you go","Prediction_PACK","Prediction_Payasyougo","Competitor"},MATCH(MIN(A275:D275), A275:D275, 0))</f>
        <v>Pay as you go</v>
      </c>
    </row>
    <row r="276" spans="1:6" x14ac:dyDescent="0.25">
      <c r="A276">
        <v>201.43600000000001</v>
      </c>
      <c r="B276">
        <v>147.88</v>
      </c>
      <c r="C276">
        <v>166.85249999999999</v>
      </c>
      <c r="D276">
        <v>179.88</v>
      </c>
      <c r="E276">
        <f t="shared" si="4"/>
        <v>147.88</v>
      </c>
      <c r="F276" t="str" cm="1">
        <f t="array" ref="F276">INDEX({"Pay as you go","Prediction_PACK","Prediction_Payasyougo","Competitor"},MATCH(MIN(A276:D276), A276:D276, 0))</f>
        <v>Prediction_PACK</v>
      </c>
    </row>
    <row r="277" spans="1:6" x14ac:dyDescent="0.25">
      <c r="A277">
        <v>130.62800000000001</v>
      </c>
      <c r="B277">
        <v>127.88</v>
      </c>
      <c r="C277">
        <v>125.80349999999999</v>
      </c>
      <c r="D277">
        <v>159.88</v>
      </c>
      <c r="E277">
        <f t="shared" si="4"/>
        <v>125.80349999999999</v>
      </c>
      <c r="F277" t="str" cm="1">
        <f t="array" ref="F277">INDEX({"Pay as you go","Prediction_PACK","Prediction_Payasyougo","Competitor"},MATCH(MIN(A277:D277), A277:D277, 0))</f>
        <v>Prediction_Payasyougo</v>
      </c>
    </row>
    <row r="278" spans="1:6" x14ac:dyDescent="0.25">
      <c r="A278">
        <v>121.26700000000001</v>
      </c>
      <c r="B278">
        <v>115.88</v>
      </c>
      <c r="C278">
        <v>115.107</v>
      </c>
      <c r="D278">
        <v>129.88</v>
      </c>
      <c r="E278">
        <f t="shared" si="4"/>
        <v>115.107</v>
      </c>
      <c r="F278" t="str" cm="1">
        <f t="array" ref="F278">INDEX({"Pay as you go","Prediction_PACK","Prediction_Payasyougo","Competitor"},MATCH(MIN(A278:D278), A278:D278, 0))</f>
        <v>Prediction_Payasyougo</v>
      </c>
    </row>
    <row r="279" spans="1:6" x14ac:dyDescent="0.25">
      <c r="A279">
        <v>179.834</v>
      </c>
      <c r="B279">
        <v>147.88</v>
      </c>
      <c r="C279">
        <v>145.7655</v>
      </c>
      <c r="D279">
        <v>169.88</v>
      </c>
      <c r="E279">
        <f t="shared" si="4"/>
        <v>145.7655</v>
      </c>
      <c r="F279" t="str" cm="1">
        <f t="array" ref="F279">INDEX({"Pay as you go","Prediction_PACK","Prediction_Payasyougo","Competitor"},MATCH(MIN(A279:D279), A279:D279, 0))</f>
        <v>Prediction_Payasyougo</v>
      </c>
    </row>
    <row r="280" spans="1:6" x14ac:dyDescent="0.25">
      <c r="A280">
        <v>90.831000000000003</v>
      </c>
      <c r="B280">
        <v>107.88</v>
      </c>
      <c r="C280">
        <v>107.88</v>
      </c>
      <c r="D280">
        <v>129.88</v>
      </c>
      <c r="E280">
        <f t="shared" si="4"/>
        <v>90.831000000000003</v>
      </c>
      <c r="F280" t="str" cm="1">
        <f t="array" ref="F280">INDEX({"Pay as you go","Prediction_PACK","Prediction_Payasyougo","Competitor"},MATCH(MIN(A280:D280), A280:D280, 0))</f>
        <v>Pay as you go</v>
      </c>
    </row>
    <row r="281" spans="1:6" x14ac:dyDescent="0.25">
      <c r="A281">
        <v>118.899</v>
      </c>
      <c r="B281">
        <v>117.88</v>
      </c>
      <c r="C281">
        <v>124.31399999999999</v>
      </c>
      <c r="D281">
        <v>149.88</v>
      </c>
      <c r="E281">
        <f t="shared" si="4"/>
        <v>117.88</v>
      </c>
      <c r="F281" t="str" cm="1">
        <f t="array" ref="F281">INDEX({"Pay as you go","Prediction_PACK","Prediction_Payasyougo","Competitor"},MATCH(MIN(A281:D281), A281:D281, 0))</f>
        <v>Prediction_PACK</v>
      </c>
    </row>
    <row r="282" spans="1:6" x14ac:dyDescent="0.25">
      <c r="A282">
        <v>108.387</v>
      </c>
      <c r="B282">
        <v>107.88</v>
      </c>
      <c r="C282">
        <v>107.88</v>
      </c>
      <c r="D282">
        <v>144.88</v>
      </c>
      <c r="E282">
        <f t="shared" si="4"/>
        <v>107.88</v>
      </c>
      <c r="F282" t="str" cm="1">
        <f t="array" ref="F282">INDEX({"Pay as you go","Prediction_PACK","Prediction_Payasyougo","Competitor"},MATCH(MIN(A282:D282), A282:D282, 0))</f>
        <v>Prediction_PACK</v>
      </c>
    </row>
    <row r="283" spans="1:6" x14ac:dyDescent="0.25">
      <c r="A283">
        <v>117.843</v>
      </c>
      <c r="B283">
        <v>115.88</v>
      </c>
      <c r="C283">
        <v>113.74799999999999</v>
      </c>
      <c r="D283">
        <v>149.88</v>
      </c>
      <c r="E283">
        <f t="shared" si="4"/>
        <v>113.74799999999999</v>
      </c>
      <c r="F283" t="str" cm="1">
        <f t="array" ref="F283">INDEX({"Pay as you go","Prediction_PACK","Prediction_Payasyougo","Competitor"},MATCH(MIN(A283:D283), A283:D283, 0))</f>
        <v>Prediction_Payasyougo</v>
      </c>
    </row>
    <row r="284" spans="1:6" x14ac:dyDescent="0.25">
      <c r="A284">
        <v>246.45999999999998</v>
      </c>
      <c r="B284">
        <v>167.88</v>
      </c>
      <c r="C284">
        <v>203.65350000000001</v>
      </c>
      <c r="D284">
        <v>219.88</v>
      </c>
      <c r="E284">
        <f t="shared" si="4"/>
        <v>167.88</v>
      </c>
      <c r="F284" t="str" cm="1">
        <f t="array" ref="F284">INDEX({"Pay as you go","Prediction_PACK","Prediction_Payasyougo","Competitor"},MATCH(MIN(A284:D284), A284:D284, 0))</f>
        <v>Prediction_PACK</v>
      </c>
    </row>
    <row r="285" spans="1:6" x14ac:dyDescent="0.25">
      <c r="A285">
        <v>147.93600000000001</v>
      </c>
      <c r="B285">
        <v>117.88</v>
      </c>
      <c r="C285">
        <v>127.39649999999999</v>
      </c>
      <c r="D285">
        <v>149.88</v>
      </c>
      <c r="E285">
        <f t="shared" si="4"/>
        <v>117.88</v>
      </c>
      <c r="F285" t="str" cm="1">
        <f t="array" ref="F285">INDEX({"Pay as you go","Prediction_PACK","Prediction_Payasyougo","Competitor"},MATCH(MIN(A285:D285), A285:D285, 0))</f>
        <v>Prediction_PACK</v>
      </c>
    </row>
    <row r="286" spans="1:6" x14ac:dyDescent="0.25">
      <c r="A286">
        <v>142.23499999999999</v>
      </c>
      <c r="B286">
        <v>127.88</v>
      </c>
      <c r="C286">
        <v>130.82550000000001</v>
      </c>
      <c r="D286">
        <v>139.88</v>
      </c>
      <c r="E286">
        <f t="shared" si="4"/>
        <v>127.88</v>
      </c>
      <c r="F286" t="str" cm="1">
        <f t="array" ref="F286">INDEX({"Pay as you go","Prediction_PACK","Prediction_Payasyougo","Competitor"},MATCH(MIN(A286:D286), A286:D286, 0))</f>
        <v>Prediction_PACK</v>
      </c>
    </row>
    <row r="287" spans="1:6" x14ac:dyDescent="0.25">
      <c r="A287">
        <v>100.64500000000001</v>
      </c>
      <c r="B287">
        <v>111.88</v>
      </c>
      <c r="C287">
        <v>110.44499999999999</v>
      </c>
      <c r="D287">
        <v>139.88</v>
      </c>
      <c r="E287">
        <f t="shared" si="4"/>
        <v>100.64500000000001</v>
      </c>
      <c r="F287" t="str" cm="1">
        <f t="array" ref="F287">INDEX({"Pay as you go","Prediction_PACK","Prediction_Payasyougo","Competitor"},MATCH(MIN(A287:D287), A287:D287, 0))</f>
        <v>Pay as you go</v>
      </c>
    </row>
    <row r="288" spans="1:6" x14ac:dyDescent="0.25">
      <c r="A288">
        <v>137.18</v>
      </c>
      <c r="B288">
        <v>143.88</v>
      </c>
      <c r="C288">
        <v>142.35</v>
      </c>
      <c r="D288">
        <v>159.88</v>
      </c>
      <c r="E288">
        <f t="shared" si="4"/>
        <v>137.18</v>
      </c>
      <c r="F288" t="str" cm="1">
        <f t="array" ref="F288">INDEX({"Pay as you go","Prediction_PACK","Prediction_Payasyougo","Competitor"},MATCH(MIN(A288:D288), A288:D288, 0))</f>
        <v>Pay as you go</v>
      </c>
    </row>
    <row r="289" spans="1:6" x14ac:dyDescent="0.25">
      <c r="A289">
        <v>95.606999999999999</v>
      </c>
      <c r="B289">
        <v>107.88</v>
      </c>
      <c r="C289">
        <v>107.88</v>
      </c>
      <c r="D289">
        <v>119.88</v>
      </c>
      <c r="E289">
        <f t="shared" si="4"/>
        <v>95.606999999999999</v>
      </c>
      <c r="F289" t="str" cm="1">
        <f t="array" ref="F289">INDEX({"Pay as you go","Prediction_PACK","Prediction_Payasyougo","Competitor"},MATCH(MIN(A289:D289), A289:D289, 0))</f>
        <v>Pay as you go</v>
      </c>
    </row>
    <row r="290" spans="1:6" x14ac:dyDescent="0.25">
      <c r="A290">
        <v>150.505</v>
      </c>
      <c r="B290">
        <v>137.88</v>
      </c>
      <c r="C290">
        <v>174.642</v>
      </c>
      <c r="D290">
        <v>179.88</v>
      </c>
      <c r="E290">
        <f t="shared" si="4"/>
        <v>137.88</v>
      </c>
      <c r="F290" t="str" cm="1">
        <f t="array" ref="F290">INDEX({"Pay as you go","Prediction_PACK","Prediction_Payasyougo","Competitor"},MATCH(MIN(A290:D290), A290:D290, 0))</f>
        <v>Prediction_PACK</v>
      </c>
    </row>
    <row r="291" spans="1:6" x14ac:dyDescent="0.25">
      <c r="A291">
        <v>163.01400000000001</v>
      </c>
      <c r="B291">
        <v>123.88</v>
      </c>
      <c r="C291">
        <v>114.22499999999999</v>
      </c>
      <c r="D291">
        <v>159.88</v>
      </c>
      <c r="E291">
        <f t="shared" si="4"/>
        <v>114.22499999999999</v>
      </c>
      <c r="F291" t="str" cm="1">
        <f t="array" ref="F291">INDEX({"Pay as you go","Prediction_PACK","Prediction_Payasyougo","Competitor"},MATCH(MIN(A291:D291), A291:D291, 0))</f>
        <v>Prediction_Payasyougo</v>
      </c>
    </row>
    <row r="292" spans="1:6" x14ac:dyDescent="0.25">
      <c r="A292">
        <v>179.24199999999999</v>
      </c>
      <c r="B292">
        <v>147.88</v>
      </c>
      <c r="C292">
        <v>189.13200000000001</v>
      </c>
      <c r="D292">
        <v>199.88</v>
      </c>
      <c r="E292">
        <f t="shared" si="4"/>
        <v>147.88</v>
      </c>
      <c r="F292" t="str" cm="1">
        <f t="array" ref="F292">INDEX({"Pay as you go","Prediction_PACK","Prediction_Payasyougo","Competitor"},MATCH(MIN(A292:D292), A292:D292, 0))</f>
        <v>Prediction_PACK</v>
      </c>
    </row>
    <row r="293" spans="1:6" x14ac:dyDescent="0.25">
      <c r="A293">
        <v>97.904000000000011</v>
      </c>
      <c r="B293">
        <v>117.88</v>
      </c>
      <c r="C293">
        <v>119.68799999999999</v>
      </c>
      <c r="D293">
        <v>139.88</v>
      </c>
      <c r="E293">
        <f t="shared" si="4"/>
        <v>97.904000000000011</v>
      </c>
      <c r="F293" t="str" cm="1">
        <f t="array" ref="F293">INDEX({"Pay as you go","Prediction_PACK","Prediction_Payasyougo","Competitor"},MATCH(MIN(A293:D293), A293:D293, 0))</f>
        <v>Pay as you go</v>
      </c>
    </row>
    <row r="294" spans="1:6" x14ac:dyDescent="0.25">
      <c r="A294">
        <v>174.411</v>
      </c>
      <c r="B294">
        <v>147.88</v>
      </c>
      <c r="C294">
        <v>161.56049999999999</v>
      </c>
      <c r="D294">
        <v>179.88</v>
      </c>
      <c r="E294">
        <f t="shared" si="4"/>
        <v>147.88</v>
      </c>
      <c r="F294" t="str" cm="1">
        <f t="array" ref="F294">INDEX({"Pay as you go","Prediction_PACK","Prediction_Payasyougo","Competitor"},MATCH(MIN(A294:D294), A294:D294, 0))</f>
        <v>Prediction_PACK</v>
      </c>
    </row>
    <row r="295" spans="1:6" x14ac:dyDescent="0.25">
      <c r="A295">
        <v>100.19500000000001</v>
      </c>
      <c r="B295">
        <v>117.88</v>
      </c>
      <c r="C295">
        <v>124.39949999999999</v>
      </c>
      <c r="D295">
        <v>149.88</v>
      </c>
      <c r="E295">
        <f t="shared" si="4"/>
        <v>100.19500000000001</v>
      </c>
      <c r="F295" t="str" cm="1">
        <f t="array" ref="F295">INDEX({"Pay as you go","Prediction_PACK","Prediction_Payasyougo","Competitor"},MATCH(MIN(A295:D295), A295:D295, 0))</f>
        <v>Pay as you go</v>
      </c>
    </row>
    <row r="296" spans="1:6" x14ac:dyDescent="0.25">
      <c r="A296">
        <v>84.192000000000007</v>
      </c>
      <c r="B296">
        <v>107.88</v>
      </c>
      <c r="C296">
        <v>107.88</v>
      </c>
      <c r="D296">
        <v>119.88</v>
      </c>
      <c r="E296">
        <f t="shared" si="4"/>
        <v>84.192000000000007</v>
      </c>
      <c r="F296" t="str" cm="1">
        <f t="array" ref="F296">INDEX({"Pay as you go","Prediction_PACK","Prediction_Payasyougo","Competitor"},MATCH(MIN(A296:D296), A296:D296, 0))</f>
        <v>Pay as you go</v>
      </c>
    </row>
    <row r="297" spans="1:6" x14ac:dyDescent="0.25">
      <c r="A297">
        <v>188.006</v>
      </c>
      <c r="B297">
        <v>152.88</v>
      </c>
      <c r="C297">
        <v>198.54599999999999</v>
      </c>
      <c r="D297">
        <v>189.88</v>
      </c>
      <c r="E297">
        <f t="shared" si="4"/>
        <v>152.88</v>
      </c>
      <c r="F297" t="str" cm="1">
        <f t="array" ref="F297">INDEX({"Pay as you go","Prediction_PACK","Prediction_Payasyougo","Competitor"},MATCH(MIN(A297:D297), A297:D297, 0))</f>
        <v>Prediction_PACK</v>
      </c>
    </row>
    <row r="298" spans="1:6" x14ac:dyDescent="0.25">
      <c r="A298">
        <v>148.57599999999999</v>
      </c>
      <c r="B298">
        <v>115.88</v>
      </c>
      <c r="C298">
        <v>112.62299999999999</v>
      </c>
      <c r="D298">
        <v>164.88</v>
      </c>
      <c r="E298">
        <f t="shared" si="4"/>
        <v>112.62299999999999</v>
      </c>
      <c r="F298" t="str" cm="1">
        <f t="array" ref="F298">INDEX({"Pay as you go","Prediction_PACK","Prediction_Payasyougo","Competitor"},MATCH(MIN(A298:D298), A298:D298, 0))</f>
        <v>Prediction_Payasyougo</v>
      </c>
    </row>
    <row r="299" spans="1:6" x14ac:dyDescent="0.25">
      <c r="A299">
        <v>136.79300000000001</v>
      </c>
      <c r="B299">
        <v>111.88</v>
      </c>
      <c r="C299">
        <v>108.5595</v>
      </c>
      <c r="D299">
        <v>144.88</v>
      </c>
      <c r="E299">
        <f t="shared" si="4"/>
        <v>108.5595</v>
      </c>
      <c r="F299" t="str" cm="1">
        <f t="array" ref="F299">INDEX({"Pay as you go","Prediction_PACK","Prediction_Payasyougo","Competitor"},MATCH(MIN(A299:D299), A299:D299, 0))</f>
        <v>Prediction_Payasyougo</v>
      </c>
    </row>
    <row r="300" spans="1:6" x14ac:dyDescent="0.25">
      <c r="A300">
        <v>94.596999999999994</v>
      </c>
      <c r="B300">
        <v>107.88</v>
      </c>
      <c r="C300">
        <v>107.88</v>
      </c>
      <c r="D300">
        <v>134.88</v>
      </c>
      <c r="E300">
        <f t="shared" si="4"/>
        <v>94.596999999999994</v>
      </c>
      <c r="F300" t="str" cm="1">
        <f t="array" ref="F300">INDEX({"Pay as you go","Prediction_PACK","Prediction_Payasyougo","Competitor"},MATCH(MIN(A300:D300), A300:D300, 0))</f>
        <v>Pay as you go</v>
      </c>
    </row>
    <row r="301" spans="1:6" x14ac:dyDescent="0.25">
      <c r="A301">
        <v>149.852</v>
      </c>
      <c r="B301">
        <v>107.88</v>
      </c>
      <c r="C301">
        <v>107.88</v>
      </c>
      <c r="D301">
        <v>139.88</v>
      </c>
      <c r="E301">
        <f t="shared" si="4"/>
        <v>107.88</v>
      </c>
      <c r="F301" t="str" cm="1">
        <f t="array" ref="F301">INDEX({"Pay as you go","Prediction_PACK","Prediction_Payasyougo","Competitor"},MATCH(MIN(A301:D301), A301:D301, 0))</f>
        <v>Prediction_PACK</v>
      </c>
    </row>
    <row r="302" spans="1:6" x14ac:dyDescent="0.25">
      <c r="A302">
        <v>153.21600000000001</v>
      </c>
      <c r="B302">
        <v>127.88</v>
      </c>
      <c r="C302">
        <v>149.262</v>
      </c>
      <c r="D302">
        <v>159.88</v>
      </c>
      <c r="E302">
        <f t="shared" si="4"/>
        <v>127.88</v>
      </c>
      <c r="F302" t="str" cm="1">
        <f t="array" ref="F302">INDEX({"Pay as you go","Prediction_PACK","Prediction_Payasyougo","Competitor"},MATCH(MIN(A302:D302), A302:D302, 0))</f>
        <v>Prediction_PACK</v>
      </c>
    </row>
    <row r="303" spans="1:6" x14ac:dyDescent="0.25">
      <c r="A303">
        <v>126.459</v>
      </c>
      <c r="B303">
        <v>111.88</v>
      </c>
      <c r="C303">
        <v>110.166</v>
      </c>
      <c r="D303">
        <v>159.88</v>
      </c>
      <c r="E303">
        <f t="shared" si="4"/>
        <v>110.166</v>
      </c>
      <c r="F303" t="str" cm="1">
        <f t="array" ref="F303">INDEX({"Pay as you go","Prediction_PACK","Prediction_Payasyougo","Competitor"},MATCH(MIN(A303:D303), A303:D303, 0))</f>
        <v>Prediction_Payasyougo</v>
      </c>
    </row>
    <row r="304" spans="1:6" x14ac:dyDescent="0.25">
      <c r="A304">
        <v>171.67400000000001</v>
      </c>
      <c r="B304">
        <v>147.88</v>
      </c>
      <c r="C304">
        <v>145.0095</v>
      </c>
      <c r="D304">
        <v>179.88</v>
      </c>
      <c r="E304">
        <f t="shared" si="4"/>
        <v>145.0095</v>
      </c>
      <c r="F304" t="str" cm="1">
        <f t="array" ref="F304">INDEX({"Pay as you go","Prediction_PACK","Prediction_Payasyougo","Competitor"},MATCH(MIN(A304:D304), A304:D304, 0))</f>
        <v>Prediction_Payasyougo</v>
      </c>
    </row>
    <row r="305" spans="1:6" x14ac:dyDescent="0.25">
      <c r="A305">
        <v>123.848</v>
      </c>
      <c r="B305">
        <v>111.88</v>
      </c>
      <c r="C305">
        <v>108.042</v>
      </c>
      <c r="D305">
        <v>139.88</v>
      </c>
      <c r="E305">
        <f t="shared" si="4"/>
        <v>108.042</v>
      </c>
      <c r="F305" t="str" cm="1">
        <f t="array" ref="F305">INDEX({"Pay as you go","Prediction_PACK","Prediction_Payasyougo","Competitor"},MATCH(MIN(A305:D305), A305:D305, 0))</f>
        <v>Prediction_Payasyougo</v>
      </c>
    </row>
    <row r="306" spans="1:6" x14ac:dyDescent="0.25">
      <c r="A306">
        <v>87.784000000000006</v>
      </c>
      <c r="B306">
        <v>107.88</v>
      </c>
      <c r="C306">
        <v>107.88</v>
      </c>
      <c r="D306">
        <v>129.88</v>
      </c>
      <c r="E306">
        <f t="shared" si="4"/>
        <v>87.784000000000006</v>
      </c>
      <c r="F306" t="str" cm="1">
        <f t="array" ref="F306">INDEX({"Pay as you go","Prediction_PACK","Prediction_Payasyougo","Competitor"},MATCH(MIN(A306:D306), A306:D306, 0))</f>
        <v>Pay as you go</v>
      </c>
    </row>
    <row r="307" spans="1:6" x14ac:dyDescent="0.25">
      <c r="A307">
        <v>112.283</v>
      </c>
      <c r="B307">
        <v>127.88</v>
      </c>
      <c r="C307">
        <v>127.752</v>
      </c>
      <c r="D307">
        <v>149.88</v>
      </c>
      <c r="E307">
        <f t="shared" si="4"/>
        <v>112.283</v>
      </c>
      <c r="F307" t="str" cm="1">
        <f t="array" ref="F307">INDEX({"Pay as you go","Prediction_PACK","Prediction_Payasyougo","Competitor"},MATCH(MIN(A307:D307), A307:D307, 0))</f>
        <v>Pay as you go</v>
      </c>
    </row>
    <row r="308" spans="1:6" x14ac:dyDescent="0.25">
      <c r="A308">
        <v>149.34899999999999</v>
      </c>
      <c r="B308">
        <v>137.88</v>
      </c>
      <c r="C308">
        <v>136.72499999999999</v>
      </c>
      <c r="D308">
        <v>159.88</v>
      </c>
      <c r="E308">
        <f t="shared" si="4"/>
        <v>136.72499999999999</v>
      </c>
      <c r="F308" t="str" cm="1">
        <f t="array" ref="F308">INDEX({"Pay as you go","Prediction_PACK","Prediction_Payasyougo","Competitor"},MATCH(MIN(A308:D308), A308:D308, 0))</f>
        <v>Prediction_Payasyougo</v>
      </c>
    </row>
    <row r="309" spans="1:6" x14ac:dyDescent="0.25">
      <c r="A309">
        <v>94.984999999999999</v>
      </c>
      <c r="B309">
        <v>107.88</v>
      </c>
      <c r="C309">
        <v>107.88</v>
      </c>
      <c r="D309">
        <v>119.88</v>
      </c>
      <c r="E309">
        <f t="shared" si="4"/>
        <v>94.984999999999999</v>
      </c>
      <c r="F309" t="str" cm="1">
        <f t="array" ref="F309">INDEX({"Pay as you go","Prediction_PACK","Prediction_Payasyougo","Competitor"},MATCH(MIN(A309:D309), A309:D309, 0))</f>
        <v>Pay as you go</v>
      </c>
    </row>
    <row r="310" spans="1:6" x14ac:dyDescent="0.25">
      <c r="A310">
        <v>188.06699999999998</v>
      </c>
      <c r="B310">
        <v>147.88</v>
      </c>
      <c r="C310">
        <v>156.10649999999998</v>
      </c>
      <c r="D310">
        <v>199.88</v>
      </c>
      <c r="E310">
        <f t="shared" si="4"/>
        <v>147.88</v>
      </c>
      <c r="F310" t="str" cm="1">
        <f t="array" ref="F310">INDEX({"Pay as you go","Prediction_PACK","Prediction_Payasyougo","Competitor"},MATCH(MIN(A310:D310), A310:D310, 0))</f>
        <v>Prediction_PACK</v>
      </c>
    </row>
    <row r="311" spans="1:6" x14ac:dyDescent="0.25">
      <c r="A311">
        <v>158.941</v>
      </c>
      <c r="B311">
        <v>147.88</v>
      </c>
      <c r="C311">
        <v>161.11949999999999</v>
      </c>
      <c r="D311">
        <v>159.88</v>
      </c>
      <c r="E311">
        <f t="shared" si="4"/>
        <v>147.88</v>
      </c>
      <c r="F311" t="str" cm="1">
        <f t="array" ref="F311">INDEX({"Pay as you go","Prediction_PACK","Prediction_Payasyougo","Competitor"},MATCH(MIN(A311:D311), A311:D311, 0))</f>
        <v>Prediction_PACK</v>
      </c>
    </row>
    <row r="312" spans="1:6" x14ac:dyDescent="0.25">
      <c r="A312">
        <v>186.37100000000001</v>
      </c>
      <c r="B312">
        <v>137.88</v>
      </c>
      <c r="C312">
        <v>152.13749999999999</v>
      </c>
      <c r="D312">
        <v>179.88</v>
      </c>
      <c r="E312">
        <f t="shared" si="4"/>
        <v>137.88</v>
      </c>
      <c r="F312" t="str" cm="1">
        <f t="array" ref="F312">INDEX({"Pay as you go","Prediction_PACK","Prediction_Payasyougo","Competitor"},MATCH(MIN(A312:D312), A312:D312, 0))</f>
        <v>Prediction_PACK</v>
      </c>
    </row>
    <row r="313" spans="1:6" x14ac:dyDescent="0.25">
      <c r="A313">
        <v>139.922</v>
      </c>
      <c r="B313">
        <v>123.88</v>
      </c>
      <c r="C313">
        <v>118.2795</v>
      </c>
      <c r="D313">
        <v>159.88</v>
      </c>
      <c r="E313">
        <f t="shared" si="4"/>
        <v>118.2795</v>
      </c>
      <c r="F313" t="str" cm="1">
        <f t="array" ref="F313">INDEX({"Pay as you go","Prediction_PACK","Prediction_Payasyougo","Competitor"},MATCH(MIN(A313:D313), A313:D313, 0))</f>
        <v>Prediction_Payasyougo</v>
      </c>
    </row>
    <row r="314" spans="1:6" x14ac:dyDescent="0.25">
      <c r="A314">
        <v>149.01500000000001</v>
      </c>
      <c r="B314">
        <v>127.88</v>
      </c>
      <c r="C314">
        <v>129.6105</v>
      </c>
      <c r="D314">
        <v>159.88</v>
      </c>
      <c r="E314">
        <f t="shared" si="4"/>
        <v>127.88</v>
      </c>
      <c r="F314" t="str" cm="1">
        <f t="array" ref="F314">INDEX({"Pay as you go","Prediction_PACK","Prediction_Payasyougo","Competitor"},MATCH(MIN(A314:D314), A314:D314, 0))</f>
        <v>Prediction_PACK</v>
      </c>
    </row>
    <row r="315" spans="1:6" x14ac:dyDescent="0.25">
      <c r="A315">
        <v>123.65700000000001</v>
      </c>
      <c r="B315">
        <v>127.88</v>
      </c>
      <c r="C315">
        <v>127.941</v>
      </c>
      <c r="D315">
        <v>139.88</v>
      </c>
      <c r="E315">
        <f t="shared" si="4"/>
        <v>123.65700000000001</v>
      </c>
      <c r="F315" t="str" cm="1">
        <f t="array" ref="F315">INDEX({"Pay as you go","Prediction_PACK","Prediction_Payasyougo","Competitor"},MATCH(MIN(A315:D315), A315:D315, 0))</f>
        <v>Pay as you go</v>
      </c>
    </row>
    <row r="316" spans="1:6" x14ac:dyDescent="0.25">
      <c r="A316">
        <v>154.29400000000001</v>
      </c>
      <c r="B316">
        <v>147.88</v>
      </c>
      <c r="C316">
        <v>155.13899999999998</v>
      </c>
      <c r="D316">
        <v>169.88</v>
      </c>
      <c r="E316">
        <f t="shared" si="4"/>
        <v>147.88</v>
      </c>
      <c r="F316" t="str" cm="1">
        <f t="array" ref="F316">INDEX({"Pay as you go","Prediction_PACK","Prediction_Payasyougo","Competitor"},MATCH(MIN(A316:D316), A316:D316, 0))</f>
        <v>Prediction_PACK</v>
      </c>
    </row>
    <row r="317" spans="1:6" x14ac:dyDescent="0.25">
      <c r="A317">
        <v>95.641000000000005</v>
      </c>
      <c r="B317">
        <v>107.88</v>
      </c>
      <c r="C317">
        <v>107.88</v>
      </c>
      <c r="D317">
        <v>134.88</v>
      </c>
      <c r="E317">
        <f t="shared" si="4"/>
        <v>95.641000000000005</v>
      </c>
      <c r="F317" t="str" cm="1">
        <f t="array" ref="F317">INDEX({"Pay as you go","Prediction_PACK","Prediction_Payasyougo","Competitor"},MATCH(MIN(A317:D317), A317:D317, 0))</f>
        <v>Pay as you go</v>
      </c>
    </row>
    <row r="318" spans="1:6" x14ac:dyDescent="0.25">
      <c r="A318">
        <v>114.876</v>
      </c>
      <c r="B318">
        <v>107.88</v>
      </c>
      <c r="C318">
        <v>107.88</v>
      </c>
      <c r="D318">
        <v>129.88</v>
      </c>
      <c r="E318">
        <f t="shared" si="4"/>
        <v>107.88</v>
      </c>
      <c r="F318" t="str" cm="1">
        <f t="array" ref="F318">INDEX({"Pay as you go","Prediction_PACK","Prediction_Payasyougo","Competitor"},MATCH(MIN(A318:D318), A318:D318, 0))</f>
        <v>Prediction_PACK</v>
      </c>
    </row>
    <row r="319" spans="1:6" x14ac:dyDescent="0.25">
      <c r="A319">
        <v>103.92699999999999</v>
      </c>
      <c r="B319">
        <v>122.88</v>
      </c>
      <c r="C319">
        <v>131.67149999999998</v>
      </c>
      <c r="D319">
        <v>149.88</v>
      </c>
      <c r="E319">
        <f t="shared" si="4"/>
        <v>103.92699999999999</v>
      </c>
      <c r="F319" t="str" cm="1">
        <f t="array" ref="F319">INDEX({"Pay as you go","Prediction_PACK","Prediction_Payasyougo","Competitor"},MATCH(MIN(A319:D319), A319:D319, 0))</f>
        <v>Pay as you go</v>
      </c>
    </row>
    <row r="320" spans="1:6" x14ac:dyDescent="0.25">
      <c r="A320">
        <v>136.82900000000001</v>
      </c>
      <c r="B320">
        <v>115.88</v>
      </c>
      <c r="C320">
        <v>112.9335</v>
      </c>
      <c r="D320">
        <v>149.88</v>
      </c>
      <c r="E320">
        <f t="shared" si="4"/>
        <v>112.9335</v>
      </c>
      <c r="F320" t="str" cm="1">
        <f t="array" ref="F320">INDEX({"Pay as you go","Prediction_PACK","Prediction_Payasyougo","Competitor"},MATCH(MIN(A320:D320), A320:D320, 0))</f>
        <v>Prediction_Payasyougo</v>
      </c>
    </row>
    <row r="321" spans="1:6" x14ac:dyDescent="0.25">
      <c r="A321">
        <v>120.327</v>
      </c>
      <c r="B321">
        <v>122.88</v>
      </c>
      <c r="C321">
        <v>131.92349999999999</v>
      </c>
      <c r="D321">
        <v>159.88</v>
      </c>
      <c r="E321">
        <f t="shared" si="4"/>
        <v>120.327</v>
      </c>
      <c r="F321" t="str" cm="1">
        <f t="array" ref="F321">INDEX({"Pay as you go","Prediction_PACK","Prediction_Payasyougo","Competitor"},MATCH(MIN(A321:D321), A321:D321, 0))</f>
        <v>Pay as you go</v>
      </c>
    </row>
    <row r="322" spans="1:6" x14ac:dyDescent="0.25">
      <c r="A322">
        <v>125.509</v>
      </c>
      <c r="B322">
        <v>107.88</v>
      </c>
      <c r="C322">
        <v>107.88</v>
      </c>
      <c r="D322">
        <v>134.88</v>
      </c>
      <c r="E322">
        <f t="shared" si="4"/>
        <v>107.88</v>
      </c>
      <c r="F322" t="str" cm="1">
        <f t="array" ref="F322">INDEX({"Pay as you go","Prediction_PACK","Prediction_Payasyougo","Competitor"},MATCH(MIN(A322:D322), A322:D322, 0))</f>
        <v>Prediction_PACK</v>
      </c>
    </row>
    <row r="323" spans="1:6" x14ac:dyDescent="0.25">
      <c r="A323">
        <v>107.61800000000001</v>
      </c>
      <c r="B323">
        <v>122.88</v>
      </c>
      <c r="C323">
        <v>138.59699999999998</v>
      </c>
      <c r="D323">
        <v>149.88</v>
      </c>
      <c r="E323">
        <f t="shared" si="4"/>
        <v>107.61800000000001</v>
      </c>
      <c r="F323" t="str" cm="1">
        <f t="array" ref="F323">INDEX({"Pay as you go","Prediction_PACK","Prediction_Payasyougo","Competitor"},MATCH(MIN(A323:D323), A323:D323, 0))</f>
        <v>Pay as you go</v>
      </c>
    </row>
    <row r="324" spans="1:6" x14ac:dyDescent="0.25">
      <c r="A324">
        <v>135.309</v>
      </c>
      <c r="B324">
        <v>137.88</v>
      </c>
      <c r="C324">
        <v>160.25099999999998</v>
      </c>
      <c r="D324">
        <v>149.88</v>
      </c>
      <c r="E324">
        <f t="shared" si="4"/>
        <v>135.309</v>
      </c>
      <c r="F324" t="str" cm="1">
        <f t="array" ref="F324">INDEX({"Pay as you go","Prediction_PACK","Prediction_Payasyougo","Competitor"},MATCH(MIN(A324:D324), A324:D324, 0))</f>
        <v>Pay as you go</v>
      </c>
    </row>
    <row r="325" spans="1:6" x14ac:dyDescent="0.25">
      <c r="A325">
        <v>112.15</v>
      </c>
      <c r="B325">
        <v>115.88</v>
      </c>
      <c r="C325">
        <v>113.47799999999999</v>
      </c>
      <c r="D325">
        <v>149.88</v>
      </c>
      <c r="E325">
        <f t="shared" si="4"/>
        <v>112.15</v>
      </c>
      <c r="F325" t="str" cm="1">
        <f t="array" ref="F325">INDEX({"Pay as you go","Prediction_PACK","Prediction_Payasyougo","Competitor"},MATCH(MIN(A325:D325), A325:D325, 0))</f>
        <v>Pay as you go</v>
      </c>
    </row>
    <row r="326" spans="1:6" x14ac:dyDescent="0.25">
      <c r="A326">
        <v>151.28299999999999</v>
      </c>
      <c r="B326">
        <v>147.88</v>
      </c>
      <c r="C326">
        <v>157.86599999999999</v>
      </c>
      <c r="D326">
        <v>179.88</v>
      </c>
      <c r="E326">
        <f t="shared" si="4"/>
        <v>147.88</v>
      </c>
      <c r="F326" t="str" cm="1">
        <f t="array" ref="F326">INDEX({"Pay as you go","Prediction_PACK","Prediction_Payasyougo","Competitor"},MATCH(MIN(A326:D326), A326:D326, 0))</f>
        <v>Prediction_PACK</v>
      </c>
    </row>
    <row r="327" spans="1:6" x14ac:dyDescent="0.25">
      <c r="A327">
        <v>208.239</v>
      </c>
      <c r="B327">
        <v>143.88</v>
      </c>
      <c r="C327">
        <v>140.40600000000001</v>
      </c>
      <c r="D327">
        <v>179.88</v>
      </c>
      <c r="E327">
        <f t="shared" si="4"/>
        <v>140.40600000000001</v>
      </c>
      <c r="F327" t="str" cm="1">
        <f t="array" ref="F327">INDEX({"Pay as you go","Prediction_PACK","Prediction_Payasyougo","Competitor"},MATCH(MIN(A327:D327), A327:D327, 0))</f>
        <v>Prediction_Payasyougo</v>
      </c>
    </row>
    <row r="328" spans="1:6" x14ac:dyDescent="0.25">
      <c r="A328">
        <v>138.5</v>
      </c>
      <c r="B328">
        <v>137.88</v>
      </c>
      <c r="C328">
        <v>140.42399999999998</v>
      </c>
      <c r="D328">
        <v>159.88</v>
      </c>
      <c r="E328">
        <f t="shared" si="4"/>
        <v>137.88</v>
      </c>
      <c r="F328" t="str" cm="1">
        <f t="array" ref="F328">INDEX({"Pay as you go","Prediction_PACK","Prediction_Payasyougo","Competitor"},MATCH(MIN(A328:D328), A328:D328, 0))</f>
        <v>Prediction_PACK</v>
      </c>
    </row>
    <row r="329" spans="1:6" x14ac:dyDescent="0.25">
      <c r="A329">
        <v>108.105</v>
      </c>
      <c r="B329">
        <v>107.88</v>
      </c>
      <c r="C329">
        <v>107.88</v>
      </c>
      <c r="D329">
        <v>134.88</v>
      </c>
      <c r="E329">
        <f t="shared" ref="E329:E392" si="5">MIN(A329:D329)</f>
        <v>107.88</v>
      </c>
      <c r="F329" t="str" cm="1">
        <f t="array" ref="F329">INDEX({"Pay as you go","Prediction_PACK","Prediction_Payasyougo","Competitor"},MATCH(MIN(A329:D329), A329:D329, 0))</f>
        <v>Prediction_PACK</v>
      </c>
    </row>
    <row r="330" spans="1:6" x14ac:dyDescent="0.25">
      <c r="A330">
        <v>97.856000000000009</v>
      </c>
      <c r="B330">
        <v>115.88</v>
      </c>
      <c r="C330">
        <v>115.48049999999999</v>
      </c>
      <c r="D330">
        <v>139.88</v>
      </c>
      <c r="E330">
        <f t="shared" si="5"/>
        <v>97.856000000000009</v>
      </c>
      <c r="F330" t="str" cm="1">
        <f t="array" ref="F330">INDEX({"Pay as you go","Prediction_PACK","Prediction_Payasyougo","Competitor"},MATCH(MIN(A330:D330), A330:D330, 0))</f>
        <v>Pay as you go</v>
      </c>
    </row>
    <row r="331" spans="1:6" x14ac:dyDescent="0.25">
      <c r="A331">
        <v>116.22500000000001</v>
      </c>
      <c r="B331">
        <v>117.88</v>
      </c>
      <c r="C331">
        <v>127.34699999999999</v>
      </c>
      <c r="D331">
        <v>159.88</v>
      </c>
      <c r="E331">
        <f t="shared" si="5"/>
        <v>116.22500000000001</v>
      </c>
      <c r="F331" t="str" cm="1">
        <f t="array" ref="F331">INDEX({"Pay as you go","Prediction_PACK","Prediction_Payasyougo","Competitor"},MATCH(MIN(A331:D331), A331:D331, 0))</f>
        <v>Pay as you go</v>
      </c>
    </row>
    <row r="332" spans="1:6" x14ac:dyDescent="0.25">
      <c r="A332">
        <v>164.33499999999998</v>
      </c>
      <c r="B332">
        <v>123.88</v>
      </c>
      <c r="C332">
        <v>119.52149999999999</v>
      </c>
      <c r="D332">
        <v>179.88</v>
      </c>
      <c r="E332">
        <f t="shared" si="5"/>
        <v>119.52149999999999</v>
      </c>
      <c r="F332" t="str" cm="1">
        <f t="array" ref="F332">INDEX({"Pay as you go","Prediction_PACK","Prediction_Payasyougo","Competitor"},MATCH(MIN(A332:D332), A332:D332, 0))</f>
        <v>Prediction_Payasyougo</v>
      </c>
    </row>
    <row r="333" spans="1:6" x14ac:dyDescent="0.25">
      <c r="A333">
        <v>107.581</v>
      </c>
      <c r="B333">
        <v>117.88</v>
      </c>
      <c r="C333">
        <v>119.34599999999999</v>
      </c>
      <c r="D333">
        <v>129.88</v>
      </c>
      <c r="E333">
        <f t="shared" si="5"/>
        <v>107.581</v>
      </c>
      <c r="F333" t="str" cm="1">
        <f t="array" ref="F333">INDEX({"Pay as you go","Prediction_PACK","Prediction_Payasyougo","Competitor"},MATCH(MIN(A333:D333), A333:D333, 0))</f>
        <v>Pay as you go</v>
      </c>
    </row>
    <row r="334" spans="1:6" x14ac:dyDescent="0.25">
      <c r="A334">
        <v>122.864</v>
      </c>
      <c r="B334">
        <v>127.88</v>
      </c>
      <c r="C334">
        <v>124.80449999999999</v>
      </c>
      <c r="D334">
        <v>159.88</v>
      </c>
      <c r="E334">
        <f t="shared" si="5"/>
        <v>122.864</v>
      </c>
      <c r="F334" t="str" cm="1">
        <f t="array" ref="F334">INDEX({"Pay as you go","Prediction_PACK","Prediction_Payasyougo","Competitor"},MATCH(MIN(A334:D334), A334:D334, 0))</f>
        <v>Pay as you go</v>
      </c>
    </row>
    <row r="335" spans="1:6" x14ac:dyDescent="0.25">
      <c r="A335">
        <v>85.180999999999997</v>
      </c>
      <c r="B335">
        <v>107.88</v>
      </c>
      <c r="C335">
        <v>107.88</v>
      </c>
      <c r="D335">
        <v>134.88</v>
      </c>
      <c r="E335">
        <f t="shared" si="5"/>
        <v>85.180999999999997</v>
      </c>
      <c r="F335" t="str" cm="1">
        <f t="array" ref="F335">INDEX({"Pay as you go","Prediction_PACK","Prediction_Payasyougo","Competitor"},MATCH(MIN(A335:D335), A335:D335, 0))</f>
        <v>Pay as you go</v>
      </c>
    </row>
    <row r="336" spans="1:6" x14ac:dyDescent="0.25">
      <c r="A336">
        <v>92.213000000000008</v>
      </c>
      <c r="B336">
        <v>107.88</v>
      </c>
      <c r="C336">
        <v>107.88</v>
      </c>
      <c r="D336">
        <v>124.88</v>
      </c>
      <c r="E336">
        <f t="shared" si="5"/>
        <v>92.213000000000008</v>
      </c>
      <c r="F336" t="str" cm="1">
        <f t="array" ref="F336">INDEX({"Pay as you go","Prediction_PACK","Prediction_Payasyougo","Competitor"},MATCH(MIN(A336:D336), A336:D336, 0))</f>
        <v>Pay as you go</v>
      </c>
    </row>
    <row r="337" spans="1:6" x14ac:dyDescent="0.25">
      <c r="A337">
        <v>81.457000000000008</v>
      </c>
      <c r="B337">
        <v>107.88</v>
      </c>
      <c r="C337">
        <v>107.88</v>
      </c>
      <c r="D337">
        <v>129.88</v>
      </c>
      <c r="E337">
        <f t="shared" si="5"/>
        <v>81.457000000000008</v>
      </c>
      <c r="F337" t="str" cm="1">
        <f t="array" ref="F337">INDEX({"Pay as you go","Prediction_PACK","Prediction_Payasyougo","Competitor"},MATCH(MIN(A337:D337), A337:D337, 0))</f>
        <v>Pay as you go</v>
      </c>
    </row>
    <row r="338" spans="1:6" x14ac:dyDescent="0.25">
      <c r="A338">
        <v>100.55500000000001</v>
      </c>
      <c r="B338">
        <v>107.88</v>
      </c>
      <c r="C338">
        <v>107.88</v>
      </c>
      <c r="D338">
        <v>139.88</v>
      </c>
      <c r="E338">
        <f t="shared" si="5"/>
        <v>100.55500000000001</v>
      </c>
      <c r="F338" t="str" cm="1">
        <f t="array" ref="F338">INDEX({"Pay as you go","Prediction_PACK","Prediction_Payasyougo","Competitor"},MATCH(MIN(A338:D338), A338:D338, 0))</f>
        <v>Pay as you go</v>
      </c>
    </row>
    <row r="339" spans="1:6" x14ac:dyDescent="0.25">
      <c r="A339">
        <v>116.206</v>
      </c>
      <c r="B339">
        <v>115.88</v>
      </c>
      <c r="C339">
        <v>112.839</v>
      </c>
      <c r="D339">
        <v>139.88</v>
      </c>
      <c r="E339">
        <f t="shared" si="5"/>
        <v>112.839</v>
      </c>
      <c r="F339" t="str" cm="1">
        <f t="array" ref="F339">INDEX({"Pay as you go","Prediction_PACK","Prediction_Payasyougo","Competitor"},MATCH(MIN(A339:D339), A339:D339, 0))</f>
        <v>Prediction_Payasyougo</v>
      </c>
    </row>
    <row r="340" spans="1:6" x14ac:dyDescent="0.25">
      <c r="A340">
        <v>170.077</v>
      </c>
      <c r="B340">
        <v>147.88</v>
      </c>
      <c r="C340">
        <v>195.1035</v>
      </c>
      <c r="D340">
        <v>179.88</v>
      </c>
      <c r="E340">
        <f t="shared" si="5"/>
        <v>147.88</v>
      </c>
      <c r="F340" t="str" cm="1">
        <f t="array" ref="F340">INDEX({"Pay as you go","Prediction_PACK","Prediction_Payasyougo","Competitor"},MATCH(MIN(A340:D340), A340:D340, 0))</f>
        <v>Prediction_PACK</v>
      </c>
    </row>
    <row r="341" spans="1:6" x14ac:dyDescent="0.25">
      <c r="A341">
        <v>140.48500000000001</v>
      </c>
      <c r="B341">
        <v>115.88</v>
      </c>
      <c r="C341">
        <v>113.514</v>
      </c>
      <c r="D341">
        <v>159.88</v>
      </c>
      <c r="E341">
        <f t="shared" si="5"/>
        <v>113.514</v>
      </c>
      <c r="F341" t="str" cm="1">
        <f t="array" ref="F341">INDEX({"Pay as you go","Prediction_PACK","Prediction_Payasyougo","Competitor"},MATCH(MIN(A341:D341), A341:D341, 0))</f>
        <v>Prediction_Payasyougo</v>
      </c>
    </row>
    <row r="342" spans="1:6" x14ac:dyDescent="0.25">
      <c r="A342">
        <v>118.289</v>
      </c>
      <c r="B342">
        <v>127.88</v>
      </c>
      <c r="C342">
        <v>148.19549999999998</v>
      </c>
      <c r="D342">
        <v>149.88</v>
      </c>
      <c r="E342">
        <f t="shared" si="5"/>
        <v>118.289</v>
      </c>
      <c r="F342" t="str" cm="1">
        <f t="array" ref="F342">INDEX({"Pay as you go","Prediction_PACK","Prediction_Payasyougo","Competitor"},MATCH(MIN(A342:D342), A342:D342, 0))</f>
        <v>Pay as you go</v>
      </c>
    </row>
    <row r="343" spans="1:6" x14ac:dyDescent="0.25">
      <c r="A343">
        <v>87.616</v>
      </c>
      <c r="B343">
        <v>115.88</v>
      </c>
      <c r="C343">
        <v>115.863</v>
      </c>
      <c r="D343">
        <v>129.88</v>
      </c>
      <c r="E343">
        <f t="shared" si="5"/>
        <v>87.616</v>
      </c>
      <c r="F343" t="str" cm="1">
        <f t="array" ref="F343">INDEX({"Pay as you go","Prediction_PACK","Prediction_Payasyougo","Competitor"},MATCH(MIN(A343:D343), A343:D343, 0))</f>
        <v>Pay as you go</v>
      </c>
    </row>
    <row r="344" spans="1:6" x14ac:dyDescent="0.25">
      <c r="A344">
        <v>110.14200000000001</v>
      </c>
      <c r="B344">
        <v>107.88</v>
      </c>
      <c r="C344">
        <v>107.88</v>
      </c>
      <c r="D344">
        <v>134.88</v>
      </c>
      <c r="E344">
        <f t="shared" si="5"/>
        <v>107.88</v>
      </c>
      <c r="F344" t="str" cm="1">
        <f t="array" ref="F344">INDEX({"Pay as you go","Prediction_PACK","Prediction_Payasyougo","Competitor"},MATCH(MIN(A344:D344), A344:D344, 0))</f>
        <v>Prediction_PACK</v>
      </c>
    </row>
    <row r="345" spans="1:6" x14ac:dyDescent="0.25">
      <c r="A345">
        <v>104.61799999999999</v>
      </c>
      <c r="B345">
        <v>107.88</v>
      </c>
      <c r="C345">
        <v>107.88</v>
      </c>
      <c r="D345">
        <v>134.88</v>
      </c>
      <c r="E345">
        <f t="shared" si="5"/>
        <v>104.61799999999999</v>
      </c>
      <c r="F345" t="str" cm="1">
        <f t="array" ref="F345">INDEX({"Pay as you go","Prediction_PACK","Prediction_Payasyougo","Competitor"},MATCH(MIN(A345:D345), A345:D345, 0))</f>
        <v>Pay as you go</v>
      </c>
    </row>
    <row r="346" spans="1:6" x14ac:dyDescent="0.25">
      <c r="A346">
        <v>119.325</v>
      </c>
      <c r="B346">
        <v>111.88</v>
      </c>
      <c r="C346">
        <v>109.05</v>
      </c>
      <c r="D346">
        <v>144.88</v>
      </c>
      <c r="E346">
        <f t="shared" si="5"/>
        <v>109.05</v>
      </c>
      <c r="F346" t="str" cm="1">
        <f t="array" ref="F346">INDEX({"Pay as you go","Prediction_PACK","Prediction_Payasyougo","Competitor"},MATCH(MIN(A346:D346), A346:D346, 0))</f>
        <v>Prediction_Payasyougo</v>
      </c>
    </row>
    <row r="347" spans="1:6" x14ac:dyDescent="0.25">
      <c r="A347">
        <v>138.98400000000001</v>
      </c>
      <c r="B347">
        <v>135.88</v>
      </c>
      <c r="C347">
        <v>131.90099999999998</v>
      </c>
      <c r="D347">
        <v>169.88</v>
      </c>
      <c r="E347">
        <f t="shared" si="5"/>
        <v>131.90099999999998</v>
      </c>
      <c r="F347" t="str" cm="1">
        <f t="array" ref="F347">INDEX({"Pay as you go","Prediction_PACK","Prediction_Payasyougo","Competitor"},MATCH(MIN(A347:D347), A347:D347, 0))</f>
        <v>Prediction_Payasyougo</v>
      </c>
    </row>
    <row r="348" spans="1:6" x14ac:dyDescent="0.25">
      <c r="A348">
        <v>124.666</v>
      </c>
      <c r="B348">
        <v>127.88</v>
      </c>
      <c r="C348">
        <v>140.37899999999999</v>
      </c>
      <c r="D348">
        <v>159.88</v>
      </c>
      <c r="E348">
        <f t="shared" si="5"/>
        <v>124.666</v>
      </c>
      <c r="F348" t="str" cm="1">
        <f t="array" ref="F348">INDEX({"Pay as you go","Prediction_PACK","Prediction_Payasyougo","Competitor"},MATCH(MIN(A348:D348), A348:D348, 0))</f>
        <v>Pay as you go</v>
      </c>
    </row>
    <row r="349" spans="1:6" x14ac:dyDescent="0.25">
      <c r="A349">
        <v>202.45599999999999</v>
      </c>
      <c r="B349">
        <v>152.88</v>
      </c>
      <c r="C349">
        <v>180.40649999999999</v>
      </c>
      <c r="D349">
        <v>189.88</v>
      </c>
      <c r="E349">
        <f t="shared" si="5"/>
        <v>152.88</v>
      </c>
      <c r="F349" t="str" cm="1">
        <f t="array" ref="F349">INDEX({"Pay as you go","Prediction_PACK","Prediction_Payasyougo","Competitor"},MATCH(MIN(A349:D349), A349:D349, 0))</f>
        <v>Prediction_PACK</v>
      </c>
    </row>
    <row r="350" spans="1:6" x14ac:dyDescent="0.25">
      <c r="A350">
        <v>105.95099999999999</v>
      </c>
      <c r="B350">
        <v>107.88</v>
      </c>
      <c r="C350">
        <v>107.88</v>
      </c>
      <c r="D350">
        <v>134.88</v>
      </c>
      <c r="E350">
        <f t="shared" si="5"/>
        <v>105.95099999999999</v>
      </c>
      <c r="F350" t="str" cm="1">
        <f t="array" ref="F350">INDEX({"Pay as you go","Prediction_PACK","Prediction_Payasyougo","Competitor"},MATCH(MIN(A350:D350), A350:D350, 0))</f>
        <v>Pay as you go</v>
      </c>
    </row>
    <row r="351" spans="1:6" x14ac:dyDescent="0.25">
      <c r="A351">
        <v>106.262</v>
      </c>
      <c r="B351">
        <v>111.88</v>
      </c>
      <c r="C351">
        <v>109.752</v>
      </c>
      <c r="D351">
        <v>139.88</v>
      </c>
      <c r="E351">
        <f t="shared" si="5"/>
        <v>106.262</v>
      </c>
      <c r="F351" t="str" cm="1">
        <f t="array" ref="F351">INDEX({"Pay as you go","Prediction_PACK","Prediction_Payasyougo","Competitor"},MATCH(MIN(A351:D351), A351:D351, 0))</f>
        <v>Pay as you go</v>
      </c>
    </row>
    <row r="352" spans="1:6" x14ac:dyDescent="0.25">
      <c r="A352">
        <v>161.68200000000002</v>
      </c>
      <c r="B352">
        <v>127.88</v>
      </c>
      <c r="C352">
        <v>129.9975</v>
      </c>
      <c r="D352">
        <v>169.88</v>
      </c>
      <c r="E352">
        <f t="shared" si="5"/>
        <v>127.88</v>
      </c>
      <c r="F352" t="str" cm="1">
        <f t="array" ref="F352">INDEX({"Pay as you go","Prediction_PACK","Prediction_Payasyougo","Competitor"},MATCH(MIN(A352:D352), A352:D352, 0))</f>
        <v>Prediction_PACK</v>
      </c>
    </row>
    <row r="353" spans="1:6" x14ac:dyDescent="0.25">
      <c r="A353">
        <v>96.748999999999995</v>
      </c>
      <c r="B353">
        <v>115.88</v>
      </c>
      <c r="C353">
        <v>116.21849999999999</v>
      </c>
      <c r="D353">
        <v>129.88</v>
      </c>
      <c r="E353">
        <f t="shared" si="5"/>
        <v>96.748999999999995</v>
      </c>
      <c r="F353" t="str" cm="1">
        <f t="array" ref="F353">INDEX({"Pay as you go","Prediction_PACK","Prediction_Payasyougo","Competitor"},MATCH(MIN(A353:D353), A353:D353, 0))</f>
        <v>Pay as you go</v>
      </c>
    </row>
    <row r="354" spans="1:6" x14ac:dyDescent="0.25">
      <c r="A354">
        <v>153.69200000000001</v>
      </c>
      <c r="B354">
        <v>147.88</v>
      </c>
      <c r="C354">
        <v>159.11249999999998</v>
      </c>
      <c r="D354">
        <v>169.88</v>
      </c>
      <c r="E354">
        <f t="shared" si="5"/>
        <v>147.88</v>
      </c>
      <c r="F354" t="str" cm="1">
        <f t="array" ref="F354">INDEX({"Pay as you go","Prediction_PACK","Prediction_Payasyougo","Competitor"},MATCH(MIN(A354:D354), A354:D354, 0))</f>
        <v>Prediction_PACK</v>
      </c>
    </row>
    <row r="355" spans="1:6" x14ac:dyDescent="0.25">
      <c r="A355">
        <v>104.012</v>
      </c>
      <c r="B355">
        <v>127.88</v>
      </c>
      <c r="C355">
        <v>149.34299999999999</v>
      </c>
      <c r="D355">
        <v>149.88</v>
      </c>
      <c r="E355">
        <f t="shared" si="5"/>
        <v>104.012</v>
      </c>
      <c r="F355" t="str" cm="1">
        <f t="array" ref="F355">INDEX({"Pay as you go","Prediction_PACK","Prediction_Payasyougo","Competitor"},MATCH(MIN(A355:D355), A355:D355, 0))</f>
        <v>Pay as you go</v>
      </c>
    </row>
    <row r="356" spans="1:6" x14ac:dyDescent="0.25">
      <c r="A356">
        <v>136.489</v>
      </c>
      <c r="B356">
        <v>127.88</v>
      </c>
      <c r="C356">
        <v>132.92699999999999</v>
      </c>
      <c r="D356">
        <v>159.88</v>
      </c>
      <c r="E356">
        <f t="shared" si="5"/>
        <v>127.88</v>
      </c>
      <c r="F356" t="str" cm="1">
        <f t="array" ref="F356">INDEX({"Pay as you go","Prediction_PACK","Prediction_Payasyougo","Competitor"},MATCH(MIN(A356:D356), A356:D356, 0))</f>
        <v>Prediction_PACK</v>
      </c>
    </row>
    <row r="357" spans="1:6" x14ac:dyDescent="0.25">
      <c r="A357">
        <v>113.28700000000001</v>
      </c>
      <c r="B357">
        <v>123.88</v>
      </c>
      <c r="C357">
        <v>118.81049999999999</v>
      </c>
      <c r="D357">
        <v>139.88</v>
      </c>
      <c r="E357">
        <f t="shared" si="5"/>
        <v>113.28700000000001</v>
      </c>
      <c r="F357" t="str" cm="1">
        <f t="array" ref="F357">INDEX({"Pay as you go","Prediction_PACK","Prediction_Payasyougo","Competitor"},MATCH(MIN(A357:D357), A357:D357, 0))</f>
        <v>Pay as you go</v>
      </c>
    </row>
    <row r="358" spans="1:6" x14ac:dyDescent="0.25">
      <c r="A358">
        <v>115.214</v>
      </c>
      <c r="B358">
        <v>107.88</v>
      </c>
      <c r="C358">
        <v>107.88</v>
      </c>
      <c r="D358">
        <v>139.88</v>
      </c>
      <c r="E358">
        <f t="shared" si="5"/>
        <v>107.88</v>
      </c>
      <c r="F358" t="str" cm="1">
        <f t="array" ref="F358">INDEX({"Pay as you go","Prediction_PACK","Prediction_Payasyougo","Competitor"},MATCH(MIN(A358:D358), A358:D358, 0))</f>
        <v>Prediction_PACK</v>
      </c>
    </row>
    <row r="359" spans="1:6" x14ac:dyDescent="0.25">
      <c r="A359">
        <v>169.65800000000002</v>
      </c>
      <c r="B359">
        <v>147.88</v>
      </c>
      <c r="C359">
        <v>164.8185</v>
      </c>
      <c r="D359">
        <v>169.88</v>
      </c>
      <c r="E359">
        <f t="shared" si="5"/>
        <v>147.88</v>
      </c>
      <c r="F359" t="str" cm="1">
        <f t="array" ref="F359">INDEX({"Pay as you go","Prediction_PACK","Prediction_Payasyougo","Competitor"},MATCH(MIN(A359:D359), A359:D359, 0))</f>
        <v>Prediction_PACK</v>
      </c>
    </row>
    <row r="360" spans="1:6" x14ac:dyDescent="0.25">
      <c r="A360">
        <v>150.24</v>
      </c>
      <c r="B360">
        <v>127.88</v>
      </c>
      <c r="C360">
        <v>124.5615</v>
      </c>
      <c r="D360">
        <v>169.88</v>
      </c>
      <c r="E360">
        <f t="shared" si="5"/>
        <v>124.5615</v>
      </c>
      <c r="F360" t="str" cm="1">
        <f t="array" ref="F360">INDEX({"Pay as you go","Prediction_PACK","Prediction_Payasyougo","Competitor"},MATCH(MIN(A360:D360), A360:D360, 0))</f>
        <v>Prediction_Payasyougo</v>
      </c>
    </row>
    <row r="361" spans="1:6" x14ac:dyDescent="0.25">
      <c r="A361">
        <v>128.815</v>
      </c>
      <c r="B361">
        <v>127.88</v>
      </c>
      <c r="C361">
        <v>135.6045</v>
      </c>
      <c r="D361">
        <v>159.88</v>
      </c>
      <c r="E361">
        <f t="shared" si="5"/>
        <v>127.88</v>
      </c>
      <c r="F361" t="str" cm="1">
        <f t="array" ref="F361">INDEX({"Pay as you go","Prediction_PACK","Prediction_Payasyougo","Competitor"},MATCH(MIN(A361:D361), A361:D361, 0))</f>
        <v>Prediction_PACK</v>
      </c>
    </row>
    <row r="362" spans="1:6" x14ac:dyDescent="0.25">
      <c r="A362">
        <v>175.94800000000001</v>
      </c>
      <c r="B362">
        <v>127.88</v>
      </c>
      <c r="C362">
        <v>141.77850000000001</v>
      </c>
      <c r="D362">
        <v>169.88</v>
      </c>
      <c r="E362">
        <f t="shared" si="5"/>
        <v>127.88</v>
      </c>
      <c r="F362" t="str" cm="1">
        <f t="array" ref="F362">INDEX({"Pay as you go","Prediction_PACK","Prediction_Payasyougo","Competitor"},MATCH(MIN(A362:D362), A362:D362, 0))</f>
        <v>Prediction_PACK</v>
      </c>
    </row>
    <row r="363" spans="1:6" x14ac:dyDescent="0.25">
      <c r="A363">
        <v>211.71799999999999</v>
      </c>
      <c r="B363">
        <v>182.88</v>
      </c>
      <c r="C363">
        <v>226.86899999999997</v>
      </c>
      <c r="D363">
        <v>199.88</v>
      </c>
      <c r="E363">
        <f t="shared" si="5"/>
        <v>182.88</v>
      </c>
      <c r="F363" t="str" cm="1">
        <f t="array" ref="F363">INDEX({"Pay as you go","Prediction_PACK","Prediction_Payasyougo","Competitor"},MATCH(MIN(A363:D363), A363:D363, 0))</f>
        <v>Prediction_PACK</v>
      </c>
    </row>
    <row r="364" spans="1:6" x14ac:dyDescent="0.25">
      <c r="A364">
        <v>105.38</v>
      </c>
      <c r="B364">
        <v>117.88</v>
      </c>
      <c r="C364">
        <v>119.03999999999999</v>
      </c>
      <c r="D364">
        <v>129.88</v>
      </c>
      <c r="E364">
        <f t="shared" si="5"/>
        <v>105.38</v>
      </c>
      <c r="F364" t="str" cm="1">
        <f t="array" ref="F364">INDEX({"Pay as you go","Prediction_PACK","Prediction_Payasyougo","Competitor"},MATCH(MIN(A364:D364), A364:D364, 0))</f>
        <v>Pay as you go</v>
      </c>
    </row>
    <row r="365" spans="1:6" x14ac:dyDescent="0.25">
      <c r="A365">
        <v>180.87300000000002</v>
      </c>
      <c r="B365">
        <v>137.88</v>
      </c>
      <c r="C365">
        <v>160.50299999999999</v>
      </c>
      <c r="D365">
        <v>189.88</v>
      </c>
      <c r="E365">
        <f t="shared" si="5"/>
        <v>137.88</v>
      </c>
      <c r="F365" t="str" cm="1">
        <f t="array" ref="F365">INDEX({"Pay as you go","Prediction_PACK","Prediction_Payasyougo","Competitor"},MATCH(MIN(A365:D365), A365:D365, 0))</f>
        <v>Prediction_PACK</v>
      </c>
    </row>
    <row r="366" spans="1:6" x14ac:dyDescent="0.25">
      <c r="A366">
        <v>81.64</v>
      </c>
      <c r="B366">
        <v>107.88</v>
      </c>
      <c r="C366">
        <v>107.88</v>
      </c>
      <c r="D366">
        <v>124.88</v>
      </c>
      <c r="E366">
        <f t="shared" si="5"/>
        <v>81.64</v>
      </c>
      <c r="F366" t="str" cm="1">
        <f t="array" ref="F366">INDEX({"Pay as you go","Prediction_PACK","Prediction_Payasyougo","Competitor"},MATCH(MIN(A366:D366), A366:D366, 0))</f>
        <v>Pay as you go</v>
      </c>
    </row>
    <row r="367" spans="1:6" x14ac:dyDescent="0.25">
      <c r="A367">
        <v>102.959</v>
      </c>
      <c r="B367">
        <v>115.88</v>
      </c>
      <c r="C367">
        <v>114.58499999999999</v>
      </c>
      <c r="D367">
        <v>139.88</v>
      </c>
      <c r="E367">
        <f t="shared" si="5"/>
        <v>102.959</v>
      </c>
      <c r="F367" t="str" cm="1">
        <f t="array" ref="F367">INDEX({"Pay as you go","Prediction_PACK","Prediction_Payasyougo","Competitor"},MATCH(MIN(A367:D367), A367:D367, 0))</f>
        <v>Pay as you go</v>
      </c>
    </row>
    <row r="368" spans="1:6" x14ac:dyDescent="0.25">
      <c r="A368">
        <v>142.09</v>
      </c>
      <c r="B368">
        <v>131.88</v>
      </c>
      <c r="C368">
        <v>126.40199999999999</v>
      </c>
      <c r="D368">
        <v>149.88</v>
      </c>
      <c r="E368">
        <f t="shared" si="5"/>
        <v>126.40199999999999</v>
      </c>
      <c r="F368" t="str" cm="1">
        <f t="array" ref="F368">INDEX({"Pay as you go","Prediction_PACK","Prediction_Payasyougo","Competitor"},MATCH(MIN(A368:D368), A368:D368, 0))</f>
        <v>Prediction_Payasyougo</v>
      </c>
    </row>
    <row r="369" spans="1:6" x14ac:dyDescent="0.25">
      <c r="A369">
        <v>134.887</v>
      </c>
      <c r="B369">
        <v>107.88</v>
      </c>
      <c r="C369">
        <v>107.88</v>
      </c>
      <c r="D369">
        <v>134.88</v>
      </c>
      <c r="E369">
        <f t="shared" si="5"/>
        <v>107.88</v>
      </c>
      <c r="F369" t="str" cm="1">
        <f t="array" ref="F369">INDEX({"Pay as you go","Prediction_PACK","Prediction_Payasyougo","Competitor"},MATCH(MIN(A369:D369), A369:D369, 0))</f>
        <v>Prediction_PACK</v>
      </c>
    </row>
    <row r="370" spans="1:6" x14ac:dyDescent="0.25">
      <c r="A370">
        <v>103.63200000000001</v>
      </c>
      <c r="B370">
        <v>117.88</v>
      </c>
      <c r="C370">
        <v>127.761</v>
      </c>
      <c r="D370">
        <v>139.88</v>
      </c>
      <c r="E370">
        <f t="shared" si="5"/>
        <v>103.63200000000001</v>
      </c>
      <c r="F370" t="str" cm="1">
        <f t="array" ref="F370">INDEX({"Pay as you go","Prediction_PACK","Prediction_Payasyougo","Competitor"},MATCH(MIN(A370:D370), A370:D370, 0))</f>
        <v>Pay as you go</v>
      </c>
    </row>
    <row r="371" spans="1:6" x14ac:dyDescent="0.25">
      <c r="A371">
        <v>123.16300000000001</v>
      </c>
      <c r="B371">
        <v>122.88</v>
      </c>
      <c r="C371">
        <v>138.102</v>
      </c>
      <c r="D371">
        <v>149.88</v>
      </c>
      <c r="E371">
        <f t="shared" si="5"/>
        <v>122.88</v>
      </c>
      <c r="F371" t="str" cm="1">
        <f t="array" ref="F371">INDEX({"Pay as you go","Prediction_PACK","Prediction_Payasyougo","Competitor"},MATCH(MIN(A371:D371), A371:D371, 0))</f>
        <v>Prediction_PACK</v>
      </c>
    </row>
    <row r="372" spans="1:6" x14ac:dyDescent="0.25">
      <c r="A372">
        <v>137.00799999999998</v>
      </c>
      <c r="B372">
        <v>122.88</v>
      </c>
      <c r="C372">
        <v>136.57649999999998</v>
      </c>
      <c r="D372">
        <v>149.88</v>
      </c>
      <c r="E372">
        <f t="shared" si="5"/>
        <v>122.88</v>
      </c>
      <c r="F372" t="str" cm="1">
        <f t="array" ref="F372">INDEX({"Pay as you go","Prediction_PACK","Prediction_Payasyougo","Competitor"},MATCH(MIN(A372:D372), A372:D372, 0))</f>
        <v>Prediction_PACK</v>
      </c>
    </row>
    <row r="373" spans="1:6" x14ac:dyDescent="0.25">
      <c r="A373">
        <v>101.98599999999999</v>
      </c>
      <c r="B373">
        <v>127.88</v>
      </c>
      <c r="C373">
        <v>147.12899999999999</v>
      </c>
      <c r="D373">
        <v>149.88</v>
      </c>
      <c r="E373">
        <f t="shared" si="5"/>
        <v>101.98599999999999</v>
      </c>
      <c r="F373" t="str" cm="1">
        <f t="array" ref="F373">INDEX({"Pay as you go","Prediction_PACK","Prediction_Payasyougo","Competitor"},MATCH(MIN(A373:D373), A373:D373, 0))</f>
        <v>Pay as you go</v>
      </c>
    </row>
    <row r="374" spans="1:6" x14ac:dyDescent="0.25">
      <c r="A374">
        <v>112.41300000000001</v>
      </c>
      <c r="B374">
        <v>115.88</v>
      </c>
      <c r="C374">
        <v>116.63249999999999</v>
      </c>
      <c r="D374">
        <v>149.88</v>
      </c>
      <c r="E374">
        <f t="shared" si="5"/>
        <v>112.41300000000001</v>
      </c>
      <c r="F374" t="str" cm="1">
        <f t="array" ref="F374">INDEX({"Pay as you go","Prediction_PACK","Prediction_Payasyougo","Competitor"},MATCH(MIN(A374:D374), A374:D374, 0))</f>
        <v>Pay as you go</v>
      </c>
    </row>
    <row r="375" spans="1:6" x14ac:dyDescent="0.25">
      <c r="A375">
        <v>124.459</v>
      </c>
      <c r="B375">
        <v>111.88</v>
      </c>
      <c r="C375">
        <v>111.90299999999999</v>
      </c>
      <c r="D375">
        <v>149.88</v>
      </c>
      <c r="E375">
        <f t="shared" si="5"/>
        <v>111.88</v>
      </c>
      <c r="F375" t="str" cm="1">
        <f t="array" ref="F375">INDEX({"Pay as you go","Prediction_PACK","Prediction_Payasyougo","Competitor"},MATCH(MIN(A375:D375), A375:D375, 0))</f>
        <v>Prediction_PACK</v>
      </c>
    </row>
    <row r="376" spans="1:6" x14ac:dyDescent="0.25">
      <c r="A376">
        <v>148.149</v>
      </c>
      <c r="B376">
        <v>135.88</v>
      </c>
      <c r="C376">
        <v>132.333</v>
      </c>
      <c r="D376">
        <v>169.88</v>
      </c>
      <c r="E376">
        <f t="shared" si="5"/>
        <v>132.333</v>
      </c>
      <c r="F376" t="str" cm="1">
        <f t="array" ref="F376">INDEX({"Pay as you go","Prediction_PACK","Prediction_Payasyougo","Competitor"},MATCH(MIN(A376:D376), A376:D376, 0))</f>
        <v>Prediction_Payasyougo</v>
      </c>
    </row>
    <row r="377" spans="1:6" x14ac:dyDescent="0.25">
      <c r="A377">
        <v>78.209999999999994</v>
      </c>
      <c r="B377">
        <v>107.88</v>
      </c>
      <c r="C377">
        <v>107.88</v>
      </c>
      <c r="D377">
        <v>119.88</v>
      </c>
      <c r="E377">
        <f t="shared" si="5"/>
        <v>78.209999999999994</v>
      </c>
      <c r="F377" t="str" cm="1">
        <f t="array" ref="F377">INDEX({"Pay as you go","Prediction_PACK","Prediction_Payasyougo","Competitor"},MATCH(MIN(A377:D377), A377:D377, 0))</f>
        <v>Pay as you go</v>
      </c>
    </row>
    <row r="378" spans="1:6" x14ac:dyDescent="0.25">
      <c r="A378">
        <v>152.161</v>
      </c>
      <c r="B378">
        <v>147.88</v>
      </c>
      <c r="C378">
        <v>147.9615</v>
      </c>
      <c r="D378">
        <v>159.88</v>
      </c>
      <c r="E378">
        <f t="shared" si="5"/>
        <v>147.88</v>
      </c>
      <c r="F378" t="str" cm="1">
        <f t="array" ref="F378">INDEX({"Pay as you go","Prediction_PACK","Prediction_Payasyougo","Competitor"},MATCH(MIN(A378:D378), A378:D378, 0))</f>
        <v>Prediction_PACK</v>
      </c>
    </row>
    <row r="379" spans="1:6" x14ac:dyDescent="0.25">
      <c r="A379">
        <v>212.934</v>
      </c>
      <c r="B379">
        <v>167.88</v>
      </c>
      <c r="C379">
        <v>196.84949999999998</v>
      </c>
      <c r="D379">
        <v>199.88</v>
      </c>
      <c r="E379">
        <f t="shared" si="5"/>
        <v>167.88</v>
      </c>
      <c r="F379" t="str" cm="1">
        <f t="array" ref="F379">INDEX({"Pay as you go","Prediction_PACK","Prediction_Payasyougo","Competitor"},MATCH(MIN(A379:D379), A379:D379, 0))</f>
        <v>Prediction_PACK</v>
      </c>
    </row>
    <row r="380" spans="1:6" x14ac:dyDescent="0.25">
      <c r="A380">
        <v>132.471</v>
      </c>
      <c r="B380">
        <v>127.88</v>
      </c>
      <c r="C380">
        <v>136.96349999999998</v>
      </c>
      <c r="D380">
        <v>149.88</v>
      </c>
      <c r="E380">
        <f t="shared" si="5"/>
        <v>127.88</v>
      </c>
      <c r="F380" t="str" cm="1">
        <f t="array" ref="F380">INDEX({"Pay as you go","Prediction_PACK","Prediction_Payasyougo","Competitor"},MATCH(MIN(A380:D380), A380:D380, 0))</f>
        <v>Prediction_PACK</v>
      </c>
    </row>
    <row r="381" spans="1:6" x14ac:dyDescent="0.25">
      <c r="A381">
        <v>91.795000000000002</v>
      </c>
      <c r="B381">
        <v>117.88</v>
      </c>
      <c r="C381">
        <v>116.91149999999999</v>
      </c>
      <c r="D381">
        <v>139.88</v>
      </c>
      <c r="E381">
        <f t="shared" si="5"/>
        <v>91.795000000000002</v>
      </c>
      <c r="F381" t="str" cm="1">
        <f t="array" ref="F381">INDEX({"Pay as you go","Prediction_PACK","Prediction_Payasyougo","Competitor"},MATCH(MIN(A381:D381), A381:D381, 0))</f>
        <v>Pay as you go</v>
      </c>
    </row>
    <row r="382" spans="1:6" x14ac:dyDescent="0.25">
      <c r="A382">
        <v>129.96100000000001</v>
      </c>
      <c r="B382">
        <v>127.88</v>
      </c>
      <c r="C382">
        <v>133.36349999999999</v>
      </c>
      <c r="D382">
        <v>159.88</v>
      </c>
      <c r="E382">
        <f t="shared" si="5"/>
        <v>127.88</v>
      </c>
      <c r="F382" t="str" cm="1">
        <f t="array" ref="F382">INDEX({"Pay as you go","Prediction_PACK","Prediction_Payasyougo","Competitor"},MATCH(MIN(A382:D382), A382:D382, 0))</f>
        <v>Prediction_PACK</v>
      </c>
    </row>
    <row r="383" spans="1:6" x14ac:dyDescent="0.25">
      <c r="A383">
        <v>145.50200000000001</v>
      </c>
      <c r="B383">
        <v>115.88</v>
      </c>
      <c r="C383">
        <v>112.70399999999999</v>
      </c>
      <c r="D383">
        <v>149.88</v>
      </c>
      <c r="E383">
        <f t="shared" si="5"/>
        <v>112.70399999999999</v>
      </c>
      <c r="F383" t="str" cm="1">
        <f t="array" ref="F383">INDEX({"Pay as you go","Prediction_PACK","Prediction_Payasyougo","Competitor"},MATCH(MIN(A383:D383), A383:D383, 0))</f>
        <v>Prediction_Payasyougo</v>
      </c>
    </row>
    <row r="384" spans="1:6" x14ac:dyDescent="0.25">
      <c r="A384">
        <v>164.31200000000001</v>
      </c>
      <c r="B384">
        <v>137.88</v>
      </c>
      <c r="C384">
        <v>135.303</v>
      </c>
      <c r="D384">
        <v>179.88</v>
      </c>
      <c r="E384">
        <f t="shared" si="5"/>
        <v>135.303</v>
      </c>
      <c r="F384" t="str" cm="1">
        <f t="array" ref="F384">INDEX({"Pay as you go","Prediction_PACK","Prediction_Payasyougo","Competitor"},MATCH(MIN(A384:D384), A384:D384, 0))</f>
        <v>Prediction_Payasyougo</v>
      </c>
    </row>
    <row r="385" spans="1:6" x14ac:dyDescent="0.25">
      <c r="A385">
        <v>133.095</v>
      </c>
      <c r="B385">
        <v>111.88</v>
      </c>
      <c r="C385">
        <v>109.833</v>
      </c>
      <c r="D385">
        <v>154.88</v>
      </c>
      <c r="E385">
        <f t="shared" si="5"/>
        <v>109.833</v>
      </c>
      <c r="F385" t="str" cm="1">
        <f t="array" ref="F385">INDEX({"Pay as you go","Prediction_PACK","Prediction_Payasyougo","Competitor"},MATCH(MIN(A385:D385), A385:D385, 0))</f>
        <v>Prediction_Payasyougo</v>
      </c>
    </row>
    <row r="386" spans="1:6" x14ac:dyDescent="0.25">
      <c r="A386">
        <v>209.101</v>
      </c>
      <c r="B386">
        <v>147.88</v>
      </c>
      <c r="C386">
        <v>159.77850000000001</v>
      </c>
      <c r="D386">
        <v>209.88</v>
      </c>
      <c r="E386">
        <f t="shared" si="5"/>
        <v>147.88</v>
      </c>
      <c r="F386" t="str" cm="1">
        <f t="array" ref="F386">INDEX({"Pay as you go","Prediction_PACK","Prediction_Payasyougo","Competitor"},MATCH(MIN(A386:D386), A386:D386, 0))</f>
        <v>Prediction_PACK</v>
      </c>
    </row>
    <row r="387" spans="1:6" x14ac:dyDescent="0.25">
      <c r="A387">
        <v>174.434</v>
      </c>
      <c r="B387">
        <v>147.88</v>
      </c>
      <c r="C387">
        <v>168.74250000000001</v>
      </c>
      <c r="D387">
        <v>179.88</v>
      </c>
      <c r="E387">
        <f t="shared" si="5"/>
        <v>147.88</v>
      </c>
      <c r="F387" t="str" cm="1">
        <f t="array" ref="F387">INDEX({"Pay as you go","Prediction_PACK","Prediction_Payasyougo","Competitor"},MATCH(MIN(A387:D387), A387:D387, 0))</f>
        <v>Prediction_PACK</v>
      </c>
    </row>
    <row r="388" spans="1:6" x14ac:dyDescent="0.25">
      <c r="A388">
        <v>143.12700000000001</v>
      </c>
      <c r="B388">
        <v>123.88</v>
      </c>
      <c r="C388">
        <v>122.61749999999999</v>
      </c>
      <c r="D388">
        <v>159.88</v>
      </c>
      <c r="E388">
        <f t="shared" si="5"/>
        <v>122.61749999999999</v>
      </c>
      <c r="F388" t="str" cm="1">
        <f t="array" ref="F388">INDEX({"Pay as you go","Prediction_PACK","Prediction_Payasyougo","Competitor"},MATCH(MIN(A388:D388), A388:D388, 0))</f>
        <v>Prediction_Payasyougo</v>
      </c>
    </row>
    <row r="389" spans="1:6" x14ac:dyDescent="0.25">
      <c r="A389">
        <v>233.46299999999999</v>
      </c>
      <c r="B389">
        <v>182.88</v>
      </c>
      <c r="C389">
        <v>236.83199999999999</v>
      </c>
      <c r="D389">
        <v>219.88</v>
      </c>
      <c r="E389">
        <f t="shared" si="5"/>
        <v>182.88</v>
      </c>
      <c r="F389" t="str" cm="1">
        <f t="array" ref="F389">INDEX({"Pay as you go","Prediction_PACK","Prediction_Payasyougo","Competitor"},MATCH(MIN(A389:D389), A389:D389, 0))</f>
        <v>Prediction_PACK</v>
      </c>
    </row>
    <row r="390" spans="1:6" x14ac:dyDescent="0.25">
      <c r="A390">
        <v>234.75500000000002</v>
      </c>
      <c r="B390">
        <v>177.88</v>
      </c>
      <c r="C390">
        <v>209.625</v>
      </c>
      <c r="D390">
        <v>209.88</v>
      </c>
      <c r="E390">
        <f t="shared" si="5"/>
        <v>177.88</v>
      </c>
      <c r="F390" t="str" cm="1">
        <f t="array" ref="F390">INDEX({"Pay as you go","Prediction_PACK","Prediction_Payasyougo","Competitor"},MATCH(MIN(A390:D390), A390:D390, 0))</f>
        <v>Prediction_PACK</v>
      </c>
    </row>
    <row r="391" spans="1:6" x14ac:dyDescent="0.25">
      <c r="A391">
        <v>128.29300000000001</v>
      </c>
      <c r="B391">
        <v>127.88</v>
      </c>
      <c r="C391">
        <v>132.96299999999999</v>
      </c>
      <c r="D391">
        <v>149.88</v>
      </c>
      <c r="E391">
        <f t="shared" si="5"/>
        <v>127.88</v>
      </c>
      <c r="F391" t="str" cm="1">
        <f t="array" ref="F391">INDEX({"Pay as you go","Prediction_PACK","Prediction_Payasyougo","Competitor"},MATCH(MIN(A391:D391), A391:D391, 0))</f>
        <v>Prediction_PACK</v>
      </c>
    </row>
    <row r="392" spans="1:6" x14ac:dyDescent="0.25">
      <c r="A392">
        <v>79.203999999999994</v>
      </c>
      <c r="B392">
        <v>107.88</v>
      </c>
      <c r="C392">
        <v>107.88</v>
      </c>
      <c r="D392">
        <v>119.88</v>
      </c>
      <c r="E392">
        <f t="shared" si="5"/>
        <v>79.203999999999994</v>
      </c>
      <c r="F392" t="str" cm="1">
        <f t="array" ref="F392">INDEX({"Pay as you go","Prediction_PACK","Prediction_Payasyougo","Competitor"},MATCH(MIN(A392:D392), A392:D392, 0))</f>
        <v>Pay as you go</v>
      </c>
    </row>
    <row r="393" spans="1:6" x14ac:dyDescent="0.25">
      <c r="A393">
        <v>127.08199999999999</v>
      </c>
      <c r="B393">
        <v>123.88</v>
      </c>
      <c r="C393">
        <v>118.2885</v>
      </c>
      <c r="D393">
        <v>139.88</v>
      </c>
      <c r="E393">
        <f t="shared" ref="E393:E456" si="6">MIN(A393:D393)</f>
        <v>118.2885</v>
      </c>
      <c r="F393" t="str" cm="1">
        <f t="array" ref="F393">INDEX({"Pay as you go","Prediction_PACK","Prediction_Payasyougo","Competitor"},MATCH(MIN(A393:D393), A393:D393, 0))</f>
        <v>Prediction_Payasyougo</v>
      </c>
    </row>
    <row r="394" spans="1:6" x14ac:dyDescent="0.25">
      <c r="A394">
        <v>73.226000000000013</v>
      </c>
      <c r="B394">
        <v>115.88</v>
      </c>
      <c r="C394">
        <v>112.60499999999999</v>
      </c>
      <c r="D394">
        <v>129.88</v>
      </c>
      <c r="E394">
        <f t="shared" si="6"/>
        <v>73.226000000000013</v>
      </c>
      <c r="F394" t="str" cm="1">
        <f t="array" ref="F394">INDEX({"Pay as you go","Prediction_PACK","Prediction_Payasyougo","Competitor"},MATCH(MIN(A394:D394), A394:D394, 0))</f>
        <v>Pay as you go</v>
      </c>
    </row>
    <row r="395" spans="1:6" x14ac:dyDescent="0.25">
      <c r="A395">
        <v>100.358</v>
      </c>
      <c r="B395">
        <v>107.88</v>
      </c>
      <c r="C395">
        <v>107.88</v>
      </c>
      <c r="D395">
        <v>129.88</v>
      </c>
      <c r="E395">
        <f t="shared" si="6"/>
        <v>100.358</v>
      </c>
      <c r="F395" t="str" cm="1">
        <f t="array" ref="F395">INDEX({"Pay as you go","Prediction_PACK","Prediction_Payasyougo","Competitor"},MATCH(MIN(A395:D395), A395:D395, 0))</f>
        <v>Pay as you go</v>
      </c>
    </row>
    <row r="396" spans="1:6" x14ac:dyDescent="0.25">
      <c r="A396">
        <v>198.71700000000001</v>
      </c>
      <c r="B396">
        <v>147.88</v>
      </c>
      <c r="C396">
        <v>148.3485</v>
      </c>
      <c r="D396">
        <v>189.88</v>
      </c>
      <c r="E396">
        <f t="shared" si="6"/>
        <v>147.88</v>
      </c>
      <c r="F396" t="str" cm="1">
        <f t="array" ref="F396">INDEX({"Pay as you go","Prediction_PACK","Prediction_Payasyougo","Competitor"},MATCH(MIN(A396:D396), A396:D396, 0))</f>
        <v>Prediction_PACK</v>
      </c>
    </row>
    <row r="397" spans="1:6" x14ac:dyDescent="0.25">
      <c r="A397">
        <v>140.012</v>
      </c>
      <c r="B397">
        <v>117.88</v>
      </c>
      <c r="C397">
        <v>119.616</v>
      </c>
      <c r="D397">
        <v>149.88</v>
      </c>
      <c r="E397">
        <f t="shared" si="6"/>
        <v>117.88</v>
      </c>
      <c r="F397" t="str" cm="1">
        <f t="array" ref="F397">INDEX({"Pay as you go","Prediction_PACK","Prediction_Payasyougo","Competitor"},MATCH(MIN(A397:D397), A397:D397, 0))</f>
        <v>Prediction_PACK</v>
      </c>
    </row>
    <row r="398" spans="1:6" x14ac:dyDescent="0.25">
      <c r="A398">
        <v>91.161999999999992</v>
      </c>
      <c r="B398">
        <v>117.88</v>
      </c>
      <c r="C398">
        <v>118.14449999999999</v>
      </c>
      <c r="D398">
        <v>129.88</v>
      </c>
      <c r="E398">
        <f t="shared" si="6"/>
        <v>91.161999999999992</v>
      </c>
      <c r="F398" t="str" cm="1">
        <f t="array" ref="F398">INDEX({"Pay as you go","Prediction_PACK","Prediction_Payasyougo","Competitor"},MATCH(MIN(A398:D398), A398:D398, 0))</f>
        <v>Pay as you go</v>
      </c>
    </row>
    <row r="399" spans="1:6" x14ac:dyDescent="0.25">
      <c r="A399">
        <v>141.10500000000002</v>
      </c>
      <c r="B399">
        <v>137.88</v>
      </c>
      <c r="C399">
        <v>147.91199999999998</v>
      </c>
      <c r="D399">
        <v>169.88</v>
      </c>
      <c r="E399">
        <f t="shared" si="6"/>
        <v>137.88</v>
      </c>
      <c r="F399" t="str" cm="1">
        <f t="array" ref="F399">INDEX({"Pay as you go","Prediction_PACK","Prediction_Payasyougo","Competitor"},MATCH(MIN(A399:D399), A399:D399, 0))</f>
        <v>Prediction_PACK</v>
      </c>
    </row>
    <row r="400" spans="1:6" x14ac:dyDescent="0.25">
      <c r="A400">
        <v>146.57599999999999</v>
      </c>
      <c r="B400">
        <v>122.88</v>
      </c>
      <c r="C400">
        <v>138.84449999999998</v>
      </c>
      <c r="D400">
        <v>169.88</v>
      </c>
      <c r="E400">
        <f t="shared" si="6"/>
        <v>122.88</v>
      </c>
      <c r="F400" t="str" cm="1">
        <f t="array" ref="F400">INDEX({"Pay as you go","Prediction_PACK","Prediction_Payasyougo","Competitor"},MATCH(MIN(A400:D400), A400:D400, 0))</f>
        <v>Prediction_PACK</v>
      </c>
    </row>
    <row r="401" spans="1:6" x14ac:dyDescent="0.25">
      <c r="A401">
        <v>65.200999999999993</v>
      </c>
      <c r="B401">
        <v>107.88</v>
      </c>
      <c r="C401">
        <v>107.88</v>
      </c>
      <c r="D401">
        <v>119.88</v>
      </c>
      <c r="E401">
        <f t="shared" si="6"/>
        <v>65.200999999999993</v>
      </c>
      <c r="F401" t="str" cm="1">
        <f t="array" ref="F401">INDEX({"Pay as you go","Prediction_PACK","Prediction_Payasyougo","Competitor"},MATCH(MIN(A401:D401), A401:D401, 0))</f>
        <v>Pay as you go</v>
      </c>
    </row>
    <row r="402" spans="1:6" x14ac:dyDescent="0.25">
      <c r="A402">
        <v>189.46300000000002</v>
      </c>
      <c r="B402">
        <v>157.88</v>
      </c>
      <c r="C402">
        <v>156.70949999999999</v>
      </c>
      <c r="D402">
        <v>169.88</v>
      </c>
      <c r="E402">
        <f t="shared" si="6"/>
        <v>156.70949999999999</v>
      </c>
      <c r="F402" t="str" cm="1">
        <f t="array" ref="F402">INDEX({"Pay as you go","Prediction_PACK","Prediction_Payasyougo","Competitor"},MATCH(MIN(A402:D402), A402:D402, 0))</f>
        <v>Prediction_Payasyougo</v>
      </c>
    </row>
    <row r="403" spans="1:6" x14ac:dyDescent="0.25">
      <c r="A403">
        <v>98.964000000000013</v>
      </c>
      <c r="B403">
        <v>117.88</v>
      </c>
      <c r="C403">
        <v>117.04649999999999</v>
      </c>
      <c r="D403">
        <v>129.88</v>
      </c>
      <c r="E403">
        <f t="shared" si="6"/>
        <v>98.964000000000013</v>
      </c>
      <c r="F403" t="str" cm="1">
        <f t="array" ref="F403">INDEX({"Pay as you go","Prediction_PACK","Prediction_Payasyougo","Competitor"},MATCH(MIN(A403:D403), A403:D403, 0))</f>
        <v>Pay as you go</v>
      </c>
    </row>
    <row r="404" spans="1:6" x14ac:dyDescent="0.25">
      <c r="A404">
        <v>211.95100000000002</v>
      </c>
      <c r="B404">
        <v>157.88</v>
      </c>
      <c r="C404">
        <v>194.29349999999999</v>
      </c>
      <c r="D404">
        <v>189.88</v>
      </c>
      <c r="E404">
        <f t="shared" si="6"/>
        <v>157.88</v>
      </c>
      <c r="F404" t="str" cm="1">
        <f t="array" ref="F404">INDEX({"Pay as you go","Prediction_PACK","Prediction_Payasyougo","Competitor"},MATCH(MIN(A404:D404), A404:D404, 0))</f>
        <v>Prediction_PACK</v>
      </c>
    </row>
    <row r="405" spans="1:6" x14ac:dyDescent="0.25">
      <c r="A405">
        <v>108.87700000000001</v>
      </c>
      <c r="B405">
        <v>117.88</v>
      </c>
      <c r="C405">
        <v>117.12299999999999</v>
      </c>
      <c r="D405">
        <v>149.88</v>
      </c>
      <c r="E405">
        <f t="shared" si="6"/>
        <v>108.87700000000001</v>
      </c>
      <c r="F405" t="str" cm="1">
        <f t="array" ref="F405">INDEX({"Pay as you go","Prediction_PACK","Prediction_Payasyougo","Competitor"},MATCH(MIN(A405:D405), A405:D405, 0))</f>
        <v>Pay as you go</v>
      </c>
    </row>
    <row r="406" spans="1:6" x14ac:dyDescent="0.25">
      <c r="A406">
        <v>187.774</v>
      </c>
      <c r="B406">
        <v>147.88</v>
      </c>
      <c r="C406">
        <v>174.786</v>
      </c>
      <c r="D406">
        <v>199.88</v>
      </c>
      <c r="E406">
        <f t="shared" si="6"/>
        <v>147.88</v>
      </c>
      <c r="F406" t="str" cm="1">
        <f t="array" ref="F406">INDEX({"Pay as you go","Prediction_PACK","Prediction_Payasyougo","Competitor"},MATCH(MIN(A406:D406), A406:D406, 0))</f>
        <v>Prediction_PACK</v>
      </c>
    </row>
    <row r="407" spans="1:6" x14ac:dyDescent="0.25">
      <c r="A407">
        <v>109.33200000000001</v>
      </c>
      <c r="B407">
        <v>111.88</v>
      </c>
      <c r="C407">
        <v>107.952</v>
      </c>
      <c r="D407">
        <v>139.88</v>
      </c>
      <c r="E407">
        <f t="shared" si="6"/>
        <v>107.952</v>
      </c>
      <c r="F407" t="str" cm="1">
        <f t="array" ref="F407">INDEX({"Pay as you go","Prediction_PACK","Prediction_Payasyougo","Competitor"},MATCH(MIN(A407:D407), A407:D407, 0))</f>
        <v>Prediction_Payasyougo</v>
      </c>
    </row>
    <row r="408" spans="1:6" x14ac:dyDescent="0.25">
      <c r="A408">
        <v>92.775000000000006</v>
      </c>
      <c r="B408">
        <v>107.88</v>
      </c>
      <c r="C408">
        <v>107.88</v>
      </c>
      <c r="D408">
        <v>134.88</v>
      </c>
      <c r="E408">
        <f t="shared" si="6"/>
        <v>92.775000000000006</v>
      </c>
      <c r="F408" t="str" cm="1">
        <f t="array" ref="F408">INDEX({"Pay as you go","Prediction_PACK","Prediction_Payasyougo","Competitor"},MATCH(MIN(A408:D408), A408:D408, 0))</f>
        <v>Pay as you go</v>
      </c>
    </row>
    <row r="409" spans="1:6" x14ac:dyDescent="0.25">
      <c r="A409">
        <v>137.858</v>
      </c>
      <c r="B409">
        <v>123.88</v>
      </c>
      <c r="C409">
        <v>120.79499999999999</v>
      </c>
      <c r="D409">
        <v>159.88</v>
      </c>
      <c r="E409">
        <f t="shared" si="6"/>
        <v>120.79499999999999</v>
      </c>
      <c r="F409" t="str" cm="1">
        <f t="array" ref="F409">INDEX({"Pay as you go","Prediction_PACK","Prediction_Payasyougo","Competitor"},MATCH(MIN(A409:D409), A409:D409, 0))</f>
        <v>Prediction_Payasyougo</v>
      </c>
    </row>
    <row r="410" spans="1:6" x14ac:dyDescent="0.25">
      <c r="A410">
        <v>82.063000000000002</v>
      </c>
      <c r="B410">
        <v>107.88</v>
      </c>
      <c r="C410">
        <v>107.88</v>
      </c>
      <c r="D410">
        <v>129.88</v>
      </c>
      <c r="E410">
        <f t="shared" si="6"/>
        <v>82.063000000000002</v>
      </c>
      <c r="F410" t="str" cm="1">
        <f t="array" ref="F410">INDEX({"Pay as you go","Prediction_PACK","Prediction_Payasyougo","Competitor"},MATCH(MIN(A410:D410), A410:D410, 0))</f>
        <v>Pay as you go</v>
      </c>
    </row>
    <row r="411" spans="1:6" x14ac:dyDescent="0.25">
      <c r="A411">
        <v>111.11500000000001</v>
      </c>
      <c r="B411">
        <v>127.88</v>
      </c>
      <c r="C411">
        <v>147.87599999999998</v>
      </c>
      <c r="D411">
        <v>149.88</v>
      </c>
      <c r="E411">
        <f t="shared" si="6"/>
        <v>111.11500000000001</v>
      </c>
      <c r="F411" t="str" cm="1">
        <f t="array" ref="F411">INDEX({"Pay as you go","Prediction_PACK","Prediction_Payasyougo","Competitor"},MATCH(MIN(A411:D411), A411:D411, 0))</f>
        <v>Pay as you go</v>
      </c>
    </row>
    <row r="412" spans="1:6" x14ac:dyDescent="0.25">
      <c r="A412">
        <v>91.263000000000005</v>
      </c>
      <c r="B412">
        <v>111.88</v>
      </c>
      <c r="C412">
        <v>108.42</v>
      </c>
      <c r="D412">
        <v>129.88</v>
      </c>
      <c r="E412">
        <f t="shared" si="6"/>
        <v>91.263000000000005</v>
      </c>
      <c r="F412" t="str" cm="1">
        <f t="array" ref="F412">INDEX({"Pay as you go","Prediction_PACK","Prediction_Payasyougo","Competitor"},MATCH(MIN(A412:D412), A412:D412, 0))</f>
        <v>Pay as you go</v>
      </c>
    </row>
    <row r="413" spans="1:6" x14ac:dyDescent="0.25">
      <c r="A413">
        <v>109.709</v>
      </c>
      <c r="B413">
        <v>107.88</v>
      </c>
      <c r="C413">
        <v>107.88</v>
      </c>
      <c r="D413">
        <v>139.88</v>
      </c>
      <c r="E413">
        <f t="shared" si="6"/>
        <v>107.88</v>
      </c>
      <c r="F413" t="str" cm="1">
        <f t="array" ref="F413">INDEX({"Pay as you go","Prediction_PACK","Prediction_Payasyougo","Competitor"},MATCH(MIN(A413:D413), A413:D413, 0))</f>
        <v>Prediction_PACK</v>
      </c>
    </row>
    <row r="414" spans="1:6" x14ac:dyDescent="0.25">
      <c r="A414">
        <v>84.323999999999998</v>
      </c>
      <c r="B414">
        <v>107.88</v>
      </c>
      <c r="C414">
        <v>107.88</v>
      </c>
      <c r="D414">
        <v>119.88</v>
      </c>
      <c r="E414">
        <f t="shared" si="6"/>
        <v>84.323999999999998</v>
      </c>
      <c r="F414" t="str" cm="1">
        <f t="array" ref="F414">INDEX({"Pay as you go","Prediction_PACK","Prediction_Payasyougo","Competitor"},MATCH(MIN(A414:D414), A414:D414, 0))</f>
        <v>Pay as you go</v>
      </c>
    </row>
    <row r="415" spans="1:6" x14ac:dyDescent="0.25">
      <c r="A415">
        <v>114.075</v>
      </c>
      <c r="B415">
        <v>122.88</v>
      </c>
      <c r="C415">
        <v>131.208</v>
      </c>
      <c r="D415">
        <v>149.88</v>
      </c>
      <c r="E415">
        <f t="shared" si="6"/>
        <v>114.075</v>
      </c>
      <c r="F415" t="str" cm="1">
        <f t="array" ref="F415">INDEX({"Pay as you go","Prediction_PACK","Prediction_Payasyougo","Competitor"},MATCH(MIN(A415:D415), A415:D415, 0))</f>
        <v>Pay as you go</v>
      </c>
    </row>
    <row r="416" spans="1:6" x14ac:dyDescent="0.25">
      <c r="A416">
        <v>117.068</v>
      </c>
      <c r="B416">
        <v>122.88</v>
      </c>
      <c r="C416">
        <v>130.749</v>
      </c>
      <c r="D416">
        <v>149.88</v>
      </c>
      <c r="E416">
        <f t="shared" si="6"/>
        <v>117.068</v>
      </c>
      <c r="F416" t="str" cm="1">
        <f t="array" ref="F416">INDEX({"Pay as you go","Prediction_PACK","Prediction_Payasyougo","Competitor"},MATCH(MIN(A416:D416), A416:D416, 0))</f>
        <v>Pay as you go</v>
      </c>
    </row>
    <row r="417" spans="1:6" x14ac:dyDescent="0.25">
      <c r="A417">
        <v>85.185999999999993</v>
      </c>
      <c r="B417">
        <v>111.88</v>
      </c>
      <c r="C417">
        <v>110.553</v>
      </c>
      <c r="D417">
        <v>129.88</v>
      </c>
      <c r="E417">
        <f t="shared" si="6"/>
        <v>85.185999999999993</v>
      </c>
      <c r="F417" t="str" cm="1">
        <f t="array" ref="F417">INDEX({"Pay as you go","Prediction_PACK","Prediction_Payasyougo","Competitor"},MATCH(MIN(A417:D417), A417:D417, 0))</f>
        <v>Pay as you go</v>
      </c>
    </row>
    <row r="418" spans="1:6" x14ac:dyDescent="0.25">
      <c r="A418">
        <v>139.22799999999998</v>
      </c>
      <c r="B418">
        <v>127.88</v>
      </c>
      <c r="C418">
        <v>123.252</v>
      </c>
      <c r="D418">
        <v>139.88</v>
      </c>
      <c r="E418">
        <f t="shared" si="6"/>
        <v>123.252</v>
      </c>
      <c r="F418" t="str" cm="1">
        <f t="array" ref="F418">INDEX({"Pay as you go","Prediction_PACK","Prediction_Payasyougo","Competitor"},MATCH(MIN(A418:D418), A418:D418, 0))</f>
        <v>Prediction_Payasyougo</v>
      </c>
    </row>
    <row r="419" spans="1:6" x14ac:dyDescent="0.25">
      <c r="A419">
        <v>110.00700000000001</v>
      </c>
      <c r="B419">
        <v>111.88</v>
      </c>
      <c r="C419">
        <v>109.7295</v>
      </c>
      <c r="D419">
        <v>139.88</v>
      </c>
      <c r="E419">
        <f t="shared" si="6"/>
        <v>109.7295</v>
      </c>
      <c r="F419" t="str" cm="1">
        <f t="array" ref="F419">INDEX({"Pay as you go","Prediction_PACK","Prediction_Payasyougo","Competitor"},MATCH(MIN(A419:D419), A419:D419, 0))</f>
        <v>Prediction_Payasyougo</v>
      </c>
    </row>
    <row r="420" spans="1:6" x14ac:dyDescent="0.25">
      <c r="A420">
        <v>89.950999999999993</v>
      </c>
      <c r="B420">
        <v>107.88</v>
      </c>
      <c r="C420">
        <v>107.88</v>
      </c>
      <c r="D420">
        <v>119.88</v>
      </c>
      <c r="E420">
        <f t="shared" si="6"/>
        <v>89.950999999999993</v>
      </c>
      <c r="F420" t="str" cm="1">
        <f t="array" ref="F420">INDEX({"Pay as you go","Prediction_PACK","Prediction_Payasyougo","Competitor"},MATCH(MIN(A420:D420), A420:D420, 0))</f>
        <v>Pay as you go</v>
      </c>
    </row>
    <row r="421" spans="1:6" x14ac:dyDescent="0.25">
      <c r="A421">
        <v>108.435</v>
      </c>
      <c r="B421">
        <v>111.88</v>
      </c>
      <c r="C421">
        <v>111.50699999999999</v>
      </c>
      <c r="D421">
        <v>139.88</v>
      </c>
      <c r="E421">
        <f t="shared" si="6"/>
        <v>108.435</v>
      </c>
      <c r="F421" t="str" cm="1">
        <f t="array" ref="F421">INDEX({"Pay as you go","Prediction_PACK","Prediction_Payasyougo","Competitor"},MATCH(MIN(A421:D421), A421:D421, 0))</f>
        <v>Pay as you go</v>
      </c>
    </row>
    <row r="422" spans="1:6" x14ac:dyDescent="0.25">
      <c r="A422">
        <v>159.31799999999998</v>
      </c>
      <c r="B422">
        <v>137.88</v>
      </c>
      <c r="C422">
        <v>149.29349999999999</v>
      </c>
      <c r="D422">
        <v>169.88</v>
      </c>
      <c r="E422">
        <f t="shared" si="6"/>
        <v>137.88</v>
      </c>
      <c r="F422" t="str" cm="1">
        <f t="array" ref="F422">INDEX({"Pay as you go","Prediction_PACK","Prediction_Payasyougo","Competitor"},MATCH(MIN(A422:D422), A422:D422, 0))</f>
        <v>Prediction_PACK</v>
      </c>
    </row>
    <row r="423" spans="1:6" x14ac:dyDescent="0.25">
      <c r="A423">
        <v>182.209</v>
      </c>
      <c r="B423">
        <v>147.88</v>
      </c>
      <c r="C423">
        <v>149.61750000000001</v>
      </c>
      <c r="D423">
        <v>189.88</v>
      </c>
      <c r="E423">
        <f t="shared" si="6"/>
        <v>147.88</v>
      </c>
      <c r="F423" t="str" cm="1">
        <f t="array" ref="F423">INDEX({"Pay as you go","Prediction_PACK","Prediction_Payasyougo","Competitor"},MATCH(MIN(A423:D423), A423:D423, 0))</f>
        <v>Prediction_PACK</v>
      </c>
    </row>
    <row r="424" spans="1:6" x14ac:dyDescent="0.25">
      <c r="A424">
        <v>265.73699999999997</v>
      </c>
      <c r="B424">
        <v>207.88</v>
      </c>
      <c r="C424">
        <v>267.66149999999999</v>
      </c>
      <c r="D424">
        <v>239.88</v>
      </c>
      <c r="E424">
        <f t="shared" si="6"/>
        <v>207.88</v>
      </c>
      <c r="F424" t="str" cm="1">
        <f t="array" ref="F424">INDEX({"Pay as you go","Prediction_PACK","Prediction_Payasyougo","Competitor"},MATCH(MIN(A424:D424), A424:D424, 0))</f>
        <v>Prediction_PACK</v>
      </c>
    </row>
    <row r="425" spans="1:6" x14ac:dyDescent="0.25">
      <c r="A425">
        <v>139.88900000000001</v>
      </c>
      <c r="B425">
        <v>147.88</v>
      </c>
      <c r="C425">
        <v>164.41800000000001</v>
      </c>
      <c r="D425">
        <v>169.88</v>
      </c>
      <c r="E425">
        <f t="shared" si="6"/>
        <v>139.88900000000001</v>
      </c>
      <c r="F425" t="str" cm="1">
        <f t="array" ref="F425">INDEX({"Pay as you go","Prediction_PACK","Prediction_Payasyougo","Competitor"},MATCH(MIN(A425:D425), A425:D425, 0))</f>
        <v>Pay as you go</v>
      </c>
    </row>
    <row r="426" spans="1:6" x14ac:dyDescent="0.25">
      <c r="A426">
        <v>95.558000000000007</v>
      </c>
      <c r="B426">
        <v>111.88</v>
      </c>
      <c r="C426">
        <v>108.42</v>
      </c>
      <c r="D426">
        <v>129.88</v>
      </c>
      <c r="E426">
        <f t="shared" si="6"/>
        <v>95.558000000000007</v>
      </c>
      <c r="F426" t="str" cm="1">
        <f t="array" ref="F426">INDEX({"Pay as you go","Prediction_PACK","Prediction_Payasyougo","Competitor"},MATCH(MIN(A426:D426), A426:D426, 0))</f>
        <v>Pay as you go</v>
      </c>
    </row>
    <row r="427" spans="1:6" x14ac:dyDescent="0.25">
      <c r="A427">
        <v>130.73099999999999</v>
      </c>
      <c r="B427">
        <v>137.88</v>
      </c>
      <c r="C427">
        <v>155.535</v>
      </c>
      <c r="D427">
        <v>149.88</v>
      </c>
      <c r="E427">
        <f t="shared" si="6"/>
        <v>130.73099999999999</v>
      </c>
      <c r="F427" t="str" cm="1">
        <f t="array" ref="F427">INDEX({"Pay as you go","Prediction_PACK","Prediction_Payasyougo","Competitor"},MATCH(MIN(A427:D427), A427:D427, 0))</f>
        <v>Pay as you go</v>
      </c>
    </row>
    <row r="428" spans="1:6" x14ac:dyDescent="0.25">
      <c r="A428">
        <v>182.50500000000002</v>
      </c>
      <c r="B428">
        <v>177.88</v>
      </c>
      <c r="C428">
        <v>196.755</v>
      </c>
      <c r="D428">
        <v>189.88</v>
      </c>
      <c r="E428">
        <f t="shared" si="6"/>
        <v>177.88</v>
      </c>
      <c r="F428" t="str" cm="1">
        <f t="array" ref="F428">INDEX({"Pay as you go","Prediction_PACK","Prediction_Payasyougo","Competitor"},MATCH(MIN(A428:D428), A428:D428, 0))</f>
        <v>Prediction_PACK</v>
      </c>
    </row>
    <row r="429" spans="1:6" x14ac:dyDescent="0.25">
      <c r="A429">
        <v>115.202</v>
      </c>
      <c r="B429">
        <v>123.88</v>
      </c>
      <c r="C429">
        <v>120.48899999999999</v>
      </c>
      <c r="D429">
        <v>139.88</v>
      </c>
      <c r="E429">
        <f t="shared" si="6"/>
        <v>115.202</v>
      </c>
      <c r="F429" t="str" cm="1">
        <f t="array" ref="F429">INDEX({"Pay as you go","Prediction_PACK","Prediction_Payasyougo","Competitor"},MATCH(MIN(A429:D429), A429:D429, 0))</f>
        <v>Pay as you go</v>
      </c>
    </row>
    <row r="430" spans="1:6" x14ac:dyDescent="0.25">
      <c r="A430">
        <v>52.500999999999998</v>
      </c>
      <c r="B430">
        <v>107.88</v>
      </c>
      <c r="C430">
        <v>107.88</v>
      </c>
      <c r="D430">
        <v>119.88</v>
      </c>
      <c r="E430">
        <f t="shared" si="6"/>
        <v>52.500999999999998</v>
      </c>
      <c r="F430" t="str" cm="1">
        <f t="array" ref="F430">INDEX({"Pay as you go","Prediction_PACK","Prediction_Payasyougo","Competitor"},MATCH(MIN(A430:D430), A430:D430, 0))</f>
        <v>Pay as you go</v>
      </c>
    </row>
    <row r="431" spans="1:6" x14ac:dyDescent="0.25">
      <c r="A431">
        <v>138.321</v>
      </c>
      <c r="B431">
        <v>117.88</v>
      </c>
      <c r="C431">
        <v>122.64449999999999</v>
      </c>
      <c r="D431">
        <v>159.88</v>
      </c>
      <c r="E431">
        <f t="shared" si="6"/>
        <v>117.88</v>
      </c>
      <c r="F431" t="str" cm="1">
        <f t="array" ref="F431">INDEX({"Pay as you go","Prediction_PACK","Prediction_Payasyougo","Competitor"},MATCH(MIN(A431:D431), A431:D431, 0))</f>
        <v>Prediction_PACK</v>
      </c>
    </row>
    <row r="432" spans="1:6" x14ac:dyDescent="0.25">
      <c r="A432">
        <v>101.038</v>
      </c>
      <c r="B432">
        <v>117.88</v>
      </c>
      <c r="C432">
        <v>118.2435</v>
      </c>
      <c r="D432">
        <v>139.88</v>
      </c>
      <c r="E432">
        <f t="shared" si="6"/>
        <v>101.038</v>
      </c>
      <c r="F432" t="str" cm="1">
        <f t="array" ref="F432">INDEX({"Pay as you go","Prediction_PACK","Prediction_Payasyougo","Competitor"},MATCH(MIN(A432:D432), A432:D432, 0))</f>
        <v>Pay as you go</v>
      </c>
    </row>
    <row r="433" spans="1:6" x14ac:dyDescent="0.25">
      <c r="A433">
        <v>139.39700000000002</v>
      </c>
      <c r="B433">
        <v>137.88</v>
      </c>
      <c r="C433">
        <v>150.22049999999999</v>
      </c>
      <c r="D433">
        <v>169.88</v>
      </c>
      <c r="E433">
        <f t="shared" si="6"/>
        <v>137.88</v>
      </c>
      <c r="F433" t="str" cm="1">
        <f t="array" ref="F433">INDEX({"Pay as you go","Prediction_PACK","Prediction_Payasyougo","Competitor"},MATCH(MIN(A433:D433), A433:D433, 0))</f>
        <v>Prediction_PACK</v>
      </c>
    </row>
    <row r="434" spans="1:6" x14ac:dyDescent="0.25">
      <c r="A434">
        <v>91.13300000000001</v>
      </c>
      <c r="B434">
        <v>107.88</v>
      </c>
      <c r="C434">
        <v>107.88</v>
      </c>
      <c r="D434">
        <v>129.88</v>
      </c>
      <c r="E434">
        <f t="shared" si="6"/>
        <v>91.13300000000001</v>
      </c>
      <c r="F434" t="str" cm="1">
        <f t="array" ref="F434">INDEX({"Pay as you go","Prediction_PACK","Prediction_Payasyougo","Competitor"},MATCH(MIN(A434:D434), A434:D434, 0))</f>
        <v>Pay as you go</v>
      </c>
    </row>
    <row r="435" spans="1:6" x14ac:dyDescent="0.25">
      <c r="A435">
        <v>75.513000000000005</v>
      </c>
      <c r="B435">
        <v>107.88</v>
      </c>
      <c r="C435">
        <v>107.88</v>
      </c>
      <c r="D435">
        <v>129.88</v>
      </c>
      <c r="E435">
        <f t="shared" si="6"/>
        <v>75.513000000000005</v>
      </c>
      <c r="F435" t="str" cm="1">
        <f t="array" ref="F435">INDEX({"Pay as you go","Prediction_PACK","Prediction_Payasyougo","Competitor"},MATCH(MIN(A435:D435), A435:D435, 0))</f>
        <v>Pay as you go</v>
      </c>
    </row>
    <row r="436" spans="1:6" x14ac:dyDescent="0.25">
      <c r="A436">
        <v>74.347000000000008</v>
      </c>
      <c r="B436">
        <v>111.88</v>
      </c>
      <c r="C436">
        <v>109.83749999999999</v>
      </c>
      <c r="D436">
        <v>139.88</v>
      </c>
      <c r="E436">
        <f t="shared" si="6"/>
        <v>74.347000000000008</v>
      </c>
      <c r="F436" t="str" cm="1">
        <f t="array" ref="F436">INDEX({"Pay as you go","Prediction_PACK","Prediction_Payasyougo","Competitor"},MATCH(MIN(A436:D436), A436:D436, 0))</f>
        <v>Pay as you go</v>
      </c>
    </row>
    <row r="437" spans="1:6" x14ac:dyDescent="0.25">
      <c r="A437">
        <v>100.23</v>
      </c>
      <c r="B437">
        <v>107.88</v>
      </c>
      <c r="C437">
        <v>107.88</v>
      </c>
      <c r="D437">
        <v>129.88</v>
      </c>
      <c r="E437">
        <f t="shared" si="6"/>
        <v>100.23</v>
      </c>
      <c r="F437" t="str" cm="1">
        <f t="array" ref="F437">INDEX({"Pay as you go","Prediction_PACK","Prediction_Payasyougo","Competitor"},MATCH(MIN(A437:D437), A437:D437, 0))</f>
        <v>Pay as you go</v>
      </c>
    </row>
    <row r="438" spans="1:6" x14ac:dyDescent="0.25">
      <c r="A438">
        <v>105.28100000000001</v>
      </c>
      <c r="B438">
        <v>107.88</v>
      </c>
      <c r="C438">
        <v>107.88</v>
      </c>
      <c r="D438">
        <v>124.88</v>
      </c>
      <c r="E438">
        <f t="shared" si="6"/>
        <v>105.28100000000001</v>
      </c>
      <c r="F438" t="str" cm="1">
        <f t="array" ref="F438">INDEX({"Pay as you go","Prediction_PACK","Prediction_Payasyougo","Competitor"},MATCH(MIN(A438:D438), A438:D438, 0))</f>
        <v>Pay as you go</v>
      </c>
    </row>
    <row r="439" spans="1:6" x14ac:dyDescent="0.25">
      <c r="A439">
        <v>192.17600000000002</v>
      </c>
      <c r="B439">
        <v>167.88</v>
      </c>
      <c r="C439">
        <v>184.63200000000001</v>
      </c>
      <c r="D439">
        <v>189.88</v>
      </c>
      <c r="E439">
        <f t="shared" si="6"/>
        <v>167.88</v>
      </c>
      <c r="F439" t="str" cm="1">
        <f t="array" ref="F439">INDEX({"Pay as you go","Prediction_PACK","Prediction_Payasyougo","Competitor"},MATCH(MIN(A439:D439), A439:D439, 0))</f>
        <v>Prediction_PACK</v>
      </c>
    </row>
    <row r="440" spans="1:6" x14ac:dyDescent="0.25">
      <c r="A440">
        <v>113.089</v>
      </c>
      <c r="B440">
        <v>122.88</v>
      </c>
      <c r="C440">
        <v>131.154</v>
      </c>
      <c r="D440">
        <v>139.88</v>
      </c>
      <c r="E440">
        <f t="shared" si="6"/>
        <v>113.089</v>
      </c>
      <c r="F440" t="str" cm="1">
        <f t="array" ref="F440">INDEX({"Pay as you go","Prediction_PACK","Prediction_Payasyougo","Competitor"},MATCH(MIN(A440:D440), A440:D440, 0))</f>
        <v>Pay as you go</v>
      </c>
    </row>
    <row r="441" spans="1:6" x14ac:dyDescent="0.25">
      <c r="A441">
        <v>111.337</v>
      </c>
      <c r="B441">
        <v>117.88</v>
      </c>
      <c r="C441">
        <v>125.18249999999999</v>
      </c>
      <c r="D441">
        <v>139.88</v>
      </c>
      <c r="E441">
        <f t="shared" si="6"/>
        <v>111.337</v>
      </c>
      <c r="F441" t="str" cm="1">
        <f t="array" ref="F441">INDEX({"Pay as you go","Prediction_PACK","Prediction_Payasyougo","Competitor"},MATCH(MIN(A441:D441), A441:D441, 0))</f>
        <v>Pay as you go</v>
      </c>
    </row>
    <row r="442" spans="1:6" x14ac:dyDescent="0.25">
      <c r="A442">
        <v>116.268</v>
      </c>
      <c r="B442">
        <v>107.88</v>
      </c>
      <c r="C442">
        <v>107.88</v>
      </c>
      <c r="D442">
        <v>129.88</v>
      </c>
      <c r="E442">
        <f t="shared" si="6"/>
        <v>107.88</v>
      </c>
      <c r="F442" t="str" cm="1">
        <f t="array" ref="F442">INDEX({"Pay as you go","Prediction_PACK","Prediction_Payasyougo","Competitor"},MATCH(MIN(A442:D442), A442:D442, 0))</f>
        <v>Prediction_PACK</v>
      </c>
    </row>
    <row r="443" spans="1:6" x14ac:dyDescent="0.25">
      <c r="A443">
        <v>117.845</v>
      </c>
      <c r="B443">
        <v>115.88</v>
      </c>
      <c r="C443">
        <v>116.4345</v>
      </c>
      <c r="D443">
        <v>139.88</v>
      </c>
      <c r="E443">
        <f t="shared" si="6"/>
        <v>115.88</v>
      </c>
      <c r="F443" t="str" cm="1">
        <f t="array" ref="F443">INDEX({"Pay as you go","Prediction_PACK","Prediction_Payasyougo","Competitor"},MATCH(MIN(A443:D443), A443:D443, 0))</f>
        <v>Prediction_PACK</v>
      </c>
    </row>
    <row r="444" spans="1:6" x14ac:dyDescent="0.25">
      <c r="A444">
        <v>179.22</v>
      </c>
      <c r="B444">
        <v>115.88</v>
      </c>
      <c r="C444">
        <v>111.1245</v>
      </c>
      <c r="D444">
        <v>189.88</v>
      </c>
      <c r="E444">
        <f t="shared" si="6"/>
        <v>111.1245</v>
      </c>
      <c r="F444" t="str" cm="1">
        <f t="array" ref="F444">INDEX({"Pay as you go","Prediction_PACK","Prediction_Payasyougo","Competitor"},MATCH(MIN(A444:D444), A444:D444, 0))</f>
        <v>Prediction_Payasyougo</v>
      </c>
    </row>
    <row r="445" spans="1:6" x14ac:dyDescent="0.25">
      <c r="A445">
        <v>108.767</v>
      </c>
      <c r="B445">
        <v>122.88</v>
      </c>
      <c r="C445">
        <v>134.65949999999998</v>
      </c>
      <c r="D445">
        <v>139.88</v>
      </c>
      <c r="E445">
        <f t="shared" si="6"/>
        <v>108.767</v>
      </c>
      <c r="F445" t="str" cm="1">
        <f t="array" ref="F445">INDEX({"Pay as you go","Prediction_PACK","Prediction_Payasyougo","Competitor"},MATCH(MIN(A445:D445), A445:D445, 0))</f>
        <v>Pay as you go</v>
      </c>
    </row>
    <row r="446" spans="1:6" x14ac:dyDescent="0.25">
      <c r="A446">
        <v>135.358</v>
      </c>
      <c r="B446">
        <v>123.88</v>
      </c>
      <c r="C446">
        <v>121.82549999999999</v>
      </c>
      <c r="D446">
        <v>139.88</v>
      </c>
      <c r="E446">
        <f t="shared" si="6"/>
        <v>121.82549999999999</v>
      </c>
      <c r="F446" t="str" cm="1">
        <f t="array" ref="F446">INDEX({"Pay as you go","Prediction_PACK","Prediction_Payasyougo","Competitor"},MATCH(MIN(A446:D446), A446:D446, 0))</f>
        <v>Prediction_Payasyougo</v>
      </c>
    </row>
    <row r="447" spans="1:6" x14ac:dyDescent="0.25">
      <c r="A447">
        <v>117.035</v>
      </c>
      <c r="B447">
        <v>107.88</v>
      </c>
      <c r="C447">
        <v>107.88</v>
      </c>
      <c r="D447">
        <v>144.88</v>
      </c>
      <c r="E447">
        <f t="shared" si="6"/>
        <v>107.88</v>
      </c>
      <c r="F447" t="str" cm="1">
        <f t="array" ref="F447">INDEX({"Pay as you go","Prediction_PACK","Prediction_Payasyougo","Competitor"},MATCH(MIN(A447:D447), A447:D447, 0))</f>
        <v>Prediction_PACK</v>
      </c>
    </row>
    <row r="448" spans="1:6" x14ac:dyDescent="0.25">
      <c r="A448">
        <v>153.07500000000002</v>
      </c>
      <c r="B448">
        <v>137.88</v>
      </c>
      <c r="C448">
        <v>138.04349999999999</v>
      </c>
      <c r="D448">
        <v>169.88</v>
      </c>
      <c r="E448">
        <f t="shared" si="6"/>
        <v>137.88</v>
      </c>
      <c r="F448" t="str" cm="1">
        <f t="array" ref="F448">INDEX({"Pay as you go","Prediction_PACK","Prediction_Payasyougo","Competitor"},MATCH(MIN(A448:D448), A448:D448, 0))</f>
        <v>Prediction_PACK</v>
      </c>
    </row>
    <row r="449" spans="1:6" x14ac:dyDescent="0.25">
      <c r="A449">
        <v>192.20499999999998</v>
      </c>
      <c r="B449">
        <v>167.88</v>
      </c>
      <c r="C449">
        <v>160.41299999999998</v>
      </c>
      <c r="D449">
        <v>189.88</v>
      </c>
      <c r="E449">
        <f t="shared" si="6"/>
        <v>160.41299999999998</v>
      </c>
      <c r="F449" t="str" cm="1">
        <f t="array" ref="F449">INDEX({"Pay as you go","Prediction_PACK","Prediction_Payasyougo","Competitor"},MATCH(MIN(A449:D449), A449:D449, 0))</f>
        <v>Prediction_Payasyougo</v>
      </c>
    </row>
    <row r="450" spans="1:6" x14ac:dyDescent="0.25">
      <c r="A450">
        <v>130.428</v>
      </c>
      <c r="B450">
        <v>127.88</v>
      </c>
      <c r="C450">
        <v>132.79649999999998</v>
      </c>
      <c r="D450">
        <v>139.88</v>
      </c>
      <c r="E450">
        <f t="shared" si="6"/>
        <v>127.88</v>
      </c>
      <c r="F450" t="str" cm="1">
        <f t="array" ref="F450">INDEX({"Pay as you go","Prediction_PACK","Prediction_Payasyougo","Competitor"},MATCH(MIN(A450:D450), A450:D450, 0))</f>
        <v>Prediction_PACK</v>
      </c>
    </row>
    <row r="451" spans="1:6" x14ac:dyDescent="0.25">
      <c r="A451">
        <v>95.219000000000008</v>
      </c>
      <c r="B451">
        <v>117.88</v>
      </c>
      <c r="C451">
        <v>122.50049999999999</v>
      </c>
      <c r="D451">
        <v>149.88</v>
      </c>
      <c r="E451">
        <f t="shared" si="6"/>
        <v>95.219000000000008</v>
      </c>
      <c r="F451" t="str" cm="1">
        <f t="array" ref="F451">INDEX({"Pay as you go","Prediction_PACK","Prediction_Payasyougo","Competitor"},MATCH(MIN(A451:D451), A451:D451, 0))</f>
        <v>Pay as you go</v>
      </c>
    </row>
    <row r="452" spans="1:6" x14ac:dyDescent="0.25">
      <c r="A452">
        <v>173.62800000000001</v>
      </c>
      <c r="B452">
        <v>147.88</v>
      </c>
      <c r="C452">
        <v>148.7535</v>
      </c>
      <c r="D452">
        <v>199.88</v>
      </c>
      <c r="E452">
        <f t="shared" si="6"/>
        <v>147.88</v>
      </c>
      <c r="F452" t="str" cm="1">
        <f t="array" ref="F452">INDEX({"Pay as you go","Prediction_PACK","Prediction_Payasyougo","Competitor"},MATCH(MIN(A452:D452), A452:D452, 0))</f>
        <v>Prediction_PACK</v>
      </c>
    </row>
    <row r="453" spans="1:6" x14ac:dyDescent="0.25">
      <c r="A453">
        <v>179.60999999999999</v>
      </c>
      <c r="B453">
        <v>137.88</v>
      </c>
      <c r="C453">
        <v>146.697</v>
      </c>
      <c r="D453">
        <v>189.88</v>
      </c>
      <c r="E453">
        <f t="shared" si="6"/>
        <v>137.88</v>
      </c>
      <c r="F453" t="str" cm="1">
        <f t="array" ref="F453">INDEX({"Pay as you go","Prediction_PACK","Prediction_Payasyougo","Competitor"},MATCH(MIN(A453:D453), A453:D453, 0))</f>
        <v>Prediction_PACK</v>
      </c>
    </row>
    <row r="454" spans="1:6" x14ac:dyDescent="0.25">
      <c r="A454">
        <v>125.19200000000001</v>
      </c>
      <c r="B454">
        <v>131.88</v>
      </c>
      <c r="C454">
        <v>125.943</v>
      </c>
      <c r="D454">
        <v>149.88</v>
      </c>
      <c r="E454">
        <f t="shared" si="6"/>
        <v>125.19200000000001</v>
      </c>
      <c r="F454" t="str" cm="1">
        <f t="array" ref="F454">INDEX({"Pay as you go","Prediction_PACK","Prediction_Payasyougo","Competitor"},MATCH(MIN(A454:D454), A454:D454, 0))</f>
        <v>Pay as you go</v>
      </c>
    </row>
    <row r="455" spans="1:6" x14ac:dyDescent="0.25">
      <c r="A455">
        <v>160.04599999999999</v>
      </c>
      <c r="B455">
        <v>147.88</v>
      </c>
      <c r="C455">
        <v>150.8595</v>
      </c>
      <c r="D455">
        <v>169.88</v>
      </c>
      <c r="E455">
        <f t="shared" si="6"/>
        <v>147.88</v>
      </c>
      <c r="F455" t="str" cm="1">
        <f t="array" ref="F455">INDEX({"Pay as you go","Prediction_PACK","Prediction_Payasyougo","Competitor"},MATCH(MIN(A455:D455), A455:D455, 0))</f>
        <v>Prediction_PACK</v>
      </c>
    </row>
    <row r="456" spans="1:6" x14ac:dyDescent="0.25">
      <c r="A456">
        <v>156.44200000000001</v>
      </c>
      <c r="B456">
        <v>147.88</v>
      </c>
      <c r="C456">
        <v>160.41299999999998</v>
      </c>
      <c r="D456">
        <v>179.88</v>
      </c>
      <c r="E456">
        <f t="shared" si="6"/>
        <v>147.88</v>
      </c>
      <c r="F456" t="str" cm="1">
        <f t="array" ref="F456">INDEX({"Pay as you go","Prediction_PACK","Prediction_Payasyougo","Competitor"},MATCH(MIN(A456:D456), A456:D456, 0))</f>
        <v>Prediction_PACK</v>
      </c>
    </row>
    <row r="457" spans="1:6" x14ac:dyDescent="0.25">
      <c r="A457">
        <v>134.73099999999999</v>
      </c>
      <c r="B457">
        <v>137.88</v>
      </c>
      <c r="C457">
        <v>171.14099999999999</v>
      </c>
      <c r="D457">
        <v>169.88</v>
      </c>
      <c r="E457">
        <f t="shared" ref="E457:E520" si="7">MIN(A457:D457)</f>
        <v>134.73099999999999</v>
      </c>
      <c r="F457" t="str" cm="1">
        <f t="array" ref="F457">INDEX({"Pay as you go","Prediction_PACK","Prediction_Payasyougo","Competitor"},MATCH(MIN(A457:D457), A457:D457, 0))</f>
        <v>Pay as you go</v>
      </c>
    </row>
    <row r="458" spans="1:6" x14ac:dyDescent="0.25">
      <c r="A458">
        <v>116.402</v>
      </c>
      <c r="B458">
        <v>117.88</v>
      </c>
      <c r="C458">
        <v>122.47799999999999</v>
      </c>
      <c r="D458">
        <v>149.88</v>
      </c>
      <c r="E458">
        <f t="shared" si="7"/>
        <v>116.402</v>
      </c>
      <c r="F458" t="str" cm="1">
        <f t="array" ref="F458">INDEX({"Pay as you go","Prediction_PACK","Prediction_Payasyougo","Competitor"},MATCH(MIN(A458:D458), A458:D458, 0))</f>
        <v>Pay as you go</v>
      </c>
    </row>
    <row r="459" spans="1:6" x14ac:dyDescent="0.25">
      <c r="A459">
        <v>114.801</v>
      </c>
      <c r="B459">
        <v>117.88</v>
      </c>
      <c r="C459">
        <v>119.57549999999999</v>
      </c>
      <c r="D459">
        <v>149.88</v>
      </c>
      <c r="E459">
        <f t="shared" si="7"/>
        <v>114.801</v>
      </c>
      <c r="F459" t="str" cm="1">
        <f t="array" ref="F459">INDEX({"Pay as you go","Prediction_PACK","Prediction_Payasyougo","Competitor"},MATCH(MIN(A459:D459), A459:D459, 0))</f>
        <v>Pay as you go</v>
      </c>
    </row>
    <row r="460" spans="1:6" x14ac:dyDescent="0.25">
      <c r="A460">
        <v>139.66300000000001</v>
      </c>
      <c r="B460">
        <v>147.88</v>
      </c>
      <c r="C460">
        <v>140.58150000000001</v>
      </c>
      <c r="D460">
        <v>159.88</v>
      </c>
      <c r="E460">
        <f t="shared" si="7"/>
        <v>139.66300000000001</v>
      </c>
      <c r="F460" t="str" cm="1">
        <f t="array" ref="F460">INDEX({"Pay as you go","Prediction_PACK","Prediction_Payasyougo","Competitor"},MATCH(MIN(A460:D460), A460:D460, 0))</f>
        <v>Pay as you go</v>
      </c>
    </row>
    <row r="461" spans="1:6" x14ac:dyDescent="0.25">
      <c r="A461">
        <v>151.58500000000001</v>
      </c>
      <c r="B461">
        <v>127.88</v>
      </c>
      <c r="C461">
        <v>144.339</v>
      </c>
      <c r="D461">
        <v>159.88</v>
      </c>
      <c r="E461">
        <f t="shared" si="7"/>
        <v>127.88</v>
      </c>
      <c r="F461" t="str" cm="1">
        <f t="array" ref="F461">INDEX({"Pay as you go","Prediction_PACK","Prediction_Payasyougo","Competitor"},MATCH(MIN(A461:D461), A461:D461, 0))</f>
        <v>Prediction_PACK</v>
      </c>
    </row>
    <row r="462" spans="1:6" x14ac:dyDescent="0.25">
      <c r="A462">
        <v>114.60799999999999</v>
      </c>
      <c r="B462">
        <v>111.88</v>
      </c>
      <c r="C462">
        <v>110.7015</v>
      </c>
      <c r="D462">
        <v>144.88</v>
      </c>
      <c r="E462">
        <f t="shared" si="7"/>
        <v>110.7015</v>
      </c>
      <c r="F462" t="str" cm="1">
        <f t="array" ref="F462">INDEX({"Pay as you go","Prediction_PACK","Prediction_Payasyougo","Competitor"},MATCH(MIN(A462:D462), A462:D462, 0))</f>
        <v>Prediction_Payasyougo</v>
      </c>
    </row>
    <row r="463" spans="1:6" x14ac:dyDescent="0.25">
      <c r="A463">
        <v>161.947</v>
      </c>
      <c r="B463">
        <v>137.88</v>
      </c>
      <c r="C463">
        <v>157.6635</v>
      </c>
      <c r="D463">
        <v>179.88</v>
      </c>
      <c r="E463">
        <f t="shared" si="7"/>
        <v>137.88</v>
      </c>
      <c r="F463" t="str" cm="1">
        <f t="array" ref="F463">INDEX({"Pay as you go","Prediction_PACK","Prediction_Payasyougo","Competitor"},MATCH(MIN(A463:D463), A463:D463, 0))</f>
        <v>Prediction_PACK</v>
      </c>
    </row>
    <row r="464" spans="1:6" x14ac:dyDescent="0.25">
      <c r="A464">
        <v>148.97199999999998</v>
      </c>
      <c r="B464">
        <v>127.88</v>
      </c>
      <c r="C464">
        <v>152.02949999999998</v>
      </c>
      <c r="D464">
        <v>159.88</v>
      </c>
      <c r="E464">
        <f t="shared" si="7"/>
        <v>127.88</v>
      </c>
      <c r="F464" t="str" cm="1">
        <f t="array" ref="F464">INDEX({"Pay as you go","Prediction_PACK","Prediction_Payasyougo","Competitor"},MATCH(MIN(A464:D464), A464:D464, 0))</f>
        <v>Prediction_PACK</v>
      </c>
    </row>
    <row r="465" spans="1:6" x14ac:dyDescent="0.25">
      <c r="A465">
        <v>66.795000000000002</v>
      </c>
      <c r="B465">
        <v>107.88</v>
      </c>
      <c r="C465">
        <v>107.88</v>
      </c>
      <c r="D465">
        <v>119.88</v>
      </c>
      <c r="E465">
        <f t="shared" si="7"/>
        <v>66.795000000000002</v>
      </c>
      <c r="F465" t="str" cm="1">
        <f t="array" ref="F465">INDEX({"Pay as you go","Prediction_PACK","Prediction_Payasyougo","Competitor"},MATCH(MIN(A465:D465), A465:D465, 0))</f>
        <v>Pay as you go</v>
      </c>
    </row>
    <row r="466" spans="1:6" x14ac:dyDescent="0.25">
      <c r="A466">
        <v>155.316</v>
      </c>
      <c r="B466">
        <v>147.88</v>
      </c>
      <c r="C466">
        <v>175.68599999999998</v>
      </c>
      <c r="D466">
        <v>179.88</v>
      </c>
      <c r="E466">
        <f t="shared" si="7"/>
        <v>147.88</v>
      </c>
      <c r="F466" t="str" cm="1">
        <f t="array" ref="F466">INDEX({"Pay as you go","Prediction_PACK","Prediction_Payasyougo","Competitor"},MATCH(MIN(A466:D466), A466:D466, 0))</f>
        <v>Prediction_PACK</v>
      </c>
    </row>
    <row r="467" spans="1:6" x14ac:dyDescent="0.25">
      <c r="A467">
        <v>149.93799999999999</v>
      </c>
      <c r="B467">
        <v>122.88</v>
      </c>
      <c r="C467">
        <v>141.66149999999999</v>
      </c>
      <c r="D467">
        <v>169.88</v>
      </c>
      <c r="E467">
        <f t="shared" si="7"/>
        <v>122.88</v>
      </c>
      <c r="F467" t="str" cm="1">
        <f t="array" ref="F467">INDEX({"Pay as you go","Prediction_PACK","Prediction_Payasyougo","Competitor"},MATCH(MIN(A467:D467), A467:D467, 0))</f>
        <v>Prediction_PACK</v>
      </c>
    </row>
    <row r="468" spans="1:6" x14ac:dyDescent="0.25">
      <c r="A468">
        <v>174.40100000000001</v>
      </c>
      <c r="B468">
        <v>137.88</v>
      </c>
      <c r="C468">
        <v>157.17750000000001</v>
      </c>
      <c r="D468">
        <v>189.88</v>
      </c>
      <c r="E468">
        <f t="shared" si="7"/>
        <v>137.88</v>
      </c>
      <c r="F468" t="str" cm="1">
        <f t="array" ref="F468">INDEX({"Pay as you go","Prediction_PACK","Prediction_Payasyougo","Competitor"},MATCH(MIN(A468:D468), A468:D468, 0))</f>
        <v>Prediction_PACK</v>
      </c>
    </row>
    <row r="469" spans="1:6" x14ac:dyDescent="0.25">
      <c r="A469">
        <v>142.08800000000002</v>
      </c>
      <c r="B469">
        <v>127.88</v>
      </c>
      <c r="C469">
        <v>151.7595</v>
      </c>
      <c r="D469">
        <v>149.88</v>
      </c>
      <c r="E469">
        <f t="shared" si="7"/>
        <v>127.88</v>
      </c>
      <c r="F469" t="str" cm="1">
        <f t="array" ref="F469">INDEX({"Pay as you go","Prediction_PACK","Prediction_Payasyougo","Competitor"},MATCH(MIN(A469:D469), A469:D469, 0))</f>
        <v>Prediction_PACK</v>
      </c>
    </row>
    <row r="470" spans="1:6" x14ac:dyDescent="0.25">
      <c r="A470">
        <v>223.69799999999998</v>
      </c>
      <c r="B470">
        <v>182.88</v>
      </c>
      <c r="C470">
        <v>231.22499999999997</v>
      </c>
      <c r="D470">
        <v>209.88</v>
      </c>
      <c r="E470">
        <f t="shared" si="7"/>
        <v>182.88</v>
      </c>
      <c r="F470" t="str" cm="1">
        <f t="array" ref="F470">INDEX({"Pay as you go","Prediction_PACK","Prediction_Payasyougo","Competitor"},MATCH(MIN(A470:D470), A470:D470, 0))</f>
        <v>Prediction_PACK</v>
      </c>
    </row>
    <row r="471" spans="1:6" x14ac:dyDescent="0.25">
      <c r="A471">
        <v>144.05100000000002</v>
      </c>
      <c r="B471">
        <v>137.88</v>
      </c>
      <c r="C471">
        <v>149.93699999999998</v>
      </c>
      <c r="D471">
        <v>149.88</v>
      </c>
      <c r="E471">
        <f t="shared" si="7"/>
        <v>137.88</v>
      </c>
      <c r="F471" t="str" cm="1">
        <f t="array" ref="F471">INDEX({"Pay as you go","Prediction_PACK","Prediction_Payasyougo","Competitor"},MATCH(MIN(A471:D471), A471:D471, 0))</f>
        <v>Prediction_PACK</v>
      </c>
    </row>
    <row r="472" spans="1:6" x14ac:dyDescent="0.25">
      <c r="A472">
        <v>125.23099999999999</v>
      </c>
      <c r="B472">
        <v>115.88</v>
      </c>
      <c r="C472">
        <v>113.919</v>
      </c>
      <c r="D472">
        <v>149.88</v>
      </c>
      <c r="E472">
        <f t="shared" si="7"/>
        <v>113.919</v>
      </c>
      <c r="F472" t="str" cm="1">
        <f t="array" ref="F472">INDEX({"Pay as you go","Prediction_PACK","Prediction_Payasyougo","Competitor"},MATCH(MIN(A472:D472), A472:D472, 0))</f>
        <v>Prediction_Payasyougo</v>
      </c>
    </row>
    <row r="473" spans="1:6" x14ac:dyDescent="0.25">
      <c r="A473">
        <v>179.26399999999998</v>
      </c>
      <c r="B473">
        <v>152.88</v>
      </c>
      <c r="C473">
        <v>185.02799999999999</v>
      </c>
      <c r="D473">
        <v>199.88</v>
      </c>
      <c r="E473">
        <f t="shared" si="7"/>
        <v>152.88</v>
      </c>
      <c r="F473" t="str" cm="1">
        <f t="array" ref="F473">INDEX({"Pay as you go","Prediction_PACK","Prediction_Payasyougo","Competitor"},MATCH(MIN(A473:D473), A473:D473, 0))</f>
        <v>Prediction_PACK</v>
      </c>
    </row>
    <row r="474" spans="1:6" x14ac:dyDescent="0.25">
      <c r="A474">
        <v>96.7</v>
      </c>
      <c r="B474">
        <v>115.88</v>
      </c>
      <c r="C474">
        <v>114.4815</v>
      </c>
      <c r="D474">
        <v>129.88</v>
      </c>
      <c r="E474">
        <f t="shared" si="7"/>
        <v>96.7</v>
      </c>
      <c r="F474" t="str" cm="1">
        <f t="array" ref="F474">INDEX({"Pay as you go","Prediction_PACK","Prediction_Payasyougo","Competitor"},MATCH(MIN(A474:D474), A474:D474, 0))</f>
        <v>Pay as you go</v>
      </c>
    </row>
    <row r="475" spans="1:6" x14ac:dyDescent="0.25">
      <c r="A475">
        <v>122.45100000000001</v>
      </c>
      <c r="B475">
        <v>119.88</v>
      </c>
      <c r="C475">
        <v>113.05499999999999</v>
      </c>
      <c r="D475">
        <v>149.88</v>
      </c>
      <c r="E475">
        <f t="shared" si="7"/>
        <v>113.05499999999999</v>
      </c>
      <c r="F475" t="str" cm="1">
        <f t="array" ref="F475">INDEX({"Pay as you go","Prediction_PACK","Prediction_Payasyougo","Competitor"},MATCH(MIN(A475:D475), A475:D475, 0))</f>
        <v>Prediction_Payasyougo</v>
      </c>
    </row>
    <row r="476" spans="1:6" x14ac:dyDescent="0.25">
      <c r="A476">
        <v>102.994</v>
      </c>
      <c r="B476">
        <v>117.88</v>
      </c>
      <c r="C476">
        <v>122.20349999999999</v>
      </c>
      <c r="D476">
        <v>139.88</v>
      </c>
      <c r="E476">
        <f t="shared" si="7"/>
        <v>102.994</v>
      </c>
      <c r="F476" t="str" cm="1">
        <f t="array" ref="F476">INDEX({"Pay as you go","Prediction_PACK","Prediction_Payasyougo","Competitor"},MATCH(MIN(A476:D476), A476:D476, 0))</f>
        <v>Pay as you go</v>
      </c>
    </row>
    <row r="477" spans="1:6" x14ac:dyDescent="0.25">
      <c r="A477">
        <v>159.727</v>
      </c>
      <c r="B477">
        <v>137.88</v>
      </c>
      <c r="C477">
        <v>152.21850000000001</v>
      </c>
      <c r="D477">
        <v>189.88</v>
      </c>
      <c r="E477">
        <f t="shared" si="7"/>
        <v>137.88</v>
      </c>
      <c r="F477" t="str" cm="1">
        <f t="array" ref="F477">INDEX({"Pay as you go","Prediction_PACK","Prediction_Payasyougo","Competitor"},MATCH(MIN(A477:D477), A477:D477, 0))</f>
        <v>Prediction_PACK</v>
      </c>
    </row>
    <row r="478" spans="1:6" x14ac:dyDescent="0.25">
      <c r="A478">
        <v>190.154</v>
      </c>
      <c r="B478">
        <v>177.88</v>
      </c>
      <c r="C478">
        <v>218.13899999999998</v>
      </c>
      <c r="D478">
        <v>199.88</v>
      </c>
      <c r="E478">
        <f t="shared" si="7"/>
        <v>177.88</v>
      </c>
      <c r="F478" t="str" cm="1">
        <f t="array" ref="F478">INDEX({"Pay as you go","Prediction_PACK","Prediction_Payasyougo","Competitor"},MATCH(MIN(A478:D478), A478:D478, 0))</f>
        <v>Prediction_PACK</v>
      </c>
    </row>
    <row r="479" spans="1:6" x14ac:dyDescent="0.25">
      <c r="A479">
        <v>161.17600000000002</v>
      </c>
      <c r="B479">
        <v>137.88</v>
      </c>
      <c r="C479">
        <v>149.928</v>
      </c>
      <c r="D479">
        <v>179.88</v>
      </c>
      <c r="E479">
        <f t="shared" si="7"/>
        <v>137.88</v>
      </c>
      <c r="F479" t="str" cm="1">
        <f t="array" ref="F479">INDEX({"Pay as you go","Prediction_PACK","Prediction_Payasyougo","Competitor"},MATCH(MIN(A479:D479), A479:D479, 0))</f>
        <v>Prediction_PACK</v>
      </c>
    </row>
    <row r="480" spans="1:6" x14ac:dyDescent="0.25">
      <c r="A480">
        <v>131.07599999999999</v>
      </c>
      <c r="B480">
        <v>107.88</v>
      </c>
      <c r="C480">
        <v>107.88</v>
      </c>
      <c r="D480">
        <v>149.88</v>
      </c>
      <c r="E480">
        <f t="shared" si="7"/>
        <v>107.88</v>
      </c>
      <c r="F480" t="str" cm="1">
        <f t="array" ref="F480">INDEX({"Pay as you go","Prediction_PACK","Prediction_Payasyougo","Competitor"},MATCH(MIN(A480:D480), A480:D480, 0))</f>
        <v>Prediction_PACK</v>
      </c>
    </row>
    <row r="481" spans="1:6" x14ac:dyDescent="0.25">
      <c r="A481">
        <v>69.378</v>
      </c>
      <c r="B481">
        <v>111.88</v>
      </c>
      <c r="C481">
        <v>109.10849999999999</v>
      </c>
      <c r="D481">
        <v>129.88</v>
      </c>
      <c r="E481">
        <f t="shared" si="7"/>
        <v>69.378</v>
      </c>
      <c r="F481" t="str" cm="1">
        <f t="array" ref="F481">INDEX({"Pay as you go","Prediction_PACK","Prediction_Payasyougo","Competitor"},MATCH(MIN(A481:D481), A481:D481, 0))</f>
        <v>Pay as you go</v>
      </c>
    </row>
    <row r="482" spans="1:6" x14ac:dyDescent="0.25">
      <c r="A482">
        <v>98.533000000000001</v>
      </c>
      <c r="B482">
        <v>107.88</v>
      </c>
      <c r="C482">
        <v>107.88</v>
      </c>
      <c r="D482">
        <v>124.88</v>
      </c>
      <c r="E482">
        <f t="shared" si="7"/>
        <v>98.533000000000001</v>
      </c>
      <c r="F482" t="str" cm="1">
        <f t="array" ref="F482">INDEX({"Pay as you go","Prediction_PACK","Prediction_Payasyougo","Competitor"},MATCH(MIN(A482:D482), A482:D482, 0))</f>
        <v>Pay as you go</v>
      </c>
    </row>
    <row r="483" spans="1:6" x14ac:dyDescent="0.25">
      <c r="A483">
        <v>153.721</v>
      </c>
      <c r="B483">
        <v>137.88</v>
      </c>
      <c r="C483">
        <v>141.67949999999999</v>
      </c>
      <c r="D483">
        <v>159.88</v>
      </c>
      <c r="E483">
        <f t="shared" si="7"/>
        <v>137.88</v>
      </c>
      <c r="F483" t="str" cm="1">
        <f t="array" ref="F483">INDEX({"Pay as you go","Prediction_PACK","Prediction_Payasyougo","Competitor"},MATCH(MIN(A483:D483), A483:D483, 0))</f>
        <v>Prediction_PACK</v>
      </c>
    </row>
    <row r="484" spans="1:6" x14ac:dyDescent="0.25">
      <c r="A484">
        <v>86.316000000000003</v>
      </c>
      <c r="B484">
        <v>107.88</v>
      </c>
      <c r="C484">
        <v>107.88</v>
      </c>
      <c r="D484">
        <v>124.88</v>
      </c>
      <c r="E484">
        <f t="shared" si="7"/>
        <v>86.316000000000003</v>
      </c>
      <c r="F484" t="str" cm="1">
        <f t="array" ref="F484">INDEX({"Pay as you go","Prediction_PACK","Prediction_Payasyougo","Competitor"},MATCH(MIN(A484:D484), A484:D484, 0))</f>
        <v>Pay as you go</v>
      </c>
    </row>
    <row r="485" spans="1:6" x14ac:dyDescent="0.25">
      <c r="A485">
        <v>124.401</v>
      </c>
      <c r="B485">
        <v>137.88</v>
      </c>
      <c r="C485">
        <v>138.624</v>
      </c>
      <c r="D485">
        <v>149.88</v>
      </c>
      <c r="E485">
        <f t="shared" si="7"/>
        <v>124.401</v>
      </c>
      <c r="F485" t="str" cm="1">
        <f t="array" ref="F485">INDEX({"Pay as you go","Prediction_PACK","Prediction_Payasyougo","Competitor"},MATCH(MIN(A485:D485), A485:D485, 0))</f>
        <v>Pay as you go</v>
      </c>
    </row>
    <row r="486" spans="1:6" x14ac:dyDescent="0.25">
      <c r="A486">
        <v>104.878</v>
      </c>
      <c r="B486">
        <v>111.88</v>
      </c>
      <c r="C486">
        <v>110.6835</v>
      </c>
      <c r="D486">
        <v>139.88</v>
      </c>
      <c r="E486">
        <f t="shared" si="7"/>
        <v>104.878</v>
      </c>
      <c r="F486" t="str" cm="1">
        <f t="array" ref="F486">INDEX({"Pay as you go","Prediction_PACK","Prediction_Payasyougo","Competitor"},MATCH(MIN(A486:D486), A486:D486, 0))</f>
        <v>Pay as you go</v>
      </c>
    </row>
    <row r="487" spans="1:6" x14ac:dyDescent="0.25">
      <c r="A487">
        <v>125.43</v>
      </c>
      <c r="B487">
        <v>111.88</v>
      </c>
      <c r="C487">
        <v>111.5835</v>
      </c>
      <c r="D487">
        <v>149.88</v>
      </c>
      <c r="E487">
        <f t="shared" si="7"/>
        <v>111.5835</v>
      </c>
      <c r="F487" t="str" cm="1">
        <f t="array" ref="F487">INDEX({"Pay as you go","Prediction_PACK","Prediction_Payasyougo","Competitor"},MATCH(MIN(A487:D487), A487:D487, 0))</f>
        <v>Prediction_Payasyougo</v>
      </c>
    </row>
    <row r="488" spans="1:6" x14ac:dyDescent="0.25">
      <c r="A488">
        <v>125.498</v>
      </c>
      <c r="B488">
        <v>115.88</v>
      </c>
      <c r="C488">
        <v>113.0775</v>
      </c>
      <c r="D488">
        <v>149.88</v>
      </c>
      <c r="E488">
        <f t="shared" si="7"/>
        <v>113.0775</v>
      </c>
      <c r="F488" t="str" cm="1">
        <f t="array" ref="F488">INDEX({"Pay as you go","Prediction_PACK","Prediction_Payasyougo","Competitor"},MATCH(MIN(A488:D488), A488:D488, 0))</f>
        <v>Prediction_Payasyougo</v>
      </c>
    </row>
    <row r="489" spans="1:6" x14ac:dyDescent="0.25">
      <c r="A489">
        <v>128.976</v>
      </c>
      <c r="B489">
        <v>127.88</v>
      </c>
      <c r="C489">
        <v>133.755</v>
      </c>
      <c r="D489">
        <v>159.88</v>
      </c>
      <c r="E489">
        <f t="shared" si="7"/>
        <v>127.88</v>
      </c>
      <c r="F489" t="str" cm="1">
        <f t="array" ref="F489">INDEX({"Pay as you go","Prediction_PACK","Prediction_Payasyougo","Competitor"},MATCH(MIN(A489:D489), A489:D489, 0))</f>
        <v>Prediction_PACK</v>
      </c>
    </row>
    <row r="490" spans="1:6" x14ac:dyDescent="0.25">
      <c r="A490">
        <v>92.057999999999993</v>
      </c>
      <c r="B490">
        <v>107.88</v>
      </c>
      <c r="C490">
        <v>107.88</v>
      </c>
      <c r="D490">
        <v>129.88</v>
      </c>
      <c r="E490">
        <f t="shared" si="7"/>
        <v>92.057999999999993</v>
      </c>
      <c r="F490" t="str" cm="1">
        <f t="array" ref="F490">INDEX({"Pay as you go","Prediction_PACK","Prediction_Payasyougo","Competitor"},MATCH(MIN(A490:D490), A490:D490, 0))</f>
        <v>Pay as you go</v>
      </c>
    </row>
    <row r="491" spans="1:6" x14ac:dyDescent="0.25">
      <c r="A491">
        <v>148.24</v>
      </c>
      <c r="B491">
        <v>137.88</v>
      </c>
      <c r="C491">
        <v>149.30699999999999</v>
      </c>
      <c r="D491">
        <v>159.88</v>
      </c>
      <c r="E491">
        <f t="shared" si="7"/>
        <v>137.88</v>
      </c>
      <c r="F491" t="str" cm="1">
        <f t="array" ref="F491">INDEX({"Pay as you go","Prediction_PACK","Prediction_Payasyougo","Competitor"},MATCH(MIN(A491:D491), A491:D491, 0))</f>
        <v>Prediction_PACK</v>
      </c>
    </row>
    <row r="492" spans="1:6" x14ac:dyDescent="0.25">
      <c r="A492">
        <v>115.188</v>
      </c>
      <c r="B492">
        <v>119.88</v>
      </c>
      <c r="C492">
        <v>117.429</v>
      </c>
      <c r="D492">
        <v>149.88</v>
      </c>
      <c r="E492">
        <f t="shared" si="7"/>
        <v>115.188</v>
      </c>
      <c r="F492" t="str" cm="1">
        <f t="array" ref="F492">INDEX({"Pay as you go","Prediction_PACK","Prediction_Payasyougo","Competitor"},MATCH(MIN(A492:D492), A492:D492, 0))</f>
        <v>Pay as you go</v>
      </c>
    </row>
    <row r="493" spans="1:6" x14ac:dyDescent="0.25">
      <c r="A493">
        <v>71.626000000000005</v>
      </c>
      <c r="B493">
        <v>111.88</v>
      </c>
      <c r="C493">
        <v>108.636</v>
      </c>
      <c r="D493">
        <v>129.88</v>
      </c>
      <c r="E493">
        <f t="shared" si="7"/>
        <v>71.626000000000005</v>
      </c>
      <c r="F493" t="str" cm="1">
        <f t="array" ref="F493">INDEX({"Pay as you go","Prediction_PACK","Prediction_Payasyougo","Competitor"},MATCH(MIN(A493:D493), A493:D493, 0))</f>
        <v>Pay as you go</v>
      </c>
    </row>
    <row r="494" spans="1:6" x14ac:dyDescent="0.25">
      <c r="A494">
        <v>124.11</v>
      </c>
      <c r="B494">
        <v>117.88</v>
      </c>
      <c r="C494">
        <v>123.1575</v>
      </c>
      <c r="D494">
        <v>159.88</v>
      </c>
      <c r="E494">
        <f t="shared" si="7"/>
        <v>117.88</v>
      </c>
      <c r="F494" t="str" cm="1">
        <f t="array" ref="F494">INDEX({"Pay as you go","Prediction_PACK","Prediction_Payasyougo","Competitor"},MATCH(MIN(A494:D494), A494:D494, 0))</f>
        <v>Prediction_PACK</v>
      </c>
    </row>
    <row r="495" spans="1:6" x14ac:dyDescent="0.25">
      <c r="A495">
        <v>88.800000000000011</v>
      </c>
      <c r="B495">
        <v>107.88</v>
      </c>
      <c r="C495">
        <v>107.88</v>
      </c>
      <c r="D495">
        <v>129.88</v>
      </c>
      <c r="E495">
        <f t="shared" si="7"/>
        <v>88.800000000000011</v>
      </c>
      <c r="F495" t="str" cm="1">
        <f t="array" ref="F495">INDEX({"Pay as you go","Prediction_PACK","Prediction_Payasyougo","Competitor"},MATCH(MIN(A495:D495), A495:D495, 0))</f>
        <v>Pay as you go</v>
      </c>
    </row>
    <row r="496" spans="1:6" x14ac:dyDescent="0.25">
      <c r="A496">
        <v>73.218999999999994</v>
      </c>
      <c r="B496">
        <v>107.88</v>
      </c>
      <c r="C496">
        <v>107.88</v>
      </c>
      <c r="D496">
        <v>119.88</v>
      </c>
      <c r="E496">
        <f t="shared" si="7"/>
        <v>73.218999999999994</v>
      </c>
      <c r="F496" t="str" cm="1">
        <f t="array" ref="F496">INDEX({"Pay as you go","Prediction_PACK","Prediction_Payasyougo","Competitor"},MATCH(MIN(A496:D496), A496:D496, 0))</f>
        <v>Pay as you go</v>
      </c>
    </row>
    <row r="497" spans="1:6" x14ac:dyDescent="0.25">
      <c r="A497">
        <v>129.465</v>
      </c>
      <c r="B497">
        <v>107.88</v>
      </c>
      <c r="C497">
        <v>107.88</v>
      </c>
      <c r="D497">
        <v>149.88</v>
      </c>
      <c r="E497">
        <f t="shared" si="7"/>
        <v>107.88</v>
      </c>
      <c r="F497" t="str" cm="1">
        <f t="array" ref="F497">INDEX({"Pay as you go","Prediction_PACK","Prediction_Payasyougo","Competitor"},MATCH(MIN(A497:D497), A497:D497, 0))</f>
        <v>Prediction_PACK</v>
      </c>
    </row>
    <row r="498" spans="1:6" x14ac:dyDescent="0.25">
      <c r="A498">
        <v>107.14700000000001</v>
      </c>
      <c r="B498">
        <v>117.88</v>
      </c>
      <c r="C498">
        <v>117.1005</v>
      </c>
      <c r="D498">
        <v>149.88</v>
      </c>
      <c r="E498">
        <f t="shared" si="7"/>
        <v>107.14700000000001</v>
      </c>
      <c r="F498" t="str" cm="1">
        <f t="array" ref="F498">INDEX({"Pay as you go","Prediction_PACK","Prediction_Payasyougo","Competitor"},MATCH(MIN(A498:D498), A498:D498, 0))</f>
        <v>Pay as you go</v>
      </c>
    </row>
    <row r="499" spans="1:6" x14ac:dyDescent="0.25">
      <c r="A499">
        <v>112.52900000000001</v>
      </c>
      <c r="B499">
        <v>107.88</v>
      </c>
      <c r="C499">
        <v>107.88</v>
      </c>
      <c r="D499">
        <v>134.88</v>
      </c>
      <c r="E499">
        <f t="shared" si="7"/>
        <v>107.88</v>
      </c>
      <c r="F499" t="str" cm="1">
        <f t="array" ref="F499">INDEX({"Pay as you go","Prediction_PACK","Prediction_Payasyougo","Competitor"},MATCH(MIN(A499:D499), A499:D499, 0))</f>
        <v>Prediction_PACK</v>
      </c>
    </row>
    <row r="500" spans="1:6" x14ac:dyDescent="0.25">
      <c r="A500">
        <v>77.034000000000006</v>
      </c>
      <c r="B500">
        <v>115.88</v>
      </c>
      <c r="C500">
        <v>112.61399999999999</v>
      </c>
      <c r="D500">
        <v>129.88</v>
      </c>
      <c r="E500">
        <f t="shared" si="7"/>
        <v>77.034000000000006</v>
      </c>
      <c r="F500" t="str" cm="1">
        <f t="array" ref="F500">INDEX({"Pay as you go","Prediction_PACK","Prediction_Payasyougo","Competitor"},MATCH(MIN(A500:D500), A500:D500, 0))</f>
        <v>Pay as you go</v>
      </c>
    </row>
    <row r="501" spans="1:6" x14ac:dyDescent="0.25">
      <c r="A501">
        <v>133.196</v>
      </c>
      <c r="B501">
        <v>117.88</v>
      </c>
      <c r="C501">
        <v>119.44499999999999</v>
      </c>
      <c r="D501">
        <v>164.88</v>
      </c>
      <c r="E501">
        <f t="shared" si="7"/>
        <v>117.88</v>
      </c>
      <c r="F501" t="str" cm="1">
        <f t="array" ref="F501">INDEX({"Pay as you go","Prediction_PACK","Prediction_Payasyougo","Competitor"},MATCH(MIN(A501:D501), A501:D501, 0))</f>
        <v>Prediction_PACK</v>
      </c>
    </row>
    <row r="502" spans="1:6" x14ac:dyDescent="0.25">
      <c r="A502">
        <v>96.391000000000005</v>
      </c>
      <c r="B502">
        <v>111.88</v>
      </c>
      <c r="C502">
        <v>109.03649999999999</v>
      </c>
      <c r="D502">
        <v>129.88</v>
      </c>
      <c r="E502">
        <f t="shared" si="7"/>
        <v>96.391000000000005</v>
      </c>
      <c r="F502" t="str" cm="1">
        <f t="array" ref="F502">INDEX({"Pay as you go","Prediction_PACK","Prediction_Payasyougo","Competitor"},MATCH(MIN(A502:D502), A502:D502, 0))</f>
        <v>Pay as you go</v>
      </c>
    </row>
    <row r="503" spans="1:6" x14ac:dyDescent="0.25">
      <c r="A503">
        <v>84.453999999999994</v>
      </c>
      <c r="B503">
        <v>107.88</v>
      </c>
      <c r="C503">
        <v>107.88</v>
      </c>
      <c r="D503">
        <v>129.88</v>
      </c>
      <c r="E503">
        <f t="shared" si="7"/>
        <v>84.453999999999994</v>
      </c>
      <c r="F503" t="str" cm="1">
        <f t="array" ref="F503">INDEX({"Pay as you go","Prediction_PACK","Prediction_Payasyougo","Competitor"},MATCH(MIN(A503:D503), A503:D503, 0))</f>
        <v>Pay as you go</v>
      </c>
    </row>
    <row r="504" spans="1:6" x14ac:dyDescent="0.25">
      <c r="A504">
        <v>117.48700000000001</v>
      </c>
      <c r="B504">
        <v>115.88</v>
      </c>
      <c r="C504">
        <v>116.37599999999999</v>
      </c>
      <c r="D504">
        <v>149.88</v>
      </c>
      <c r="E504">
        <f t="shared" si="7"/>
        <v>115.88</v>
      </c>
      <c r="F504" t="str" cm="1">
        <f t="array" ref="F504">INDEX({"Pay as you go","Prediction_PACK","Prediction_Payasyougo","Competitor"},MATCH(MIN(A504:D504), A504:D504, 0))</f>
        <v>Prediction_PACK</v>
      </c>
    </row>
    <row r="505" spans="1:6" x14ac:dyDescent="0.25">
      <c r="A505">
        <v>155.548</v>
      </c>
      <c r="B505">
        <v>147.88</v>
      </c>
      <c r="C505">
        <v>156.28199999999998</v>
      </c>
      <c r="D505">
        <v>179.88</v>
      </c>
      <c r="E505">
        <f t="shared" si="7"/>
        <v>147.88</v>
      </c>
      <c r="F505" t="str" cm="1">
        <f t="array" ref="F505">INDEX({"Pay as you go","Prediction_PACK","Prediction_Payasyougo","Competitor"},MATCH(MIN(A505:D505), A505:D505, 0))</f>
        <v>Prediction_PACK</v>
      </c>
    </row>
    <row r="506" spans="1:6" x14ac:dyDescent="0.25">
      <c r="A506">
        <v>166.86500000000001</v>
      </c>
      <c r="B506">
        <v>127.88</v>
      </c>
      <c r="C506">
        <v>132.41849999999999</v>
      </c>
      <c r="D506">
        <v>169.88</v>
      </c>
      <c r="E506">
        <f t="shared" si="7"/>
        <v>127.88</v>
      </c>
      <c r="F506" t="str" cm="1">
        <f t="array" ref="F506">INDEX({"Pay as you go","Prediction_PACK","Prediction_Payasyougo","Competitor"},MATCH(MIN(A506:D506), A506:D506, 0))</f>
        <v>Prediction_PACK</v>
      </c>
    </row>
    <row r="507" spans="1:6" x14ac:dyDescent="0.25">
      <c r="A507">
        <v>122.15700000000001</v>
      </c>
      <c r="B507">
        <v>122.88</v>
      </c>
      <c r="C507">
        <v>133.81799999999998</v>
      </c>
      <c r="D507">
        <v>159.88</v>
      </c>
      <c r="E507">
        <f t="shared" si="7"/>
        <v>122.15700000000001</v>
      </c>
      <c r="F507" t="str" cm="1">
        <f t="array" ref="F507">INDEX({"Pay as you go","Prediction_PACK","Prediction_Payasyougo","Competitor"},MATCH(MIN(A507:D507), A507:D507, 0))</f>
        <v>Pay as you go</v>
      </c>
    </row>
    <row r="508" spans="1:6" x14ac:dyDescent="0.25">
      <c r="A508">
        <v>89.994</v>
      </c>
      <c r="B508">
        <v>111.88</v>
      </c>
      <c r="C508">
        <v>111.0795</v>
      </c>
      <c r="D508">
        <v>139.88</v>
      </c>
      <c r="E508">
        <f t="shared" si="7"/>
        <v>89.994</v>
      </c>
      <c r="F508" t="str" cm="1">
        <f t="array" ref="F508">INDEX({"Pay as you go","Prediction_PACK","Prediction_Payasyougo","Competitor"},MATCH(MIN(A508:D508), A508:D508, 0))</f>
        <v>Pay as you go</v>
      </c>
    </row>
    <row r="509" spans="1:6" x14ac:dyDescent="0.25">
      <c r="A509">
        <v>119.893</v>
      </c>
      <c r="B509">
        <v>127.88</v>
      </c>
      <c r="C509">
        <v>144.12299999999999</v>
      </c>
      <c r="D509">
        <v>169.88</v>
      </c>
      <c r="E509">
        <f t="shared" si="7"/>
        <v>119.893</v>
      </c>
      <c r="F509" t="str" cm="1">
        <f t="array" ref="F509">INDEX({"Pay as you go","Prediction_PACK","Prediction_Payasyougo","Competitor"},MATCH(MIN(A509:D509), A509:D509, 0))</f>
        <v>Pay as you go</v>
      </c>
    </row>
    <row r="510" spans="1:6" x14ac:dyDescent="0.25">
      <c r="A510">
        <v>133.785</v>
      </c>
      <c r="B510">
        <v>115.88</v>
      </c>
      <c r="C510">
        <v>113.3475</v>
      </c>
      <c r="D510">
        <v>149.88</v>
      </c>
      <c r="E510">
        <f t="shared" si="7"/>
        <v>113.3475</v>
      </c>
      <c r="F510" t="str" cm="1">
        <f t="array" ref="F510">INDEX({"Pay as you go","Prediction_PACK","Prediction_Payasyougo","Competitor"},MATCH(MIN(A510:D510), A510:D510, 0))</f>
        <v>Prediction_Payasyougo</v>
      </c>
    </row>
    <row r="511" spans="1:6" x14ac:dyDescent="0.25">
      <c r="A511">
        <v>126.47</v>
      </c>
      <c r="B511">
        <v>117.88</v>
      </c>
      <c r="C511">
        <v>118.482</v>
      </c>
      <c r="D511">
        <v>159.88</v>
      </c>
      <c r="E511">
        <f t="shared" si="7"/>
        <v>117.88</v>
      </c>
      <c r="F511" t="str" cm="1">
        <f t="array" ref="F511">INDEX({"Pay as you go","Prediction_PACK","Prediction_Payasyougo","Competitor"},MATCH(MIN(A511:D511), A511:D511, 0))</f>
        <v>Prediction_PACK</v>
      </c>
    </row>
    <row r="512" spans="1:6" x14ac:dyDescent="0.25">
      <c r="A512">
        <v>87.914999999999992</v>
      </c>
      <c r="B512">
        <v>117.88</v>
      </c>
      <c r="C512">
        <v>125.70899999999999</v>
      </c>
      <c r="D512">
        <v>139.88</v>
      </c>
      <c r="E512">
        <f t="shared" si="7"/>
        <v>87.914999999999992</v>
      </c>
      <c r="F512" t="str" cm="1">
        <f t="array" ref="F512">INDEX({"Pay as you go","Prediction_PACK","Prediction_Payasyougo","Competitor"},MATCH(MIN(A512:D512), A512:D512, 0))</f>
        <v>Pay as you go</v>
      </c>
    </row>
    <row r="513" spans="1:6" x14ac:dyDescent="0.25">
      <c r="A513">
        <v>82.319000000000003</v>
      </c>
      <c r="B513">
        <v>107.88</v>
      </c>
      <c r="C513">
        <v>107.88</v>
      </c>
      <c r="D513">
        <v>119.88</v>
      </c>
      <c r="E513">
        <f t="shared" si="7"/>
        <v>82.319000000000003</v>
      </c>
      <c r="F513" t="str" cm="1">
        <f t="array" ref="F513">INDEX({"Pay as you go","Prediction_PACK","Prediction_Payasyougo","Competitor"},MATCH(MIN(A513:D513), A513:D513, 0))</f>
        <v>Pay as you go</v>
      </c>
    </row>
    <row r="514" spans="1:6" x14ac:dyDescent="0.25">
      <c r="A514">
        <v>93.738</v>
      </c>
      <c r="B514">
        <v>107.88</v>
      </c>
      <c r="C514">
        <v>107.88</v>
      </c>
      <c r="D514">
        <v>129.88</v>
      </c>
      <c r="E514">
        <f t="shared" si="7"/>
        <v>93.738</v>
      </c>
      <c r="F514" t="str" cm="1">
        <f t="array" ref="F514">INDEX({"Pay as you go","Prediction_PACK","Prediction_Payasyougo","Competitor"},MATCH(MIN(A514:D514), A514:D514, 0))</f>
        <v>Pay as you go</v>
      </c>
    </row>
    <row r="515" spans="1:6" x14ac:dyDescent="0.25">
      <c r="A515">
        <v>111.402</v>
      </c>
      <c r="B515">
        <v>111.88</v>
      </c>
      <c r="C515">
        <v>109.23899999999999</v>
      </c>
      <c r="D515">
        <v>149.88</v>
      </c>
      <c r="E515">
        <f t="shared" si="7"/>
        <v>109.23899999999999</v>
      </c>
      <c r="F515" t="str" cm="1">
        <f t="array" ref="F515">INDEX({"Pay as you go","Prediction_PACK","Prediction_Payasyougo","Competitor"},MATCH(MIN(A515:D515), A515:D515, 0))</f>
        <v>Prediction_Payasyougo</v>
      </c>
    </row>
    <row r="516" spans="1:6" x14ac:dyDescent="0.25">
      <c r="A516">
        <v>194.67999999999998</v>
      </c>
      <c r="B516">
        <v>147.88</v>
      </c>
      <c r="C516">
        <v>185.34299999999999</v>
      </c>
      <c r="D516">
        <v>189.88</v>
      </c>
      <c r="E516">
        <f t="shared" si="7"/>
        <v>147.88</v>
      </c>
      <c r="F516" t="str" cm="1">
        <f t="array" ref="F516">INDEX({"Pay as you go","Prediction_PACK","Prediction_Payasyougo","Competitor"},MATCH(MIN(A516:D516), A516:D516, 0))</f>
        <v>Prediction_PACK</v>
      </c>
    </row>
    <row r="517" spans="1:6" x14ac:dyDescent="0.25">
      <c r="A517">
        <v>82.414999999999992</v>
      </c>
      <c r="B517">
        <v>111.88</v>
      </c>
      <c r="C517">
        <v>109.97699999999999</v>
      </c>
      <c r="D517">
        <v>129.88</v>
      </c>
      <c r="E517">
        <f t="shared" si="7"/>
        <v>82.414999999999992</v>
      </c>
      <c r="F517" t="str" cm="1">
        <f t="array" ref="F517">INDEX({"Pay as you go","Prediction_PACK","Prediction_Payasyougo","Competitor"},MATCH(MIN(A517:D517), A517:D517, 0))</f>
        <v>Pay as you go</v>
      </c>
    </row>
    <row r="518" spans="1:6" x14ac:dyDescent="0.25">
      <c r="A518">
        <v>105.67099999999999</v>
      </c>
      <c r="B518">
        <v>117.88</v>
      </c>
      <c r="C518">
        <v>127.03649999999999</v>
      </c>
      <c r="D518">
        <v>139.88</v>
      </c>
      <c r="E518">
        <f t="shared" si="7"/>
        <v>105.67099999999999</v>
      </c>
      <c r="F518" t="str" cm="1">
        <f t="array" ref="F518">INDEX({"Pay as you go","Prediction_PACK","Prediction_Payasyougo","Competitor"},MATCH(MIN(A518:D518), A518:D518, 0))</f>
        <v>Pay as you go</v>
      </c>
    </row>
    <row r="519" spans="1:6" x14ac:dyDescent="0.25">
      <c r="A519">
        <v>117.569</v>
      </c>
      <c r="B519">
        <v>122.88</v>
      </c>
      <c r="C519">
        <v>130.7535</v>
      </c>
      <c r="D519">
        <v>139.88</v>
      </c>
      <c r="E519">
        <f t="shared" si="7"/>
        <v>117.569</v>
      </c>
      <c r="F519" t="str" cm="1">
        <f t="array" ref="F519">INDEX({"Pay as you go","Prediction_PACK","Prediction_Payasyougo","Competitor"},MATCH(MIN(A519:D519), A519:D519, 0))</f>
        <v>Pay as you go</v>
      </c>
    </row>
    <row r="520" spans="1:6" x14ac:dyDescent="0.25">
      <c r="A520">
        <v>107.41500000000001</v>
      </c>
      <c r="B520">
        <v>127.88</v>
      </c>
      <c r="C520">
        <v>151.17449999999999</v>
      </c>
      <c r="D520">
        <v>159.88</v>
      </c>
      <c r="E520">
        <f t="shared" si="7"/>
        <v>107.41500000000001</v>
      </c>
      <c r="F520" t="str" cm="1">
        <f t="array" ref="F520">INDEX({"Pay as you go","Prediction_PACK","Prediction_Payasyougo","Competitor"},MATCH(MIN(A520:D520), A520:D520, 0))</f>
        <v>Pay as you go</v>
      </c>
    </row>
    <row r="521" spans="1:6" x14ac:dyDescent="0.25">
      <c r="A521">
        <v>84.813999999999993</v>
      </c>
      <c r="B521">
        <v>111.88</v>
      </c>
      <c r="C521">
        <v>111.58799999999999</v>
      </c>
      <c r="D521">
        <v>129.88</v>
      </c>
      <c r="E521">
        <f t="shared" ref="E521:E584" si="8">MIN(A521:D521)</f>
        <v>84.813999999999993</v>
      </c>
      <c r="F521" t="str" cm="1">
        <f t="array" ref="F521">INDEX({"Pay as you go","Prediction_PACK","Prediction_Payasyougo","Competitor"},MATCH(MIN(A521:D521), A521:D521, 0))</f>
        <v>Pay as you go</v>
      </c>
    </row>
    <row r="522" spans="1:6" x14ac:dyDescent="0.25">
      <c r="A522">
        <v>155.505</v>
      </c>
      <c r="B522">
        <v>137.88</v>
      </c>
      <c r="C522">
        <v>156.82649999999998</v>
      </c>
      <c r="D522">
        <v>169.88</v>
      </c>
      <c r="E522">
        <f t="shared" si="8"/>
        <v>137.88</v>
      </c>
      <c r="F522" t="str" cm="1">
        <f t="array" ref="F522">INDEX({"Pay as you go","Prediction_PACK","Prediction_Payasyougo","Competitor"},MATCH(MIN(A522:D522), A522:D522, 0))</f>
        <v>Prediction_PACK</v>
      </c>
    </row>
    <row r="523" spans="1:6" x14ac:dyDescent="0.25">
      <c r="A523">
        <v>171.25399999999999</v>
      </c>
      <c r="B523">
        <v>137.88</v>
      </c>
      <c r="C523">
        <v>158.262</v>
      </c>
      <c r="D523">
        <v>169.88</v>
      </c>
      <c r="E523">
        <f t="shared" si="8"/>
        <v>137.88</v>
      </c>
      <c r="F523" t="str" cm="1">
        <f t="array" ref="F523">INDEX({"Pay as you go","Prediction_PACK","Prediction_Payasyougo","Competitor"},MATCH(MIN(A523:D523), A523:D523, 0))</f>
        <v>Prediction_PACK</v>
      </c>
    </row>
    <row r="524" spans="1:6" x14ac:dyDescent="0.25">
      <c r="A524">
        <v>108.81</v>
      </c>
      <c r="B524">
        <v>107.88</v>
      </c>
      <c r="C524">
        <v>107.88</v>
      </c>
      <c r="D524">
        <v>134.88</v>
      </c>
      <c r="E524">
        <f t="shared" si="8"/>
        <v>107.88</v>
      </c>
      <c r="F524" t="str" cm="1">
        <f t="array" ref="F524">INDEX({"Pay as you go","Prediction_PACK","Prediction_Payasyougo","Competitor"},MATCH(MIN(A524:D524), A524:D524, 0))</f>
        <v>Prediction_PACK</v>
      </c>
    </row>
    <row r="525" spans="1:6" x14ac:dyDescent="0.25">
      <c r="A525">
        <v>125.599</v>
      </c>
      <c r="B525">
        <v>117.88</v>
      </c>
      <c r="C525">
        <v>118.54499999999999</v>
      </c>
      <c r="D525">
        <v>139.88</v>
      </c>
      <c r="E525">
        <f t="shared" si="8"/>
        <v>117.88</v>
      </c>
      <c r="F525" t="str" cm="1">
        <f t="array" ref="F525">INDEX({"Pay as you go","Prediction_PACK","Prediction_Payasyougo","Competitor"},MATCH(MIN(A525:D525), A525:D525, 0))</f>
        <v>Prediction_PACK</v>
      </c>
    </row>
    <row r="526" spans="1:6" x14ac:dyDescent="0.25">
      <c r="A526">
        <v>148.38800000000001</v>
      </c>
      <c r="B526">
        <v>122.88</v>
      </c>
      <c r="C526">
        <v>139.614</v>
      </c>
      <c r="D526">
        <v>169.88</v>
      </c>
      <c r="E526">
        <f t="shared" si="8"/>
        <v>122.88</v>
      </c>
      <c r="F526" t="str" cm="1">
        <f t="array" ref="F526">INDEX({"Pay as you go","Prediction_PACK","Prediction_Payasyougo","Competitor"},MATCH(MIN(A526:D526), A526:D526, 0))</f>
        <v>Prediction_PACK</v>
      </c>
    </row>
    <row r="527" spans="1:6" x14ac:dyDescent="0.25">
      <c r="A527">
        <v>102.883</v>
      </c>
      <c r="B527">
        <v>115.88</v>
      </c>
      <c r="C527">
        <v>115.9485</v>
      </c>
      <c r="D527">
        <v>139.88</v>
      </c>
      <c r="E527">
        <f t="shared" si="8"/>
        <v>102.883</v>
      </c>
      <c r="F527" t="str" cm="1">
        <f t="array" ref="F527">INDEX({"Pay as you go","Prediction_PACK","Prediction_Payasyougo","Competitor"},MATCH(MIN(A527:D527), A527:D527, 0))</f>
        <v>Pay as you go</v>
      </c>
    </row>
    <row r="528" spans="1:6" x14ac:dyDescent="0.25">
      <c r="A528">
        <v>137.53300000000002</v>
      </c>
      <c r="B528">
        <v>127.88</v>
      </c>
      <c r="C528">
        <v>132.59399999999999</v>
      </c>
      <c r="D528">
        <v>159.88</v>
      </c>
      <c r="E528">
        <f t="shared" si="8"/>
        <v>127.88</v>
      </c>
      <c r="F528" t="str" cm="1">
        <f t="array" ref="F528">INDEX({"Pay as you go","Prediction_PACK","Prediction_Payasyougo","Competitor"},MATCH(MIN(A528:D528), A528:D528, 0))</f>
        <v>Prediction_PACK</v>
      </c>
    </row>
    <row r="529" spans="1:6" x14ac:dyDescent="0.25">
      <c r="A529">
        <v>228.03900000000002</v>
      </c>
      <c r="B529">
        <v>167.88</v>
      </c>
      <c r="C529">
        <v>198.38849999999999</v>
      </c>
      <c r="D529">
        <v>209.88</v>
      </c>
      <c r="E529">
        <f t="shared" si="8"/>
        <v>167.88</v>
      </c>
      <c r="F529" t="str" cm="1">
        <f t="array" ref="F529">INDEX({"Pay as you go","Prediction_PACK","Prediction_Payasyougo","Competitor"},MATCH(MIN(A529:D529), A529:D529, 0))</f>
        <v>Prediction_PACK</v>
      </c>
    </row>
    <row r="530" spans="1:6" x14ac:dyDescent="0.25">
      <c r="A530">
        <v>91.756</v>
      </c>
      <c r="B530">
        <v>107.88</v>
      </c>
      <c r="C530">
        <v>107.88</v>
      </c>
      <c r="D530">
        <v>119.88</v>
      </c>
      <c r="E530">
        <f t="shared" si="8"/>
        <v>91.756</v>
      </c>
      <c r="F530" t="str" cm="1">
        <f t="array" ref="F530">INDEX({"Pay as you go","Prediction_PACK","Prediction_Payasyougo","Competitor"},MATCH(MIN(A530:D530), A530:D530, 0))</f>
        <v>Pay as you go</v>
      </c>
    </row>
    <row r="531" spans="1:6" x14ac:dyDescent="0.25">
      <c r="A531">
        <v>185.92700000000002</v>
      </c>
      <c r="B531">
        <v>152.88</v>
      </c>
      <c r="C531">
        <v>181.17599999999999</v>
      </c>
      <c r="D531">
        <v>199.88</v>
      </c>
      <c r="E531">
        <f t="shared" si="8"/>
        <v>152.88</v>
      </c>
      <c r="F531" t="str" cm="1">
        <f t="array" ref="F531">INDEX({"Pay as you go","Prediction_PACK","Prediction_Payasyougo","Competitor"},MATCH(MIN(A531:D531), A531:D531, 0))</f>
        <v>Prediction_PACK</v>
      </c>
    </row>
    <row r="532" spans="1:6" x14ac:dyDescent="0.25">
      <c r="A532">
        <v>112.11</v>
      </c>
      <c r="B532">
        <v>135.88</v>
      </c>
      <c r="C532">
        <v>133.512</v>
      </c>
      <c r="D532">
        <v>159.88</v>
      </c>
      <c r="E532">
        <f t="shared" si="8"/>
        <v>112.11</v>
      </c>
      <c r="F532" t="str" cm="1">
        <f t="array" ref="F532">INDEX({"Pay as you go","Prediction_PACK","Prediction_Payasyougo","Competitor"},MATCH(MIN(A532:D532), A532:D532, 0))</f>
        <v>Pay as you go</v>
      </c>
    </row>
    <row r="533" spans="1:6" x14ac:dyDescent="0.25">
      <c r="A533">
        <v>174.00600000000003</v>
      </c>
      <c r="B533">
        <v>139.88</v>
      </c>
      <c r="C533">
        <v>135.22649999999999</v>
      </c>
      <c r="D533">
        <v>169.88</v>
      </c>
      <c r="E533">
        <f t="shared" si="8"/>
        <v>135.22649999999999</v>
      </c>
      <c r="F533" t="str" cm="1">
        <f t="array" ref="F533">INDEX({"Pay as you go","Prediction_PACK","Prediction_Payasyougo","Competitor"},MATCH(MIN(A533:D533), A533:D533, 0))</f>
        <v>Prediction_Payasyougo</v>
      </c>
    </row>
    <row r="534" spans="1:6" x14ac:dyDescent="0.25">
      <c r="A534">
        <v>191.31099999999998</v>
      </c>
      <c r="B534">
        <v>177.88</v>
      </c>
      <c r="C534">
        <v>224.33999999999997</v>
      </c>
      <c r="D534">
        <v>199.88</v>
      </c>
      <c r="E534">
        <f t="shared" si="8"/>
        <v>177.88</v>
      </c>
      <c r="F534" t="str" cm="1">
        <f t="array" ref="F534">INDEX({"Pay as you go","Prediction_PACK","Prediction_Payasyougo","Competitor"},MATCH(MIN(A534:D534), A534:D534, 0))</f>
        <v>Prediction_PACK</v>
      </c>
    </row>
    <row r="535" spans="1:6" x14ac:dyDescent="0.25">
      <c r="A535">
        <v>91.251999999999995</v>
      </c>
      <c r="B535">
        <v>111.88</v>
      </c>
      <c r="C535">
        <v>109.428</v>
      </c>
      <c r="D535">
        <v>129.88</v>
      </c>
      <c r="E535">
        <f t="shared" si="8"/>
        <v>91.251999999999995</v>
      </c>
      <c r="F535" t="str" cm="1">
        <f t="array" ref="F535">INDEX({"Pay as you go","Prediction_PACK","Prediction_Payasyougo","Competitor"},MATCH(MIN(A535:D535), A535:D535, 0))</f>
        <v>Pay as you go</v>
      </c>
    </row>
    <row r="536" spans="1:6" x14ac:dyDescent="0.25">
      <c r="A536">
        <v>175.774</v>
      </c>
      <c r="B536">
        <v>157.88</v>
      </c>
      <c r="C536">
        <v>181.94099999999997</v>
      </c>
      <c r="D536">
        <v>179.88</v>
      </c>
      <c r="E536">
        <f t="shared" si="8"/>
        <v>157.88</v>
      </c>
      <c r="F536" t="str" cm="1">
        <f t="array" ref="F536">INDEX({"Pay as you go","Prediction_PACK","Prediction_Payasyougo","Competitor"},MATCH(MIN(A536:D536), A536:D536, 0))</f>
        <v>Prediction_PACK</v>
      </c>
    </row>
    <row r="537" spans="1:6" x14ac:dyDescent="0.25">
      <c r="A537">
        <v>98.620999999999995</v>
      </c>
      <c r="B537">
        <v>117.88</v>
      </c>
      <c r="C537">
        <v>118.6035</v>
      </c>
      <c r="D537">
        <v>129.88</v>
      </c>
      <c r="E537">
        <f t="shared" si="8"/>
        <v>98.620999999999995</v>
      </c>
      <c r="F537" t="str" cm="1">
        <f t="array" ref="F537">INDEX({"Pay as you go","Prediction_PACK","Prediction_Payasyougo","Competitor"},MATCH(MIN(A537:D537), A537:D537, 0))</f>
        <v>Pay as you go</v>
      </c>
    </row>
    <row r="538" spans="1:6" x14ac:dyDescent="0.25">
      <c r="A538">
        <v>154.59800000000001</v>
      </c>
      <c r="B538">
        <v>137.88</v>
      </c>
      <c r="C538">
        <v>143.32650000000001</v>
      </c>
      <c r="D538">
        <v>159.88</v>
      </c>
      <c r="E538">
        <f t="shared" si="8"/>
        <v>137.88</v>
      </c>
      <c r="F538" t="str" cm="1">
        <f t="array" ref="F538">INDEX({"Pay as you go","Prediction_PACK","Prediction_Payasyougo","Competitor"},MATCH(MIN(A538:D538), A538:D538, 0))</f>
        <v>Prediction_PACK</v>
      </c>
    </row>
    <row r="539" spans="1:6" x14ac:dyDescent="0.25">
      <c r="A539">
        <v>93.414000000000001</v>
      </c>
      <c r="B539">
        <v>107.88</v>
      </c>
      <c r="C539">
        <v>107.88</v>
      </c>
      <c r="D539">
        <v>134.88</v>
      </c>
      <c r="E539">
        <f t="shared" si="8"/>
        <v>93.414000000000001</v>
      </c>
      <c r="F539" t="str" cm="1">
        <f t="array" ref="F539">INDEX({"Pay as you go","Prediction_PACK","Prediction_Payasyougo","Competitor"},MATCH(MIN(A539:D539), A539:D539, 0))</f>
        <v>Pay as you go</v>
      </c>
    </row>
    <row r="540" spans="1:6" x14ac:dyDescent="0.25">
      <c r="A540">
        <v>124.78400000000001</v>
      </c>
      <c r="B540">
        <v>117.88</v>
      </c>
      <c r="C540">
        <v>130.37099999999998</v>
      </c>
      <c r="D540">
        <v>149.88</v>
      </c>
      <c r="E540">
        <f t="shared" si="8"/>
        <v>117.88</v>
      </c>
      <c r="F540" t="str" cm="1">
        <f t="array" ref="F540">INDEX({"Pay as you go","Prediction_PACK","Prediction_Payasyougo","Competitor"},MATCH(MIN(A540:D540), A540:D540, 0))</f>
        <v>Prediction_PACK</v>
      </c>
    </row>
    <row r="541" spans="1:6" x14ac:dyDescent="0.25">
      <c r="A541">
        <v>88.614000000000004</v>
      </c>
      <c r="B541">
        <v>107.88</v>
      </c>
      <c r="C541">
        <v>107.88</v>
      </c>
      <c r="D541">
        <v>124.88</v>
      </c>
      <c r="E541">
        <f t="shared" si="8"/>
        <v>88.614000000000004</v>
      </c>
      <c r="F541" t="str" cm="1">
        <f t="array" ref="F541">INDEX({"Pay as you go","Prediction_PACK","Prediction_Payasyougo","Competitor"},MATCH(MIN(A541:D541), A541:D541, 0))</f>
        <v>Pay as you go</v>
      </c>
    </row>
    <row r="542" spans="1:6" x14ac:dyDescent="0.25">
      <c r="A542">
        <v>126.449</v>
      </c>
      <c r="B542">
        <v>115.88</v>
      </c>
      <c r="C542">
        <v>116.07899999999999</v>
      </c>
      <c r="D542">
        <v>159.88</v>
      </c>
      <c r="E542">
        <f t="shared" si="8"/>
        <v>115.88</v>
      </c>
      <c r="F542" t="str" cm="1">
        <f t="array" ref="F542">INDEX({"Pay as you go","Prediction_PACK","Prediction_Payasyougo","Competitor"},MATCH(MIN(A542:D542), A542:D542, 0))</f>
        <v>Prediction_PACK</v>
      </c>
    </row>
    <row r="543" spans="1:6" x14ac:dyDescent="0.25">
      <c r="A543">
        <v>81.850999999999999</v>
      </c>
      <c r="B543">
        <v>107.88</v>
      </c>
      <c r="C543">
        <v>107.88</v>
      </c>
      <c r="D543">
        <v>119.88</v>
      </c>
      <c r="E543">
        <f t="shared" si="8"/>
        <v>81.850999999999999</v>
      </c>
      <c r="F543" t="str" cm="1">
        <f t="array" ref="F543">INDEX({"Pay as you go","Prediction_PACK","Prediction_Payasyougo","Competitor"},MATCH(MIN(A543:D543), A543:D543, 0))</f>
        <v>Pay as you go</v>
      </c>
    </row>
    <row r="544" spans="1:6" x14ac:dyDescent="0.25">
      <c r="A544">
        <v>72.271999999999991</v>
      </c>
      <c r="B544">
        <v>107.88</v>
      </c>
      <c r="C544">
        <v>107.88</v>
      </c>
      <c r="D544">
        <v>119.88</v>
      </c>
      <c r="E544">
        <f t="shared" si="8"/>
        <v>72.271999999999991</v>
      </c>
      <c r="F544" t="str" cm="1">
        <f t="array" ref="F544">INDEX({"Pay as you go","Prediction_PACK","Prediction_Payasyougo","Competitor"},MATCH(MIN(A544:D544), A544:D544, 0))</f>
        <v>Pay as you go</v>
      </c>
    </row>
    <row r="545" spans="1:6" x14ac:dyDescent="0.25">
      <c r="A545">
        <v>108.32600000000001</v>
      </c>
      <c r="B545">
        <v>117.88</v>
      </c>
      <c r="C545">
        <v>121.97399999999999</v>
      </c>
      <c r="D545">
        <v>149.88</v>
      </c>
      <c r="E545">
        <f t="shared" si="8"/>
        <v>108.32600000000001</v>
      </c>
      <c r="F545" t="str" cm="1">
        <f t="array" ref="F545">INDEX({"Pay as you go","Prediction_PACK","Prediction_Payasyougo","Competitor"},MATCH(MIN(A545:D545), A545:D545, 0))</f>
        <v>Pay as you go</v>
      </c>
    </row>
    <row r="546" spans="1:6" x14ac:dyDescent="0.25">
      <c r="A546">
        <v>131.49</v>
      </c>
      <c r="B546">
        <v>127.88</v>
      </c>
      <c r="C546">
        <v>148.83449999999999</v>
      </c>
      <c r="D546">
        <v>159.88</v>
      </c>
      <c r="E546">
        <f t="shared" si="8"/>
        <v>127.88</v>
      </c>
      <c r="F546" t="str" cm="1">
        <f t="array" ref="F546">INDEX({"Pay as you go","Prediction_PACK","Prediction_Payasyougo","Competitor"},MATCH(MIN(A546:D546), A546:D546, 0))</f>
        <v>Prediction_PACK</v>
      </c>
    </row>
    <row r="547" spans="1:6" x14ac:dyDescent="0.25">
      <c r="A547">
        <v>90.515000000000001</v>
      </c>
      <c r="B547">
        <v>107.88</v>
      </c>
      <c r="C547">
        <v>107.88</v>
      </c>
      <c r="D547">
        <v>129.88</v>
      </c>
      <c r="E547">
        <f t="shared" si="8"/>
        <v>90.515000000000001</v>
      </c>
      <c r="F547" t="str" cm="1">
        <f t="array" ref="F547">INDEX({"Pay as you go","Prediction_PACK","Prediction_Payasyougo","Competitor"},MATCH(MIN(A547:D547), A547:D547, 0))</f>
        <v>Pay as you go</v>
      </c>
    </row>
    <row r="548" spans="1:6" x14ac:dyDescent="0.25">
      <c r="A548">
        <v>157.85399999999998</v>
      </c>
      <c r="B548">
        <v>137.88</v>
      </c>
      <c r="C548">
        <v>162.88799999999998</v>
      </c>
      <c r="D548">
        <v>179.88</v>
      </c>
      <c r="E548">
        <f t="shared" si="8"/>
        <v>137.88</v>
      </c>
      <c r="F548" t="str" cm="1">
        <f t="array" ref="F548">INDEX({"Pay as you go","Prediction_PACK","Prediction_Payasyougo","Competitor"},MATCH(MIN(A548:D548), A548:D548, 0))</f>
        <v>Prediction_PACK</v>
      </c>
    </row>
    <row r="549" spans="1:6" x14ac:dyDescent="0.25">
      <c r="A549">
        <v>190.13200000000001</v>
      </c>
      <c r="B549">
        <v>157.88</v>
      </c>
      <c r="C549">
        <v>194.80199999999999</v>
      </c>
      <c r="D549">
        <v>199.88</v>
      </c>
      <c r="E549">
        <f t="shared" si="8"/>
        <v>157.88</v>
      </c>
      <c r="F549" t="str" cm="1">
        <f t="array" ref="F549">INDEX({"Pay as you go","Prediction_PACK","Prediction_Payasyougo","Competitor"},MATCH(MIN(A549:D549), A549:D549, 0))</f>
        <v>Prediction_PACK</v>
      </c>
    </row>
    <row r="550" spans="1:6" x14ac:dyDescent="0.25">
      <c r="A550">
        <v>82.366</v>
      </c>
      <c r="B550">
        <v>107.88</v>
      </c>
      <c r="C550">
        <v>107.88</v>
      </c>
      <c r="D550">
        <v>124.88</v>
      </c>
      <c r="E550">
        <f t="shared" si="8"/>
        <v>82.366</v>
      </c>
      <c r="F550" t="str" cm="1">
        <f t="array" ref="F550">INDEX({"Pay as you go","Prediction_PACK","Prediction_Payasyougo","Competitor"},MATCH(MIN(A550:D550), A550:D550, 0))</f>
        <v>Pay as you go</v>
      </c>
    </row>
    <row r="551" spans="1:6" x14ac:dyDescent="0.25">
      <c r="A551">
        <v>150.37</v>
      </c>
      <c r="B551">
        <v>157.88</v>
      </c>
      <c r="C551">
        <v>171.02850000000001</v>
      </c>
      <c r="D551">
        <v>189.88</v>
      </c>
      <c r="E551">
        <f t="shared" si="8"/>
        <v>150.37</v>
      </c>
      <c r="F551" t="str" cm="1">
        <f t="array" ref="F551">INDEX({"Pay as you go","Prediction_PACK","Prediction_Payasyougo","Competitor"},MATCH(MIN(A551:D551), A551:D551, 0))</f>
        <v>Pay as you go</v>
      </c>
    </row>
    <row r="552" spans="1:6" x14ac:dyDescent="0.25">
      <c r="A552">
        <v>113.84100000000001</v>
      </c>
      <c r="B552">
        <v>122.88</v>
      </c>
      <c r="C552">
        <v>137.45849999999999</v>
      </c>
      <c r="D552">
        <v>139.88</v>
      </c>
      <c r="E552">
        <f t="shared" si="8"/>
        <v>113.84100000000001</v>
      </c>
      <c r="F552" t="str" cm="1">
        <f t="array" ref="F552">INDEX({"Pay as you go","Prediction_PACK","Prediction_Payasyougo","Competitor"},MATCH(MIN(A552:D552), A552:D552, 0))</f>
        <v>Pay as you go</v>
      </c>
    </row>
    <row r="553" spans="1:6" x14ac:dyDescent="0.25">
      <c r="A553">
        <v>123.142</v>
      </c>
      <c r="B553">
        <v>107.88</v>
      </c>
      <c r="C553">
        <v>107.88</v>
      </c>
      <c r="D553">
        <v>149.88</v>
      </c>
      <c r="E553">
        <f t="shared" si="8"/>
        <v>107.88</v>
      </c>
      <c r="F553" t="str" cm="1">
        <f t="array" ref="F553">INDEX({"Pay as you go","Prediction_PACK","Prediction_Payasyougo","Competitor"},MATCH(MIN(A553:D553), A553:D553, 0))</f>
        <v>Prediction_PACK</v>
      </c>
    </row>
    <row r="554" spans="1:6" x14ac:dyDescent="0.25">
      <c r="A554">
        <v>111.745</v>
      </c>
      <c r="B554">
        <v>107.88</v>
      </c>
      <c r="C554">
        <v>107.88</v>
      </c>
      <c r="D554">
        <v>149.88</v>
      </c>
      <c r="E554">
        <f t="shared" si="8"/>
        <v>107.88</v>
      </c>
      <c r="F554" t="str" cm="1">
        <f t="array" ref="F554">INDEX({"Pay as you go","Prediction_PACK","Prediction_Payasyougo","Competitor"},MATCH(MIN(A554:D554), A554:D554, 0))</f>
        <v>Prediction_PACK</v>
      </c>
    </row>
    <row r="555" spans="1:6" x14ac:dyDescent="0.25">
      <c r="A555">
        <v>127.872</v>
      </c>
      <c r="B555">
        <v>137.88</v>
      </c>
      <c r="C555">
        <v>139.44749999999999</v>
      </c>
      <c r="D555">
        <v>149.88</v>
      </c>
      <c r="E555">
        <f t="shared" si="8"/>
        <v>127.872</v>
      </c>
      <c r="F555" t="str" cm="1">
        <f t="array" ref="F555">INDEX({"Pay as you go","Prediction_PACK","Prediction_Payasyougo","Competitor"},MATCH(MIN(A555:D555), A555:D555, 0))</f>
        <v>Pay as you go</v>
      </c>
    </row>
    <row r="556" spans="1:6" x14ac:dyDescent="0.25">
      <c r="A556">
        <v>119.444</v>
      </c>
      <c r="B556">
        <v>135.88</v>
      </c>
      <c r="C556">
        <v>133.30500000000001</v>
      </c>
      <c r="D556">
        <v>149.88</v>
      </c>
      <c r="E556">
        <f t="shared" si="8"/>
        <v>119.444</v>
      </c>
      <c r="F556" t="str" cm="1">
        <f t="array" ref="F556">INDEX({"Pay as you go","Prediction_PACK","Prediction_Payasyougo","Competitor"},MATCH(MIN(A556:D556), A556:D556, 0))</f>
        <v>Pay as you go</v>
      </c>
    </row>
    <row r="557" spans="1:6" x14ac:dyDescent="0.25">
      <c r="A557">
        <v>108.938</v>
      </c>
      <c r="B557">
        <v>107.88</v>
      </c>
      <c r="C557">
        <v>107.88</v>
      </c>
      <c r="D557">
        <v>134.88</v>
      </c>
      <c r="E557">
        <f t="shared" si="8"/>
        <v>107.88</v>
      </c>
      <c r="F557" t="str" cm="1">
        <f t="array" ref="F557">INDEX({"Pay as you go","Prediction_PACK","Prediction_Payasyougo","Competitor"},MATCH(MIN(A557:D557), A557:D557, 0))</f>
        <v>Prediction_PACK</v>
      </c>
    </row>
    <row r="558" spans="1:6" x14ac:dyDescent="0.25">
      <c r="A558">
        <v>142.333</v>
      </c>
      <c r="B558">
        <v>137.88</v>
      </c>
      <c r="C558">
        <v>156.678</v>
      </c>
      <c r="D558">
        <v>159.88</v>
      </c>
      <c r="E558">
        <f t="shared" si="8"/>
        <v>137.88</v>
      </c>
      <c r="F558" t="str" cm="1">
        <f t="array" ref="F558">INDEX({"Pay as you go","Prediction_PACK","Prediction_Payasyougo","Competitor"},MATCH(MIN(A558:D558), A558:D558, 0))</f>
        <v>Prediction_PACK</v>
      </c>
    </row>
    <row r="559" spans="1:6" x14ac:dyDescent="0.25">
      <c r="A559">
        <v>143.702</v>
      </c>
      <c r="B559">
        <v>137.88</v>
      </c>
      <c r="C559">
        <v>146.26049999999998</v>
      </c>
      <c r="D559">
        <v>169.88</v>
      </c>
      <c r="E559">
        <f t="shared" si="8"/>
        <v>137.88</v>
      </c>
      <c r="F559" t="str" cm="1">
        <f t="array" ref="F559">INDEX({"Pay as you go","Prediction_PACK","Prediction_Payasyougo","Competitor"},MATCH(MIN(A559:D559), A559:D559, 0))</f>
        <v>Prediction_PACK</v>
      </c>
    </row>
    <row r="560" spans="1:6" x14ac:dyDescent="0.25">
      <c r="A560">
        <v>167.14400000000001</v>
      </c>
      <c r="B560">
        <v>147.88</v>
      </c>
      <c r="C560">
        <v>161.10599999999999</v>
      </c>
      <c r="D560">
        <v>159.88</v>
      </c>
      <c r="E560">
        <f t="shared" si="8"/>
        <v>147.88</v>
      </c>
      <c r="F560" t="str" cm="1">
        <f t="array" ref="F560">INDEX({"Pay as you go","Prediction_PACK","Prediction_Payasyougo","Competitor"},MATCH(MIN(A560:D560), A560:D560, 0))</f>
        <v>Prediction_PACK</v>
      </c>
    </row>
    <row r="561" spans="1:6" x14ac:dyDescent="0.25">
      <c r="A561">
        <v>96.215000000000003</v>
      </c>
      <c r="B561">
        <v>117.88</v>
      </c>
      <c r="C561">
        <v>125.979</v>
      </c>
      <c r="D561">
        <v>139.88</v>
      </c>
      <c r="E561">
        <f t="shared" si="8"/>
        <v>96.215000000000003</v>
      </c>
      <c r="F561" t="str" cm="1">
        <f t="array" ref="F561">INDEX({"Pay as you go","Prediction_PACK","Prediction_Payasyougo","Competitor"},MATCH(MIN(A561:D561), A561:D561, 0))</f>
        <v>Pay as you go</v>
      </c>
    </row>
    <row r="562" spans="1:6" x14ac:dyDescent="0.25">
      <c r="A562">
        <v>50.177000000000007</v>
      </c>
      <c r="B562">
        <v>107.88</v>
      </c>
      <c r="C562">
        <v>107.88</v>
      </c>
      <c r="D562">
        <v>119.88</v>
      </c>
      <c r="E562">
        <f t="shared" si="8"/>
        <v>50.177000000000007</v>
      </c>
      <c r="F562" t="str" cm="1">
        <f t="array" ref="F562">INDEX({"Pay as you go","Prediction_PACK","Prediction_Payasyougo","Competitor"},MATCH(MIN(A562:D562), A562:D562, 0))</f>
        <v>Pay as you go</v>
      </c>
    </row>
    <row r="563" spans="1:6" x14ac:dyDescent="0.25">
      <c r="A563">
        <v>108.863</v>
      </c>
      <c r="B563">
        <v>115.88</v>
      </c>
      <c r="C563">
        <v>109.6935</v>
      </c>
      <c r="D563">
        <v>149.88</v>
      </c>
      <c r="E563">
        <f t="shared" si="8"/>
        <v>108.863</v>
      </c>
      <c r="F563" t="str" cm="1">
        <f t="array" ref="F563">INDEX({"Pay as you go","Prediction_PACK","Prediction_Payasyougo","Competitor"},MATCH(MIN(A563:D563), A563:D563, 0))</f>
        <v>Pay as you go</v>
      </c>
    </row>
    <row r="564" spans="1:6" x14ac:dyDescent="0.25">
      <c r="A564">
        <v>161.95699999999999</v>
      </c>
      <c r="B564">
        <v>127.88</v>
      </c>
      <c r="C564">
        <v>132.31950000000001</v>
      </c>
      <c r="D564">
        <v>169.88</v>
      </c>
      <c r="E564">
        <f t="shared" si="8"/>
        <v>127.88</v>
      </c>
      <c r="F564" t="str" cm="1">
        <f t="array" ref="F564">INDEX({"Pay as you go","Prediction_PACK","Prediction_Payasyougo","Competitor"},MATCH(MIN(A564:D564), A564:D564, 0))</f>
        <v>Prediction_PACK</v>
      </c>
    </row>
    <row r="565" spans="1:6" x14ac:dyDescent="0.25">
      <c r="A565">
        <v>134.273</v>
      </c>
      <c r="B565">
        <v>135.88</v>
      </c>
      <c r="C565">
        <v>133.87199999999999</v>
      </c>
      <c r="D565">
        <v>159.88</v>
      </c>
      <c r="E565">
        <f t="shared" si="8"/>
        <v>133.87199999999999</v>
      </c>
      <c r="F565" t="str" cm="1">
        <f t="array" ref="F565">INDEX({"Pay as you go","Prediction_PACK","Prediction_Payasyougo","Competitor"},MATCH(MIN(A565:D565), A565:D565, 0))</f>
        <v>Prediction_Payasyougo</v>
      </c>
    </row>
    <row r="566" spans="1:6" x14ac:dyDescent="0.25">
      <c r="A566">
        <v>104.79700000000001</v>
      </c>
      <c r="B566">
        <v>107.88</v>
      </c>
      <c r="C566">
        <v>107.88</v>
      </c>
      <c r="D566">
        <v>144.88</v>
      </c>
      <c r="E566">
        <f t="shared" si="8"/>
        <v>104.79700000000001</v>
      </c>
      <c r="F566" t="str" cm="1">
        <f t="array" ref="F566">INDEX({"Pay as you go","Prediction_PACK","Prediction_Payasyougo","Competitor"},MATCH(MIN(A566:D566), A566:D566, 0))</f>
        <v>Pay as you go</v>
      </c>
    </row>
    <row r="567" spans="1:6" x14ac:dyDescent="0.25">
      <c r="A567">
        <v>145.446</v>
      </c>
      <c r="B567">
        <v>117.88</v>
      </c>
      <c r="C567">
        <v>124.30499999999999</v>
      </c>
      <c r="D567">
        <v>159.88</v>
      </c>
      <c r="E567">
        <f t="shared" si="8"/>
        <v>117.88</v>
      </c>
      <c r="F567" t="str" cm="1">
        <f t="array" ref="F567">INDEX({"Pay as you go","Prediction_PACK","Prediction_Payasyougo","Competitor"},MATCH(MIN(A567:D567), A567:D567, 0))</f>
        <v>Prediction_PACK</v>
      </c>
    </row>
    <row r="568" spans="1:6" x14ac:dyDescent="0.25">
      <c r="A568">
        <v>125.53700000000001</v>
      </c>
      <c r="B568">
        <v>137.88</v>
      </c>
      <c r="C568">
        <v>143.11949999999999</v>
      </c>
      <c r="D568">
        <v>149.88</v>
      </c>
      <c r="E568">
        <f t="shared" si="8"/>
        <v>125.53700000000001</v>
      </c>
      <c r="F568" t="str" cm="1">
        <f t="array" ref="F568">INDEX({"Pay as you go","Prediction_PACK","Prediction_Payasyougo","Competitor"},MATCH(MIN(A568:D568), A568:D568, 0))</f>
        <v>Pay as you go</v>
      </c>
    </row>
    <row r="569" spans="1:6" x14ac:dyDescent="0.25">
      <c r="A569">
        <v>121.57300000000001</v>
      </c>
      <c r="B569">
        <v>127.88</v>
      </c>
      <c r="C569">
        <v>133.41299999999998</v>
      </c>
      <c r="D569">
        <v>159.88</v>
      </c>
      <c r="E569">
        <f t="shared" si="8"/>
        <v>121.57300000000001</v>
      </c>
      <c r="F569" t="str" cm="1">
        <f t="array" ref="F569">INDEX({"Pay as you go","Prediction_PACK","Prediction_Payasyougo","Competitor"},MATCH(MIN(A569:D569), A569:D569, 0))</f>
        <v>Pay as you go</v>
      </c>
    </row>
    <row r="570" spans="1:6" x14ac:dyDescent="0.25">
      <c r="A570">
        <v>126.90599999999999</v>
      </c>
      <c r="B570">
        <v>111.88</v>
      </c>
      <c r="C570">
        <v>111.73649999999999</v>
      </c>
      <c r="D570">
        <v>139.88</v>
      </c>
      <c r="E570">
        <f t="shared" si="8"/>
        <v>111.73649999999999</v>
      </c>
      <c r="F570" t="str" cm="1">
        <f t="array" ref="F570">INDEX({"Pay as you go","Prediction_PACK","Prediction_Payasyougo","Competitor"},MATCH(MIN(A570:D570), A570:D570, 0))</f>
        <v>Prediction_Payasyougo</v>
      </c>
    </row>
    <row r="571" spans="1:6" x14ac:dyDescent="0.25">
      <c r="A571">
        <v>88.988</v>
      </c>
      <c r="B571">
        <v>107.88</v>
      </c>
      <c r="C571">
        <v>107.88</v>
      </c>
      <c r="D571">
        <v>124.88</v>
      </c>
      <c r="E571">
        <f t="shared" si="8"/>
        <v>88.988</v>
      </c>
      <c r="F571" t="str" cm="1">
        <f t="array" ref="F571">INDEX({"Pay as you go","Prediction_PACK","Prediction_Payasyougo","Competitor"},MATCH(MIN(A571:D571), A571:D571, 0))</f>
        <v>Pay as you go</v>
      </c>
    </row>
    <row r="572" spans="1:6" x14ac:dyDescent="0.25">
      <c r="A572">
        <v>152.054</v>
      </c>
      <c r="B572">
        <v>127.88</v>
      </c>
      <c r="C572">
        <v>135.19049999999999</v>
      </c>
      <c r="D572">
        <v>159.88</v>
      </c>
      <c r="E572">
        <f t="shared" si="8"/>
        <v>127.88</v>
      </c>
      <c r="F572" t="str" cm="1">
        <f t="array" ref="F572">INDEX({"Pay as you go","Prediction_PACK","Prediction_Payasyougo","Competitor"},MATCH(MIN(A572:D572), A572:D572, 0))</f>
        <v>Prediction_PACK</v>
      </c>
    </row>
    <row r="573" spans="1:6" x14ac:dyDescent="0.25">
      <c r="A573">
        <v>136.721</v>
      </c>
      <c r="B573">
        <v>122.88</v>
      </c>
      <c r="C573">
        <v>131.928</v>
      </c>
      <c r="D573">
        <v>139.88</v>
      </c>
      <c r="E573">
        <f t="shared" si="8"/>
        <v>122.88</v>
      </c>
      <c r="F573" t="str" cm="1">
        <f t="array" ref="F573">INDEX({"Pay as you go","Prediction_PACK","Prediction_Payasyougo","Competitor"},MATCH(MIN(A573:D573), A573:D573, 0))</f>
        <v>Prediction_PACK</v>
      </c>
    </row>
    <row r="574" spans="1:6" x14ac:dyDescent="0.25">
      <c r="A574">
        <v>132.85</v>
      </c>
      <c r="B574">
        <v>127.88</v>
      </c>
      <c r="C574">
        <v>139.64099999999999</v>
      </c>
      <c r="D574">
        <v>159.88</v>
      </c>
      <c r="E574">
        <f t="shared" si="8"/>
        <v>127.88</v>
      </c>
      <c r="F574" t="str" cm="1">
        <f t="array" ref="F574">INDEX({"Pay as you go","Prediction_PACK","Prediction_Payasyougo","Competitor"},MATCH(MIN(A574:D574), A574:D574, 0))</f>
        <v>Prediction_PACK</v>
      </c>
    </row>
    <row r="575" spans="1:6" x14ac:dyDescent="0.25">
      <c r="A575">
        <v>104.748</v>
      </c>
      <c r="B575">
        <v>107.88</v>
      </c>
      <c r="C575">
        <v>107.88</v>
      </c>
      <c r="D575">
        <v>134.88</v>
      </c>
      <c r="E575">
        <f t="shared" si="8"/>
        <v>104.748</v>
      </c>
      <c r="F575" t="str" cm="1">
        <f t="array" ref="F575">INDEX({"Pay as you go","Prediction_PACK","Prediction_Payasyougo","Competitor"},MATCH(MIN(A575:D575), A575:D575, 0))</f>
        <v>Pay as you go</v>
      </c>
    </row>
    <row r="576" spans="1:6" x14ac:dyDescent="0.25">
      <c r="A576">
        <v>175.20699999999999</v>
      </c>
      <c r="B576">
        <v>152.88</v>
      </c>
      <c r="C576">
        <v>172.07249999999999</v>
      </c>
      <c r="D576">
        <v>179.88</v>
      </c>
      <c r="E576">
        <f t="shared" si="8"/>
        <v>152.88</v>
      </c>
      <c r="F576" t="str" cm="1">
        <f t="array" ref="F576">INDEX({"Pay as you go","Prediction_PACK","Prediction_Payasyougo","Competitor"},MATCH(MIN(A576:D576), A576:D576, 0))</f>
        <v>Prediction_PACK</v>
      </c>
    </row>
    <row r="577" spans="1:6" x14ac:dyDescent="0.25">
      <c r="A577">
        <v>159.602</v>
      </c>
      <c r="B577">
        <v>147.88</v>
      </c>
      <c r="C577">
        <v>167.649</v>
      </c>
      <c r="D577">
        <v>169.88</v>
      </c>
      <c r="E577">
        <f t="shared" si="8"/>
        <v>147.88</v>
      </c>
      <c r="F577" t="str" cm="1">
        <f t="array" ref="F577">INDEX({"Pay as you go","Prediction_PACK","Prediction_Payasyougo","Competitor"},MATCH(MIN(A577:D577), A577:D577, 0))</f>
        <v>Prediction_PACK</v>
      </c>
    </row>
    <row r="578" spans="1:6" x14ac:dyDescent="0.25">
      <c r="A578">
        <v>170.255</v>
      </c>
      <c r="B578">
        <v>147.88</v>
      </c>
      <c r="C578">
        <v>183.78149999999999</v>
      </c>
      <c r="D578">
        <v>209.88</v>
      </c>
      <c r="E578">
        <f t="shared" si="8"/>
        <v>147.88</v>
      </c>
      <c r="F578" t="str" cm="1">
        <f t="array" ref="F578">INDEX({"Pay as you go","Prediction_PACK","Prediction_Payasyougo","Competitor"},MATCH(MIN(A578:D578), A578:D578, 0))</f>
        <v>Prediction_PACK</v>
      </c>
    </row>
    <row r="579" spans="1:6" x14ac:dyDescent="0.25">
      <c r="A579">
        <v>88.318000000000012</v>
      </c>
      <c r="B579">
        <v>107.88</v>
      </c>
      <c r="C579">
        <v>107.88</v>
      </c>
      <c r="D579">
        <v>124.88</v>
      </c>
      <c r="E579">
        <f t="shared" si="8"/>
        <v>88.318000000000012</v>
      </c>
      <c r="F579" t="str" cm="1">
        <f t="array" ref="F579">INDEX({"Pay as you go","Prediction_PACK","Prediction_Payasyougo","Competitor"},MATCH(MIN(A579:D579), A579:D579, 0))</f>
        <v>Pay as you go</v>
      </c>
    </row>
    <row r="580" spans="1:6" x14ac:dyDescent="0.25">
      <c r="A580">
        <v>160.77700000000002</v>
      </c>
      <c r="B580">
        <v>143.88</v>
      </c>
      <c r="C580">
        <v>142.06649999999999</v>
      </c>
      <c r="D580">
        <v>169.88</v>
      </c>
      <c r="E580">
        <f t="shared" si="8"/>
        <v>142.06649999999999</v>
      </c>
      <c r="F580" t="str" cm="1">
        <f t="array" ref="F580">INDEX({"Pay as you go","Prediction_PACK","Prediction_Payasyougo","Competitor"},MATCH(MIN(A580:D580), A580:D580, 0))</f>
        <v>Prediction_Payasyougo</v>
      </c>
    </row>
    <row r="581" spans="1:6" x14ac:dyDescent="0.25">
      <c r="A581">
        <v>159.21800000000002</v>
      </c>
      <c r="B581">
        <v>119.88</v>
      </c>
      <c r="C581">
        <v>115.78649999999999</v>
      </c>
      <c r="D581">
        <v>159.88</v>
      </c>
      <c r="E581">
        <f t="shared" si="8"/>
        <v>115.78649999999999</v>
      </c>
      <c r="F581" t="str" cm="1">
        <f t="array" ref="F581">INDEX({"Pay as you go","Prediction_PACK","Prediction_Payasyougo","Competitor"},MATCH(MIN(A581:D581), A581:D581, 0))</f>
        <v>Prediction_Payasyougo</v>
      </c>
    </row>
    <row r="582" spans="1:6" x14ac:dyDescent="0.25">
      <c r="A582">
        <v>129.25900000000001</v>
      </c>
      <c r="B582">
        <v>135.88</v>
      </c>
      <c r="C582">
        <v>133.791</v>
      </c>
      <c r="D582">
        <v>149.88</v>
      </c>
      <c r="E582">
        <f t="shared" si="8"/>
        <v>129.25900000000001</v>
      </c>
      <c r="F582" t="str" cm="1">
        <f t="array" ref="F582">INDEX({"Pay as you go","Prediction_PACK","Prediction_Payasyougo","Competitor"},MATCH(MIN(A582:D582), A582:D582, 0))</f>
        <v>Pay as you go</v>
      </c>
    </row>
    <row r="583" spans="1:6" x14ac:dyDescent="0.25">
      <c r="A583">
        <v>135.66600000000003</v>
      </c>
      <c r="B583">
        <v>127.88</v>
      </c>
      <c r="C583">
        <v>132.67499999999998</v>
      </c>
      <c r="D583">
        <v>149.88</v>
      </c>
      <c r="E583">
        <f t="shared" si="8"/>
        <v>127.88</v>
      </c>
      <c r="F583" t="str" cm="1">
        <f t="array" ref="F583">INDEX({"Pay as you go","Prediction_PACK","Prediction_Payasyougo","Competitor"},MATCH(MIN(A583:D583), A583:D583, 0))</f>
        <v>Prediction_PACK</v>
      </c>
    </row>
    <row r="584" spans="1:6" x14ac:dyDescent="0.25">
      <c r="A584">
        <v>121.455</v>
      </c>
      <c r="B584">
        <v>123.88</v>
      </c>
      <c r="C584">
        <v>121.90199999999999</v>
      </c>
      <c r="D584">
        <v>149.88</v>
      </c>
      <c r="E584">
        <f t="shared" si="8"/>
        <v>121.455</v>
      </c>
      <c r="F584" t="str" cm="1">
        <f t="array" ref="F584">INDEX({"Pay as you go","Prediction_PACK","Prediction_Payasyougo","Competitor"},MATCH(MIN(A584:D584), A584:D584, 0))</f>
        <v>Pay as you go</v>
      </c>
    </row>
    <row r="585" spans="1:6" x14ac:dyDescent="0.25">
      <c r="A585">
        <v>162.63000000000002</v>
      </c>
      <c r="B585">
        <v>143.88</v>
      </c>
      <c r="C585">
        <v>141.94499999999999</v>
      </c>
      <c r="D585">
        <v>169.88</v>
      </c>
      <c r="E585">
        <f t="shared" ref="E585:E648" si="9">MIN(A585:D585)</f>
        <v>141.94499999999999</v>
      </c>
      <c r="F585" t="str" cm="1">
        <f t="array" ref="F585">INDEX({"Pay as you go","Prediction_PACK","Prediction_Payasyougo","Competitor"},MATCH(MIN(A585:D585), A585:D585, 0))</f>
        <v>Prediction_Payasyougo</v>
      </c>
    </row>
    <row r="586" spans="1:6" x14ac:dyDescent="0.25">
      <c r="A586">
        <v>110.20399999999999</v>
      </c>
      <c r="B586">
        <v>115.88</v>
      </c>
      <c r="C586">
        <v>114.33749999999999</v>
      </c>
      <c r="D586">
        <v>139.88</v>
      </c>
      <c r="E586">
        <f t="shared" si="9"/>
        <v>110.20399999999999</v>
      </c>
      <c r="F586" t="str" cm="1">
        <f t="array" ref="F586">INDEX({"Pay as you go","Prediction_PACK","Prediction_Payasyougo","Competitor"},MATCH(MIN(A586:D586), A586:D586, 0))</f>
        <v>Pay as you go</v>
      </c>
    </row>
    <row r="587" spans="1:6" x14ac:dyDescent="0.25">
      <c r="A587">
        <v>91.727000000000004</v>
      </c>
      <c r="B587">
        <v>117.88</v>
      </c>
      <c r="C587">
        <v>124.449</v>
      </c>
      <c r="D587">
        <v>139.88</v>
      </c>
      <c r="E587">
        <f t="shared" si="9"/>
        <v>91.727000000000004</v>
      </c>
      <c r="F587" t="str" cm="1">
        <f t="array" ref="F587">INDEX({"Pay as you go","Prediction_PACK","Prediction_Payasyougo","Competitor"},MATCH(MIN(A587:D587), A587:D587, 0))</f>
        <v>Pay as you go</v>
      </c>
    </row>
    <row r="588" spans="1:6" x14ac:dyDescent="0.25">
      <c r="A588">
        <v>87.488</v>
      </c>
      <c r="B588">
        <v>107.88</v>
      </c>
      <c r="C588">
        <v>107.88</v>
      </c>
      <c r="D588">
        <v>124.88</v>
      </c>
      <c r="E588">
        <f t="shared" si="9"/>
        <v>87.488</v>
      </c>
      <c r="F588" t="str" cm="1">
        <f t="array" ref="F588">INDEX({"Pay as you go","Prediction_PACK","Prediction_Payasyougo","Competitor"},MATCH(MIN(A588:D588), A588:D588, 0))</f>
        <v>Pay as you go</v>
      </c>
    </row>
    <row r="589" spans="1:6" x14ac:dyDescent="0.25">
      <c r="A589">
        <v>119.90600000000001</v>
      </c>
      <c r="B589">
        <v>127.88</v>
      </c>
      <c r="C589">
        <v>128.7465</v>
      </c>
      <c r="D589">
        <v>149.88</v>
      </c>
      <c r="E589">
        <f t="shared" si="9"/>
        <v>119.90600000000001</v>
      </c>
      <c r="F589" t="str" cm="1">
        <f t="array" ref="F589">INDEX({"Pay as you go","Prediction_PACK","Prediction_Payasyougo","Competitor"},MATCH(MIN(A589:D589), A589:D589, 0))</f>
        <v>Pay as you go</v>
      </c>
    </row>
    <row r="590" spans="1:6" x14ac:dyDescent="0.25">
      <c r="A590">
        <v>78.692999999999998</v>
      </c>
      <c r="B590">
        <v>107.88</v>
      </c>
      <c r="C590">
        <v>107.88</v>
      </c>
      <c r="D590">
        <v>119.88</v>
      </c>
      <c r="E590">
        <f t="shared" si="9"/>
        <v>78.692999999999998</v>
      </c>
      <c r="F590" t="str" cm="1">
        <f t="array" ref="F590">INDEX({"Pay as you go","Prediction_PACK","Prediction_Payasyougo","Competitor"},MATCH(MIN(A590:D590), A590:D590, 0))</f>
        <v>Pay as you go</v>
      </c>
    </row>
    <row r="591" spans="1:6" x14ac:dyDescent="0.25">
      <c r="A591">
        <v>84.797000000000011</v>
      </c>
      <c r="B591">
        <v>107.88</v>
      </c>
      <c r="C591">
        <v>107.88</v>
      </c>
      <c r="D591">
        <v>119.88</v>
      </c>
      <c r="E591">
        <f t="shared" si="9"/>
        <v>84.797000000000011</v>
      </c>
      <c r="F591" t="str" cm="1">
        <f t="array" ref="F591">INDEX({"Pay as you go","Prediction_PACK","Prediction_Payasyougo","Competitor"},MATCH(MIN(A591:D591), A591:D591, 0))</f>
        <v>Pay as you go</v>
      </c>
    </row>
    <row r="592" spans="1:6" x14ac:dyDescent="0.25">
      <c r="A592">
        <v>130.80700000000002</v>
      </c>
      <c r="B592">
        <v>107.88</v>
      </c>
      <c r="C592">
        <v>107.88</v>
      </c>
      <c r="D592">
        <v>144.88</v>
      </c>
      <c r="E592">
        <f t="shared" si="9"/>
        <v>107.88</v>
      </c>
      <c r="F592" t="str" cm="1">
        <f t="array" ref="F592">INDEX({"Pay as you go","Prediction_PACK","Prediction_Payasyougo","Competitor"},MATCH(MIN(A592:D592), A592:D592, 0))</f>
        <v>Prediction_PACK</v>
      </c>
    </row>
    <row r="593" spans="1:6" x14ac:dyDescent="0.25">
      <c r="A593">
        <v>60.481000000000002</v>
      </c>
      <c r="B593">
        <v>107.88</v>
      </c>
      <c r="C593">
        <v>107.88</v>
      </c>
      <c r="D593">
        <v>119.88</v>
      </c>
      <c r="E593">
        <f t="shared" si="9"/>
        <v>60.481000000000002</v>
      </c>
      <c r="F593" t="str" cm="1">
        <f t="array" ref="F593">INDEX({"Pay as you go","Prediction_PACK","Prediction_Payasyougo","Competitor"},MATCH(MIN(A593:D593), A593:D593, 0))</f>
        <v>Pay as you go</v>
      </c>
    </row>
    <row r="594" spans="1:6" x14ac:dyDescent="0.25">
      <c r="A594">
        <v>154.34500000000003</v>
      </c>
      <c r="B594">
        <v>147.88</v>
      </c>
      <c r="C594">
        <v>163.572</v>
      </c>
      <c r="D594">
        <v>169.88</v>
      </c>
      <c r="E594">
        <f t="shared" si="9"/>
        <v>147.88</v>
      </c>
      <c r="F594" t="str" cm="1">
        <f t="array" ref="F594">INDEX({"Pay as you go","Prediction_PACK","Prediction_Payasyougo","Competitor"},MATCH(MIN(A594:D594), A594:D594, 0))</f>
        <v>Prediction_PACK</v>
      </c>
    </row>
    <row r="595" spans="1:6" x14ac:dyDescent="0.25">
      <c r="A595">
        <v>123.301</v>
      </c>
      <c r="B595">
        <v>115.88</v>
      </c>
      <c r="C595">
        <v>113.95049999999999</v>
      </c>
      <c r="D595">
        <v>149.88</v>
      </c>
      <c r="E595">
        <f t="shared" si="9"/>
        <v>113.95049999999999</v>
      </c>
      <c r="F595" t="str" cm="1">
        <f t="array" ref="F595">INDEX({"Pay as you go","Prediction_PACK","Prediction_Payasyougo","Competitor"},MATCH(MIN(A595:D595), A595:D595, 0))</f>
        <v>Prediction_Payasyougo</v>
      </c>
    </row>
    <row r="596" spans="1:6" x14ac:dyDescent="0.25">
      <c r="A596">
        <v>96.762999999999991</v>
      </c>
      <c r="B596">
        <v>111.88</v>
      </c>
      <c r="C596">
        <v>111.5655</v>
      </c>
      <c r="D596">
        <v>129.88</v>
      </c>
      <c r="E596">
        <f t="shared" si="9"/>
        <v>96.762999999999991</v>
      </c>
      <c r="F596" t="str" cm="1">
        <f t="array" ref="F596">INDEX({"Pay as you go","Prediction_PACK","Prediction_Payasyougo","Competitor"},MATCH(MIN(A596:D596), A596:D596, 0))</f>
        <v>Pay as you go</v>
      </c>
    </row>
    <row r="597" spans="1:6" x14ac:dyDescent="0.25">
      <c r="A597">
        <v>128.02199999999999</v>
      </c>
      <c r="B597">
        <v>115.88</v>
      </c>
      <c r="C597">
        <v>116.50649999999999</v>
      </c>
      <c r="D597">
        <v>154.88</v>
      </c>
      <c r="E597">
        <f t="shared" si="9"/>
        <v>115.88</v>
      </c>
      <c r="F597" t="str" cm="1">
        <f t="array" ref="F597">INDEX({"Pay as you go","Prediction_PACK","Prediction_Payasyougo","Competitor"},MATCH(MIN(A597:D597), A597:D597, 0))</f>
        <v>Prediction_PACK</v>
      </c>
    </row>
    <row r="598" spans="1:6" x14ac:dyDescent="0.25">
      <c r="A598">
        <v>51.311</v>
      </c>
      <c r="B598">
        <v>107.88</v>
      </c>
      <c r="C598">
        <v>107.88</v>
      </c>
      <c r="D598">
        <v>119.88</v>
      </c>
      <c r="E598">
        <f t="shared" si="9"/>
        <v>51.311</v>
      </c>
      <c r="F598" t="str" cm="1">
        <f t="array" ref="F598">INDEX({"Pay as you go","Prediction_PACK","Prediction_Payasyougo","Competitor"},MATCH(MIN(A598:D598), A598:D598, 0))</f>
        <v>Pay as you go</v>
      </c>
    </row>
    <row r="599" spans="1:6" x14ac:dyDescent="0.25">
      <c r="A599">
        <v>132.42599999999999</v>
      </c>
      <c r="B599">
        <v>137.88</v>
      </c>
      <c r="C599">
        <v>152.55599999999998</v>
      </c>
      <c r="D599">
        <v>169.88</v>
      </c>
      <c r="E599">
        <f t="shared" si="9"/>
        <v>132.42599999999999</v>
      </c>
      <c r="F599" t="str" cm="1">
        <f t="array" ref="F599">INDEX({"Pay as you go","Prediction_PACK","Prediction_Payasyougo","Competitor"},MATCH(MIN(A599:D599), A599:D599, 0))</f>
        <v>Pay as you go</v>
      </c>
    </row>
    <row r="600" spans="1:6" x14ac:dyDescent="0.25">
      <c r="A600">
        <v>116.669</v>
      </c>
      <c r="B600">
        <v>115.88</v>
      </c>
      <c r="C600">
        <v>111.4485</v>
      </c>
      <c r="D600">
        <v>139.88</v>
      </c>
      <c r="E600">
        <f t="shared" si="9"/>
        <v>111.4485</v>
      </c>
      <c r="F600" t="str" cm="1">
        <f t="array" ref="F600">INDEX({"Pay as you go","Prediction_PACK","Prediction_Payasyougo","Competitor"},MATCH(MIN(A600:D600), A600:D600, 0))</f>
        <v>Prediction_Payasyougo</v>
      </c>
    </row>
    <row r="601" spans="1:6" x14ac:dyDescent="0.25">
      <c r="A601">
        <v>160.49300000000002</v>
      </c>
      <c r="B601">
        <v>137.88</v>
      </c>
      <c r="C601">
        <v>147.768</v>
      </c>
      <c r="D601">
        <v>179.88</v>
      </c>
      <c r="E601">
        <f t="shared" si="9"/>
        <v>137.88</v>
      </c>
      <c r="F601" t="str" cm="1">
        <f t="array" ref="F601">INDEX({"Pay as you go","Prediction_PACK","Prediction_Payasyougo","Competitor"},MATCH(MIN(A601:D601), A601:D601, 0))</f>
        <v>Prediction_PACK</v>
      </c>
    </row>
    <row r="602" spans="1:6" x14ac:dyDescent="0.25">
      <c r="A602">
        <v>108.52200000000001</v>
      </c>
      <c r="B602">
        <v>107.88</v>
      </c>
      <c r="C602">
        <v>107.88</v>
      </c>
      <c r="D602">
        <v>124.88</v>
      </c>
      <c r="E602">
        <f t="shared" si="9"/>
        <v>107.88</v>
      </c>
      <c r="F602" t="str" cm="1">
        <f t="array" ref="F602">INDEX({"Pay as you go","Prediction_PACK","Prediction_Payasyougo","Competitor"},MATCH(MIN(A602:D602), A602:D602, 0))</f>
        <v>Prediction_PACK</v>
      </c>
    </row>
    <row r="603" spans="1:6" x14ac:dyDescent="0.25">
      <c r="A603">
        <v>229.744</v>
      </c>
      <c r="B603">
        <v>167.88</v>
      </c>
      <c r="C603">
        <v>214.21499999999997</v>
      </c>
      <c r="D603">
        <v>229.88</v>
      </c>
      <c r="E603">
        <f t="shared" si="9"/>
        <v>167.88</v>
      </c>
      <c r="F603" t="str" cm="1">
        <f t="array" ref="F603">INDEX({"Pay as you go","Prediction_PACK","Prediction_Payasyougo","Competitor"},MATCH(MIN(A603:D603), A603:D603, 0))</f>
        <v>Prediction_PACK</v>
      </c>
    </row>
    <row r="604" spans="1:6" x14ac:dyDescent="0.25">
      <c r="A604">
        <v>93.62</v>
      </c>
      <c r="B604">
        <v>107.88</v>
      </c>
      <c r="C604">
        <v>107.88</v>
      </c>
      <c r="D604">
        <v>134.88</v>
      </c>
      <c r="E604">
        <f t="shared" si="9"/>
        <v>93.62</v>
      </c>
      <c r="F604" t="str" cm="1">
        <f t="array" ref="F604">INDEX({"Pay as you go","Prediction_PACK","Prediction_Payasyougo","Competitor"},MATCH(MIN(A604:D604), A604:D604, 0))</f>
        <v>Pay as you go</v>
      </c>
    </row>
    <row r="605" spans="1:6" x14ac:dyDescent="0.25">
      <c r="A605">
        <v>247.83</v>
      </c>
      <c r="B605">
        <v>187.88</v>
      </c>
      <c r="C605">
        <v>236.61599999999999</v>
      </c>
      <c r="D605">
        <v>229.88</v>
      </c>
      <c r="E605">
        <f t="shared" si="9"/>
        <v>187.88</v>
      </c>
      <c r="F605" t="str" cm="1">
        <f t="array" ref="F605">INDEX({"Pay as you go","Prediction_PACK","Prediction_Payasyougo","Competitor"},MATCH(MIN(A605:D605), A605:D605, 0))</f>
        <v>Prediction_PACK</v>
      </c>
    </row>
    <row r="606" spans="1:6" x14ac:dyDescent="0.25">
      <c r="A606">
        <v>156.22999999999999</v>
      </c>
      <c r="B606">
        <v>127.88</v>
      </c>
      <c r="C606">
        <v>128.56649999999999</v>
      </c>
      <c r="D606">
        <v>179.88</v>
      </c>
      <c r="E606">
        <f t="shared" si="9"/>
        <v>127.88</v>
      </c>
      <c r="F606" t="str" cm="1">
        <f t="array" ref="F606">INDEX({"Pay as you go","Prediction_PACK","Prediction_Payasyougo","Competitor"},MATCH(MIN(A606:D606), A606:D606, 0))</f>
        <v>Prediction_PACK</v>
      </c>
    </row>
    <row r="607" spans="1:6" x14ac:dyDescent="0.25">
      <c r="A607">
        <v>62.073000000000008</v>
      </c>
      <c r="B607">
        <v>107.88</v>
      </c>
      <c r="C607">
        <v>107.88</v>
      </c>
      <c r="D607">
        <v>124.88</v>
      </c>
      <c r="E607">
        <f t="shared" si="9"/>
        <v>62.073000000000008</v>
      </c>
      <c r="F607" t="str" cm="1">
        <f t="array" ref="F607">INDEX({"Pay as you go","Prediction_PACK","Prediction_Payasyougo","Competitor"},MATCH(MIN(A607:D607), A607:D607, 0))</f>
        <v>Pay as you go</v>
      </c>
    </row>
    <row r="608" spans="1:6" x14ac:dyDescent="0.25">
      <c r="A608">
        <v>178.73399999999998</v>
      </c>
      <c r="B608">
        <v>147.88</v>
      </c>
      <c r="C608">
        <v>170.4975</v>
      </c>
      <c r="D608">
        <v>179.88</v>
      </c>
      <c r="E608">
        <f t="shared" si="9"/>
        <v>147.88</v>
      </c>
      <c r="F608" t="str" cm="1">
        <f t="array" ref="F608">INDEX({"Pay as you go","Prediction_PACK","Prediction_Payasyougo","Competitor"},MATCH(MIN(A608:D608), A608:D608, 0))</f>
        <v>Prediction_PACK</v>
      </c>
    </row>
    <row r="609" spans="1:6" x14ac:dyDescent="0.25">
      <c r="A609">
        <v>215.69800000000001</v>
      </c>
      <c r="B609">
        <v>177.88</v>
      </c>
      <c r="C609">
        <v>192.9255</v>
      </c>
      <c r="D609">
        <v>199.88</v>
      </c>
      <c r="E609">
        <f t="shared" si="9"/>
        <v>177.88</v>
      </c>
      <c r="F609" t="str" cm="1">
        <f t="array" ref="F609">INDEX({"Pay as you go","Prediction_PACK","Prediction_Payasyougo","Competitor"},MATCH(MIN(A609:D609), A609:D609, 0))</f>
        <v>Prediction_PACK</v>
      </c>
    </row>
    <row r="610" spans="1:6" x14ac:dyDescent="0.25">
      <c r="A610">
        <v>105.553</v>
      </c>
      <c r="B610">
        <v>117.88</v>
      </c>
      <c r="C610">
        <v>128.751</v>
      </c>
      <c r="D610">
        <v>159.88</v>
      </c>
      <c r="E610">
        <f t="shared" si="9"/>
        <v>105.553</v>
      </c>
      <c r="F610" t="str" cm="1">
        <f t="array" ref="F610">INDEX({"Pay as you go","Prediction_PACK","Prediction_Payasyougo","Competitor"},MATCH(MIN(A610:D610), A610:D610, 0))</f>
        <v>Pay as you go</v>
      </c>
    </row>
    <row r="611" spans="1:6" x14ac:dyDescent="0.25">
      <c r="A611">
        <v>117.89100000000001</v>
      </c>
      <c r="B611">
        <v>117.88</v>
      </c>
      <c r="C611">
        <v>118.086</v>
      </c>
      <c r="D611">
        <v>149.88</v>
      </c>
      <c r="E611">
        <f t="shared" si="9"/>
        <v>117.88</v>
      </c>
      <c r="F611" t="str" cm="1">
        <f t="array" ref="F611">INDEX({"Pay as you go","Prediction_PACK","Prediction_Payasyougo","Competitor"},MATCH(MIN(A611:D611), A611:D611, 0))</f>
        <v>Prediction_PACK</v>
      </c>
    </row>
    <row r="612" spans="1:6" x14ac:dyDescent="0.25">
      <c r="A612">
        <v>74.958999999999989</v>
      </c>
      <c r="B612">
        <v>107.88</v>
      </c>
      <c r="C612">
        <v>107.88</v>
      </c>
      <c r="D612">
        <v>129.88</v>
      </c>
      <c r="E612">
        <f t="shared" si="9"/>
        <v>74.958999999999989</v>
      </c>
      <c r="F612" t="str" cm="1">
        <f t="array" ref="F612">INDEX({"Pay as you go","Prediction_PACK","Prediction_Payasyougo","Competitor"},MATCH(MIN(A612:D612), A612:D612, 0))</f>
        <v>Pay as you go</v>
      </c>
    </row>
    <row r="613" spans="1:6" x14ac:dyDescent="0.25">
      <c r="A613">
        <v>160.012</v>
      </c>
      <c r="B613">
        <v>147.88</v>
      </c>
      <c r="C613">
        <v>149.3835</v>
      </c>
      <c r="D613">
        <v>179.88</v>
      </c>
      <c r="E613">
        <f t="shared" si="9"/>
        <v>147.88</v>
      </c>
      <c r="F613" t="str" cm="1">
        <f t="array" ref="F613">INDEX({"Pay as you go","Prediction_PACK","Prediction_Payasyougo","Competitor"},MATCH(MIN(A613:D613), A613:D613, 0))</f>
        <v>Prediction_PACK</v>
      </c>
    </row>
    <row r="614" spans="1:6" x14ac:dyDescent="0.25">
      <c r="A614">
        <v>119.95400000000001</v>
      </c>
      <c r="B614">
        <v>127.88</v>
      </c>
      <c r="C614">
        <v>128.86799999999999</v>
      </c>
      <c r="D614">
        <v>149.88</v>
      </c>
      <c r="E614">
        <f t="shared" si="9"/>
        <v>119.95400000000001</v>
      </c>
      <c r="F614" t="str" cm="1">
        <f t="array" ref="F614">INDEX({"Pay as you go","Prediction_PACK","Prediction_Payasyougo","Competitor"},MATCH(MIN(A614:D614), A614:D614, 0))</f>
        <v>Pay as you go</v>
      </c>
    </row>
    <row r="615" spans="1:6" x14ac:dyDescent="0.25">
      <c r="A615">
        <v>158.74599999999998</v>
      </c>
      <c r="B615">
        <v>115.88</v>
      </c>
      <c r="C615">
        <v>109.878</v>
      </c>
      <c r="D615">
        <v>169.88</v>
      </c>
      <c r="E615">
        <f t="shared" si="9"/>
        <v>109.878</v>
      </c>
      <c r="F615" t="str" cm="1">
        <f t="array" ref="F615">INDEX({"Pay as you go","Prediction_PACK","Prediction_Payasyougo","Competitor"},MATCH(MIN(A615:D615), A615:D615, 0))</f>
        <v>Prediction_Payasyougo</v>
      </c>
    </row>
    <row r="616" spans="1:6" x14ac:dyDescent="0.25">
      <c r="A616">
        <v>107.65</v>
      </c>
      <c r="B616">
        <v>115.88</v>
      </c>
      <c r="C616">
        <v>114.62549999999999</v>
      </c>
      <c r="D616">
        <v>149.88</v>
      </c>
      <c r="E616">
        <f t="shared" si="9"/>
        <v>107.65</v>
      </c>
      <c r="F616" t="str" cm="1">
        <f t="array" ref="F616">INDEX({"Pay as you go","Prediction_PACK","Prediction_Payasyougo","Competitor"},MATCH(MIN(A616:D616), A616:D616, 0))</f>
        <v>Pay as you go</v>
      </c>
    </row>
    <row r="617" spans="1:6" x14ac:dyDescent="0.25">
      <c r="A617">
        <v>149.83699999999999</v>
      </c>
      <c r="B617">
        <v>147.88</v>
      </c>
      <c r="C617">
        <v>154.79249999999999</v>
      </c>
      <c r="D617">
        <v>169.88</v>
      </c>
      <c r="E617">
        <f t="shared" si="9"/>
        <v>147.88</v>
      </c>
      <c r="F617" t="str" cm="1">
        <f t="array" ref="F617">INDEX({"Pay as you go","Prediction_PACK","Prediction_Payasyougo","Competitor"},MATCH(MIN(A617:D617), A617:D617, 0))</f>
        <v>Prediction_PACK</v>
      </c>
    </row>
    <row r="618" spans="1:6" x14ac:dyDescent="0.25">
      <c r="A618">
        <v>128.13300000000001</v>
      </c>
      <c r="B618">
        <v>127.88</v>
      </c>
      <c r="C618">
        <v>126.56399999999999</v>
      </c>
      <c r="D618">
        <v>139.88</v>
      </c>
      <c r="E618">
        <f t="shared" si="9"/>
        <v>126.56399999999999</v>
      </c>
      <c r="F618" t="str" cm="1">
        <f t="array" ref="F618">INDEX({"Pay as you go","Prediction_PACK","Prediction_Payasyougo","Competitor"},MATCH(MIN(A618:D618), A618:D618, 0))</f>
        <v>Prediction_Payasyougo</v>
      </c>
    </row>
    <row r="619" spans="1:6" x14ac:dyDescent="0.25">
      <c r="A619">
        <v>173.03899999999999</v>
      </c>
      <c r="B619">
        <v>147.88</v>
      </c>
      <c r="C619">
        <v>158.95949999999999</v>
      </c>
      <c r="D619">
        <v>179.88</v>
      </c>
      <c r="E619">
        <f t="shared" si="9"/>
        <v>147.88</v>
      </c>
      <c r="F619" t="str" cm="1">
        <f t="array" ref="F619">INDEX({"Pay as you go","Prediction_PACK","Prediction_Payasyougo","Competitor"},MATCH(MIN(A619:D619), A619:D619, 0))</f>
        <v>Prediction_PACK</v>
      </c>
    </row>
    <row r="620" spans="1:6" x14ac:dyDescent="0.25">
      <c r="A620">
        <v>133.76300000000001</v>
      </c>
      <c r="B620">
        <v>115.88</v>
      </c>
      <c r="C620">
        <v>114.57599999999999</v>
      </c>
      <c r="D620">
        <v>159.88</v>
      </c>
      <c r="E620">
        <f t="shared" si="9"/>
        <v>114.57599999999999</v>
      </c>
      <c r="F620" t="str" cm="1">
        <f t="array" ref="F620">INDEX({"Pay as you go","Prediction_PACK","Prediction_Payasyougo","Competitor"},MATCH(MIN(A620:D620), A620:D620, 0))</f>
        <v>Prediction_Payasyougo</v>
      </c>
    </row>
    <row r="621" spans="1:6" x14ac:dyDescent="0.25">
      <c r="A621">
        <v>145.983</v>
      </c>
      <c r="B621">
        <v>137.88</v>
      </c>
      <c r="C621">
        <v>157.54649999999998</v>
      </c>
      <c r="D621">
        <v>159.88</v>
      </c>
      <c r="E621">
        <f t="shared" si="9"/>
        <v>137.88</v>
      </c>
      <c r="F621" t="str" cm="1">
        <f t="array" ref="F621">INDEX({"Pay as you go","Prediction_PACK","Prediction_Payasyougo","Competitor"},MATCH(MIN(A621:D621), A621:D621, 0))</f>
        <v>Prediction_PACK</v>
      </c>
    </row>
    <row r="622" spans="1:6" x14ac:dyDescent="0.25">
      <c r="A622">
        <v>169.22399999999999</v>
      </c>
      <c r="B622">
        <v>147.88</v>
      </c>
      <c r="C622">
        <v>152.97</v>
      </c>
      <c r="D622">
        <v>179.88</v>
      </c>
      <c r="E622">
        <f t="shared" si="9"/>
        <v>147.88</v>
      </c>
      <c r="F622" t="str" cm="1">
        <f t="array" ref="F622">INDEX({"Pay as you go","Prediction_PACK","Prediction_Payasyougo","Competitor"},MATCH(MIN(A622:D622), A622:D622, 0))</f>
        <v>Prediction_PACK</v>
      </c>
    </row>
    <row r="623" spans="1:6" x14ac:dyDescent="0.25">
      <c r="A623">
        <v>109.92</v>
      </c>
      <c r="B623">
        <v>115.88</v>
      </c>
      <c r="C623">
        <v>113.532</v>
      </c>
      <c r="D623">
        <v>159.88</v>
      </c>
      <c r="E623">
        <f t="shared" si="9"/>
        <v>109.92</v>
      </c>
      <c r="F623" t="str" cm="1">
        <f t="array" ref="F623">INDEX({"Pay as you go","Prediction_PACK","Prediction_Payasyougo","Competitor"},MATCH(MIN(A623:D623), A623:D623, 0))</f>
        <v>Pay as you go</v>
      </c>
    </row>
    <row r="624" spans="1:6" x14ac:dyDescent="0.25">
      <c r="A624">
        <v>166.48700000000002</v>
      </c>
      <c r="B624">
        <v>157.88</v>
      </c>
      <c r="C624">
        <v>173.86349999999999</v>
      </c>
      <c r="D624">
        <v>179.88</v>
      </c>
      <c r="E624">
        <f t="shared" si="9"/>
        <v>157.88</v>
      </c>
      <c r="F624" t="str" cm="1">
        <f t="array" ref="F624">INDEX({"Pay as you go","Prediction_PACK","Prediction_Payasyougo","Competitor"},MATCH(MIN(A624:D624), A624:D624, 0))</f>
        <v>Prediction_PACK</v>
      </c>
    </row>
    <row r="625" spans="1:6" x14ac:dyDescent="0.25">
      <c r="A625">
        <v>96.408000000000001</v>
      </c>
      <c r="B625">
        <v>107.88</v>
      </c>
      <c r="C625">
        <v>107.88</v>
      </c>
      <c r="D625">
        <v>139.88</v>
      </c>
      <c r="E625">
        <f t="shared" si="9"/>
        <v>96.408000000000001</v>
      </c>
      <c r="F625" t="str" cm="1">
        <f t="array" ref="F625">INDEX({"Pay as you go","Prediction_PACK","Prediction_Payasyougo","Competitor"},MATCH(MIN(A625:D625), A625:D625, 0))</f>
        <v>Pay as you go</v>
      </c>
    </row>
    <row r="626" spans="1:6" x14ac:dyDescent="0.25">
      <c r="A626">
        <v>87.918000000000006</v>
      </c>
      <c r="B626">
        <v>107.88</v>
      </c>
      <c r="C626">
        <v>107.88</v>
      </c>
      <c r="D626">
        <v>134.88</v>
      </c>
      <c r="E626">
        <f t="shared" si="9"/>
        <v>87.918000000000006</v>
      </c>
      <c r="F626" t="str" cm="1">
        <f t="array" ref="F626">INDEX({"Pay as you go","Prediction_PACK","Prediction_Payasyougo","Competitor"},MATCH(MIN(A626:D626), A626:D626, 0))</f>
        <v>Pay as you go</v>
      </c>
    </row>
    <row r="627" spans="1:6" x14ac:dyDescent="0.25">
      <c r="A627">
        <v>198.53399999999999</v>
      </c>
      <c r="B627">
        <v>177.88</v>
      </c>
      <c r="C627">
        <v>214.90799999999999</v>
      </c>
      <c r="D627">
        <v>209.88</v>
      </c>
      <c r="E627">
        <f t="shared" si="9"/>
        <v>177.88</v>
      </c>
      <c r="F627" t="str" cm="1">
        <f t="array" ref="F627">INDEX({"Pay as you go","Prediction_PACK","Prediction_Payasyougo","Competitor"},MATCH(MIN(A627:D627), A627:D627, 0))</f>
        <v>Prediction_PACK</v>
      </c>
    </row>
    <row r="628" spans="1:6" x14ac:dyDescent="0.25">
      <c r="A628">
        <v>114.39400000000001</v>
      </c>
      <c r="B628">
        <v>115.88</v>
      </c>
      <c r="C628">
        <v>114.702</v>
      </c>
      <c r="D628">
        <v>139.88</v>
      </c>
      <c r="E628">
        <f t="shared" si="9"/>
        <v>114.39400000000001</v>
      </c>
      <c r="F628" t="str" cm="1">
        <f t="array" ref="F628">INDEX({"Pay as you go","Prediction_PACK","Prediction_Payasyougo","Competitor"},MATCH(MIN(A628:D628), A628:D628, 0))</f>
        <v>Pay as you go</v>
      </c>
    </row>
    <row r="629" spans="1:6" x14ac:dyDescent="0.25">
      <c r="A629">
        <v>140.173</v>
      </c>
      <c r="B629">
        <v>147.88</v>
      </c>
      <c r="C629">
        <v>173.98050000000001</v>
      </c>
      <c r="D629">
        <v>169.88</v>
      </c>
      <c r="E629">
        <f t="shared" si="9"/>
        <v>140.173</v>
      </c>
      <c r="F629" t="str" cm="1">
        <f t="array" ref="F629">INDEX({"Pay as you go","Prediction_PACK","Prediction_Payasyougo","Competitor"},MATCH(MIN(A629:D629), A629:D629, 0))</f>
        <v>Pay as you go</v>
      </c>
    </row>
    <row r="630" spans="1:6" x14ac:dyDescent="0.25">
      <c r="A630">
        <v>137.803</v>
      </c>
      <c r="B630">
        <v>137.88</v>
      </c>
      <c r="C630">
        <v>145.33349999999999</v>
      </c>
      <c r="D630">
        <v>169.88</v>
      </c>
      <c r="E630">
        <f t="shared" si="9"/>
        <v>137.803</v>
      </c>
      <c r="F630" t="str" cm="1">
        <f t="array" ref="F630">INDEX({"Pay as you go","Prediction_PACK","Prediction_Payasyougo","Competitor"},MATCH(MIN(A630:D630), A630:D630, 0))</f>
        <v>Pay as you go</v>
      </c>
    </row>
    <row r="631" spans="1:6" x14ac:dyDescent="0.25">
      <c r="A631">
        <v>104.553</v>
      </c>
      <c r="B631">
        <v>111.88</v>
      </c>
      <c r="C631">
        <v>109.23899999999999</v>
      </c>
      <c r="D631">
        <v>149.88</v>
      </c>
      <c r="E631">
        <f t="shared" si="9"/>
        <v>104.553</v>
      </c>
      <c r="F631" t="str" cm="1">
        <f t="array" ref="F631">INDEX({"Pay as you go","Prediction_PACK","Prediction_Payasyougo","Competitor"},MATCH(MIN(A631:D631), A631:D631, 0))</f>
        <v>Pay as you go</v>
      </c>
    </row>
    <row r="632" spans="1:6" x14ac:dyDescent="0.25">
      <c r="A632">
        <v>129.09700000000001</v>
      </c>
      <c r="B632">
        <v>117.88</v>
      </c>
      <c r="C632">
        <v>122.595</v>
      </c>
      <c r="D632">
        <v>139.88</v>
      </c>
      <c r="E632">
        <f t="shared" si="9"/>
        <v>117.88</v>
      </c>
      <c r="F632" t="str" cm="1">
        <f t="array" ref="F632">INDEX({"Pay as you go","Prediction_PACK","Prediction_Payasyougo","Competitor"},MATCH(MIN(A632:D632), A632:D632, 0))</f>
        <v>Prediction_PACK</v>
      </c>
    </row>
    <row r="633" spans="1:6" x14ac:dyDescent="0.25">
      <c r="A633">
        <v>179.215</v>
      </c>
      <c r="B633">
        <v>152.88</v>
      </c>
      <c r="C633">
        <v>179.73599999999999</v>
      </c>
      <c r="D633">
        <v>189.88</v>
      </c>
      <c r="E633">
        <f t="shared" si="9"/>
        <v>152.88</v>
      </c>
      <c r="F633" t="str" cm="1">
        <f t="array" ref="F633">INDEX({"Pay as you go","Prediction_PACK","Prediction_Payasyougo","Competitor"},MATCH(MIN(A633:D633), A633:D633, 0))</f>
        <v>Prediction_PACK</v>
      </c>
    </row>
    <row r="634" spans="1:6" x14ac:dyDescent="0.25">
      <c r="A634">
        <v>139.92499999999998</v>
      </c>
      <c r="B634">
        <v>117.88</v>
      </c>
      <c r="C634">
        <v>120.9615</v>
      </c>
      <c r="D634">
        <v>149.88</v>
      </c>
      <c r="E634">
        <f t="shared" si="9"/>
        <v>117.88</v>
      </c>
      <c r="F634" t="str" cm="1">
        <f t="array" ref="F634">INDEX({"Pay as you go","Prediction_PACK","Prediction_Payasyougo","Competitor"},MATCH(MIN(A634:D634), A634:D634, 0))</f>
        <v>Prediction_PACK</v>
      </c>
    </row>
    <row r="635" spans="1:6" x14ac:dyDescent="0.25">
      <c r="A635">
        <v>124.758</v>
      </c>
      <c r="B635">
        <v>137.88</v>
      </c>
      <c r="C635">
        <v>148.73099999999999</v>
      </c>
      <c r="D635">
        <v>159.88</v>
      </c>
      <c r="E635">
        <f t="shared" si="9"/>
        <v>124.758</v>
      </c>
      <c r="F635" t="str" cm="1">
        <f t="array" ref="F635">INDEX({"Pay as you go","Prediction_PACK","Prediction_Payasyougo","Competitor"},MATCH(MIN(A635:D635), A635:D635, 0))</f>
        <v>Pay as you go</v>
      </c>
    </row>
    <row r="636" spans="1:6" x14ac:dyDescent="0.25">
      <c r="A636">
        <v>121.337</v>
      </c>
      <c r="B636">
        <v>147.88</v>
      </c>
      <c r="C636">
        <v>181.04999999999998</v>
      </c>
      <c r="D636">
        <v>159.88</v>
      </c>
      <c r="E636">
        <f t="shared" si="9"/>
        <v>121.337</v>
      </c>
      <c r="F636" t="str" cm="1">
        <f t="array" ref="F636">INDEX({"Pay as you go","Prediction_PACK","Prediction_Payasyougo","Competitor"},MATCH(MIN(A636:D636), A636:D636, 0))</f>
        <v>Pay as you go</v>
      </c>
    </row>
    <row r="637" spans="1:6" x14ac:dyDescent="0.25">
      <c r="A637">
        <v>99.646000000000001</v>
      </c>
      <c r="B637">
        <v>107.88</v>
      </c>
      <c r="C637">
        <v>107.88</v>
      </c>
      <c r="D637">
        <v>129.88</v>
      </c>
      <c r="E637">
        <f t="shared" si="9"/>
        <v>99.646000000000001</v>
      </c>
      <c r="F637" t="str" cm="1">
        <f t="array" ref="F637">INDEX({"Pay as you go","Prediction_PACK","Prediction_Payasyougo","Competitor"},MATCH(MIN(A637:D637), A637:D637, 0))</f>
        <v>Pay as you go</v>
      </c>
    </row>
    <row r="638" spans="1:6" x14ac:dyDescent="0.25">
      <c r="A638">
        <v>105.18</v>
      </c>
      <c r="B638">
        <v>107.88</v>
      </c>
      <c r="C638">
        <v>107.88</v>
      </c>
      <c r="D638">
        <v>124.88</v>
      </c>
      <c r="E638">
        <f t="shared" si="9"/>
        <v>105.18</v>
      </c>
      <c r="F638" t="str" cm="1">
        <f t="array" ref="F638">INDEX({"Pay as you go","Prediction_PACK","Prediction_Payasyougo","Competitor"},MATCH(MIN(A638:D638), A638:D638, 0))</f>
        <v>Pay as you go</v>
      </c>
    </row>
    <row r="639" spans="1:6" x14ac:dyDescent="0.25">
      <c r="A639">
        <v>179.72899999999998</v>
      </c>
      <c r="B639">
        <v>147.88</v>
      </c>
      <c r="C639">
        <v>181.22550000000001</v>
      </c>
      <c r="D639">
        <v>199.88</v>
      </c>
      <c r="E639">
        <f t="shared" si="9"/>
        <v>147.88</v>
      </c>
      <c r="F639" t="str" cm="1">
        <f t="array" ref="F639">INDEX({"Pay as you go","Prediction_PACK","Prediction_Payasyougo","Competitor"},MATCH(MIN(A639:D639), A639:D639, 0))</f>
        <v>Prediction_PACK</v>
      </c>
    </row>
    <row r="640" spans="1:6" x14ac:dyDescent="0.25">
      <c r="A640">
        <v>170.756</v>
      </c>
      <c r="B640">
        <v>152.88</v>
      </c>
      <c r="C640">
        <v>200.0985</v>
      </c>
      <c r="D640">
        <v>189.88</v>
      </c>
      <c r="E640">
        <f t="shared" si="9"/>
        <v>152.88</v>
      </c>
      <c r="F640" t="str" cm="1">
        <f t="array" ref="F640">INDEX({"Pay as you go","Prediction_PACK","Prediction_Payasyougo","Competitor"},MATCH(MIN(A640:D640), A640:D640, 0))</f>
        <v>Prediction_PACK</v>
      </c>
    </row>
    <row r="641" spans="1:6" x14ac:dyDescent="0.25">
      <c r="A641">
        <v>139.399</v>
      </c>
      <c r="B641">
        <v>131.88</v>
      </c>
      <c r="C641">
        <v>124.84049999999999</v>
      </c>
      <c r="D641">
        <v>159.88</v>
      </c>
      <c r="E641">
        <f t="shared" si="9"/>
        <v>124.84049999999999</v>
      </c>
      <c r="F641" t="str" cm="1">
        <f t="array" ref="F641">INDEX({"Pay as you go","Prediction_PACK","Prediction_Payasyougo","Competitor"},MATCH(MIN(A641:D641), A641:D641, 0))</f>
        <v>Prediction_Payasyougo</v>
      </c>
    </row>
    <row r="642" spans="1:6" x14ac:dyDescent="0.25">
      <c r="A642">
        <v>145.6</v>
      </c>
      <c r="B642">
        <v>122.88</v>
      </c>
      <c r="C642">
        <v>139.2225</v>
      </c>
      <c r="D642">
        <v>169.88</v>
      </c>
      <c r="E642">
        <f t="shared" si="9"/>
        <v>122.88</v>
      </c>
      <c r="F642" t="str" cm="1">
        <f t="array" ref="F642">INDEX({"Pay as you go","Prediction_PACK","Prediction_Payasyougo","Competitor"},MATCH(MIN(A642:D642), A642:D642, 0))</f>
        <v>Prediction_PACK</v>
      </c>
    </row>
    <row r="643" spans="1:6" x14ac:dyDescent="0.25">
      <c r="A643">
        <v>123.581</v>
      </c>
      <c r="B643">
        <v>117.88</v>
      </c>
      <c r="C643">
        <v>121.47</v>
      </c>
      <c r="D643">
        <v>159.88</v>
      </c>
      <c r="E643">
        <f t="shared" si="9"/>
        <v>117.88</v>
      </c>
      <c r="F643" t="str" cm="1">
        <f t="array" ref="F643">INDEX({"Pay as you go","Prediction_PACK","Prediction_Payasyougo","Competitor"},MATCH(MIN(A643:D643), A643:D643, 0))</f>
        <v>Prediction_PACK</v>
      </c>
    </row>
    <row r="644" spans="1:6" x14ac:dyDescent="0.25">
      <c r="A644">
        <v>136.38200000000001</v>
      </c>
      <c r="B644">
        <v>127.88</v>
      </c>
      <c r="C644">
        <v>126.22199999999999</v>
      </c>
      <c r="D644">
        <v>159.88</v>
      </c>
      <c r="E644">
        <f t="shared" si="9"/>
        <v>126.22199999999999</v>
      </c>
      <c r="F644" t="str" cm="1">
        <f t="array" ref="F644">INDEX({"Pay as you go","Prediction_PACK","Prediction_Payasyougo","Competitor"},MATCH(MIN(A644:D644), A644:D644, 0))</f>
        <v>Prediction_Payasyougo</v>
      </c>
    </row>
    <row r="645" spans="1:6" x14ac:dyDescent="0.25">
      <c r="A645">
        <v>186.30900000000003</v>
      </c>
      <c r="B645">
        <v>147.88</v>
      </c>
      <c r="C645">
        <v>180.8475</v>
      </c>
      <c r="D645">
        <v>179.88</v>
      </c>
      <c r="E645">
        <f t="shared" si="9"/>
        <v>147.88</v>
      </c>
      <c r="F645" t="str" cm="1">
        <f t="array" ref="F645">INDEX({"Pay as you go","Prediction_PACK","Prediction_Payasyougo","Competitor"},MATCH(MIN(A645:D645), A645:D645, 0))</f>
        <v>Prediction_PACK</v>
      </c>
    </row>
    <row r="646" spans="1:6" x14ac:dyDescent="0.25">
      <c r="A646">
        <v>136.63900000000001</v>
      </c>
      <c r="B646">
        <v>127.88</v>
      </c>
      <c r="C646">
        <v>127.89599999999999</v>
      </c>
      <c r="D646">
        <v>169.88</v>
      </c>
      <c r="E646">
        <f t="shared" si="9"/>
        <v>127.88</v>
      </c>
      <c r="F646" t="str" cm="1">
        <f t="array" ref="F646">INDEX({"Pay as you go","Prediction_PACK","Prediction_Payasyougo","Competitor"},MATCH(MIN(A646:D646), A646:D646, 0))</f>
        <v>Prediction_PACK</v>
      </c>
    </row>
    <row r="647" spans="1:6" x14ac:dyDescent="0.25">
      <c r="A647">
        <v>110.889</v>
      </c>
      <c r="B647">
        <v>115.88</v>
      </c>
      <c r="C647">
        <v>112.92</v>
      </c>
      <c r="D647">
        <v>149.88</v>
      </c>
      <c r="E647">
        <f t="shared" si="9"/>
        <v>110.889</v>
      </c>
      <c r="F647" t="str" cm="1">
        <f t="array" ref="F647">INDEX({"Pay as you go","Prediction_PACK","Prediction_Payasyougo","Competitor"},MATCH(MIN(A647:D647), A647:D647, 0))</f>
        <v>Pay as you go</v>
      </c>
    </row>
    <row r="648" spans="1:6" x14ac:dyDescent="0.25">
      <c r="A648">
        <v>102.898</v>
      </c>
      <c r="B648">
        <v>107.88</v>
      </c>
      <c r="C648">
        <v>107.88</v>
      </c>
      <c r="D648">
        <v>129.88</v>
      </c>
      <c r="E648">
        <f t="shared" si="9"/>
        <v>102.898</v>
      </c>
      <c r="F648" t="str" cm="1">
        <f t="array" ref="F648">INDEX({"Pay as you go","Prediction_PACK","Prediction_Payasyougo","Competitor"},MATCH(MIN(A648:D648), A648:D648, 0))</f>
        <v>Pay as you go</v>
      </c>
    </row>
    <row r="649" spans="1:6" x14ac:dyDescent="0.25">
      <c r="A649">
        <v>157.43200000000002</v>
      </c>
      <c r="B649">
        <v>152.88</v>
      </c>
      <c r="C649">
        <v>200.63849999999999</v>
      </c>
      <c r="D649">
        <v>189.88</v>
      </c>
      <c r="E649">
        <f t="shared" ref="E649:E712" si="10">MIN(A649:D649)</f>
        <v>152.88</v>
      </c>
      <c r="F649" t="str" cm="1">
        <f t="array" ref="F649">INDEX({"Pay as you go","Prediction_PACK","Prediction_Payasyougo","Competitor"},MATCH(MIN(A649:D649), A649:D649, 0))</f>
        <v>Prediction_PACK</v>
      </c>
    </row>
    <row r="650" spans="1:6" x14ac:dyDescent="0.25">
      <c r="A650">
        <v>116.85599999999999</v>
      </c>
      <c r="B650">
        <v>115.88</v>
      </c>
      <c r="C650">
        <v>114.17999999999999</v>
      </c>
      <c r="D650">
        <v>149.88</v>
      </c>
      <c r="E650">
        <f t="shared" si="10"/>
        <v>114.17999999999999</v>
      </c>
      <c r="F650" t="str" cm="1">
        <f t="array" ref="F650">INDEX({"Pay as you go","Prediction_PACK","Prediction_Payasyougo","Competitor"},MATCH(MIN(A650:D650), A650:D650, 0))</f>
        <v>Prediction_Payasyougo</v>
      </c>
    </row>
    <row r="651" spans="1:6" x14ac:dyDescent="0.25">
      <c r="A651">
        <v>139.339</v>
      </c>
      <c r="B651">
        <v>137.88</v>
      </c>
      <c r="C651">
        <v>153.19499999999999</v>
      </c>
      <c r="D651">
        <v>159.88</v>
      </c>
      <c r="E651">
        <f t="shared" si="10"/>
        <v>137.88</v>
      </c>
      <c r="F651" t="str" cm="1">
        <f t="array" ref="F651">INDEX({"Pay as you go","Prediction_PACK","Prediction_Payasyougo","Competitor"},MATCH(MIN(A651:D651), A651:D651, 0))</f>
        <v>Prediction_PACK</v>
      </c>
    </row>
    <row r="652" spans="1:6" x14ac:dyDescent="0.25">
      <c r="A652">
        <v>175.18100000000001</v>
      </c>
      <c r="B652">
        <v>119.88</v>
      </c>
      <c r="C652">
        <v>118.095</v>
      </c>
      <c r="D652">
        <v>179.88</v>
      </c>
      <c r="E652">
        <f t="shared" si="10"/>
        <v>118.095</v>
      </c>
      <c r="F652" t="str" cm="1">
        <f t="array" ref="F652">INDEX({"Pay as you go","Prediction_PACK","Prediction_Payasyougo","Competitor"},MATCH(MIN(A652:D652), A652:D652, 0))</f>
        <v>Prediction_Payasyougo</v>
      </c>
    </row>
    <row r="653" spans="1:6" x14ac:dyDescent="0.25">
      <c r="A653">
        <v>71.388999999999996</v>
      </c>
      <c r="B653">
        <v>107.88</v>
      </c>
      <c r="C653">
        <v>107.88</v>
      </c>
      <c r="D653">
        <v>119.88</v>
      </c>
      <c r="E653">
        <f t="shared" si="10"/>
        <v>71.388999999999996</v>
      </c>
      <c r="F653" t="str" cm="1">
        <f t="array" ref="F653">INDEX({"Pay as you go","Prediction_PACK","Prediction_Payasyougo","Competitor"},MATCH(MIN(A653:D653), A653:D653, 0))</f>
        <v>Pay as you go</v>
      </c>
    </row>
    <row r="654" spans="1:6" x14ac:dyDescent="0.25">
      <c r="A654">
        <v>124.33200000000001</v>
      </c>
      <c r="B654">
        <v>117.88</v>
      </c>
      <c r="C654">
        <v>123.8505</v>
      </c>
      <c r="D654">
        <v>149.88</v>
      </c>
      <c r="E654">
        <f t="shared" si="10"/>
        <v>117.88</v>
      </c>
      <c r="F654" t="str" cm="1">
        <f t="array" ref="F654">INDEX({"Pay as you go","Prediction_PACK","Prediction_Payasyougo","Competitor"},MATCH(MIN(A654:D654), A654:D654, 0))</f>
        <v>Prediction_PACK</v>
      </c>
    </row>
    <row r="655" spans="1:6" x14ac:dyDescent="0.25">
      <c r="A655">
        <v>146.38000000000002</v>
      </c>
      <c r="B655">
        <v>127.88</v>
      </c>
      <c r="C655">
        <v>142.86750000000001</v>
      </c>
      <c r="D655">
        <v>169.88</v>
      </c>
      <c r="E655">
        <f t="shared" si="10"/>
        <v>127.88</v>
      </c>
      <c r="F655" t="str" cm="1">
        <f t="array" ref="F655">INDEX({"Pay as you go","Prediction_PACK","Prediction_Payasyougo","Competitor"},MATCH(MIN(A655:D655), A655:D655, 0))</f>
        <v>Prediction_PACK</v>
      </c>
    </row>
    <row r="656" spans="1:6" x14ac:dyDescent="0.25">
      <c r="A656">
        <v>154.76300000000001</v>
      </c>
      <c r="B656">
        <v>147.88</v>
      </c>
      <c r="C656">
        <v>155.5215</v>
      </c>
      <c r="D656">
        <v>179.88</v>
      </c>
      <c r="E656">
        <f t="shared" si="10"/>
        <v>147.88</v>
      </c>
      <c r="F656" t="str" cm="1">
        <f t="array" ref="F656">INDEX({"Pay as you go","Prediction_PACK","Prediction_Payasyougo","Competitor"},MATCH(MIN(A656:D656), A656:D656, 0))</f>
        <v>Prediction_PACK</v>
      </c>
    </row>
    <row r="657" spans="1:6" x14ac:dyDescent="0.25">
      <c r="A657">
        <v>84.619</v>
      </c>
      <c r="B657">
        <v>107.88</v>
      </c>
      <c r="C657">
        <v>107.88</v>
      </c>
      <c r="D657">
        <v>139.88</v>
      </c>
      <c r="E657">
        <f t="shared" si="10"/>
        <v>84.619</v>
      </c>
      <c r="F657" t="str" cm="1">
        <f t="array" ref="F657">INDEX({"Pay as you go","Prediction_PACK","Prediction_Payasyougo","Competitor"},MATCH(MIN(A657:D657), A657:D657, 0))</f>
        <v>Pay as you go</v>
      </c>
    </row>
    <row r="658" spans="1:6" x14ac:dyDescent="0.25">
      <c r="A658">
        <v>120.72</v>
      </c>
      <c r="B658">
        <v>107.88</v>
      </c>
      <c r="C658">
        <v>107.88</v>
      </c>
      <c r="D658">
        <v>144.88</v>
      </c>
      <c r="E658">
        <f t="shared" si="10"/>
        <v>107.88</v>
      </c>
      <c r="F658" t="str" cm="1">
        <f t="array" ref="F658">INDEX({"Pay as you go","Prediction_PACK","Prediction_Payasyougo","Competitor"},MATCH(MIN(A658:D658), A658:D658, 0))</f>
        <v>Prediction_PACK</v>
      </c>
    </row>
    <row r="659" spans="1:6" x14ac:dyDescent="0.25">
      <c r="A659">
        <v>128.84299999999999</v>
      </c>
      <c r="B659">
        <v>147.88</v>
      </c>
      <c r="C659">
        <v>158.44649999999999</v>
      </c>
      <c r="D659">
        <v>169.88</v>
      </c>
      <c r="E659">
        <f t="shared" si="10"/>
        <v>128.84299999999999</v>
      </c>
      <c r="F659" t="str" cm="1">
        <f t="array" ref="F659">INDEX({"Pay as you go","Prediction_PACK","Prediction_Payasyougo","Competitor"},MATCH(MIN(A659:D659), A659:D659, 0))</f>
        <v>Pay as you go</v>
      </c>
    </row>
    <row r="660" spans="1:6" x14ac:dyDescent="0.25">
      <c r="A660">
        <v>120.25</v>
      </c>
      <c r="B660">
        <v>117.88</v>
      </c>
      <c r="C660">
        <v>121.47</v>
      </c>
      <c r="D660">
        <v>149.88</v>
      </c>
      <c r="E660">
        <f t="shared" si="10"/>
        <v>117.88</v>
      </c>
      <c r="F660" t="str" cm="1">
        <f t="array" ref="F660">INDEX({"Pay as you go","Prediction_PACK","Prediction_Payasyougo","Competitor"},MATCH(MIN(A660:D660), A660:D660, 0))</f>
        <v>Prediction_PACK</v>
      </c>
    </row>
    <row r="661" spans="1:6" x14ac:dyDescent="0.25">
      <c r="A661">
        <v>105.515</v>
      </c>
      <c r="B661">
        <v>111.88</v>
      </c>
      <c r="C661">
        <v>108.77549999999999</v>
      </c>
      <c r="D661">
        <v>139.88</v>
      </c>
      <c r="E661">
        <f t="shared" si="10"/>
        <v>105.515</v>
      </c>
      <c r="F661" t="str" cm="1">
        <f t="array" ref="F661">INDEX({"Pay as you go","Prediction_PACK","Prediction_Payasyougo","Competitor"},MATCH(MIN(A661:D661), A661:D661, 0))</f>
        <v>Pay as you go</v>
      </c>
    </row>
    <row r="662" spans="1:6" x14ac:dyDescent="0.25">
      <c r="A662">
        <v>116.71300000000001</v>
      </c>
      <c r="B662">
        <v>117.88</v>
      </c>
      <c r="C662">
        <v>117.78449999999999</v>
      </c>
      <c r="D662">
        <v>159.88</v>
      </c>
      <c r="E662">
        <f t="shared" si="10"/>
        <v>116.71300000000001</v>
      </c>
      <c r="F662" t="str" cm="1">
        <f t="array" ref="F662">INDEX({"Pay as you go","Prediction_PACK","Prediction_Payasyougo","Competitor"},MATCH(MIN(A662:D662), A662:D662, 0))</f>
        <v>Pay as you go</v>
      </c>
    </row>
    <row r="663" spans="1:6" x14ac:dyDescent="0.25">
      <c r="A663">
        <v>148.898</v>
      </c>
      <c r="B663">
        <v>127.88</v>
      </c>
      <c r="C663">
        <v>125.925</v>
      </c>
      <c r="D663">
        <v>159.88</v>
      </c>
      <c r="E663">
        <f t="shared" si="10"/>
        <v>125.925</v>
      </c>
      <c r="F663" t="str" cm="1">
        <f t="array" ref="F663">INDEX({"Pay as you go","Prediction_PACK","Prediction_Payasyougo","Competitor"},MATCH(MIN(A663:D663), A663:D663, 0))</f>
        <v>Prediction_Payasyougo</v>
      </c>
    </row>
    <row r="664" spans="1:6" x14ac:dyDescent="0.25">
      <c r="A664">
        <v>125.25700000000001</v>
      </c>
      <c r="B664">
        <v>137.88</v>
      </c>
      <c r="C664">
        <v>145.74299999999999</v>
      </c>
      <c r="D664">
        <v>159.88</v>
      </c>
      <c r="E664">
        <f t="shared" si="10"/>
        <v>125.25700000000001</v>
      </c>
      <c r="F664" t="str" cm="1">
        <f t="array" ref="F664">INDEX({"Pay as you go","Prediction_PACK","Prediction_Payasyougo","Competitor"},MATCH(MIN(A664:D664), A664:D664, 0))</f>
        <v>Pay as you go</v>
      </c>
    </row>
    <row r="665" spans="1:6" x14ac:dyDescent="0.25">
      <c r="A665">
        <v>100.485</v>
      </c>
      <c r="B665">
        <v>115.88</v>
      </c>
      <c r="C665">
        <v>113.7165</v>
      </c>
      <c r="D665">
        <v>139.88</v>
      </c>
      <c r="E665">
        <f t="shared" si="10"/>
        <v>100.485</v>
      </c>
      <c r="F665" t="str" cm="1">
        <f t="array" ref="F665">INDEX({"Pay as you go","Prediction_PACK","Prediction_Payasyougo","Competitor"},MATCH(MIN(A665:D665), A665:D665, 0))</f>
        <v>Pay as you go</v>
      </c>
    </row>
    <row r="666" spans="1:6" x14ac:dyDescent="0.25">
      <c r="A666">
        <v>133.46299999999999</v>
      </c>
      <c r="B666">
        <v>127.88</v>
      </c>
      <c r="C666">
        <v>125.60549999999999</v>
      </c>
      <c r="D666">
        <v>159.88</v>
      </c>
      <c r="E666">
        <f t="shared" si="10"/>
        <v>125.60549999999999</v>
      </c>
      <c r="F666" t="str" cm="1">
        <f t="array" ref="F666">INDEX({"Pay as you go","Prediction_PACK","Prediction_Payasyougo","Competitor"},MATCH(MIN(A666:D666), A666:D666, 0))</f>
        <v>Prediction_Payasyougo</v>
      </c>
    </row>
    <row r="667" spans="1:6" x14ac:dyDescent="0.25">
      <c r="A667">
        <v>126.10900000000001</v>
      </c>
      <c r="B667">
        <v>137.88</v>
      </c>
      <c r="C667">
        <v>172.26149999999998</v>
      </c>
      <c r="D667">
        <v>159.88</v>
      </c>
      <c r="E667">
        <f t="shared" si="10"/>
        <v>126.10900000000001</v>
      </c>
      <c r="F667" t="str" cm="1">
        <f t="array" ref="F667">INDEX({"Pay as you go","Prediction_PACK","Prediction_Payasyougo","Competitor"},MATCH(MIN(A667:D667), A667:D667, 0))</f>
        <v>Pay as you go</v>
      </c>
    </row>
    <row r="668" spans="1:6" x14ac:dyDescent="0.25">
      <c r="A668">
        <v>153.11700000000002</v>
      </c>
      <c r="B668">
        <v>155.88</v>
      </c>
      <c r="C668">
        <v>153.321</v>
      </c>
      <c r="D668">
        <v>169.88</v>
      </c>
      <c r="E668">
        <f t="shared" si="10"/>
        <v>153.11700000000002</v>
      </c>
      <c r="F668" t="str" cm="1">
        <f t="array" ref="F668">INDEX({"Pay as you go","Prediction_PACK","Prediction_Payasyougo","Competitor"},MATCH(MIN(A668:D668), A668:D668, 0))</f>
        <v>Pay as you go</v>
      </c>
    </row>
    <row r="669" spans="1:6" x14ac:dyDescent="0.25">
      <c r="A669">
        <v>179.96899999999999</v>
      </c>
      <c r="B669">
        <v>147.88</v>
      </c>
      <c r="C669">
        <v>157.029</v>
      </c>
      <c r="D669">
        <v>179.88</v>
      </c>
      <c r="E669">
        <f t="shared" si="10"/>
        <v>147.88</v>
      </c>
      <c r="F669" t="str" cm="1">
        <f t="array" ref="F669">INDEX({"Pay as you go","Prediction_PACK","Prediction_Payasyougo","Competitor"},MATCH(MIN(A669:D669), A669:D669, 0))</f>
        <v>Prediction_PACK</v>
      </c>
    </row>
    <row r="670" spans="1:6" x14ac:dyDescent="0.25">
      <c r="A670">
        <v>113.01</v>
      </c>
      <c r="B670">
        <v>117.88</v>
      </c>
      <c r="C670">
        <v>128.79149999999998</v>
      </c>
      <c r="D670">
        <v>149.88</v>
      </c>
      <c r="E670">
        <f t="shared" si="10"/>
        <v>113.01</v>
      </c>
      <c r="F670" t="str" cm="1">
        <f t="array" ref="F670">INDEX({"Pay as you go","Prediction_PACK","Prediction_Payasyougo","Competitor"},MATCH(MIN(A670:D670), A670:D670, 0))</f>
        <v>Pay as you go</v>
      </c>
    </row>
    <row r="671" spans="1:6" x14ac:dyDescent="0.25">
      <c r="A671">
        <v>121.51899999999999</v>
      </c>
      <c r="B671">
        <v>115.88</v>
      </c>
      <c r="C671">
        <v>114.2025</v>
      </c>
      <c r="D671">
        <v>129.88</v>
      </c>
      <c r="E671">
        <f t="shared" si="10"/>
        <v>114.2025</v>
      </c>
      <c r="F671" t="str" cm="1">
        <f t="array" ref="F671">INDEX({"Pay as you go","Prediction_PACK","Prediction_Payasyougo","Competitor"},MATCH(MIN(A671:D671), A671:D671, 0))</f>
        <v>Prediction_Payasyougo</v>
      </c>
    </row>
    <row r="672" spans="1:6" x14ac:dyDescent="0.25">
      <c r="A672">
        <v>116.78400000000001</v>
      </c>
      <c r="B672">
        <v>115.88</v>
      </c>
      <c r="C672">
        <v>115.6785</v>
      </c>
      <c r="D672">
        <v>139.88</v>
      </c>
      <c r="E672">
        <f t="shared" si="10"/>
        <v>115.6785</v>
      </c>
      <c r="F672" t="str" cm="1">
        <f t="array" ref="F672">INDEX({"Pay as you go","Prediction_PACK","Prediction_Payasyougo","Competitor"},MATCH(MIN(A672:D672), A672:D672, 0))</f>
        <v>Prediction_Payasyougo</v>
      </c>
    </row>
    <row r="673" spans="1:6" x14ac:dyDescent="0.25">
      <c r="A673">
        <v>161.33200000000002</v>
      </c>
      <c r="B673">
        <v>143.88</v>
      </c>
      <c r="C673">
        <v>142.04399999999998</v>
      </c>
      <c r="D673">
        <v>179.88</v>
      </c>
      <c r="E673">
        <f t="shared" si="10"/>
        <v>142.04399999999998</v>
      </c>
      <c r="F673" t="str" cm="1">
        <f t="array" ref="F673">INDEX({"Pay as you go","Prediction_PACK","Prediction_Payasyougo","Competitor"},MATCH(MIN(A673:D673), A673:D673, 0))</f>
        <v>Prediction_Payasyougo</v>
      </c>
    </row>
    <row r="674" spans="1:6" x14ac:dyDescent="0.25">
      <c r="A674">
        <v>167.96099999999998</v>
      </c>
      <c r="B674">
        <v>127.88</v>
      </c>
      <c r="C674">
        <v>132.60749999999999</v>
      </c>
      <c r="D674">
        <v>169.88</v>
      </c>
      <c r="E674">
        <f t="shared" si="10"/>
        <v>127.88</v>
      </c>
      <c r="F674" t="str" cm="1">
        <f t="array" ref="F674">INDEX({"Pay as you go","Prediction_PACK","Prediction_Payasyougo","Competitor"},MATCH(MIN(A674:D674), A674:D674, 0))</f>
        <v>Prediction_PACK</v>
      </c>
    </row>
    <row r="675" spans="1:6" x14ac:dyDescent="0.25">
      <c r="A675">
        <v>100.352</v>
      </c>
      <c r="B675">
        <v>111.88</v>
      </c>
      <c r="C675">
        <v>109.35599999999999</v>
      </c>
      <c r="D675">
        <v>144.88</v>
      </c>
      <c r="E675">
        <f t="shared" si="10"/>
        <v>100.352</v>
      </c>
      <c r="F675" t="str" cm="1">
        <f t="array" ref="F675">INDEX({"Pay as you go","Prediction_PACK","Prediction_Payasyougo","Competitor"},MATCH(MIN(A675:D675), A675:D675, 0))</f>
        <v>Pay as you go</v>
      </c>
    </row>
    <row r="676" spans="1:6" x14ac:dyDescent="0.25">
      <c r="A676">
        <v>158.315</v>
      </c>
      <c r="B676">
        <v>137.88</v>
      </c>
      <c r="C676">
        <v>154.51349999999999</v>
      </c>
      <c r="D676">
        <v>179.88</v>
      </c>
      <c r="E676">
        <f t="shared" si="10"/>
        <v>137.88</v>
      </c>
      <c r="F676" t="str" cm="1">
        <f t="array" ref="F676">INDEX({"Pay as you go","Prediction_PACK","Prediction_Payasyougo","Competitor"},MATCH(MIN(A676:D676), A676:D676, 0))</f>
        <v>Prediction_PACK</v>
      </c>
    </row>
    <row r="677" spans="1:6" x14ac:dyDescent="0.25">
      <c r="A677">
        <v>134.202</v>
      </c>
      <c r="B677">
        <v>115.88</v>
      </c>
      <c r="C677">
        <v>116.31299999999999</v>
      </c>
      <c r="D677">
        <v>149.88</v>
      </c>
      <c r="E677">
        <f t="shared" si="10"/>
        <v>115.88</v>
      </c>
      <c r="F677" t="str" cm="1">
        <f t="array" ref="F677">INDEX({"Pay as you go","Prediction_PACK","Prediction_Payasyougo","Competitor"},MATCH(MIN(A677:D677), A677:D677, 0))</f>
        <v>Prediction_PACK</v>
      </c>
    </row>
    <row r="678" spans="1:6" x14ac:dyDescent="0.25">
      <c r="A678">
        <v>218.995</v>
      </c>
      <c r="B678">
        <v>177.88</v>
      </c>
      <c r="C678">
        <v>206.36699999999999</v>
      </c>
      <c r="D678">
        <v>209.88</v>
      </c>
      <c r="E678">
        <f t="shared" si="10"/>
        <v>177.88</v>
      </c>
      <c r="F678" t="str" cm="1">
        <f t="array" ref="F678">INDEX({"Pay as you go","Prediction_PACK","Prediction_Payasyougo","Competitor"},MATCH(MIN(A678:D678), A678:D678, 0))</f>
        <v>Prediction_PACK</v>
      </c>
    </row>
    <row r="679" spans="1:6" x14ac:dyDescent="0.25">
      <c r="A679">
        <v>145.02699999999999</v>
      </c>
      <c r="B679">
        <v>127.88</v>
      </c>
      <c r="C679">
        <v>136.58099999999999</v>
      </c>
      <c r="D679">
        <v>159.88</v>
      </c>
      <c r="E679">
        <f t="shared" si="10"/>
        <v>127.88</v>
      </c>
      <c r="F679" t="str" cm="1">
        <f t="array" ref="F679">INDEX({"Pay as you go","Prediction_PACK","Prediction_Payasyougo","Competitor"},MATCH(MIN(A679:D679), A679:D679, 0))</f>
        <v>Prediction_PACK</v>
      </c>
    </row>
    <row r="680" spans="1:6" x14ac:dyDescent="0.25">
      <c r="A680">
        <v>124.584</v>
      </c>
      <c r="B680">
        <v>135.88</v>
      </c>
      <c r="C680">
        <v>133.13849999999999</v>
      </c>
      <c r="D680">
        <v>159.88</v>
      </c>
      <c r="E680">
        <f t="shared" si="10"/>
        <v>124.584</v>
      </c>
      <c r="F680" t="str" cm="1">
        <f t="array" ref="F680">INDEX({"Pay as you go","Prediction_PACK","Prediction_Payasyougo","Competitor"},MATCH(MIN(A680:D680), A680:D680, 0))</f>
        <v>Pay as you go</v>
      </c>
    </row>
    <row r="681" spans="1:6" x14ac:dyDescent="0.25">
      <c r="A681">
        <v>109.212</v>
      </c>
      <c r="B681">
        <v>111.88</v>
      </c>
      <c r="C681">
        <v>110.49449999999999</v>
      </c>
      <c r="D681">
        <v>154.88</v>
      </c>
      <c r="E681">
        <f t="shared" si="10"/>
        <v>109.212</v>
      </c>
      <c r="F681" t="str" cm="1">
        <f t="array" ref="F681">INDEX({"Pay as you go","Prediction_PACK","Prediction_Payasyougo","Competitor"},MATCH(MIN(A681:D681), A681:D681, 0))</f>
        <v>Pay as you go</v>
      </c>
    </row>
    <row r="682" spans="1:6" x14ac:dyDescent="0.25">
      <c r="A682">
        <v>137.024</v>
      </c>
      <c r="B682">
        <v>127.88</v>
      </c>
      <c r="C682">
        <v>144.94200000000001</v>
      </c>
      <c r="D682">
        <v>169.88</v>
      </c>
      <c r="E682">
        <f t="shared" si="10"/>
        <v>127.88</v>
      </c>
      <c r="F682" t="str" cm="1">
        <f t="array" ref="F682">INDEX({"Pay as you go","Prediction_PACK","Prediction_Payasyougo","Competitor"},MATCH(MIN(A682:D682), A682:D682, 0))</f>
        <v>Prediction_PACK</v>
      </c>
    </row>
    <row r="683" spans="1:6" x14ac:dyDescent="0.25">
      <c r="A683">
        <v>106.07700000000001</v>
      </c>
      <c r="B683">
        <v>107.88</v>
      </c>
      <c r="C683">
        <v>107.88</v>
      </c>
      <c r="D683">
        <v>129.88</v>
      </c>
      <c r="E683">
        <f t="shared" si="10"/>
        <v>106.07700000000001</v>
      </c>
      <c r="F683" t="str" cm="1">
        <f t="array" ref="F683">INDEX({"Pay as you go","Prediction_PACK","Prediction_Payasyougo","Competitor"},MATCH(MIN(A683:D683), A683:D683, 0))</f>
        <v>Pay as you go</v>
      </c>
    </row>
    <row r="684" spans="1:6" x14ac:dyDescent="0.25">
      <c r="A684">
        <v>94.984000000000009</v>
      </c>
      <c r="B684">
        <v>115.88</v>
      </c>
      <c r="C684">
        <v>114.387</v>
      </c>
      <c r="D684">
        <v>149.88</v>
      </c>
      <c r="E684">
        <f t="shared" si="10"/>
        <v>94.984000000000009</v>
      </c>
      <c r="F684" t="str" cm="1">
        <f t="array" ref="F684">INDEX({"Pay as you go","Prediction_PACK","Prediction_Payasyougo","Competitor"},MATCH(MIN(A684:D684), A684:D684, 0))</f>
        <v>Pay as you go</v>
      </c>
    </row>
    <row r="685" spans="1:6" x14ac:dyDescent="0.25">
      <c r="A685">
        <v>127.319</v>
      </c>
      <c r="B685">
        <v>119.88</v>
      </c>
      <c r="C685">
        <v>116.89349999999999</v>
      </c>
      <c r="D685">
        <v>149.88</v>
      </c>
      <c r="E685">
        <f t="shared" si="10"/>
        <v>116.89349999999999</v>
      </c>
      <c r="F685" t="str" cm="1">
        <f t="array" ref="F685">INDEX({"Pay as you go","Prediction_PACK","Prediction_Payasyougo","Competitor"},MATCH(MIN(A685:D685), A685:D685, 0))</f>
        <v>Prediction_Payasyougo</v>
      </c>
    </row>
    <row r="686" spans="1:6" x14ac:dyDescent="0.25">
      <c r="A686">
        <v>158.04300000000001</v>
      </c>
      <c r="B686">
        <v>147.88</v>
      </c>
      <c r="C686">
        <v>176.34299999999999</v>
      </c>
      <c r="D686">
        <v>169.88</v>
      </c>
      <c r="E686">
        <f t="shared" si="10"/>
        <v>147.88</v>
      </c>
      <c r="F686" t="str" cm="1">
        <f t="array" ref="F686">INDEX({"Pay as you go","Prediction_PACK","Prediction_Payasyougo","Competitor"},MATCH(MIN(A686:D686), A686:D686, 0))</f>
        <v>Prediction_PACK</v>
      </c>
    </row>
    <row r="687" spans="1:6" x14ac:dyDescent="0.25">
      <c r="A687">
        <v>161.72</v>
      </c>
      <c r="B687">
        <v>127.88</v>
      </c>
      <c r="C687">
        <v>121.3665</v>
      </c>
      <c r="D687">
        <v>169.88</v>
      </c>
      <c r="E687">
        <f t="shared" si="10"/>
        <v>121.3665</v>
      </c>
      <c r="F687" t="str" cm="1">
        <f t="array" ref="F687">INDEX({"Pay as you go","Prediction_PACK","Prediction_Payasyougo","Competitor"},MATCH(MIN(A687:D687), A687:D687, 0))</f>
        <v>Prediction_Payasyougo</v>
      </c>
    </row>
    <row r="688" spans="1:6" x14ac:dyDescent="0.25">
      <c r="A688">
        <v>132.29599999999999</v>
      </c>
      <c r="B688">
        <v>147.88</v>
      </c>
      <c r="C688">
        <v>145.851</v>
      </c>
      <c r="D688">
        <v>159.88</v>
      </c>
      <c r="E688">
        <f t="shared" si="10"/>
        <v>132.29599999999999</v>
      </c>
      <c r="F688" t="str" cm="1">
        <f t="array" ref="F688">INDEX({"Pay as you go","Prediction_PACK","Prediction_Payasyougo","Competitor"},MATCH(MIN(A688:D688), A688:D688, 0))</f>
        <v>Pay as you go</v>
      </c>
    </row>
    <row r="689" spans="1:6" x14ac:dyDescent="0.25">
      <c r="A689">
        <v>119.12800000000001</v>
      </c>
      <c r="B689">
        <v>122.88</v>
      </c>
      <c r="C689">
        <v>143.0385</v>
      </c>
      <c r="D689">
        <v>139.88</v>
      </c>
      <c r="E689">
        <f t="shared" si="10"/>
        <v>119.12800000000001</v>
      </c>
      <c r="F689" t="str" cm="1">
        <f t="array" ref="F689">INDEX({"Pay as you go","Prediction_PACK","Prediction_Payasyougo","Competitor"},MATCH(MIN(A689:D689), A689:D689, 0))</f>
        <v>Pay as you go</v>
      </c>
    </row>
    <row r="690" spans="1:6" x14ac:dyDescent="0.25">
      <c r="A690">
        <v>172.63500000000002</v>
      </c>
      <c r="B690">
        <v>155.88</v>
      </c>
      <c r="C690">
        <v>153.1455</v>
      </c>
      <c r="D690">
        <v>179.88</v>
      </c>
      <c r="E690">
        <f t="shared" si="10"/>
        <v>153.1455</v>
      </c>
      <c r="F690" t="str" cm="1">
        <f t="array" ref="F690">INDEX({"Pay as you go","Prediction_PACK","Prediction_Payasyougo","Competitor"},MATCH(MIN(A690:D690), A690:D690, 0))</f>
        <v>Prediction_Payasyougo</v>
      </c>
    </row>
    <row r="691" spans="1:6" x14ac:dyDescent="0.25">
      <c r="A691">
        <v>95.507999999999996</v>
      </c>
      <c r="B691">
        <v>122.88</v>
      </c>
      <c r="C691">
        <v>130.6995</v>
      </c>
      <c r="D691">
        <v>149.88</v>
      </c>
      <c r="E691">
        <f t="shared" si="10"/>
        <v>95.507999999999996</v>
      </c>
      <c r="F691" t="str" cm="1">
        <f t="array" ref="F691">INDEX({"Pay as you go","Prediction_PACK","Prediction_Payasyougo","Competitor"},MATCH(MIN(A691:D691), A691:D691, 0))</f>
        <v>Pay as you go</v>
      </c>
    </row>
    <row r="692" spans="1:6" x14ac:dyDescent="0.25">
      <c r="A692">
        <v>102.53400000000001</v>
      </c>
      <c r="B692">
        <v>115.88</v>
      </c>
      <c r="C692">
        <v>114.06299999999999</v>
      </c>
      <c r="D692">
        <v>139.88</v>
      </c>
      <c r="E692">
        <f t="shared" si="10"/>
        <v>102.53400000000001</v>
      </c>
      <c r="F692" t="str" cm="1">
        <f t="array" ref="F692">INDEX({"Pay as you go","Prediction_PACK","Prediction_Payasyougo","Competitor"},MATCH(MIN(A692:D692), A692:D692, 0))</f>
        <v>Pay as you go</v>
      </c>
    </row>
    <row r="693" spans="1:6" x14ac:dyDescent="0.25">
      <c r="A693">
        <v>111.07700000000001</v>
      </c>
      <c r="B693">
        <v>107.88</v>
      </c>
      <c r="C693">
        <v>107.88</v>
      </c>
      <c r="D693">
        <v>134.88</v>
      </c>
      <c r="E693">
        <f t="shared" si="10"/>
        <v>107.88</v>
      </c>
      <c r="F693" t="str" cm="1">
        <f t="array" ref="F693">INDEX({"Pay as you go","Prediction_PACK","Prediction_Payasyougo","Competitor"},MATCH(MIN(A693:D693), A693:D693, 0))</f>
        <v>Prediction_PACK</v>
      </c>
    </row>
    <row r="694" spans="1:6" x14ac:dyDescent="0.25">
      <c r="A694">
        <v>126.68400000000001</v>
      </c>
      <c r="B694">
        <v>122.88</v>
      </c>
      <c r="C694">
        <v>132.70650000000001</v>
      </c>
      <c r="D694">
        <v>139.88</v>
      </c>
      <c r="E694">
        <f t="shared" si="10"/>
        <v>122.88</v>
      </c>
      <c r="F694" t="str" cm="1">
        <f t="array" ref="F694">INDEX({"Pay as you go","Prediction_PACK","Prediction_Payasyougo","Competitor"},MATCH(MIN(A694:D694), A694:D694, 0))</f>
        <v>Prediction_PACK</v>
      </c>
    </row>
    <row r="695" spans="1:6" x14ac:dyDescent="0.25">
      <c r="A695">
        <v>125.99499999999999</v>
      </c>
      <c r="B695">
        <v>117.88</v>
      </c>
      <c r="C695">
        <v>126.8385</v>
      </c>
      <c r="D695">
        <v>169.88</v>
      </c>
      <c r="E695">
        <f t="shared" si="10"/>
        <v>117.88</v>
      </c>
      <c r="F695" t="str" cm="1">
        <f t="array" ref="F695">INDEX({"Pay as you go","Prediction_PACK","Prediction_Payasyougo","Competitor"},MATCH(MIN(A695:D695), A695:D695, 0))</f>
        <v>Prediction_PACK</v>
      </c>
    </row>
    <row r="696" spans="1:6" x14ac:dyDescent="0.25">
      <c r="A696">
        <v>183.667</v>
      </c>
      <c r="B696">
        <v>151.88</v>
      </c>
      <c r="C696">
        <v>146.84549999999999</v>
      </c>
      <c r="D696">
        <v>169.88</v>
      </c>
      <c r="E696">
        <f t="shared" si="10"/>
        <v>146.84549999999999</v>
      </c>
      <c r="F696" t="str" cm="1">
        <f t="array" ref="F696">INDEX({"Pay as you go","Prediction_PACK","Prediction_Payasyougo","Competitor"},MATCH(MIN(A696:D696), A696:D696, 0))</f>
        <v>Prediction_Payasyougo</v>
      </c>
    </row>
    <row r="697" spans="1:6" x14ac:dyDescent="0.25">
      <c r="A697">
        <v>101.893</v>
      </c>
      <c r="B697">
        <v>107.88</v>
      </c>
      <c r="C697">
        <v>107.88</v>
      </c>
      <c r="D697">
        <v>129.88</v>
      </c>
      <c r="E697">
        <f t="shared" si="10"/>
        <v>101.893</v>
      </c>
      <c r="F697" t="str" cm="1">
        <f t="array" ref="F697">INDEX({"Pay as you go","Prediction_PACK","Prediction_Payasyougo","Competitor"},MATCH(MIN(A697:D697), A697:D697, 0))</f>
        <v>Pay as you go</v>
      </c>
    </row>
    <row r="698" spans="1:6" x14ac:dyDescent="0.25">
      <c r="A698">
        <v>126.84099999999999</v>
      </c>
      <c r="B698">
        <v>117.88</v>
      </c>
      <c r="C698">
        <v>130.04249999999999</v>
      </c>
      <c r="D698">
        <v>149.88</v>
      </c>
      <c r="E698">
        <f t="shared" si="10"/>
        <v>117.88</v>
      </c>
      <c r="F698" t="str" cm="1">
        <f t="array" ref="F698">INDEX({"Pay as you go","Prediction_PACK","Prediction_Payasyougo","Competitor"},MATCH(MIN(A698:D698), A698:D698, 0))</f>
        <v>Prediction_PACK</v>
      </c>
    </row>
    <row r="699" spans="1:6" x14ac:dyDescent="0.25">
      <c r="A699">
        <v>184.411</v>
      </c>
      <c r="B699">
        <v>157.88</v>
      </c>
      <c r="C699">
        <v>159.36449999999999</v>
      </c>
      <c r="D699">
        <v>179.88</v>
      </c>
      <c r="E699">
        <f t="shared" si="10"/>
        <v>157.88</v>
      </c>
      <c r="F699" t="str" cm="1">
        <f t="array" ref="F699">INDEX({"Pay as you go","Prediction_PACK","Prediction_Payasyougo","Competitor"},MATCH(MIN(A699:D699), A699:D699, 0))</f>
        <v>Prediction_PACK</v>
      </c>
    </row>
    <row r="700" spans="1:6" x14ac:dyDescent="0.25">
      <c r="A700">
        <v>60.76</v>
      </c>
      <c r="B700">
        <v>107.88</v>
      </c>
      <c r="C700">
        <v>107.88</v>
      </c>
      <c r="D700">
        <v>134.88</v>
      </c>
      <c r="E700">
        <f t="shared" si="10"/>
        <v>60.76</v>
      </c>
      <c r="F700" t="str" cm="1">
        <f t="array" ref="F700">INDEX({"Pay as you go","Prediction_PACK","Prediction_Payasyougo","Competitor"},MATCH(MIN(A700:D700), A700:D700, 0))</f>
        <v>Pay as you go</v>
      </c>
    </row>
    <row r="701" spans="1:6" x14ac:dyDescent="0.25">
      <c r="A701">
        <v>133.72800000000001</v>
      </c>
      <c r="B701">
        <v>147.88</v>
      </c>
      <c r="C701">
        <v>163.62599999999998</v>
      </c>
      <c r="D701">
        <v>159.88</v>
      </c>
      <c r="E701">
        <f t="shared" si="10"/>
        <v>133.72800000000001</v>
      </c>
      <c r="F701" t="str" cm="1">
        <f t="array" ref="F701">INDEX({"Pay as you go","Prediction_PACK","Prediction_Payasyougo","Competitor"},MATCH(MIN(A701:D701), A701:D701, 0))</f>
        <v>Pay as you go</v>
      </c>
    </row>
    <row r="702" spans="1:6" x14ac:dyDescent="0.25">
      <c r="A702">
        <v>157.02700000000002</v>
      </c>
      <c r="B702">
        <v>123.88</v>
      </c>
      <c r="C702">
        <v>122.883</v>
      </c>
      <c r="D702">
        <v>159.88</v>
      </c>
      <c r="E702">
        <f t="shared" si="10"/>
        <v>122.883</v>
      </c>
      <c r="F702" t="str" cm="1">
        <f t="array" ref="F702">INDEX({"Pay as you go","Prediction_PACK","Prediction_Payasyougo","Competitor"},MATCH(MIN(A702:D702), A702:D702, 0))</f>
        <v>Prediction_Payasyougo</v>
      </c>
    </row>
    <row r="703" spans="1:6" x14ac:dyDescent="0.25">
      <c r="A703">
        <v>96.763999999999996</v>
      </c>
      <c r="B703">
        <v>111.88</v>
      </c>
      <c r="C703">
        <v>108.73949999999999</v>
      </c>
      <c r="D703">
        <v>129.88</v>
      </c>
      <c r="E703">
        <f t="shared" si="10"/>
        <v>96.763999999999996</v>
      </c>
      <c r="F703" t="str" cm="1">
        <f t="array" ref="F703">INDEX({"Pay as you go","Prediction_PACK","Prediction_Payasyougo","Competitor"},MATCH(MIN(A703:D703), A703:D703, 0))</f>
        <v>Pay as you go</v>
      </c>
    </row>
    <row r="704" spans="1:6" x14ac:dyDescent="0.25">
      <c r="A704">
        <v>153.76300000000001</v>
      </c>
      <c r="B704">
        <v>137.88</v>
      </c>
      <c r="C704">
        <v>135.10049999999998</v>
      </c>
      <c r="D704">
        <v>159.88</v>
      </c>
      <c r="E704">
        <f t="shared" si="10"/>
        <v>135.10049999999998</v>
      </c>
      <c r="F704" t="str" cm="1">
        <f t="array" ref="F704">INDEX({"Pay as you go","Prediction_PACK","Prediction_Payasyougo","Competitor"},MATCH(MIN(A704:D704), A704:D704, 0))</f>
        <v>Prediction_Payasyougo</v>
      </c>
    </row>
    <row r="705" spans="1:6" x14ac:dyDescent="0.25">
      <c r="A705">
        <v>96.48</v>
      </c>
      <c r="B705">
        <v>111.88</v>
      </c>
      <c r="C705">
        <v>108.8835</v>
      </c>
      <c r="D705">
        <v>129.88</v>
      </c>
      <c r="E705">
        <f t="shared" si="10"/>
        <v>96.48</v>
      </c>
      <c r="F705" t="str" cm="1">
        <f t="array" ref="F705">INDEX({"Pay as you go","Prediction_PACK","Prediction_Payasyougo","Competitor"},MATCH(MIN(A705:D705), A705:D705, 0))</f>
        <v>Pay as you go</v>
      </c>
    </row>
    <row r="706" spans="1:6" x14ac:dyDescent="0.25">
      <c r="A706">
        <v>143.072</v>
      </c>
      <c r="B706">
        <v>137.88</v>
      </c>
      <c r="C706">
        <v>158.41049999999998</v>
      </c>
      <c r="D706">
        <v>159.88</v>
      </c>
      <c r="E706">
        <f t="shared" si="10"/>
        <v>137.88</v>
      </c>
      <c r="F706" t="str" cm="1">
        <f t="array" ref="F706">INDEX({"Pay as you go","Prediction_PACK","Prediction_Payasyougo","Competitor"},MATCH(MIN(A706:D706), A706:D706, 0))</f>
        <v>Prediction_PACK</v>
      </c>
    </row>
    <row r="707" spans="1:6" x14ac:dyDescent="0.25">
      <c r="A707">
        <v>169.999</v>
      </c>
      <c r="B707">
        <v>147.88</v>
      </c>
      <c r="C707">
        <v>146.0445</v>
      </c>
      <c r="D707">
        <v>169.88</v>
      </c>
      <c r="E707">
        <f t="shared" si="10"/>
        <v>146.0445</v>
      </c>
      <c r="F707" t="str" cm="1">
        <f t="array" ref="F707">INDEX({"Pay as you go","Prediction_PACK","Prediction_Payasyougo","Competitor"},MATCH(MIN(A707:D707), A707:D707, 0))</f>
        <v>Prediction_Payasyougo</v>
      </c>
    </row>
    <row r="708" spans="1:6" x14ac:dyDescent="0.25">
      <c r="A708">
        <v>91.948999999999998</v>
      </c>
      <c r="B708">
        <v>107.88</v>
      </c>
      <c r="C708">
        <v>107.88</v>
      </c>
      <c r="D708">
        <v>129.88</v>
      </c>
      <c r="E708">
        <f t="shared" si="10"/>
        <v>91.948999999999998</v>
      </c>
      <c r="F708" t="str" cm="1">
        <f t="array" ref="F708">INDEX({"Pay as you go","Prediction_PACK","Prediction_Payasyougo","Competitor"},MATCH(MIN(A708:D708), A708:D708, 0))</f>
        <v>Pay as you go</v>
      </c>
    </row>
    <row r="709" spans="1:6" x14ac:dyDescent="0.25">
      <c r="A709">
        <v>89.543000000000006</v>
      </c>
      <c r="B709">
        <v>119.88</v>
      </c>
      <c r="C709">
        <v>116.3895</v>
      </c>
      <c r="D709">
        <v>139.88</v>
      </c>
      <c r="E709">
        <f t="shared" si="10"/>
        <v>89.543000000000006</v>
      </c>
      <c r="F709" t="str" cm="1">
        <f t="array" ref="F709">INDEX({"Pay as you go","Prediction_PACK","Prediction_Payasyougo","Competitor"},MATCH(MIN(A709:D709), A709:D709, 0))</f>
        <v>Pay as you go</v>
      </c>
    </row>
    <row r="710" spans="1:6" x14ac:dyDescent="0.25">
      <c r="A710">
        <v>88.73</v>
      </c>
      <c r="B710">
        <v>115.88</v>
      </c>
      <c r="C710">
        <v>115.134</v>
      </c>
      <c r="D710">
        <v>149.88</v>
      </c>
      <c r="E710">
        <f t="shared" si="10"/>
        <v>88.73</v>
      </c>
      <c r="F710" t="str" cm="1">
        <f t="array" ref="F710">INDEX({"Pay as you go","Prediction_PACK","Prediction_Payasyougo","Competitor"},MATCH(MIN(A710:D710), A710:D710, 0))</f>
        <v>Pay as you go</v>
      </c>
    </row>
    <row r="711" spans="1:6" x14ac:dyDescent="0.25">
      <c r="A711">
        <v>54.447000000000003</v>
      </c>
      <c r="B711">
        <v>107.88</v>
      </c>
      <c r="C711">
        <v>107.88</v>
      </c>
      <c r="D711">
        <v>119.88</v>
      </c>
      <c r="E711">
        <f t="shared" si="10"/>
        <v>54.447000000000003</v>
      </c>
      <c r="F711" t="str" cm="1">
        <f t="array" ref="F711">INDEX({"Pay as you go","Prediction_PACK","Prediction_Payasyougo","Competitor"},MATCH(MIN(A711:D711), A711:D711, 0))</f>
        <v>Pay as you go</v>
      </c>
    </row>
    <row r="712" spans="1:6" x14ac:dyDescent="0.25">
      <c r="A712">
        <v>117.62400000000001</v>
      </c>
      <c r="B712">
        <v>115.88</v>
      </c>
      <c r="C712">
        <v>114.702</v>
      </c>
      <c r="D712">
        <v>149.88</v>
      </c>
      <c r="E712">
        <f t="shared" si="10"/>
        <v>114.702</v>
      </c>
      <c r="F712" t="str" cm="1">
        <f t="array" ref="F712">INDEX({"Pay as you go","Prediction_PACK","Prediction_Payasyougo","Competitor"},MATCH(MIN(A712:D712), A712:D712, 0))</f>
        <v>Prediction_Payasyougo</v>
      </c>
    </row>
    <row r="713" spans="1:6" x14ac:dyDescent="0.25">
      <c r="A713">
        <v>68.623999999999995</v>
      </c>
      <c r="B713">
        <v>107.88</v>
      </c>
      <c r="C713">
        <v>107.88</v>
      </c>
      <c r="D713">
        <v>129.88</v>
      </c>
      <c r="E713">
        <f t="shared" ref="E713:E776" si="11">MIN(A713:D713)</f>
        <v>68.623999999999995</v>
      </c>
      <c r="F713" t="str" cm="1">
        <f t="array" ref="F713">INDEX({"Pay as you go","Prediction_PACK","Prediction_Payasyougo","Competitor"},MATCH(MIN(A713:D713), A713:D713, 0))</f>
        <v>Pay as you go</v>
      </c>
    </row>
    <row r="714" spans="1:6" x14ac:dyDescent="0.25">
      <c r="A714">
        <v>130.333</v>
      </c>
      <c r="B714">
        <v>117.88</v>
      </c>
      <c r="C714">
        <v>120.36749999999999</v>
      </c>
      <c r="D714">
        <v>159.88</v>
      </c>
      <c r="E714">
        <f t="shared" si="11"/>
        <v>117.88</v>
      </c>
      <c r="F714" t="str" cm="1">
        <f t="array" ref="F714">INDEX({"Pay as you go","Prediction_PACK","Prediction_Payasyougo","Competitor"},MATCH(MIN(A714:D714), A714:D714, 0))</f>
        <v>Prediction_PACK</v>
      </c>
    </row>
    <row r="715" spans="1:6" x14ac:dyDescent="0.25">
      <c r="A715">
        <v>147.321</v>
      </c>
      <c r="B715">
        <v>127.88</v>
      </c>
      <c r="C715">
        <v>129.12899999999999</v>
      </c>
      <c r="D715">
        <v>139.88</v>
      </c>
      <c r="E715">
        <f t="shared" si="11"/>
        <v>127.88</v>
      </c>
      <c r="F715" t="str" cm="1">
        <f t="array" ref="F715">INDEX({"Pay as you go","Prediction_PACK","Prediction_Payasyougo","Competitor"},MATCH(MIN(A715:D715), A715:D715, 0))</f>
        <v>Prediction_PACK</v>
      </c>
    </row>
    <row r="716" spans="1:6" x14ac:dyDescent="0.25">
      <c r="A716">
        <v>116.72</v>
      </c>
      <c r="B716">
        <v>123.88</v>
      </c>
      <c r="C716">
        <v>119.4225</v>
      </c>
      <c r="D716">
        <v>149.88</v>
      </c>
      <c r="E716">
        <f t="shared" si="11"/>
        <v>116.72</v>
      </c>
      <c r="F716" t="str" cm="1">
        <f t="array" ref="F716">INDEX({"Pay as you go","Prediction_PACK","Prediction_Payasyougo","Competitor"},MATCH(MIN(A716:D716), A716:D716, 0))</f>
        <v>Pay as you go</v>
      </c>
    </row>
    <row r="717" spans="1:6" x14ac:dyDescent="0.25">
      <c r="A717">
        <v>148.874</v>
      </c>
      <c r="B717">
        <v>137.88</v>
      </c>
      <c r="C717">
        <v>151.74599999999998</v>
      </c>
      <c r="D717">
        <v>179.88</v>
      </c>
      <c r="E717">
        <f t="shared" si="11"/>
        <v>137.88</v>
      </c>
      <c r="F717" t="str" cm="1">
        <f t="array" ref="F717">INDEX({"Pay as you go","Prediction_PACK","Prediction_Payasyougo","Competitor"},MATCH(MIN(A717:D717), A717:D717, 0))</f>
        <v>Prediction_PACK</v>
      </c>
    </row>
    <row r="718" spans="1:6" x14ac:dyDescent="0.25">
      <c r="A718">
        <v>155.822</v>
      </c>
      <c r="B718">
        <v>137.88</v>
      </c>
      <c r="C718">
        <v>146.57549999999998</v>
      </c>
      <c r="D718">
        <v>169.88</v>
      </c>
      <c r="E718">
        <f t="shared" si="11"/>
        <v>137.88</v>
      </c>
      <c r="F718" t="str" cm="1">
        <f t="array" ref="F718">INDEX({"Pay as you go","Prediction_PACK","Prediction_Payasyougo","Competitor"},MATCH(MIN(A718:D718), A718:D718, 0))</f>
        <v>Prediction_PACK</v>
      </c>
    </row>
    <row r="719" spans="1:6" x14ac:dyDescent="0.25">
      <c r="A719">
        <v>84.963000000000008</v>
      </c>
      <c r="B719">
        <v>115.88</v>
      </c>
      <c r="C719">
        <v>113.3475</v>
      </c>
      <c r="D719">
        <v>139.88</v>
      </c>
      <c r="E719">
        <f t="shared" si="11"/>
        <v>84.963000000000008</v>
      </c>
      <c r="F719" t="str" cm="1">
        <f t="array" ref="F719">INDEX({"Pay as you go","Prediction_PACK","Prediction_Payasyougo","Competitor"},MATCH(MIN(A719:D719), A719:D719, 0))</f>
        <v>Pay as you go</v>
      </c>
    </row>
    <row r="720" spans="1:6" x14ac:dyDescent="0.25">
      <c r="A720">
        <v>197.20599999999999</v>
      </c>
      <c r="B720">
        <v>157.88</v>
      </c>
      <c r="C720">
        <v>161.196</v>
      </c>
      <c r="D720">
        <v>199.88</v>
      </c>
      <c r="E720">
        <f t="shared" si="11"/>
        <v>157.88</v>
      </c>
      <c r="F720" t="str" cm="1">
        <f t="array" ref="F720">INDEX({"Pay as you go","Prediction_PACK","Prediction_Payasyougo","Competitor"},MATCH(MIN(A720:D720), A720:D720, 0))</f>
        <v>Prediction_PACK</v>
      </c>
    </row>
    <row r="721" spans="1:6" x14ac:dyDescent="0.25">
      <c r="A721">
        <v>133.88300000000001</v>
      </c>
      <c r="B721">
        <v>127.88</v>
      </c>
      <c r="C721">
        <v>126.19049999999999</v>
      </c>
      <c r="D721">
        <v>139.88</v>
      </c>
      <c r="E721">
        <f t="shared" si="11"/>
        <v>126.19049999999999</v>
      </c>
      <c r="F721" t="str" cm="1">
        <f t="array" ref="F721">INDEX({"Pay as you go","Prediction_PACK","Prediction_Payasyougo","Competitor"},MATCH(MIN(A721:D721), A721:D721, 0))</f>
        <v>Prediction_Payasyougo</v>
      </c>
    </row>
    <row r="722" spans="1:6" x14ac:dyDescent="0.25">
      <c r="A722">
        <v>214.596</v>
      </c>
      <c r="B722">
        <v>177.88</v>
      </c>
      <c r="C722">
        <v>188.43899999999999</v>
      </c>
      <c r="D722">
        <v>189.88</v>
      </c>
      <c r="E722">
        <f t="shared" si="11"/>
        <v>177.88</v>
      </c>
      <c r="F722" t="str" cm="1">
        <f t="array" ref="F722">INDEX({"Pay as you go","Prediction_PACK","Prediction_Payasyougo","Competitor"},MATCH(MIN(A722:D722), A722:D722, 0))</f>
        <v>Prediction_PACK</v>
      </c>
    </row>
    <row r="723" spans="1:6" x14ac:dyDescent="0.25">
      <c r="A723">
        <v>119.512</v>
      </c>
      <c r="B723">
        <v>117.88</v>
      </c>
      <c r="C723">
        <v>118.6035</v>
      </c>
      <c r="D723">
        <v>149.88</v>
      </c>
      <c r="E723">
        <f t="shared" si="11"/>
        <v>117.88</v>
      </c>
      <c r="F723" t="str" cm="1">
        <f t="array" ref="F723">INDEX({"Pay as you go","Prediction_PACK","Prediction_Payasyougo","Competitor"},MATCH(MIN(A723:D723), A723:D723, 0))</f>
        <v>Prediction_PACK</v>
      </c>
    </row>
    <row r="724" spans="1:6" x14ac:dyDescent="0.25">
      <c r="A724">
        <v>92.644999999999996</v>
      </c>
      <c r="B724">
        <v>115.88</v>
      </c>
      <c r="C724">
        <v>112.79849999999999</v>
      </c>
      <c r="D724">
        <v>139.88</v>
      </c>
      <c r="E724">
        <f t="shared" si="11"/>
        <v>92.644999999999996</v>
      </c>
      <c r="F724" t="str" cm="1">
        <f t="array" ref="F724">INDEX({"Pay as you go","Prediction_PACK","Prediction_Payasyougo","Competitor"},MATCH(MIN(A724:D724), A724:D724, 0))</f>
        <v>Pay as you go</v>
      </c>
    </row>
    <row r="725" spans="1:6" x14ac:dyDescent="0.25">
      <c r="A725">
        <v>202.655</v>
      </c>
      <c r="B725">
        <v>167.88</v>
      </c>
      <c r="C725">
        <v>184.2765</v>
      </c>
      <c r="D725">
        <v>209.88</v>
      </c>
      <c r="E725">
        <f t="shared" si="11"/>
        <v>167.88</v>
      </c>
      <c r="F725" t="str" cm="1">
        <f t="array" ref="F725">INDEX({"Pay as you go","Prediction_PACK","Prediction_Payasyougo","Competitor"},MATCH(MIN(A725:D725), A725:D725, 0))</f>
        <v>Prediction_PACK</v>
      </c>
    </row>
    <row r="726" spans="1:6" x14ac:dyDescent="0.25">
      <c r="A726">
        <v>141.304</v>
      </c>
      <c r="B726">
        <v>135.88</v>
      </c>
      <c r="C726">
        <v>137.17949999999999</v>
      </c>
      <c r="D726">
        <v>169.88</v>
      </c>
      <c r="E726">
        <f t="shared" si="11"/>
        <v>135.88</v>
      </c>
      <c r="F726" t="str" cm="1">
        <f t="array" ref="F726">INDEX({"Pay as you go","Prediction_PACK","Prediction_Payasyougo","Competitor"},MATCH(MIN(A726:D726), A726:D726, 0))</f>
        <v>Prediction_PACK</v>
      </c>
    </row>
    <row r="727" spans="1:6" x14ac:dyDescent="0.25">
      <c r="A727">
        <v>154.19900000000001</v>
      </c>
      <c r="B727">
        <v>127.88</v>
      </c>
      <c r="C727">
        <v>129.15600000000001</v>
      </c>
      <c r="D727">
        <v>149.88</v>
      </c>
      <c r="E727">
        <f t="shared" si="11"/>
        <v>127.88</v>
      </c>
      <c r="F727" t="str" cm="1">
        <f t="array" ref="F727">INDEX({"Pay as you go","Prediction_PACK","Prediction_Payasyougo","Competitor"},MATCH(MIN(A727:D727), A727:D727, 0))</f>
        <v>Prediction_PACK</v>
      </c>
    </row>
    <row r="728" spans="1:6" x14ac:dyDescent="0.25">
      <c r="A728">
        <v>123.432</v>
      </c>
      <c r="B728">
        <v>107.88</v>
      </c>
      <c r="C728">
        <v>107.88</v>
      </c>
      <c r="D728">
        <v>159.88</v>
      </c>
      <c r="E728">
        <f t="shared" si="11"/>
        <v>107.88</v>
      </c>
      <c r="F728" t="str" cm="1">
        <f t="array" ref="F728">INDEX({"Pay as you go","Prediction_PACK","Prediction_Payasyougo","Competitor"},MATCH(MIN(A728:D728), A728:D728, 0))</f>
        <v>Prediction_PACK</v>
      </c>
    </row>
    <row r="729" spans="1:6" x14ac:dyDescent="0.25">
      <c r="A729">
        <v>189.15600000000001</v>
      </c>
      <c r="B729">
        <v>147.88</v>
      </c>
      <c r="C729">
        <v>187.34100000000001</v>
      </c>
      <c r="D729">
        <v>189.88</v>
      </c>
      <c r="E729">
        <f t="shared" si="11"/>
        <v>147.88</v>
      </c>
      <c r="F729" t="str" cm="1">
        <f t="array" ref="F729">INDEX({"Pay as you go","Prediction_PACK","Prediction_Payasyougo","Competitor"},MATCH(MIN(A729:D729), A729:D729, 0))</f>
        <v>Prediction_PACK</v>
      </c>
    </row>
    <row r="730" spans="1:6" x14ac:dyDescent="0.25">
      <c r="A730">
        <v>146.54599999999999</v>
      </c>
      <c r="B730">
        <v>147.88</v>
      </c>
      <c r="C730">
        <v>148.43849999999998</v>
      </c>
      <c r="D730">
        <v>169.88</v>
      </c>
      <c r="E730">
        <f t="shared" si="11"/>
        <v>146.54599999999999</v>
      </c>
      <c r="F730" t="str" cm="1">
        <f t="array" ref="F730">INDEX({"Pay as you go","Prediction_PACK","Prediction_Payasyougo","Competitor"},MATCH(MIN(A730:D730), A730:D730, 0))</f>
        <v>Pay as you go</v>
      </c>
    </row>
    <row r="731" spans="1:6" x14ac:dyDescent="0.25">
      <c r="A731">
        <v>100.292</v>
      </c>
      <c r="B731">
        <v>119.88</v>
      </c>
      <c r="C731">
        <v>113.77499999999999</v>
      </c>
      <c r="D731">
        <v>139.88</v>
      </c>
      <c r="E731">
        <f t="shared" si="11"/>
        <v>100.292</v>
      </c>
      <c r="F731" t="str" cm="1">
        <f t="array" ref="F731">INDEX({"Pay as you go","Prediction_PACK","Prediction_Payasyougo","Competitor"},MATCH(MIN(A731:D731), A731:D731, 0))</f>
        <v>Pay as you go</v>
      </c>
    </row>
    <row r="732" spans="1:6" x14ac:dyDescent="0.25">
      <c r="A732">
        <v>137.626</v>
      </c>
      <c r="B732">
        <v>147.88</v>
      </c>
      <c r="C732">
        <v>150.6345</v>
      </c>
      <c r="D732">
        <v>159.88</v>
      </c>
      <c r="E732">
        <f t="shared" si="11"/>
        <v>137.626</v>
      </c>
      <c r="F732" t="str" cm="1">
        <f t="array" ref="F732">INDEX({"Pay as you go","Prediction_PACK","Prediction_Payasyougo","Competitor"},MATCH(MIN(A732:D732), A732:D732, 0))</f>
        <v>Pay as you go</v>
      </c>
    </row>
    <row r="733" spans="1:6" x14ac:dyDescent="0.25">
      <c r="A733">
        <v>94.078999999999994</v>
      </c>
      <c r="B733">
        <v>111.88</v>
      </c>
      <c r="C733">
        <v>110.72399999999999</v>
      </c>
      <c r="D733">
        <v>149.88</v>
      </c>
      <c r="E733">
        <f t="shared" si="11"/>
        <v>94.078999999999994</v>
      </c>
      <c r="F733" t="str" cm="1">
        <f t="array" ref="F733">INDEX({"Pay as you go","Prediction_PACK","Prediction_Payasyougo","Competitor"},MATCH(MIN(A733:D733), A733:D733, 0))</f>
        <v>Pay as you go</v>
      </c>
    </row>
    <row r="734" spans="1:6" x14ac:dyDescent="0.25">
      <c r="A734">
        <v>102.649</v>
      </c>
      <c r="B734">
        <v>123.88</v>
      </c>
      <c r="C734">
        <v>120.32249999999999</v>
      </c>
      <c r="D734">
        <v>139.88</v>
      </c>
      <c r="E734">
        <f t="shared" si="11"/>
        <v>102.649</v>
      </c>
      <c r="F734" t="str" cm="1">
        <f t="array" ref="F734">INDEX({"Pay as you go","Prediction_PACK","Prediction_Payasyougo","Competitor"},MATCH(MIN(A734:D734), A734:D734, 0))</f>
        <v>Pay as you go</v>
      </c>
    </row>
    <row r="735" spans="1:6" x14ac:dyDescent="0.25">
      <c r="A735">
        <v>110.78999999999999</v>
      </c>
      <c r="B735">
        <v>119.88</v>
      </c>
      <c r="C735">
        <v>117.996</v>
      </c>
      <c r="D735">
        <v>159.88</v>
      </c>
      <c r="E735">
        <f t="shared" si="11"/>
        <v>110.78999999999999</v>
      </c>
      <c r="F735" t="str" cm="1">
        <f t="array" ref="F735">INDEX({"Pay as you go","Prediction_PACK","Prediction_Payasyougo","Competitor"},MATCH(MIN(A735:D735), A735:D735, 0))</f>
        <v>Pay as you go</v>
      </c>
    </row>
    <row r="736" spans="1:6" x14ac:dyDescent="0.25">
      <c r="A736">
        <v>144.64500000000001</v>
      </c>
      <c r="B736">
        <v>127.88</v>
      </c>
      <c r="C736">
        <v>123.40049999999999</v>
      </c>
      <c r="D736">
        <v>159.88</v>
      </c>
      <c r="E736">
        <f t="shared" si="11"/>
        <v>123.40049999999999</v>
      </c>
      <c r="F736" t="str" cm="1">
        <f t="array" ref="F736">INDEX({"Pay as you go","Prediction_PACK","Prediction_Payasyougo","Competitor"},MATCH(MIN(A736:D736), A736:D736, 0))</f>
        <v>Prediction_Payasyougo</v>
      </c>
    </row>
    <row r="737" spans="1:6" x14ac:dyDescent="0.25">
      <c r="A737">
        <v>94.597999999999999</v>
      </c>
      <c r="B737">
        <v>117.88</v>
      </c>
      <c r="C737">
        <v>118.068</v>
      </c>
      <c r="D737">
        <v>129.88</v>
      </c>
      <c r="E737">
        <f t="shared" si="11"/>
        <v>94.597999999999999</v>
      </c>
      <c r="F737" t="str" cm="1">
        <f t="array" ref="F737">INDEX({"Pay as you go","Prediction_PACK","Prediction_Payasyougo","Competitor"},MATCH(MIN(A737:D737), A737:D737, 0))</f>
        <v>Pay as you go</v>
      </c>
    </row>
    <row r="738" spans="1:6" x14ac:dyDescent="0.25">
      <c r="A738">
        <v>117.515</v>
      </c>
      <c r="B738">
        <v>107.88</v>
      </c>
      <c r="C738">
        <v>107.88</v>
      </c>
      <c r="D738">
        <v>134.88</v>
      </c>
      <c r="E738">
        <f t="shared" si="11"/>
        <v>107.88</v>
      </c>
      <c r="F738" t="str" cm="1">
        <f t="array" ref="F738">INDEX({"Pay as you go","Prediction_PACK","Prediction_Payasyougo","Competitor"},MATCH(MIN(A738:D738), A738:D738, 0))</f>
        <v>Prediction_PACK</v>
      </c>
    </row>
    <row r="739" spans="1:6" x14ac:dyDescent="0.25">
      <c r="A739">
        <v>93.166000000000011</v>
      </c>
      <c r="B739">
        <v>111.88</v>
      </c>
      <c r="C739">
        <v>108.59099999999999</v>
      </c>
      <c r="D739">
        <v>129.88</v>
      </c>
      <c r="E739">
        <f t="shared" si="11"/>
        <v>93.166000000000011</v>
      </c>
      <c r="F739" t="str" cm="1">
        <f t="array" ref="F739">INDEX({"Pay as you go","Prediction_PACK","Prediction_Payasyougo","Competitor"},MATCH(MIN(A739:D739), A739:D739, 0))</f>
        <v>Pay as you go</v>
      </c>
    </row>
    <row r="740" spans="1:6" x14ac:dyDescent="0.25">
      <c r="A740">
        <v>122.711</v>
      </c>
      <c r="B740">
        <v>111.88</v>
      </c>
      <c r="C740">
        <v>108.27149999999999</v>
      </c>
      <c r="D740">
        <v>139.88</v>
      </c>
      <c r="E740">
        <f t="shared" si="11"/>
        <v>108.27149999999999</v>
      </c>
      <c r="F740" t="str" cm="1">
        <f t="array" ref="F740">INDEX({"Pay as you go","Prediction_PACK","Prediction_Payasyougo","Competitor"},MATCH(MIN(A740:D740), A740:D740, 0))</f>
        <v>Prediction_Payasyougo</v>
      </c>
    </row>
    <row r="741" spans="1:6" x14ac:dyDescent="0.25">
      <c r="A741">
        <v>125.402</v>
      </c>
      <c r="B741">
        <v>117.88</v>
      </c>
      <c r="C741">
        <v>117.681</v>
      </c>
      <c r="D741">
        <v>149.88</v>
      </c>
      <c r="E741">
        <f t="shared" si="11"/>
        <v>117.681</v>
      </c>
      <c r="F741" t="str" cm="1">
        <f t="array" ref="F741">INDEX({"Pay as you go","Prediction_PACK","Prediction_Payasyougo","Competitor"},MATCH(MIN(A741:D741), A741:D741, 0))</f>
        <v>Prediction_Payasyougo</v>
      </c>
    </row>
    <row r="742" spans="1:6" x14ac:dyDescent="0.25">
      <c r="A742">
        <v>147.24700000000001</v>
      </c>
      <c r="B742">
        <v>127.88</v>
      </c>
      <c r="C742">
        <v>130.42499999999998</v>
      </c>
      <c r="D742">
        <v>169.88</v>
      </c>
      <c r="E742">
        <f t="shared" si="11"/>
        <v>127.88</v>
      </c>
      <c r="F742" t="str" cm="1">
        <f t="array" ref="F742">INDEX({"Pay as you go","Prediction_PACK","Prediction_Payasyougo","Competitor"},MATCH(MIN(A742:D742), A742:D742, 0))</f>
        <v>Prediction_PACK</v>
      </c>
    </row>
    <row r="743" spans="1:6" x14ac:dyDescent="0.25">
      <c r="A743">
        <v>161.43899999999999</v>
      </c>
      <c r="B743">
        <v>147.88</v>
      </c>
      <c r="C743">
        <v>172.50450000000001</v>
      </c>
      <c r="D743">
        <v>169.88</v>
      </c>
      <c r="E743">
        <f t="shared" si="11"/>
        <v>147.88</v>
      </c>
      <c r="F743" t="str" cm="1">
        <f t="array" ref="F743">INDEX({"Pay as you go","Prediction_PACK","Prediction_Payasyougo","Competitor"},MATCH(MIN(A743:D743), A743:D743, 0))</f>
        <v>Prediction_PACK</v>
      </c>
    </row>
    <row r="744" spans="1:6" x14ac:dyDescent="0.25">
      <c r="A744">
        <v>130.577</v>
      </c>
      <c r="B744">
        <v>135.88</v>
      </c>
      <c r="C744">
        <v>130.7715</v>
      </c>
      <c r="D744">
        <v>159.88</v>
      </c>
      <c r="E744">
        <f t="shared" si="11"/>
        <v>130.577</v>
      </c>
      <c r="F744" t="str" cm="1">
        <f t="array" ref="F744">INDEX({"Pay as you go","Prediction_PACK","Prediction_Payasyougo","Competitor"},MATCH(MIN(A744:D744), A744:D744, 0))</f>
        <v>Pay as you go</v>
      </c>
    </row>
    <row r="745" spans="1:6" x14ac:dyDescent="0.25">
      <c r="A745">
        <v>196.83700000000002</v>
      </c>
      <c r="B745">
        <v>167.88</v>
      </c>
      <c r="C745">
        <v>224.01599999999999</v>
      </c>
      <c r="D745">
        <v>199.88</v>
      </c>
      <c r="E745">
        <f t="shared" si="11"/>
        <v>167.88</v>
      </c>
      <c r="F745" t="str" cm="1">
        <f t="array" ref="F745">INDEX({"Pay as you go","Prediction_PACK","Prediction_Payasyougo","Competitor"},MATCH(MIN(A745:D745), A745:D745, 0))</f>
        <v>Prediction_PACK</v>
      </c>
    </row>
    <row r="746" spans="1:6" x14ac:dyDescent="0.25">
      <c r="A746">
        <v>110.28999999999999</v>
      </c>
      <c r="B746">
        <v>115.88</v>
      </c>
      <c r="C746">
        <v>116.628</v>
      </c>
      <c r="D746">
        <v>129.88</v>
      </c>
      <c r="E746">
        <f t="shared" si="11"/>
        <v>110.28999999999999</v>
      </c>
      <c r="F746" t="str" cm="1">
        <f t="array" ref="F746">INDEX({"Pay as you go","Prediction_PACK","Prediction_Payasyougo","Competitor"},MATCH(MIN(A746:D746), A746:D746, 0))</f>
        <v>Pay as you go</v>
      </c>
    </row>
    <row r="747" spans="1:6" x14ac:dyDescent="0.25">
      <c r="A747">
        <v>122.458</v>
      </c>
      <c r="B747">
        <v>107.88</v>
      </c>
      <c r="C747">
        <v>107.88</v>
      </c>
      <c r="D747">
        <v>134.88</v>
      </c>
      <c r="E747">
        <f t="shared" si="11"/>
        <v>107.88</v>
      </c>
      <c r="F747" t="str" cm="1">
        <f t="array" ref="F747">INDEX({"Pay as you go","Prediction_PACK","Prediction_Payasyougo","Competitor"},MATCH(MIN(A747:D747), A747:D747, 0))</f>
        <v>Prediction_PACK</v>
      </c>
    </row>
    <row r="748" spans="1:6" x14ac:dyDescent="0.25">
      <c r="A748">
        <v>89.236000000000004</v>
      </c>
      <c r="B748">
        <v>107.88</v>
      </c>
      <c r="C748">
        <v>107.88</v>
      </c>
      <c r="D748">
        <v>144.88</v>
      </c>
      <c r="E748">
        <f t="shared" si="11"/>
        <v>89.236000000000004</v>
      </c>
      <c r="F748" t="str" cm="1">
        <f t="array" ref="F748">INDEX({"Pay as you go","Prediction_PACK","Prediction_Payasyougo","Competitor"},MATCH(MIN(A748:D748), A748:D748, 0))</f>
        <v>Pay as you go</v>
      </c>
    </row>
    <row r="749" spans="1:6" x14ac:dyDescent="0.25">
      <c r="A749">
        <v>174.53200000000001</v>
      </c>
      <c r="B749">
        <v>147.88</v>
      </c>
      <c r="C749">
        <v>171.01049999999998</v>
      </c>
      <c r="D749">
        <v>189.88</v>
      </c>
      <c r="E749">
        <f t="shared" si="11"/>
        <v>147.88</v>
      </c>
      <c r="F749" t="str" cm="1">
        <f t="array" ref="F749">INDEX({"Pay as you go","Prediction_PACK","Prediction_Payasyougo","Competitor"},MATCH(MIN(A749:D749), A749:D749, 0))</f>
        <v>Prediction_PACK</v>
      </c>
    </row>
    <row r="750" spans="1:6" x14ac:dyDescent="0.25">
      <c r="A750">
        <v>110.88600000000001</v>
      </c>
      <c r="B750">
        <v>117.88</v>
      </c>
      <c r="C750">
        <v>124.0035</v>
      </c>
      <c r="D750">
        <v>149.88</v>
      </c>
      <c r="E750">
        <f t="shared" si="11"/>
        <v>110.88600000000001</v>
      </c>
      <c r="F750" t="str" cm="1">
        <f t="array" ref="F750">INDEX({"Pay as you go","Prediction_PACK","Prediction_Payasyougo","Competitor"},MATCH(MIN(A750:D750), A750:D750, 0))</f>
        <v>Pay as you go</v>
      </c>
    </row>
    <row r="751" spans="1:6" x14ac:dyDescent="0.25">
      <c r="A751">
        <v>133.35599999999999</v>
      </c>
      <c r="B751">
        <v>122.88</v>
      </c>
      <c r="C751">
        <v>133.35899999999998</v>
      </c>
      <c r="D751">
        <v>159.88</v>
      </c>
      <c r="E751">
        <f t="shared" si="11"/>
        <v>122.88</v>
      </c>
      <c r="F751" t="str" cm="1">
        <f t="array" ref="F751">INDEX({"Pay as you go","Prediction_PACK","Prediction_Payasyougo","Competitor"},MATCH(MIN(A751:D751), A751:D751, 0))</f>
        <v>Prediction_PACK</v>
      </c>
    </row>
    <row r="752" spans="1:6" x14ac:dyDescent="0.25">
      <c r="A752">
        <v>156.90700000000001</v>
      </c>
      <c r="B752">
        <v>147.88</v>
      </c>
      <c r="C752">
        <v>152.47049999999999</v>
      </c>
      <c r="D752">
        <v>179.88</v>
      </c>
      <c r="E752">
        <f t="shared" si="11"/>
        <v>147.88</v>
      </c>
      <c r="F752" t="str" cm="1">
        <f t="array" ref="F752">INDEX({"Pay as you go","Prediction_PACK","Prediction_Payasyougo","Competitor"},MATCH(MIN(A752:D752), A752:D752, 0))</f>
        <v>Prediction_PACK</v>
      </c>
    </row>
    <row r="753" spans="1:6" x14ac:dyDescent="0.25">
      <c r="A753">
        <v>133.273</v>
      </c>
      <c r="B753">
        <v>127.88</v>
      </c>
      <c r="C753">
        <v>127.52249999999999</v>
      </c>
      <c r="D753">
        <v>139.88</v>
      </c>
      <c r="E753">
        <f t="shared" si="11"/>
        <v>127.52249999999999</v>
      </c>
      <c r="F753" t="str" cm="1">
        <f t="array" ref="F753">INDEX({"Pay as you go","Prediction_PACK","Prediction_Payasyougo","Competitor"},MATCH(MIN(A753:D753), A753:D753, 0))</f>
        <v>Prediction_Payasyougo</v>
      </c>
    </row>
    <row r="754" spans="1:6" x14ac:dyDescent="0.25">
      <c r="A754">
        <v>115.286</v>
      </c>
      <c r="B754">
        <v>117.88</v>
      </c>
      <c r="C754">
        <v>125.43899999999999</v>
      </c>
      <c r="D754">
        <v>149.88</v>
      </c>
      <c r="E754">
        <f t="shared" si="11"/>
        <v>115.286</v>
      </c>
      <c r="F754" t="str" cm="1">
        <f t="array" ref="F754">INDEX({"Pay as you go","Prediction_PACK","Prediction_Payasyougo","Competitor"},MATCH(MIN(A754:D754), A754:D754, 0))</f>
        <v>Pay as you go</v>
      </c>
    </row>
    <row r="755" spans="1:6" x14ac:dyDescent="0.25">
      <c r="A755">
        <v>151.00700000000001</v>
      </c>
      <c r="B755">
        <v>135.88</v>
      </c>
      <c r="C755">
        <v>132.8415</v>
      </c>
      <c r="D755">
        <v>169.88</v>
      </c>
      <c r="E755">
        <f t="shared" si="11"/>
        <v>132.8415</v>
      </c>
      <c r="F755" t="str" cm="1">
        <f t="array" ref="F755">INDEX({"Pay as you go","Prediction_PACK","Prediction_Payasyougo","Competitor"},MATCH(MIN(A755:D755), A755:D755, 0))</f>
        <v>Prediction_Payasyougo</v>
      </c>
    </row>
    <row r="756" spans="1:6" x14ac:dyDescent="0.25">
      <c r="A756">
        <v>117.05799999999999</v>
      </c>
      <c r="B756">
        <v>122.88</v>
      </c>
      <c r="C756">
        <v>135.55500000000001</v>
      </c>
      <c r="D756">
        <v>159.88</v>
      </c>
      <c r="E756">
        <f t="shared" si="11"/>
        <v>117.05799999999999</v>
      </c>
      <c r="F756" t="str" cm="1">
        <f t="array" ref="F756">INDEX({"Pay as you go","Prediction_PACK","Prediction_Payasyougo","Competitor"},MATCH(MIN(A756:D756), A756:D756, 0))</f>
        <v>Pay as you go</v>
      </c>
    </row>
    <row r="757" spans="1:6" x14ac:dyDescent="0.25">
      <c r="A757">
        <v>128.81800000000001</v>
      </c>
      <c r="B757">
        <v>123.88</v>
      </c>
      <c r="C757">
        <v>123.1035</v>
      </c>
      <c r="D757">
        <v>139.88</v>
      </c>
      <c r="E757">
        <f t="shared" si="11"/>
        <v>123.1035</v>
      </c>
      <c r="F757" t="str" cm="1">
        <f t="array" ref="F757">INDEX({"Pay as you go","Prediction_PACK","Prediction_Payasyougo","Competitor"},MATCH(MIN(A757:D757), A757:D757, 0))</f>
        <v>Prediction_Payasyougo</v>
      </c>
    </row>
    <row r="758" spans="1:6" x14ac:dyDescent="0.25">
      <c r="A758">
        <v>134.66299999999998</v>
      </c>
      <c r="B758">
        <v>115.88</v>
      </c>
      <c r="C758">
        <v>112.758</v>
      </c>
      <c r="D758">
        <v>159.88</v>
      </c>
      <c r="E758">
        <f t="shared" si="11"/>
        <v>112.758</v>
      </c>
      <c r="F758" t="str" cm="1">
        <f t="array" ref="F758">INDEX({"Pay as you go","Prediction_PACK","Prediction_Payasyougo","Competitor"},MATCH(MIN(A758:D758), A758:D758, 0))</f>
        <v>Prediction_Payasyougo</v>
      </c>
    </row>
    <row r="759" spans="1:6" x14ac:dyDescent="0.25">
      <c r="A759">
        <v>98.975999999999999</v>
      </c>
      <c r="B759">
        <v>111.88</v>
      </c>
      <c r="C759">
        <v>112.04249999999999</v>
      </c>
      <c r="D759">
        <v>129.88</v>
      </c>
      <c r="E759">
        <f t="shared" si="11"/>
        <v>98.975999999999999</v>
      </c>
      <c r="F759" t="str" cm="1">
        <f t="array" ref="F759">INDEX({"Pay as you go","Prediction_PACK","Prediction_Payasyougo","Competitor"},MATCH(MIN(A759:D759), A759:D759, 0))</f>
        <v>Pay as you go</v>
      </c>
    </row>
    <row r="760" spans="1:6" x14ac:dyDescent="0.25">
      <c r="A760">
        <v>109.64100000000001</v>
      </c>
      <c r="B760">
        <v>117.88</v>
      </c>
      <c r="C760">
        <v>119.73299999999999</v>
      </c>
      <c r="D760">
        <v>159.88</v>
      </c>
      <c r="E760">
        <f t="shared" si="11"/>
        <v>109.64100000000001</v>
      </c>
      <c r="F760" t="str" cm="1">
        <f t="array" ref="F760">INDEX({"Pay as you go","Prediction_PACK","Prediction_Payasyougo","Competitor"},MATCH(MIN(A760:D760), A760:D760, 0))</f>
        <v>Pay as you go</v>
      </c>
    </row>
    <row r="761" spans="1:6" x14ac:dyDescent="0.25">
      <c r="A761">
        <v>182.994</v>
      </c>
      <c r="B761">
        <v>157.88</v>
      </c>
      <c r="C761">
        <v>177.76499999999999</v>
      </c>
      <c r="D761">
        <v>199.88</v>
      </c>
      <c r="E761">
        <f t="shared" si="11"/>
        <v>157.88</v>
      </c>
      <c r="F761" t="str" cm="1">
        <f t="array" ref="F761">INDEX({"Pay as you go","Prediction_PACK","Prediction_Payasyougo","Competitor"},MATCH(MIN(A761:D761), A761:D761, 0))</f>
        <v>Prediction_PACK</v>
      </c>
    </row>
    <row r="762" spans="1:6" x14ac:dyDescent="0.25">
      <c r="A762">
        <v>104.22800000000001</v>
      </c>
      <c r="B762">
        <v>115.88</v>
      </c>
      <c r="C762">
        <v>115.28699999999999</v>
      </c>
      <c r="D762">
        <v>139.88</v>
      </c>
      <c r="E762">
        <f t="shared" si="11"/>
        <v>104.22800000000001</v>
      </c>
      <c r="F762" t="str" cm="1">
        <f t="array" ref="F762">INDEX({"Pay as you go","Prediction_PACK","Prediction_Payasyougo","Competitor"},MATCH(MIN(A762:D762), A762:D762, 0))</f>
        <v>Pay as you go</v>
      </c>
    </row>
    <row r="763" spans="1:6" x14ac:dyDescent="0.25">
      <c r="A763">
        <v>75.593000000000004</v>
      </c>
      <c r="B763">
        <v>107.88</v>
      </c>
      <c r="C763">
        <v>107.88</v>
      </c>
      <c r="D763">
        <v>119.88</v>
      </c>
      <c r="E763">
        <f t="shared" si="11"/>
        <v>75.593000000000004</v>
      </c>
      <c r="F763" t="str" cm="1">
        <f t="array" ref="F763">INDEX({"Pay as you go","Prediction_PACK","Prediction_Payasyougo","Competitor"},MATCH(MIN(A763:D763), A763:D763, 0))</f>
        <v>Pay as you go</v>
      </c>
    </row>
    <row r="764" spans="1:6" x14ac:dyDescent="0.25">
      <c r="A764">
        <v>94.466999999999999</v>
      </c>
      <c r="B764">
        <v>111.88</v>
      </c>
      <c r="C764">
        <v>111.8535</v>
      </c>
      <c r="D764">
        <v>129.88</v>
      </c>
      <c r="E764">
        <f t="shared" si="11"/>
        <v>94.466999999999999</v>
      </c>
      <c r="F764" t="str" cm="1">
        <f t="array" ref="F764">INDEX({"Pay as you go","Prediction_PACK","Prediction_Payasyougo","Competitor"},MATCH(MIN(A764:D764), A764:D764, 0))</f>
        <v>Pay as you go</v>
      </c>
    </row>
    <row r="765" spans="1:6" x14ac:dyDescent="0.25">
      <c r="A765">
        <v>110.41200000000001</v>
      </c>
      <c r="B765">
        <v>115.88</v>
      </c>
      <c r="C765">
        <v>112.92449999999999</v>
      </c>
      <c r="D765">
        <v>129.88</v>
      </c>
      <c r="E765">
        <f t="shared" si="11"/>
        <v>110.41200000000001</v>
      </c>
      <c r="F765" t="str" cm="1">
        <f t="array" ref="F765">INDEX({"Pay as you go","Prediction_PACK","Prediction_Payasyougo","Competitor"},MATCH(MIN(A765:D765), A765:D765, 0))</f>
        <v>Pay as you go</v>
      </c>
    </row>
    <row r="766" spans="1:6" x14ac:dyDescent="0.25">
      <c r="A766">
        <v>133.33600000000001</v>
      </c>
      <c r="B766">
        <v>137.88</v>
      </c>
      <c r="C766">
        <v>177.036</v>
      </c>
      <c r="D766">
        <v>169.88</v>
      </c>
      <c r="E766">
        <f t="shared" si="11"/>
        <v>133.33600000000001</v>
      </c>
      <c r="F766" t="str" cm="1">
        <f t="array" ref="F766">INDEX({"Pay as you go","Prediction_PACK","Prediction_Payasyougo","Competitor"},MATCH(MIN(A766:D766), A766:D766, 0))</f>
        <v>Pay as you go</v>
      </c>
    </row>
    <row r="767" spans="1:6" x14ac:dyDescent="0.25">
      <c r="A767">
        <v>143.845</v>
      </c>
      <c r="B767">
        <v>111.88</v>
      </c>
      <c r="C767">
        <v>112.07849999999999</v>
      </c>
      <c r="D767">
        <v>149.88</v>
      </c>
      <c r="E767">
        <f t="shared" si="11"/>
        <v>111.88</v>
      </c>
      <c r="F767" t="str" cm="1">
        <f t="array" ref="F767">INDEX({"Pay as you go","Prediction_PACK","Prediction_Payasyougo","Competitor"},MATCH(MIN(A767:D767), A767:D767, 0))</f>
        <v>Prediction_PACK</v>
      </c>
    </row>
    <row r="768" spans="1:6" x14ac:dyDescent="0.25">
      <c r="A768">
        <v>151.58799999999999</v>
      </c>
      <c r="B768">
        <v>137.88</v>
      </c>
      <c r="C768">
        <v>135.4605</v>
      </c>
      <c r="D768">
        <v>159.88</v>
      </c>
      <c r="E768">
        <f t="shared" si="11"/>
        <v>135.4605</v>
      </c>
      <c r="F768" t="str" cm="1">
        <f t="array" ref="F768">INDEX({"Pay as you go","Prediction_PACK","Prediction_Payasyougo","Competitor"},MATCH(MIN(A768:D768), A768:D768, 0))</f>
        <v>Prediction_Payasyougo</v>
      </c>
    </row>
    <row r="769" spans="1:6" x14ac:dyDescent="0.25">
      <c r="A769">
        <v>94.884999999999991</v>
      </c>
      <c r="B769">
        <v>107.88</v>
      </c>
      <c r="C769">
        <v>107.88</v>
      </c>
      <c r="D769">
        <v>134.88</v>
      </c>
      <c r="E769">
        <f t="shared" si="11"/>
        <v>94.884999999999991</v>
      </c>
      <c r="F769" t="str" cm="1">
        <f t="array" ref="F769">INDEX({"Pay as you go","Prediction_PACK","Prediction_Payasyougo","Competitor"},MATCH(MIN(A769:D769), A769:D769, 0))</f>
        <v>Pay as you go</v>
      </c>
    </row>
    <row r="770" spans="1:6" x14ac:dyDescent="0.25">
      <c r="A770">
        <v>74.971999999999994</v>
      </c>
      <c r="B770">
        <v>107.88</v>
      </c>
      <c r="C770">
        <v>107.88</v>
      </c>
      <c r="D770">
        <v>129.88</v>
      </c>
      <c r="E770">
        <f t="shared" si="11"/>
        <v>74.971999999999994</v>
      </c>
      <c r="F770" t="str" cm="1">
        <f t="array" ref="F770">INDEX({"Pay as you go","Prediction_PACK","Prediction_Payasyougo","Competitor"},MATCH(MIN(A770:D770), A770:D770, 0))</f>
        <v>Pay as you go</v>
      </c>
    </row>
    <row r="771" spans="1:6" x14ac:dyDescent="0.25">
      <c r="A771">
        <v>81.197000000000003</v>
      </c>
      <c r="B771">
        <v>117.88</v>
      </c>
      <c r="C771">
        <v>122.4465</v>
      </c>
      <c r="D771">
        <v>139.88</v>
      </c>
      <c r="E771">
        <f t="shared" si="11"/>
        <v>81.197000000000003</v>
      </c>
      <c r="F771" t="str" cm="1">
        <f t="array" ref="F771">INDEX({"Pay as you go","Prediction_PACK","Prediction_Payasyougo","Competitor"},MATCH(MIN(A771:D771), A771:D771, 0))</f>
        <v>Pay as you go</v>
      </c>
    </row>
    <row r="772" spans="1:6" x14ac:dyDescent="0.25">
      <c r="A772">
        <v>162.399</v>
      </c>
      <c r="B772">
        <v>157.88</v>
      </c>
      <c r="C772">
        <v>165.52499999999998</v>
      </c>
      <c r="D772">
        <v>179.88</v>
      </c>
      <c r="E772">
        <f t="shared" si="11"/>
        <v>157.88</v>
      </c>
      <c r="F772" t="str" cm="1">
        <f t="array" ref="F772">INDEX({"Pay as you go","Prediction_PACK","Prediction_Payasyougo","Competitor"},MATCH(MIN(A772:D772), A772:D772, 0))</f>
        <v>Prediction_PACK</v>
      </c>
    </row>
    <row r="773" spans="1:6" x14ac:dyDescent="0.25">
      <c r="A773">
        <v>161.9</v>
      </c>
      <c r="B773">
        <v>147.88</v>
      </c>
      <c r="C773">
        <v>161.73599999999999</v>
      </c>
      <c r="D773">
        <v>179.88</v>
      </c>
      <c r="E773">
        <f t="shared" si="11"/>
        <v>147.88</v>
      </c>
      <c r="F773" t="str" cm="1">
        <f t="array" ref="F773">INDEX({"Pay as you go","Prediction_PACK","Prediction_Payasyougo","Competitor"},MATCH(MIN(A773:D773), A773:D773, 0))</f>
        <v>Prediction_PACK</v>
      </c>
    </row>
    <row r="774" spans="1:6" x14ac:dyDescent="0.25">
      <c r="A774">
        <v>124.92100000000001</v>
      </c>
      <c r="B774">
        <v>137.88</v>
      </c>
      <c r="C774">
        <v>155.19299999999998</v>
      </c>
      <c r="D774">
        <v>159.88</v>
      </c>
      <c r="E774">
        <f t="shared" si="11"/>
        <v>124.92100000000001</v>
      </c>
      <c r="F774" t="str" cm="1">
        <f t="array" ref="F774">INDEX({"Pay as you go","Prediction_PACK","Prediction_Payasyougo","Competitor"},MATCH(MIN(A774:D774), A774:D774, 0))</f>
        <v>Pay as you go</v>
      </c>
    </row>
    <row r="775" spans="1:6" x14ac:dyDescent="0.25">
      <c r="A775">
        <v>149.33199999999999</v>
      </c>
      <c r="B775">
        <v>122.88</v>
      </c>
      <c r="C775">
        <v>130.58699999999999</v>
      </c>
      <c r="D775">
        <v>169.88</v>
      </c>
      <c r="E775">
        <f t="shared" si="11"/>
        <v>122.88</v>
      </c>
      <c r="F775" t="str" cm="1">
        <f t="array" ref="F775">INDEX({"Pay as you go","Prediction_PACK","Prediction_Payasyougo","Competitor"},MATCH(MIN(A775:D775), A775:D775, 0))</f>
        <v>Prediction_PACK</v>
      </c>
    </row>
    <row r="776" spans="1:6" x14ac:dyDescent="0.25">
      <c r="A776">
        <v>130.63400000000001</v>
      </c>
      <c r="B776">
        <v>122.88</v>
      </c>
      <c r="C776">
        <v>137.79149999999998</v>
      </c>
      <c r="D776">
        <v>159.88</v>
      </c>
      <c r="E776">
        <f t="shared" si="11"/>
        <v>122.88</v>
      </c>
      <c r="F776" t="str" cm="1">
        <f t="array" ref="F776">INDEX({"Pay as you go","Prediction_PACK","Prediction_Payasyougo","Competitor"},MATCH(MIN(A776:D776), A776:D776, 0))</f>
        <v>Prediction_PACK</v>
      </c>
    </row>
    <row r="777" spans="1:6" x14ac:dyDescent="0.25">
      <c r="A777">
        <v>107.143</v>
      </c>
      <c r="B777">
        <v>127.88</v>
      </c>
      <c r="C777">
        <v>125.98349999999999</v>
      </c>
      <c r="D777">
        <v>139.88</v>
      </c>
      <c r="E777">
        <f t="shared" ref="E777:E840" si="12">MIN(A777:D777)</f>
        <v>107.143</v>
      </c>
      <c r="F777" t="str" cm="1">
        <f t="array" ref="F777">INDEX({"Pay as you go","Prediction_PACK","Prediction_Payasyougo","Competitor"},MATCH(MIN(A777:D777), A777:D777, 0))</f>
        <v>Pay as you go</v>
      </c>
    </row>
    <row r="778" spans="1:6" x14ac:dyDescent="0.25">
      <c r="A778">
        <v>205.73500000000001</v>
      </c>
      <c r="B778">
        <v>147.88</v>
      </c>
      <c r="C778">
        <v>166.19099999999997</v>
      </c>
      <c r="D778">
        <v>209.88</v>
      </c>
      <c r="E778">
        <f t="shared" si="12"/>
        <v>147.88</v>
      </c>
      <c r="F778" t="str" cm="1">
        <f t="array" ref="F778">INDEX({"Pay as you go","Prediction_PACK","Prediction_Payasyougo","Competitor"},MATCH(MIN(A778:D778), A778:D778, 0))</f>
        <v>Prediction_PACK</v>
      </c>
    </row>
    <row r="779" spans="1:6" x14ac:dyDescent="0.25">
      <c r="A779">
        <v>104.468</v>
      </c>
      <c r="B779">
        <v>137.88</v>
      </c>
      <c r="C779">
        <v>160.25099999999998</v>
      </c>
      <c r="D779">
        <v>159.88</v>
      </c>
      <c r="E779">
        <f t="shared" si="12"/>
        <v>104.468</v>
      </c>
      <c r="F779" t="str" cm="1">
        <f t="array" ref="F779">INDEX({"Pay as you go","Prediction_PACK","Prediction_Payasyougo","Competitor"},MATCH(MIN(A779:D779), A779:D779, 0))</f>
        <v>Pay as you go</v>
      </c>
    </row>
    <row r="780" spans="1:6" x14ac:dyDescent="0.25">
      <c r="A780">
        <v>77.121000000000009</v>
      </c>
      <c r="B780">
        <v>107.88</v>
      </c>
      <c r="C780">
        <v>107.88</v>
      </c>
      <c r="D780">
        <v>124.88</v>
      </c>
      <c r="E780">
        <f t="shared" si="12"/>
        <v>77.121000000000009</v>
      </c>
      <c r="F780" t="str" cm="1">
        <f t="array" ref="F780">INDEX({"Pay as you go","Prediction_PACK","Prediction_Payasyougo","Competitor"},MATCH(MIN(A780:D780), A780:D780, 0))</f>
        <v>Pay as you go</v>
      </c>
    </row>
    <row r="781" spans="1:6" x14ac:dyDescent="0.25">
      <c r="A781">
        <v>105.83500000000001</v>
      </c>
      <c r="B781">
        <v>137.88</v>
      </c>
      <c r="C781">
        <v>157.3305</v>
      </c>
      <c r="D781">
        <v>159.88</v>
      </c>
      <c r="E781">
        <f t="shared" si="12"/>
        <v>105.83500000000001</v>
      </c>
      <c r="F781" t="str" cm="1">
        <f t="array" ref="F781">INDEX({"Pay as you go","Prediction_PACK","Prediction_Payasyougo","Competitor"},MATCH(MIN(A781:D781), A781:D781, 0))</f>
        <v>Pay as you go</v>
      </c>
    </row>
    <row r="782" spans="1:6" x14ac:dyDescent="0.25">
      <c r="A782">
        <v>103.34399999999999</v>
      </c>
      <c r="B782">
        <v>122.88</v>
      </c>
      <c r="C782">
        <v>137.39099999999999</v>
      </c>
      <c r="D782">
        <v>139.88</v>
      </c>
      <c r="E782">
        <f t="shared" si="12"/>
        <v>103.34399999999999</v>
      </c>
      <c r="F782" t="str" cm="1">
        <f t="array" ref="F782">INDEX({"Pay as you go","Prediction_PACK","Prediction_Payasyougo","Competitor"},MATCH(MIN(A782:D782), A782:D782, 0))</f>
        <v>Pay as you go</v>
      </c>
    </row>
    <row r="783" spans="1:6" x14ac:dyDescent="0.25">
      <c r="A783">
        <v>106.511</v>
      </c>
      <c r="B783">
        <v>127.88</v>
      </c>
      <c r="C783">
        <v>122.19</v>
      </c>
      <c r="D783">
        <v>139.88</v>
      </c>
      <c r="E783">
        <f t="shared" si="12"/>
        <v>106.511</v>
      </c>
      <c r="F783" t="str" cm="1">
        <f t="array" ref="F783">INDEX({"Pay as you go","Prediction_PACK","Prediction_Payasyougo","Competitor"},MATCH(MIN(A783:D783), A783:D783, 0))</f>
        <v>Pay as you go</v>
      </c>
    </row>
    <row r="784" spans="1:6" x14ac:dyDescent="0.25">
      <c r="A784">
        <v>129.11799999999999</v>
      </c>
      <c r="B784">
        <v>123.88</v>
      </c>
      <c r="C784">
        <v>121.16849999999999</v>
      </c>
      <c r="D784">
        <v>139.88</v>
      </c>
      <c r="E784">
        <f t="shared" si="12"/>
        <v>121.16849999999999</v>
      </c>
      <c r="F784" t="str" cm="1">
        <f t="array" ref="F784">INDEX({"Pay as you go","Prediction_PACK","Prediction_Payasyougo","Competitor"},MATCH(MIN(A784:D784), A784:D784, 0))</f>
        <v>Prediction_Payasyougo</v>
      </c>
    </row>
    <row r="785" spans="1:6" x14ac:dyDescent="0.25">
      <c r="A785">
        <v>141.50900000000001</v>
      </c>
      <c r="B785">
        <v>137.88</v>
      </c>
      <c r="C785">
        <v>142.53449999999998</v>
      </c>
      <c r="D785">
        <v>159.88</v>
      </c>
      <c r="E785">
        <f t="shared" si="12"/>
        <v>137.88</v>
      </c>
      <c r="F785" t="str" cm="1">
        <f t="array" ref="F785">INDEX({"Pay as you go","Prediction_PACK","Prediction_Payasyougo","Competitor"},MATCH(MIN(A785:D785), A785:D785, 0))</f>
        <v>Prediction_PACK</v>
      </c>
    </row>
    <row r="786" spans="1:6" x14ac:dyDescent="0.25">
      <c r="A786">
        <v>169.45500000000001</v>
      </c>
      <c r="B786">
        <v>157.88</v>
      </c>
      <c r="C786">
        <v>181.41449999999998</v>
      </c>
      <c r="D786">
        <v>189.88</v>
      </c>
      <c r="E786">
        <f t="shared" si="12"/>
        <v>157.88</v>
      </c>
      <c r="F786" t="str" cm="1">
        <f t="array" ref="F786">INDEX({"Pay as you go","Prediction_PACK","Prediction_Payasyougo","Competitor"},MATCH(MIN(A786:D786), A786:D786, 0))</f>
        <v>Prediction_PACK</v>
      </c>
    </row>
    <row r="787" spans="1:6" x14ac:dyDescent="0.25">
      <c r="A787">
        <v>123.029</v>
      </c>
      <c r="B787">
        <v>137.88</v>
      </c>
      <c r="C787">
        <v>141.69749999999999</v>
      </c>
      <c r="D787">
        <v>149.88</v>
      </c>
      <c r="E787">
        <f t="shared" si="12"/>
        <v>123.029</v>
      </c>
      <c r="F787" t="str" cm="1">
        <f t="array" ref="F787">INDEX({"Pay as you go","Prediction_PACK","Prediction_Payasyougo","Competitor"},MATCH(MIN(A787:D787), A787:D787, 0))</f>
        <v>Pay as you go</v>
      </c>
    </row>
    <row r="788" spans="1:6" x14ac:dyDescent="0.25">
      <c r="A788">
        <v>116.354</v>
      </c>
      <c r="B788">
        <v>111.88</v>
      </c>
      <c r="C788">
        <v>109.63499999999999</v>
      </c>
      <c r="D788">
        <v>144.88</v>
      </c>
      <c r="E788">
        <f t="shared" si="12"/>
        <v>109.63499999999999</v>
      </c>
      <c r="F788" t="str" cm="1">
        <f t="array" ref="F788">INDEX({"Pay as you go","Prediction_PACK","Prediction_Payasyougo","Competitor"},MATCH(MIN(A788:D788), A788:D788, 0))</f>
        <v>Prediction_Payasyougo</v>
      </c>
    </row>
    <row r="789" spans="1:6" x14ac:dyDescent="0.25">
      <c r="A789">
        <v>88.084000000000003</v>
      </c>
      <c r="B789">
        <v>111.88</v>
      </c>
      <c r="C789">
        <v>110.60249999999999</v>
      </c>
      <c r="D789">
        <v>139.88</v>
      </c>
      <c r="E789">
        <f t="shared" si="12"/>
        <v>88.084000000000003</v>
      </c>
      <c r="F789" t="str" cm="1">
        <f t="array" ref="F789">INDEX({"Pay as you go","Prediction_PACK","Prediction_Payasyougo","Competitor"},MATCH(MIN(A789:D789), A789:D789, 0))</f>
        <v>Pay as you go</v>
      </c>
    </row>
    <row r="790" spans="1:6" x14ac:dyDescent="0.25">
      <c r="A790">
        <v>83.286999999999992</v>
      </c>
      <c r="B790">
        <v>107.88</v>
      </c>
      <c r="C790">
        <v>107.88</v>
      </c>
      <c r="D790">
        <v>134.88</v>
      </c>
      <c r="E790">
        <f t="shared" si="12"/>
        <v>83.286999999999992</v>
      </c>
      <c r="F790" t="str" cm="1">
        <f t="array" ref="F790">INDEX({"Pay as you go","Prediction_PACK","Prediction_Payasyougo","Competitor"},MATCH(MIN(A790:D790), A790:D790, 0))</f>
        <v>Pay as you go</v>
      </c>
    </row>
    <row r="791" spans="1:6" x14ac:dyDescent="0.25">
      <c r="A791">
        <v>153.006</v>
      </c>
      <c r="B791">
        <v>157.88</v>
      </c>
      <c r="C791">
        <v>178.39049999999997</v>
      </c>
      <c r="D791">
        <v>189.88</v>
      </c>
      <c r="E791">
        <f t="shared" si="12"/>
        <v>153.006</v>
      </c>
      <c r="F791" t="str" cm="1">
        <f t="array" ref="F791">INDEX({"Pay as you go","Prediction_PACK","Prediction_Payasyougo","Competitor"},MATCH(MIN(A791:D791), A791:D791, 0))</f>
        <v>Pay as you go</v>
      </c>
    </row>
    <row r="792" spans="1:6" x14ac:dyDescent="0.25">
      <c r="A792">
        <v>73.851000000000013</v>
      </c>
      <c r="B792">
        <v>107.88</v>
      </c>
      <c r="C792">
        <v>107.88</v>
      </c>
      <c r="D792">
        <v>129.88</v>
      </c>
      <c r="E792">
        <f t="shared" si="12"/>
        <v>73.851000000000013</v>
      </c>
      <c r="F792" t="str" cm="1">
        <f t="array" ref="F792">INDEX({"Pay as you go","Prediction_PACK","Prediction_Payasyougo","Competitor"},MATCH(MIN(A792:D792), A792:D792, 0))</f>
        <v>Pay as you go</v>
      </c>
    </row>
    <row r="793" spans="1:6" x14ac:dyDescent="0.25">
      <c r="A793">
        <v>178.83100000000002</v>
      </c>
      <c r="B793">
        <v>167.88</v>
      </c>
      <c r="C793">
        <v>195.29249999999999</v>
      </c>
      <c r="D793">
        <v>179.88</v>
      </c>
      <c r="E793">
        <f t="shared" si="12"/>
        <v>167.88</v>
      </c>
      <c r="F793" t="str" cm="1">
        <f t="array" ref="F793">INDEX({"Pay as you go","Prediction_PACK","Prediction_Payasyougo","Competitor"},MATCH(MIN(A793:D793), A793:D793, 0))</f>
        <v>Prediction_PACK</v>
      </c>
    </row>
    <row r="794" spans="1:6" x14ac:dyDescent="0.25">
      <c r="A794">
        <v>163.70500000000001</v>
      </c>
      <c r="B794">
        <v>143.88</v>
      </c>
      <c r="C794">
        <v>140.4915</v>
      </c>
      <c r="D794">
        <v>179.88</v>
      </c>
      <c r="E794">
        <f t="shared" si="12"/>
        <v>140.4915</v>
      </c>
      <c r="F794" t="str" cm="1">
        <f t="array" ref="F794">INDEX({"Pay as you go","Prediction_PACK","Prediction_Payasyougo","Competitor"},MATCH(MIN(A794:D794), A794:D794, 0))</f>
        <v>Prediction_Payasyougo</v>
      </c>
    </row>
    <row r="795" spans="1:6" x14ac:dyDescent="0.25">
      <c r="A795">
        <v>164.107</v>
      </c>
      <c r="B795">
        <v>147.88</v>
      </c>
      <c r="C795">
        <v>146.83199999999999</v>
      </c>
      <c r="D795">
        <v>169.88</v>
      </c>
      <c r="E795">
        <f t="shared" si="12"/>
        <v>146.83199999999999</v>
      </c>
      <c r="F795" t="str" cm="1">
        <f t="array" ref="F795">INDEX({"Pay as you go","Prediction_PACK","Prediction_Payasyougo","Competitor"},MATCH(MIN(A795:D795), A795:D795, 0))</f>
        <v>Prediction_Payasyougo</v>
      </c>
    </row>
    <row r="796" spans="1:6" x14ac:dyDescent="0.25">
      <c r="A796">
        <v>226.71100000000001</v>
      </c>
      <c r="B796">
        <v>167.88</v>
      </c>
      <c r="C796">
        <v>238.21349999999998</v>
      </c>
      <c r="D796">
        <v>229.88</v>
      </c>
      <c r="E796">
        <f t="shared" si="12"/>
        <v>167.88</v>
      </c>
      <c r="F796" t="str" cm="1">
        <f t="array" ref="F796">INDEX({"Pay as you go","Prediction_PACK","Prediction_Payasyougo","Competitor"},MATCH(MIN(A796:D796), A796:D796, 0))</f>
        <v>Prediction_PACK</v>
      </c>
    </row>
    <row r="797" spans="1:6" x14ac:dyDescent="0.25">
      <c r="A797">
        <v>128.345</v>
      </c>
      <c r="B797">
        <v>123.88</v>
      </c>
      <c r="C797">
        <v>119.562</v>
      </c>
      <c r="D797">
        <v>139.88</v>
      </c>
      <c r="E797">
        <f t="shared" si="12"/>
        <v>119.562</v>
      </c>
      <c r="F797" t="str" cm="1">
        <f t="array" ref="F797">INDEX({"Pay as you go","Prediction_PACK","Prediction_Payasyougo","Competitor"},MATCH(MIN(A797:D797), A797:D797, 0))</f>
        <v>Prediction_Payasyougo</v>
      </c>
    </row>
    <row r="798" spans="1:6" x14ac:dyDescent="0.25">
      <c r="A798">
        <v>118.74000000000001</v>
      </c>
      <c r="B798">
        <v>122.88</v>
      </c>
      <c r="C798">
        <v>137.05799999999999</v>
      </c>
      <c r="D798">
        <v>149.88</v>
      </c>
      <c r="E798">
        <f t="shared" si="12"/>
        <v>118.74000000000001</v>
      </c>
      <c r="F798" t="str" cm="1">
        <f t="array" ref="F798">INDEX({"Pay as you go","Prediction_PACK","Prediction_Payasyougo","Competitor"},MATCH(MIN(A798:D798), A798:D798, 0))</f>
        <v>Pay as you go</v>
      </c>
    </row>
    <row r="799" spans="1:6" x14ac:dyDescent="0.25">
      <c r="A799">
        <v>132.959</v>
      </c>
      <c r="B799">
        <v>127.88</v>
      </c>
      <c r="C799">
        <v>137.94899999999998</v>
      </c>
      <c r="D799">
        <v>149.88</v>
      </c>
      <c r="E799">
        <f t="shared" si="12"/>
        <v>127.88</v>
      </c>
      <c r="F799" t="str" cm="1">
        <f t="array" ref="F799">INDEX({"Pay as you go","Prediction_PACK","Prediction_Payasyougo","Competitor"},MATCH(MIN(A799:D799), A799:D799, 0))</f>
        <v>Prediction_PACK</v>
      </c>
    </row>
    <row r="800" spans="1:6" x14ac:dyDescent="0.25">
      <c r="A800">
        <v>97.085999999999999</v>
      </c>
      <c r="B800">
        <v>107.88</v>
      </c>
      <c r="C800">
        <v>107.88</v>
      </c>
      <c r="D800">
        <v>144.88</v>
      </c>
      <c r="E800">
        <f t="shared" si="12"/>
        <v>97.085999999999999</v>
      </c>
      <c r="F800" t="str" cm="1">
        <f t="array" ref="F800">INDEX({"Pay as you go","Prediction_PACK","Prediction_Payasyougo","Competitor"},MATCH(MIN(A800:D800), A800:D800, 0))</f>
        <v>Pay as you go</v>
      </c>
    </row>
    <row r="801" spans="1:6" x14ac:dyDescent="0.25">
      <c r="A801">
        <v>124.342</v>
      </c>
      <c r="B801">
        <v>127.88</v>
      </c>
      <c r="C801">
        <v>139.5915</v>
      </c>
      <c r="D801">
        <v>159.88</v>
      </c>
      <c r="E801">
        <f t="shared" si="12"/>
        <v>124.342</v>
      </c>
      <c r="F801" t="str" cm="1">
        <f t="array" ref="F801">INDEX({"Pay as you go","Prediction_PACK","Prediction_Payasyougo","Competitor"},MATCH(MIN(A801:D801), A801:D801, 0))</f>
        <v>Pay as you go</v>
      </c>
    </row>
    <row r="802" spans="1:6" x14ac:dyDescent="0.25">
      <c r="A802">
        <v>106.08800000000001</v>
      </c>
      <c r="B802">
        <v>115.88</v>
      </c>
      <c r="C802">
        <v>115.6065</v>
      </c>
      <c r="D802">
        <v>149.88</v>
      </c>
      <c r="E802">
        <f t="shared" si="12"/>
        <v>106.08800000000001</v>
      </c>
      <c r="F802" t="str" cm="1">
        <f t="array" ref="F802">INDEX({"Pay as you go","Prediction_PACK","Prediction_Payasyougo","Competitor"},MATCH(MIN(A802:D802), A802:D802, 0))</f>
        <v>Pay as you go</v>
      </c>
    </row>
    <row r="803" spans="1:6" x14ac:dyDescent="0.25">
      <c r="A803">
        <v>134.65600000000001</v>
      </c>
      <c r="B803">
        <v>107.88</v>
      </c>
      <c r="C803">
        <v>107.88</v>
      </c>
      <c r="D803">
        <v>149.88</v>
      </c>
      <c r="E803">
        <f t="shared" si="12"/>
        <v>107.88</v>
      </c>
      <c r="F803" t="str" cm="1">
        <f t="array" ref="F803">INDEX({"Pay as you go","Prediction_PACK","Prediction_Payasyougo","Competitor"},MATCH(MIN(A803:D803), A803:D803, 0))</f>
        <v>Prediction_PACK</v>
      </c>
    </row>
    <row r="804" spans="1:6" x14ac:dyDescent="0.25">
      <c r="A804">
        <v>122.944</v>
      </c>
      <c r="B804">
        <v>115.88</v>
      </c>
      <c r="C804">
        <v>113.7975</v>
      </c>
      <c r="D804">
        <v>149.88</v>
      </c>
      <c r="E804">
        <f t="shared" si="12"/>
        <v>113.7975</v>
      </c>
      <c r="F804" t="str" cm="1">
        <f t="array" ref="F804">INDEX({"Pay as you go","Prediction_PACK","Prediction_Payasyougo","Competitor"},MATCH(MIN(A804:D804), A804:D804, 0))</f>
        <v>Prediction_Payasyougo</v>
      </c>
    </row>
    <row r="805" spans="1:6" x14ac:dyDescent="0.25">
      <c r="A805">
        <v>128.35599999999999</v>
      </c>
      <c r="B805">
        <v>115.88</v>
      </c>
      <c r="C805">
        <v>113.6895</v>
      </c>
      <c r="D805">
        <v>149.88</v>
      </c>
      <c r="E805">
        <f t="shared" si="12"/>
        <v>113.6895</v>
      </c>
      <c r="F805" t="str" cm="1">
        <f t="array" ref="F805">INDEX({"Pay as you go","Prediction_PACK","Prediction_Payasyougo","Competitor"},MATCH(MIN(A805:D805), A805:D805, 0))</f>
        <v>Prediction_Payasyougo</v>
      </c>
    </row>
    <row r="806" spans="1:6" x14ac:dyDescent="0.25">
      <c r="A806">
        <v>119.661</v>
      </c>
      <c r="B806">
        <v>127.88</v>
      </c>
      <c r="C806">
        <v>152.69999999999999</v>
      </c>
      <c r="D806">
        <v>159.88</v>
      </c>
      <c r="E806">
        <f t="shared" si="12"/>
        <v>119.661</v>
      </c>
      <c r="F806" t="str" cm="1">
        <f t="array" ref="F806">INDEX({"Pay as you go","Prediction_PACK","Prediction_Payasyougo","Competitor"},MATCH(MIN(A806:D806), A806:D806, 0))</f>
        <v>Pay as you go</v>
      </c>
    </row>
    <row r="807" spans="1:6" x14ac:dyDescent="0.25">
      <c r="A807">
        <v>116.913</v>
      </c>
      <c r="B807">
        <v>127.88</v>
      </c>
      <c r="C807">
        <v>132.96299999999999</v>
      </c>
      <c r="D807">
        <v>149.88</v>
      </c>
      <c r="E807">
        <f t="shared" si="12"/>
        <v>116.913</v>
      </c>
      <c r="F807" t="str" cm="1">
        <f t="array" ref="F807">INDEX({"Pay as you go","Prediction_PACK","Prediction_Payasyougo","Competitor"},MATCH(MIN(A807:D807), A807:D807, 0))</f>
        <v>Pay as you go</v>
      </c>
    </row>
    <row r="808" spans="1:6" x14ac:dyDescent="0.25">
      <c r="A808">
        <v>95.885000000000005</v>
      </c>
      <c r="B808">
        <v>117.88</v>
      </c>
      <c r="C808">
        <v>119.91749999999999</v>
      </c>
      <c r="D808">
        <v>139.88</v>
      </c>
      <c r="E808">
        <f t="shared" si="12"/>
        <v>95.885000000000005</v>
      </c>
      <c r="F808" t="str" cm="1">
        <f t="array" ref="F808">INDEX({"Pay as you go","Prediction_PACK","Prediction_Payasyougo","Competitor"},MATCH(MIN(A808:D808), A808:D808, 0))</f>
        <v>Pay as you go</v>
      </c>
    </row>
    <row r="809" spans="1:6" x14ac:dyDescent="0.25">
      <c r="A809">
        <v>97.538000000000011</v>
      </c>
      <c r="B809">
        <v>115.88</v>
      </c>
      <c r="C809">
        <v>113.58149999999999</v>
      </c>
      <c r="D809">
        <v>139.88</v>
      </c>
      <c r="E809">
        <f t="shared" si="12"/>
        <v>97.538000000000011</v>
      </c>
      <c r="F809" t="str" cm="1">
        <f t="array" ref="F809">INDEX({"Pay as you go","Prediction_PACK","Prediction_Payasyougo","Competitor"},MATCH(MIN(A809:D809), A809:D809, 0))</f>
        <v>Pay as you go</v>
      </c>
    </row>
    <row r="810" spans="1:6" x14ac:dyDescent="0.25">
      <c r="A810">
        <v>123.944</v>
      </c>
      <c r="B810">
        <v>122.88</v>
      </c>
      <c r="C810">
        <v>141.48599999999999</v>
      </c>
      <c r="D810">
        <v>159.88</v>
      </c>
      <c r="E810">
        <f t="shared" si="12"/>
        <v>122.88</v>
      </c>
      <c r="F810" t="str" cm="1">
        <f t="array" ref="F810">INDEX({"Pay as you go","Prediction_PACK","Prediction_Payasyougo","Competitor"},MATCH(MIN(A810:D810), A810:D810, 0))</f>
        <v>Prediction_PACK</v>
      </c>
    </row>
    <row r="811" spans="1:6" x14ac:dyDescent="0.25">
      <c r="A811">
        <v>122.044</v>
      </c>
      <c r="B811">
        <v>122.88</v>
      </c>
      <c r="C811">
        <v>136.98599999999999</v>
      </c>
      <c r="D811">
        <v>159.88</v>
      </c>
      <c r="E811">
        <f t="shared" si="12"/>
        <v>122.044</v>
      </c>
      <c r="F811" t="str" cm="1">
        <f t="array" ref="F811">INDEX({"Pay as you go","Prediction_PACK","Prediction_Payasyougo","Competitor"},MATCH(MIN(A811:D811), A811:D811, 0))</f>
        <v>Pay as you go</v>
      </c>
    </row>
    <row r="812" spans="1:6" x14ac:dyDescent="0.25">
      <c r="A812">
        <v>84.363000000000014</v>
      </c>
      <c r="B812">
        <v>115.88</v>
      </c>
      <c r="C812">
        <v>111.012</v>
      </c>
      <c r="D812">
        <v>139.88</v>
      </c>
      <c r="E812">
        <f t="shared" si="12"/>
        <v>84.363000000000014</v>
      </c>
      <c r="F812" t="str" cm="1">
        <f t="array" ref="F812">INDEX({"Pay as you go","Prediction_PACK","Prediction_Payasyougo","Competitor"},MATCH(MIN(A812:D812), A812:D812, 0))</f>
        <v>Pay as you go</v>
      </c>
    </row>
    <row r="813" spans="1:6" x14ac:dyDescent="0.25">
      <c r="A813">
        <v>112.777</v>
      </c>
      <c r="B813">
        <v>111.88</v>
      </c>
      <c r="C813">
        <v>108.64049999999999</v>
      </c>
      <c r="D813">
        <v>149.88</v>
      </c>
      <c r="E813">
        <f t="shared" si="12"/>
        <v>108.64049999999999</v>
      </c>
      <c r="F813" t="str" cm="1">
        <f t="array" ref="F813">INDEX({"Pay as you go","Prediction_PACK","Prediction_Payasyougo","Competitor"},MATCH(MIN(A813:D813), A813:D813, 0))</f>
        <v>Prediction_Payasyougo</v>
      </c>
    </row>
    <row r="814" spans="1:6" x14ac:dyDescent="0.25">
      <c r="A814">
        <v>121.268</v>
      </c>
      <c r="B814">
        <v>111.88</v>
      </c>
      <c r="C814">
        <v>111.11099999999999</v>
      </c>
      <c r="D814">
        <v>149.88</v>
      </c>
      <c r="E814">
        <f t="shared" si="12"/>
        <v>111.11099999999999</v>
      </c>
      <c r="F814" t="str" cm="1">
        <f t="array" ref="F814">INDEX({"Pay as you go","Prediction_PACK","Prediction_Payasyougo","Competitor"},MATCH(MIN(A814:D814), A814:D814, 0))</f>
        <v>Prediction_Payasyougo</v>
      </c>
    </row>
    <row r="815" spans="1:6" x14ac:dyDescent="0.25">
      <c r="A815">
        <v>96.680999999999997</v>
      </c>
      <c r="B815">
        <v>107.88</v>
      </c>
      <c r="C815">
        <v>107.88</v>
      </c>
      <c r="D815">
        <v>144.88</v>
      </c>
      <c r="E815">
        <f t="shared" si="12"/>
        <v>96.680999999999997</v>
      </c>
      <c r="F815" t="str" cm="1">
        <f t="array" ref="F815">INDEX({"Pay as you go","Prediction_PACK","Prediction_Payasyougo","Competitor"},MATCH(MIN(A815:D815), A815:D815, 0))</f>
        <v>Pay as you go</v>
      </c>
    </row>
    <row r="816" spans="1:6" x14ac:dyDescent="0.25">
      <c r="A816">
        <v>111.774</v>
      </c>
      <c r="B816">
        <v>117.88</v>
      </c>
      <c r="C816">
        <v>128.13</v>
      </c>
      <c r="D816">
        <v>169.88</v>
      </c>
      <c r="E816">
        <f t="shared" si="12"/>
        <v>111.774</v>
      </c>
      <c r="F816" t="str" cm="1">
        <f t="array" ref="F816">INDEX({"Pay as you go","Prediction_PACK","Prediction_Payasyougo","Competitor"},MATCH(MIN(A816:D816), A816:D816, 0))</f>
        <v>Pay as you go</v>
      </c>
    </row>
    <row r="817" spans="1:6" x14ac:dyDescent="0.25">
      <c r="A817">
        <v>164.38</v>
      </c>
      <c r="B817">
        <v>147.88</v>
      </c>
      <c r="C817">
        <v>177.02699999999999</v>
      </c>
      <c r="D817">
        <v>189.88</v>
      </c>
      <c r="E817">
        <f t="shared" si="12"/>
        <v>147.88</v>
      </c>
      <c r="F817" t="str" cm="1">
        <f t="array" ref="F817">INDEX({"Pay as you go","Prediction_PACK","Prediction_Payasyougo","Competitor"},MATCH(MIN(A817:D817), A817:D817, 0))</f>
        <v>Prediction_PACK</v>
      </c>
    </row>
    <row r="818" spans="1:6" x14ac:dyDescent="0.25">
      <c r="A818">
        <v>119.77300000000001</v>
      </c>
      <c r="B818">
        <v>127.88</v>
      </c>
      <c r="C818">
        <v>130.173</v>
      </c>
      <c r="D818">
        <v>139.88</v>
      </c>
      <c r="E818">
        <f t="shared" si="12"/>
        <v>119.77300000000001</v>
      </c>
      <c r="F818" t="str" cm="1">
        <f t="array" ref="F818">INDEX({"Pay as you go","Prediction_PACK","Prediction_Payasyougo","Competitor"},MATCH(MIN(A818:D818), A818:D818, 0))</f>
        <v>Pay as you go</v>
      </c>
    </row>
    <row r="819" spans="1:6" x14ac:dyDescent="0.25">
      <c r="A819">
        <v>73.691000000000003</v>
      </c>
      <c r="B819">
        <v>107.88</v>
      </c>
      <c r="C819">
        <v>107.88</v>
      </c>
      <c r="D819">
        <v>124.88</v>
      </c>
      <c r="E819">
        <f t="shared" si="12"/>
        <v>73.691000000000003</v>
      </c>
      <c r="F819" t="str" cm="1">
        <f t="array" ref="F819">INDEX({"Pay as you go","Prediction_PACK","Prediction_Payasyougo","Competitor"},MATCH(MIN(A819:D819), A819:D819, 0))</f>
        <v>Pay as you go</v>
      </c>
    </row>
    <row r="820" spans="1:6" x14ac:dyDescent="0.25">
      <c r="A820">
        <v>148.94199999999998</v>
      </c>
      <c r="B820">
        <v>143.88</v>
      </c>
      <c r="C820">
        <v>145.18950000000001</v>
      </c>
      <c r="D820">
        <v>169.88</v>
      </c>
      <c r="E820">
        <f t="shared" si="12"/>
        <v>143.88</v>
      </c>
      <c r="F820" t="str" cm="1">
        <f t="array" ref="F820">INDEX({"Pay as you go","Prediction_PACK","Prediction_Payasyougo","Competitor"},MATCH(MIN(A820:D820), A820:D820, 0))</f>
        <v>Prediction_PACK</v>
      </c>
    </row>
    <row r="821" spans="1:6" x14ac:dyDescent="0.25">
      <c r="A821">
        <v>70.346000000000004</v>
      </c>
      <c r="B821">
        <v>107.88</v>
      </c>
      <c r="C821">
        <v>107.88</v>
      </c>
      <c r="D821">
        <v>124.88</v>
      </c>
      <c r="E821">
        <f t="shared" si="12"/>
        <v>70.346000000000004</v>
      </c>
      <c r="F821" t="str" cm="1">
        <f t="array" ref="F821">INDEX({"Pay as you go","Prediction_PACK","Prediction_Payasyougo","Competitor"},MATCH(MIN(A821:D821), A821:D821, 0))</f>
        <v>Pay as you go</v>
      </c>
    </row>
    <row r="822" spans="1:6" x14ac:dyDescent="0.25">
      <c r="A822">
        <v>51.024999999999999</v>
      </c>
      <c r="B822">
        <v>107.88</v>
      </c>
      <c r="C822">
        <v>107.88</v>
      </c>
      <c r="D822">
        <v>119.88</v>
      </c>
      <c r="E822">
        <f t="shared" si="12"/>
        <v>51.024999999999999</v>
      </c>
      <c r="F822" t="str" cm="1">
        <f t="array" ref="F822">INDEX({"Pay as you go","Prediction_PACK","Prediction_Payasyougo","Competitor"},MATCH(MIN(A822:D822), A822:D822, 0))</f>
        <v>Pay as you go</v>
      </c>
    </row>
    <row r="823" spans="1:6" x14ac:dyDescent="0.25">
      <c r="A823">
        <v>100.428</v>
      </c>
      <c r="B823">
        <v>115.88</v>
      </c>
      <c r="C823">
        <v>115.83149999999999</v>
      </c>
      <c r="D823">
        <v>139.88</v>
      </c>
      <c r="E823">
        <f t="shared" si="12"/>
        <v>100.428</v>
      </c>
      <c r="F823" t="str" cm="1">
        <f t="array" ref="F823">INDEX({"Pay as you go","Prediction_PACK","Prediction_Payasyougo","Competitor"},MATCH(MIN(A823:D823), A823:D823, 0))</f>
        <v>Pay as you go</v>
      </c>
    </row>
    <row r="824" spans="1:6" x14ac:dyDescent="0.25">
      <c r="A824">
        <v>87.438999999999993</v>
      </c>
      <c r="B824">
        <v>107.88</v>
      </c>
      <c r="C824">
        <v>107.88</v>
      </c>
      <c r="D824">
        <v>134.88</v>
      </c>
      <c r="E824">
        <f t="shared" si="12"/>
        <v>87.438999999999993</v>
      </c>
      <c r="F824" t="str" cm="1">
        <f t="array" ref="F824">INDEX({"Pay as you go","Prediction_PACK","Prediction_Payasyougo","Competitor"},MATCH(MIN(A824:D824), A824:D824, 0))</f>
        <v>Pay as you go</v>
      </c>
    </row>
    <row r="825" spans="1:6" x14ac:dyDescent="0.25">
      <c r="A825">
        <v>80.930999999999997</v>
      </c>
      <c r="B825">
        <v>107.88</v>
      </c>
      <c r="C825">
        <v>107.88</v>
      </c>
      <c r="D825">
        <v>139.88</v>
      </c>
      <c r="E825">
        <f t="shared" si="12"/>
        <v>80.930999999999997</v>
      </c>
      <c r="F825" t="str" cm="1">
        <f t="array" ref="F825">INDEX({"Pay as you go","Prediction_PACK","Prediction_Payasyougo","Competitor"},MATCH(MIN(A825:D825), A825:D825, 0))</f>
        <v>Pay as you go</v>
      </c>
    </row>
    <row r="826" spans="1:6" x14ac:dyDescent="0.25">
      <c r="A826">
        <v>191.76500000000001</v>
      </c>
      <c r="B826">
        <v>167.88</v>
      </c>
      <c r="C826">
        <v>217.18949999999998</v>
      </c>
      <c r="D826">
        <v>199.88</v>
      </c>
      <c r="E826">
        <f t="shared" si="12"/>
        <v>167.88</v>
      </c>
      <c r="F826" t="str" cm="1">
        <f t="array" ref="F826">INDEX({"Pay as you go","Prediction_PACK","Prediction_Payasyougo","Competitor"},MATCH(MIN(A826:D826), A826:D826, 0))</f>
        <v>Prediction_PACK</v>
      </c>
    </row>
    <row r="827" spans="1:6" x14ac:dyDescent="0.25">
      <c r="A827">
        <v>201.56399999999999</v>
      </c>
      <c r="B827">
        <v>157.88</v>
      </c>
      <c r="C827">
        <v>172.374</v>
      </c>
      <c r="D827">
        <v>189.88</v>
      </c>
      <c r="E827">
        <f t="shared" si="12"/>
        <v>157.88</v>
      </c>
      <c r="F827" t="str" cm="1">
        <f t="array" ref="F827">INDEX({"Pay as you go","Prediction_PACK","Prediction_Payasyougo","Competitor"},MATCH(MIN(A827:D827), A827:D827, 0))</f>
        <v>Prediction_PACK</v>
      </c>
    </row>
    <row r="828" spans="1:6" x14ac:dyDescent="0.25">
      <c r="A828">
        <v>151.82399999999998</v>
      </c>
      <c r="B828">
        <v>147.88</v>
      </c>
      <c r="C828">
        <v>170.358</v>
      </c>
      <c r="D828">
        <v>189.88</v>
      </c>
      <c r="E828">
        <f t="shared" si="12"/>
        <v>147.88</v>
      </c>
      <c r="F828" t="str" cm="1">
        <f t="array" ref="F828">INDEX({"Pay as you go","Prediction_PACK","Prediction_Payasyougo","Competitor"},MATCH(MIN(A828:D828), A828:D828, 0))</f>
        <v>Prediction_PACK</v>
      </c>
    </row>
    <row r="829" spans="1:6" x14ac:dyDescent="0.25">
      <c r="A829">
        <v>152.24400000000003</v>
      </c>
      <c r="B829">
        <v>127.88</v>
      </c>
      <c r="C829">
        <v>130.58699999999999</v>
      </c>
      <c r="D829">
        <v>149.88</v>
      </c>
      <c r="E829">
        <f t="shared" si="12"/>
        <v>127.88</v>
      </c>
      <c r="F829" t="str" cm="1">
        <f t="array" ref="F829">INDEX({"Pay as you go","Prediction_PACK","Prediction_Payasyougo","Competitor"},MATCH(MIN(A829:D829), A829:D829, 0))</f>
        <v>Prediction_PACK</v>
      </c>
    </row>
    <row r="830" spans="1:6" x14ac:dyDescent="0.25">
      <c r="A830">
        <v>117.398</v>
      </c>
      <c r="B830">
        <v>117.88</v>
      </c>
      <c r="C830">
        <v>117.22649999999999</v>
      </c>
      <c r="D830">
        <v>129.88</v>
      </c>
      <c r="E830">
        <f t="shared" si="12"/>
        <v>117.22649999999999</v>
      </c>
      <c r="F830" t="str" cm="1">
        <f t="array" ref="F830">INDEX({"Pay as you go","Prediction_PACK","Prediction_Payasyougo","Competitor"},MATCH(MIN(A830:D830), A830:D830, 0))</f>
        <v>Prediction_Payasyougo</v>
      </c>
    </row>
    <row r="831" spans="1:6" x14ac:dyDescent="0.25">
      <c r="A831">
        <v>92.27000000000001</v>
      </c>
      <c r="B831">
        <v>107.88</v>
      </c>
      <c r="C831">
        <v>107.88</v>
      </c>
      <c r="D831">
        <v>124.88</v>
      </c>
      <c r="E831">
        <f t="shared" si="12"/>
        <v>92.27000000000001</v>
      </c>
      <c r="F831" t="str" cm="1">
        <f t="array" ref="F831">INDEX({"Pay as you go","Prediction_PACK","Prediction_Payasyougo","Competitor"},MATCH(MIN(A831:D831), A831:D831, 0))</f>
        <v>Pay as you go</v>
      </c>
    </row>
    <row r="832" spans="1:6" x14ac:dyDescent="0.25">
      <c r="A832">
        <v>142.43200000000002</v>
      </c>
      <c r="B832">
        <v>127.88</v>
      </c>
      <c r="C832">
        <v>136.13549999999998</v>
      </c>
      <c r="D832">
        <v>169.88</v>
      </c>
      <c r="E832">
        <f t="shared" si="12"/>
        <v>127.88</v>
      </c>
      <c r="F832" t="str" cm="1">
        <f t="array" ref="F832">INDEX({"Pay as you go","Prediction_PACK","Prediction_Payasyougo","Competitor"},MATCH(MIN(A832:D832), A832:D832, 0))</f>
        <v>Prediction_PACK</v>
      </c>
    </row>
    <row r="833" spans="1:6" x14ac:dyDescent="0.25">
      <c r="A833">
        <v>138.387</v>
      </c>
      <c r="B833">
        <v>122.88</v>
      </c>
      <c r="C833">
        <v>141.72449999999998</v>
      </c>
      <c r="D833">
        <v>149.88</v>
      </c>
      <c r="E833">
        <f t="shared" si="12"/>
        <v>122.88</v>
      </c>
      <c r="F833" t="str" cm="1">
        <f t="array" ref="F833">INDEX({"Pay as you go","Prediction_PACK","Prediction_Payasyougo","Competitor"},MATCH(MIN(A833:D833), A833:D833, 0))</f>
        <v>Prediction_PACK</v>
      </c>
    </row>
    <row r="834" spans="1:6" x14ac:dyDescent="0.25">
      <c r="A834">
        <v>226.12199999999999</v>
      </c>
      <c r="B834">
        <v>177.88</v>
      </c>
      <c r="C834">
        <v>224.86649999999997</v>
      </c>
      <c r="D834">
        <v>239.88</v>
      </c>
      <c r="E834">
        <f t="shared" si="12"/>
        <v>177.88</v>
      </c>
      <c r="F834" t="str" cm="1">
        <f t="array" ref="F834">INDEX({"Pay as you go","Prediction_PACK","Prediction_Payasyougo","Competitor"},MATCH(MIN(A834:D834), A834:D834, 0))</f>
        <v>Prediction_PACK</v>
      </c>
    </row>
    <row r="835" spans="1:6" x14ac:dyDescent="0.25">
      <c r="A835">
        <v>96.715999999999994</v>
      </c>
      <c r="B835">
        <v>127.88</v>
      </c>
      <c r="C835">
        <v>135.27599999999998</v>
      </c>
      <c r="D835">
        <v>149.88</v>
      </c>
      <c r="E835">
        <f t="shared" si="12"/>
        <v>96.715999999999994</v>
      </c>
      <c r="F835" t="str" cm="1">
        <f t="array" ref="F835">INDEX({"Pay as you go","Prediction_PACK","Prediction_Payasyougo","Competitor"},MATCH(MIN(A835:D835), A835:D835, 0))</f>
        <v>Pay as you go</v>
      </c>
    </row>
    <row r="836" spans="1:6" x14ac:dyDescent="0.25">
      <c r="A836">
        <v>131.24600000000001</v>
      </c>
      <c r="B836">
        <v>117.88</v>
      </c>
      <c r="C836">
        <v>125.66849999999999</v>
      </c>
      <c r="D836">
        <v>149.88</v>
      </c>
      <c r="E836">
        <f t="shared" si="12"/>
        <v>117.88</v>
      </c>
      <c r="F836" t="str" cm="1">
        <f t="array" ref="F836">INDEX({"Pay as you go","Prediction_PACK","Prediction_Payasyougo","Competitor"},MATCH(MIN(A836:D836), A836:D836, 0))</f>
        <v>Prediction_PACK</v>
      </c>
    </row>
    <row r="837" spans="1:6" x14ac:dyDescent="0.25">
      <c r="A837">
        <v>89.192000000000007</v>
      </c>
      <c r="B837">
        <v>107.88</v>
      </c>
      <c r="C837">
        <v>107.88</v>
      </c>
      <c r="D837">
        <v>139.88</v>
      </c>
      <c r="E837">
        <f t="shared" si="12"/>
        <v>89.192000000000007</v>
      </c>
      <c r="F837" t="str" cm="1">
        <f t="array" ref="F837">INDEX({"Pay as you go","Prediction_PACK","Prediction_Payasyougo","Competitor"},MATCH(MIN(A837:D837), A837:D837, 0))</f>
        <v>Pay as you go</v>
      </c>
    </row>
    <row r="838" spans="1:6" x14ac:dyDescent="0.25">
      <c r="A838">
        <v>73.835000000000008</v>
      </c>
      <c r="B838">
        <v>107.88</v>
      </c>
      <c r="C838">
        <v>107.88</v>
      </c>
      <c r="D838">
        <v>124.88</v>
      </c>
      <c r="E838">
        <f t="shared" si="12"/>
        <v>73.835000000000008</v>
      </c>
      <c r="F838" t="str" cm="1">
        <f t="array" ref="F838">INDEX({"Pay as you go","Prediction_PACK","Prediction_Payasyougo","Competitor"},MATCH(MIN(A838:D838), A838:D838, 0))</f>
        <v>Pay as you go</v>
      </c>
    </row>
    <row r="839" spans="1:6" x14ac:dyDescent="0.25">
      <c r="A839">
        <v>214.74299999999999</v>
      </c>
      <c r="B839">
        <v>177.88</v>
      </c>
      <c r="C839">
        <v>249.62099999999998</v>
      </c>
      <c r="D839">
        <v>229.88</v>
      </c>
      <c r="E839">
        <f t="shared" si="12"/>
        <v>177.88</v>
      </c>
      <c r="F839" t="str" cm="1">
        <f t="array" ref="F839">INDEX({"Pay as you go","Prediction_PACK","Prediction_Payasyougo","Competitor"},MATCH(MIN(A839:D839), A839:D839, 0))</f>
        <v>Prediction_PACK</v>
      </c>
    </row>
    <row r="840" spans="1:6" x14ac:dyDescent="0.25">
      <c r="A840">
        <v>88.858000000000004</v>
      </c>
      <c r="B840">
        <v>115.88</v>
      </c>
      <c r="C840">
        <v>112.51049999999999</v>
      </c>
      <c r="D840">
        <v>129.88</v>
      </c>
      <c r="E840">
        <f t="shared" si="12"/>
        <v>88.858000000000004</v>
      </c>
      <c r="F840" t="str" cm="1">
        <f t="array" ref="F840">INDEX({"Pay as you go","Prediction_PACK","Prediction_Payasyougo","Competitor"},MATCH(MIN(A840:D840), A840:D840, 0))</f>
        <v>Pay as you go</v>
      </c>
    </row>
    <row r="841" spans="1:6" x14ac:dyDescent="0.25">
      <c r="A841">
        <v>105.075</v>
      </c>
      <c r="B841">
        <v>127.88</v>
      </c>
      <c r="C841">
        <v>146.61599999999999</v>
      </c>
      <c r="D841">
        <v>159.88</v>
      </c>
      <c r="E841">
        <f t="shared" ref="E841:E904" si="13">MIN(A841:D841)</f>
        <v>105.075</v>
      </c>
      <c r="F841" t="str" cm="1">
        <f t="array" ref="F841">INDEX({"Pay as you go","Prediction_PACK","Prediction_Payasyougo","Competitor"},MATCH(MIN(A841:D841), A841:D841, 0))</f>
        <v>Pay as you go</v>
      </c>
    </row>
    <row r="842" spans="1:6" x14ac:dyDescent="0.25">
      <c r="A842">
        <v>40.550999999999995</v>
      </c>
      <c r="B842">
        <v>107.88</v>
      </c>
      <c r="C842">
        <v>107.88</v>
      </c>
      <c r="D842">
        <v>119.88</v>
      </c>
      <c r="E842">
        <f t="shared" si="13"/>
        <v>40.550999999999995</v>
      </c>
      <c r="F842" t="str" cm="1">
        <f t="array" ref="F842">INDEX({"Pay as you go","Prediction_PACK","Prediction_Payasyougo","Competitor"},MATCH(MIN(A842:D842), A842:D842, 0))</f>
        <v>Pay as you go</v>
      </c>
    </row>
    <row r="843" spans="1:6" x14ac:dyDescent="0.25">
      <c r="A843">
        <v>91.093999999999994</v>
      </c>
      <c r="B843">
        <v>115.88</v>
      </c>
      <c r="C843">
        <v>112.74</v>
      </c>
      <c r="D843">
        <v>139.88</v>
      </c>
      <c r="E843">
        <f t="shared" si="13"/>
        <v>91.093999999999994</v>
      </c>
      <c r="F843" t="str" cm="1">
        <f t="array" ref="F843">INDEX({"Pay as you go","Prediction_PACK","Prediction_Payasyougo","Competitor"},MATCH(MIN(A843:D843), A843:D843, 0))</f>
        <v>Pay as you go</v>
      </c>
    </row>
    <row r="844" spans="1:6" x14ac:dyDescent="0.25">
      <c r="A844">
        <v>157.17099999999999</v>
      </c>
      <c r="B844">
        <v>147.88</v>
      </c>
      <c r="C844">
        <v>167.52749999999997</v>
      </c>
      <c r="D844">
        <v>159.88</v>
      </c>
      <c r="E844">
        <f t="shared" si="13"/>
        <v>147.88</v>
      </c>
      <c r="F844" t="str" cm="1">
        <f t="array" ref="F844">INDEX({"Pay as you go","Prediction_PACK","Prediction_Payasyougo","Competitor"},MATCH(MIN(A844:D844), A844:D844, 0))</f>
        <v>Prediction_PACK</v>
      </c>
    </row>
    <row r="845" spans="1:6" x14ac:dyDescent="0.25">
      <c r="A845">
        <v>132.05200000000002</v>
      </c>
      <c r="B845">
        <v>117.88</v>
      </c>
      <c r="C845">
        <v>123.729</v>
      </c>
      <c r="D845">
        <v>169.88</v>
      </c>
      <c r="E845">
        <f t="shared" si="13"/>
        <v>117.88</v>
      </c>
      <c r="F845" t="str" cm="1">
        <f t="array" ref="F845">INDEX({"Pay as you go","Prediction_PACK","Prediction_Payasyougo","Competitor"},MATCH(MIN(A845:D845), A845:D845, 0))</f>
        <v>Prediction_PACK</v>
      </c>
    </row>
    <row r="846" spans="1:6" x14ac:dyDescent="0.25">
      <c r="A846">
        <v>108.566</v>
      </c>
      <c r="B846">
        <v>111.88</v>
      </c>
      <c r="C846">
        <v>111.57899999999999</v>
      </c>
      <c r="D846">
        <v>139.88</v>
      </c>
      <c r="E846">
        <f t="shared" si="13"/>
        <v>108.566</v>
      </c>
      <c r="F846" t="str" cm="1">
        <f t="array" ref="F846">INDEX({"Pay as you go","Prediction_PACK","Prediction_Payasyougo","Competitor"},MATCH(MIN(A846:D846), A846:D846, 0))</f>
        <v>Pay as you go</v>
      </c>
    </row>
    <row r="847" spans="1:6" x14ac:dyDescent="0.25">
      <c r="A847">
        <v>137.494</v>
      </c>
      <c r="B847">
        <v>127.88</v>
      </c>
      <c r="C847">
        <v>137.8545</v>
      </c>
      <c r="D847">
        <v>169.88</v>
      </c>
      <c r="E847">
        <f t="shared" si="13"/>
        <v>127.88</v>
      </c>
      <c r="F847" t="str" cm="1">
        <f t="array" ref="F847">INDEX({"Pay as you go","Prediction_PACK","Prediction_Payasyougo","Competitor"},MATCH(MIN(A847:D847), A847:D847, 0))</f>
        <v>Prediction_PACK</v>
      </c>
    </row>
    <row r="848" spans="1:6" x14ac:dyDescent="0.25">
      <c r="A848">
        <v>173.76599999999999</v>
      </c>
      <c r="B848">
        <v>147.88</v>
      </c>
      <c r="C848">
        <v>147.309</v>
      </c>
      <c r="D848">
        <v>179.88</v>
      </c>
      <c r="E848">
        <f t="shared" si="13"/>
        <v>147.309</v>
      </c>
      <c r="F848" t="str" cm="1">
        <f t="array" ref="F848">INDEX({"Pay as you go","Prediction_PACK","Prediction_Payasyougo","Competitor"},MATCH(MIN(A848:D848), A848:D848, 0))</f>
        <v>Prediction_Payasyougo</v>
      </c>
    </row>
    <row r="849" spans="1:6" x14ac:dyDescent="0.25">
      <c r="A849">
        <v>95.626999999999995</v>
      </c>
      <c r="B849">
        <v>107.88</v>
      </c>
      <c r="C849">
        <v>107.88</v>
      </c>
      <c r="D849">
        <v>124.88</v>
      </c>
      <c r="E849">
        <f t="shared" si="13"/>
        <v>95.626999999999995</v>
      </c>
      <c r="F849" t="str" cm="1">
        <f t="array" ref="F849">INDEX({"Pay as you go","Prediction_PACK","Prediction_Payasyougo","Competitor"},MATCH(MIN(A849:D849), A849:D849, 0))</f>
        <v>Pay as you go</v>
      </c>
    </row>
    <row r="850" spans="1:6" x14ac:dyDescent="0.25">
      <c r="A850">
        <v>118.414</v>
      </c>
      <c r="B850">
        <v>127.88</v>
      </c>
      <c r="C850">
        <v>126.27149999999999</v>
      </c>
      <c r="D850">
        <v>139.88</v>
      </c>
      <c r="E850">
        <f t="shared" si="13"/>
        <v>118.414</v>
      </c>
      <c r="F850" t="str" cm="1">
        <f t="array" ref="F850">INDEX({"Pay as you go","Prediction_PACK","Prediction_Payasyougo","Competitor"},MATCH(MIN(A850:D850), A850:D850, 0))</f>
        <v>Pay as you go</v>
      </c>
    </row>
    <row r="851" spans="1:6" x14ac:dyDescent="0.25">
      <c r="A851">
        <v>146.87100000000001</v>
      </c>
      <c r="B851">
        <v>115.88</v>
      </c>
      <c r="C851">
        <v>112.533</v>
      </c>
      <c r="D851">
        <v>159.88</v>
      </c>
      <c r="E851">
        <f t="shared" si="13"/>
        <v>112.533</v>
      </c>
      <c r="F851" t="str" cm="1">
        <f t="array" ref="F851">INDEX({"Pay as you go","Prediction_PACK","Prediction_Payasyougo","Competitor"},MATCH(MIN(A851:D851), A851:D851, 0))</f>
        <v>Prediction_Payasyougo</v>
      </c>
    </row>
    <row r="852" spans="1:6" x14ac:dyDescent="0.25">
      <c r="A852">
        <v>119.74400000000001</v>
      </c>
      <c r="B852">
        <v>117.88</v>
      </c>
      <c r="C852">
        <v>130.15049999999999</v>
      </c>
      <c r="D852">
        <v>149.88</v>
      </c>
      <c r="E852">
        <f t="shared" si="13"/>
        <v>117.88</v>
      </c>
      <c r="F852" t="str" cm="1">
        <f t="array" ref="F852">INDEX({"Pay as you go","Prediction_PACK","Prediction_Payasyougo","Competitor"},MATCH(MIN(A852:D852), A852:D852, 0))</f>
        <v>Prediction_PACK</v>
      </c>
    </row>
    <row r="853" spans="1:6" x14ac:dyDescent="0.25">
      <c r="A853">
        <v>84.036999999999992</v>
      </c>
      <c r="B853">
        <v>107.88</v>
      </c>
      <c r="C853">
        <v>107.88</v>
      </c>
      <c r="D853">
        <v>129.88</v>
      </c>
      <c r="E853">
        <f t="shared" si="13"/>
        <v>84.036999999999992</v>
      </c>
      <c r="F853" t="str" cm="1">
        <f t="array" ref="F853">INDEX({"Pay as you go","Prediction_PACK","Prediction_Payasyougo","Competitor"},MATCH(MIN(A853:D853), A853:D853, 0))</f>
        <v>Pay as you go</v>
      </c>
    </row>
    <row r="854" spans="1:6" x14ac:dyDescent="0.25">
      <c r="A854">
        <v>122.83199999999999</v>
      </c>
      <c r="B854">
        <v>131.88</v>
      </c>
      <c r="C854">
        <v>129.72299999999998</v>
      </c>
      <c r="D854">
        <v>149.88</v>
      </c>
      <c r="E854">
        <f t="shared" si="13"/>
        <v>122.83199999999999</v>
      </c>
      <c r="F854" t="str" cm="1">
        <f t="array" ref="F854">INDEX({"Pay as you go","Prediction_PACK","Prediction_Payasyougo","Competitor"},MATCH(MIN(A854:D854), A854:D854, 0))</f>
        <v>Pay as you go</v>
      </c>
    </row>
    <row r="855" spans="1:6" x14ac:dyDescent="0.25">
      <c r="A855">
        <v>98.103999999999999</v>
      </c>
      <c r="B855">
        <v>119.88</v>
      </c>
      <c r="C855">
        <v>115.14749999999999</v>
      </c>
      <c r="D855">
        <v>149.88</v>
      </c>
      <c r="E855">
        <f t="shared" si="13"/>
        <v>98.103999999999999</v>
      </c>
      <c r="F855" t="str" cm="1">
        <f t="array" ref="F855">INDEX({"Pay as you go","Prediction_PACK","Prediction_Payasyougo","Competitor"},MATCH(MIN(A855:D855), A855:D855, 0))</f>
        <v>Pay as you go</v>
      </c>
    </row>
    <row r="856" spans="1:6" x14ac:dyDescent="0.25">
      <c r="A856">
        <v>137.85</v>
      </c>
      <c r="B856">
        <v>127.88</v>
      </c>
      <c r="C856">
        <v>148.18199999999999</v>
      </c>
      <c r="D856">
        <v>159.88</v>
      </c>
      <c r="E856">
        <f t="shared" si="13"/>
        <v>127.88</v>
      </c>
      <c r="F856" t="str" cm="1">
        <f t="array" ref="F856">INDEX({"Pay as you go","Prediction_PACK","Prediction_Payasyougo","Competitor"},MATCH(MIN(A856:D856), A856:D856, 0))</f>
        <v>Prediction_PACK</v>
      </c>
    </row>
    <row r="857" spans="1:6" x14ac:dyDescent="0.25">
      <c r="A857">
        <v>147.16799999999998</v>
      </c>
      <c r="B857">
        <v>152.88</v>
      </c>
      <c r="C857">
        <v>180.53699999999998</v>
      </c>
      <c r="D857">
        <v>179.88</v>
      </c>
      <c r="E857">
        <f t="shared" si="13"/>
        <v>147.16799999999998</v>
      </c>
      <c r="F857" t="str" cm="1">
        <f t="array" ref="F857">INDEX({"Pay as you go","Prediction_PACK","Prediction_Payasyougo","Competitor"},MATCH(MIN(A857:D857), A857:D857, 0))</f>
        <v>Pay as you go</v>
      </c>
    </row>
    <row r="858" spans="1:6" x14ac:dyDescent="0.25">
      <c r="A858">
        <v>95.706000000000003</v>
      </c>
      <c r="B858">
        <v>107.88</v>
      </c>
      <c r="C858">
        <v>107.88</v>
      </c>
      <c r="D858">
        <v>129.88</v>
      </c>
      <c r="E858">
        <f t="shared" si="13"/>
        <v>95.706000000000003</v>
      </c>
      <c r="F858" t="str" cm="1">
        <f t="array" ref="F858">INDEX({"Pay as you go","Prediction_PACK","Prediction_Payasyougo","Competitor"},MATCH(MIN(A858:D858), A858:D858, 0))</f>
        <v>Pay as you go</v>
      </c>
    </row>
    <row r="859" spans="1:6" x14ac:dyDescent="0.25">
      <c r="A859">
        <v>118.20099999999999</v>
      </c>
      <c r="B859">
        <v>127.88</v>
      </c>
      <c r="C859">
        <v>130.32599999999999</v>
      </c>
      <c r="D859">
        <v>139.88</v>
      </c>
      <c r="E859">
        <f t="shared" si="13"/>
        <v>118.20099999999999</v>
      </c>
      <c r="F859" t="str" cm="1">
        <f t="array" ref="F859">INDEX({"Pay as you go","Prediction_PACK","Prediction_Payasyougo","Competitor"},MATCH(MIN(A859:D859), A859:D859, 0))</f>
        <v>Pay as you go</v>
      </c>
    </row>
    <row r="860" spans="1:6" x14ac:dyDescent="0.25">
      <c r="A860">
        <v>157.185</v>
      </c>
      <c r="B860">
        <v>127.88</v>
      </c>
      <c r="C860">
        <v>121.81649999999999</v>
      </c>
      <c r="D860">
        <v>169.88</v>
      </c>
      <c r="E860">
        <f t="shared" si="13"/>
        <v>121.81649999999999</v>
      </c>
      <c r="F860" t="str" cm="1">
        <f t="array" ref="F860">INDEX({"Pay as you go","Prediction_PACK","Prediction_Payasyougo","Competitor"},MATCH(MIN(A860:D860), A860:D860, 0))</f>
        <v>Prediction_Payasyougo</v>
      </c>
    </row>
    <row r="861" spans="1:6" x14ac:dyDescent="0.25">
      <c r="A861">
        <v>93.39500000000001</v>
      </c>
      <c r="B861">
        <v>107.88</v>
      </c>
      <c r="C861">
        <v>107.88</v>
      </c>
      <c r="D861">
        <v>129.88</v>
      </c>
      <c r="E861">
        <f t="shared" si="13"/>
        <v>93.39500000000001</v>
      </c>
      <c r="F861" t="str" cm="1">
        <f t="array" ref="F861">INDEX({"Pay as you go","Prediction_PACK","Prediction_Payasyougo","Competitor"},MATCH(MIN(A861:D861), A861:D861, 0))</f>
        <v>Pay as you go</v>
      </c>
    </row>
    <row r="862" spans="1:6" x14ac:dyDescent="0.25">
      <c r="A862">
        <v>146.06</v>
      </c>
      <c r="B862">
        <v>152.88</v>
      </c>
      <c r="C862">
        <v>197.45699999999999</v>
      </c>
      <c r="D862">
        <v>179.88</v>
      </c>
      <c r="E862">
        <f t="shared" si="13"/>
        <v>146.06</v>
      </c>
      <c r="F862" t="str" cm="1">
        <f t="array" ref="F862">INDEX({"Pay as you go","Prediction_PACK","Prediction_Payasyougo","Competitor"},MATCH(MIN(A862:D862), A862:D862, 0))</f>
        <v>Pay as you go</v>
      </c>
    </row>
    <row r="863" spans="1:6" x14ac:dyDescent="0.25">
      <c r="A863">
        <v>152.71100000000001</v>
      </c>
      <c r="B863">
        <v>147.88</v>
      </c>
      <c r="C863">
        <v>159.69749999999999</v>
      </c>
      <c r="D863">
        <v>169.88</v>
      </c>
      <c r="E863">
        <f t="shared" si="13"/>
        <v>147.88</v>
      </c>
      <c r="F863" t="str" cm="1">
        <f t="array" ref="F863">INDEX({"Pay as you go","Prediction_PACK","Prediction_Payasyougo","Competitor"},MATCH(MIN(A863:D863), A863:D863, 0))</f>
        <v>Prediction_PACK</v>
      </c>
    </row>
    <row r="864" spans="1:6" x14ac:dyDescent="0.25">
      <c r="A864">
        <v>101.687</v>
      </c>
      <c r="B864">
        <v>111.88</v>
      </c>
      <c r="C864">
        <v>110.0355</v>
      </c>
      <c r="D864">
        <v>129.88</v>
      </c>
      <c r="E864">
        <f t="shared" si="13"/>
        <v>101.687</v>
      </c>
      <c r="F864" t="str" cm="1">
        <f t="array" ref="F864">INDEX({"Pay as you go","Prediction_PACK","Prediction_Payasyougo","Competitor"},MATCH(MIN(A864:D864), A864:D864, 0))</f>
        <v>Pay as you go</v>
      </c>
    </row>
    <row r="865" spans="1:6" x14ac:dyDescent="0.25">
      <c r="A865">
        <v>143.09399999999999</v>
      </c>
      <c r="B865">
        <v>137.88</v>
      </c>
      <c r="C865">
        <v>152.30849999999998</v>
      </c>
      <c r="D865">
        <v>159.88</v>
      </c>
      <c r="E865">
        <f t="shared" si="13"/>
        <v>137.88</v>
      </c>
      <c r="F865" t="str" cm="1">
        <f t="array" ref="F865">INDEX({"Pay as you go","Prediction_PACK","Prediction_Payasyougo","Competitor"},MATCH(MIN(A865:D865), A865:D865, 0))</f>
        <v>Prediction_PACK</v>
      </c>
    </row>
    <row r="866" spans="1:6" x14ac:dyDescent="0.25">
      <c r="A866">
        <v>149.01900000000001</v>
      </c>
      <c r="B866">
        <v>147.88</v>
      </c>
      <c r="C866">
        <v>149.32049999999998</v>
      </c>
      <c r="D866">
        <v>169.88</v>
      </c>
      <c r="E866">
        <f t="shared" si="13"/>
        <v>147.88</v>
      </c>
      <c r="F866" t="str" cm="1">
        <f t="array" ref="F866">INDEX({"Pay as you go","Prediction_PACK","Prediction_Payasyougo","Competitor"},MATCH(MIN(A866:D866), A866:D866, 0))</f>
        <v>Prediction_PACK</v>
      </c>
    </row>
    <row r="867" spans="1:6" x14ac:dyDescent="0.25">
      <c r="A867">
        <v>92.284000000000006</v>
      </c>
      <c r="B867">
        <v>107.88</v>
      </c>
      <c r="C867">
        <v>107.88</v>
      </c>
      <c r="D867">
        <v>134.88</v>
      </c>
      <c r="E867">
        <f t="shared" si="13"/>
        <v>92.284000000000006</v>
      </c>
      <c r="F867" t="str" cm="1">
        <f t="array" ref="F867">INDEX({"Pay as you go","Prediction_PACK","Prediction_Payasyougo","Competitor"},MATCH(MIN(A867:D867), A867:D867, 0))</f>
        <v>Pay as you go</v>
      </c>
    </row>
    <row r="868" spans="1:6" x14ac:dyDescent="0.25">
      <c r="A868">
        <v>124.422</v>
      </c>
      <c r="B868">
        <v>137.88</v>
      </c>
      <c r="C868">
        <v>142.233</v>
      </c>
      <c r="D868">
        <v>149.88</v>
      </c>
      <c r="E868">
        <f t="shared" si="13"/>
        <v>124.422</v>
      </c>
      <c r="F868" t="str" cm="1">
        <f t="array" ref="F868">INDEX({"Pay as you go","Prediction_PACK","Prediction_Payasyougo","Competitor"},MATCH(MIN(A868:D868), A868:D868, 0))</f>
        <v>Pay as you go</v>
      </c>
    </row>
    <row r="869" spans="1:6" x14ac:dyDescent="0.25">
      <c r="A869">
        <v>134.185</v>
      </c>
      <c r="B869">
        <v>127.88</v>
      </c>
      <c r="C869">
        <v>145.7655</v>
      </c>
      <c r="D869">
        <v>169.88</v>
      </c>
      <c r="E869">
        <f t="shared" si="13"/>
        <v>127.88</v>
      </c>
      <c r="F869" t="str" cm="1">
        <f t="array" ref="F869">INDEX({"Pay as you go","Prediction_PACK","Prediction_Payasyougo","Competitor"},MATCH(MIN(A869:D869), A869:D869, 0))</f>
        <v>Prediction_PACK</v>
      </c>
    </row>
    <row r="870" spans="1:6" x14ac:dyDescent="0.25">
      <c r="A870">
        <v>92.444000000000003</v>
      </c>
      <c r="B870">
        <v>115.88</v>
      </c>
      <c r="C870">
        <v>110.34599999999999</v>
      </c>
      <c r="D870">
        <v>139.88</v>
      </c>
      <c r="E870">
        <f t="shared" si="13"/>
        <v>92.444000000000003</v>
      </c>
      <c r="F870" t="str" cm="1">
        <f t="array" ref="F870">INDEX({"Pay as you go","Prediction_PACK","Prediction_Payasyougo","Competitor"},MATCH(MIN(A870:D870), A870:D870, 0))</f>
        <v>Pay as you go</v>
      </c>
    </row>
    <row r="871" spans="1:6" x14ac:dyDescent="0.25">
      <c r="A871">
        <v>77.762</v>
      </c>
      <c r="B871">
        <v>111.88</v>
      </c>
      <c r="C871">
        <v>108.0825</v>
      </c>
      <c r="D871">
        <v>139.88</v>
      </c>
      <c r="E871">
        <f t="shared" si="13"/>
        <v>77.762</v>
      </c>
      <c r="F871" t="str" cm="1">
        <f t="array" ref="F871">INDEX({"Pay as you go","Prediction_PACK","Prediction_Payasyougo","Competitor"},MATCH(MIN(A871:D871), A871:D871, 0))</f>
        <v>Pay as you go</v>
      </c>
    </row>
    <row r="872" spans="1:6" x14ac:dyDescent="0.25">
      <c r="A872">
        <v>100.285</v>
      </c>
      <c r="B872">
        <v>117.88</v>
      </c>
      <c r="C872">
        <v>117.5415</v>
      </c>
      <c r="D872">
        <v>139.88</v>
      </c>
      <c r="E872">
        <f t="shared" si="13"/>
        <v>100.285</v>
      </c>
      <c r="F872" t="str" cm="1">
        <f t="array" ref="F872">INDEX({"Pay as you go","Prediction_PACK","Prediction_Payasyougo","Competitor"},MATCH(MIN(A872:D872), A872:D872, 0))</f>
        <v>Pay as you go</v>
      </c>
    </row>
    <row r="873" spans="1:6" x14ac:dyDescent="0.25">
      <c r="A873">
        <v>106.581</v>
      </c>
      <c r="B873">
        <v>122.88</v>
      </c>
      <c r="C873">
        <v>135.267</v>
      </c>
      <c r="D873">
        <v>139.88</v>
      </c>
      <c r="E873">
        <f t="shared" si="13"/>
        <v>106.581</v>
      </c>
      <c r="F873" t="str" cm="1">
        <f t="array" ref="F873">INDEX({"Pay as you go","Prediction_PACK","Prediction_Payasyougo","Competitor"},MATCH(MIN(A873:D873), A873:D873, 0))</f>
        <v>Pay as you go</v>
      </c>
    </row>
    <row r="874" spans="1:6" x14ac:dyDescent="0.25">
      <c r="A874">
        <v>134.262</v>
      </c>
      <c r="B874">
        <v>115.88</v>
      </c>
      <c r="C874">
        <v>116.87549999999999</v>
      </c>
      <c r="D874">
        <v>139.88</v>
      </c>
      <c r="E874">
        <f t="shared" si="13"/>
        <v>115.88</v>
      </c>
      <c r="F874" t="str" cm="1">
        <f t="array" ref="F874">INDEX({"Pay as you go","Prediction_PACK","Prediction_Payasyougo","Competitor"},MATCH(MIN(A874:D874), A874:D874, 0))</f>
        <v>Prediction_PACK</v>
      </c>
    </row>
    <row r="875" spans="1:6" x14ac:dyDescent="0.25">
      <c r="A875">
        <v>143.78300000000002</v>
      </c>
      <c r="B875">
        <v>137.88</v>
      </c>
      <c r="C875">
        <v>162.89249999999998</v>
      </c>
      <c r="D875">
        <v>169.88</v>
      </c>
      <c r="E875">
        <f t="shared" si="13"/>
        <v>137.88</v>
      </c>
      <c r="F875" t="str" cm="1">
        <f t="array" ref="F875">INDEX({"Pay as you go","Prediction_PACK","Prediction_Payasyougo","Competitor"},MATCH(MIN(A875:D875), A875:D875, 0))</f>
        <v>Prediction_PACK</v>
      </c>
    </row>
    <row r="876" spans="1:6" x14ac:dyDescent="0.25">
      <c r="A876">
        <v>168.899</v>
      </c>
      <c r="B876">
        <v>147.88</v>
      </c>
      <c r="C876">
        <v>164.91749999999999</v>
      </c>
      <c r="D876">
        <v>189.88</v>
      </c>
      <c r="E876">
        <f t="shared" si="13"/>
        <v>147.88</v>
      </c>
      <c r="F876" t="str" cm="1">
        <f t="array" ref="F876">INDEX({"Pay as you go","Prediction_PACK","Prediction_Payasyougo","Competitor"},MATCH(MIN(A876:D876), A876:D876, 0))</f>
        <v>Prediction_PACK</v>
      </c>
    </row>
    <row r="877" spans="1:6" x14ac:dyDescent="0.25">
      <c r="A877">
        <v>102.104</v>
      </c>
      <c r="B877">
        <v>117.88</v>
      </c>
      <c r="C877">
        <v>124.01249999999999</v>
      </c>
      <c r="D877">
        <v>139.88</v>
      </c>
      <c r="E877">
        <f t="shared" si="13"/>
        <v>102.104</v>
      </c>
      <c r="F877" t="str" cm="1">
        <f t="array" ref="F877">INDEX({"Pay as you go","Prediction_PACK","Prediction_Payasyougo","Competitor"},MATCH(MIN(A877:D877), A877:D877, 0))</f>
        <v>Pay as you go</v>
      </c>
    </row>
    <row r="878" spans="1:6" x14ac:dyDescent="0.25">
      <c r="A878">
        <v>97.244</v>
      </c>
      <c r="B878">
        <v>107.88</v>
      </c>
      <c r="C878">
        <v>107.88</v>
      </c>
      <c r="D878">
        <v>134.88</v>
      </c>
      <c r="E878">
        <f t="shared" si="13"/>
        <v>97.244</v>
      </c>
      <c r="F878" t="str" cm="1">
        <f t="array" ref="F878">INDEX({"Pay as you go","Prediction_PACK","Prediction_Payasyougo","Competitor"},MATCH(MIN(A878:D878), A878:D878, 0))</f>
        <v>Pay as you go</v>
      </c>
    </row>
    <row r="879" spans="1:6" x14ac:dyDescent="0.25">
      <c r="A879">
        <v>100.702</v>
      </c>
      <c r="B879">
        <v>115.88</v>
      </c>
      <c r="C879">
        <v>115.458</v>
      </c>
      <c r="D879">
        <v>149.88</v>
      </c>
      <c r="E879">
        <f t="shared" si="13"/>
        <v>100.702</v>
      </c>
      <c r="F879" t="str" cm="1">
        <f t="array" ref="F879">INDEX({"Pay as you go","Prediction_PACK","Prediction_Payasyougo","Competitor"},MATCH(MIN(A879:D879), A879:D879, 0))</f>
        <v>Pay as you go</v>
      </c>
    </row>
    <row r="880" spans="1:6" x14ac:dyDescent="0.25">
      <c r="A880">
        <v>133.36600000000001</v>
      </c>
      <c r="B880">
        <v>123.88</v>
      </c>
      <c r="C880">
        <v>118.45049999999999</v>
      </c>
      <c r="D880">
        <v>169.88</v>
      </c>
      <c r="E880">
        <f t="shared" si="13"/>
        <v>118.45049999999999</v>
      </c>
      <c r="F880" t="str" cm="1">
        <f t="array" ref="F880">INDEX({"Pay as you go","Prediction_PACK","Prediction_Payasyougo","Competitor"},MATCH(MIN(A880:D880), A880:D880, 0))</f>
        <v>Prediction_Payasyougo</v>
      </c>
    </row>
    <row r="881" spans="1:6" x14ac:dyDescent="0.25">
      <c r="A881">
        <v>153.04500000000002</v>
      </c>
      <c r="B881">
        <v>139.88</v>
      </c>
      <c r="C881">
        <v>136.2885</v>
      </c>
      <c r="D881">
        <v>179.88</v>
      </c>
      <c r="E881">
        <f t="shared" si="13"/>
        <v>136.2885</v>
      </c>
      <c r="F881" t="str" cm="1">
        <f t="array" ref="F881">INDEX({"Pay as you go","Prediction_PACK","Prediction_Payasyougo","Competitor"},MATCH(MIN(A881:D881), A881:D881, 0))</f>
        <v>Prediction_Payasyougo</v>
      </c>
    </row>
    <row r="882" spans="1:6" x14ac:dyDescent="0.25">
      <c r="A882">
        <v>145.70500000000001</v>
      </c>
      <c r="B882">
        <v>137.88</v>
      </c>
      <c r="C882">
        <v>164.643</v>
      </c>
      <c r="D882">
        <v>179.88</v>
      </c>
      <c r="E882">
        <f t="shared" si="13"/>
        <v>137.88</v>
      </c>
      <c r="F882" t="str" cm="1">
        <f t="array" ref="F882">INDEX({"Pay as you go","Prediction_PACK","Prediction_Payasyougo","Competitor"},MATCH(MIN(A882:D882), A882:D882, 0))</f>
        <v>Prediction_PACK</v>
      </c>
    </row>
    <row r="883" spans="1:6" x14ac:dyDescent="0.25">
      <c r="A883">
        <v>153.61100000000002</v>
      </c>
      <c r="B883">
        <v>167.88</v>
      </c>
      <c r="C883">
        <v>188.51549999999997</v>
      </c>
      <c r="D883">
        <v>189.88</v>
      </c>
      <c r="E883">
        <f t="shared" si="13"/>
        <v>153.61100000000002</v>
      </c>
      <c r="F883" t="str" cm="1">
        <f t="array" ref="F883">INDEX({"Pay as you go","Prediction_PACK","Prediction_Payasyougo","Competitor"},MATCH(MIN(A883:D883), A883:D883, 0))</f>
        <v>Pay as you go</v>
      </c>
    </row>
    <row r="884" spans="1:6" x14ac:dyDescent="0.25">
      <c r="A884">
        <v>135.03</v>
      </c>
      <c r="B884">
        <v>147.88</v>
      </c>
      <c r="C884">
        <v>149.69399999999999</v>
      </c>
      <c r="D884">
        <v>159.88</v>
      </c>
      <c r="E884">
        <f t="shared" si="13"/>
        <v>135.03</v>
      </c>
      <c r="F884" t="str" cm="1">
        <f t="array" ref="F884">INDEX({"Pay as you go","Prediction_PACK","Prediction_Payasyougo","Competitor"},MATCH(MIN(A884:D884), A884:D884, 0))</f>
        <v>Pay as you go</v>
      </c>
    </row>
    <row r="885" spans="1:6" x14ac:dyDescent="0.25">
      <c r="A885">
        <v>74.554000000000002</v>
      </c>
      <c r="B885">
        <v>107.88</v>
      </c>
      <c r="C885">
        <v>107.88</v>
      </c>
      <c r="D885">
        <v>119.88</v>
      </c>
      <c r="E885">
        <f t="shared" si="13"/>
        <v>74.554000000000002</v>
      </c>
      <c r="F885" t="str" cm="1">
        <f t="array" ref="F885">INDEX({"Pay as you go","Prediction_PACK","Prediction_Payasyougo","Competitor"},MATCH(MIN(A885:D885), A885:D885, 0))</f>
        <v>Pay as you go</v>
      </c>
    </row>
    <row r="886" spans="1:6" x14ac:dyDescent="0.25">
      <c r="A886">
        <v>79.786999999999992</v>
      </c>
      <c r="B886">
        <v>107.88</v>
      </c>
      <c r="C886">
        <v>107.88</v>
      </c>
      <c r="D886">
        <v>119.88</v>
      </c>
      <c r="E886">
        <f t="shared" si="13"/>
        <v>79.786999999999992</v>
      </c>
      <c r="F886" t="str" cm="1">
        <f t="array" ref="F886">INDEX({"Pay as you go","Prediction_PACK","Prediction_Payasyougo","Competitor"},MATCH(MIN(A886:D886), A886:D886, 0))</f>
        <v>Pay as you go</v>
      </c>
    </row>
    <row r="887" spans="1:6" x14ac:dyDescent="0.25">
      <c r="A887">
        <v>112.45</v>
      </c>
      <c r="B887">
        <v>111.88</v>
      </c>
      <c r="C887">
        <v>109.167</v>
      </c>
      <c r="D887">
        <v>139.88</v>
      </c>
      <c r="E887">
        <f t="shared" si="13"/>
        <v>109.167</v>
      </c>
      <c r="F887" t="str" cm="1">
        <f t="array" ref="F887">INDEX({"Pay as you go","Prediction_PACK","Prediction_Payasyougo","Competitor"},MATCH(MIN(A887:D887), A887:D887, 0))</f>
        <v>Prediction_Payasyougo</v>
      </c>
    </row>
    <row r="888" spans="1:6" x14ac:dyDescent="0.25">
      <c r="A888">
        <v>90.83</v>
      </c>
      <c r="B888">
        <v>111.88</v>
      </c>
      <c r="C888">
        <v>111.78149999999999</v>
      </c>
      <c r="D888">
        <v>149.88</v>
      </c>
      <c r="E888">
        <f t="shared" si="13"/>
        <v>90.83</v>
      </c>
      <c r="F888" t="str" cm="1">
        <f t="array" ref="F888">INDEX({"Pay as you go","Prediction_PACK","Prediction_Payasyougo","Competitor"},MATCH(MIN(A888:D888), A888:D888, 0))</f>
        <v>Pay as you go</v>
      </c>
    </row>
    <row r="889" spans="1:6" x14ac:dyDescent="0.25">
      <c r="A889">
        <v>50.46</v>
      </c>
      <c r="B889">
        <v>107.88</v>
      </c>
      <c r="C889">
        <v>107.88</v>
      </c>
      <c r="D889">
        <v>119.88</v>
      </c>
      <c r="E889">
        <f t="shared" si="13"/>
        <v>50.46</v>
      </c>
      <c r="F889" t="str" cm="1">
        <f t="array" ref="F889">INDEX({"Pay as you go","Prediction_PACK","Prediction_Payasyougo","Competitor"},MATCH(MIN(A889:D889), A889:D889, 0))</f>
        <v>Pay as you go</v>
      </c>
    </row>
    <row r="890" spans="1:6" x14ac:dyDescent="0.25">
      <c r="A890">
        <v>151.30500000000001</v>
      </c>
      <c r="B890">
        <v>137.88</v>
      </c>
      <c r="C890">
        <v>151.02599999999998</v>
      </c>
      <c r="D890">
        <v>169.88</v>
      </c>
      <c r="E890">
        <f t="shared" si="13"/>
        <v>137.88</v>
      </c>
      <c r="F890" t="str" cm="1">
        <f t="array" ref="F890">INDEX({"Pay as you go","Prediction_PACK","Prediction_Payasyougo","Competitor"},MATCH(MIN(A890:D890), A890:D890, 0))</f>
        <v>Prediction_PACK</v>
      </c>
    </row>
    <row r="891" spans="1:6" x14ac:dyDescent="0.25">
      <c r="A891">
        <v>192.851</v>
      </c>
      <c r="B891">
        <v>167.88</v>
      </c>
      <c r="C891">
        <v>218.84999999999997</v>
      </c>
      <c r="D891">
        <v>189.88</v>
      </c>
      <c r="E891">
        <f t="shared" si="13"/>
        <v>167.88</v>
      </c>
      <c r="F891" t="str" cm="1">
        <f t="array" ref="F891">INDEX({"Pay as you go","Prediction_PACK","Prediction_Payasyougo","Competitor"},MATCH(MIN(A891:D891), A891:D891, 0))</f>
        <v>Prediction_PACK</v>
      </c>
    </row>
    <row r="892" spans="1:6" x14ac:dyDescent="0.25">
      <c r="A892">
        <v>149.88400000000001</v>
      </c>
      <c r="B892">
        <v>157.88</v>
      </c>
      <c r="C892">
        <v>181.81950000000001</v>
      </c>
      <c r="D892">
        <v>179.88</v>
      </c>
      <c r="E892">
        <f t="shared" si="13"/>
        <v>149.88400000000001</v>
      </c>
      <c r="F892" t="str" cm="1">
        <f t="array" ref="F892">INDEX({"Pay as you go","Prediction_PACK","Prediction_Payasyougo","Competitor"},MATCH(MIN(A892:D892), A892:D892, 0))</f>
        <v>Pay as you go</v>
      </c>
    </row>
    <row r="893" spans="1:6" x14ac:dyDescent="0.25">
      <c r="A893">
        <v>133.97000000000003</v>
      </c>
      <c r="B893">
        <v>122.88</v>
      </c>
      <c r="C893">
        <v>133.72800000000001</v>
      </c>
      <c r="D893">
        <v>159.88</v>
      </c>
      <c r="E893">
        <f t="shared" si="13"/>
        <v>122.88</v>
      </c>
      <c r="F893" t="str" cm="1">
        <f t="array" ref="F893">INDEX({"Pay as you go","Prediction_PACK","Prediction_Payasyougo","Competitor"},MATCH(MIN(A893:D893), A893:D893, 0))</f>
        <v>Prediction_PACK</v>
      </c>
    </row>
    <row r="894" spans="1:6" x14ac:dyDescent="0.25">
      <c r="A894">
        <v>116.00399999999999</v>
      </c>
      <c r="B894">
        <v>122.88</v>
      </c>
      <c r="C894">
        <v>136.059</v>
      </c>
      <c r="D894">
        <v>139.88</v>
      </c>
      <c r="E894">
        <f t="shared" si="13"/>
        <v>116.00399999999999</v>
      </c>
      <c r="F894" t="str" cm="1">
        <f t="array" ref="F894">INDEX({"Pay as you go","Prediction_PACK","Prediction_Payasyougo","Competitor"},MATCH(MIN(A894:D894), A894:D894, 0))</f>
        <v>Pay as you go</v>
      </c>
    </row>
    <row r="895" spans="1:6" x14ac:dyDescent="0.25">
      <c r="A895">
        <v>125.55799999999999</v>
      </c>
      <c r="B895">
        <v>115.88</v>
      </c>
      <c r="C895">
        <v>112.28099999999999</v>
      </c>
      <c r="D895">
        <v>149.88</v>
      </c>
      <c r="E895">
        <f t="shared" si="13"/>
        <v>112.28099999999999</v>
      </c>
      <c r="F895" t="str" cm="1">
        <f t="array" ref="F895">INDEX({"Pay as you go","Prediction_PACK","Prediction_Payasyougo","Competitor"},MATCH(MIN(A895:D895), A895:D895, 0))</f>
        <v>Prediction_Payasyougo</v>
      </c>
    </row>
    <row r="896" spans="1:6" x14ac:dyDescent="0.25">
      <c r="A896">
        <v>79.384</v>
      </c>
      <c r="B896">
        <v>107.88</v>
      </c>
      <c r="C896">
        <v>107.88</v>
      </c>
      <c r="D896">
        <v>129.88</v>
      </c>
      <c r="E896">
        <f t="shared" si="13"/>
        <v>79.384</v>
      </c>
      <c r="F896" t="str" cm="1">
        <f t="array" ref="F896">INDEX({"Pay as you go","Prediction_PACK","Prediction_Payasyougo","Competitor"},MATCH(MIN(A896:D896), A896:D896, 0))</f>
        <v>Pay as you go</v>
      </c>
    </row>
    <row r="897" spans="1:6" x14ac:dyDescent="0.25">
      <c r="A897">
        <v>142.58800000000002</v>
      </c>
      <c r="B897">
        <v>147.88</v>
      </c>
      <c r="C897">
        <v>152.61449999999999</v>
      </c>
      <c r="D897">
        <v>159.88</v>
      </c>
      <c r="E897">
        <f t="shared" si="13"/>
        <v>142.58800000000002</v>
      </c>
      <c r="F897" t="str" cm="1">
        <f t="array" ref="F897">INDEX({"Pay as you go","Prediction_PACK","Prediction_Payasyougo","Competitor"},MATCH(MIN(A897:D897), A897:D897, 0))</f>
        <v>Pay as you go</v>
      </c>
    </row>
    <row r="898" spans="1:6" x14ac:dyDescent="0.25">
      <c r="A898">
        <v>102.444</v>
      </c>
      <c r="B898">
        <v>107.88</v>
      </c>
      <c r="C898">
        <v>107.88</v>
      </c>
      <c r="D898">
        <v>119.88</v>
      </c>
      <c r="E898">
        <f t="shared" si="13"/>
        <v>102.444</v>
      </c>
      <c r="F898" t="str" cm="1">
        <f t="array" ref="F898">INDEX({"Pay as you go","Prediction_PACK","Prediction_Payasyougo","Competitor"},MATCH(MIN(A898:D898), A898:D898, 0))</f>
        <v>Pay as you go</v>
      </c>
    </row>
    <row r="899" spans="1:6" x14ac:dyDescent="0.25">
      <c r="A899">
        <v>201.87199999999999</v>
      </c>
      <c r="B899">
        <v>167.88</v>
      </c>
      <c r="C899">
        <v>230.3295</v>
      </c>
      <c r="D899">
        <v>209.88</v>
      </c>
      <c r="E899">
        <f t="shared" si="13"/>
        <v>167.88</v>
      </c>
      <c r="F899" t="str" cm="1">
        <f t="array" ref="F899">INDEX({"Pay as you go","Prediction_PACK","Prediction_Payasyougo","Competitor"},MATCH(MIN(A899:D899), A899:D899, 0))</f>
        <v>Prediction_PACK</v>
      </c>
    </row>
    <row r="900" spans="1:6" x14ac:dyDescent="0.25">
      <c r="A900">
        <v>203.87200000000001</v>
      </c>
      <c r="B900">
        <v>167.88</v>
      </c>
      <c r="C900">
        <v>185.73</v>
      </c>
      <c r="D900">
        <v>209.88</v>
      </c>
      <c r="E900">
        <f t="shared" si="13"/>
        <v>167.88</v>
      </c>
      <c r="F900" t="str" cm="1">
        <f t="array" ref="F900">INDEX({"Pay as you go","Prediction_PACK","Prediction_Payasyougo","Competitor"},MATCH(MIN(A900:D900), A900:D900, 0))</f>
        <v>Prediction_PACK</v>
      </c>
    </row>
    <row r="901" spans="1:6" x14ac:dyDescent="0.25">
      <c r="A901">
        <v>109.75700000000001</v>
      </c>
      <c r="B901">
        <v>107.88</v>
      </c>
      <c r="C901">
        <v>107.88</v>
      </c>
      <c r="D901">
        <v>139.88</v>
      </c>
      <c r="E901">
        <f t="shared" si="13"/>
        <v>107.88</v>
      </c>
      <c r="F901" t="str" cm="1">
        <f t="array" ref="F901">INDEX({"Pay as you go","Prediction_PACK","Prediction_Payasyougo","Competitor"},MATCH(MIN(A901:D901), A901:D901, 0))</f>
        <v>Prediction_PACK</v>
      </c>
    </row>
    <row r="902" spans="1:6" x14ac:dyDescent="0.25">
      <c r="A902">
        <v>114.786</v>
      </c>
      <c r="B902">
        <v>115.88</v>
      </c>
      <c r="C902">
        <v>115.773</v>
      </c>
      <c r="D902">
        <v>149.88</v>
      </c>
      <c r="E902">
        <f t="shared" si="13"/>
        <v>114.786</v>
      </c>
      <c r="F902" t="str" cm="1">
        <f t="array" ref="F902">INDEX({"Pay as you go","Prediction_PACK","Prediction_Payasyougo","Competitor"},MATCH(MIN(A902:D902), A902:D902, 0))</f>
        <v>Pay as you go</v>
      </c>
    </row>
    <row r="903" spans="1:6" x14ac:dyDescent="0.25">
      <c r="A903">
        <v>96.453999999999994</v>
      </c>
      <c r="B903">
        <v>117.88</v>
      </c>
      <c r="C903">
        <v>126.85199999999999</v>
      </c>
      <c r="D903">
        <v>149.88</v>
      </c>
      <c r="E903">
        <f t="shared" si="13"/>
        <v>96.453999999999994</v>
      </c>
      <c r="F903" t="str" cm="1">
        <f t="array" ref="F903">INDEX({"Pay as you go","Prediction_PACK","Prediction_Payasyougo","Competitor"},MATCH(MIN(A903:D903), A903:D903, 0))</f>
        <v>Pay as you go</v>
      </c>
    </row>
    <row r="904" spans="1:6" x14ac:dyDescent="0.25">
      <c r="A904">
        <v>98.808999999999997</v>
      </c>
      <c r="B904">
        <v>107.88</v>
      </c>
      <c r="C904">
        <v>107.88</v>
      </c>
      <c r="D904">
        <v>139.88</v>
      </c>
      <c r="E904">
        <f t="shared" si="13"/>
        <v>98.808999999999997</v>
      </c>
      <c r="F904" t="str" cm="1">
        <f t="array" ref="F904">INDEX({"Pay as you go","Prediction_PACK","Prediction_Payasyougo","Competitor"},MATCH(MIN(A904:D904), A904:D904, 0))</f>
        <v>Pay as you go</v>
      </c>
    </row>
    <row r="905" spans="1:6" x14ac:dyDescent="0.25">
      <c r="A905">
        <v>102.982</v>
      </c>
      <c r="B905">
        <v>111.88</v>
      </c>
      <c r="C905">
        <v>109.91849999999999</v>
      </c>
      <c r="D905">
        <v>139.88</v>
      </c>
      <c r="E905">
        <f t="shared" ref="E905:E968" si="14">MIN(A905:D905)</f>
        <v>102.982</v>
      </c>
      <c r="F905" t="str" cm="1">
        <f t="array" ref="F905">INDEX({"Pay as you go","Prediction_PACK","Prediction_Payasyougo","Competitor"},MATCH(MIN(A905:D905), A905:D905, 0))</f>
        <v>Pay as you go</v>
      </c>
    </row>
    <row r="906" spans="1:6" x14ac:dyDescent="0.25">
      <c r="A906">
        <v>93.993000000000009</v>
      </c>
      <c r="B906">
        <v>111.88</v>
      </c>
      <c r="C906">
        <v>110.39099999999999</v>
      </c>
      <c r="D906">
        <v>139.88</v>
      </c>
      <c r="E906">
        <f t="shared" si="14"/>
        <v>93.993000000000009</v>
      </c>
      <c r="F906" t="str" cm="1">
        <f t="array" ref="F906">INDEX({"Pay as you go","Prediction_PACK","Prediction_Payasyougo","Competitor"},MATCH(MIN(A906:D906), A906:D906, 0))</f>
        <v>Pay as you go</v>
      </c>
    </row>
    <row r="907" spans="1:6" x14ac:dyDescent="0.25">
      <c r="A907">
        <v>105.209</v>
      </c>
      <c r="B907">
        <v>111.88</v>
      </c>
      <c r="C907">
        <v>108.4515</v>
      </c>
      <c r="D907">
        <v>139.88</v>
      </c>
      <c r="E907">
        <f t="shared" si="14"/>
        <v>105.209</v>
      </c>
      <c r="F907" t="str" cm="1">
        <f t="array" ref="F907">INDEX({"Pay as you go","Prediction_PACK","Prediction_Payasyougo","Competitor"},MATCH(MIN(A907:D907), A907:D907, 0))</f>
        <v>Pay as you go</v>
      </c>
    </row>
    <row r="908" spans="1:6" x14ac:dyDescent="0.25">
      <c r="A908">
        <v>105.43900000000001</v>
      </c>
      <c r="B908">
        <v>119.88</v>
      </c>
      <c r="C908">
        <v>114.423</v>
      </c>
      <c r="D908">
        <v>149.88</v>
      </c>
      <c r="E908">
        <f t="shared" si="14"/>
        <v>105.43900000000001</v>
      </c>
      <c r="F908" t="str" cm="1">
        <f t="array" ref="F908">INDEX({"Pay as you go","Prediction_PACK","Prediction_Payasyougo","Competitor"},MATCH(MIN(A908:D908), A908:D908, 0))</f>
        <v>Pay as you go</v>
      </c>
    </row>
    <row r="909" spans="1:6" x14ac:dyDescent="0.25">
      <c r="A909">
        <v>112.41900000000001</v>
      </c>
      <c r="B909">
        <v>127.88</v>
      </c>
      <c r="C909">
        <v>132.477</v>
      </c>
      <c r="D909">
        <v>149.88</v>
      </c>
      <c r="E909">
        <f t="shared" si="14"/>
        <v>112.41900000000001</v>
      </c>
      <c r="F909" t="str" cm="1">
        <f t="array" ref="F909">INDEX({"Pay as you go","Prediction_PACK","Prediction_Payasyougo","Competitor"},MATCH(MIN(A909:D909), A909:D909, 0))</f>
        <v>Pay as you go</v>
      </c>
    </row>
    <row r="910" spans="1:6" x14ac:dyDescent="0.25">
      <c r="A910">
        <v>95.233000000000004</v>
      </c>
      <c r="B910">
        <v>107.88</v>
      </c>
      <c r="C910">
        <v>107.88</v>
      </c>
      <c r="D910">
        <v>134.88</v>
      </c>
      <c r="E910">
        <f t="shared" si="14"/>
        <v>95.233000000000004</v>
      </c>
      <c r="F910" t="str" cm="1">
        <f t="array" ref="F910">INDEX({"Pay as you go","Prediction_PACK","Prediction_Payasyougo","Competitor"},MATCH(MIN(A910:D910), A910:D910, 0))</f>
        <v>Pay as you go</v>
      </c>
    </row>
    <row r="911" spans="1:6" x14ac:dyDescent="0.25">
      <c r="A911">
        <v>116.578</v>
      </c>
      <c r="B911">
        <v>111.88</v>
      </c>
      <c r="C911">
        <v>111.54299999999999</v>
      </c>
      <c r="D911">
        <v>149.88</v>
      </c>
      <c r="E911">
        <f t="shared" si="14"/>
        <v>111.54299999999999</v>
      </c>
      <c r="F911" t="str" cm="1">
        <f t="array" ref="F911">INDEX({"Pay as you go","Prediction_PACK","Prediction_Payasyougo","Competitor"},MATCH(MIN(A911:D911), A911:D911, 0))</f>
        <v>Prediction_Payasyougo</v>
      </c>
    </row>
    <row r="912" spans="1:6" x14ac:dyDescent="0.25">
      <c r="A912">
        <v>107.045</v>
      </c>
      <c r="B912">
        <v>115.88</v>
      </c>
      <c r="C912">
        <v>113.09099999999999</v>
      </c>
      <c r="D912">
        <v>159.88</v>
      </c>
      <c r="E912">
        <f t="shared" si="14"/>
        <v>107.045</v>
      </c>
      <c r="F912" t="str" cm="1">
        <f t="array" ref="F912">INDEX({"Pay as you go","Prediction_PACK","Prediction_Payasyougo","Competitor"},MATCH(MIN(A912:D912), A912:D912, 0))</f>
        <v>Pay as you go</v>
      </c>
    </row>
    <row r="913" spans="1:6" x14ac:dyDescent="0.25">
      <c r="A913">
        <v>93.613</v>
      </c>
      <c r="B913">
        <v>111.88</v>
      </c>
      <c r="C913">
        <v>109.33799999999999</v>
      </c>
      <c r="D913">
        <v>139.88</v>
      </c>
      <c r="E913">
        <f t="shared" si="14"/>
        <v>93.613</v>
      </c>
      <c r="F913" t="str" cm="1">
        <f t="array" ref="F913">INDEX({"Pay as you go","Prediction_PACK","Prediction_Payasyougo","Competitor"},MATCH(MIN(A913:D913), A913:D913, 0))</f>
        <v>Pay as you go</v>
      </c>
    </row>
    <row r="914" spans="1:6" x14ac:dyDescent="0.25">
      <c r="A914">
        <v>66.623000000000005</v>
      </c>
      <c r="B914">
        <v>107.88</v>
      </c>
      <c r="C914">
        <v>107.88</v>
      </c>
      <c r="D914">
        <v>119.88</v>
      </c>
      <c r="E914">
        <f t="shared" si="14"/>
        <v>66.623000000000005</v>
      </c>
      <c r="F914" t="str" cm="1">
        <f t="array" ref="F914">INDEX({"Pay as you go","Prediction_PACK","Prediction_Payasyougo","Competitor"},MATCH(MIN(A914:D914), A914:D914, 0))</f>
        <v>Pay as you go</v>
      </c>
    </row>
    <row r="915" spans="1:6" x14ac:dyDescent="0.25">
      <c r="A915">
        <v>94.055000000000007</v>
      </c>
      <c r="B915">
        <v>117.88</v>
      </c>
      <c r="C915">
        <v>117.699</v>
      </c>
      <c r="D915">
        <v>139.88</v>
      </c>
      <c r="E915">
        <f t="shared" si="14"/>
        <v>94.055000000000007</v>
      </c>
      <c r="F915" t="str" cm="1">
        <f t="array" ref="F915">INDEX({"Pay as you go","Prediction_PACK","Prediction_Payasyougo","Competitor"},MATCH(MIN(A915:D915), A915:D915, 0))</f>
        <v>Pay as you go</v>
      </c>
    </row>
    <row r="916" spans="1:6" x14ac:dyDescent="0.25">
      <c r="A916">
        <v>82.42</v>
      </c>
      <c r="B916">
        <v>107.88</v>
      </c>
      <c r="C916">
        <v>107.88</v>
      </c>
      <c r="D916">
        <v>119.88</v>
      </c>
      <c r="E916">
        <f t="shared" si="14"/>
        <v>82.42</v>
      </c>
      <c r="F916" t="str" cm="1">
        <f t="array" ref="F916">INDEX({"Pay as you go","Prediction_PACK","Prediction_Payasyougo","Competitor"},MATCH(MIN(A916:D916), A916:D916, 0))</f>
        <v>Pay as you go</v>
      </c>
    </row>
    <row r="917" spans="1:6" x14ac:dyDescent="0.25">
      <c r="A917">
        <v>110.03500000000001</v>
      </c>
      <c r="B917">
        <v>117.88</v>
      </c>
      <c r="C917">
        <v>119.17949999999999</v>
      </c>
      <c r="D917">
        <v>149.88</v>
      </c>
      <c r="E917">
        <f t="shared" si="14"/>
        <v>110.03500000000001</v>
      </c>
      <c r="F917" t="str" cm="1">
        <f t="array" ref="F917">INDEX({"Pay as you go","Prediction_PACK","Prediction_Payasyougo","Competitor"},MATCH(MIN(A917:D917), A917:D917, 0))</f>
        <v>Pay as you go</v>
      </c>
    </row>
    <row r="918" spans="1:6" x14ac:dyDescent="0.25">
      <c r="A918">
        <v>98.177000000000007</v>
      </c>
      <c r="B918">
        <v>115.88</v>
      </c>
      <c r="C918">
        <v>114.90899999999999</v>
      </c>
      <c r="D918">
        <v>139.88</v>
      </c>
      <c r="E918">
        <f t="shared" si="14"/>
        <v>98.177000000000007</v>
      </c>
      <c r="F918" t="str" cm="1">
        <f t="array" ref="F918">INDEX({"Pay as you go","Prediction_PACK","Prediction_Payasyougo","Competitor"},MATCH(MIN(A918:D918), A918:D918, 0))</f>
        <v>Pay as you go</v>
      </c>
    </row>
    <row r="919" spans="1:6" x14ac:dyDescent="0.25">
      <c r="A919">
        <v>107.12100000000001</v>
      </c>
      <c r="B919">
        <v>117.88</v>
      </c>
      <c r="C919">
        <v>129.37649999999999</v>
      </c>
      <c r="D919">
        <v>149.88</v>
      </c>
      <c r="E919">
        <f t="shared" si="14"/>
        <v>107.12100000000001</v>
      </c>
      <c r="F919" t="str" cm="1">
        <f t="array" ref="F919">INDEX({"Pay as you go","Prediction_PACK","Prediction_Payasyougo","Competitor"},MATCH(MIN(A919:D919), A919:D919, 0))</f>
        <v>Pay as you go</v>
      </c>
    </row>
    <row r="920" spans="1:6" x14ac:dyDescent="0.25">
      <c r="A920">
        <v>103.94600000000001</v>
      </c>
      <c r="B920">
        <v>119.88</v>
      </c>
      <c r="C920">
        <v>116.83499999999999</v>
      </c>
      <c r="D920">
        <v>149.88</v>
      </c>
      <c r="E920">
        <f t="shared" si="14"/>
        <v>103.94600000000001</v>
      </c>
      <c r="F920" t="str" cm="1">
        <f t="array" ref="F920">INDEX({"Pay as you go","Prediction_PACK","Prediction_Payasyougo","Competitor"},MATCH(MIN(A920:D920), A920:D920, 0))</f>
        <v>Pay as you go</v>
      </c>
    </row>
    <row r="921" spans="1:6" x14ac:dyDescent="0.25">
      <c r="A921">
        <v>84.672000000000011</v>
      </c>
      <c r="B921">
        <v>111.88</v>
      </c>
      <c r="C921">
        <v>110.64749999999999</v>
      </c>
      <c r="D921">
        <v>139.88</v>
      </c>
      <c r="E921">
        <f t="shared" si="14"/>
        <v>84.672000000000011</v>
      </c>
      <c r="F921" t="str" cm="1">
        <f t="array" ref="F921">INDEX({"Pay as you go","Prediction_PACK","Prediction_Payasyougo","Competitor"},MATCH(MIN(A921:D921), A921:D921, 0))</f>
        <v>Pay as you go</v>
      </c>
    </row>
    <row r="922" spans="1:6" x14ac:dyDescent="0.25">
      <c r="A922">
        <v>144.40900000000002</v>
      </c>
      <c r="B922">
        <v>127.88</v>
      </c>
      <c r="C922">
        <v>130.29</v>
      </c>
      <c r="D922">
        <v>159.88</v>
      </c>
      <c r="E922">
        <f t="shared" si="14"/>
        <v>127.88</v>
      </c>
      <c r="F922" t="str" cm="1">
        <f t="array" ref="F922">INDEX({"Pay as you go","Prediction_PACK","Prediction_Payasyougo","Competitor"},MATCH(MIN(A922:D922), A922:D922, 0))</f>
        <v>Prediction_PACK</v>
      </c>
    </row>
    <row r="923" spans="1:6" x14ac:dyDescent="0.25">
      <c r="A923">
        <v>182.57000000000002</v>
      </c>
      <c r="B923">
        <v>139.88</v>
      </c>
      <c r="C923">
        <v>136.03199999999998</v>
      </c>
      <c r="D923">
        <v>189.88</v>
      </c>
      <c r="E923">
        <f t="shared" si="14"/>
        <v>136.03199999999998</v>
      </c>
      <c r="F923" t="str" cm="1">
        <f t="array" ref="F923">INDEX({"Pay as you go","Prediction_PACK","Prediction_Payasyougo","Competitor"},MATCH(MIN(A923:D923), A923:D923, 0))</f>
        <v>Prediction_Payasyougo</v>
      </c>
    </row>
    <row r="924" spans="1:6" x14ac:dyDescent="0.25">
      <c r="A924">
        <v>111.41500000000001</v>
      </c>
      <c r="B924">
        <v>111.88</v>
      </c>
      <c r="C924">
        <v>108.22199999999999</v>
      </c>
      <c r="D924">
        <v>139.88</v>
      </c>
      <c r="E924">
        <f t="shared" si="14"/>
        <v>108.22199999999999</v>
      </c>
      <c r="F924" t="str" cm="1">
        <f t="array" ref="F924">INDEX({"Pay as you go","Prediction_PACK","Prediction_Payasyougo","Competitor"},MATCH(MIN(A924:D924), A924:D924, 0))</f>
        <v>Prediction_Payasyougo</v>
      </c>
    </row>
    <row r="925" spans="1:6" x14ac:dyDescent="0.25">
      <c r="A925">
        <v>105.791</v>
      </c>
      <c r="B925">
        <v>137.88</v>
      </c>
      <c r="C925">
        <v>157.67699999999999</v>
      </c>
      <c r="D925">
        <v>159.88</v>
      </c>
      <c r="E925">
        <f t="shared" si="14"/>
        <v>105.791</v>
      </c>
      <c r="F925" t="str" cm="1">
        <f t="array" ref="F925">INDEX({"Pay as you go","Prediction_PACK","Prediction_Payasyougo","Competitor"},MATCH(MIN(A925:D925), A925:D925, 0))</f>
        <v>Pay as you go</v>
      </c>
    </row>
    <row r="926" spans="1:6" x14ac:dyDescent="0.25">
      <c r="A926">
        <v>87.599000000000004</v>
      </c>
      <c r="B926">
        <v>107.88</v>
      </c>
      <c r="C926">
        <v>107.88</v>
      </c>
      <c r="D926">
        <v>134.88</v>
      </c>
      <c r="E926">
        <f t="shared" si="14"/>
        <v>87.599000000000004</v>
      </c>
      <c r="F926" t="str" cm="1">
        <f t="array" ref="F926">INDEX({"Pay as you go","Prediction_PACK","Prediction_Payasyougo","Competitor"},MATCH(MIN(A926:D926), A926:D926, 0))</f>
        <v>Pay as you go</v>
      </c>
    </row>
    <row r="927" spans="1:6" x14ac:dyDescent="0.25">
      <c r="A927">
        <v>82.795000000000002</v>
      </c>
      <c r="B927">
        <v>107.88</v>
      </c>
      <c r="C927">
        <v>107.88</v>
      </c>
      <c r="D927">
        <v>129.88</v>
      </c>
      <c r="E927">
        <f t="shared" si="14"/>
        <v>82.795000000000002</v>
      </c>
      <c r="F927" t="str" cm="1">
        <f t="array" ref="F927">INDEX({"Pay as you go","Prediction_PACK","Prediction_Payasyougo","Competitor"},MATCH(MIN(A927:D927), A927:D927, 0))</f>
        <v>Pay as you go</v>
      </c>
    </row>
    <row r="928" spans="1:6" x14ac:dyDescent="0.25">
      <c r="A928">
        <v>73.576999999999998</v>
      </c>
      <c r="B928">
        <v>107.88</v>
      </c>
      <c r="C928">
        <v>107.88</v>
      </c>
      <c r="D928">
        <v>129.88</v>
      </c>
      <c r="E928">
        <f t="shared" si="14"/>
        <v>73.576999999999998</v>
      </c>
      <c r="F928" t="str" cm="1">
        <f t="array" ref="F928">INDEX({"Pay as you go","Prediction_PACK","Prediction_Payasyougo","Competitor"},MATCH(MIN(A928:D928), A928:D928, 0))</f>
        <v>Pay as you go</v>
      </c>
    </row>
    <row r="929" spans="1:6" x14ac:dyDescent="0.25">
      <c r="A929">
        <v>98.734999999999999</v>
      </c>
      <c r="B929">
        <v>127.88</v>
      </c>
      <c r="C929">
        <v>129.63749999999999</v>
      </c>
      <c r="D929">
        <v>159.88</v>
      </c>
      <c r="E929">
        <f t="shared" si="14"/>
        <v>98.734999999999999</v>
      </c>
      <c r="F929" t="str" cm="1">
        <f t="array" ref="F929">INDEX({"Pay as you go","Prediction_PACK","Prediction_Payasyougo","Competitor"},MATCH(MIN(A929:D929), A929:D929, 0))</f>
        <v>Pay as you go</v>
      </c>
    </row>
    <row r="930" spans="1:6" x14ac:dyDescent="0.25">
      <c r="A930">
        <v>94.676000000000002</v>
      </c>
      <c r="B930">
        <v>117.88</v>
      </c>
      <c r="C930">
        <v>128.49449999999999</v>
      </c>
      <c r="D930">
        <v>139.88</v>
      </c>
      <c r="E930">
        <f t="shared" si="14"/>
        <v>94.676000000000002</v>
      </c>
      <c r="F930" t="str" cm="1">
        <f t="array" ref="F930">INDEX({"Pay as you go","Prediction_PACK","Prediction_Payasyougo","Competitor"},MATCH(MIN(A930:D930), A930:D930, 0))</f>
        <v>Pay as you go</v>
      </c>
    </row>
    <row r="931" spans="1:6" x14ac:dyDescent="0.25">
      <c r="A931">
        <v>144.71299999999999</v>
      </c>
      <c r="B931">
        <v>117.88</v>
      </c>
      <c r="C931">
        <v>126.95099999999999</v>
      </c>
      <c r="D931">
        <v>179.88</v>
      </c>
      <c r="E931">
        <f t="shared" si="14"/>
        <v>117.88</v>
      </c>
      <c r="F931" t="str" cm="1">
        <f t="array" ref="F931">INDEX({"Pay as you go","Prediction_PACK","Prediction_Payasyougo","Competitor"},MATCH(MIN(A931:D931), A931:D931, 0))</f>
        <v>Prediction_PACK</v>
      </c>
    </row>
    <row r="932" spans="1:6" x14ac:dyDescent="0.25">
      <c r="A932">
        <v>119.645</v>
      </c>
      <c r="B932">
        <v>117.88</v>
      </c>
      <c r="C932">
        <v>125.83499999999999</v>
      </c>
      <c r="D932">
        <v>149.88</v>
      </c>
      <c r="E932">
        <f t="shared" si="14"/>
        <v>117.88</v>
      </c>
      <c r="F932" t="str" cm="1">
        <f t="array" ref="F932">INDEX({"Pay as you go","Prediction_PACK","Prediction_Payasyougo","Competitor"},MATCH(MIN(A932:D932), A932:D932, 0))</f>
        <v>Prediction_PACK</v>
      </c>
    </row>
    <row r="933" spans="1:6" x14ac:dyDescent="0.25">
      <c r="A933">
        <v>70.225999999999999</v>
      </c>
      <c r="B933">
        <v>111.88</v>
      </c>
      <c r="C933">
        <v>111.5835</v>
      </c>
      <c r="D933">
        <v>129.88</v>
      </c>
      <c r="E933">
        <f t="shared" si="14"/>
        <v>70.225999999999999</v>
      </c>
      <c r="F933" t="str" cm="1">
        <f t="array" ref="F933">INDEX({"Pay as you go","Prediction_PACK","Prediction_Payasyougo","Competitor"},MATCH(MIN(A933:D933), A933:D933, 0))</f>
        <v>Pay as you go</v>
      </c>
    </row>
    <row r="934" spans="1:6" x14ac:dyDescent="0.25">
      <c r="A934">
        <v>117.99000000000001</v>
      </c>
      <c r="B934">
        <v>117.88</v>
      </c>
      <c r="C934">
        <v>121.461</v>
      </c>
      <c r="D934">
        <v>159.88</v>
      </c>
      <c r="E934">
        <f t="shared" si="14"/>
        <v>117.88</v>
      </c>
      <c r="F934" t="str" cm="1">
        <f t="array" ref="F934">INDEX({"Pay as you go","Prediction_PACK","Prediction_Payasyougo","Competitor"},MATCH(MIN(A934:D934), A934:D934, 0))</f>
        <v>Prediction_PACK</v>
      </c>
    </row>
    <row r="935" spans="1:6" x14ac:dyDescent="0.25">
      <c r="A935">
        <v>117.628</v>
      </c>
      <c r="B935">
        <v>127.88</v>
      </c>
      <c r="C935">
        <v>134.4435</v>
      </c>
      <c r="D935">
        <v>159.88</v>
      </c>
      <c r="E935">
        <f t="shared" si="14"/>
        <v>117.628</v>
      </c>
      <c r="F935" t="str" cm="1">
        <f t="array" ref="F935">INDEX({"Pay as you go","Prediction_PACK","Prediction_Payasyougo","Competitor"},MATCH(MIN(A935:D935), A935:D935, 0))</f>
        <v>Pay as you go</v>
      </c>
    </row>
    <row r="936" spans="1:6" x14ac:dyDescent="0.25">
      <c r="A936">
        <v>139.15900000000002</v>
      </c>
      <c r="B936">
        <v>127.88</v>
      </c>
      <c r="C936">
        <v>125.05199999999999</v>
      </c>
      <c r="D936">
        <v>169.88</v>
      </c>
      <c r="E936">
        <f t="shared" si="14"/>
        <v>125.05199999999999</v>
      </c>
      <c r="F936" t="str" cm="1">
        <f t="array" ref="F936">INDEX({"Pay as you go","Prediction_PACK","Prediction_Payasyougo","Competitor"},MATCH(MIN(A936:D936), A936:D936, 0))</f>
        <v>Prediction_Payasyougo</v>
      </c>
    </row>
    <row r="937" spans="1:6" x14ac:dyDescent="0.25">
      <c r="A937">
        <v>118.99199999999999</v>
      </c>
      <c r="B937">
        <v>143.88</v>
      </c>
      <c r="C937">
        <v>139.13249999999999</v>
      </c>
      <c r="D937">
        <v>159.88</v>
      </c>
      <c r="E937">
        <f t="shared" si="14"/>
        <v>118.99199999999999</v>
      </c>
      <c r="F937" t="str" cm="1">
        <f t="array" ref="F937">INDEX({"Pay as you go","Prediction_PACK","Prediction_Payasyougo","Competitor"},MATCH(MIN(A937:D937), A937:D937, 0))</f>
        <v>Pay as you go</v>
      </c>
    </row>
    <row r="938" spans="1:6" x14ac:dyDescent="0.25">
      <c r="A938">
        <v>144.37900000000002</v>
      </c>
      <c r="B938">
        <v>137.88</v>
      </c>
      <c r="C938">
        <v>146.0625</v>
      </c>
      <c r="D938">
        <v>159.88</v>
      </c>
      <c r="E938">
        <f t="shared" si="14"/>
        <v>137.88</v>
      </c>
      <c r="F938" t="str" cm="1">
        <f t="array" ref="F938">INDEX({"Pay as you go","Prediction_PACK","Prediction_Payasyougo","Competitor"},MATCH(MIN(A938:D938), A938:D938, 0))</f>
        <v>Prediction_PACK</v>
      </c>
    </row>
    <row r="939" spans="1:6" x14ac:dyDescent="0.25">
      <c r="A939">
        <v>133.31100000000001</v>
      </c>
      <c r="B939">
        <v>115.88</v>
      </c>
      <c r="C939">
        <v>111.85799999999999</v>
      </c>
      <c r="D939">
        <v>169.88</v>
      </c>
      <c r="E939">
        <f t="shared" si="14"/>
        <v>111.85799999999999</v>
      </c>
      <c r="F939" t="str" cm="1">
        <f t="array" ref="F939">INDEX({"Pay as you go","Prediction_PACK","Prediction_Payasyougo","Competitor"},MATCH(MIN(A939:D939), A939:D939, 0))</f>
        <v>Prediction_Payasyougo</v>
      </c>
    </row>
    <row r="940" spans="1:6" x14ac:dyDescent="0.25">
      <c r="A940">
        <v>117.512</v>
      </c>
      <c r="B940">
        <v>111.88</v>
      </c>
      <c r="C940">
        <v>108.6</v>
      </c>
      <c r="D940">
        <v>149.88</v>
      </c>
      <c r="E940">
        <f t="shared" si="14"/>
        <v>108.6</v>
      </c>
      <c r="F940" t="str" cm="1">
        <f t="array" ref="F940">INDEX({"Pay as you go","Prediction_PACK","Prediction_Payasyougo","Competitor"},MATCH(MIN(A940:D940), A940:D940, 0))</f>
        <v>Prediction_Payasyougo</v>
      </c>
    </row>
    <row r="941" spans="1:6" x14ac:dyDescent="0.25">
      <c r="A941">
        <v>97.367000000000004</v>
      </c>
      <c r="B941">
        <v>127.88</v>
      </c>
      <c r="C941">
        <v>123.83699999999999</v>
      </c>
      <c r="D941">
        <v>159.88</v>
      </c>
      <c r="E941">
        <f t="shared" si="14"/>
        <v>97.367000000000004</v>
      </c>
      <c r="F941" t="str" cm="1">
        <f t="array" ref="F941">INDEX({"Pay as you go","Prediction_PACK","Prediction_Payasyougo","Competitor"},MATCH(MIN(A941:D941), A941:D941, 0))</f>
        <v>Pay as you go</v>
      </c>
    </row>
    <row r="942" spans="1:6" x14ac:dyDescent="0.25">
      <c r="A942">
        <v>125.871</v>
      </c>
      <c r="B942">
        <v>111.88</v>
      </c>
      <c r="C942">
        <v>112.173</v>
      </c>
      <c r="D942">
        <v>159.88</v>
      </c>
      <c r="E942">
        <f t="shared" si="14"/>
        <v>111.88</v>
      </c>
      <c r="F942" t="str" cm="1">
        <f t="array" ref="F942">INDEX({"Pay as you go","Prediction_PACK","Prediction_Payasyougo","Competitor"},MATCH(MIN(A942:D942), A942:D942, 0))</f>
        <v>Prediction_PACK</v>
      </c>
    </row>
    <row r="943" spans="1:6" x14ac:dyDescent="0.25">
      <c r="A943">
        <v>127.899</v>
      </c>
      <c r="B943">
        <v>111.88</v>
      </c>
      <c r="C943">
        <v>108.39749999999999</v>
      </c>
      <c r="D943">
        <v>154.88</v>
      </c>
      <c r="E943">
        <f t="shared" si="14"/>
        <v>108.39749999999999</v>
      </c>
      <c r="F943" t="str" cm="1">
        <f t="array" ref="F943">INDEX({"Pay as you go","Prediction_PACK","Prediction_Payasyougo","Competitor"},MATCH(MIN(A943:D943), A943:D943, 0))</f>
        <v>Prediction_Payasyougo</v>
      </c>
    </row>
    <row r="944" spans="1:6" x14ac:dyDescent="0.25">
      <c r="A944">
        <v>148.233</v>
      </c>
      <c r="B944">
        <v>147.88</v>
      </c>
      <c r="C944">
        <v>168.91800000000001</v>
      </c>
      <c r="D944">
        <v>169.88</v>
      </c>
      <c r="E944">
        <f t="shared" si="14"/>
        <v>147.88</v>
      </c>
      <c r="F944" t="str" cm="1">
        <f t="array" ref="F944">INDEX({"Pay as you go","Prediction_PACK","Prediction_Payasyougo","Competitor"},MATCH(MIN(A944:D944), A944:D944, 0))</f>
        <v>Prediction_PACK</v>
      </c>
    </row>
    <row r="945" spans="1:6" x14ac:dyDescent="0.25">
      <c r="A945">
        <v>216.887</v>
      </c>
      <c r="B945">
        <v>167.88</v>
      </c>
      <c r="C945">
        <v>210.75</v>
      </c>
      <c r="D945">
        <v>209.88</v>
      </c>
      <c r="E945">
        <f t="shared" si="14"/>
        <v>167.88</v>
      </c>
      <c r="F945" t="str" cm="1">
        <f t="array" ref="F945">INDEX({"Pay as you go","Prediction_PACK","Prediction_Payasyougo","Competitor"},MATCH(MIN(A945:D945), A945:D945, 0))</f>
        <v>Prediction_PACK</v>
      </c>
    </row>
    <row r="946" spans="1:6" x14ac:dyDescent="0.25">
      <c r="A946">
        <v>141.80199999999999</v>
      </c>
      <c r="B946">
        <v>137.88</v>
      </c>
      <c r="C946">
        <v>137.08949999999999</v>
      </c>
      <c r="D946">
        <v>159.88</v>
      </c>
      <c r="E946">
        <f t="shared" si="14"/>
        <v>137.08949999999999</v>
      </c>
      <c r="F946" t="str" cm="1">
        <f t="array" ref="F946">INDEX({"Pay as you go","Prediction_PACK","Prediction_Payasyougo","Competitor"},MATCH(MIN(A946:D946), A946:D946, 0))</f>
        <v>Prediction_Payasyougo</v>
      </c>
    </row>
    <row r="947" spans="1:6" x14ac:dyDescent="0.25">
      <c r="A947">
        <v>184.84799999999998</v>
      </c>
      <c r="B947">
        <v>167.88</v>
      </c>
      <c r="C947">
        <v>189.75299999999999</v>
      </c>
      <c r="D947">
        <v>189.88</v>
      </c>
      <c r="E947">
        <f t="shared" si="14"/>
        <v>167.88</v>
      </c>
      <c r="F947" t="str" cm="1">
        <f t="array" ref="F947">INDEX({"Pay as you go","Prediction_PACK","Prediction_Payasyougo","Competitor"},MATCH(MIN(A947:D947), A947:D947, 0))</f>
        <v>Prediction_PACK</v>
      </c>
    </row>
    <row r="948" spans="1:6" x14ac:dyDescent="0.25">
      <c r="A948">
        <v>173.47300000000001</v>
      </c>
      <c r="B948">
        <v>127.88</v>
      </c>
      <c r="C948">
        <v>136.08150000000001</v>
      </c>
      <c r="D948">
        <v>169.88</v>
      </c>
      <c r="E948">
        <f t="shared" si="14"/>
        <v>127.88</v>
      </c>
      <c r="F948" t="str" cm="1">
        <f t="array" ref="F948">INDEX({"Pay as you go","Prediction_PACK","Prediction_Payasyougo","Competitor"},MATCH(MIN(A948:D948), A948:D948, 0))</f>
        <v>Prediction_PACK</v>
      </c>
    </row>
    <row r="949" spans="1:6" x14ac:dyDescent="0.25">
      <c r="A949">
        <v>117.36199999999999</v>
      </c>
      <c r="B949">
        <v>117.88</v>
      </c>
      <c r="C949">
        <v>125.0025</v>
      </c>
      <c r="D949">
        <v>159.88</v>
      </c>
      <c r="E949">
        <f t="shared" si="14"/>
        <v>117.36199999999999</v>
      </c>
      <c r="F949" t="str" cm="1">
        <f t="array" ref="F949">INDEX({"Pay as you go","Prediction_PACK","Prediction_Payasyougo","Competitor"},MATCH(MIN(A949:D949), A949:D949, 0))</f>
        <v>Pay as you go</v>
      </c>
    </row>
    <row r="950" spans="1:6" x14ac:dyDescent="0.25">
      <c r="A950">
        <v>143.61600000000001</v>
      </c>
      <c r="B950">
        <v>115.88</v>
      </c>
      <c r="C950">
        <v>114.4635</v>
      </c>
      <c r="D950">
        <v>159.88</v>
      </c>
      <c r="E950">
        <f t="shared" si="14"/>
        <v>114.4635</v>
      </c>
      <c r="F950" t="str" cm="1">
        <f t="array" ref="F950">INDEX({"Pay as you go","Prediction_PACK","Prediction_Payasyougo","Competitor"},MATCH(MIN(A950:D950), A950:D950, 0))</f>
        <v>Prediction_Payasyougo</v>
      </c>
    </row>
    <row r="951" spans="1:6" x14ac:dyDescent="0.25">
      <c r="A951">
        <v>138.21799999999999</v>
      </c>
      <c r="B951">
        <v>137.88</v>
      </c>
      <c r="C951">
        <v>141.57599999999999</v>
      </c>
      <c r="D951">
        <v>159.88</v>
      </c>
      <c r="E951">
        <f t="shared" si="14"/>
        <v>137.88</v>
      </c>
      <c r="F951" t="str" cm="1">
        <f t="array" ref="F951">INDEX({"Pay as you go","Prediction_PACK","Prediction_Payasyougo","Competitor"},MATCH(MIN(A951:D951), A951:D951, 0))</f>
        <v>Prediction_PACK</v>
      </c>
    </row>
    <row r="952" spans="1:6" x14ac:dyDescent="0.25">
      <c r="A952">
        <v>196.155</v>
      </c>
      <c r="B952">
        <v>177.88</v>
      </c>
      <c r="C952">
        <v>228.14699999999999</v>
      </c>
      <c r="D952">
        <v>209.88</v>
      </c>
      <c r="E952">
        <f t="shared" si="14"/>
        <v>177.88</v>
      </c>
      <c r="F952" t="str" cm="1">
        <f t="array" ref="F952">INDEX({"Pay as you go","Prediction_PACK","Prediction_Payasyougo","Competitor"},MATCH(MIN(A952:D952), A952:D952, 0))</f>
        <v>Prediction_PACK</v>
      </c>
    </row>
    <row r="953" spans="1:6" x14ac:dyDescent="0.25">
      <c r="A953">
        <v>144.45500000000001</v>
      </c>
      <c r="B953">
        <v>137.88</v>
      </c>
      <c r="C953">
        <v>163.7295</v>
      </c>
      <c r="D953">
        <v>159.88</v>
      </c>
      <c r="E953">
        <f t="shared" si="14"/>
        <v>137.88</v>
      </c>
      <c r="F953" t="str" cm="1">
        <f t="array" ref="F953">INDEX({"Pay as you go","Prediction_PACK","Prediction_Payasyougo","Competitor"},MATCH(MIN(A953:D953), A953:D953, 0))</f>
        <v>Prediction_PACK</v>
      </c>
    </row>
    <row r="954" spans="1:6" x14ac:dyDescent="0.25">
      <c r="A954">
        <v>121.227</v>
      </c>
      <c r="B954">
        <v>117.88</v>
      </c>
      <c r="C954">
        <v>118.6755</v>
      </c>
      <c r="D954">
        <v>149.88</v>
      </c>
      <c r="E954">
        <f t="shared" si="14"/>
        <v>117.88</v>
      </c>
      <c r="F954" t="str" cm="1">
        <f t="array" ref="F954">INDEX({"Pay as you go","Prediction_PACK","Prediction_Payasyougo","Competitor"},MATCH(MIN(A954:D954), A954:D954, 0))</f>
        <v>Prediction_PACK</v>
      </c>
    </row>
    <row r="955" spans="1:6" x14ac:dyDescent="0.25">
      <c r="A955">
        <v>105.27818037435893</v>
      </c>
      <c r="B955">
        <v>115.88</v>
      </c>
      <c r="C955">
        <v>112.911</v>
      </c>
      <c r="D955">
        <v>149.88</v>
      </c>
      <c r="E955">
        <f t="shared" si="14"/>
        <v>105.27818037435893</v>
      </c>
      <c r="F955" t="str" cm="1">
        <f t="array" ref="F955">INDEX({"Pay as you go","Prediction_PACK","Prediction_Payasyougo","Competitor"},MATCH(MIN(A955:D955), A955:D955, 0))</f>
        <v>Pay as you go</v>
      </c>
    </row>
    <row r="956" spans="1:6" x14ac:dyDescent="0.25">
      <c r="A956">
        <v>87.402274186321989</v>
      </c>
      <c r="B956">
        <v>107.88</v>
      </c>
      <c r="C956">
        <v>107.88</v>
      </c>
      <c r="D956">
        <v>124.88</v>
      </c>
      <c r="E956">
        <f t="shared" si="14"/>
        <v>87.402274186321989</v>
      </c>
      <c r="F956" t="str" cm="1">
        <f t="array" ref="F956">INDEX({"Pay as you go","Prediction_PACK","Prediction_Payasyougo","Competitor"},MATCH(MIN(A956:D956), A956:D956, 0))</f>
        <v>Pay as you go</v>
      </c>
    </row>
    <row r="957" spans="1:6" x14ac:dyDescent="0.25">
      <c r="A957">
        <v>81.159001163172732</v>
      </c>
      <c r="B957">
        <v>107.88</v>
      </c>
      <c r="C957">
        <v>107.88</v>
      </c>
      <c r="D957">
        <v>134.88</v>
      </c>
      <c r="E957">
        <f t="shared" si="14"/>
        <v>81.159001163172732</v>
      </c>
      <c r="F957" t="str" cm="1">
        <f t="array" ref="F957">INDEX({"Pay as you go","Prediction_PACK","Prediction_Payasyougo","Competitor"},MATCH(MIN(A957:D957), A957:D957, 0))</f>
        <v>Pay as you go</v>
      </c>
    </row>
    <row r="958" spans="1:6" x14ac:dyDescent="0.25">
      <c r="A958">
        <v>86.175315377680036</v>
      </c>
      <c r="B958">
        <v>107.88</v>
      </c>
      <c r="C958">
        <v>107.88</v>
      </c>
      <c r="D958">
        <v>124.88</v>
      </c>
      <c r="E958">
        <f t="shared" si="14"/>
        <v>86.175315377680036</v>
      </c>
      <c r="F958" t="str" cm="1">
        <f t="array" ref="F958">INDEX({"Pay as you go","Prediction_PACK","Prediction_Payasyougo","Competitor"},MATCH(MIN(A958:D958), A958:D958, 0))</f>
        <v>Pay as you go</v>
      </c>
    </row>
    <row r="959" spans="1:6" x14ac:dyDescent="0.25">
      <c r="A959">
        <v>99.929411371348053</v>
      </c>
      <c r="B959">
        <v>107.88</v>
      </c>
      <c r="C959">
        <v>107.88</v>
      </c>
      <c r="D959">
        <v>134.88</v>
      </c>
      <c r="E959">
        <f t="shared" si="14"/>
        <v>99.929411371348053</v>
      </c>
      <c r="F959" t="str" cm="1">
        <f t="array" ref="F959">INDEX({"Pay as you go","Prediction_PACK","Prediction_Payasyougo","Competitor"},MATCH(MIN(A959:D959), A959:D959, 0))</f>
        <v>Pay as you go</v>
      </c>
    </row>
    <row r="960" spans="1:6" x14ac:dyDescent="0.25">
      <c r="A960">
        <v>110.83752384707455</v>
      </c>
      <c r="B960">
        <v>122.88</v>
      </c>
      <c r="C960">
        <v>140.77949999999998</v>
      </c>
      <c r="D960">
        <v>149.88</v>
      </c>
      <c r="E960">
        <f t="shared" si="14"/>
        <v>110.83752384707455</v>
      </c>
      <c r="F960" t="str" cm="1">
        <f t="array" ref="F960">INDEX({"Pay as you go","Prediction_PACK","Prediction_Payasyougo","Competitor"},MATCH(MIN(A960:D960), A960:D960, 0))</f>
        <v>Pay as you go</v>
      </c>
    </row>
    <row r="961" spans="1:6" x14ac:dyDescent="0.25">
      <c r="A961">
        <v>106.32651801127558</v>
      </c>
      <c r="B961">
        <v>117.88</v>
      </c>
      <c r="C961">
        <v>118.42349999999999</v>
      </c>
      <c r="D961">
        <v>139.88</v>
      </c>
      <c r="E961">
        <f t="shared" si="14"/>
        <v>106.32651801127558</v>
      </c>
      <c r="F961" t="str" cm="1">
        <f t="array" ref="F961">INDEX({"Pay as you go","Prediction_PACK","Prediction_Payasyougo","Competitor"},MATCH(MIN(A961:D961), A961:D961, 0))</f>
        <v>Pay as you go</v>
      </c>
    </row>
    <row r="962" spans="1:6" x14ac:dyDescent="0.25">
      <c r="A962">
        <v>83.904118525160257</v>
      </c>
      <c r="B962">
        <v>111.88</v>
      </c>
      <c r="C962">
        <v>112.146</v>
      </c>
      <c r="D962">
        <v>129.88</v>
      </c>
      <c r="E962">
        <f t="shared" si="14"/>
        <v>83.904118525160257</v>
      </c>
      <c r="F962" t="str" cm="1">
        <f t="array" ref="F962">INDEX({"Pay as you go","Prediction_PACK","Prediction_Payasyougo","Competitor"},MATCH(MIN(A962:D962), A962:D962, 0))</f>
        <v>Pay as you go</v>
      </c>
    </row>
    <row r="963" spans="1:6" x14ac:dyDescent="0.25">
      <c r="A963">
        <v>103.09057786825868</v>
      </c>
      <c r="B963">
        <v>115.88</v>
      </c>
      <c r="C963">
        <v>113.982</v>
      </c>
      <c r="D963">
        <v>139.88</v>
      </c>
      <c r="E963">
        <f t="shared" si="14"/>
        <v>103.09057786825868</v>
      </c>
      <c r="F963" t="str" cm="1">
        <f t="array" ref="F963">INDEX({"Pay as you go","Prediction_PACK","Prediction_Payasyougo","Competitor"},MATCH(MIN(A963:D963), A963:D963, 0))</f>
        <v>Pay as you go</v>
      </c>
    </row>
    <row r="964" spans="1:6" x14ac:dyDescent="0.25">
      <c r="A964">
        <v>74.291219821491012</v>
      </c>
      <c r="B964">
        <v>111.88</v>
      </c>
      <c r="C964">
        <v>110.46299999999999</v>
      </c>
      <c r="D964">
        <v>129.88</v>
      </c>
      <c r="E964">
        <f t="shared" si="14"/>
        <v>74.291219821491012</v>
      </c>
      <c r="F964" t="str" cm="1">
        <f t="array" ref="F964">INDEX({"Pay as you go","Prediction_PACK","Prediction_Payasyougo","Competitor"},MATCH(MIN(A964:D964), A964:D964, 0))</f>
        <v>Pay as you go</v>
      </c>
    </row>
    <row r="965" spans="1:6" x14ac:dyDescent="0.25">
      <c r="A965">
        <v>177.55583116015069</v>
      </c>
      <c r="B965">
        <v>147.88</v>
      </c>
      <c r="C965">
        <v>164.14349999999999</v>
      </c>
      <c r="D965">
        <v>169.88</v>
      </c>
      <c r="E965">
        <f t="shared" si="14"/>
        <v>147.88</v>
      </c>
      <c r="F965" t="str" cm="1">
        <f t="array" ref="F965">INDEX({"Pay as you go","Prediction_PACK","Prediction_Payasyougo","Competitor"},MATCH(MIN(A965:D965), A965:D965, 0))</f>
        <v>Prediction_PACK</v>
      </c>
    </row>
    <row r="966" spans="1:6" x14ac:dyDescent="0.25">
      <c r="A966">
        <v>95.568337192384362</v>
      </c>
      <c r="B966">
        <v>127.88</v>
      </c>
      <c r="C966">
        <v>133.7235</v>
      </c>
      <c r="D966">
        <v>149.88</v>
      </c>
      <c r="E966">
        <f t="shared" si="14"/>
        <v>95.568337192384362</v>
      </c>
      <c r="F966" t="str" cm="1">
        <f t="array" ref="F966">INDEX({"Pay as you go","Prediction_PACK","Prediction_Payasyougo","Competitor"},MATCH(MIN(A966:D966), A966:D966, 0))</f>
        <v>Pay as you go</v>
      </c>
    </row>
    <row r="967" spans="1:6" x14ac:dyDescent="0.25">
      <c r="A967">
        <v>115.89845361229538</v>
      </c>
      <c r="B967">
        <v>122.88</v>
      </c>
      <c r="C967">
        <v>132.88200000000001</v>
      </c>
      <c r="D967">
        <v>159.88</v>
      </c>
      <c r="E967">
        <f t="shared" si="14"/>
        <v>115.89845361229538</v>
      </c>
      <c r="F967" t="str" cm="1">
        <f t="array" ref="F967">INDEX({"Pay as you go","Prediction_PACK","Prediction_Payasyougo","Competitor"},MATCH(MIN(A967:D967), A967:D967, 0))</f>
        <v>Pay as you go</v>
      </c>
    </row>
    <row r="968" spans="1:6" x14ac:dyDescent="0.25">
      <c r="A968">
        <v>63.946743540678376</v>
      </c>
      <c r="B968">
        <v>107.88</v>
      </c>
      <c r="C968">
        <v>107.88</v>
      </c>
      <c r="D968">
        <v>119.88</v>
      </c>
      <c r="E968">
        <f t="shared" si="14"/>
        <v>63.946743540678376</v>
      </c>
      <c r="F968" t="str" cm="1">
        <f t="array" ref="F968">INDEX({"Pay as you go","Prediction_PACK","Prediction_Payasyougo","Competitor"},MATCH(MIN(A968:D968), A968:D968, 0))</f>
        <v>Pay as you go</v>
      </c>
    </row>
    <row r="969" spans="1:6" x14ac:dyDescent="0.25">
      <c r="A969">
        <v>98.293001020800233</v>
      </c>
      <c r="B969">
        <v>127.88</v>
      </c>
      <c r="C969">
        <v>128.904</v>
      </c>
      <c r="D969">
        <v>139.88</v>
      </c>
      <c r="E969">
        <f t="shared" ref="E969:E1007" si="15">MIN(A969:D969)</f>
        <v>98.293001020800233</v>
      </c>
      <c r="F969" t="str" cm="1">
        <f t="array" ref="F969">INDEX({"Pay as you go","Prediction_PACK","Prediction_Payasyougo","Competitor"},MATCH(MIN(A969:D969), A969:D969, 0))</f>
        <v>Pay as you go</v>
      </c>
    </row>
    <row r="970" spans="1:6" x14ac:dyDescent="0.25">
      <c r="A970">
        <v>146.74853374627537</v>
      </c>
      <c r="B970">
        <v>115.88</v>
      </c>
      <c r="C970">
        <v>112.6365</v>
      </c>
      <c r="D970">
        <v>159.88</v>
      </c>
      <c r="E970">
        <f t="shared" si="15"/>
        <v>112.6365</v>
      </c>
      <c r="F970" t="str" cm="1">
        <f t="array" ref="F970">INDEX({"Pay as you go","Prediction_PACK","Prediction_Payasyougo","Competitor"},MATCH(MIN(A970:D970), A970:D970, 0))</f>
        <v>Prediction_Payasyougo</v>
      </c>
    </row>
    <row r="971" spans="1:6" x14ac:dyDescent="0.25">
      <c r="A971">
        <v>99.191801117255451</v>
      </c>
      <c r="B971">
        <v>119.88</v>
      </c>
      <c r="C971">
        <v>118.464</v>
      </c>
      <c r="D971">
        <v>139.88</v>
      </c>
      <c r="E971">
        <f t="shared" si="15"/>
        <v>99.191801117255451</v>
      </c>
      <c r="F971" t="str" cm="1">
        <f t="array" ref="F971">INDEX({"Pay as you go","Prediction_PACK","Prediction_Payasyougo","Competitor"},MATCH(MIN(A971:D971), A971:D971, 0))</f>
        <v>Pay as you go</v>
      </c>
    </row>
    <row r="972" spans="1:6" x14ac:dyDescent="0.25">
      <c r="A972">
        <v>115.5442190813985</v>
      </c>
      <c r="B972">
        <v>122.88</v>
      </c>
      <c r="C972">
        <v>133.39499999999998</v>
      </c>
      <c r="D972">
        <v>159.88</v>
      </c>
      <c r="E972">
        <f t="shared" si="15"/>
        <v>115.5442190813985</v>
      </c>
      <c r="F972" t="str" cm="1">
        <f t="array" ref="F972">INDEX({"Pay as you go","Prediction_PACK","Prediction_Payasyougo","Competitor"},MATCH(MIN(A972:D972), A972:D972, 0))</f>
        <v>Pay as you go</v>
      </c>
    </row>
    <row r="973" spans="1:6" x14ac:dyDescent="0.25">
      <c r="A973">
        <v>145.10545792760135</v>
      </c>
      <c r="B973">
        <v>127.88</v>
      </c>
      <c r="C973">
        <v>137.85899999999998</v>
      </c>
      <c r="D973">
        <v>169.88</v>
      </c>
      <c r="E973">
        <f t="shared" si="15"/>
        <v>127.88</v>
      </c>
      <c r="F973" t="str" cm="1">
        <f t="array" ref="F973">INDEX({"Pay as you go","Prediction_PACK","Prediction_Payasyougo","Competitor"},MATCH(MIN(A973:D973), A973:D973, 0))</f>
        <v>Prediction_PACK</v>
      </c>
    </row>
    <row r="974" spans="1:6" x14ac:dyDescent="0.25">
      <c r="A974">
        <v>125.10157969609742</v>
      </c>
      <c r="B974">
        <v>117.88</v>
      </c>
      <c r="C974">
        <v>129.26399999999998</v>
      </c>
      <c r="D974">
        <v>149.88</v>
      </c>
      <c r="E974">
        <f t="shared" si="15"/>
        <v>117.88</v>
      </c>
      <c r="F974" t="str" cm="1">
        <f t="array" ref="F974">INDEX({"Pay as you go","Prediction_PACK","Prediction_Payasyougo","Competitor"},MATCH(MIN(A974:D974), A974:D974, 0))</f>
        <v>Prediction_PACK</v>
      </c>
    </row>
    <row r="975" spans="1:6" x14ac:dyDescent="0.25">
      <c r="A975">
        <v>133.14038571747321</v>
      </c>
      <c r="B975">
        <v>122.88</v>
      </c>
      <c r="C975">
        <v>133.87649999999999</v>
      </c>
      <c r="D975">
        <v>159.88</v>
      </c>
      <c r="E975">
        <f t="shared" si="15"/>
        <v>122.88</v>
      </c>
      <c r="F975" t="str" cm="1">
        <f t="array" ref="F975">INDEX({"Pay as you go","Prediction_PACK","Prediction_Payasyougo","Competitor"},MATCH(MIN(A975:D975), A975:D975, 0))</f>
        <v>Prediction_PACK</v>
      </c>
    </row>
    <row r="976" spans="1:6" x14ac:dyDescent="0.25">
      <c r="A976">
        <v>119.79945719433931</v>
      </c>
      <c r="B976">
        <v>122.88</v>
      </c>
      <c r="C976">
        <v>136.26149999999998</v>
      </c>
      <c r="D976">
        <v>149.88</v>
      </c>
      <c r="E976">
        <f t="shared" si="15"/>
        <v>119.79945719433931</v>
      </c>
      <c r="F976" t="str" cm="1">
        <f t="array" ref="F976">INDEX({"Pay as you go","Prediction_PACK","Prediction_Payasyougo","Competitor"},MATCH(MIN(A976:D976), A976:D976, 0))</f>
        <v>Pay as you go</v>
      </c>
    </row>
    <row r="977" spans="1:6" x14ac:dyDescent="0.25">
      <c r="A977">
        <v>139.8805379048143</v>
      </c>
      <c r="B977">
        <v>127.88</v>
      </c>
      <c r="C977">
        <v>128.70599999999999</v>
      </c>
      <c r="D977">
        <v>159.88</v>
      </c>
      <c r="E977">
        <f t="shared" si="15"/>
        <v>127.88</v>
      </c>
      <c r="F977" t="str" cm="1">
        <f t="array" ref="F977">INDEX({"Pay as you go","Prediction_PACK","Prediction_Payasyougo","Competitor"},MATCH(MIN(A977:D977), A977:D977, 0))</f>
        <v>Prediction_PACK</v>
      </c>
    </row>
    <row r="978" spans="1:6" x14ac:dyDescent="0.25">
      <c r="A978">
        <v>163.88510635522385</v>
      </c>
      <c r="B978">
        <v>155.88</v>
      </c>
      <c r="C978">
        <v>152.268</v>
      </c>
      <c r="D978">
        <v>189.88</v>
      </c>
      <c r="E978">
        <f t="shared" si="15"/>
        <v>152.268</v>
      </c>
      <c r="F978" t="str" cm="1">
        <f t="array" ref="F978">INDEX({"Pay as you go","Prediction_PACK","Prediction_Payasyougo","Competitor"},MATCH(MIN(A978:D978), A978:D978, 0))</f>
        <v>Prediction_Payasyougo</v>
      </c>
    </row>
    <row r="979" spans="1:6" x14ac:dyDescent="0.25">
      <c r="A979">
        <v>71.904754485193891</v>
      </c>
      <c r="B979">
        <v>117.88</v>
      </c>
      <c r="C979">
        <v>117.07799999999999</v>
      </c>
      <c r="D979">
        <v>129.88</v>
      </c>
      <c r="E979">
        <f t="shared" si="15"/>
        <v>71.904754485193891</v>
      </c>
      <c r="F979" t="str" cm="1">
        <f t="array" ref="F979">INDEX({"Pay as you go","Prediction_PACK","Prediction_Payasyougo","Competitor"},MATCH(MIN(A979:D979), A979:D979, 0))</f>
        <v>Pay as you go</v>
      </c>
    </row>
    <row r="980" spans="1:6" x14ac:dyDescent="0.25">
      <c r="A980">
        <v>51.201158201492873</v>
      </c>
      <c r="B980">
        <v>107.88</v>
      </c>
      <c r="C980">
        <v>107.88</v>
      </c>
      <c r="D980">
        <v>119.88</v>
      </c>
      <c r="E980">
        <f t="shared" si="15"/>
        <v>51.201158201492873</v>
      </c>
      <c r="F980" t="str" cm="1">
        <f t="array" ref="F980">INDEX({"Pay as you go","Prediction_PACK","Prediction_Payasyougo","Competitor"},MATCH(MIN(A980:D980), A980:D980, 0))</f>
        <v>Pay as you go</v>
      </c>
    </row>
    <row r="981" spans="1:6" x14ac:dyDescent="0.25">
      <c r="A981">
        <v>158.47916794379771</v>
      </c>
      <c r="B981">
        <v>137.88</v>
      </c>
      <c r="C981">
        <v>142.04849999999999</v>
      </c>
      <c r="D981">
        <v>179.88</v>
      </c>
      <c r="E981">
        <f t="shared" si="15"/>
        <v>137.88</v>
      </c>
      <c r="F981" t="str" cm="1">
        <f t="array" ref="F981">INDEX({"Pay as you go","Prediction_PACK","Prediction_Payasyougo","Competitor"},MATCH(MIN(A981:D981), A981:D981, 0))</f>
        <v>Prediction_PACK</v>
      </c>
    </row>
    <row r="982" spans="1:6" x14ac:dyDescent="0.25">
      <c r="A982">
        <v>96.323920045871631</v>
      </c>
      <c r="B982">
        <v>115.88</v>
      </c>
      <c r="C982">
        <v>113.982</v>
      </c>
      <c r="D982">
        <v>139.88</v>
      </c>
      <c r="E982">
        <f t="shared" si="15"/>
        <v>96.323920045871631</v>
      </c>
      <c r="F982" t="str" cm="1">
        <f t="array" ref="F982">INDEX({"Pay as you go","Prediction_PACK","Prediction_Payasyougo","Competitor"},MATCH(MIN(A982:D982), A982:D982, 0))</f>
        <v>Pay as you go</v>
      </c>
    </row>
    <row r="983" spans="1:6" x14ac:dyDescent="0.25">
      <c r="A983">
        <v>137.717176646963</v>
      </c>
      <c r="B983">
        <v>137.88</v>
      </c>
      <c r="C983">
        <v>138.05699999999999</v>
      </c>
      <c r="D983">
        <v>169.88</v>
      </c>
      <c r="E983">
        <f t="shared" si="15"/>
        <v>137.717176646963</v>
      </c>
      <c r="F983" t="str" cm="1">
        <f t="array" ref="F983">INDEX({"Pay as you go","Prediction_PACK","Prediction_Payasyougo","Competitor"},MATCH(MIN(A983:D983), A983:D983, 0))</f>
        <v>Pay as you go</v>
      </c>
    </row>
    <row r="984" spans="1:6" x14ac:dyDescent="0.25">
      <c r="A984">
        <v>69.246628592599336</v>
      </c>
      <c r="B984">
        <v>107.88</v>
      </c>
      <c r="C984">
        <v>107.88</v>
      </c>
      <c r="D984">
        <v>124.88</v>
      </c>
      <c r="E984">
        <f t="shared" si="15"/>
        <v>69.246628592599336</v>
      </c>
      <c r="F984" t="str" cm="1">
        <f t="array" ref="F984">INDEX({"Pay as you go","Prediction_PACK","Prediction_Payasyougo","Competitor"},MATCH(MIN(A984:D984), A984:D984, 0))</f>
        <v>Pay as you go</v>
      </c>
    </row>
    <row r="985" spans="1:6" x14ac:dyDescent="0.25">
      <c r="A985">
        <v>122.63023902625484</v>
      </c>
      <c r="B985">
        <v>117.88</v>
      </c>
      <c r="C985">
        <v>120.40349999999999</v>
      </c>
      <c r="D985">
        <v>169.88</v>
      </c>
      <c r="E985">
        <f t="shared" si="15"/>
        <v>117.88</v>
      </c>
      <c r="F985" t="str" cm="1">
        <f t="array" ref="F985">INDEX({"Pay as you go","Prediction_PACK","Prediction_Payasyougo","Competitor"},MATCH(MIN(A985:D985), A985:D985, 0))</f>
        <v>Prediction_PACK</v>
      </c>
    </row>
    <row r="986" spans="1:6" x14ac:dyDescent="0.25">
      <c r="A986">
        <v>78.814857709582526</v>
      </c>
      <c r="B986">
        <v>107.88</v>
      </c>
      <c r="C986">
        <v>107.88</v>
      </c>
      <c r="D986">
        <v>139.88</v>
      </c>
      <c r="E986">
        <f t="shared" si="15"/>
        <v>78.814857709582526</v>
      </c>
      <c r="F986" t="str" cm="1">
        <f t="array" ref="F986">INDEX({"Pay as you go","Prediction_PACK","Prediction_Payasyougo","Competitor"},MATCH(MIN(A986:D986), A986:D986, 0))</f>
        <v>Pay as you go</v>
      </c>
    </row>
    <row r="987" spans="1:6" x14ac:dyDescent="0.25">
      <c r="A987">
        <v>158.65865638149589</v>
      </c>
      <c r="B987">
        <v>137.88</v>
      </c>
      <c r="C987">
        <v>155.66999999999999</v>
      </c>
      <c r="D987">
        <v>179.88</v>
      </c>
      <c r="E987">
        <f t="shared" si="15"/>
        <v>137.88</v>
      </c>
      <c r="F987" t="str" cm="1">
        <f t="array" ref="F987">INDEX({"Pay as you go","Prediction_PACK","Prediction_Payasyougo","Competitor"},MATCH(MIN(A987:D987), A987:D987, 0))</f>
        <v>Prediction_PACK</v>
      </c>
    </row>
    <row r="988" spans="1:6" x14ac:dyDescent="0.25">
      <c r="A988">
        <v>212.25900159713439</v>
      </c>
      <c r="B988">
        <v>167.88</v>
      </c>
      <c r="C988">
        <v>176.94149999999999</v>
      </c>
      <c r="D988">
        <v>219.88</v>
      </c>
      <c r="E988">
        <f t="shared" si="15"/>
        <v>167.88</v>
      </c>
      <c r="F988" t="str" cm="1">
        <f t="array" ref="F988">INDEX({"Pay as you go","Prediction_PACK","Prediction_Payasyougo","Competitor"},MATCH(MIN(A988:D988), A988:D988, 0))</f>
        <v>Prediction_PACK</v>
      </c>
    </row>
    <row r="989" spans="1:6" x14ac:dyDescent="0.25">
      <c r="A989">
        <v>101.30275485008508</v>
      </c>
      <c r="B989">
        <v>117.88</v>
      </c>
      <c r="C989">
        <v>126.1635</v>
      </c>
      <c r="D989">
        <v>149.88</v>
      </c>
      <c r="E989">
        <f t="shared" si="15"/>
        <v>101.30275485008508</v>
      </c>
      <c r="F989" t="str" cm="1">
        <f t="array" ref="F989">INDEX({"Pay as you go","Prediction_PACK","Prediction_Payasyougo","Competitor"},MATCH(MIN(A989:D989), A989:D989, 0))</f>
        <v>Pay as you go</v>
      </c>
    </row>
    <row r="990" spans="1:6" x14ac:dyDescent="0.25">
      <c r="A990">
        <v>145.67500857291185</v>
      </c>
      <c r="B990">
        <v>119.88</v>
      </c>
      <c r="C990">
        <v>114.22499999999999</v>
      </c>
      <c r="D990">
        <v>149.88</v>
      </c>
      <c r="E990">
        <f t="shared" si="15"/>
        <v>114.22499999999999</v>
      </c>
      <c r="F990" t="str" cm="1">
        <f t="array" ref="F990">INDEX({"Pay as you go","Prediction_PACK","Prediction_Payasyougo","Competitor"},MATCH(MIN(A990:D990), A990:D990, 0))</f>
        <v>Prediction_Payasyougo</v>
      </c>
    </row>
    <row r="991" spans="1:6" x14ac:dyDescent="0.25">
      <c r="A991">
        <v>101.83647419263306</v>
      </c>
      <c r="B991">
        <v>117.88</v>
      </c>
      <c r="C991">
        <v>119.78699999999999</v>
      </c>
      <c r="D991">
        <v>139.88</v>
      </c>
      <c r="E991">
        <f t="shared" si="15"/>
        <v>101.83647419263306</v>
      </c>
      <c r="F991" t="str" cm="1">
        <f t="array" ref="F991">INDEX({"Pay as you go","Prediction_PACK","Prediction_Payasyougo","Competitor"},MATCH(MIN(A991:D991), A991:D991, 0))</f>
        <v>Pay as you go</v>
      </c>
    </row>
    <row r="992" spans="1:6" x14ac:dyDescent="0.25">
      <c r="A992">
        <v>96.963765260425134</v>
      </c>
      <c r="B992">
        <v>117.88</v>
      </c>
      <c r="C992">
        <v>117.2085</v>
      </c>
      <c r="D992">
        <v>129.88</v>
      </c>
      <c r="E992">
        <f t="shared" si="15"/>
        <v>96.963765260425134</v>
      </c>
      <c r="F992" t="str" cm="1">
        <f t="array" ref="F992">INDEX({"Pay as you go","Prediction_PACK","Prediction_Payasyougo","Competitor"},MATCH(MIN(A992:D992), A992:D992, 0))</f>
        <v>Pay as you go</v>
      </c>
    </row>
    <row r="993" spans="1:6" x14ac:dyDescent="0.25">
      <c r="A993">
        <v>70.43329669543742</v>
      </c>
      <c r="B993">
        <v>107.88</v>
      </c>
      <c r="C993">
        <v>107.88</v>
      </c>
      <c r="D993">
        <v>129.88</v>
      </c>
      <c r="E993">
        <f t="shared" si="15"/>
        <v>70.43329669543742</v>
      </c>
      <c r="F993" t="str" cm="1">
        <f t="array" ref="F993">INDEX({"Pay as you go","Prediction_PACK","Prediction_Payasyougo","Competitor"},MATCH(MIN(A993:D993), A993:D993, 0))</f>
        <v>Pay as you go</v>
      </c>
    </row>
    <row r="994" spans="1:6" x14ac:dyDescent="0.25">
      <c r="A994">
        <v>141.83445985979631</v>
      </c>
      <c r="B994">
        <v>131.88</v>
      </c>
      <c r="C994">
        <v>127.51349999999999</v>
      </c>
      <c r="D994">
        <v>159.88</v>
      </c>
      <c r="E994">
        <f t="shared" si="15"/>
        <v>127.51349999999999</v>
      </c>
      <c r="F994" t="str" cm="1">
        <f t="array" ref="F994">INDEX({"Pay as you go","Prediction_PACK","Prediction_Payasyougo","Competitor"},MATCH(MIN(A994:D994), A994:D994, 0))</f>
        <v>Prediction_Payasyougo</v>
      </c>
    </row>
    <row r="995" spans="1:6" x14ac:dyDescent="0.25">
      <c r="A995">
        <v>125.92393103833318</v>
      </c>
      <c r="B995">
        <v>127.88</v>
      </c>
      <c r="C995">
        <v>128.26049999999998</v>
      </c>
      <c r="D995">
        <v>159.88</v>
      </c>
      <c r="E995">
        <f t="shared" si="15"/>
        <v>125.92393103833318</v>
      </c>
      <c r="F995" t="str" cm="1">
        <f t="array" ref="F995">INDEX({"Pay as you go","Prediction_PACK","Prediction_Payasyougo","Competitor"},MATCH(MIN(A995:D995), A995:D995, 0))</f>
        <v>Pay as you go</v>
      </c>
    </row>
    <row r="996" spans="1:6" x14ac:dyDescent="0.25">
      <c r="A996">
        <v>80.550972384490805</v>
      </c>
      <c r="B996">
        <v>111.88</v>
      </c>
      <c r="C996">
        <v>111.08399999999999</v>
      </c>
      <c r="D996">
        <v>139.88</v>
      </c>
      <c r="E996">
        <f t="shared" si="15"/>
        <v>80.550972384490805</v>
      </c>
      <c r="F996" t="str" cm="1">
        <f t="array" ref="F996">INDEX({"Pay as you go","Prediction_PACK","Prediction_Payasyougo","Competitor"},MATCH(MIN(A996:D996), A996:D996, 0))</f>
        <v>Pay as you go</v>
      </c>
    </row>
    <row r="997" spans="1:6" x14ac:dyDescent="0.25">
      <c r="A997">
        <v>137.3921552475272</v>
      </c>
      <c r="B997">
        <v>137.88</v>
      </c>
      <c r="C997">
        <v>144.33449999999999</v>
      </c>
      <c r="D997">
        <v>159.88</v>
      </c>
      <c r="E997">
        <f t="shared" si="15"/>
        <v>137.3921552475272</v>
      </c>
      <c r="F997" t="str" cm="1">
        <f t="array" ref="F997">INDEX({"Pay as you go","Prediction_PACK","Prediction_Payasyougo","Competitor"},MATCH(MIN(A997:D997), A997:D997, 0))</f>
        <v>Pay as you go</v>
      </c>
    </row>
    <row r="998" spans="1:6" x14ac:dyDescent="0.25">
      <c r="A998">
        <v>124.74785537019383</v>
      </c>
      <c r="B998">
        <v>127.88</v>
      </c>
      <c r="C998">
        <v>135.36149999999998</v>
      </c>
      <c r="D998">
        <v>159.88</v>
      </c>
      <c r="E998">
        <f t="shared" si="15"/>
        <v>124.74785537019383</v>
      </c>
      <c r="F998" t="str" cm="1">
        <f t="array" ref="F998">INDEX({"Pay as you go","Prediction_PACK","Prediction_Payasyougo","Competitor"},MATCH(MIN(A998:D998), A998:D998, 0))</f>
        <v>Pay as you go</v>
      </c>
    </row>
    <row r="999" spans="1:6" x14ac:dyDescent="0.25">
      <c r="A999">
        <v>143.33805693171891</v>
      </c>
      <c r="B999">
        <v>115.88</v>
      </c>
      <c r="C999">
        <v>114.06299999999999</v>
      </c>
      <c r="D999">
        <v>164.88</v>
      </c>
      <c r="E999">
        <f t="shared" si="15"/>
        <v>114.06299999999999</v>
      </c>
      <c r="F999" t="str" cm="1">
        <f t="array" ref="F999">INDEX({"Pay as you go","Prediction_PACK","Prediction_Payasyougo","Competitor"},MATCH(MIN(A999:D999), A999:D999, 0))</f>
        <v>Prediction_Payasyougo</v>
      </c>
    </row>
    <row r="1000" spans="1:6" x14ac:dyDescent="0.25">
      <c r="A1000">
        <v>77.969486938452292</v>
      </c>
      <c r="B1000">
        <v>117.88</v>
      </c>
      <c r="C1000">
        <v>130.00200000000001</v>
      </c>
      <c r="D1000">
        <v>139.88</v>
      </c>
      <c r="E1000">
        <f t="shared" si="15"/>
        <v>77.969486938452292</v>
      </c>
      <c r="F1000" t="str" cm="1">
        <f t="array" ref="F1000">INDEX({"Pay as you go","Prediction_PACK","Prediction_Payasyougo","Competitor"},MATCH(MIN(A1000:D1000), A1000:D1000, 0))</f>
        <v>Pay as you go</v>
      </c>
    </row>
    <row r="1001" spans="1:6" x14ac:dyDescent="0.25">
      <c r="A1001">
        <v>159.25602275416458</v>
      </c>
      <c r="B1001">
        <v>147.88</v>
      </c>
      <c r="C1001">
        <v>182.5575</v>
      </c>
      <c r="D1001">
        <v>179.88</v>
      </c>
      <c r="E1001">
        <f t="shared" si="15"/>
        <v>147.88</v>
      </c>
      <c r="F1001" t="str" cm="1">
        <f t="array" ref="F1001">INDEX({"Pay as you go","Prediction_PACK","Prediction_Payasyougo","Competitor"},MATCH(MIN(A1001:D1001), A1001:D1001, 0))</f>
        <v>Prediction_PACK</v>
      </c>
    </row>
    <row r="1002" spans="1:6" x14ac:dyDescent="0.25">
      <c r="A1002">
        <v>81.951180441557582</v>
      </c>
      <c r="B1002">
        <v>117.88</v>
      </c>
      <c r="C1002">
        <v>123.47699999999999</v>
      </c>
      <c r="D1002">
        <v>139.88</v>
      </c>
      <c r="E1002">
        <f t="shared" si="15"/>
        <v>81.951180441557582</v>
      </c>
      <c r="F1002" t="str" cm="1">
        <f t="array" ref="F1002">INDEX({"Pay as you go","Prediction_PACK","Prediction_Payasyougo","Competitor"},MATCH(MIN(A1002:D1002), A1002:D1002, 0))</f>
        <v>Pay as you go</v>
      </c>
    </row>
    <row r="1003" spans="1:6" x14ac:dyDescent="0.25">
      <c r="A1003">
        <v>103.44807317018282</v>
      </c>
      <c r="B1003">
        <v>127.88</v>
      </c>
      <c r="C1003">
        <v>144.95999999999998</v>
      </c>
      <c r="D1003">
        <v>149.88</v>
      </c>
      <c r="E1003">
        <f t="shared" si="15"/>
        <v>103.44807317018282</v>
      </c>
      <c r="F1003" t="str" cm="1">
        <f t="array" ref="F1003">INDEX({"Pay as you go","Prediction_PACK","Prediction_Payasyougo","Competitor"},MATCH(MIN(A1003:D1003), A1003:D1003, 0))</f>
        <v>Pay as you go</v>
      </c>
    </row>
    <row r="1004" spans="1:6" x14ac:dyDescent="0.25">
      <c r="A1004">
        <v>141.6909517385223</v>
      </c>
      <c r="B1004">
        <v>119.88</v>
      </c>
      <c r="C1004">
        <v>119.157</v>
      </c>
      <c r="D1004">
        <v>149.88</v>
      </c>
      <c r="E1004">
        <f t="shared" si="15"/>
        <v>119.157</v>
      </c>
      <c r="F1004" t="str" cm="1">
        <f t="array" ref="F1004">INDEX({"Pay as you go","Prediction_PACK","Prediction_Payasyougo","Competitor"},MATCH(MIN(A1004:D1004), A1004:D1004, 0))</f>
        <v>Prediction_Payasyougo</v>
      </c>
    </row>
    <row r="1005" spans="1:6" x14ac:dyDescent="0.25">
      <c r="A1005">
        <v>144.44928633791727</v>
      </c>
      <c r="B1005">
        <v>127.88</v>
      </c>
      <c r="C1005">
        <v>128.62950000000001</v>
      </c>
      <c r="D1005">
        <v>159.88</v>
      </c>
      <c r="E1005">
        <f t="shared" si="15"/>
        <v>127.88</v>
      </c>
      <c r="F1005" t="str" cm="1">
        <f t="array" ref="F1005">INDEX({"Pay as you go","Prediction_PACK","Prediction_Payasyougo","Competitor"},MATCH(MIN(A1005:D1005), A1005:D1005, 0))</f>
        <v>Prediction_PACK</v>
      </c>
    </row>
    <row r="1006" spans="1:6" x14ac:dyDescent="0.25">
      <c r="A1006">
        <v>95.494493855775346</v>
      </c>
      <c r="B1006">
        <v>117.88</v>
      </c>
      <c r="C1006">
        <v>128.41800000000001</v>
      </c>
      <c r="D1006">
        <v>139.88</v>
      </c>
      <c r="E1006">
        <f t="shared" si="15"/>
        <v>95.494493855775346</v>
      </c>
      <c r="F1006" t="str" cm="1">
        <f t="array" ref="F1006">INDEX({"Pay as you go","Prediction_PACK","Prediction_Payasyougo","Competitor"},MATCH(MIN(A1006:D1006), A1006:D1006, 0))</f>
        <v>Pay as you go</v>
      </c>
    </row>
    <row r="1007" spans="1:6" x14ac:dyDescent="0.25">
      <c r="A1007">
        <v>95.459171675085997</v>
      </c>
      <c r="B1007">
        <v>137.88</v>
      </c>
      <c r="C1007">
        <v>153.23099999999999</v>
      </c>
      <c r="D1007">
        <v>149.88</v>
      </c>
      <c r="E1007">
        <f t="shared" si="15"/>
        <v>95.459171675085997</v>
      </c>
      <c r="F1007" t="str" cm="1">
        <f t="array" ref="F1007">INDEX({"Pay as you go","Prediction_PACK","Prediction_Payasyougo","Competitor"},MATCH(MIN(A1007:D1007), A1007:D1007, 0))</f>
        <v>Pay as you go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633D4-97E6-4F2D-B846-189F0DAF308E}">
  <dimension ref="A2:J1006"/>
  <sheetViews>
    <sheetView workbookViewId="0">
      <selection activeCell="B16" sqref="B16"/>
    </sheetView>
  </sheetViews>
  <sheetFormatPr defaultRowHeight="15" x14ac:dyDescent="0.25"/>
  <cols>
    <col min="1" max="1" width="28.5703125" bestFit="1" customWidth="1"/>
    <col min="2" max="2" width="17.7109375" bestFit="1" customWidth="1"/>
    <col min="3" max="3" width="29.28515625" bestFit="1" customWidth="1"/>
    <col min="4" max="4" width="19.140625" bestFit="1" customWidth="1"/>
    <col min="5" max="5" width="12" bestFit="1" customWidth="1"/>
    <col min="6" max="6" width="20.140625" bestFit="1" customWidth="1"/>
    <col min="9" max="9" width="27.7109375" bestFit="1" customWidth="1"/>
    <col min="10" max="10" width="12.7109375" bestFit="1" customWidth="1"/>
  </cols>
  <sheetData>
    <row r="2" spans="1:6" x14ac:dyDescent="0.25">
      <c r="A2" s="4" t="s">
        <v>2</v>
      </c>
      <c r="B2" s="4">
        <f>COUNTIF(F7:F1006,"Pay as you go")</f>
        <v>914</v>
      </c>
      <c r="C2" t="s">
        <v>14</v>
      </c>
    </row>
    <row r="3" spans="1:6" x14ac:dyDescent="0.25">
      <c r="A3" s="4" t="s">
        <v>12</v>
      </c>
      <c r="B3" s="4">
        <f>COUNTIF(F7:F1006,"Prediction_PACK")</f>
        <v>33</v>
      </c>
      <c r="C3" t="s">
        <v>14</v>
      </c>
    </row>
    <row r="4" spans="1:6" x14ac:dyDescent="0.25">
      <c r="A4" s="4" t="s">
        <v>11</v>
      </c>
      <c r="B4" s="4">
        <f>COUNTIF(F7:F1006,"Prediction_Payasyougo")</f>
        <v>53</v>
      </c>
      <c r="C4" t="s">
        <v>14</v>
      </c>
    </row>
    <row r="6" spans="1:6" x14ac:dyDescent="0.25">
      <c r="A6" t="s">
        <v>2</v>
      </c>
      <c r="B6" t="s">
        <v>10</v>
      </c>
      <c r="C6" t="s">
        <v>11</v>
      </c>
      <c r="D6" t="s">
        <v>13</v>
      </c>
      <c r="E6" t="s">
        <v>0</v>
      </c>
      <c r="F6" t="s">
        <v>9</v>
      </c>
    </row>
    <row r="7" spans="1:6" x14ac:dyDescent="0.25">
      <c r="A7">
        <v>179.76300000000001</v>
      </c>
      <c r="B7">
        <v>207.88</v>
      </c>
      <c r="C7">
        <v>219.040680352599</v>
      </c>
      <c r="D7">
        <v>219.88</v>
      </c>
      <c r="E7">
        <f>MIN(A7:D7)</f>
        <v>179.76300000000001</v>
      </c>
      <c r="F7" t="str" cm="1">
        <f t="array" ref="F7">INDEX({"Pay as you go","Prediction_PACK","Prediction_Payasyougo","Competitor"},MATCH(MIN(A7:D7), A7:D7, 0))</f>
        <v>Pay as you go</v>
      </c>
    </row>
    <row r="8" spans="1:6" x14ac:dyDescent="0.25">
      <c r="A8">
        <v>155.13899999999998</v>
      </c>
      <c r="B8">
        <v>207.88</v>
      </c>
      <c r="C8">
        <v>218.82495707300129</v>
      </c>
      <c r="D8">
        <v>219.88</v>
      </c>
      <c r="E8">
        <f t="shared" ref="E8:E71" si="0">MIN(A8:D8)</f>
        <v>155.13899999999998</v>
      </c>
      <c r="F8" t="str" cm="1">
        <f t="array" ref="F8">INDEX({"Pay as you go","Prediction_PACK","Prediction_Payasyougo","Competitor"},MATCH(MIN(A8:D8), A8:D8, 0))</f>
        <v>Pay as you go</v>
      </c>
    </row>
    <row r="9" spans="1:6" x14ac:dyDescent="0.25">
      <c r="A9">
        <v>136.17499999999998</v>
      </c>
      <c r="B9">
        <v>197.88</v>
      </c>
      <c r="C9">
        <v>207.112785512106</v>
      </c>
      <c r="D9">
        <v>209.88</v>
      </c>
      <c r="E9">
        <f t="shared" si="0"/>
        <v>136.17499999999998</v>
      </c>
      <c r="F9" t="str" cm="1">
        <f t="array" ref="F9">INDEX({"Pay as you go","Prediction_PACK","Prediction_Payasyougo","Competitor"},MATCH(MIN(A9:D9), A9:D9, 0))</f>
        <v>Pay as you go</v>
      </c>
    </row>
    <row r="10" spans="1:6" x14ac:dyDescent="0.25">
      <c r="A10">
        <v>173.05100000000002</v>
      </c>
      <c r="B10">
        <v>197.88</v>
      </c>
      <c r="C10">
        <v>204.10426798971901</v>
      </c>
      <c r="D10">
        <v>209.88</v>
      </c>
      <c r="E10">
        <f t="shared" si="0"/>
        <v>173.05100000000002</v>
      </c>
      <c r="F10" t="str" cm="1">
        <f t="array" ref="F10">INDEX({"Pay as you go","Prediction_PACK","Prediction_Payasyougo","Competitor"},MATCH(MIN(A10:D10), A10:D10, 0))</f>
        <v>Pay as you go</v>
      </c>
    </row>
    <row r="11" spans="1:6" x14ac:dyDescent="0.25">
      <c r="A11">
        <v>179.215</v>
      </c>
      <c r="B11">
        <v>197.88</v>
      </c>
      <c r="C11">
        <v>203.81847838183018</v>
      </c>
      <c r="D11">
        <v>209.88</v>
      </c>
      <c r="E11">
        <f t="shared" si="0"/>
        <v>179.215</v>
      </c>
      <c r="F11" t="str" cm="1">
        <f t="array" ref="F11">INDEX({"Pay as you go","Prediction_PACK","Prediction_Payasyougo","Competitor"},MATCH(MIN(A11:D11), A11:D11, 0))</f>
        <v>Pay as you go</v>
      </c>
    </row>
    <row r="12" spans="1:6" x14ac:dyDescent="0.25">
      <c r="A12">
        <v>189.67400000000001</v>
      </c>
      <c r="B12">
        <v>197.88</v>
      </c>
      <c r="C12">
        <v>198.39865917220681</v>
      </c>
      <c r="D12">
        <v>209.88</v>
      </c>
      <c r="E12">
        <f t="shared" si="0"/>
        <v>189.67400000000001</v>
      </c>
      <c r="F12" t="str" cm="1">
        <f t="array" ref="F12">INDEX({"Pay as you go","Prediction_PACK","Prediction_Payasyougo","Competitor"},MATCH(MIN(A12:D12), A12:D12, 0))</f>
        <v>Pay as you go</v>
      </c>
    </row>
    <row r="13" spans="1:6" x14ac:dyDescent="0.25">
      <c r="A13">
        <v>190.81700000000001</v>
      </c>
      <c r="B13">
        <v>182.88</v>
      </c>
      <c r="C13">
        <v>187.91349648198388</v>
      </c>
      <c r="D13">
        <v>194.88</v>
      </c>
      <c r="E13">
        <f t="shared" si="0"/>
        <v>182.88</v>
      </c>
      <c r="F13" t="str" cm="1">
        <f t="array" ref="F13">INDEX({"Pay as you go","Prediction_PACK","Prediction_Payasyougo","Competitor"},MATCH(MIN(A13:D13), A13:D13, 0))</f>
        <v>Prediction_PACK</v>
      </c>
    </row>
    <row r="14" spans="1:6" x14ac:dyDescent="0.25">
      <c r="A14">
        <v>138.41000000000003</v>
      </c>
      <c r="B14">
        <v>197.88</v>
      </c>
      <c r="C14">
        <v>187.56700684650448</v>
      </c>
      <c r="D14">
        <v>209.88</v>
      </c>
      <c r="E14">
        <f t="shared" si="0"/>
        <v>138.41000000000003</v>
      </c>
      <c r="F14" t="str" cm="1">
        <f t="array" ref="F14">INDEX({"Pay as you go","Prediction_PACK","Prediction_Payasyougo","Competitor"},MATCH(MIN(A14:D14), A14:D14, 0))</f>
        <v>Pay as you go</v>
      </c>
    </row>
    <row r="15" spans="1:6" x14ac:dyDescent="0.25">
      <c r="A15">
        <v>163.232</v>
      </c>
      <c r="B15">
        <v>197.88</v>
      </c>
      <c r="C15">
        <v>186.81245662644449</v>
      </c>
      <c r="D15">
        <v>209.88</v>
      </c>
      <c r="E15">
        <f t="shared" si="0"/>
        <v>163.232</v>
      </c>
      <c r="F15" t="str" cm="1">
        <f t="array" ref="F15">INDEX({"Pay as you go","Prediction_PACK","Prediction_Payasyougo","Competitor"},MATCH(MIN(A15:D15), A15:D15, 0))</f>
        <v>Pay as you go</v>
      </c>
    </row>
    <row r="16" spans="1:6" x14ac:dyDescent="0.25">
      <c r="A16">
        <v>182.61700000000002</v>
      </c>
      <c r="B16">
        <v>182.88</v>
      </c>
      <c r="C16">
        <v>185.13750852614339</v>
      </c>
      <c r="D16">
        <v>194.88</v>
      </c>
      <c r="E16">
        <f t="shared" si="0"/>
        <v>182.61700000000002</v>
      </c>
      <c r="F16" t="str" cm="1">
        <f t="array" ref="F16">INDEX({"Pay as you go","Prediction_PACK","Prediction_Payasyougo","Competitor"},MATCH(MIN(A16:D16), A16:D16, 0))</f>
        <v>Pay as you go</v>
      </c>
    </row>
    <row r="17" spans="1:10" x14ac:dyDescent="0.25">
      <c r="A17">
        <v>205.59900000000002</v>
      </c>
      <c r="B17">
        <v>197.88</v>
      </c>
      <c r="C17">
        <v>183.58492269166229</v>
      </c>
      <c r="D17">
        <v>209.88</v>
      </c>
      <c r="E17">
        <f t="shared" si="0"/>
        <v>183.58492269166229</v>
      </c>
      <c r="F17" t="str" cm="1">
        <f t="array" ref="F17">INDEX({"Pay as you go","Prediction_PACK","Prediction_Payasyougo","Competitor"},MATCH(MIN(A17:D17), A17:D17, 0))</f>
        <v>Prediction_Payasyougo</v>
      </c>
    </row>
    <row r="18" spans="1:10" x14ac:dyDescent="0.25">
      <c r="A18">
        <v>131.15</v>
      </c>
      <c r="B18">
        <v>182.88</v>
      </c>
      <c r="C18">
        <v>183.48383663180638</v>
      </c>
      <c r="D18">
        <v>194.88</v>
      </c>
      <c r="E18">
        <f t="shared" si="0"/>
        <v>131.15</v>
      </c>
      <c r="F18" t="str" cm="1">
        <f t="array" ref="F18">INDEX({"Pay as you go","Prediction_PACK","Prediction_Payasyougo","Competitor"},MATCH(MIN(A18:D18), A18:D18, 0))</f>
        <v>Pay as you go</v>
      </c>
      <c r="J18" s="2"/>
    </row>
    <row r="19" spans="1:10" x14ac:dyDescent="0.25">
      <c r="A19">
        <v>153.30100000000002</v>
      </c>
      <c r="B19">
        <v>182.88</v>
      </c>
      <c r="C19">
        <v>182.75559605363878</v>
      </c>
      <c r="D19">
        <v>194.88</v>
      </c>
      <c r="E19">
        <f t="shared" si="0"/>
        <v>153.30100000000002</v>
      </c>
      <c r="F19" t="str" cm="1">
        <f t="array" ref="F19">INDEX({"Pay as you go","Prediction_PACK","Prediction_Payasyougo","Competitor"},MATCH(MIN(A19:D19), A19:D19, 0))</f>
        <v>Pay as you go</v>
      </c>
      <c r="J19" s="2"/>
    </row>
    <row r="20" spans="1:10" x14ac:dyDescent="0.25">
      <c r="A20">
        <v>204.762</v>
      </c>
      <c r="B20">
        <v>207.88</v>
      </c>
      <c r="C20">
        <v>182.1143625627621</v>
      </c>
      <c r="D20">
        <v>219.88</v>
      </c>
      <c r="E20">
        <f t="shared" si="0"/>
        <v>182.1143625627621</v>
      </c>
      <c r="F20" t="str" cm="1">
        <f t="array" ref="F20">INDEX({"Pay as you go","Prediction_PACK","Prediction_Payasyougo","Competitor"},MATCH(MIN(A20:D20), A20:D20, 0))</f>
        <v>Prediction_Payasyougo</v>
      </c>
      <c r="J20" s="2"/>
    </row>
    <row r="21" spans="1:10" x14ac:dyDescent="0.25">
      <c r="A21">
        <v>150.03</v>
      </c>
      <c r="B21">
        <v>197.88</v>
      </c>
      <c r="C21">
        <v>179.97082905039841</v>
      </c>
      <c r="D21">
        <v>209.88</v>
      </c>
      <c r="E21">
        <f t="shared" si="0"/>
        <v>150.03</v>
      </c>
      <c r="F21" t="str" cm="1">
        <f t="array" ref="F21">INDEX({"Pay as you go","Prediction_PACK","Prediction_Payasyougo","Competitor"},MATCH(MIN(A21:D21), A21:D21, 0))</f>
        <v>Pay as you go</v>
      </c>
      <c r="J21" s="2"/>
    </row>
    <row r="22" spans="1:10" x14ac:dyDescent="0.25">
      <c r="A22">
        <v>149.30900000000003</v>
      </c>
      <c r="B22">
        <v>177.88</v>
      </c>
      <c r="C22">
        <v>179.88</v>
      </c>
      <c r="D22">
        <v>189.88</v>
      </c>
      <c r="E22">
        <f t="shared" si="0"/>
        <v>149.30900000000003</v>
      </c>
      <c r="F22" t="str" cm="1">
        <f t="array" ref="F22">INDEX({"Pay as you go","Prediction_PACK","Prediction_Payasyougo","Competitor"},MATCH(MIN(A22:D22), A22:D22, 0))</f>
        <v>Pay as you go</v>
      </c>
    </row>
    <row r="23" spans="1:10" x14ac:dyDescent="0.25">
      <c r="A23">
        <v>135.05799999999999</v>
      </c>
      <c r="B23">
        <v>177.88</v>
      </c>
      <c r="C23">
        <v>179.88</v>
      </c>
      <c r="D23">
        <v>189.88</v>
      </c>
      <c r="E23">
        <f t="shared" si="0"/>
        <v>135.05799999999999</v>
      </c>
      <c r="F23" t="str" cm="1">
        <f t="array" ref="F23">INDEX({"Pay as you go","Prediction_PACK","Prediction_Payasyougo","Competitor"},MATCH(MIN(A23:D23), A23:D23, 0))</f>
        <v>Pay as you go</v>
      </c>
    </row>
    <row r="24" spans="1:10" x14ac:dyDescent="0.25">
      <c r="A24">
        <v>110.59400000000001</v>
      </c>
      <c r="B24">
        <v>177.88</v>
      </c>
      <c r="C24">
        <v>179.88</v>
      </c>
      <c r="D24">
        <v>189.88</v>
      </c>
      <c r="E24">
        <f t="shared" si="0"/>
        <v>110.59400000000001</v>
      </c>
      <c r="F24" t="str" cm="1">
        <f t="array" ref="F24">INDEX({"Pay as you go","Prediction_PACK","Prediction_Payasyougo","Competitor"},MATCH(MIN(A24:D24), A24:D24, 0))</f>
        <v>Pay as you go</v>
      </c>
    </row>
    <row r="25" spans="1:10" x14ac:dyDescent="0.25">
      <c r="A25">
        <v>102.04900000000001</v>
      </c>
      <c r="B25">
        <v>177.88</v>
      </c>
      <c r="C25">
        <v>179.88</v>
      </c>
      <c r="D25">
        <v>189.88</v>
      </c>
      <c r="E25">
        <f t="shared" si="0"/>
        <v>102.04900000000001</v>
      </c>
      <c r="F25" t="str" cm="1">
        <f t="array" ref="F25">INDEX({"Pay as you go","Prediction_PACK","Prediction_Payasyougo","Competitor"},MATCH(MIN(A25:D25), A25:D25, 0))</f>
        <v>Pay as you go</v>
      </c>
    </row>
    <row r="26" spans="1:10" x14ac:dyDescent="0.25">
      <c r="A26">
        <v>148.886</v>
      </c>
      <c r="B26">
        <v>177.88</v>
      </c>
      <c r="C26">
        <v>179.88</v>
      </c>
      <c r="D26">
        <v>189.88</v>
      </c>
      <c r="E26">
        <f t="shared" si="0"/>
        <v>148.886</v>
      </c>
      <c r="F26" t="str" cm="1">
        <f t="array" ref="F26">INDEX({"Pay as you go","Prediction_PACK","Prediction_Payasyougo","Competitor"},MATCH(MIN(A26:D26), A26:D26, 0))</f>
        <v>Pay as you go</v>
      </c>
    </row>
    <row r="27" spans="1:10" x14ac:dyDescent="0.25">
      <c r="A27">
        <v>149.881</v>
      </c>
      <c r="B27">
        <v>177.88</v>
      </c>
      <c r="C27">
        <v>179.88</v>
      </c>
      <c r="D27">
        <v>189.88</v>
      </c>
      <c r="E27">
        <f t="shared" si="0"/>
        <v>149.881</v>
      </c>
      <c r="F27" t="str" cm="1">
        <f t="array" ref="F27">INDEX({"Pay as you go","Prediction_PACK","Prediction_Payasyougo","Competitor"},MATCH(MIN(A27:D27), A27:D27, 0))</f>
        <v>Pay as you go</v>
      </c>
    </row>
    <row r="28" spans="1:10" x14ac:dyDescent="0.25">
      <c r="A28">
        <v>151.114</v>
      </c>
      <c r="B28">
        <v>177.88</v>
      </c>
      <c r="C28">
        <v>179.88</v>
      </c>
      <c r="D28">
        <v>189.88</v>
      </c>
      <c r="E28">
        <f t="shared" si="0"/>
        <v>151.114</v>
      </c>
      <c r="F28" t="str" cm="1">
        <f t="array" ref="F28">INDEX({"Pay as you go","Prediction_PACK","Prediction_Payasyougo","Competitor"},MATCH(MIN(A28:D28), A28:D28, 0))</f>
        <v>Pay as you go</v>
      </c>
    </row>
    <row r="29" spans="1:10" x14ac:dyDescent="0.25">
      <c r="A29">
        <v>159.98400000000001</v>
      </c>
      <c r="B29">
        <v>187.88</v>
      </c>
      <c r="C29">
        <v>179.88</v>
      </c>
      <c r="D29">
        <v>199.88</v>
      </c>
      <c r="E29">
        <f t="shared" si="0"/>
        <v>159.98400000000001</v>
      </c>
      <c r="F29" t="str" cm="1">
        <f t="array" ref="F29">INDEX({"Pay as you go","Prediction_PACK","Prediction_Payasyougo","Competitor"},MATCH(MIN(A29:D29), A29:D29, 0))</f>
        <v>Pay as you go</v>
      </c>
    </row>
    <row r="30" spans="1:10" x14ac:dyDescent="0.25">
      <c r="A30">
        <v>150.202</v>
      </c>
      <c r="B30">
        <v>177.88</v>
      </c>
      <c r="C30">
        <v>179.88</v>
      </c>
      <c r="D30">
        <v>189.88</v>
      </c>
      <c r="E30">
        <f t="shared" si="0"/>
        <v>150.202</v>
      </c>
      <c r="F30" t="str" cm="1">
        <f t="array" ref="F30">INDEX({"Pay as you go","Prediction_PACK","Prediction_Payasyougo","Competitor"},MATCH(MIN(A30:D30), A30:D30, 0))</f>
        <v>Pay as you go</v>
      </c>
    </row>
    <row r="31" spans="1:10" x14ac:dyDescent="0.25">
      <c r="A31">
        <v>179.08800000000002</v>
      </c>
      <c r="B31">
        <v>177.88</v>
      </c>
      <c r="C31">
        <v>179.88</v>
      </c>
      <c r="D31">
        <v>189.88</v>
      </c>
      <c r="E31">
        <f t="shared" si="0"/>
        <v>177.88</v>
      </c>
      <c r="F31" t="str" cm="1">
        <f t="array" ref="F31">INDEX({"Pay as you go","Prediction_PACK","Prediction_Payasyougo","Competitor"},MATCH(MIN(A31:D31), A31:D31, 0))</f>
        <v>Prediction_PACK</v>
      </c>
    </row>
    <row r="32" spans="1:10" x14ac:dyDescent="0.25">
      <c r="A32">
        <v>254.38200000000001</v>
      </c>
      <c r="B32">
        <v>217.88</v>
      </c>
      <c r="C32">
        <v>186.2681483567265</v>
      </c>
      <c r="D32">
        <v>229.88</v>
      </c>
      <c r="E32">
        <f t="shared" si="0"/>
        <v>186.2681483567265</v>
      </c>
      <c r="F32" t="str" cm="1">
        <f t="array" ref="F32">INDEX({"Pay as you go","Prediction_PACK","Prediction_Payasyougo","Competitor"},MATCH(MIN(A32:D32), A32:D32, 0))</f>
        <v>Prediction_Payasyougo</v>
      </c>
    </row>
    <row r="33" spans="1:6" x14ac:dyDescent="0.25">
      <c r="A33">
        <v>162.91300000000001</v>
      </c>
      <c r="B33">
        <v>177.88</v>
      </c>
      <c r="C33">
        <v>179.88</v>
      </c>
      <c r="D33">
        <v>189.88</v>
      </c>
      <c r="E33">
        <f t="shared" si="0"/>
        <v>162.91300000000001</v>
      </c>
      <c r="F33" t="str" cm="1">
        <f t="array" ref="F33">INDEX({"Pay as you go","Prediction_PACK","Prediction_Payasyougo","Competitor"},MATCH(MIN(A33:D33), A33:D33, 0))</f>
        <v>Pay as you go</v>
      </c>
    </row>
    <row r="34" spans="1:6" x14ac:dyDescent="0.25">
      <c r="A34">
        <v>125.693</v>
      </c>
      <c r="B34">
        <v>177.88</v>
      </c>
      <c r="C34">
        <v>179.88</v>
      </c>
      <c r="D34">
        <v>189.88</v>
      </c>
      <c r="E34">
        <f t="shared" si="0"/>
        <v>125.693</v>
      </c>
      <c r="F34" t="str" cm="1">
        <f t="array" ref="F34">INDEX({"Pay as you go","Prediction_PACK","Prediction_Payasyougo","Competitor"},MATCH(MIN(A34:D34), A34:D34, 0))</f>
        <v>Pay as you go</v>
      </c>
    </row>
    <row r="35" spans="1:6" x14ac:dyDescent="0.25">
      <c r="A35">
        <v>115.584</v>
      </c>
      <c r="B35">
        <v>177.88</v>
      </c>
      <c r="C35">
        <v>179.88</v>
      </c>
      <c r="D35">
        <v>189.88</v>
      </c>
      <c r="E35">
        <f t="shared" si="0"/>
        <v>115.584</v>
      </c>
      <c r="F35" t="str" cm="1">
        <f t="array" ref="F35">INDEX({"Pay as you go","Prediction_PACK","Prediction_Payasyougo","Competitor"},MATCH(MIN(A35:D35), A35:D35, 0))</f>
        <v>Pay as you go</v>
      </c>
    </row>
    <row r="36" spans="1:6" x14ac:dyDescent="0.25">
      <c r="A36">
        <v>182.892</v>
      </c>
      <c r="B36">
        <v>177.88</v>
      </c>
      <c r="C36">
        <v>179.88</v>
      </c>
      <c r="D36">
        <v>189.88</v>
      </c>
      <c r="E36">
        <f t="shared" si="0"/>
        <v>177.88</v>
      </c>
      <c r="F36" t="str" cm="1">
        <f t="array" ref="F36">INDEX({"Pay as you go","Prediction_PACK","Prediction_Payasyougo","Competitor"},MATCH(MIN(A36:D36), A36:D36, 0))</f>
        <v>Prediction_PACK</v>
      </c>
    </row>
    <row r="37" spans="1:6" x14ac:dyDescent="0.25">
      <c r="A37">
        <v>198.08800000000002</v>
      </c>
      <c r="B37">
        <v>217.88</v>
      </c>
      <c r="C37">
        <v>190.8475662461004</v>
      </c>
      <c r="D37">
        <v>229.88</v>
      </c>
      <c r="E37">
        <f t="shared" si="0"/>
        <v>190.8475662461004</v>
      </c>
      <c r="F37" t="str" cm="1">
        <f t="array" ref="F37">INDEX({"Pay as you go","Prediction_PACK","Prediction_Payasyougo","Competitor"},MATCH(MIN(A37:D37), A37:D37, 0))</f>
        <v>Prediction_Payasyougo</v>
      </c>
    </row>
    <row r="38" spans="1:6" x14ac:dyDescent="0.25">
      <c r="A38">
        <v>204.643</v>
      </c>
      <c r="B38">
        <v>177.88</v>
      </c>
      <c r="C38">
        <v>179.88</v>
      </c>
      <c r="D38">
        <v>189.88</v>
      </c>
      <c r="E38">
        <f t="shared" si="0"/>
        <v>177.88</v>
      </c>
      <c r="F38" t="str" cm="1">
        <f t="array" ref="F38">INDEX({"Pay as you go","Prediction_PACK","Prediction_Payasyougo","Competitor"},MATCH(MIN(A38:D38), A38:D38, 0))</f>
        <v>Prediction_PACK</v>
      </c>
    </row>
    <row r="39" spans="1:6" x14ac:dyDescent="0.25">
      <c r="A39">
        <v>133.88499999999999</v>
      </c>
      <c r="B39">
        <v>177.88</v>
      </c>
      <c r="C39">
        <v>179.88</v>
      </c>
      <c r="D39">
        <v>189.88</v>
      </c>
      <c r="E39">
        <f t="shared" si="0"/>
        <v>133.88499999999999</v>
      </c>
      <c r="F39" t="str" cm="1">
        <f t="array" ref="F39">INDEX({"Pay as you go","Prediction_PACK","Prediction_Payasyougo","Competitor"},MATCH(MIN(A39:D39), A39:D39, 0))</f>
        <v>Pay as you go</v>
      </c>
    </row>
    <row r="40" spans="1:6" x14ac:dyDescent="0.25">
      <c r="A40">
        <v>149.32999999999998</v>
      </c>
      <c r="B40">
        <v>177.88</v>
      </c>
      <c r="C40">
        <v>179.88</v>
      </c>
      <c r="D40">
        <v>189.88</v>
      </c>
      <c r="E40">
        <f t="shared" si="0"/>
        <v>149.32999999999998</v>
      </c>
      <c r="F40" t="str" cm="1">
        <f t="array" ref="F40">INDEX({"Pay as you go","Prediction_PACK","Prediction_Payasyougo","Competitor"},MATCH(MIN(A40:D40), A40:D40, 0))</f>
        <v>Pay as you go</v>
      </c>
    </row>
    <row r="41" spans="1:6" x14ac:dyDescent="0.25">
      <c r="A41">
        <v>180.517</v>
      </c>
      <c r="B41">
        <v>197.88</v>
      </c>
      <c r="C41">
        <v>181.6831865971179</v>
      </c>
      <c r="D41">
        <v>209.88</v>
      </c>
      <c r="E41">
        <f t="shared" si="0"/>
        <v>180.517</v>
      </c>
      <c r="F41" t="str" cm="1">
        <f t="array" ref="F41">INDEX({"Pay as you go","Prediction_PACK","Prediction_Payasyougo","Competitor"},MATCH(MIN(A41:D41), A41:D41, 0))</f>
        <v>Pay as you go</v>
      </c>
    </row>
    <row r="42" spans="1:6" x14ac:dyDescent="0.25">
      <c r="A42">
        <v>98.048999999999992</v>
      </c>
      <c r="B42">
        <v>177.88</v>
      </c>
      <c r="C42">
        <v>179.88</v>
      </c>
      <c r="D42">
        <v>189.88</v>
      </c>
      <c r="E42">
        <f t="shared" si="0"/>
        <v>98.048999999999992</v>
      </c>
      <c r="F42" t="str" cm="1">
        <f t="array" ref="F42">INDEX({"Pay as you go","Prediction_PACK","Prediction_Payasyougo","Competitor"},MATCH(MIN(A42:D42), A42:D42, 0))</f>
        <v>Pay as you go</v>
      </c>
    </row>
    <row r="43" spans="1:6" x14ac:dyDescent="0.25">
      <c r="A43">
        <v>163.239</v>
      </c>
      <c r="B43">
        <v>187.88</v>
      </c>
      <c r="C43">
        <v>179.88</v>
      </c>
      <c r="D43">
        <v>199.88</v>
      </c>
      <c r="E43">
        <f t="shared" si="0"/>
        <v>163.239</v>
      </c>
      <c r="F43" t="str" cm="1">
        <f t="array" ref="F43">INDEX({"Pay as you go","Prediction_PACK","Prediction_Payasyougo","Competitor"},MATCH(MIN(A43:D43), A43:D43, 0))</f>
        <v>Pay as you go</v>
      </c>
    </row>
    <row r="44" spans="1:6" x14ac:dyDescent="0.25">
      <c r="A44">
        <v>141.32900000000001</v>
      </c>
      <c r="B44">
        <v>175.88</v>
      </c>
      <c r="C44">
        <v>179.88</v>
      </c>
      <c r="D44">
        <v>189.88</v>
      </c>
      <c r="E44">
        <f t="shared" si="0"/>
        <v>141.32900000000001</v>
      </c>
      <c r="F44" t="str" cm="1">
        <f t="array" ref="F44">INDEX({"Pay as you go","Prediction_PACK","Prediction_Payasyougo","Competitor"},MATCH(MIN(A44:D44), A44:D44, 0))</f>
        <v>Pay as you go</v>
      </c>
    </row>
    <row r="45" spans="1:6" x14ac:dyDescent="0.25">
      <c r="A45">
        <v>156.64100000000002</v>
      </c>
      <c r="B45">
        <v>183.88</v>
      </c>
      <c r="C45">
        <v>179.88</v>
      </c>
      <c r="D45">
        <v>199.88</v>
      </c>
      <c r="E45">
        <f t="shared" si="0"/>
        <v>156.64100000000002</v>
      </c>
      <c r="F45" t="str" cm="1">
        <f t="array" ref="F45">INDEX({"Pay as you go","Prediction_PACK","Prediction_Payasyougo","Competitor"},MATCH(MIN(A45:D45), A45:D45, 0))</f>
        <v>Pay as you go</v>
      </c>
    </row>
    <row r="46" spans="1:6" x14ac:dyDescent="0.25">
      <c r="A46">
        <v>196.529</v>
      </c>
      <c r="B46">
        <v>197.88</v>
      </c>
      <c r="C46">
        <v>190.19444098472221</v>
      </c>
      <c r="D46">
        <v>209.88</v>
      </c>
      <c r="E46">
        <f t="shared" si="0"/>
        <v>190.19444098472221</v>
      </c>
      <c r="F46" t="str" cm="1">
        <f t="array" ref="F46">INDEX({"Pay as you go","Prediction_PACK","Prediction_Payasyougo","Competitor"},MATCH(MIN(A46:D46), A46:D46, 0))</f>
        <v>Prediction_Payasyougo</v>
      </c>
    </row>
    <row r="47" spans="1:6" x14ac:dyDescent="0.25">
      <c r="A47">
        <v>203.303</v>
      </c>
      <c r="B47">
        <v>187.88</v>
      </c>
      <c r="C47">
        <v>179.88</v>
      </c>
      <c r="D47">
        <v>199.88</v>
      </c>
      <c r="E47">
        <f t="shared" si="0"/>
        <v>179.88</v>
      </c>
      <c r="F47" t="str" cm="1">
        <f t="array" ref="F47">INDEX({"Pay as you go","Prediction_PACK","Prediction_Payasyougo","Competitor"},MATCH(MIN(A47:D47), A47:D47, 0))</f>
        <v>Prediction_Payasyougo</v>
      </c>
    </row>
    <row r="48" spans="1:6" x14ac:dyDescent="0.25">
      <c r="A48">
        <v>201.72499999999999</v>
      </c>
      <c r="B48">
        <v>183.88</v>
      </c>
      <c r="C48">
        <v>179.88</v>
      </c>
      <c r="D48">
        <v>199.88</v>
      </c>
      <c r="E48">
        <f t="shared" si="0"/>
        <v>179.88</v>
      </c>
      <c r="F48" t="str" cm="1">
        <f t="array" ref="F48">INDEX({"Pay as you go","Prediction_PACK","Prediction_Payasyougo","Competitor"},MATCH(MIN(A48:D48), A48:D48, 0))</f>
        <v>Prediction_Payasyougo</v>
      </c>
    </row>
    <row r="49" spans="1:6" x14ac:dyDescent="0.25">
      <c r="A49">
        <v>125.376</v>
      </c>
      <c r="B49">
        <v>175.88</v>
      </c>
      <c r="C49">
        <v>179.88</v>
      </c>
      <c r="D49">
        <v>189.88</v>
      </c>
      <c r="E49">
        <f t="shared" si="0"/>
        <v>125.376</v>
      </c>
      <c r="F49" t="str" cm="1">
        <f t="array" ref="F49">INDEX({"Pay as you go","Prediction_PACK","Prediction_Payasyougo","Competitor"},MATCH(MIN(A49:D49), A49:D49, 0))</f>
        <v>Pay as you go</v>
      </c>
    </row>
    <row r="50" spans="1:6" x14ac:dyDescent="0.25">
      <c r="A50">
        <v>156.86100000000002</v>
      </c>
      <c r="B50">
        <v>187.88</v>
      </c>
      <c r="C50">
        <v>179.88</v>
      </c>
      <c r="D50">
        <v>199.88</v>
      </c>
      <c r="E50">
        <f t="shared" si="0"/>
        <v>156.86100000000002</v>
      </c>
      <c r="F50" t="str" cm="1">
        <f t="array" ref="F50">INDEX({"Pay as you go","Prediction_PACK","Prediction_Payasyougo","Competitor"},MATCH(MIN(A50:D50), A50:D50, 0))</f>
        <v>Pay as you go</v>
      </c>
    </row>
    <row r="51" spans="1:6" x14ac:dyDescent="0.25">
      <c r="A51">
        <v>134.36600000000001</v>
      </c>
      <c r="B51">
        <v>175.88</v>
      </c>
      <c r="C51">
        <v>179.88</v>
      </c>
      <c r="D51">
        <v>189.88</v>
      </c>
      <c r="E51">
        <f t="shared" si="0"/>
        <v>134.36600000000001</v>
      </c>
      <c r="F51" t="str" cm="1">
        <f t="array" ref="F51">INDEX({"Pay as you go","Prediction_PACK","Prediction_Payasyougo","Competitor"},MATCH(MIN(A51:D51), A51:D51, 0))</f>
        <v>Pay as you go</v>
      </c>
    </row>
    <row r="52" spans="1:6" x14ac:dyDescent="0.25">
      <c r="A52">
        <v>134.601</v>
      </c>
      <c r="B52">
        <v>171.88</v>
      </c>
      <c r="C52">
        <v>179.88</v>
      </c>
      <c r="D52">
        <v>184.88</v>
      </c>
      <c r="E52">
        <f t="shared" si="0"/>
        <v>134.601</v>
      </c>
      <c r="F52" t="str" cm="1">
        <f t="array" ref="F52">INDEX({"Pay as you go","Prediction_PACK","Prediction_Payasyougo","Competitor"},MATCH(MIN(A52:D52), A52:D52, 0))</f>
        <v>Pay as you go</v>
      </c>
    </row>
    <row r="53" spans="1:6" x14ac:dyDescent="0.25">
      <c r="A53">
        <v>97.03</v>
      </c>
      <c r="B53">
        <v>171.88</v>
      </c>
      <c r="C53">
        <v>179.88</v>
      </c>
      <c r="D53">
        <v>184.88</v>
      </c>
      <c r="E53">
        <f t="shared" si="0"/>
        <v>97.03</v>
      </c>
      <c r="F53" t="str" cm="1">
        <f t="array" ref="F53">INDEX({"Pay as you go","Prediction_PACK","Prediction_Payasyougo","Competitor"},MATCH(MIN(A53:D53), A53:D53, 0))</f>
        <v>Pay as you go</v>
      </c>
    </row>
    <row r="54" spans="1:6" x14ac:dyDescent="0.25">
      <c r="A54">
        <v>116.98</v>
      </c>
      <c r="B54">
        <v>171.88</v>
      </c>
      <c r="C54">
        <v>179.88</v>
      </c>
      <c r="D54">
        <v>184.88</v>
      </c>
      <c r="E54">
        <f t="shared" si="0"/>
        <v>116.98</v>
      </c>
      <c r="F54" t="str" cm="1">
        <f t="array" ref="F54">INDEX({"Pay as you go","Prediction_PACK","Prediction_Payasyougo","Competitor"},MATCH(MIN(A54:D54), A54:D54, 0))</f>
        <v>Pay as you go</v>
      </c>
    </row>
    <row r="55" spans="1:6" x14ac:dyDescent="0.25">
      <c r="A55">
        <v>158.98099999999999</v>
      </c>
      <c r="B55">
        <v>171.88</v>
      </c>
      <c r="C55">
        <v>179.88</v>
      </c>
      <c r="D55">
        <v>184.88</v>
      </c>
      <c r="E55">
        <f t="shared" si="0"/>
        <v>158.98099999999999</v>
      </c>
      <c r="F55" t="str" cm="1">
        <f t="array" ref="F55">INDEX({"Pay as you go","Prediction_PACK","Prediction_Payasyougo","Competitor"},MATCH(MIN(A55:D55), A55:D55, 0))</f>
        <v>Pay as you go</v>
      </c>
    </row>
    <row r="56" spans="1:6" x14ac:dyDescent="0.25">
      <c r="A56">
        <v>125.809</v>
      </c>
      <c r="B56">
        <v>171.88</v>
      </c>
      <c r="C56">
        <v>179.88</v>
      </c>
      <c r="D56">
        <v>184.88</v>
      </c>
      <c r="E56">
        <f t="shared" si="0"/>
        <v>125.809</v>
      </c>
      <c r="F56" t="str" cm="1">
        <f t="array" ref="F56">INDEX({"Pay as you go","Prediction_PACK","Prediction_Payasyougo","Competitor"},MATCH(MIN(A56:D56), A56:D56, 0))</f>
        <v>Pay as you go</v>
      </c>
    </row>
    <row r="57" spans="1:6" x14ac:dyDescent="0.25">
      <c r="A57">
        <v>122.12400000000001</v>
      </c>
      <c r="B57">
        <v>171.88</v>
      </c>
      <c r="C57">
        <v>179.88</v>
      </c>
      <c r="D57">
        <v>184.88</v>
      </c>
      <c r="E57">
        <f t="shared" si="0"/>
        <v>122.12400000000001</v>
      </c>
      <c r="F57" t="str" cm="1">
        <f t="array" ref="F57">INDEX({"Pay as you go","Prediction_PACK","Prediction_Payasyougo","Competitor"},MATCH(MIN(A57:D57), A57:D57, 0))</f>
        <v>Pay as you go</v>
      </c>
    </row>
    <row r="58" spans="1:6" x14ac:dyDescent="0.25">
      <c r="A58">
        <v>151.876</v>
      </c>
      <c r="B58">
        <v>195.88</v>
      </c>
      <c r="C58">
        <v>181.4002170354498</v>
      </c>
      <c r="D58">
        <v>209.88</v>
      </c>
      <c r="E58">
        <f t="shared" si="0"/>
        <v>151.876</v>
      </c>
      <c r="F58" t="str" cm="1">
        <f t="array" ref="F58">INDEX({"Pay as you go","Prediction_PACK","Prediction_Payasyougo","Competitor"},MATCH(MIN(A58:D58), A58:D58, 0))</f>
        <v>Pay as you go</v>
      </c>
    </row>
    <row r="59" spans="1:6" x14ac:dyDescent="0.25">
      <c r="A59">
        <v>117.745</v>
      </c>
      <c r="B59">
        <v>171.88</v>
      </c>
      <c r="C59">
        <v>179.88</v>
      </c>
      <c r="D59">
        <v>184.88</v>
      </c>
      <c r="E59">
        <f t="shared" si="0"/>
        <v>117.745</v>
      </c>
      <c r="F59" t="str" cm="1">
        <f t="array" ref="F59">INDEX({"Pay as you go","Prediction_PACK","Prediction_Payasyougo","Competitor"},MATCH(MIN(A59:D59), A59:D59, 0))</f>
        <v>Pay as you go</v>
      </c>
    </row>
    <row r="60" spans="1:6" x14ac:dyDescent="0.25">
      <c r="A60">
        <v>139.88400000000001</v>
      </c>
      <c r="B60">
        <v>175.88</v>
      </c>
      <c r="C60">
        <v>179.88</v>
      </c>
      <c r="D60">
        <v>189.88</v>
      </c>
      <c r="E60">
        <f t="shared" si="0"/>
        <v>139.88400000000001</v>
      </c>
      <c r="F60" t="str" cm="1">
        <f t="array" ref="F60">INDEX({"Pay as you go","Prediction_PACK","Prediction_Payasyougo","Competitor"},MATCH(MIN(A60:D60), A60:D60, 0))</f>
        <v>Pay as you go</v>
      </c>
    </row>
    <row r="61" spans="1:6" x14ac:dyDescent="0.25">
      <c r="A61">
        <v>201.548</v>
      </c>
      <c r="B61">
        <v>195.88</v>
      </c>
      <c r="C61">
        <v>179.88</v>
      </c>
      <c r="D61">
        <v>209.88</v>
      </c>
      <c r="E61">
        <f t="shared" si="0"/>
        <v>179.88</v>
      </c>
      <c r="F61" t="str" cm="1">
        <f t="array" ref="F61">INDEX({"Pay as you go","Prediction_PACK","Prediction_Payasyougo","Competitor"},MATCH(MIN(A61:D61), A61:D61, 0))</f>
        <v>Prediction_Payasyougo</v>
      </c>
    </row>
    <row r="62" spans="1:6" x14ac:dyDescent="0.25">
      <c r="A62">
        <v>130.79500000000002</v>
      </c>
      <c r="B62">
        <v>171.88</v>
      </c>
      <c r="C62">
        <v>179.88</v>
      </c>
      <c r="D62">
        <v>184.88</v>
      </c>
      <c r="E62">
        <f t="shared" si="0"/>
        <v>130.79500000000002</v>
      </c>
      <c r="F62" t="str" cm="1">
        <f t="array" ref="F62">INDEX({"Pay as you go","Prediction_PACK","Prediction_Payasyougo","Competitor"},MATCH(MIN(A62:D62), A62:D62, 0))</f>
        <v>Pay as you go</v>
      </c>
    </row>
    <row r="63" spans="1:6" x14ac:dyDescent="0.25">
      <c r="A63">
        <v>218.22</v>
      </c>
      <c r="B63">
        <v>179.88</v>
      </c>
      <c r="C63">
        <v>179.88</v>
      </c>
      <c r="D63">
        <v>194.88</v>
      </c>
      <c r="E63">
        <f t="shared" si="0"/>
        <v>179.88</v>
      </c>
      <c r="F63" t="str" cm="1">
        <f t="array" ref="F63">INDEX({"Pay as you go","Prediction_PACK","Prediction_Payasyougo","Competitor"},MATCH(MIN(A63:D63), A63:D63, 0))</f>
        <v>Prediction_PACK</v>
      </c>
    </row>
    <row r="64" spans="1:6" x14ac:dyDescent="0.25">
      <c r="A64">
        <v>150.31700000000001</v>
      </c>
      <c r="B64">
        <v>175.88</v>
      </c>
      <c r="C64">
        <v>179.88</v>
      </c>
      <c r="D64">
        <v>189.88</v>
      </c>
      <c r="E64">
        <f t="shared" si="0"/>
        <v>150.31700000000001</v>
      </c>
      <c r="F64" t="str" cm="1">
        <f t="array" ref="F64">INDEX({"Pay as you go","Prediction_PACK","Prediction_Payasyougo","Competitor"},MATCH(MIN(A64:D64), A64:D64, 0))</f>
        <v>Pay as you go</v>
      </c>
    </row>
    <row r="65" spans="1:6" x14ac:dyDescent="0.25">
      <c r="A65">
        <v>86.303000000000011</v>
      </c>
      <c r="B65">
        <v>171.88</v>
      </c>
      <c r="C65">
        <v>179.88</v>
      </c>
      <c r="D65">
        <v>184.88</v>
      </c>
      <c r="E65">
        <f t="shared" si="0"/>
        <v>86.303000000000011</v>
      </c>
      <c r="F65" t="str" cm="1">
        <f t="array" ref="F65">INDEX({"Pay as you go","Prediction_PACK","Prediction_Payasyougo","Competitor"},MATCH(MIN(A65:D65), A65:D65, 0))</f>
        <v>Pay as you go</v>
      </c>
    </row>
    <row r="66" spans="1:6" x14ac:dyDescent="0.25">
      <c r="A66">
        <v>168.636</v>
      </c>
      <c r="B66">
        <v>207.88</v>
      </c>
      <c r="C66">
        <v>208.06614780101879</v>
      </c>
      <c r="D66">
        <v>219.88</v>
      </c>
      <c r="E66">
        <f t="shared" si="0"/>
        <v>168.636</v>
      </c>
      <c r="F66" t="str" cm="1">
        <f t="array" ref="F66">INDEX({"Pay as you go","Prediction_PACK","Prediction_Payasyougo","Competitor"},MATCH(MIN(A66:D66), A66:D66, 0))</f>
        <v>Pay as you go</v>
      </c>
    </row>
    <row r="67" spans="1:6" x14ac:dyDescent="0.25">
      <c r="A67">
        <v>179.392</v>
      </c>
      <c r="B67">
        <v>197.88</v>
      </c>
      <c r="C67">
        <v>179.88</v>
      </c>
      <c r="D67">
        <v>209.88</v>
      </c>
      <c r="E67">
        <f t="shared" si="0"/>
        <v>179.392</v>
      </c>
      <c r="F67" t="str" cm="1">
        <f t="array" ref="F67">INDEX({"Pay as you go","Prediction_PACK","Prediction_Payasyougo","Competitor"},MATCH(MIN(A67:D67), A67:D67, 0))</f>
        <v>Pay as you go</v>
      </c>
    </row>
    <row r="68" spans="1:6" x14ac:dyDescent="0.25">
      <c r="A68">
        <v>110.124</v>
      </c>
      <c r="B68">
        <v>167.88</v>
      </c>
      <c r="C68">
        <v>179.88</v>
      </c>
      <c r="D68">
        <v>179.88</v>
      </c>
      <c r="E68">
        <f t="shared" si="0"/>
        <v>110.124</v>
      </c>
      <c r="F68" t="str" cm="1">
        <f t="array" ref="F68">INDEX({"Pay as you go","Prediction_PACK","Prediction_Payasyougo","Competitor"},MATCH(MIN(A68:D68), A68:D68, 0))</f>
        <v>Pay as you go</v>
      </c>
    </row>
    <row r="69" spans="1:6" x14ac:dyDescent="0.25">
      <c r="A69">
        <v>169.59299999999999</v>
      </c>
      <c r="B69">
        <v>175.88</v>
      </c>
      <c r="C69">
        <v>179.88</v>
      </c>
      <c r="D69">
        <v>189.88</v>
      </c>
      <c r="E69">
        <f t="shared" si="0"/>
        <v>169.59299999999999</v>
      </c>
      <c r="F69" t="str" cm="1">
        <f t="array" ref="F69">INDEX({"Pay as you go","Prediction_PACK","Prediction_Payasyougo","Competitor"},MATCH(MIN(A69:D69), A69:D69, 0))</f>
        <v>Pay as you go</v>
      </c>
    </row>
    <row r="70" spans="1:6" x14ac:dyDescent="0.25">
      <c r="A70">
        <v>128.02199999999999</v>
      </c>
      <c r="B70">
        <v>167.88</v>
      </c>
      <c r="C70">
        <v>179.88</v>
      </c>
      <c r="D70">
        <v>179.88</v>
      </c>
      <c r="E70">
        <f t="shared" si="0"/>
        <v>128.02199999999999</v>
      </c>
      <c r="F70" t="str" cm="1">
        <f t="array" ref="F70">INDEX({"Pay as you go","Prediction_PACK","Prediction_Payasyougo","Competitor"},MATCH(MIN(A70:D70), A70:D70, 0))</f>
        <v>Pay as you go</v>
      </c>
    </row>
    <row r="71" spans="1:6" x14ac:dyDescent="0.25">
      <c r="A71">
        <v>218.68300000000002</v>
      </c>
      <c r="B71">
        <v>175.88</v>
      </c>
      <c r="C71">
        <v>179.88</v>
      </c>
      <c r="D71">
        <v>189.88</v>
      </c>
      <c r="E71">
        <f t="shared" si="0"/>
        <v>175.88</v>
      </c>
      <c r="F71" t="str" cm="1">
        <f t="array" ref="F71">INDEX({"Pay as you go","Prediction_PACK","Prediction_Payasyougo","Competitor"},MATCH(MIN(A71:D71), A71:D71, 0))</f>
        <v>Prediction_PACK</v>
      </c>
    </row>
    <row r="72" spans="1:6" x14ac:dyDescent="0.25">
      <c r="A72">
        <v>176.27199999999999</v>
      </c>
      <c r="B72">
        <v>187.88</v>
      </c>
      <c r="C72">
        <v>194.76417585900271</v>
      </c>
      <c r="D72">
        <v>199.88</v>
      </c>
      <c r="E72">
        <f t="shared" ref="E72:E135" si="1">MIN(A72:D72)</f>
        <v>176.27199999999999</v>
      </c>
      <c r="F72" t="str" cm="1">
        <f t="array" ref="F72">INDEX({"Pay as you go","Prediction_PACK","Prediction_Payasyougo","Competitor"},MATCH(MIN(A72:D72), A72:D72, 0))</f>
        <v>Pay as you go</v>
      </c>
    </row>
    <row r="73" spans="1:6" x14ac:dyDescent="0.25">
      <c r="A73">
        <v>187.78199999999998</v>
      </c>
      <c r="B73">
        <v>197.88</v>
      </c>
      <c r="C73">
        <v>188.41702585889098</v>
      </c>
      <c r="D73">
        <v>209.88</v>
      </c>
      <c r="E73">
        <f t="shared" si="1"/>
        <v>187.78199999999998</v>
      </c>
      <c r="F73" t="str" cm="1">
        <f t="array" ref="F73">INDEX({"Pay as you go","Prediction_PACK","Prediction_Payasyougo","Competitor"},MATCH(MIN(A73:D73), A73:D73, 0))</f>
        <v>Pay as you go</v>
      </c>
    </row>
    <row r="74" spans="1:6" x14ac:dyDescent="0.25">
      <c r="A74">
        <v>146.911</v>
      </c>
      <c r="B74">
        <v>167.88</v>
      </c>
      <c r="C74">
        <v>179.88</v>
      </c>
      <c r="D74">
        <v>179.88</v>
      </c>
      <c r="E74">
        <f t="shared" si="1"/>
        <v>146.911</v>
      </c>
      <c r="F74" t="str" cm="1">
        <f t="array" ref="F74">INDEX({"Pay as you go","Prediction_PACK","Prediction_Payasyougo","Competitor"},MATCH(MIN(A74:D74), A74:D74, 0))</f>
        <v>Pay as you go</v>
      </c>
    </row>
    <row r="75" spans="1:6" x14ac:dyDescent="0.25">
      <c r="A75">
        <v>140.39400000000001</v>
      </c>
      <c r="B75">
        <v>167.88</v>
      </c>
      <c r="C75">
        <v>179.88</v>
      </c>
      <c r="D75">
        <v>179.88</v>
      </c>
      <c r="E75">
        <f t="shared" si="1"/>
        <v>140.39400000000001</v>
      </c>
      <c r="F75" t="str" cm="1">
        <f t="array" ref="F75">INDEX({"Pay as you go","Prediction_PACK","Prediction_Payasyougo","Competitor"},MATCH(MIN(A75:D75), A75:D75, 0))</f>
        <v>Pay as you go</v>
      </c>
    </row>
    <row r="76" spans="1:6" x14ac:dyDescent="0.25">
      <c r="A76">
        <v>221.239</v>
      </c>
      <c r="B76">
        <v>197.88</v>
      </c>
      <c r="C76">
        <v>190.2124536838509</v>
      </c>
      <c r="D76">
        <v>209.88</v>
      </c>
      <c r="E76">
        <f t="shared" si="1"/>
        <v>190.2124536838509</v>
      </c>
      <c r="F76" t="str" cm="1">
        <f t="array" ref="F76">INDEX({"Pay as you go","Prediction_PACK","Prediction_Payasyougo","Competitor"},MATCH(MIN(A76:D76), A76:D76, 0))</f>
        <v>Prediction_Payasyougo</v>
      </c>
    </row>
    <row r="77" spans="1:6" x14ac:dyDescent="0.25">
      <c r="A77">
        <v>166.011</v>
      </c>
      <c r="B77">
        <v>171.88</v>
      </c>
      <c r="C77">
        <v>179.88</v>
      </c>
      <c r="D77">
        <v>184.88</v>
      </c>
      <c r="E77">
        <f t="shared" si="1"/>
        <v>166.011</v>
      </c>
      <c r="F77" t="str" cm="1">
        <f t="array" ref="F77">INDEX({"Pay as you go","Prediction_PACK","Prediction_Payasyougo","Competitor"},MATCH(MIN(A77:D77), A77:D77, 0))</f>
        <v>Pay as you go</v>
      </c>
    </row>
    <row r="78" spans="1:6" x14ac:dyDescent="0.25">
      <c r="A78">
        <v>126.96</v>
      </c>
      <c r="B78">
        <v>167.88</v>
      </c>
      <c r="C78">
        <v>179.88</v>
      </c>
      <c r="D78">
        <v>179.88</v>
      </c>
      <c r="E78">
        <f t="shared" si="1"/>
        <v>126.96</v>
      </c>
      <c r="F78" t="str" cm="1">
        <f t="array" ref="F78">INDEX({"Pay as you go","Prediction_PACK","Prediction_Payasyougo","Competitor"},MATCH(MIN(A78:D78), A78:D78, 0))</f>
        <v>Pay as you go</v>
      </c>
    </row>
    <row r="79" spans="1:6" x14ac:dyDescent="0.25">
      <c r="A79">
        <v>150.898</v>
      </c>
      <c r="B79">
        <v>182.88</v>
      </c>
      <c r="C79">
        <v>180.34242975338398</v>
      </c>
      <c r="D79">
        <v>194.88</v>
      </c>
      <c r="E79">
        <f t="shared" si="1"/>
        <v>150.898</v>
      </c>
      <c r="F79" t="str" cm="1">
        <f t="array" ref="F79">INDEX({"Pay as you go","Prediction_PACK","Prediction_Payasyougo","Competitor"},MATCH(MIN(A79:D79), A79:D79, 0))</f>
        <v>Pay as you go</v>
      </c>
    </row>
    <row r="80" spans="1:6" x14ac:dyDescent="0.25">
      <c r="A80">
        <v>146.78700000000001</v>
      </c>
      <c r="B80">
        <v>177.88</v>
      </c>
      <c r="C80">
        <v>179.88</v>
      </c>
      <c r="D80">
        <v>189.88</v>
      </c>
      <c r="E80">
        <f t="shared" si="1"/>
        <v>146.78700000000001</v>
      </c>
      <c r="F80" t="str" cm="1">
        <f t="array" ref="F80">INDEX({"Pay as you go","Prediction_PACK","Prediction_Payasyougo","Competitor"},MATCH(MIN(A80:D80), A80:D80, 0))</f>
        <v>Pay as you go</v>
      </c>
    </row>
    <row r="81" spans="1:6" x14ac:dyDescent="0.25">
      <c r="A81">
        <v>181.87700000000001</v>
      </c>
      <c r="B81">
        <v>187.88</v>
      </c>
      <c r="C81">
        <v>188.97764007960149</v>
      </c>
      <c r="D81">
        <v>199.88</v>
      </c>
      <c r="E81">
        <f t="shared" si="1"/>
        <v>181.87700000000001</v>
      </c>
      <c r="F81" t="str" cm="1">
        <f t="array" ref="F81">INDEX({"Pay as you go","Prediction_PACK","Prediction_Payasyougo","Competitor"},MATCH(MIN(A81:D81), A81:D81, 0))</f>
        <v>Pay as you go</v>
      </c>
    </row>
    <row r="82" spans="1:6" x14ac:dyDescent="0.25">
      <c r="A82">
        <v>223.32299999999998</v>
      </c>
      <c r="B82">
        <v>197.88</v>
      </c>
      <c r="C82">
        <v>193.06308206732939</v>
      </c>
      <c r="D82">
        <v>209.88</v>
      </c>
      <c r="E82">
        <f t="shared" si="1"/>
        <v>193.06308206732939</v>
      </c>
      <c r="F82" t="str" cm="1">
        <f t="array" ref="F82">INDEX({"Pay as you go","Prediction_PACK","Prediction_Payasyougo","Competitor"},MATCH(MIN(A82:D82), A82:D82, 0))</f>
        <v>Prediction_Payasyougo</v>
      </c>
    </row>
    <row r="83" spans="1:6" x14ac:dyDescent="0.25">
      <c r="A83">
        <v>157.42999999999998</v>
      </c>
      <c r="B83">
        <v>177.88</v>
      </c>
      <c r="C83">
        <v>179.88</v>
      </c>
      <c r="D83">
        <v>189.88</v>
      </c>
      <c r="E83">
        <f t="shared" si="1"/>
        <v>157.42999999999998</v>
      </c>
      <c r="F83" t="str" cm="1">
        <f t="array" ref="F83">INDEX({"Pay as you go","Prediction_PACK","Prediction_Payasyougo","Competitor"},MATCH(MIN(A83:D83), A83:D83, 0))</f>
        <v>Pay as you go</v>
      </c>
    </row>
    <row r="84" spans="1:6" x14ac:dyDescent="0.25">
      <c r="A84">
        <v>171.952</v>
      </c>
      <c r="B84">
        <v>177.88</v>
      </c>
      <c r="C84">
        <v>179.88</v>
      </c>
      <c r="D84">
        <v>189.88</v>
      </c>
      <c r="E84">
        <f t="shared" si="1"/>
        <v>171.952</v>
      </c>
      <c r="F84" t="str" cm="1">
        <f t="array" ref="F84">INDEX({"Pay as you go","Prediction_PACK","Prediction_Payasyougo","Competitor"},MATCH(MIN(A84:D84), A84:D84, 0))</f>
        <v>Pay as you go</v>
      </c>
    </row>
    <row r="85" spans="1:6" x14ac:dyDescent="0.25">
      <c r="A85">
        <v>217.03900000000002</v>
      </c>
      <c r="B85">
        <v>187.88</v>
      </c>
      <c r="C85">
        <v>189.9024143327658</v>
      </c>
      <c r="D85">
        <v>199.88</v>
      </c>
      <c r="E85">
        <f t="shared" si="1"/>
        <v>187.88</v>
      </c>
      <c r="F85" t="str" cm="1">
        <f t="array" ref="F85">INDEX({"Pay as you go","Prediction_PACK","Prediction_Payasyougo","Competitor"},MATCH(MIN(A85:D85), A85:D85, 0))</f>
        <v>Prediction_PACK</v>
      </c>
    </row>
    <row r="86" spans="1:6" x14ac:dyDescent="0.25">
      <c r="A86">
        <v>104.14400000000001</v>
      </c>
      <c r="B86">
        <v>167.88</v>
      </c>
      <c r="C86">
        <v>179.88</v>
      </c>
      <c r="D86">
        <v>179.88</v>
      </c>
      <c r="E86">
        <f t="shared" si="1"/>
        <v>104.14400000000001</v>
      </c>
      <c r="F86" t="str" cm="1">
        <f t="array" ref="F86">INDEX({"Pay as you go","Prediction_PACK","Prediction_Payasyougo","Competitor"},MATCH(MIN(A86:D86), A86:D86, 0))</f>
        <v>Pay as you go</v>
      </c>
    </row>
    <row r="87" spans="1:6" x14ac:dyDescent="0.25">
      <c r="A87">
        <v>158.477</v>
      </c>
      <c r="B87">
        <v>167.88</v>
      </c>
      <c r="C87">
        <v>179.88</v>
      </c>
      <c r="D87">
        <v>179.88</v>
      </c>
      <c r="E87">
        <f t="shared" si="1"/>
        <v>158.477</v>
      </c>
      <c r="F87" t="str" cm="1">
        <f t="array" ref="F87">INDEX({"Pay as you go","Prediction_PACK","Prediction_Payasyougo","Competitor"},MATCH(MIN(A87:D87), A87:D87, 0))</f>
        <v>Pay as you go</v>
      </c>
    </row>
    <row r="88" spans="1:6" x14ac:dyDescent="0.25">
      <c r="A88">
        <v>162.82</v>
      </c>
      <c r="B88">
        <v>177.88</v>
      </c>
      <c r="C88">
        <v>179.88</v>
      </c>
      <c r="D88">
        <v>189.88</v>
      </c>
      <c r="E88">
        <f t="shared" si="1"/>
        <v>162.82</v>
      </c>
      <c r="F88" t="str" cm="1">
        <f t="array" ref="F88">INDEX({"Pay as you go","Prediction_PACK","Prediction_Payasyougo","Competitor"},MATCH(MIN(A88:D88), A88:D88, 0))</f>
        <v>Pay as you go</v>
      </c>
    </row>
    <row r="89" spans="1:6" x14ac:dyDescent="0.25">
      <c r="A89">
        <v>131.09799999999998</v>
      </c>
      <c r="B89">
        <v>167.88</v>
      </c>
      <c r="C89">
        <v>179.88</v>
      </c>
      <c r="D89">
        <v>179.88</v>
      </c>
      <c r="E89">
        <f t="shared" si="1"/>
        <v>131.09799999999998</v>
      </c>
      <c r="F89" t="str" cm="1">
        <f t="array" ref="F89">INDEX({"Pay as you go","Prediction_PACK","Prediction_Payasyougo","Competitor"},MATCH(MIN(A89:D89), A89:D89, 0))</f>
        <v>Pay as you go</v>
      </c>
    </row>
    <row r="90" spans="1:6" x14ac:dyDescent="0.25">
      <c r="A90">
        <v>164.49600000000001</v>
      </c>
      <c r="B90">
        <v>175.88</v>
      </c>
      <c r="C90">
        <v>179.88</v>
      </c>
      <c r="D90">
        <v>189.88</v>
      </c>
      <c r="E90">
        <f t="shared" si="1"/>
        <v>164.49600000000001</v>
      </c>
      <c r="F90" t="str" cm="1">
        <f t="array" ref="F90">INDEX({"Pay as you go","Prediction_PACK","Prediction_Payasyougo","Competitor"},MATCH(MIN(A90:D90), A90:D90, 0))</f>
        <v>Pay as you go</v>
      </c>
    </row>
    <row r="91" spans="1:6" x14ac:dyDescent="0.25">
      <c r="A91">
        <v>172.18</v>
      </c>
      <c r="B91">
        <v>182.88</v>
      </c>
      <c r="C91">
        <v>182.20866213380549</v>
      </c>
      <c r="D91">
        <v>194.88</v>
      </c>
      <c r="E91">
        <f t="shared" si="1"/>
        <v>172.18</v>
      </c>
      <c r="F91" t="str" cm="1">
        <f t="array" ref="F91">INDEX({"Pay as you go","Prediction_PACK","Prediction_Payasyougo","Competitor"},MATCH(MIN(A91:D91), A91:D91, 0))</f>
        <v>Pay as you go</v>
      </c>
    </row>
    <row r="92" spans="1:6" x14ac:dyDescent="0.25">
      <c r="A92">
        <v>116.645</v>
      </c>
      <c r="B92">
        <v>167.88</v>
      </c>
      <c r="C92">
        <v>179.88</v>
      </c>
      <c r="D92">
        <v>179.88</v>
      </c>
      <c r="E92">
        <f t="shared" si="1"/>
        <v>116.645</v>
      </c>
      <c r="F92" t="str" cm="1">
        <f t="array" ref="F92">INDEX({"Pay as you go","Prediction_PACK","Prediction_Payasyougo","Competitor"},MATCH(MIN(A92:D92), A92:D92, 0))</f>
        <v>Pay as you go</v>
      </c>
    </row>
    <row r="93" spans="1:6" x14ac:dyDescent="0.25">
      <c r="A93">
        <v>102.40900000000001</v>
      </c>
      <c r="B93">
        <v>167.88</v>
      </c>
      <c r="C93">
        <v>179.88</v>
      </c>
      <c r="D93">
        <v>179.88</v>
      </c>
      <c r="E93">
        <f t="shared" si="1"/>
        <v>102.40900000000001</v>
      </c>
      <c r="F93" t="str" cm="1">
        <f t="array" ref="F93">INDEX({"Pay as you go","Prediction_PACK","Prediction_Payasyougo","Competitor"},MATCH(MIN(A93:D93), A93:D93, 0))</f>
        <v>Pay as you go</v>
      </c>
    </row>
    <row r="94" spans="1:6" x14ac:dyDescent="0.25">
      <c r="A94">
        <v>123.976</v>
      </c>
      <c r="B94">
        <v>167.88</v>
      </c>
      <c r="C94">
        <v>179.88</v>
      </c>
      <c r="D94">
        <v>179.88</v>
      </c>
      <c r="E94">
        <f t="shared" si="1"/>
        <v>123.976</v>
      </c>
      <c r="F94" t="str" cm="1">
        <f t="array" ref="F94">INDEX({"Pay as you go","Prediction_PACK","Prediction_Payasyougo","Competitor"},MATCH(MIN(A94:D94), A94:D94, 0))</f>
        <v>Pay as you go</v>
      </c>
    </row>
    <row r="95" spans="1:6" x14ac:dyDescent="0.25">
      <c r="A95">
        <v>108.042</v>
      </c>
      <c r="B95">
        <v>167.88</v>
      </c>
      <c r="C95">
        <v>179.88</v>
      </c>
      <c r="D95">
        <v>179.88</v>
      </c>
      <c r="E95">
        <f t="shared" si="1"/>
        <v>108.042</v>
      </c>
      <c r="F95" t="str" cm="1">
        <f t="array" ref="F95">INDEX({"Pay as you go","Prediction_PACK","Prediction_Payasyougo","Competitor"},MATCH(MIN(A95:D95), A95:D95, 0))</f>
        <v>Pay as you go</v>
      </c>
    </row>
    <row r="96" spans="1:6" x14ac:dyDescent="0.25">
      <c r="A96">
        <v>120.36999999999999</v>
      </c>
      <c r="B96">
        <v>167.88</v>
      </c>
      <c r="C96">
        <v>179.88</v>
      </c>
      <c r="D96">
        <v>179.88</v>
      </c>
      <c r="E96">
        <f t="shared" si="1"/>
        <v>120.36999999999999</v>
      </c>
      <c r="F96" t="str" cm="1">
        <f t="array" ref="F96">INDEX({"Pay as you go","Prediction_PACK","Prediction_Payasyougo","Competitor"},MATCH(MIN(A96:D96), A96:D96, 0))</f>
        <v>Pay as you go</v>
      </c>
    </row>
    <row r="97" spans="1:6" x14ac:dyDescent="0.25">
      <c r="A97">
        <v>111.205</v>
      </c>
      <c r="B97">
        <v>167.88</v>
      </c>
      <c r="C97">
        <v>179.88</v>
      </c>
      <c r="D97">
        <v>179.88</v>
      </c>
      <c r="E97">
        <f t="shared" si="1"/>
        <v>111.205</v>
      </c>
      <c r="F97" t="str" cm="1">
        <f t="array" ref="F97">INDEX({"Pay as you go","Prediction_PACK","Prediction_Payasyougo","Competitor"},MATCH(MIN(A97:D97), A97:D97, 0))</f>
        <v>Pay as you go</v>
      </c>
    </row>
    <row r="98" spans="1:6" x14ac:dyDescent="0.25">
      <c r="A98">
        <v>96.934000000000012</v>
      </c>
      <c r="B98">
        <v>167.88</v>
      </c>
      <c r="C98">
        <v>179.88</v>
      </c>
      <c r="D98">
        <v>179.88</v>
      </c>
      <c r="E98">
        <f t="shared" si="1"/>
        <v>96.934000000000012</v>
      </c>
      <c r="F98" t="str" cm="1">
        <f t="array" ref="F98">INDEX({"Pay as you go","Prediction_PACK","Prediction_Payasyougo","Competitor"},MATCH(MIN(A98:D98), A98:D98, 0))</f>
        <v>Pay as you go</v>
      </c>
    </row>
    <row r="99" spans="1:6" x14ac:dyDescent="0.25">
      <c r="A99">
        <v>75.602999999999994</v>
      </c>
      <c r="B99">
        <v>167.88</v>
      </c>
      <c r="C99">
        <v>179.88</v>
      </c>
      <c r="D99">
        <v>179.88</v>
      </c>
      <c r="E99">
        <f t="shared" si="1"/>
        <v>75.602999999999994</v>
      </c>
      <c r="F99" t="str" cm="1">
        <f t="array" ref="F99">INDEX({"Pay as you go","Prediction_PACK","Prediction_Payasyougo","Competitor"},MATCH(MIN(A99:D99), A99:D99, 0))</f>
        <v>Pay as you go</v>
      </c>
    </row>
    <row r="100" spans="1:6" x14ac:dyDescent="0.25">
      <c r="A100">
        <v>158.708</v>
      </c>
      <c r="B100">
        <v>187.88</v>
      </c>
      <c r="C100">
        <v>192.64263193875061</v>
      </c>
      <c r="D100">
        <v>199.88</v>
      </c>
      <c r="E100">
        <f t="shared" si="1"/>
        <v>158.708</v>
      </c>
      <c r="F100" t="str" cm="1">
        <f t="array" ref="F100">INDEX({"Pay as you go","Prediction_PACK","Prediction_Payasyougo","Competitor"},MATCH(MIN(A100:D100), A100:D100, 0))</f>
        <v>Pay as you go</v>
      </c>
    </row>
    <row r="101" spans="1:6" x14ac:dyDescent="0.25">
      <c r="A101">
        <v>122.69199999999999</v>
      </c>
      <c r="B101">
        <v>167.88</v>
      </c>
      <c r="C101">
        <v>179.88</v>
      </c>
      <c r="D101">
        <v>179.88</v>
      </c>
      <c r="E101">
        <f t="shared" si="1"/>
        <v>122.69199999999999</v>
      </c>
      <c r="F101" t="str" cm="1">
        <f t="array" ref="F101">INDEX({"Pay as you go","Prediction_PACK","Prediction_Payasyougo","Competitor"},MATCH(MIN(A101:D101), A101:D101, 0))</f>
        <v>Pay as you go</v>
      </c>
    </row>
    <row r="102" spans="1:6" x14ac:dyDescent="0.25">
      <c r="A102">
        <v>146.928</v>
      </c>
      <c r="B102">
        <v>175.88</v>
      </c>
      <c r="C102">
        <v>179.88</v>
      </c>
      <c r="D102">
        <v>189.88</v>
      </c>
      <c r="E102">
        <f t="shared" si="1"/>
        <v>146.928</v>
      </c>
      <c r="F102" t="str" cm="1">
        <f t="array" ref="F102">INDEX({"Pay as you go","Prediction_PACK","Prediction_Payasyougo","Competitor"},MATCH(MIN(A102:D102), A102:D102, 0))</f>
        <v>Pay as you go</v>
      </c>
    </row>
    <row r="103" spans="1:6" x14ac:dyDescent="0.25">
      <c r="A103">
        <v>125.92999999999999</v>
      </c>
      <c r="B103">
        <v>167.88</v>
      </c>
      <c r="C103">
        <v>179.88</v>
      </c>
      <c r="D103">
        <v>179.88</v>
      </c>
      <c r="E103">
        <f t="shared" si="1"/>
        <v>125.92999999999999</v>
      </c>
      <c r="F103" t="str" cm="1">
        <f t="array" ref="F103">INDEX({"Pay as you go","Prediction_PACK","Prediction_Payasyougo","Competitor"},MATCH(MIN(A103:D103), A103:D103, 0))</f>
        <v>Pay as you go</v>
      </c>
    </row>
    <row r="104" spans="1:6" x14ac:dyDescent="0.25">
      <c r="A104">
        <v>159.04</v>
      </c>
      <c r="B104">
        <v>182.88</v>
      </c>
      <c r="C104">
        <v>185.12133536735189</v>
      </c>
      <c r="D104">
        <v>194.88</v>
      </c>
      <c r="E104">
        <f t="shared" si="1"/>
        <v>159.04</v>
      </c>
      <c r="F104" t="str" cm="1">
        <f t="array" ref="F104">INDEX({"Pay as you go","Prediction_PACK","Prediction_Payasyougo","Competitor"},MATCH(MIN(A104:D104), A104:D104, 0))</f>
        <v>Pay as you go</v>
      </c>
    </row>
    <row r="105" spans="1:6" x14ac:dyDescent="0.25">
      <c r="A105">
        <v>137.69499999999999</v>
      </c>
      <c r="B105">
        <v>171.88</v>
      </c>
      <c r="C105">
        <v>179.88</v>
      </c>
      <c r="D105">
        <v>184.88</v>
      </c>
      <c r="E105">
        <f t="shared" si="1"/>
        <v>137.69499999999999</v>
      </c>
      <c r="F105" t="str" cm="1">
        <f t="array" ref="F105">INDEX({"Pay as you go","Prediction_PACK","Prediction_Payasyougo","Competitor"},MATCH(MIN(A105:D105), A105:D105, 0))</f>
        <v>Pay as you go</v>
      </c>
    </row>
    <row r="106" spans="1:6" x14ac:dyDescent="0.25">
      <c r="A106">
        <v>86.312000000000012</v>
      </c>
      <c r="B106">
        <v>167.88</v>
      </c>
      <c r="C106">
        <v>179.88</v>
      </c>
      <c r="D106">
        <v>179.88</v>
      </c>
      <c r="E106">
        <f t="shared" si="1"/>
        <v>86.312000000000012</v>
      </c>
      <c r="F106" t="str" cm="1">
        <f t="array" ref="F106">INDEX({"Pay as you go","Prediction_PACK","Prediction_Payasyougo","Competitor"},MATCH(MIN(A106:D106), A106:D106, 0))</f>
        <v>Pay as you go</v>
      </c>
    </row>
    <row r="107" spans="1:6" x14ac:dyDescent="0.25">
      <c r="A107">
        <v>151.29700000000003</v>
      </c>
      <c r="B107">
        <v>179.88</v>
      </c>
      <c r="C107">
        <v>179.88</v>
      </c>
      <c r="D107">
        <v>194.88</v>
      </c>
      <c r="E107">
        <f t="shared" si="1"/>
        <v>151.29700000000003</v>
      </c>
      <c r="F107" t="str" cm="1">
        <f t="array" ref="F107">INDEX({"Pay as you go","Prediction_PACK","Prediction_Payasyougo","Competitor"},MATCH(MIN(A107:D107), A107:D107, 0))</f>
        <v>Pay as you go</v>
      </c>
    </row>
    <row r="108" spans="1:6" x14ac:dyDescent="0.25">
      <c r="A108">
        <v>123.684</v>
      </c>
      <c r="B108">
        <v>175.88</v>
      </c>
      <c r="C108">
        <v>179.88</v>
      </c>
      <c r="D108">
        <v>189.88</v>
      </c>
      <c r="E108">
        <f t="shared" si="1"/>
        <v>123.684</v>
      </c>
      <c r="F108" t="str" cm="1">
        <f t="array" ref="F108">INDEX({"Pay as you go","Prediction_PACK","Prediction_Payasyougo","Competitor"},MATCH(MIN(A108:D108), A108:D108, 0))</f>
        <v>Pay as you go</v>
      </c>
    </row>
    <row r="109" spans="1:6" x14ac:dyDescent="0.25">
      <c r="A109">
        <v>122.583</v>
      </c>
      <c r="B109">
        <v>182.88</v>
      </c>
      <c r="C109">
        <v>180.39234909787351</v>
      </c>
      <c r="D109">
        <v>194.88</v>
      </c>
      <c r="E109">
        <f t="shared" si="1"/>
        <v>122.583</v>
      </c>
      <c r="F109" t="str" cm="1">
        <f t="array" ref="F109">INDEX({"Pay as you go","Prediction_PACK","Prediction_Payasyougo","Competitor"},MATCH(MIN(A109:D109), A109:D109, 0))</f>
        <v>Pay as you go</v>
      </c>
    </row>
    <row r="110" spans="1:6" x14ac:dyDescent="0.25">
      <c r="A110">
        <v>110.804</v>
      </c>
      <c r="B110">
        <v>167.88</v>
      </c>
      <c r="C110">
        <v>179.88</v>
      </c>
      <c r="D110">
        <v>179.88</v>
      </c>
      <c r="E110">
        <f t="shared" si="1"/>
        <v>110.804</v>
      </c>
      <c r="F110" t="str" cm="1">
        <f t="array" ref="F110">INDEX({"Pay as you go","Prediction_PACK","Prediction_Payasyougo","Competitor"},MATCH(MIN(A110:D110), A110:D110, 0))</f>
        <v>Pay as you go</v>
      </c>
    </row>
    <row r="111" spans="1:6" x14ac:dyDescent="0.25">
      <c r="A111">
        <v>153.43900000000002</v>
      </c>
      <c r="B111">
        <v>167.88</v>
      </c>
      <c r="C111">
        <v>179.88</v>
      </c>
      <c r="D111">
        <v>179.88</v>
      </c>
      <c r="E111">
        <f t="shared" si="1"/>
        <v>153.43900000000002</v>
      </c>
      <c r="F111" t="str" cm="1">
        <f t="array" ref="F111">INDEX({"Pay as you go","Prediction_PACK","Prediction_Payasyougo","Competitor"},MATCH(MIN(A111:D111), A111:D111, 0))</f>
        <v>Pay as you go</v>
      </c>
    </row>
    <row r="112" spans="1:6" x14ac:dyDescent="0.25">
      <c r="A112">
        <v>129.11500000000001</v>
      </c>
      <c r="B112">
        <v>177.88</v>
      </c>
      <c r="C112">
        <v>179.88</v>
      </c>
      <c r="D112">
        <v>189.88</v>
      </c>
      <c r="E112">
        <f t="shared" si="1"/>
        <v>129.11500000000001</v>
      </c>
      <c r="F112" t="str" cm="1">
        <f t="array" ref="F112">INDEX({"Pay as you go","Prediction_PACK","Prediction_Payasyougo","Competitor"},MATCH(MIN(A112:D112), A112:D112, 0))</f>
        <v>Pay as you go</v>
      </c>
    </row>
    <row r="113" spans="1:6" x14ac:dyDescent="0.25">
      <c r="A113">
        <v>157.578</v>
      </c>
      <c r="B113">
        <v>177.88</v>
      </c>
      <c r="C113">
        <v>179.88</v>
      </c>
      <c r="D113">
        <v>189.88</v>
      </c>
      <c r="E113">
        <f t="shared" si="1"/>
        <v>157.578</v>
      </c>
      <c r="F113" t="str" cm="1">
        <f t="array" ref="F113">INDEX({"Pay as you go","Prediction_PACK","Prediction_Payasyougo","Competitor"},MATCH(MIN(A113:D113), A113:D113, 0))</f>
        <v>Pay as you go</v>
      </c>
    </row>
    <row r="114" spans="1:6" x14ac:dyDescent="0.25">
      <c r="A114">
        <v>171.16800000000001</v>
      </c>
      <c r="B114">
        <v>171.88</v>
      </c>
      <c r="C114">
        <v>179.88</v>
      </c>
      <c r="D114">
        <v>184.88</v>
      </c>
      <c r="E114">
        <f t="shared" si="1"/>
        <v>171.16800000000001</v>
      </c>
      <c r="F114" t="str" cm="1">
        <f t="array" ref="F114">INDEX({"Pay as you go","Prediction_PACK","Prediction_Payasyougo","Competitor"},MATCH(MIN(A114:D114), A114:D114, 0))</f>
        <v>Pay as you go</v>
      </c>
    </row>
    <row r="115" spans="1:6" x14ac:dyDescent="0.25">
      <c r="A115">
        <v>145.76400000000001</v>
      </c>
      <c r="B115">
        <v>167.88</v>
      </c>
      <c r="C115">
        <v>179.88</v>
      </c>
      <c r="D115">
        <v>179.88</v>
      </c>
      <c r="E115">
        <f t="shared" si="1"/>
        <v>145.76400000000001</v>
      </c>
      <c r="F115" t="str" cm="1">
        <f t="array" ref="F115">INDEX({"Pay as you go","Prediction_PACK","Prediction_Payasyougo","Competitor"},MATCH(MIN(A115:D115), A115:D115, 0))</f>
        <v>Pay as you go</v>
      </c>
    </row>
    <row r="116" spans="1:6" x14ac:dyDescent="0.25">
      <c r="A116">
        <v>138.76999999999998</v>
      </c>
      <c r="B116">
        <v>167.88</v>
      </c>
      <c r="C116">
        <v>179.88</v>
      </c>
      <c r="D116">
        <v>179.88</v>
      </c>
      <c r="E116">
        <f t="shared" si="1"/>
        <v>138.76999999999998</v>
      </c>
      <c r="F116" t="str" cm="1">
        <f t="array" ref="F116">INDEX({"Pay as you go","Prediction_PACK","Prediction_Payasyougo","Competitor"},MATCH(MIN(A116:D116), A116:D116, 0))</f>
        <v>Pay as you go</v>
      </c>
    </row>
    <row r="117" spans="1:6" x14ac:dyDescent="0.25">
      <c r="A117">
        <v>127.15</v>
      </c>
      <c r="B117">
        <v>187.88</v>
      </c>
      <c r="C117">
        <v>189.05161258054679</v>
      </c>
      <c r="D117">
        <v>199.88</v>
      </c>
      <c r="E117">
        <f t="shared" si="1"/>
        <v>127.15</v>
      </c>
      <c r="F117" t="str" cm="1">
        <f t="array" ref="F117">INDEX({"Pay as you go","Prediction_PACK","Prediction_Payasyougo","Competitor"},MATCH(MIN(A117:D117), A117:D117, 0))</f>
        <v>Pay as you go</v>
      </c>
    </row>
    <row r="118" spans="1:6" x14ac:dyDescent="0.25">
      <c r="A118">
        <v>193.89500000000001</v>
      </c>
      <c r="B118">
        <v>195.88</v>
      </c>
      <c r="C118">
        <v>180.64052134139249</v>
      </c>
      <c r="D118">
        <v>209.88</v>
      </c>
      <c r="E118">
        <f t="shared" si="1"/>
        <v>180.64052134139249</v>
      </c>
      <c r="F118" t="str" cm="1">
        <f t="array" ref="F118">INDEX({"Pay as you go","Prediction_PACK","Prediction_Payasyougo","Competitor"},MATCH(MIN(A118:D118), A118:D118, 0))</f>
        <v>Prediction_Payasyougo</v>
      </c>
    </row>
    <row r="119" spans="1:6" x14ac:dyDescent="0.25">
      <c r="A119">
        <v>209.55800000000002</v>
      </c>
      <c r="B119">
        <v>197.88</v>
      </c>
      <c r="C119">
        <v>179.88</v>
      </c>
      <c r="D119">
        <v>209.88</v>
      </c>
      <c r="E119">
        <f t="shared" si="1"/>
        <v>179.88</v>
      </c>
      <c r="F119" t="str" cm="1">
        <f t="array" ref="F119">INDEX({"Pay as you go","Prediction_PACK","Prediction_Payasyougo","Competitor"},MATCH(MIN(A119:D119), A119:D119, 0))</f>
        <v>Prediction_Payasyougo</v>
      </c>
    </row>
    <row r="120" spans="1:6" x14ac:dyDescent="0.25">
      <c r="A120">
        <v>153.04500000000002</v>
      </c>
      <c r="B120">
        <v>167.88</v>
      </c>
      <c r="C120">
        <v>179.88</v>
      </c>
      <c r="D120">
        <v>179.88</v>
      </c>
      <c r="E120">
        <f t="shared" si="1"/>
        <v>153.04500000000002</v>
      </c>
      <c r="F120" t="str" cm="1">
        <f t="array" ref="F120">INDEX({"Pay as you go","Prediction_PACK","Prediction_Payasyougo","Competitor"},MATCH(MIN(A120:D120), A120:D120, 0))</f>
        <v>Pay as you go</v>
      </c>
    </row>
    <row r="121" spans="1:6" x14ac:dyDescent="0.25">
      <c r="A121">
        <v>117.39100000000001</v>
      </c>
      <c r="B121">
        <v>167.88</v>
      </c>
      <c r="C121">
        <v>179.88</v>
      </c>
      <c r="D121">
        <v>179.88</v>
      </c>
      <c r="E121">
        <f t="shared" si="1"/>
        <v>117.39100000000001</v>
      </c>
      <c r="F121" t="str" cm="1">
        <f t="array" ref="F121">INDEX({"Pay as you go","Prediction_PACK","Prediction_Payasyougo","Competitor"},MATCH(MIN(A121:D121), A121:D121, 0))</f>
        <v>Pay as you go</v>
      </c>
    </row>
    <row r="122" spans="1:6" x14ac:dyDescent="0.25">
      <c r="A122">
        <v>157.929</v>
      </c>
      <c r="B122">
        <v>187.88</v>
      </c>
      <c r="C122">
        <v>179.88</v>
      </c>
      <c r="D122">
        <v>199.88</v>
      </c>
      <c r="E122">
        <f t="shared" si="1"/>
        <v>157.929</v>
      </c>
      <c r="F122" t="str" cm="1">
        <f t="array" ref="F122">INDEX({"Pay as you go","Prediction_PACK","Prediction_Payasyougo","Competitor"},MATCH(MIN(A122:D122), A122:D122, 0))</f>
        <v>Pay as you go</v>
      </c>
    </row>
    <row r="123" spans="1:6" x14ac:dyDescent="0.25">
      <c r="A123">
        <v>95.183000000000007</v>
      </c>
      <c r="B123">
        <v>167.88</v>
      </c>
      <c r="C123">
        <v>179.88</v>
      </c>
      <c r="D123">
        <v>179.88</v>
      </c>
      <c r="E123">
        <f t="shared" si="1"/>
        <v>95.183000000000007</v>
      </c>
      <c r="F123" t="str" cm="1">
        <f t="array" ref="F123">INDEX({"Pay as you go","Prediction_PACK","Prediction_Payasyougo","Competitor"},MATCH(MIN(A123:D123), A123:D123, 0))</f>
        <v>Pay as you go</v>
      </c>
    </row>
    <row r="124" spans="1:6" x14ac:dyDescent="0.25">
      <c r="A124">
        <v>152.99699999999999</v>
      </c>
      <c r="B124">
        <v>175.88</v>
      </c>
      <c r="C124">
        <v>179.88</v>
      </c>
      <c r="D124">
        <v>189.88</v>
      </c>
      <c r="E124">
        <f t="shared" si="1"/>
        <v>152.99699999999999</v>
      </c>
      <c r="F124" t="str" cm="1">
        <f t="array" ref="F124">INDEX({"Pay as you go","Prediction_PACK","Prediction_Payasyougo","Competitor"},MATCH(MIN(A124:D124), A124:D124, 0))</f>
        <v>Pay as you go</v>
      </c>
    </row>
    <row r="125" spans="1:6" x14ac:dyDescent="0.25">
      <c r="A125">
        <v>131.779</v>
      </c>
      <c r="B125">
        <v>167.88</v>
      </c>
      <c r="C125">
        <v>179.88</v>
      </c>
      <c r="D125">
        <v>179.88</v>
      </c>
      <c r="E125">
        <f t="shared" si="1"/>
        <v>131.779</v>
      </c>
      <c r="F125" t="str" cm="1">
        <f t="array" ref="F125">INDEX({"Pay as you go","Prediction_PACK","Prediction_Payasyougo","Competitor"},MATCH(MIN(A125:D125), A125:D125, 0))</f>
        <v>Pay as you go</v>
      </c>
    </row>
    <row r="126" spans="1:6" x14ac:dyDescent="0.25">
      <c r="A126">
        <v>232.566</v>
      </c>
      <c r="B126">
        <v>197.88</v>
      </c>
      <c r="C126">
        <v>193.03178397878878</v>
      </c>
      <c r="D126">
        <v>209.88</v>
      </c>
      <c r="E126">
        <f t="shared" si="1"/>
        <v>193.03178397878878</v>
      </c>
      <c r="F126" t="str" cm="1">
        <f t="array" ref="F126">INDEX({"Pay as you go","Prediction_PACK","Prediction_Payasyougo","Competitor"},MATCH(MIN(A126:D126), A126:D126, 0))</f>
        <v>Prediction_Payasyougo</v>
      </c>
    </row>
    <row r="127" spans="1:6" x14ac:dyDescent="0.25">
      <c r="A127">
        <v>98.998000000000005</v>
      </c>
      <c r="B127">
        <v>167.88</v>
      </c>
      <c r="C127">
        <v>179.88</v>
      </c>
      <c r="D127">
        <v>179.88</v>
      </c>
      <c r="E127">
        <f t="shared" si="1"/>
        <v>98.998000000000005</v>
      </c>
      <c r="F127" t="str" cm="1">
        <f t="array" ref="F127">INDEX({"Pay as you go","Prediction_PACK","Prediction_Payasyougo","Competitor"},MATCH(MIN(A127:D127), A127:D127, 0))</f>
        <v>Pay as you go</v>
      </c>
    </row>
    <row r="128" spans="1:6" x14ac:dyDescent="0.25">
      <c r="A128">
        <v>132.15900000000002</v>
      </c>
      <c r="B128">
        <v>167.88</v>
      </c>
      <c r="C128">
        <v>179.88</v>
      </c>
      <c r="D128">
        <v>179.88</v>
      </c>
      <c r="E128">
        <f t="shared" si="1"/>
        <v>132.15900000000002</v>
      </c>
      <c r="F128" t="str" cm="1">
        <f t="array" ref="F128">INDEX({"Pay as you go","Prediction_PACK","Prediction_Payasyougo","Competitor"},MATCH(MIN(A128:D128), A128:D128, 0))</f>
        <v>Pay as you go</v>
      </c>
    </row>
    <row r="129" spans="1:6" x14ac:dyDescent="0.25">
      <c r="A129">
        <v>169.238</v>
      </c>
      <c r="B129">
        <v>177.88</v>
      </c>
      <c r="C129">
        <v>179.88</v>
      </c>
      <c r="D129">
        <v>189.88</v>
      </c>
      <c r="E129">
        <f t="shared" si="1"/>
        <v>169.238</v>
      </c>
      <c r="F129" t="str" cm="1">
        <f t="array" ref="F129">INDEX({"Pay as you go","Prediction_PACK","Prediction_Payasyougo","Competitor"},MATCH(MIN(A129:D129), A129:D129, 0))</f>
        <v>Pay as you go</v>
      </c>
    </row>
    <row r="130" spans="1:6" x14ac:dyDescent="0.25">
      <c r="A130">
        <v>143.41</v>
      </c>
      <c r="B130">
        <v>167.88</v>
      </c>
      <c r="C130">
        <v>179.88</v>
      </c>
      <c r="D130">
        <v>179.88</v>
      </c>
      <c r="E130">
        <f t="shared" si="1"/>
        <v>143.41</v>
      </c>
      <c r="F130" t="str" cm="1">
        <f t="array" ref="F130">INDEX({"Pay as you go","Prediction_PACK","Prediction_Payasyougo","Competitor"},MATCH(MIN(A130:D130), A130:D130, 0))</f>
        <v>Pay as you go</v>
      </c>
    </row>
    <row r="131" spans="1:6" x14ac:dyDescent="0.25">
      <c r="A131">
        <v>107.483</v>
      </c>
      <c r="B131">
        <v>167.88</v>
      </c>
      <c r="C131">
        <v>179.88</v>
      </c>
      <c r="D131">
        <v>179.88</v>
      </c>
      <c r="E131">
        <f t="shared" si="1"/>
        <v>107.483</v>
      </c>
      <c r="F131" t="str" cm="1">
        <f t="array" ref="F131">INDEX({"Pay as you go","Prediction_PACK","Prediction_Payasyougo","Competitor"},MATCH(MIN(A131:D131), A131:D131, 0))</f>
        <v>Pay as you go</v>
      </c>
    </row>
    <row r="132" spans="1:6" x14ac:dyDescent="0.25">
      <c r="A132">
        <v>123.15900000000001</v>
      </c>
      <c r="B132">
        <v>171.88</v>
      </c>
      <c r="C132">
        <v>179.88</v>
      </c>
      <c r="D132">
        <v>184.88</v>
      </c>
      <c r="E132">
        <f t="shared" si="1"/>
        <v>123.15900000000001</v>
      </c>
      <c r="F132" t="str" cm="1">
        <f t="array" ref="F132">INDEX({"Pay as you go","Prediction_PACK","Prediction_Payasyougo","Competitor"},MATCH(MIN(A132:D132), A132:D132, 0))</f>
        <v>Pay as you go</v>
      </c>
    </row>
    <row r="133" spans="1:6" x14ac:dyDescent="0.25">
      <c r="A133">
        <v>117.71899999999999</v>
      </c>
      <c r="B133">
        <v>167.88</v>
      </c>
      <c r="C133">
        <v>179.88</v>
      </c>
      <c r="D133">
        <v>179.88</v>
      </c>
      <c r="E133">
        <f t="shared" si="1"/>
        <v>117.71899999999999</v>
      </c>
      <c r="F133" t="str" cm="1">
        <f t="array" ref="F133">INDEX({"Pay as you go","Prediction_PACK","Prediction_Payasyougo","Competitor"},MATCH(MIN(A133:D133), A133:D133, 0))</f>
        <v>Pay as you go</v>
      </c>
    </row>
    <row r="134" spans="1:6" x14ac:dyDescent="0.25">
      <c r="A134">
        <v>151.12500000000003</v>
      </c>
      <c r="B134">
        <v>167.88</v>
      </c>
      <c r="C134">
        <v>179.88</v>
      </c>
      <c r="D134">
        <v>179.88</v>
      </c>
      <c r="E134">
        <f t="shared" si="1"/>
        <v>151.12500000000003</v>
      </c>
      <c r="F134" t="str" cm="1">
        <f t="array" ref="F134">INDEX({"Pay as you go","Prediction_PACK","Prediction_Payasyougo","Competitor"},MATCH(MIN(A134:D134), A134:D134, 0))</f>
        <v>Pay as you go</v>
      </c>
    </row>
    <row r="135" spans="1:6" x14ac:dyDescent="0.25">
      <c r="A135">
        <v>128.791</v>
      </c>
      <c r="B135">
        <v>167.88</v>
      </c>
      <c r="C135">
        <v>179.88</v>
      </c>
      <c r="D135">
        <v>179.88</v>
      </c>
      <c r="E135">
        <f t="shared" si="1"/>
        <v>128.791</v>
      </c>
      <c r="F135" t="str" cm="1">
        <f t="array" ref="F135">INDEX({"Pay as you go","Prediction_PACK","Prediction_Payasyougo","Competitor"},MATCH(MIN(A135:D135), A135:D135, 0))</f>
        <v>Pay as you go</v>
      </c>
    </row>
    <row r="136" spans="1:6" x14ac:dyDescent="0.25">
      <c r="A136">
        <v>186.88400000000001</v>
      </c>
      <c r="B136">
        <v>195.88</v>
      </c>
      <c r="C136">
        <v>180.26801093904601</v>
      </c>
      <c r="D136">
        <v>209.88</v>
      </c>
      <c r="E136">
        <f t="shared" ref="E136:E199" si="2">MIN(A136:D136)</f>
        <v>180.26801093904601</v>
      </c>
      <c r="F136" t="str" cm="1">
        <f t="array" ref="F136">INDEX({"Pay as you go","Prediction_PACK","Prediction_Payasyougo","Competitor"},MATCH(MIN(A136:D136), A136:D136, 0))</f>
        <v>Prediction_Payasyougo</v>
      </c>
    </row>
    <row r="137" spans="1:6" x14ac:dyDescent="0.25">
      <c r="A137">
        <v>118.01599999999999</v>
      </c>
      <c r="B137">
        <v>167.88</v>
      </c>
      <c r="C137">
        <v>179.88</v>
      </c>
      <c r="D137">
        <v>179.88</v>
      </c>
      <c r="E137">
        <f t="shared" si="2"/>
        <v>118.01599999999999</v>
      </c>
      <c r="F137" t="str" cm="1">
        <f t="array" ref="F137">INDEX({"Pay as you go","Prediction_PACK","Prediction_Payasyougo","Competitor"},MATCH(MIN(A137:D137), A137:D137, 0))</f>
        <v>Pay as you go</v>
      </c>
    </row>
    <row r="138" spans="1:6" x14ac:dyDescent="0.25">
      <c r="A138">
        <v>111.244</v>
      </c>
      <c r="B138">
        <v>167.88</v>
      </c>
      <c r="C138">
        <v>179.88</v>
      </c>
      <c r="D138">
        <v>179.88</v>
      </c>
      <c r="E138">
        <f t="shared" si="2"/>
        <v>111.244</v>
      </c>
      <c r="F138" t="str" cm="1">
        <f t="array" ref="F138">INDEX({"Pay as you go","Prediction_PACK","Prediction_Payasyougo","Competitor"},MATCH(MIN(A138:D138), A138:D138, 0))</f>
        <v>Pay as you go</v>
      </c>
    </row>
    <row r="139" spans="1:6" x14ac:dyDescent="0.25">
      <c r="A139">
        <v>159.59299999999999</v>
      </c>
      <c r="B139">
        <v>167.88</v>
      </c>
      <c r="C139">
        <v>179.88</v>
      </c>
      <c r="D139">
        <v>179.88</v>
      </c>
      <c r="E139">
        <f t="shared" si="2"/>
        <v>159.59299999999999</v>
      </c>
      <c r="F139" t="str" cm="1">
        <f t="array" ref="F139">INDEX({"Pay as you go","Prediction_PACK","Prediction_Payasyougo","Competitor"},MATCH(MIN(A139:D139), A139:D139, 0))</f>
        <v>Pay as you go</v>
      </c>
    </row>
    <row r="140" spans="1:6" x14ac:dyDescent="0.25">
      <c r="A140">
        <v>188.065</v>
      </c>
      <c r="B140">
        <v>187.88</v>
      </c>
      <c r="C140">
        <v>179.88</v>
      </c>
      <c r="D140">
        <v>199.88</v>
      </c>
      <c r="E140">
        <f t="shared" si="2"/>
        <v>179.88</v>
      </c>
      <c r="F140" t="str" cm="1">
        <f t="array" ref="F140">INDEX({"Pay as you go","Prediction_PACK","Prediction_Payasyougo","Competitor"},MATCH(MIN(A140:D140), A140:D140, 0))</f>
        <v>Prediction_Payasyougo</v>
      </c>
    </row>
    <row r="141" spans="1:6" x14ac:dyDescent="0.25">
      <c r="A141">
        <v>152.07400000000001</v>
      </c>
      <c r="B141">
        <v>187.88</v>
      </c>
      <c r="C141">
        <v>193.45611167755951</v>
      </c>
      <c r="D141">
        <v>199.88</v>
      </c>
      <c r="E141">
        <f t="shared" si="2"/>
        <v>152.07400000000001</v>
      </c>
      <c r="F141" t="str" cm="1">
        <f t="array" ref="F141">INDEX({"Pay as you go","Prediction_PACK","Prediction_Payasyougo","Competitor"},MATCH(MIN(A141:D141), A141:D141, 0))</f>
        <v>Pay as you go</v>
      </c>
    </row>
    <row r="142" spans="1:6" x14ac:dyDescent="0.25">
      <c r="A142">
        <v>129.07400000000001</v>
      </c>
      <c r="B142">
        <v>167.88</v>
      </c>
      <c r="C142">
        <v>179.88</v>
      </c>
      <c r="D142">
        <v>179.88</v>
      </c>
      <c r="E142">
        <f t="shared" si="2"/>
        <v>129.07400000000001</v>
      </c>
      <c r="F142" t="str" cm="1">
        <f t="array" ref="F142">INDEX({"Pay as you go","Prediction_PACK","Prediction_Payasyougo","Competitor"},MATCH(MIN(A142:D142), A142:D142, 0))</f>
        <v>Pay as you go</v>
      </c>
    </row>
    <row r="143" spans="1:6" x14ac:dyDescent="0.25">
      <c r="A143">
        <v>110.494</v>
      </c>
      <c r="B143">
        <v>167.88</v>
      </c>
      <c r="C143">
        <v>179.88</v>
      </c>
      <c r="D143">
        <v>179.88</v>
      </c>
      <c r="E143">
        <f t="shared" si="2"/>
        <v>110.494</v>
      </c>
      <c r="F143" t="str" cm="1">
        <f t="array" ref="F143">INDEX({"Pay as you go","Prediction_PACK","Prediction_Payasyougo","Competitor"},MATCH(MIN(A143:D143), A143:D143, 0))</f>
        <v>Pay as you go</v>
      </c>
    </row>
    <row r="144" spans="1:6" x14ac:dyDescent="0.25">
      <c r="A144">
        <v>167.31900000000002</v>
      </c>
      <c r="B144">
        <v>197.88</v>
      </c>
      <c r="C144">
        <v>206.93568646201498</v>
      </c>
      <c r="D144">
        <v>209.88</v>
      </c>
      <c r="E144">
        <f t="shared" si="2"/>
        <v>167.31900000000002</v>
      </c>
      <c r="F144" t="str" cm="1">
        <f t="array" ref="F144">INDEX({"Pay as you go","Prediction_PACK","Prediction_Payasyougo","Competitor"},MATCH(MIN(A144:D144), A144:D144, 0))</f>
        <v>Pay as you go</v>
      </c>
    </row>
    <row r="145" spans="1:6" x14ac:dyDescent="0.25">
      <c r="A145">
        <v>117</v>
      </c>
      <c r="B145">
        <v>167.88</v>
      </c>
      <c r="C145">
        <v>179.88</v>
      </c>
      <c r="D145">
        <v>179.88</v>
      </c>
      <c r="E145">
        <f t="shared" si="2"/>
        <v>117</v>
      </c>
      <c r="F145" t="str" cm="1">
        <f t="array" ref="F145">INDEX({"Pay as you go","Prediction_PACK","Prediction_Payasyougo","Competitor"},MATCH(MIN(A145:D145), A145:D145, 0))</f>
        <v>Pay as you go</v>
      </c>
    </row>
    <row r="146" spans="1:6" x14ac:dyDescent="0.25">
      <c r="A146">
        <v>82.813999999999993</v>
      </c>
      <c r="B146">
        <v>167.88</v>
      </c>
      <c r="C146">
        <v>179.88</v>
      </c>
      <c r="D146">
        <v>179.88</v>
      </c>
      <c r="E146">
        <f t="shared" si="2"/>
        <v>82.813999999999993</v>
      </c>
      <c r="F146" t="str" cm="1">
        <f t="array" ref="F146">INDEX({"Pay as you go","Prediction_PACK","Prediction_Payasyougo","Competitor"},MATCH(MIN(A146:D146), A146:D146, 0))</f>
        <v>Pay as you go</v>
      </c>
    </row>
    <row r="147" spans="1:6" x14ac:dyDescent="0.25">
      <c r="A147">
        <v>173.73499999999999</v>
      </c>
      <c r="B147">
        <v>187.88</v>
      </c>
      <c r="C147">
        <v>193.40801029179869</v>
      </c>
      <c r="D147">
        <v>199.88</v>
      </c>
      <c r="E147">
        <f t="shared" si="2"/>
        <v>173.73499999999999</v>
      </c>
      <c r="F147" t="str" cm="1">
        <f t="array" ref="F147">INDEX({"Pay as you go","Prediction_PACK","Prediction_Payasyougo","Competitor"},MATCH(MIN(A147:D147), A147:D147, 0))</f>
        <v>Pay as you go</v>
      </c>
    </row>
    <row r="148" spans="1:6" x14ac:dyDescent="0.25">
      <c r="A148">
        <v>100.819</v>
      </c>
      <c r="B148">
        <v>167.88</v>
      </c>
      <c r="C148">
        <v>179.88</v>
      </c>
      <c r="D148">
        <v>179.88</v>
      </c>
      <c r="E148">
        <f t="shared" si="2"/>
        <v>100.819</v>
      </c>
      <c r="F148" t="str" cm="1">
        <f t="array" ref="F148">INDEX({"Pay as you go","Prediction_PACK","Prediction_Payasyougo","Competitor"},MATCH(MIN(A148:D148), A148:D148, 0))</f>
        <v>Pay as you go</v>
      </c>
    </row>
    <row r="149" spans="1:6" x14ac:dyDescent="0.25">
      <c r="A149">
        <v>81.89800000000001</v>
      </c>
      <c r="B149">
        <v>167.88</v>
      </c>
      <c r="C149">
        <v>179.88</v>
      </c>
      <c r="D149">
        <v>179.88</v>
      </c>
      <c r="E149">
        <f t="shared" si="2"/>
        <v>81.89800000000001</v>
      </c>
      <c r="F149" t="str" cm="1">
        <f t="array" ref="F149">INDEX({"Pay as you go","Prediction_PACK","Prediction_Payasyougo","Competitor"},MATCH(MIN(A149:D149), A149:D149, 0))</f>
        <v>Pay as you go</v>
      </c>
    </row>
    <row r="150" spans="1:6" x14ac:dyDescent="0.25">
      <c r="A150">
        <v>147.76900000000001</v>
      </c>
      <c r="B150">
        <v>171.88</v>
      </c>
      <c r="C150">
        <v>179.88</v>
      </c>
      <c r="D150">
        <v>184.88</v>
      </c>
      <c r="E150">
        <f t="shared" si="2"/>
        <v>147.76900000000001</v>
      </c>
      <c r="F150" t="str" cm="1">
        <f t="array" ref="F150">INDEX({"Pay as you go","Prediction_PACK","Prediction_Payasyougo","Competitor"},MATCH(MIN(A150:D150), A150:D150, 0))</f>
        <v>Pay as you go</v>
      </c>
    </row>
    <row r="151" spans="1:6" x14ac:dyDescent="0.25">
      <c r="A151">
        <v>165.98600000000002</v>
      </c>
      <c r="B151">
        <v>177.88</v>
      </c>
      <c r="C151">
        <v>179.88</v>
      </c>
      <c r="D151">
        <v>189.88</v>
      </c>
      <c r="E151">
        <f t="shared" si="2"/>
        <v>165.98600000000002</v>
      </c>
      <c r="F151" t="str" cm="1">
        <f t="array" ref="F151">INDEX({"Pay as you go","Prediction_PACK","Prediction_Payasyougo","Competitor"},MATCH(MIN(A151:D151), A151:D151, 0))</f>
        <v>Pay as you go</v>
      </c>
    </row>
    <row r="152" spans="1:6" x14ac:dyDescent="0.25">
      <c r="A152">
        <v>164.85300000000001</v>
      </c>
      <c r="B152">
        <v>183.88</v>
      </c>
      <c r="C152">
        <v>179.88</v>
      </c>
      <c r="D152">
        <v>199.88</v>
      </c>
      <c r="E152">
        <f t="shared" si="2"/>
        <v>164.85300000000001</v>
      </c>
      <c r="F152" t="str" cm="1">
        <f t="array" ref="F152">INDEX({"Pay as you go","Prediction_PACK","Prediction_Payasyougo","Competitor"},MATCH(MIN(A152:D152), A152:D152, 0))</f>
        <v>Pay as you go</v>
      </c>
    </row>
    <row r="153" spans="1:6" x14ac:dyDescent="0.25">
      <c r="A153">
        <v>187.24199999999999</v>
      </c>
      <c r="B153">
        <v>187.88</v>
      </c>
      <c r="C153">
        <v>179.88</v>
      </c>
      <c r="D153">
        <v>199.88</v>
      </c>
      <c r="E153">
        <f t="shared" si="2"/>
        <v>179.88</v>
      </c>
      <c r="F153" t="str" cm="1">
        <f t="array" ref="F153">INDEX({"Pay as you go","Prediction_PACK","Prediction_Payasyougo","Competitor"},MATCH(MIN(A153:D153), A153:D153, 0))</f>
        <v>Prediction_Payasyougo</v>
      </c>
    </row>
    <row r="154" spans="1:6" x14ac:dyDescent="0.25">
      <c r="A154">
        <v>130.84199999999998</v>
      </c>
      <c r="B154">
        <v>167.88</v>
      </c>
      <c r="C154">
        <v>179.88</v>
      </c>
      <c r="D154">
        <v>179.88</v>
      </c>
      <c r="E154">
        <f t="shared" si="2"/>
        <v>130.84199999999998</v>
      </c>
      <c r="F154" t="str" cm="1">
        <f t="array" ref="F154">INDEX({"Pay as you go","Prediction_PACK","Prediction_Payasyougo","Competitor"},MATCH(MIN(A154:D154), A154:D154, 0))</f>
        <v>Pay as you go</v>
      </c>
    </row>
    <row r="155" spans="1:6" x14ac:dyDescent="0.25">
      <c r="A155">
        <v>91.661000000000001</v>
      </c>
      <c r="B155">
        <v>167.88</v>
      </c>
      <c r="C155">
        <v>179.88</v>
      </c>
      <c r="D155">
        <v>179.88</v>
      </c>
      <c r="E155">
        <f t="shared" si="2"/>
        <v>91.661000000000001</v>
      </c>
      <c r="F155" t="str" cm="1">
        <f t="array" ref="F155">INDEX({"Pay as you go","Prediction_PACK","Prediction_Payasyougo","Competitor"},MATCH(MIN(A155:D155), A155:D155, 0))</f>
        <v>Pay as you go</v>
      </c>
    </row>
    <row r="156" spans="1:6" x14ac:dyDescent="0.25">
      <c r="A156">
        <v>110.06100000000001</v>
      </c>
      <c r="B156">
        <v>167.88</v>
      </c>
      <c r="C156">
        <v>179.88</v>
      </c>
      <c r="D156">
        <v>179.88</v>
      </c>
      <c r="E156">
        <f t="shared" si="2"/>
        <v>110.06100000000001</v>
      </c>
      <c r="F156" t="str" cm="1">
        <f t="array" ref="F156">INDEX({"Pay as you go","Prediction_PACK","Prediction_Payasyougo","Competitor"},MATCH(MIN(A156:D156), A156:D156, 0))</f>
        <v>Pay as you go</v>
      </c>
    </row>
    <row r="157" spans="1:6" x14ac:dyDescent="0.25">
      <c r="A157">
        <v>111.81100000000001</v>
      </c>
      <c r="B157">
        <v>167.88</v>
      </c>
      <c r="C157">
        <v>179.88</v>
      </c>
      <c r="D157">
        <v>179.88</v>
      </c>
      <c r="E157">
        <f t="shared" si="2"/>
        <v>111.81100000000001</v>
      </c>
      <c r="F157" t="str" cm="1">
        <f t="array" ref="F157">INDEX({"Pay as you go","Prediction_PACK","Prediction_Payasyougo","Competitor"},MATCH(MIN(A157:D157), A157:D157, 0))</f>
        <v>Pay as you go</v>
      </c>
    </row>
    <row r="158" spans="1:6" x14ac:dyDescent="0.25">
      <c r="A158">
        <v>72.88600000000001</v>
      </c>
      <c r="B158">
        <v>167.88</v>
      </c>
      <c r="C158">
        <v>179.88</v>
      </c>
      <c r="D158">
        <v>179.88</v>
      </c>
      <c r="E158">
        <f t="shared" si="2"/>
        <v>72.88600000000001</v>
      </c>
      <c r="F158" t="str" cm="1">
        <f t="array" ref="F158">INDEX({"Pay as you go","Prediction_PACK","Prediction_Payasyougo","Competitor"},MATCH(MIN(A158:D158), A158:D158, 0))</f>
        <v>Pay as you go</v>
      </c>
    </row>
    <row r="159" spans="1:6" x14ac:dyDescent="0.25">
      <c r="A159">
        <v>175.47900000000001</v>
      </c>
      <c r="B159">
        <v>197.88</v>
      </c>
      <c r="C159">
        <v>181.2938903477712</v>
      </c>
      <c r="D159">
        <v>209.88</v>
      </c>
      <c r="E159">
        <f t="shared" si="2"/>
        <v>175.47900000000001</v>
      </c>
      <c r="F159" t="str" cm="1">
        <f t="array" ref="F159">INDEX({"Pay as you go","Prediction_PACK","Prediction_Payasyougo","Competitor"},MATCH(MIN(A159:D159), A159:D159, 0))</f>
        <v>Pay as you go</v>
      </c>
    </row>
    <row r="160" spans="1:6" x14ac:dyDescent="0.25">
      <c r="A160">
        <v>176.25399999999999</v>
      </c>
      <c r="B160">
        <v>197.88</v>
      </c>
      <c r="C160">
        <v>198.97747147800931</v>
      </c>
      <c r="D160">
        <v>209.88</v>
      </c>
      <c r="E160">
        <f t="shared" si="2"/>
        <v>176.25399999999999</v>
      </c>
      <c r="F160" t="str" cm="1">
        <f t="array" ref="F160">INDEX({"Pay as you go","Prediction_PACK","Prediction_Payasyougo","Competitor"},MATCH(MIN(A160:D160), A160:D160, 0))</f>
        <v>Pay as you go</v>
      </c>
    </row>
    <row r="161" spans="1:6" x14ac:dyDescent="0.25">
      <c r="A161">
        <v>131.625</v>
      </c>
      <c r="B161">
        <v>167.88</v>
      </c>
      <c r="C161">
        <v>179.88</v>
      </c>
      <c r="D161">
        <v>179.88</v>
      </c>
      <c r="E161">
        <f t="shared" si="2"/>
        <v>131.625</v>
      </c>
      <c r="F161" t="str" cm="1">
        <f t="array" ref="F161">INDEX({"Pay as you go","Prediction_PACK","Prediction_Payasyougo","Competitor"},MATCH(MIN(A161:D161), A161:D161, 0))</f>
        <v>Pay as you go</v>
      </c>
    </row>
    <row r="162" spans="1:6" x14ac:dyDescent="0.25">
      <c r="A162">
        <v>146.38500000000002</v>
      </c>
      <c r="B162">
        <v>167.88</v>
      </c>
      <c r="C162">
        <v>179.88</v>
      </c>
      <c r="D162">
        <v>179.88</v>
      </c>
      <c r="E162">
        <f t="shared" si="2"/>
        <v>146.38500000000002</v>
      </c>
      <c r="F162" t="str" cm="1">
        <f t="array" ref="F162">INDEX({"Pay as you go","Prediction_PACK","Prediction_Payasyougo","Competitor"},MATCH(MIN(A162:D162), A162:D162, 0))</f>
        <v>Pay as you go</v>
      </c>
    </row>
    <row r="163" spans="1:6" x14ac:dyDescent="0.25">
      <c r="A163">
        <v>145.97499999999999</v>
      </c>
      <c r="B163">
        <v>167.88</v>
      </c>
      <c r="C163">
        <v>179.88</v>
      </c>
      <c r="D163">
        <v>179.88</v>
      </c>
      <c r="E163">
        <f t="shared" si="2"/>
        <v>145.97499999999999</v>
      </c>
      <c r="F163" t="str" cm="1">
        <f t="array" ref="F163">INDEX({"Pay as you go","Prediction_PACK","Prediction_Payasyougo","Competitor"},MATCH(MIN(A163:D163), A163:D163, 0))</f>
        <v>Pay as you go</v>
      </c>
    </row>
    <row r="164" spans="1:6" x14ac:dyDescent="0.25">
      <c r="A164">
        <v>116.667</v>
      </c>
      <c r="B164">
        <v>167.88</v>
      </c>
      <c r="C164">
        <v>179.88</v>
      </c>
      <c r="D164">
        <v>179.88</v>
      </c>
      <c r="E164">
        <f t="shared" si="2"/>
        <v>116.667</v>
      </c>
      <c r="F164" t="str" cm="1">
        <f t="array" ref="F164">INDEX({"Pay as you go","Prediction_PACK","Prediction_Payasyougo","Competitor"},MATCH(MIN(A164:D164), A164:D164, 0))</f>
        <v>Pay as you go</v>
      </c>
    </row>
    <row r="165" spans="1:6" x14ac:dyDescent="0.25">
      <c r="A165">
        <v>108.05500000000001</v>
      </c>
      <c r="B165">
        <v>167.88</v>
      </c>
      <c r="C165">
        <v>179.88</v>
      </c>
      <c r="D165">
        <v>179.88</v>
      </c>
      <c r="E165">
        <f t="shared" si="2"/>
        <v>108.05500000000001</v>
      </c>
      <c r="F165" t="str" cm="1">
        <f t="array" ref="F165">INDEX({"Pay as you go","Prediction_PACK","Prediction_Payasyougo","Competitor"},MATCH(MIN(A165:D165), A165:D165, 0))</f>
        <v>Pay as you go</v>
      </c>
    </row>
    <row r="166" spans="1:6" x14ac:dyDescent="0.25">
      <c r="A166">
        <v>114.432</v>
      </c>
      <c r="B166">
        <v>167.88</v>
      </c>
      <c r="C166">
        <v>179.88</v>
      </c>
      <c r="D166">
        <v>179.88</v>
      </c>
      <c r="E166">
        <f t="shared" si="2"/>
        <v>114.432</v>
      </c>
      <c r="F166" t="str" cm="1">
        <f t="array" ref="F166">INDEX({"Pay as you go","Prediction_PACK","Prediction_Payasyougo","Competitor"},MATCH(MIN(A166:D166), A166:D166, 0))</f>
        <v>Pay as you go</v>
      </c>
    </row>
    <row r="167" spans="1:6" x14ac:dyDescent="0.25">
      <c r="A167">
        <v>140.49599999999998</v>
      </c>
      <c r="B167">
        <v>167.88</v>
      </c>
      <c r="C167">
        <v>179.88</v>
      </c>
      <c r="D167">
        <v>179.88</v>
      </c>
      <c r="E167">
        <f t="shared" si="2"/>
        <v>140.49599999999998</v>
      </c>
      <c r="F167" t="str" cm="1">
        <f t="array" ref="F167">INDEX({"Pay as you go","Prediction_PACK","Prediction_Payasyougo","Competitor"},MATCH(MIN(A167:D167), A167:D167, 0))</f>
        <v>Pay as you go</v>
      </c>
    </row>
    <row r="168" spans="1:6" x14ac:dyDescent="0.25">
      <c r="A168">
        <v>140.20800000000003</v>
      </c>
      <c r="B168">
        <v>167.88</v>
      </c>
      <c r="C168">
        <v>179.88</v>
      </c>
      <c r="D168">
        <v>179.88</v>
      </c>
      <c r="E168">
        <f t="shared" si="2"/>
        <v>140.20800000000003</v>
      </c>
      <c r="F168" t="str" cm="1">
        <f t="array" ref="F168">INDEX({"Pay as you go","Prediction_PACK","Prediction_Payasyougo","Competitor"},MATCH(MIN(A168:D168), A168:D168, 0))</f>
        <v>Pay as you go</v>
      </c>
    </row>
    <row r="169" spans="1:6" x14ac:dyDescent="0.25">
      <c r="A169">
        <v>132.51500000000001</v>
      </c>
      <c r="B169">
        <v>167.88</v>
      </c>
      <c r="C169">
        <v>179.88</v>
      </c>
      <c r="D169">
        <v>179.88</v>
      </c>
      <c r="E169">
        <f t="shared" si="2"/>
        <v>132.51500000000001</v>
      </c>
      <c r="F169" t="str" cm="1">
        <f t="array" ref="F169">INDEX({"Pay as you go","Prediction_PACK","Prediction_Payasyougo","Competitor"},MATCH(MIN(A169:D169), A169:D169, 0))</f>
        <v>Pay as you go</v>
      </c>
    </row>
    <row r="170" spans="1:6" x14ac:dyDescent="0.25">
      <c r="A170">
        <v>182.077</v>
      </c>
      <c r="B170">
        <v>197.88</v>
      </c>
      <c r="C170">
        <v>179.88</v>
      </c>
      <c r="D170">
        <v>209.88</v>
      </c>
      <c r="E170">
        <f t="shared" si="2"/>
        <v>179.88</v>
      </c>
      <c r="F170" t="str" cm="1">
        <f t="array" ref="F170">INDEX({"Pay as you go","Prediction_PACK","Prediction_Payasyougo","Competitor"},MATCH(MIN(A170:D170), A170:D170, 0))</f>
        <v>Prediction_Payasyougo</v>
      </c>
    </row>
    <row r="171" spans="1:6" x14ac:dyDescent="0.25">
      <c r="A171">
        <v>160.648</v>
      </c>
      <c r="B171">
        <v>187.88</v>
      </c>
      <c r="C171">
        <v>179.88</v>
      </c>
      <c r="D171">
        <v>199.88</v>
      </c>
      <c r="E171">
        <f t="shared" si="2"/>
        <v>160.648</v>
      </c>
      <c r="F171" t="str" cm="1">
        <f t="array" ref="F171">INDEX({"Pay as you go","Prediction_PACK","Prediction_Payasyougo","Competitor"},MATCH(MIN(A171:D171), A171:D171, 0))</f>
        <v>Pay as you go</v>
      </c>
    </row>
    <row r="172" spans="1:6" x14ac:dyDescent="0.25">
      <c r="A172">
        <v>128.88900000000001</v>
      </c>
      <c r="B172">
        <v>167.88</v>
      </c>
      <c r="C172">
        <v>179.88</v>
      </c>
      <c r="D172">
        <v>179.88</v>
      </c>
      <c r="E172">
        <f t="shared" si="2"/>
        <v>128.88900000000001</v>
      </c>
      <c r="F172" t="str" cm="1">
        <f t="array" ref="F172">INDEX({"Pay as you go","Prediction_PACK","Prediction_Payasyougo","Competitor"},MATCH(MIN(A172:D172), A172:D172, 0))</f>
        <v>Pay as you go</v>
      </c>
    </row>
    <row r="173" spans="1:6" x14ac:dyDescent="0.25">
      <c r="A173">
        <v>122.71600000000001</v>
      </c>
      <c r="B173">
        <v>167.88</v>
      </c>
      <c r="C173">
        <v>179.88</v>
      </c>
      <c r="D173">
        <v>179.88</v>
      </c>
      <c r="E173">
        <f t="shared" si="2"/>
        <v>122.71600000000001</v>
      </c>
      <c r="F173" t="str" cm="1">
        <f t="array" ref="F173">INDEX({"Pay as you go","Prediction_PACK","Prediction_Payasyougo","Competitor"},MATCH(MIN(A173:D173), A173:D173, 0))</f>
        <v>Pay as you go</v>
      </c>
    </row>
    <row r="174" spans="1:6" x14ac:dyDescent="0.25">
      <c r="A174">
        <v>116.254</v>
      </c>
      <c r="B174">
        <v>167.88</v>
      </c>
      <c r="C174">
        <v>179.88</v>
      </c>
      <c r="D174">
        <v>179.88</v>
      </c>
      <c r="E174">
        <f t="shared" si="2"/>
        <v>116.254</v>
      </c>
      <c r="F174" t="str" cm="1">
        <f t="array" ref="F174">INDEX({"Pay as you go","Prediction_PACK","Prediction_Payasyougo","Competitor"},MATCH(MIN(A174:D174), A174:D174, 0))</f>
        <v>Pay as you go</v>
      </c>
    </row>
    <row r="175" spans="1:6" x14ac:dyDescent="0.25">
      <c r="A175">
        <v>145.81799999999998</v>
      </c>
      <c r="B175">
        <v>197.88</v>
      </c>
      <c r="C175">
        <v>203.38693173740461</v>
      </c>
      <c r="D175">
        <v>209.88</v>
      </c>
      <c r="E175">
        <f t="shared" si="2"/>
        <v>145.81799999999998</v>
      </c>
      <c r="F175" t="str" cm="1">
        <f t="array" ref="F175">INDEX({"Pay as you go","Prediction_PACK","Prediction_Payasyougo","Competitor"},MATCH(MIN(A175:D175), A175:D175, 0))</f>
        <v>Pay as you go</v>
      </c>
    </row>
    <row r="176" spans="1:6" x14ac:dyDescent="0.25">
      <c r="A176">
        <v>117.926</v>
      </c>
      <c r="B176">
        <v>167.88</v>
      </c>
      <c r="C176">
        <v>179.88</v>
      </c>
      <c r="D176">
        <v>179.88</v>
      </c>
      <c r="E176">
        <f t="shared" si="2"/>
        <v>117.926</v>
      </c>
      <c r="F176" t="str" cm="1">
        <f t="array" ref="F176">INDEX({"Pay as you go","Prediction_PACK","Prediction_Payasyougo","Competitor"},MATCH(MIN(A176:D176), A176:D176, 0))</f>
        <v>Pay as you go</v>
      </c>
    </row>
    <row r="177" spans="1:6" x14ac:dyDescent="0.25">
      <c r="A177">
        <v>112.959</v>
      </c>
      <c r="B177">
        <v>175.88</v>
      </c>
      <c r="C177">
        <v>179.88</v>
      </c>
      <c r="D177">
        <v>189.88</v>
      </c>
      <c r="E177">
        <f t="shared" si="2"/>
        <v>112.959</v>
      </c>
      <c r="F177" t="str" cm="1">
        <f t="array" ref="F177">INDEX({"Pay as you go","Prediction_PACK","Prediction_Payasyougo","Competitor"},MATCH(MIN(A177:D177), A177:D177, 0))</f>
        <v>Pay as you go</v>
      </c>
    </row>
    <row r="178" spans="1:6" x14ac:dyDescent="0.25">
      <c r="A178">
        <v>131.45600000000002</v>
      </c>
      <c r="B178">
        <v>167.88</v>
      </c>
      <c r="C178">
        <v>179.88</v>
      </c>
      <c r="D178">
        <v>179.88</v>
      </c>
      <c r="E178">
        <f t="shared" si="2"/>
        <v>131.45600000000002</v>
      </c>
      <c r="F178" t="str" cm="1">
        <f t="array" ref="F178">INDEX({"Pay as you go","Prediction_PACK","Prediction_Payasyougo","Competitor"},MATCH(MIN(A178:D178), A178:D178, 0))</f>
        <v>Pay as you go</v>
      </c>
    </row>
    <row r="179" spans="1:6" x14ac:dyDescent="0.25">
      <c r="A179">
        <v>115.23899999999999</v>
      </c>
      <c r="B179">
        <v>167.88</v>
      </c>
      <c r="C179">
        <v>179.88</v>
      </c>
      <c r="D179">
        <v>179.88</v>
      </c>
      <c r="E179">
        <f t="shared" si="2"/>
        <v>115.23899999999999</v>
      </c>
      <c r="F179" t="str" cm="1">
        <f t="array" ref="F179">INDEX({"Pay as you go","Prediction_PACK","Prediction_Payasyougo","Competitor"},MATCH(MIN(A179:D179), A179:D179, 0))</f>
        <v>Pay as you go</v>
      </c>
    </row>
    <row r="180" spans="1:6" x14ac:dyDescent="0.25">
      <c r="A180">
        <v>143.64499999999998</v>
      </c>
      <c r="B180">
        <v>175.88</v>
      </c>
      <c r="C180">
        <v>179.88</v>
      </c>
      <c r="D180">
        <v>189.88</v>
      </c>
      <c r="E180">
        <f t="shared" si="2"/>
        <v>143.64499999999998</v>
      </c>
      <c r="F180" t="str" cm="1">
        <f t="array" ref="F180">INDEX({"Pay as you go","Prediction_PACK","Prediction_Payasyougo","Competitor"},MATCH(MIN(A180:D180), A180:D180, 0))</f>
        <v>Pay as you go</v>
      </c>
    </row>
    <row r="181" spans="1:6" x14ac:dyDescent="0.25">
      <c r="A181">
        <v>211.709</v>
      </c>
      <c r="B181">
        <v>171.88</v>
      </c>
      <c r="C181">
        <v>179.88</v>
      </c>
      <c r="D181">
        <v>184.88</v>
      </c>
      <c r="E181">
        <f t="shared" si="2"/>
        <v>171.88</v>
      </c>
      <c r="F181" t="str" cm="1">
        <f t="array" ref="F181">INDEX({"Pay as you go","Prediction_PACK","Prediction_Payasyougo","Competitor"},MATCH(MIN(A181:D181), A181:D181, 0))</f>
        <v>Prediction_PACK</v>
      </c>
    </row>
    <row r="182" spans="1:6" x14ac:dyDescent="0.25">
      <c r="A182">
        <v>88.045999999999992</v>
      </c>
      <c r="B182">
        <v>167.88</v>
      </c>
      <c r="C182">
        <v>179.88</v>
      </c>
      <c r="D182">
        <v>179.88</v>
      </c>
      <c r="E182">
        <f t="shared" si="2"/>
        <v>88.045999999999992</v>
      </c>
      <c r="F182" t="str" cm="1">
        <f t="array" ref="F182">INDEX({"Pay as you go","Prediction_PACK","Prediction_Payasyougo","Competitor"},MATCH(MIN(A182:D182), A182:D182, 0))</f>
        <v>Pay as you go</v>
      </c>
    </row>
    <row r="183" spans="1:6" x14ac:dyDescent="0.25">
      <c r="A183">
        <v>122.86499999999999</v>
      </c>
      <c r="B183">
        <v>167.88</v>
      </c>
      <c r="C183">
        <v>179.88</v>
      </c>
      <c r="D183">
        <v>179.88</v>
      </c>
      <c r="E183">
        <f t="shared" si="2"/>
        <v>122.86499999999999</v>
      </c>
      <c r="F183" t="str" cm="1">
        <f t="array" ref="F183">INDEX({"Pay as you go","Prediction_PACK","Prediction_Payasyougo","Competitor"},MATCH(MIN(A183:D183), A183:D183, 0))</f>
        <v>Pay as you go</v>
      </c>
    </row>
    <row r="184" spans="1:6" x14ac:dyDescent="0.25">
      <c r="A184">
        <v>149.89400000000001</v>
      </c>
      <c r="B184">
        <v>171.88</v>
      </c>
      <c r="C184">
        <v>179.88</v>
      </c>
      <c r="D184">
        <v>184.88</v>
      </c>
      <c r="E184">
        <f t="shared" si="2"/>
        <v>149.89400000000001</v>
      </c>
      <c r="F184" t="str" cm="1">
        <f t="array" ref="F184">INDEX({"Pay as you go","Prediction_PACK","Prediction_Payasyougo","Competitor"},MATCH(MIN(A184:D184), A184:D184, 0))</f>
        <v>Pay as you go</v>
      </c>
    </row>
    <row r="185" spans="1:6" x14ac:dyDescent="0.25">
      <c r="A185">
        <v>104.3</v>
      </c>
      <c r="B185">
        <v>167.88</v>
      </c>
      <c r="C185">
        <v>179.88</v>
      </c>
      <c r="D185">
        <v>179.88</v>
      </c>
      <c r="E185">
        <f t="shared" si="2"/>
        <v>104.3</v>
      </c>
      <c r="F185" t="str" cm="1">
        <f t="array" ref="F185">INDEX({"Pay as you go","Prediction_PACK","Prediction_Payasyougo","Competitor"},MATCH(MIN(A185:D185), A185:D185, 0))</f>
        <v>Pay as you go</v>
      </c>
    </row>
    <row r="186" spans="1:6" x14ac:dyDescent="0.25">
      <c r="A186">
        <v>112.444</v>
      </c>
      <c r="B186">
        <v>167.88</v>
      </c>
      <c r="C186">
        <v>179.88</v>
      </c>
      <c r="D186">
        <v>179.88</v>
      </c>
      <c r="E186">
        <f t="shared" si="2"/>
        <v>112.444</v>
      </c>
      <c r="F186" t="str" cm="1">
        <f t="array" ref="F186">INDEX({"Pay as you go","Prediction_PACK","Prediction_Payasyougo","Competitor"},MATCH(MIN(A186:D186), A186:D186, 0))</f>
        <v>Pay as you go</v>
      </c>
    </row>
    <row r="187" spans="1:6" x14ac:dyDescent="0.25">
      <c r="A187">
        <v>126.49100000000001</v>
      </c>
      <c r="B187">
        <v>167.88</v>
      </c>
      <c r="C187">
        <v>179.88</v>
      </c>
      <c r="D187">
        <v>179.88</v>
      </c>
      <c r="E187">
        <f t="shared" si="2"/>
        <v>126.49100000000001</v>
      </c>
      <c r="F187" t="str" cm="1">
        <f t="array" ref="F187">INDEX({"Pay as you go","Prediction_PACK","Prediction_Payasyougo","Competitor"},MATCH(MIN(A187:D187), A187:D187, 0))</f>
        <v>Pay as you go</v>
      </c>
    </row>
    <row r="188" spans="1:6" x14ac:dyDescent="0.25">
      <c r="A188">
        <v>147.13899999999998</v>
      </c>
      <c r="B188">
        <v>177.88</v>
      </c>
      <c r="C188">
        <v>179.88</v>
      </c>
      <c r="D188">
        <v>189.88</v>
      </c>
      <c r="E188">
        <f t="shared" si="2"/>
        <v>147.13899999999998</v>
      </c>
      <c r="F188" t="str" cm="1">
        <f t="array" ref="F188">INDEX({"Pay as you go","Prediction_PACK","Prediction_Payasyougo","Competitor"},MATCH(MIN(A188:D188), A188:D188, 0))</f>
        <v>Pay as you go</v>
      </c>
    </row>
    <row r="189" spans="1:6" x14ac:dyDescent="0.25">
      <c r="A189">
        <v>128.83000000000001</v>
      </c>
      <c r="B189">
        <v>182.88</v>
      </c>
      <c r="C189">
        <v>187.22096040117421</v>
      </c>
      <c r="D189">
        <v>194.88</v>
      </c>
      <c r="E189">
        <f t="shared" si="2"/>
        <v>128.83000000000001</v>
      </c>
      <c r="F189" t="str" cm="1">
        <f t="array" ref="F189">INDEX({"Pay as you go","Prediction_PACK","Prediction_Payasyougo","Competitor"},MATCH(MIN(A189:D189), A189:D189, 0))</f>
        <v>Pay as you go</v>
      </c>
    </row>
    <row r="190" spans="1:6" x14ac:dyDescent="0.25">
      <c r="A190">
        <v>131.708</v>
      </c>
      <c r="B190">
        <v>175.88</v>
      </c>
      <c r="C190">
        <v>179.88</v>
      </c>
      <c r="D190">
        <v>189.88</v>
      </c>
      <c r="E190">
        <f t="shared" si="2"/>
        <v>131.708</v>
      </c>
      <c r="F190" t="str" cm="1">
        <f t="array" ref="F190">INDEX({"Pay as you go","Prediction_PACK","Prediction_Payasyougo","Competitor"},MATCH(MIN(A190:D190), A190:D190, 0))</f>
        <v>Pay as you go</v>
      </c>
    </row>
    <row r="191" spans="1:6" x14ac:dyDescent="0.25">
      <c r="A191">
        <v>96.072000000000003</v>
      </c>
      <c r="B191">
        <v>167.88</v>
      </c>
      <c r="C191">
        <v>179.88</v>
      </c>
      <c r="D191">
        <v>179.88</v>
      </c>
      <c r="E191">
        <f t="shared" si="2"/>
        <v>96.072000000000003</v>
      </c>
      <c r="F191" t="str" cm="1">
        <f t="array" ref="F191">INDEX({"Pay as you go","Prediction_PACK","Prediction_Payasyougo","Competitor"},MATCH(MIN(A191:D191), A191:D191, 0))</f>
        <v>Pay as you go</v>
      </c>
    </row>
    <row r="192" spans="1:6" x14ac:dyDescent="0.25">
      <c r="A192">
        <v>166.11100000000002</v>
      </c>
      <c r="B192">
        <v>197.88</v>
      </c>
      <c r="C192">
        <v>181.89946173575129</v>
      </c>
      <c r="D192">
        <v>209.88</v>
      </c>
      <c r="E192">
        <f t="shared" si="2"/>
        <v>166.11100000000002</v>
      </c>
      <c r="F192" t="str" cm="1">
        <f t="array" ref="F192">INDEX({"Pay as you go","Prediction_PACK","Prediction_Payasyougo","Competitor"},MATCH(MIN(A192:D192), A192:D192, 0))</f>
        <v>Pay as you go</v>
      </c>
    </row>
    <row r="193" spans="1:6" x14ac:dyDescent="0.25">
      <c r="A193">
        <v>122.343</v>
      </c>
      <c r="B193">
        <v>175.88</v>
      </c>
      <c r="C193">
        <v>179.88</v>
      </c>
      <c r="D193">
        <v>189.88</v>
      </c>
      <c r="E193">
        <f t="shared" si="2"/>
        <v>122.343</v>
      </c>
      <c r="F193" t="str" cm="1">
        <f t="array" ref="F193">INDEX({"Pay as you go","Prediction_PACK","Prediction_Payasyougo","Competitor"},MATCH(MIN(A193:D193), A193:D193, 0))</f>
        <v>Pay as you go</v>
      </c>
    </row>
    <row r="194" spans="1:6" x14ac:dyDescent="0.25">
      <c r="A194">
        <v>111.02100000000002</v>
      </c>
      <c r="B194">
        <v>177.88</v>
      </c>
      <c r="C194">
        <v>179.88</v>
      </c>
      <c r="D194">
        <v>189.88</v>
      </c>
      <c r="E194">
        <f t="shared" si="2"/>
        <v>111.02100000000002</v>
      </c>
      <c r="F194" t="str" cm="1">
        <f t="array" ref="F194">INDEX({"Pay as you go","Prediction_PACK","Prediction_Payasyougo","Competitor"},MATCH(MIN(A194:D194), A194:D194, 0))</f>
        <v>Pay as you go</v>
      </c>
    </row>
    <row r="195" spans="1:6" x14ac:dyDescent="0.25">
      <c r="A195">
        <v>155.858</v>
      </c>
      <c r="B195">
        <v>187.88</v>
      </c>
      <c r="C195">
        <v>193.54964948553868</v>
      </c>
      <c r="D195">
        <v>199.88</v>
      </c>
      <c r="E195">
        <f t="shared" si="2"/>
        <v>155.858</v>
      </c>
      <c r="F195" t="str" cm="1">
        <f t="array" ref="F195">INDEX({"Pay as you go","Prediction_PACK","Prediction_Payasyougo","Competitor"},MATCH(MIN(A195:D195), A195:D195, 0))</f>
        <v>Pay as you go</v>
      </c>
    </row>
    <row r="196" spans="1:6" x14ac:dyDescent="0.25">
      <c r="A196">
        <v>167.41800000000001</v>
      </c>
      <c r="B196">
        <v>175.88</v>
      </c>
      <c r="C196">
        <v>179.88</v>
      </c>
      <c r="D196">
        <v>189.88</v>
      </c>
      <c r="E196">
        <f t="shared" si="2"/>
        <v>167.41800000000001</v>
      </c>
      <c r="F196" t="str" cm="1">
        <f t="array" ref="F196">INDEX({"Pay as you go","Prediction_PACK","Prediction_Payasyougo","Competitor"},MATCH(MIN(A196:D196), A196:D196, 0))</f>
        <v>Pay as you go</v>
      </c>
    </row>
    <row r="197" spans="1:6" x14ac:dyDescent="0.25">
      <c r="A197">
        <v>103.133</v>
      </c>
      <c r="B197">
        <v>167.88</v>
      </c>
      <c r="C197">
        <v>179.88</v>
      </c>
      <c r="D197">
        <v>179.88</v>
      </c>
      <c r="E197">
        <f t="shared" si="2"/>
        <v>103.133</v>
      </c>
      <c r="F197" t="str" cm="1">
        <f t="array" ref="F197">INDEX({"Pay as you go","Prediction_PACK","Prediction_Payasyougo","Competitor"},MATCH(MIN(A197:D197), A197:D197, 0))</f>
        <v>Pay as you go</v>
      </c>
    </row>
    <row r="198" spans="1:6" x14ac:dyDescent="0.25">
      <c r="A198">
        <v>130.87</v>
      </c>
      <c r="B198">
        <v>171.88</v>
      </c>
      <c r="C198">
        <v>179.88</v>
      </c>
      <c r="D198">
        <v>184.88</v>
      </c>
      <c r="E198">
        <f t="shared" si="2"/>
        <v>130.87</v>
      </c>
      <c r="F198" t="str" cm="1">
        <f t="array" ref="F198">INDEX({"Pay as you go","Prediction_PACK","Prediction_Payasyougo","Competitor"},MATCH(MIN(A198:D198), A198:D198, 0))</f>
        <v>Pay as you go</v>
      </c>
    </row>
    <row r="199" spans="1:6" x14ac:dyDescent="0.25">
      <c r="A199">
        <v>188.06299999999999</v>
      </c>
      <c r="B199">
        <v>182.88</v>
      </c>
      <c r="C199">
        <v>184.91088565906259</v>
      </c>
      <c r="D199">
        <v>194.88</v>
      </c>
      <c r="E199">
        <f t="shared" si="2"/>
        <v>182.88</v>
      </c>
      <c r="F199" t="str" cm="1">
        <f t="array" ref="F199">INDEX({"Pay as you go","Prediction_PACK","Prediction_Payasyougo","Competitor"},MATCH(MIN(A199:D199), A199:D199, 0))</f>
        <v>Prediction_PACK</v>
      </c>
    </row>
    <row r="200" spans="1:6" x14ac:dyDescent="0.25">
      <c r="A200">
        <v>128.554</v>
      </c>
      <c r="B200">
        <v>167.88</v>
      </c>
      <c r="C200">
        <v>179.88</v>
      </c>
      <c r="D200">
        <v>179.88</v>
      </c>
      <c r="E200">
        <f t="shared" ref="E200:E263" si="3">MIN(A200:D200)</f>
        <v>128.554</v>
      </c>
      <c r="F200" t="str" cm="1">
        <f t="array" ref="F200">INDEX({"Pay as you go","Prediction_PACK","Prediction_Payasyougo","Competitor"},MATCH(MIN(A200:D200), A200:D200, 0))</f>
        <v>Pay as you go</v>
      </c>
    </row>
    <row r="201" spans="1:6" x14ac:dyDescent="0.25">
      <c r="A201">
        <v>142.81700000000001</v>
      </c>
      <c r="B201">
        <v>171.88</v>
      </c>
      <c r="C201">
        <v>179.88</v>
      </c>
      <c r="D201">
        <v>184.88</v>
      </c>
      <c r="E201">
        <f t="shared" si="3"/>
        <v>142.81700000000001</v>
      </c>
      <c r="F201" t="str" cm="1">
        <f t="array" ref="F201">INDEX({"Pay as you go","Prediction_PACK","Prediction_Payasyougo","Competitor"},MATCH(MIN(A201:D201), A201:D201, 0))</f>
        <v>Pay as you go</v>
      </c>
    </row>
    <row r="202" spans="1:6" x14ac:dyDescent="0.25">
      <c r="A202">
        <v>128.17500000000001</v>
      </c>
      <c r="B202">
        <v>171.88</v>
      </c>
      <c r="C202">
        <v>179.88</v>
      </c>
      <c r="D202">
        <v>184.88</v>
      </c>
      <c r="E202">
        <f t="shared" si="3"/>
        <v>128.17500000000001</v>
      </c>
      <c r="F202" t="str" cm="1">
        <f t="array" ref="F202">INDEX({"Pay as you go","Prediction_PACK","Prediction_Payasyougo","Competitor"},MATCH(MIN(A202:D202), A202:D202, 0))</f>
        <v>Pay as you go</v>
      </c>
    </row>
    <row r="203" spans="1:6" x14ac:dyDescent="0.25">
      <c r="A203">
        <v>137.74299999999999</v>
      </c>
      <c r="B203">
        <v>167.88</v>
      </c>
      <c r="C203">
        <v>179.88</v>
      </c>
      <c r="D203">
        <v>179.88</v>
      </c>
      <c r="E203">
        <f t="shared" si="3"/>
        <v>137.74299999999999</v>
      </c>
      <c r="F203" t="str" cm="1">
        <f t="array" ref="F203">INDEX({"Pay as you go","Prediction_PACK","Prediction_Payasyougo","Competitor"},MATCH(MIN(A203:D203), A203:D203, 0))</f>
        <v>Pay as you go</v>
      </c>
    </row>
    <row r="204" spans="1:6" x14ac:dyDescent="0.25">
      <c r="A204">
        <v>136.09799999999998</v>
      </c>
      <c r="B204">
        <v>167.88</v>
      </c>
      <c r="C204">
        <v>179.88</v>
      </c>
      <c r="D204">
        <v>179.88</v>
      </c>
      <c r="E204">
        <f t="shared" si="3"/>
        <v>136.09799999999998</v>
      </c>
      <c r="F204" t="str" cm="1">
        <f t="array" ref="F204">INDEX({"Pay as you go","Prediction_PACK","Prediction_Payasyougo","Competitor"},MATCH(MIN(A204:D204), A204:D204, 0))</f>
        <v>Pay as you go</v>
      </c>
    </row>
    <row r="205" spans="1:6" x14ac:dyDescent="0.25">
      <c r="A205">
        <v>218.25200000000001</v>
      </c>
      <c r="B205">
        <v>207.88</v>
      </c>
      <c r="C205">
        <v>191.9668656614931</v>
      </c>
      <c r="D205">
        <v>219.88</v>
      </c>
      <c r="E205">
        <f t="shared" si="3"/>
        <v>191.9668656614931</v>
      </c>
      <c r="F205" t="str" cm="1">
        <f t="array" ref="F205">INDEX({"Pay as you go","Prediction_PACK","Prediction_Payasyougo","Competitor"},MATCH(MIN(A205:D205), A205:D205, 0))</f>
        <v>Prediction_Payasyougo</v>
      </c>
    </row>
    <row r="206" spans="1:6" x14ac:dyDescent="0.25">
      <c r="A206">
        <v>216.69400000000002</v>
      </c>
      <c r="B206">
        <v>207.88</v>
      </c>
      <c r="C206">
        <v>183.28067416486618</v>
      </c>
      <c r="D206">
        <v>219.88</v>
      </c>
      <c r="E206">
        <f t="shared" si="3"/>
        <v>183.28067416486618</v>
      </c>
      <c r="F206" t="str" cm="1">
        <f t="array" ref="F206">INDEX({"Pay as you go","Prediction_PACK","Prediction_Payasyougo","Competitor"},MATCH(MIN(A206:D206), A206:D206, 0))</f>
        <v>Prediction_Payasyougo</v>
      </c>
    </row>
    <row r="207" spans="1:6" x14ac:dyDescent="0.25">
      <c r="A207">
        <v>120.926</v>
      </c>
      <c r="B207">
        <v>167.88</v>
      </c>
      <c r="C207">
        <v>179.88</v>
      </c>
      <c r="D207">
        <v>179.88</v>
      </c>
      <c r="E207">
        <f t="shared" si="3"/>
        <v>120.926</v>
      </c>
      <c r="F207" t="str" cm="1">
        <f t="array" ref="F207">INDEX({"Pay as you go","Prediction_PACK","Prediction_Payasyougo","Competitor"},MATCH(MIN(A207:D207), A207:D207, 0))</f>
        <v>Pay as you go</v>
      </c>
    </row>
    <row r="208" spans="1:6" x14ac:dyDescent="0.25">
      <c r="A208">
        <v>104.524</v>
      </c>
      <c r="B208">
        <v>167.88</v>
      </c>
      <c r="C208">
        <v>179.88</v>
      </c>
      <c r="D208">
        <v>179.88</v>
      </c>
      <c r="E208">
        <f t="shared" si="3"/>
        <v>104.524</v>
      </c>
      <c r="F208" t="str" cm="1">
        <f t="array" ref="F208">INDEX({"Pay as you go","Prediction_PACK","Prediction_Payasyougo","Competitor"},MATCH(MIN(A208:D208), A208:D208, 0))</f>
        <v>Pay as you go</v>
      </c>
    </row>
    <row r="209" spans="1:6" x14ac:dyDescent="0.25">
      <c r="A209">
        <v>147.13400000000001</v>
      </c>
      <c r="B209">
        <v>167.88</v>
      </c>
      <c r="C209">
        <v>179.88</v>
      </c>
      <c r="D209">
        <v>179.88</v>
      </c>
      <c r="E209">
        <f t="shared" si="3"/>
        <v>147.13400000000001</v>
      </c>
      <c r="F209" t="str" cm="1">
        <f t="array" ref="F209">INDEX({"Pay as you go","Prediction_PACK","Prediction_Payasyougo","Competitor"},MATCH(MIN(A209:D209), A209:D209, 0))</f>
        <v>Pay as you go</v>
      </c>
    </row>
    <row r="210" spans="1:6" x14ac:dyDescent="0.25">
      <c r="A210">
        <v>126.19499999999999</v>
      </c>
      <c r="B210">
        <v>177.88</v>
      </c>
      <c r="C210">
        <v>179.88</v>
      </c>
      <c r="D210">
        <v>189.88</v>
      </c>
      <c r="E210">
        <f t="shared" si="3"/>
        <v>126.19499999999999</v>
      </c>
      <c r="F210" t="str" cm="1">
        <f t="array" ref="F210">INDEX({"Pay as you go","Prediction_PACK","Prediction_Payasyougo","Competitor"},MATCH(MIN(A210:D210), A210:D210, 0))</f>
        <v>Pay as you go</v>
      </c>
    </row>
    <row r="211" spans="1:6" x14ac:dyDescent="0.25">
      <c r="A211">
        <v>187.56200000000001</v>
      </c>
      <c r="B211">
        <v>177.88</v>
      </c>
      <c r="C211">
        <v>179.88</v>
      </c>
      <c r="D211">
        <v>189.88</v>
      </c>
      <c r="E211">
        <f t="shared" si="3"/>
        <v>177.88</v>
      </c>
      <c r="F211" t="str" cm="1">
        <f t="array" ref="F211">INDEX({"Pay as you go","Prediction_PACK","Prediction_Payasyougo","Competitor"},MATCH(MIN(A211:D211), A211:D211, 0))</f>
        <v>Prediction_PACK</v>
      </c>
    </row>
    <row r="212" spans="1:6" x14ac:dyDescent="0.25">
      <c r="A212">
        <v>139.75200000000001</v>
      </c>
      <c r="B212">
        <v>171.88</v>
      </c>
      <c r="C212">
        <v>179.88</v>
      </c>
      <c r="D212">
        <v>184.88</v>
      </c>
      <c r="E212">
        <f t="shared" si="3"/>
        <v>139.75200000000001</v>
      </c>
      <c r="F212" t="str" cm="1">
        <f t="array" ref="F212">INDEX({"Pay as you go","Prediction_PACK","Prediction_Payasyougo","Competitor"},MATCH(MIN(A212:D212), A212:D212, 0))</f>
        <v>Pay as you go</v>
      </c>
    </row>
    <row r="213" spans="1:6" x14ac:dyDescent="0.25">
      <c r="A213">
        <v>190.31800000000001</v>
      </c>
      <c r="B213">
        <v>187.88</v>
      </c>
      <c r="C213">
        <v>192.9079896048018</v>
      </c>
      <c r="D213">
        <v>199.88</v>
      </c>
      <c r="E213">
        <f t="shared" si="3"/>
        <v>187.88</v>
      </c>
      <c r="F213" t="str" cm="1">
        <f t="array" ref="F213">INDEX({"Pay as you go","Prediction_PACK","Prediction_Payasyougo","Competitor"},MATCH(MIN(A213:D213), A213:D213, 0))</f>
        <v>Prediction_PACK</v>
      </c>
    </row>
    <row r="214" spans="1:6" x14ac:dyDescent="0.25">
      <c r="A214">
        <v>167.298</v>
      </c>
      <c r="B214">
        <v>167.88</v>
      </c>
      <c r="C214">
        <v>179.88</v>
      </c>
      <c r="D214">
        <v>179.88</v>
      </c>
      <c r="E214">
        <f t="shared" si="3"/>
        <v>167.298</v>
      </c>
      <c r="F214" t="str" cm="1">
        <f t="array" ref="F214">INDEX({"Pay as you go","Prediction_PACK","Prediction_Payasyougo","Competitor"},MATCH(MIN(A214:D214), A214:D214, 0))</f>
        <v>Pay as you go</v>
      </c>
    </row>
    <row r="215" spans="1:6" x14ac:dyDescent="0.25">
      <c r="A215">
        <v>161.20000000000002</v>
      </c>
      <c r="B215">
        <v>182.88</v>
      </c>
      <c r="C215">
        <v>186.7174945415415</v>
      </c>
      <c r="D215">
        <v>194.88</v>
      </c>
      <c r="E215">
        <f t="shared" si="3"/>
        <v>161.20000000000002</v>
      </c>
      <c r="F215" t="str" cm="1">
        <f t="array" ref="F215">INDEX({"Pay as you go","Prediction_PACK","Prediction_Payasyougo","Competitor"},MATCH(MIN(A215:D215), A215:D215, 0))</f>
        <v>Pay as you go</v>
      </c>
    </row>
    <row r="216" spans="1:6" x14ac:dyDescent="0.25">
      <c r="A216">
        <v>132.745</v>
      </c>
      <c r="B216">
        <v>177.88</v>
      </c>
      <c r="C216">
        <v>179.88</v>
      </c>
      <c r="D216">
        <v>189.88</v>
      </c>
      <c r="E216">
        <f t="shared" si="3"/>
        <v>132.745</v>
      </c>
      <c r="F216" t="str" cm="1">
        <f t="array" ref="F216">INDEX({"Pay as you go","Prediction_PACK","Prediction_Payasyougo","Competitor"},MATCH(MIN(A216:D216), A216:D216, 0))</f>
        <v>Pay as you go</v>
      </c>
    </row>
    <row r="217" spans="1:6" x14ac:dyDescent="0.25">
      <c r="A217">
        <v>123.56099999999999</v>
      </c>
      <c r="B217">
        <v>167.88</v>
      </c>
      <c r="C217">
        <v>179.88</v>
      </c>
      <c r="D217">
        <v>179.88</v>
      </c>
      <c r="E217">
        <f t="shared" si="3"/>
        <v>123.56099999999999</v>
      </c>
      <c r="F217" t="str" cm="1">
        <f t="array" ref="F217">INDEX({"Pay as you go","Prediction_PACK","Prediction_Payasyougo","Competitor"},MATCH(MIN(A217:D217), A217:D217, 0))</f>
        <v>Pay as you go</v>
      </c>
    </row>
    <row r="218" spans="1:6" x14ac:dyDescent="0.25">
      <c r="A218">
        <v>87.075000000000003</v>
      </c>
      <c r="B218">
        <v>167.88</v>
      </c>
      <c r="C218">
        <v>179.88</v>
      </c>
      <c r="D218">
        <v>179.88</v>
      </c>
      <c r="E218">
        <f t="shared" si="3"/>
        <v>87.075000000000003</v>
      </c>
      <c r="F218" t="str" cm="1">
        <f t="array" ref="F218">INDEX({"Pay as you go","Prediction_PACK","Prediction_Payasyougo","Competitor"},MATCH(MIN(A218:D218), A218:D218, 0))</f>
        <v>Pay as you go</v>
      </c>
    </row>
    <row r="219" spans="1:6" x14ac:dyDescent="0.25">
      <c r="A219">
        <v>143.72600000000003</v>
      </c>
      <c r="B219">
        <v>167.88</v>
      </c>
      <c r="C219">
        <v>179.88</v>
      </c>
      <c r="D219">
        <v>179.88</v>
      </c>
      <c r="E219">
        <f t="shared" si="3"/>
        <v>143.72600000000003</v>
      </c>
      <c r="F219" t="str" cm="1">
        <f t="array" ref="F219">INDEX({"Pay as you go","Prediction_PACK","Prediction_Payasyougo","Competitor"},MATCH(MIN(A219:D219), A219:D219, 0))</f>
        <v>Pay as you go</v>
      </c>
    </row>
    <row r="220" spans="1:6" x14ac:dyDescent="0.25">
      <c r="A220">
        <v>90.671000000000006</v>
      </c>
      <c r="B220">
        <v>167.88</v>
      </c>
      <c r="C220">
        <v>179.88</v>
      </c>
      <c r="D220">
        <v>179.88</v>
      </c>
      <c r="E220">
        <f t="shared" si="3"/>
        <v>90.671000000000006</v>
      </c>
      <c r="F220" t="str" cm="1">
        <f t="array" ref="F220">INDEX({"Pay as you go","Prediction_PACK","Prediction_Payasyougo","Competitor"},MATCH(MIN(A220:D220), A220:D220, 0))</f>
        <v>Pay as you go</v>
      </c>
    </row>
    <row r="221" spans="1:6" x14ac:dyDescent="0.25">
      <c r="A221">
        <v>111.03100000000001</v>
      </c>
      <c r="B221">
        <v>167.88</v>
      </c>
      <c r="C221">
        <v>179.88</v>
      </c>
      <c r="D221">
        <v>179.88</v>
      </c>
      <c r="E221">
        <f t="shared" si="3"/>
        <v>111.03100000000001</v>
      </c>
      <c r="F221" t="str" cm="1">
        <f t="array" ref="F221">INDEX({"Pay as you go","Prediction_PACK","Prediction_Payasyougo","Competitor"},MATCH(MIN(A221:D221), A221:D221, 0))</f>
        <v>Pay as you go</v>
      </c>
    </row>
    <row r="222" spans="1:6" x14ac:dyDescent="0.25">
      <c r="A222">
        <v>146.86799999999999</v>
      </c>
      <c r="B222">
        <v>197.88</v>
      </c>
      <c r="C222">
        <v>197.06429292774629</v>
      </c>
      <c r="D222">
        <v>209.88</v>
      </c>
      <c r="E222">
        <f t="shared" si="3"/>
        <v>146.86799999999999</v>
      </c>
      <c r="F222" t="str" cm="1">
        <f t="array" ref="F222">INDEX({"Pay as you go","Prediction_PACK","Prediction_Payasyougo","Competitor"},MATCH(MIN(A222:D222), A222:D222, 0))</f>
        <v>Pay as you go</v>
      </c>
    </row>
    <row r="223" spans="1:6" x14ac:dyDescent="0.25">
      <c r="A223">
        <v>99.521000000000001</v>
      </c>
      <c r="B223">
        <v>167.88</v>
      </c>
      <c r="C223">
        <v>179.88</v>
      </c>
      <c r="D223">
        <v>179.88</v>
      </c>
      <c r="E223">
        <f t="shared" si="3"/>
        <v>99.521000000000001</v>
      </c>
      <c r="F223" t="str" cm="1">
        <f t="array" ref="F223">INDEX({"Pay as you go","Prediction_PACK","Prediction_Payasyougo","Competitor"},MATCH(MIN(A223:D223), A223:D223, 0))</f>
        <v>Pay as you go</v>
      </c>
    </row>
    <row r="224" spans="1:6" x14ac:dyDescent="0.25">
      <c r="A224">
        <v>158.03100000000001</v>
      </c>
      <c r="B224">
        <v>183.88</v>
      </c>
      <c r="C224">
        <v>179.88</v>
      </c>
      <c r="D224">
        <v>199.88</v>
      </c>
      <c r="E224">
        <f t="shared" si="3"/>
        <v>158.03100000000001</v>
      </c>
      <c r="F224" t="str" cm="1">
        <f t="array" ref="F224">INDEX({"Pay as you go","Prediction_PACK","Prediction_Payasyougo","Competitor"},MATCH(MIN(A224:D224), A224:D224, 0))</f>
        <v>Pay as you go</v>
      </c>
    </row>
    <row r="225" spans="1:6" x14ac:dyDescent="0.25">
      <c r="A225">
        <v>156.928</v>
      </c>
      <c r="B225">
        <v>171.88</v>
      </c>
      <c r="C225">
        <v>179.88</v>
      </c>
      <c r="D225">
        <v>184.88</v>
      </c>
      <c r="E225">
        <f t="shared" si="3"/>
        <v>156.928</v>
      </c>
      <c r="F225" t="str" cm="1">
        <f t="array" ref="F225">INDEX({"Pay as you go","Prediction_PACK","Prediction_Payasyougo","Competitor"},MATCH(MIN(A225:D225), A225:D225, 0))</f>
        <v>Pay as you go</v>
      </c>
    </row>
    <row r="226" spans="1:6" x14ac:dyDescent="0.25">
      <c r="A226">
        <v>131.23099999999999</v>
      </c>
      <c r="B226">
        <v>171.88</v>
      </c>
      <c r="C226">
        <v>179.88</v>
      </c>
      <c r="D226">
        <v>184.88</v>
      </c>
      <c r="E226">
        <f t="shared" si="3"/>
        <v>131.23099999999999</v>
      </c>
      <c r="F226" t="str" cm="1">
        <f t="array" ref="F226">INDEX({"Pay as you go","Prediction_PACK","Prediction_Payasyougo","Competitor"},MATCH(MIN(A226:D226), A226:D226, 0))</f>
        <v>Pay as you go</v>
      </c>
    </row>
    <row r="227" spans="1:6" x14ac:dyDescent="0.25">
      <c r="A227">
        <v>157.11600000000001</v>
      </c>
      <c r="B227">
        <v>183.88</v>
      </c>
      <c r="C227">
        <v>179.88</v>
      </c>
      <c r="D227">
        <v>199.88</v>
      </c>
      <c r="E227">
        <f t="shared" si="3"/>
        <v>157.11600000000001</v>
      </c>
      <c r="F227" t="str" cm="1">
        <f t="array" ref="F227">INDEX({"Pay as you go","Prediction_PACK","Prediction_Payasyougo","Competitor"},MATCH(MIN(A227:D227), A227:D227, 0))</f>
        <v>Pay as you go</v>
      </c>
    </row>
    <row r="228" spans="1:6" x14ac:dyDescent="0.25">
      <c r="A228">
        <v>84.155000000000001</v>
      </c>
      <c r="B228">
        <v>167.88</v>
      </c>
      <c r="C228">
        <v>179.88</v>
      </c>
      <c r="D228">
        <v>179.88</v>
      </c>
      <c r="E228">
        <f t="shared" si="3"/>
        <v>84.155000000000001</v>
      </c>
      <c r="F228" t="str" cm="1">
        <f t="array" ref="F228">INDEX({"Pay as you go","Prediction_PACK","Prediction_Payasyougo","Competitor"},MATCH(MIN(A228:D228), A228:D228, 0))</f>
        <v>Pay as you go</v>
      </c>
    </row>
    <row r="229" spans="1:6" x14ac:dyDescent="0.25">
      <c r="A229">
        <v>122.46300000000001</v>
      </c>
      <c r="B229">
        <v>182.88</v>
      </c>
      <c r="C229">
        <v>182.23223816646839</v>
      </c>
      <c r="D229">
        <v>194.88</v>
      </c>
      <c r="E229">
        <f t="shared" si="3"/>
        <v>122.46300000000001</v>
      </c>
      <c r="F229" t="str" cm="1">
        <f t="array" ref="F229">INDEX({"Pay as you go","Prediction_PACK","Prediction_Payasyougo","Competitor"},MATCH(MIN(A229:D229), A229:D229, 0))</f>
        <v>Pay as you go</v>
      </c>
    </row>
    <row r="230" spans="1:6" x14ac:dyDescent="0.25">
      <c r="A230">
        <v>133.84200000000001</v>
      </c>
      <c r="B230">
        <v>167.88</v>
      </c>
      <c r="C230">
        <v>179.88</v>
      </c>
      <c r="D230">
        <v>179.88</v>
      </c>
      <c r="E230">
        <f t="shared" si="3"/>
        <v>133.84200000000001</v>
      </c>
      <c r="F230" t="str" cm="1">
        <f t="array" ref="F230">INDEX({"Pay as you go","Prediction_PACK","Prediction_Payasyougo","Competitor"},MATCH(MIN(A230:D230), A230:D230, 0))</f>
        <v>Pay as you go</v>
      </c>
    </row>
    <row r="231" spans="1:6" x14ac:dyDescent="0.25">
      <c r="A231">
        <v>175.25300000000001</v>
      </c>
      <c r="B231">
        <v>187.88</v>
      </c>
      <c r="C231">
        <v>179.88</v>
      </c>
      <c r="D231">
        <v>199.88</v>
      </c>
      <c r="E231">
        <f t="shared" si="3"/>
        <v>175.25300000000001</v>
      </c>
      <c r="F231" t="str" cm="1">
        <f t="array" ref="F231">INDEX({"Pay as you go","Prediction_PACK","Prediction_Payasyougo","Competitor"},MATCH(MIN(A231:D231), A231:D231, 0))</f>
        <v>Pay as you go</v>
      </c>
    </row>
    <row r="232" spans="1:6" x14ac:dyDescent="0.25">
      <c r="A232">
        <v>157.227</v>
      </c>
      <c r="B232">
        <v>177.88</v>
      </c>
      <c r="C232">
        <v>179.88</v>
      </c>
      <c r="D232">
        <v>189.88</v>
      </c>
      <c r="E232">
        <f t="shared" si="3"/>
        <v>157.227</v>
      </c>
      <c r="F232" t="str" cm="1">
        <f t="array" ref="F232">INDEX({"Pay as you go","Prediction_PACK","Prediction_Payasyougo","Competitor"},MATCH(MIN(A232:D232), A232:D232, 0))</f>
        <v>Pay as you go</v>
      </c>
    </row>
    <row r="233" spans="1:6" x14ac:dyDescent="0.25">
      <c r="A233">
        <v>102.74000000000001</v>
      </c>
      <c r="B233">
        <v>167.88</v>
      </c>
      <c r="C233">
        <v>179.88</v>
      </c>
      <c r="D233">
        <v>179.88</v>
      </c>
      <c r="E233">
        <f t="shared" si="3"/>
        <v>102.74000000000001</v>
      </c>
      <c r="F233" t="str" cm="1">
        <f t="array" ref="F233">INDEX({"Pay as you go","Prediction_PACK","Prediction_Payasyougo","Competitor"},MATCH(MIN(A233:D233), A233:D233, 0))</f>
        <v>Pay as you go</v>
      </c>
    </row>
    <row r="234" spans="1:6" x14ac:dyDescent="0.25">
      <c r="A234">
        <v>293.05400000000003</v>
      </c>
      <c r="B234">
        <v>207.88</v>
      </c>
      <c r="C234">
        <v>194.28544631620261</v>
      </c>
      <c r="D234">
        <v>219.88</v>
      </c>
      <c r="E234">
        <f t="shared" si="3"/>
        <v>194.28544631620261</v>
      </c>
      <c r="F234" t="str" cm="1">
        <f t="array" ref="F234">INDEX({"Pay as you go","Prediction_PACK","Prediction_Payasyougo","Competitor"},MATCH(MIN(A234:D234), A234:D234, 0))</f>
        <v>Prediction_Payasyougo</v>
      </c>
    </row>
    <row r="235" spans="1:6" x14ac:dyDescent="0.25">
      <c r="A235">
        <v>158.16399999999999</v>
      </c>
      <c r="B235">
        <v>167.88</v>
      </c>
      <c r="C235">
        <v>179.88</v>
      </c>
      <c r="D235">
        <v>179.88</v>
      </c>
      <c r="E235">
        <f t="shared" si="3"/>
        <v>158.16399999999999</v>
      </c>
      <c r="F235" t="str" cm="1">
        <f t="array" ref="F235">INDEX({"Pay as you go","Prediction_PACK","Prediction_Payasyougo","Competitor"},MATCH(MIN(A235:D235), A235:D235, 0))</f>
        <v>Pay as you go</v>
      </c>
    </row>
    <row r="236" spans="1:6" x14ac:dyDescent="0.25">
      <c r="A236">
        <v>153.47300000000001</v>
      </c>
      <c r="B236">
        <v>167.88</v>
      </c>
      <c r="C236">
        <v>179.88</v>
      </c>
      <c r="D236">
        <v>179.88</v>
      </c>
      <c r="E236">
        <f t="shared" si="3"/>
        <v>153.47300000000001</v>
      </c>
      <c r="F236" t="str" cm="1">
        <f t="array" ref="F236">INDEX({"Pay as you go","Prediction_PACK","Prediction_Payasyougo","Competitor"},MATCH(MIN(A236:D236), A236:D236, 0))</f>
        <v>Pay as you go</v>
      </c>
    </row>
    <row r="237" spans="1:6" x14ac:dyDescent="0.25">
      <c r="A237">
        <v>101.40700000000001</v>
      </c>
      <c r="B237">
        <v>167.88</v>
      </c>
      <c r="C237">
        <v>179.88</v>
      </c>
      <c r="D237">
        <v>179.88</v>
      </c>
      <c r="E237">
        <f t="shared" si="3"/>
        <v>101.40700000000001</v>
      </c>
      <c r="F237" t="str" cm="1">
        <f t="array" ref="F237">INDEX({"Pay as you go","Prediction_PACK","Prediction_Payasyougo","Competitor"},MATCH(MIN(A237:D237), A237:D237, 0))</f>
        <v>Pay as you go</v>
      </c>
    </row>
    <row r="238" spans="1:6" x14ac:dyDescent="0.25">
      <c r="A238">
        <v>115.97800000000001</v>
      </c>
      <c r="B238">
        <v>167.88</v>
      </c>
      <c r="C238">
        <v>179.88</v>
      </c>
      <c r="D238">
        <v>179.88</v>
      </c>
      <c r="E238">
        <f t="shared" si="3"/>
        <v>115.97800000000001</v>
      </c>
      <c r="F238" t="str" cm="1">
        <f t="array" ref="F238">INDEX({"Pay as you go","Prediction_PACK","Prediction_Payasyougo","Competitor"},MATCH(MIN(A238:D238), A238:D238, 0))</f>
        <v>Pay as you go</v>
      </c>
    </row>
    <row r="239" spans="1:6" x14ac:dyDescent="0.25">
      <c r="A239">
        <v>141.607</v>
      </c>
      <c r="B239">
        <v>171.88</v>
      </c>
      <c r="C239">
        <v>179.88</v>
      </c>
      <c r="D239">
        <v>184.88</v>
      </c>
      <c r="E239">
        <f t="shared" si="3"/>
        <v>141.607</v>
      </c>
      <c r="F239" t="str" cm="1">
        <f t="array" ref="F239">INDEX({"Pay as you go","Prediction_PACK","Prediction_Payasyougo","Competitor"},MATCH(MIN(A239:D239), A239:D239, 0))</f>
        <v>Pay as you go</v>
      </c>
    </row>
    <row r="240" spans="1:6" x14ac:dyDescent="0.25">
      <c r="A240">
        <v>149.917</v>
      </c>
      <c r="B240">
        <v>167.88</v>
      </c>
      <c r="C240">
        <v>179.88</v>
      </c>
      <c r="D240">
        <v>179.88</v>
      </c>
      <c r="E240">
        <f t="shared" si="3"/>
        <v>149.917</v>
      </c>
      <c r="F240" t="str" cm="1">
        <f t="array" ref="F240">INDEX({"Pay as you go","Prediction_PACK","Prediction_Payasyougo","Competitor"},MATCH(MIN(A240:D240), A240:D240, 0))</f>
        <v>Pay as you go</v>
      </c>
    </row>
    <row r="241" spans="1:6" x14ac:dyDescent="0.25">
      <c r="A241">
        <v>112.167</v>
      </c>
      <c r="B241">
        <v>167.88</v>
      </c>
      <c r="C241">
        <v>179.88</v>
      </c>
      <c r="D241">
        <v>179.88</v>
      </c>
      <c r="E241">
        <f t="shared" si="3"/>
        <v>112.167</v>
      </c>
      <c r="F241" t="str" cm="1">
        <f t="array" ref="F241">INDEX({"Pay as you go","Prediction_PACK","Prediction_Payasyougo","Competitor"},MATCH(MIN(A241:D241), A241:D241, 0))</f>
        <v>Pay as you go</v>
      </c>
    </row>
    <row r="242" spans="1:6" x14ac:dyDescent="0.25">
      <c r="A242">
        <v>103.739</v>
      </c>
      <c r="B242">
        <v>167.88</v>
      </c>
      <c r="C242">
        <v>179.88</v>
      </c>
      <c r="D242">
        <v>179.88</v>
      </c>
      <c r="E242">
        <f t="shared" si="3"/>
        <v>103.739</v>
      </c>
      <c r="F242" t="str" cm="1">
        <f t="array" ref="F242">INDEX({"Pay as you go","Prediction_PACK","Prediction_Payasyougo","Competitor"},MATCH(MIN(A242:D242), A242:D242, 0))</f>
        <v>Pay as you go</v>
      </c>
    </row>
    <row r="243" spans="1:6" x14ac:dyDescent="0.25">
      <c r="A243">
        <v>126.008</v>
      </c>
      <c r="B243">
        <v>175.88</v>
      </c>
      <c r="C243">
        <v>179.88</v>
      </c>
      <c r="D243">
        <v>189.88</v>
      </c>
      <c r="E243">
        <f t="shared" si="3"/>
        <v>126.008</v>
      </c>
      <c r="F243" t="str" cm="1">
        <f t="array" ref="F243">INDEX({"Pay as you go","Prediction_PACK","Prediction_Payasyougo","Competitor"},MATCH(MIN(A243:D243), A243:D243, 0))</f>
        <v>Pay as you go</v>
      </c>
    </row>
    <row r="244" spans="1:6" x14ac:dyDescent="0.25">
      <c r="A244">
        <v>153.24599999999998</v>
      </c>
      <c r="B244">
        <v>167.88</v>
      </c>
      <c r="C244">
        <v>179.88</v>
      </c>
      <c r="D244">
        <v>179.88</v>
      </c>
      <c r="E244">
        <f t="shared" si="3"/>
        <v>153.24599999999998</v>
      </c>
      <c r="F244" t="str" cm="1">
        <f t="array" ref="F244">INDEX({"Pay as you go","Prediction_PACK","Prediction_Payasyougo","Competitor"},MATCH(MIN(A244:D244), A244:D244, 0))</f>
        <v>Pay as you go</v>
      </c>
    </row>
    <row r="245" spans="1:6" x14ac:dyDescent="0.25">
      <c r="A245">
        <v>150.274</v>
      </c>
      <c r="B245">
        <v>183.88</v>
      </c>
      <c r="C245">
        <v>179.88</v>
      </c>
      <c r="D245">
        <v>199.88</v>
      </c>
      <c r="E245">
        <f t="shared" si="3"/>
        <v>150.274</v>
      </c>
      <c r="F245" t="str" cm="1">
        <f t="array" ref="F245">INDEX({"Pay as you go","Prediction_PACK","Prediction_Payasyougo","Competitor"},MATCH(MIN(A245:D245), A245:D245, 0))</f>
        <v>Pay as you go</v>
      </c>
    </row>
    <row r="246" spans="1:6" x14ac:dyDescent="0.25">
      <c r="A246">
        <v>99.328000000000003</v>
      </c>
      <c r="B246">
        <v>167.88</v>
      </c>
      <c r="C246">
        <v>179.88</v>
      </c>
      <c r="D246">
        <v>179.88</v>
      </c>
      <c r="E246">
        <f t="shared" si="3"/>
        <v>99.328000000000003</v>
      </c>
      <c r="F246" t="str" cm="1">
        <f t="array" ref="F246">INDEX({"Pay as you go","Prediction_PACK","Prediction_Payasyougo","Competitor"},MATCH(MIN(A246:D246), A246:D246, 0))</f>
        <v>Pay as you go</v>
      </c>
    </row>
    <row r="247" spans="1:6" x14ac:dyDescent="0.25">
      <c r="A247">
        <v>234.12299999999999</v>
      </c>
      <c r="B247">
        <v>227.88</v>
      </c>
      <c r="C247">
        <v>225.54136731581281</v>
      </c>
      <c r="D247">
        <v>239.88</v>
      </c>
      <c r="E247">
        <f t="shared" si="3"/>
        <v>225.54136731581281</v>
      </c>
      <c r="F247" t="str" cm="1">
        <f t="array" ref="F247">INDEX({"Pay as you go","Prediction_PACK","Prediction_Payasyougo","Competitor"},MATCH(MIN(A247:D247), A247:D247, 0))</f>
        <v>Prediction_Payasyougo</v>
      </c>
    </row>
    <row r="248" spans="1:6" x14ac:dyDescent="0.25">
      <c r="A248">
        <v>135.10600000000002</v>
      </c>
      <c r="B248">
        <v>171.88</v>
      </c>
      <c r="C248">
        <v>179.88</v>
      </c>
      <c r="D248">
        <v>184.88</v>
      </c>
      <c r="E248">
        <f t="shared" si="3"/>
        <v>135.10600000000002</v>
      </c>
      <c r="F248" t="str" cm="1">
        <f t="array" ref="F248">INDEX({"Pay as you go","Prediction_PACK","Prediction_Payasyougo","Competitor"},MATCH(MIN(A248:D248), A248:D248, 0))</f>
        <v>Pay as you go</v>
      </c>
    </row>
    <row r="249" spans="1:6" x14ac:dyDescent="0.25">
      <c r="A249">
        <v>192.559</v>
      </c>
      <c r="B249">
        <v>187.88</v>
      </c>
      <c r="C249">
        <v>179.88</v>
      </c>
      <c r="D249">
        <v>199.88</v>
      </c>
      <c r="E249">
        <f t="shared" si="3"/>
        <v>179.88</v>
      </c>
      <c r="F249" t="str" cm="1">
        <f t="array" ref="F249">INDEX({"Pay as you go","Prediction_PACK","Prediction_Payasyougo","Competitor"},MATCH(MIN(A249:D249), A249:D249, 0))</f>
        <v>Prediction_Payasyougo</v>
      </c>
    </row>
    <row r="250" spans="1:6" x14ac:dyDescent="0.25">
      <c r="A250">
        <v>156.16</v>
      </c>
      <c r="B250">
        <v>175.88</v>
      </c>
      <c r="C250">
        <v>179.88</v>
      </c>
      <c r="D250">
        <v>189.88</v>
      </c>
      <c r="E250">
        <f t="shared" si="3"/>
        <v>156.16</v>
      </c>
      <c r="F250" t="str" cm="1">
        <f t="array" ref="F250">INDEX({"Pay as you go","Prediction_PACK","Prediction_Payasyougo","Competitor"},MATCH(MIN(A250:D250), A250:D250, 0))</f>
        <v>Pay as you go</v>
      </c>
    </row>
    <row r="251" spans="1:6" x14ac:dyDescent="0.25">
      <c r="A251">
        <v>107.10599999999999</v>
      </c>
      <c r="B251">
        <v>167.88</v>
      </c>
      <c r="C251">
        <v>179.88</v>
      </c>
      <c r="D251">
        <v>179.88</v>
      </c>
      <c r="E251">
        <f t="shared" si="3"/>
        <v>107.10599999999999</v>
      </c>
      <c r="F251" t="str" cm="1">
        <f t="array" ref="F251">INDEX({"Pay as you go","Prediction_PACK","Prediction_Payasyougo","Competitor"},MATCH(MIN(A251:D251), A251:D251, 0))</f>
        <v>Pay as you go</v>
      </c>
    </row>
    <row r="252" spans="1:6" x14ac:dyDescent="0.25">
      <c r="A252">
        <v>188.66200000000001</v>
      </c>
      <c r="B252">
        <v>197.88</v>
      </c>
      <c r="C252">
        <v>179.88</v>
      </c>
      <c r="D252">
        <v>209.88</v>
      </c>
      <c r="E252">
        <f t="shared" si="3"/>
        <v>179.88</v>
      </c>
      <c r="F252" t="str" cm="1">
        <f t="array" ref="F252">INDEX({"Pay as you go","Prediction_PACK","Prediction_Payasyougo","Competitor"},MATCH(MIN(A252:D252), A252:D252, 0))</f>
        <v>Prediction_Payasyougo</v>
      </c>
    </row>
    <row r="253" spans="1:6" x14ac:dyDescent="0.25">
      <c r="A253">
        <v>166.761</v>
      </c>
      <c r="B253">
        <v>167.88</v>
      </c>
      <c r="C253">
        <v>179.88</v>
      </c>
      <c r="D253">
        <v>179.88</v>
      </c>
      <c r="E253">
        <f t="shared" si="3"/>
        <v>166.761</v>
      </c>
      <c r="F253" t="str" cm="1">
        <f t="array" ref="F253">INDEX({"Pay as you go","Prediction_PACK","Prediction_Payasyougo","Competitor"},MATCH(MIN(A253:D253), A253:D253, 0))</f>
        <v>Pay as you go</v>
      </c>
    </row>
    <row r="254" spans="1:6" x14ac:dyDescent="0.25">
      <c r="A254">
        <v>127.274</v>
      </c>
      <c r="B254">
        <v>167.88</v>
      </c>
      <c r="C254">
        <v>179.88</v>
      </c>
      <c r="D254">
        <v>179.88</v>
      </c>
      <c r="E254">
        <f t="shared" si="3"/>
        <v>127.274</v>
      </c>
      <c r="F254" t="str" cm="1">
        <f t="array" ref="F254">INDEX({"Pay as you go","Prediction_PACK","Prediction_Payasyougo","Competitor"},MATCH(MIN(A254:D254), A254:D254, 0))</f>
        <v>Pay as you go</v>
      </c>
    </row>
    <row r="255" spans="1:6" x14ac:dyDescent="0.25">
      <c r="A255">
        <v>139.363</v>
      </c>
      <c r="B255">
        <v>177.88</v>
      </c>
      <c r="C255">
        <v>179.88</v>
      </c>
      <c r="D255">
        <v>189.88</v>
      </c>
      <c r="E255">
        <f t="shared" si="3"/>
        <v>139.363</v>
      </c>
      <c r="F255" t="str" cm="1">
        <f t="array" ref="F255">INDEX({"Pay as you go","Prediction_PACK","Prediction_Payasyougo","Competitor"},MATCH(MIN(A255:D255), A255:D255, 0))</f>
        <v>Pay as you go</v>
      </c>
    </row>
    <row r="256" spans="1:6" x14ac:dyDescent="0.25">
      <c r="A256">
        <v>75.094000000000008</v>
      </c>
      <c r="B256">
        <v>167.88</v>
      </c>
      <c r="C256">
        <v>179.88</v>
      </c>
      <c r="D256">
        <v>179.88</v>
      </c>
      <c r="E256">
        <f t="shared" si="3"/>
        <v>75.094000000000008</v>
      </c>
      <c r="F256" t="str" cm="1">
        <f t="array" ref="F256">INDEX({"Pay as you go","Prediction_PACK","Prediction_Payasyougo","Competitor"},MATCH(MIN(A256:D256), A256:D256, 0))</f>
        <v>Pay as you go</v>
      </c>
    </row>
    <row r="257" spans="1:6" x14ac:dyDescent="0.25">
      <c r="A257">
        <v>101.979</v>
      </c>
      <c r="B257">
        <v>167.88</v>
      </c>
      <c r="C257">
        <v>179.88</v>
      </c>
      <c r="D257">
        <v>179.88</v>
      </c>
      <c r="E257">
        <f t="shared" si="3"/>
        <v>101.979</v>
      </c>
      <c r="F257" t="str" cm="1">
        <f t="array" ref="F257">INDEX({"Pay as you go","Prediction_PACK","Prediction_Payasyougo","Competitor"},MATCH(MIN(A257:D257), A257:D257, 0))</f>
        <v>Pay as you go</v>
      </c>
    </row>
    <row r="258" spans="1:6" x14ac:dyDescent="0.25">
      <c r="A258">
        <v>149.733</v>
      </c>
      <c r="B258">
        <v>182.88</v>
      </c>
      <c r="C258">
        <v>185.08976422604309</v>
      </c>
      <c r="D258">
        <v>194.88</v>
      </c>
      <c r="E258">
        <f t="shared" si="3"/>
        <v>149.733</v>
      </c>
      <c r="F258" t="str" cm="1">
        <f t="array" ref="F258">INDEX({"Pay as you go","Prediction_PACK","Prediction_Payasyougo","Competitor"},MATCH(MIN(A258:D258), A258:D258, 0))</f>
        <v>Pay as you go</v>
      </c>
    </row>
    <row r="259" spans="1:6" x14ac:dyDescent="0.25">
      <c r="A259">
        <v>108.386</v>
      </c>
      <c r="B259">
        <v>175.88</v>
      </c>
      <c r="C259">
        <v>179.88</v>
      </c>
      <c r="D259">
        <v>189.88</v>
      </c>
      <c r="E259">
        <f t="shared" si="3"/>
        <v>108.386</v>
      </c>
      <c r="F259" t="str" cm="1">
        <f t="array" ref="F259">INDEX({"Pay as you go","Prediction_PACK","Prediction_Payasyougo","Competitor"},MATCH(MIN(A259:D259), A259:D259, 0))</f>
        <v>Pay as you go</v>
      </c>
    </row>
    <row r="260" spans="1:6" x14ac:dyDescent="0.25">
      <c r="A260">
        <v>143.38900000000001</v>
      </c>
      <c r="B260">
        <v>171.88</v>
      </c>
      <c r="C260">
        <v>179.88</v>
      </c>
      <c r="D260">
        <v>184.88</v>
      </c>
      <c r="E260">
        <f t="shared" si="3"/>
        <v>143.38900000000001</v>
      </c>
      <c r="F260" t="str" cm="1">
        <f t="array" ref="F260">INDEX({"Pay as you go","Prediction_PACK","Prediction_Payasyougo","Competitor"},MATCH(MIN(A260:D260), A260:D260, 0))</f>
        <v>Pay as you go</v>
      </c>
    </row>
    <row r="261" spans="1:6" x14ac:dyDescent="0.25">
      <c r="A261">
        <v>150.22499999999999</v>
      </c>
      <c r="B261">
        <v>175.88</v>
      </c>
      <c r="C261">
        <v>179.88</v>
      </c>
      <c r="D261">
        <v>189.88</v>
      </c>
      <c r="E261">
        <f t="shared" si="3"/>
        <v>150.22499999999999</v>
      </c>
      <c r="F261" t="str" cm="1">
        <f t="array" ref="F261">INDEX({"Pay as you go","Prediction_PACK","Prediction_Payasyougo","Competitor"},MATCH(MIN(A261:D261), A261:D261, 0))</f>
        <v>Pay as you go</v>
      </c>
    </row>
    <row r="262" spans="1:6" x14ac:dyDescent="0.25">
      <c r="A262">
        <v>79.865000000000009</v>
      </c>
      <c r="B262">
        <v>167.88</v>
      </c>
      <c r="C262">
        <v>179.88</v>
      </c>
      <c r="D262">
        <v>179.88</v>
      </c>
      <c r="E262">
        <f t="shared" si="3"/>
        <v>79.865000000000009</v>
      </c>
      <c r="F262" t="str" cm="1">
        <f t="array" ref="F262">INDEX({"Pay as you go","Prediction_PACK","Prediction_Payasyougo","Competitor"},MATCH(MIN(A262:D262), A262:D262, 0))</f>
        <v>Pay as you go</v>
      </c>
    </row>
    <row r="263" spans="1:6" x14ac:dyDescent="0.25">
      <c r="A263">
        <v>141.67000000000002</v>
      </c>
      <c r="B263">
        <v>167.88</v>
      </c>
      <c r="C263">
        <v>179.88</v>
      </c>
      <c r="D263">
        <v>179.88</v>
      </c>
      <c r="E263">
        <f t="shared" si="3"/>
        <v>141.67000000000002</v>
      </c>
      <c r="F263" t="str" cm="1">
        <f t="array" ref="F263">INDEX({"Pay as you go","Prediction_PACK","Prediction_Payasyougo","Competitor"},MATCH(MIN(A263:D263), A263:D263, 0))</f>
        <v>Pay as you go</v>
      </c>
    </row>
    <row r="264" spans="1:6" x14ac:dyDescent="0.25">
      <c r="A264">
        <v>158.773</v>
      </c>
      <c r="B264">
        <v>187.88</v>
      </c>
      <c r="C264">
        <v>179.88</v>
      </c>
      <c r="D264">
        <v>199.88</v>
      </c>
      <c r="E264">
        <f t="shared" ref="E264:E327" si="4">MIN(A264:D264)</f>
        <v>158.773</v>
      </c>
      <c r="F264" t="str" cm="1">
        <f t="array" ref="F264">INDEX({"Pay as you go","Prediction_PACK","Prediction_Payasyougo","Competitor"},MATCH(MIN(A264:D264), A264:D264, 0))</f>
        <v>Pay as you go</v>
      </c>
    </row>
    <row r="265" spans="1:6" x14ac:dyDescent="0.25">
      <c r="A265">
        <v>161.12700000000001</v>
      </c>
      <c r="B265">
        <v>175.88</v>
      </c>
      <c r="C265">
        <v>179.88</v>
      </c>
      <c r="D265">
        <v>189.88</v>
      </c>
      <c r="E265">
        <f t="shared" si="4"/>
        <v>161.12700000000001</v>
      </c>
      <c r="F265" t="str" cm="1">
        <f t="array" ref="F265">INDEX({"Pay as you go","Prediction_PACK","Prediction_Payasyougo","Competitor"},MATCH(MIN(A265:D265), A265:D265, 0))</f>
        <v>Pay as you go</v>
      </c>
    </row>
    <row r="266" spans="1:6" x14ac:dyDescent="0.25">
      <c r="A266">
        <v>152.298</v>
      </c>
      <c r="B266">
        <v>167.88</v>
      </c>
      <c r="C266">
        <v>179.88</v>
      </c>
      <c r="D266">
        <v>179.88</v>
      </c>
      <c r="E266">
        <f t="shared" si="4"/>
        <v>152.298</v>
      </c>
      <c r="F266" t="str" cm="1">
        <f t="array" ref="F266">INDEX({"Pay as you go","Prediction_PACK","Prediction_Payasyougo","Competitor"},MATCH(MIN(A266:D266), A266:D266, 0))</f>
        <v>Pay as you go</v>
      </c>
    </row>
    <row r="267" spans="1:6" x14ac:dyDescent="0.25">
      <c r="A267">
        <v>178.708</v>
      </c>
      <c r="B267">
        <v>175.88</v>
      </c>
      <c r="C267">
        <v>179.88</v>
      </c>
      <c r="D267">
        <v>189.88</v>
      </c>
      <c r="E267">
        <f t="shared" si="4"/>
        <v>175.88</v>
      </c>
      <c r="F267" t="str" cm="1">
        <f t="array" ref="F267">INDEX({"Pay as you go","Prediction_PACK","Prediction_Payasyougo","Competitor"},MATCH(MIN(A267:D267), A267:D267, 0))</f>
        <v>Prediction_PACK</v>
      </c>
    </row>
    <row r="268" spans="1:6" x14ac:dyDescent="0.25">
      <c r="A268">
        <v>121.682</v>
      </c>
      <c r="B268">
        <v>167.88</v>
      </c>
      <c r="C268">
        <v>179.88</v>
      </c>
      <c r="D268">
        <v>179.88</v>
      </c>
      <c r="E268">
        <f t="shared" si="4"/>
        <v>121.682</v>
      </c>
      <c r="F268" t="str" cm="1">
        <f t="array" ref="F268">INDEX({"Pay as you go","Prediction_PACK","Prediction_Payasyougo","Competitor"},MATCH(MIN(A268:D268), A268:D268, 0))</f>
        <v>Pay as you go</v>
      </c>
    </row>
    <row r="269" spans="1:6" x14ac:dyDescent="0.25">
      <c r="A269">
        <v>87.322000000000003</v>
      </c>
      <c r="B269">
        <v>175.88</v>
      </c>
      <c r="C269">
        <v>179.88</v>
      </c>
      <c r="D269">
        <v>189.88</v>
      </c>
      <c r="E269">
        <f t="shared" si="4"/>
        <v>87.322000000000003</v>
      </c>
      <c r="F269" t="str" cm="1">
        <f t="array" ref="F269">INDEX({"Pay as you go","Prediction_PACK","Prediction_Payasyougo","Competitor"},MATCH(MIN(A269:D269), A269:D269, 0))</f>
        <v>Pay as you go</v>
      </c>
    </row>
    <row r="270" spans="1:6" x14ac:dyDescent="0.25">
      <c r="A270">
        <v>113.354</v>
      </c>
      <c r="B270">
        <v>167.88</v>
      </c>
      <c r="C270">
        <v>179.88</v>
      </c>
      <c r="D270">
        <v>179.88</v>
      </c>
      <c r="E270">
        <f t="shared" si="4"/>
        <v>113.354</v>
      </c>
      <c r="F270" t="str" cm="1">
        <f t="array" ref="F270">INDEX({"Pay as you go","Prediction_PACK","Prediction_Payasyougo","Competitor"},MATCH(MIN(A270:D270), A270:D270, 0))</f>
        <v>Pay as you go</v>
      </c>
    </row>
    <row r="271" spans="1:6" x14ac:dyDescent="0.25">
      <c r="A271">
        <v>213.54499999999999</v>
      </c>
      <c r="B271">
        <v>207.88</v>
      </c>
      <c r="C271">
        <v>183.08582048773741</v>
      </c>
      <c r="D271">
        <v>219.88</v>
      </c>
      <c r="E271">
        <f t="shared" si="4"/>
        <v>183.08582048773741</v>
      </c>
      <c r="F271" t="str" cm="1">
        <f t="array" ref="F271">INDEX({"Pay as you go","Prediction_PACK","Prediction_Payasyougo","Competitor"},MATCH(MIN(A271:D271), A271:D271, 0))</f>
        <v>Prediction_Payasyougo</v>
      </c>
    </row>
    <row r="272" spans="1:6" x14ac:dyDescent="0.25">
      <c r="A272">
        <v>120.93599999999999</v>
      </c>
      <c r="B272">
        <v>167.88</v>
      </c>
      <c r="C272">
        <v>179.88</v>
      </c>
      <c r="D272">
        <v>179.88</v>
      </c>
      <c r="E272">
        <f t="shared" si="4"/>
        <v>120.93599999999999</v>
      </c>
      <c r="F272" t="str" cm="1">
        <f t="array" ref="F272">INDEX({"Pay as you go","Prediction_PACK","Prediction_Payasyougo","Competitor"},MATCH(MIN(A272:D272), A272:D272, 0))</f>
        <v>Pay as you go</v>
      </c>
    </row>
    <row r="273" spans="1:6" x14ac:dyDescent="0.25">
      <c r="A273">
        <v>124</v>
      </c>
      <c r="B273">
        <v>167.88</v>
      </c>
      <c r="C273">
        <v>179.88</v>
      </c>
      <c r="D273">
        <v>179.88</v>
      </c>
      <c r="E273">
        <f t="shared" si="4"/>
        <v>124</v>
      </c>
      <c r="F273" t="str" cm="1">
        <f t="array" ref="F273">INDEX({"Pay as you go","Prediction_PACK","Prediction_Payasyougo","Competitor"},MATCH(MIN(A273:D273), A273:D273, 0))</f>
        <v>Pay as you go</v>
      </c>
    </row>
    <row r="274" spans="1:6" x14ac:dyDescent="0.25">
      <c r="A274">
        <v>85.913000000000011</v>
      </c>
      <c r="B274">
        <v>167.88</v>
      </c>
      <c r="C274">
        <v>179.88</v>
      </c>
      <c r="D274">
        <v>179.88</v>
      </c>
      <c r="E274">
        <f t="shared" si="4"/>
        <v>85.913000000000011</v>
      </c>
      <c r="F274" t="str" cm="1">
        <f t="array" ref="F274">INDEX({"Pay as you go","Prediction_PACK","Prediction_Payasyougo","Competitor"},MATCH(MIN(A274:D274), A274:D274, 0))</f>
        <v>Pay as you go</v>
      </c>
    </row>
    <row r="275" spans="1:6" x14ac:dyDescent="0.25">
      <c r="A275">
        <v>201.43600000000001</v>
      </c>
      <c r="B275">
        <v>187.88</v>
      </c>
      <c r="C275">
        <v>179.88</v>
      </c>
      <c r="D275">
        <v>199.88</v>
      </c>
      <c r="E275">
        <f t="shared" si="4"/>
        <v>179.88</v>
      </c>
      <c r="F275" t="str" cm="1">
        <f t="array" ref="F275">INDEX({"Pay as you go","Prediction_PACK","Prediction_Payasyougo","Competitor"},MATCH(MIN(A275:D275), A275:D275, 0))</f>
        <v>Prediction_Payasyougo</v>
      </c>
    </row>
    <row r="276" spans="1:6" x14ac:dyDescent="0.25">
      <c r="A276">
        <v>130.62800000000001</v>
      </c>
      <c r="B276">
        <v>167.88</v>
      </c>
      <c r="C276">
        <v>179.88</v>
      </c>
      <c r="D276">
        <v>179.88</v>
      </c>
      <c r="E276">
        <f t="shared" si="4"/>
        <v>130.62800000000001</v>
      </c>
      <c r="F276" t="str" cm="1">
        <f t="array" ref="F276">INDEX({"Pay as you go","Prediction_PACK","Prediction_Payasyougo","Competitor"},MATCH(MIN(A276:D276), A276:D276, 0))</f>
        <v>Pay as you go</v>
      </c>
    </row>
    <row r="277" spans="1:6" x14ac:dyDescent="0.25">
      <c r="A277">
        <v>121.26700000000001</v>
      </c>
      <c r="B277">
        <v>167.88</v>
      </c>
      <c r="C277">
        <v>179.88</v>
      </c>
      <c r="D277">
        <v>179.88</v>
      </c>
      <c r="E277">
        <f t="shared" si="4"/>
        <v>121.26700000000001</v>
      </c>
      <c r="F277" t="str" cm="1">
        <f t="array" ref="F277">INDEX({"Pay as you go","Prediction_PACK","Prediction_Payasyougo","Competitor"},MATCH(MIN(A277:D277), A277:D277, 0))</f>
        <v>Pay as you go</v>
      </c>
    </row>
    <row r="278" spans="1:6" x14ac:dyDescent="0.25">
      <c r="A278">
        <v>179.834</v>
      </c>
      <c r="B278">
        <v>177.88</v>
      </c>
      <c r="C278">
        <v>179.88</v>
      </c>
      <c r="D278">
        <v>189.88</v>
      </c>
      <c r="E278">
        <f t="shared" si="4"/>
        <v>177.88</v>
      </c>
      <c r="F278" t="str" cm="1">
        <f t="array" ref="F278">INDEX({"Pay as you go","Prediction_PACK","Prediction_Payasyougo","Competitor"},MATCH(MIN(A278:D278), A278:D278, 0))</f>
        <v>Prediction_PACK</v>
      </c>
    </row>
    <row r="279" spans="1:6" x14ac:dyDescent="0.25">
      <c r="A279">
        <v>90.831000000000003</v>
      </c>
      <c r="B279">
        <v>167.88</v>
      </c>
      <c r="C279">
        <v>179.88</v>
      </c>
      <c r="D279">
        <v>179.88</v>
      </c>
      <c r="E279">
        <f t="shared" si="4"/>
        <v>90.831000000000003</v>
      </c>
      <c r="F279" t="str" cm="1">
        <f t="array" ref="F279">INDEX({"Pay as you go","Prediction_PACK","Prediction_Payasyougo","Competitor"},MATCH(MIN(A279:D279), A279:D279, 0))</f>
        <v>Pay as you go</v>
      </c>
    </row>
    <row r="280" spans="1:6" x14ac:dyDescent="0.25">
      <c r="A280">
        <v>118.899</v>
      </c>
      <c r="B280">
        <v>171.88</v>
      </c>
      <c r="C280">
        <v>179.88</v>
      </c>
      <c r="D280">
        <v>184.88</v>
      </c>
      <c r="E280">
        <f t="shared" si="4"/>
        <v>118.899</v>
      </c>
      <c r="F280" t="str" cm="1">
        <f t="array" ref="F280">INDEX({"Pay as you go","Prediction_PACK","Prediction_Payasyougo","Competitor"},MATCH(MIN(A280:D280), A280:D280, 0))</f>
        <v>Pay as you go</v>
      </c>
    </row>
    <row r="281" spans="1:6" x14ac:dyDescent="0.25">
      <c r="A281">
        <v>108.387</v>
      </c>
      <c r="B281">
        <v>167.88</v>
      </c>
      <c r="C281">
        <v>179.88</v>
      </c>
      <c r="D281">
        <v>179.88</v>
      </c>
      <c r="E281">
        <f t="shared" si="4"/>
        <v>108.387</v>
      </c>
      <c r="F281" t="str" cm="1">
        <f t="array" ref="F281">INDEX({"Pay as you go","Prediction_PACK","Prediction_Payasyougo","Competitor"},MATCH(MIN(A281:D281), A281:D281, 0))</f>
        <v>Pay as you go</v>
      </c>
    </row>
    <row r="282" spans="1:6" x14ac:dyDescent="0.25">
      <c r="A282">
        <v>117.843</v>
      </c>
      <c r="B282">
        <v>167.88</v>
      </c>
      <c r="C282">
        <v>179.88</v>
      </c>
      <c r="D282">
        <v>179.88</v>
      </c>
      <c r="E282">
        <f t="shared" si="4"/>
        <v>117.843</v>
      </c>
      <c r="F282" t="str" cm="1">
        <f t="array" ref="F282">INDEX({"Pay as you go","Prediction_PACK","Prediction_Payasyougo","Competitor"},MATCH(MIN(A282:D282), A282:D282, 0))</f>
        <v>Pay as you go</v>
      </c>
    </row>
    <row r="283" spans="1:6" x14ac:dyDescent="0.25">
      <c r="A283">
        <v>246.45999999999998</v>
      </c>
      <c r="B283">
        <v>207.88</v>
      </c>
      <c r="C283">
        <v>184.70141838492179</v>
      </c>
      <c r="D283">
        <v>219.88</v>
      </c>
      <c r="E283">
        <f t="shared" si="4"/>
        <v>184.70141838492179</v>
      </c>
      <c r="F283" t="str" cm="1">
        <f t="array" ref="F283">INDEX({"Pay as you go","Prediction_PACK","Prediction_Payasyougo","Competitor"},MATCH(MIN(A283:D283), A283:D283, 0))</f>
        <v>Prediction_Payasyougo</v>
      </c>
    </row>
    <row r="284" spans="1:6" x14ac:dyDescent="0.25">
      <c r="A284">
        <v>147.93600000000001</v>
      </c>
      <c r="B284">
        <v>175.88</v>
      </c>
      <c r="C284">
        <v>179.88</v>
      </c>
      <c r="D284">
        <v>189.88</v>
      </c>
      <c r="E284">
        <f t="shared" si="4"/>
        <v>147.93600000000001</v>
      </c>
      <c r="F284" t="str" cm="1">
        <f t="array" ref="F284">INDEX({"Pay as you go","Prediction_PACK","Prediction_Payasyougo","Competitor"},MATCH(MIN(A284:D284), A284:D284, 0))</f>
        <v>Pay as you go</v>
      </c>
    </row>
    <row r="285" spans="1:6" x14ac:dyDescent="0.25">
      <c r="A285">
        <v>142.23499999999999</v>
      </c>
      <c r="B285">
        <v>167.88</v>
      </c>
      <c r="C285">
        <v>179.88</v>
      </c>
      <c r="D285">
        <v>179.88</v>
      </c>
      <c r="E285">
        <f t="shared" si="4"/>
        <v>142.23499999999999</v>
      </c>
      <c r="F285" t="str" cm="1">
        <f t="array" ref="F285">INDEX({"Pay as you go","Prediction_PACK","Prediction_Payasyougo","Competitor"},MATCH(MIN(A285:D285), A285:D285, 0))</f>
        <v>Pay as you go</v>
      </c>
    </row>
    <row r="286" spans="1:6" x14ac:dyDescent="0.25">
      <c r="A286">
        <v>100.64500000000001</v>
      </c>
      <c r="B286">
        <v>167.88</v>
      </c>
      <c r="C286">
        <v>179.88</v>
      </c>
      <c r="D286">
        <v>179.88</v>
      </c>
      <c r="E286">
        <f t="shared" si="4"/>
        <v>100.64500000000001</v>
      </c>
      <c r="F286" t="str" cm="1">
        <f t="array" ref="F286">INDEX({"Pay as you go","Prediction_PACK","Prediction_Payasyougo","Competitor"},MATCH(MIN(A286:D286), A286:D286, 0))</f>
        <v>Pay as you go</v>
      </c>
    </row>
    <row r="287" spans="1:6" x14ac:dyDescent="0.25">
      <c r="A287">
        <v>137.18</v>
      </c>
      <c r="B287">
        <v>177.88</v>
      </c>
      <c r="C287">
        <v>179.88</v>
      </c>
      <c r="D287">
        <v>189.88</v>
      </c>
      <c r="E287">
        <f t="shared" si="4"/>
        <v>137.18</v>
      </c>
      <c r="F287" t="str" cm="1">
        <f t="array" ref="F287">INDEX({"Pay as you go","Prediction_PACK","Prediction_Payasyougo","Competitor"},MATCH(MIN(A287:D287), A287:D287, 0))</f>
        <v>Pay as you go</v>
      </c>
    </row>
    <row r="288" spans="1:6" x14ac:dyDescent="0.25">
      <c r="A288">
        <v>95.606999999999999</v>
      </c>
      <c r="B288">
        <v>167.88</v>
      </c>
      <c r="C288">
        <v>179.88</v>
      </c>
      <c r="D288">
        <v>179.88</v>
      </c>
      <c r="E288">
        <f t="shared" si="4"/>
        <v>95.606999999999999</v>
      </c>
      <c r="F288" t="str" cm="1">
        <f t="array" ref="F288">INDEX({"Pay as you go","Prediction_PACK","Prediction_Payasyougo","Competitor"},MATCH(MIN(A288:D288), A288:D288, 0))</f>
        <v>Pay as you go</v>
      </c>
    </row>
    <row r="289" spans="1:6" x14ac:dyDescent="0.25">
      <c r="A289">
        <v>150.505</v>
      </c>
      <c r="B289">
        <v>197.88</v>
      </c>
      <c r="C289">
        <v>200.3852227762728</v>
      </c>
      <c r="D289">
        <v>209.88</v>
      </c>
      <c r="E289">
        <f t="shared" si="4"/>
        <v>150.505</v>
      </c>
      <c r="F289" t="str" cm="1">
        <f t="array" ref="F289">INDEX({"Pay as you go","Prediction_PACK","Prediction_Payasyougo","Competitor"},MATCH(MIN(A289:D289), A289:D289, 0))</f>
        <v>Pay as you go</v>
      </c>
    </row>
    <row r="290" spans="1:6" x14ac:dyDescent="0.25">
      <c r="A290">
        <v>163.01400000000001</v>
      </c>
      <c r="B290">
        <v>167.88</v>
      </c>
      <c r="C290">
        <v>179.88</v>
      </c>
      <c r="D290">
        <v>179.88</v>
      </c>
      <c r="E290">
        <f t="shared" si="4"/>
        <v>163.01400000000001</v>
      </c>
      <c r="F290" t="str" cm="1">
        <f t="array" ref="F290">INDEX({"Pay as you go","Prediction_PACK","Prediction_Payasyougo","Competitor"},MATCH(MIN(A290:D290), A290:D290, 0))</f>
        <v>Pay as you go</v>
      </c>
    </row>
    <row r="291" spans="1:6" x14ac:dyDescent="0.25">
      <c r="A291">
        <v>179.24199999999999</v>
      </c>
      <c r="B291">
        <v>207.88</v>
      </c>
      <c r="C291">
        <v>183.4710760151448</v>
      </c>
      <c r="D291">
        <v>219.88</v>
      </c>
      <c r="E291">
        <f t="shared" si="4"/>
        <v>179.24199999999999</v>
      </c>
      <c r="F291" t="str" cm="1">
        <f t="array" ref="F291">INDEX({"Pay as you go","Prediction_PACK","Prediction_Payasyougo","Competitor"},MATCH(MIN(A291:D291), A291:D291, 0))</f>
        <v>Pay as you go</v>
      </c>
    </row>
    <row r="292" spans="1:6" x14ac:dyDescent="0.25">
      <c r="A292">
        <v>97.904000000000011</v>
      </c>
      <c r="B292">
        <v>167.88</v>
      </c>
      <c r="C292">
        <v>179.88</v>
      </c>
      <c r="D292">
        <v>179.88</v>
      </c>
      <c r="E292">
        <f t="shared" si="4"/>
        <v>97.904000000000011</v>
      </c>
      <c r="F292" t="str" cm="1">
        <f t="array" ref="F292">INDEX({"Pay as you go","Prediction_PACK","Prediction_Payasyougo","Competitor"},MATCH(MIN(A292:D292), A292:D292, 0))</f>
        <v>Pay as you go</v>
      </c>
    </row>
    <row r="293" spans="1:6" x14ac:dyDescent="0.25">
      <c r="A293">
        <v>174.411</v>
      </c>
      <c r="B293">
        <v>183.88</v>
      </c>
      <c r="C293">
        <v>179.88</v>
      </c>
      <c r="D293">
        <v>199.88</v>
      </c>
      <c r="E293">
        <f t="shared" si="4"/>
        <v>174.411</v>
      </c>
      <c r="F293" t="str" cm="1">
        <f t="array" ref="F293">INDEX({"Pay as you go","Prediction_PACK","Prediction_Payasyougo","Competitor"},MATCH(MIN(A293:D293), A293:D293, 0))</f>
        <v>Pay as you go</v>
      </c>
    </row>
    <row r="294" spans="1:6" x14ac:dyDescent="0.25">
      <c r="A294">
        <v>100.19500000000001</v>
      </c>
      <c r="B294">
        <v>171.88</v>
      </c>
      <c r="C294">
        <v>179.88</v>
      </c>
      <c r="D294">
        <v>184.88</v>
      </c>
      <c r="E294">
        <f t="shared" si="4"/>
        <v>100.19500000000001</v>
      </c>
      <c r="F294" t="str" cm="1">
        <f t="array" ref="F294">INDEX({"Pay as you go","Prediction_PACK","Prediction_Payasyougo","Competitor"},MATCH(MIN(A294:D294), A294:D294, 0))</f>
        <v>Pay as you go</v>
      </c>
    </row>
    <row r="295" spans="1:6" x14ac:dyDescent="0.25">
      <c r="A295">
        <v>84.192000000000007</v>
      </c>
      <c r="B295">
        <v>167.88</v>
      </c>
      <c r="C295">
        <v>179.88</v>
      </c>
      <c r="D295">
        <v>179.88</v>
      </c>
      <c r="E295">
        <f t="shared" si="4"/>
        <v>84.192000000000007</v>
      </c>
      <c r="F295" t="str" cm="1">
        <f t="array" ref="F295">INDEX({"Pay as you go","Prediction_PACK","Prediction_Payasyougo","Competitor"},MATCH(MIN(A295:D295), A295:D295, 0))</f>
        <v>Pay as you go</v>
      </c>
    </row>
    <row r="296" spans="1:6" x14ac:dyDescent="0.25">
      <c r="A296">
        <v>188.006</v>
      </c>
      <c r="B296">
        <v>207.88</v>
      </c>
      <c r="C296">
        <v>202.3078840764135</v>
      </c>
      <c r="D296">
        <v>219.88</v>
      </c>
      <c r="E296">
        <f t="shared" si="4"/>
        <v>188.006</v>
      </c>
      <c r="F296" t="str" cm="1">
        <f t="array" ref="F296">INDEX({"Pay as you go","Prediction_PACK","Prediction_Payasyougo","Competitor"},MATCH(MIN(A296:D296), A296:D296, 0))</f>
        <v>Pay as you go</v>
      </c>
    </row>
    <row r="297" spans="1:6" x14ac:dyDescent="0.25">
      <c r="A297">
        <v>148.57599999999999</v>
      </c>
      <c r="B297">
        <v>167.88</v>
      </c>
      <c r="C297">
        <v>179.88</v>
      </c>
      <c r="D297">
        <v>179.88</v>
      </c>
      <c r="E297">
        <f t="shared" si="4"/>
        <v>148.57599999999999</v>
      </c>
      <c r="F297" t="str" cm="1">
        <f t="array" ref="F297">INDEX({"Pay as you go","Prediction_PACK","Prediction_Payasyougo","Competitor"},MATCH(MIN(A297:D297), A297:D297, 0))</f>
        <v>Pay as you go</v>
      </c>
    </row>
    <row r="298" spans="1:6" x14ac:dyDescent="0.25">
      <c r="A298">
        <v>136.79300000000001</v>
      </c>
      <c r="B298">
        <v>167.88</v>
      </c>
      <c r="C298">
        <v>179.88</v>
      </c>
      <c r="D298">
        <v>179.88</v>
      </c>
      <c r="E298">
        <f t="shared" si="4"/>
        <v>136.79300000000001</v>
      </c>
      <c r="F298" t="str" cm="1">
        <f t="array" ref="F298">INDEX({"Pay as you go","Prediction_PACK","Prediction_Payasyougo","Competitor"},MATCH(MIN(A298:D298), A298:D298, 0))</f>
        <v>Pay as you go</v>
      </c>
    </row>
    <row r="299" spans="1:6" x14ac:dyDescent="0.25">
      <c r="A299">
        <v>94.596999999999994</v>
      </c>
      <c r="B299">
        <v>167.88</v>
      </c>
      <c r="C299">
        <v>179.88</v>
      </c>
      <c r="D299">
        <v>179.88</v>
      </c>
      <c r="E299">
        <f t="shared" si="4"/>
        <v>94.596999999999994</v>
      </c>
      <c r="F299" t="str" cm="1">
        <f t="array" ref="F299">INDEX({"Pay as you go","Prediction_PACK","Prediction_Payasyougo","Competitor"},MATCH(MIN(A299:D299), A299:D299, 0))</f>
        <v>Pay as you go</v>
      </c>
    </row>
    <row r="300" spans="1:6" x14ac:dyDescent="0.25">
      <c r="A300">
        <v>149.852</v>
      </c>
      <c r="B300">
        <v>167.88</v>
      </c>
      <c r="C300">
        <v>179.88</v>
      </c>
      <c r="D300">
        <v>179.88</v>
      </c>
      <c r="E300">
        <f t="shared" si="4"/>
        <v>149.852</v>
      </c>
      <c r="F300" t="str" cm="1">
        <f t="array" ref="F300">INDEX({"Pay as you go","Prediction_PACK","Prediction_Payasyougo","Competitor"},MATCH(MIN(A300:D300), A300:D300, 0))</f>
        <v>Pay as you go</v>
      </c>
    </row>
    <row r="301" spans="1:6" x14ac:dyDescent="0.25">
      <c r="A301">
        <v>153.21600000000001</v>
      </c>
      <c r="B301">
        <v>182.88</v>
      </c>
      <c r="C301">
        <v>183.46585474065151</v>
      </c>
      <c r="D301">
        <v>194.88</v>
      </c>
      <c r="E301">
        <f t="shared" si="4"/>
        <v>153.21600000000001</v>
      </c>
      <c r="F301" t="str" cm="1">
        <f t="array" ref="F301">INDEX({"Pay as you go","Prediction_PACK","Prediction_Payasyougo","Competitor"},MATCH(MIN(A301:D301), A301:D301, 0))</f>
        <v>Pay as you go</v>
      </c>
    </row>
    <row r="302" spans="1:6" x14ac:dyDescent="0.25">
      <c r="A302">
        <v>126.459</v>
      </c>
      <c r="B302">
        <v>167.88</v>
      </c>
      <c r="C302">
        <v>179.88</v>
      </c>
      <c r="D302">
        <v>179.88</v>
      </c>
      <c r="E302">
        <f t="shared" si="4"/>
        <v>126.459</v>
      </c>
      <c r="F302" t="str" cm="1">
        <f t="array" ref="F302">INDEX({"Pay as you go","Prediction_PACK","Prediction_Payasyougo","Competitor"},MATCH(MIN(A302:D302), A302:D302, 0))</f>
        <v>Pay as you go</v>
      </c>
    </row>
    <row r="303" spans="1:6" x14ac:dyDescent="0.25">
      <c r="A303">
        <v>171.67400000000001</v>
      </c>
      <c r="B303">
        <v>171.88</v>
      </c>
      <c r="C303">
        <v>179.88</v>
      </c>
      <c r="D303">
        <v>184.88</v>
      </c>
      <c r="E303">
        <f t="shared" si="4"/>
        <v>171.67400000000001</v>
      </c>
      <c r="F303" t="str" cm="1">
        <f t="array" ref="F303">INDEX({"Pay as you go","Prediction_PACK","Prediction_Payasyougo","Competitor"},MATCH(MIN(A303:D303), A303:D303, 0))</f>
        <v>Pay as you go</v>
      </c>
    </row>
    <row r="304" spans="1:6" x14ac:dyDescent="0.25">
      <c r="A304">
        <v>123.848</v>
      </c>
      <c r="B304">
        <v>167.88</v>
      </c>
      <c r="C304">
        <v>179.88</v>
      </c>
      <c r="D304">
        <v>179.88</v>
      </c>
      <c r="E304">
        <f t="shared" si="4"/>
        <v>123.848</v>
      </c>
      <c r="F304" t="str" cm="1">
        <f t="array" ref="F304">INDEX({"Pay as you go","Prediction_PACK","Prediction_Payasyougo","Competitor"},MATCH(MIN(A304:D304), A304:D304, 0))</f>
        <v>Pay as you go</v>
      </c>
    </row>
    <row r="305" spans="1:6" x14ac:dyDescent="0.25">
      <c r="A305">
        <v>87.784000000000006</v>
      </c>
      <c r="B305">
        <v>167.88</v>
      </c>
      <c r="C305">
        <v>179.88</v>
      </c>
      <c r="D305">
        <v>179.88</v>
      </c>
      <c r="E305">
        <f t="shared" si="4"/>
        <v>87.784000000000006</v>
      </c>
      <c r="F305" t="str" cm="1">
        <f t="array" ref="F305">INDEX({"Pay as you go","Prediction_PACK","Prediction_Payasyougo","Competitor"},MATCH(MIN(A305:D305), A305:D305, 0))</f>
        <v>Pay as you go</v>
      </c>
    </row>
    <row r="306" spans="1:6" x14ac:dyDescent="0.25">
      <c r="A306">
        <v>112.283</v>
      </c>
      <c r="B306">
        <v>171.88</v>
      </c>
      <c r="C306">
        <v>179.88</v>
      </c>
      <c r="D306">
        <v>184.88</v>
      </c>
      <c r="E306">
        <f t="shared" si="4"/>
        <v>112.283</v>
      </c>
      <c r="F306" t="str" cm="1">
        <f t="array" ref="F306">INDEX({"Pay as you go","Prediction_PACK","Prediction_Payasyougo","Competitor"},MATCH(MIN(A306:D306), A306:D306, 0))</f>
        <v>Pay as you go</v>
      </c>
    </row>
    <row r="307" spans="1:6" x14ac:dyDescent="0.25">
      <c r="A307">
        <v>149.34899999999999</v>
      </c>
      <c r="B307">
        <v>175.88</v>
      </c>
      <c r="C307">
        <v>179.88</v>
      </c>
      <c r="D307">
        <v>189.88</v>
      </c>
      <c r="E307">
        <f t="shared" si="4"/>
        <v>149.34899999999999</v>
      </c>
      <c r="F307" t="str" cm="1">
        <f t="array" ref="F307">INDEX({"Pay as you go","Prediction_PACK","Prediction_Payasyougo","Competitor"},MATCH(MIN(A307:D307), A307:D307, 0))</f>
        <v>Pay as you go</v>
      </c>
    </row>
    <row r="308" spans="1:6" x14ac:dyDescent="0.25">
      <c r="A308">
        <v>94.984999999999999</v>
      </c>
      <c r="B308">
        <v>167.88</v>
      </c>
      <c r="C308">
        <v>179.88</v>
      </c>
      <c r="D308">
        <v>179.88</v>
      </c>
      <c r="E308">
        <f t="shared" si="4"/>
        <v>94.984999999999999</v>
      </c>
      <c r="F308" t="str" cm="1">
        <f t="array" ref="F308">INDEX({"Pay as you go","Prediction_PACK","Prediction_Payasyougo","Competitor"},MATCH(MIN(A308:D308), A308:D308, 0))</f>
        <v>Pay as you go</v>
      </c>
    </row>
    <row r="309" spans="1:6" x14ac:dyDescent="0.25">
      <c r="A309">
        <v>188.06699999999998</v>
      </c>
      <c r="B309">
        <v>175.88</v>
      </c>
      <c r="C309">
        <v>179.88</v>
      </c>
      <c r="D309">
        <v>189.88</v>
      </c>
      <c r="E309">
        <f t="shared" si="4"/>
        <v>175.88</v>
      </c>
      <c r="F309" t="str" cm="1">
        <f t="array" ref="F309">INDEX({"Pay as you go","Prediction_PACK","Prediction_Payasyougo","Competitor"},MATCH(MIN(A309:D309), A309:D309, 0))</f>
        <v>Prediction_PACK</v>
      </c>
    </row>
    <row r="310" spans="1:6" x14ac:dyDescent="0.25">
      <c r="A310">
        <v>158.941</v>
      </c>
      <c r="B310">
        <v>182.88</v>
      </c>
      <c r="C310">
        <v>188.67361392602581</v>
      </c>
      <c r="D310">
        <v>194.88</v>
      </c>
      <c r="E310">
        <f t="shared" si="4"/>
        <v>158.941</v>
      </c>
      <c r="F310" t="str" cm="1">
        <f t="array" ref="F310">INDEX({"Pay as you go","Prediction_PACK","Prediction_Payasyougo","Competitor"},MATCH(MIN(A310:D310), A310:D310, 0))</f>
        <v>Pay as you go</v>
      </c>
    </row>
    <row r="311" spans="1:6" x14ac:dyDescent="0.25">
      <c r="A311">
        <v>186.37100000000001</v>
      </c>
      <c r="B311">
        <v>187.88</v>
      </c>
      <c r="C311">
        <v>179.88</v>
      </c>
      <c r="D311">
        <v>199.88</v>
      </c>
      <c r="E311">
        <f t="shared" si="4"/>
        <v>179.88</v>
      </c>
      <c r="F311" t="str" cm="1">
        <f t="array" ref="F311">INDEX({"Pay as you go","Prediction_PACK","Prediction_Payasyougo","Competitor"},MATCH(MIN(A311:D311), A311:D311, 0))</f>
        <v>Prediction_Payasyougo</v>
      </c>
    </row>
    <row r="312" spans="1:6" x14ac:dyDescent="0.25">
      <c r="A312">
        <v>139.922</v>
      </c>
      <c r="B312">
        <v>167.88</v>
      </c>
      <c r="C312">
        <v>179.88</v>
      </c>
      <c r="D312">
        <v>179.88</v>
      </c>
      <c r="E312">
        <f t="shared" si="4"/>
        <v>139.922</v>
      </c>
      <c r="F312" t="str" cm="1">
        <f t="array" ref="F312">INDEX({"Pay as you go","Prediction_PACK","Prediction_Payasyougo","Competitor"},MATCH(MIN(A312:D312), A312:D312, 0))</f>
        <v>Pay as you go</v>
      </c>
    </row>
    <row r="313" spans="1:6" x14ac:dyDescent="0.25">
      <c r="A313">
        <v>149.01500000000001</v>
      </c>
      <c r="B313">
        <v>171.88</v>
      </c>
      <c r="C313">
        <v>179.88</v>
      </c>
      <c r="D313">
        <v>184.88</v>
      </c>
      <c r="E313">
        <f t="shared" si="4"/>
        <v>149.01500000000001</v>
      </c>
      <c r="F313" t="str" cm="1">
        <f t="array" ref="F313">INDEX({"Pay as you go","Prediction_PACK","Prediction_Payasyougo","Competitor"},MATCH(MIN(A313:D313), A313:D313, 0))</f>
        <v>Pay as you go</v>
      </c>
    </row>
    <row r="314" spans="1:6" x14ac:dyDescent="0.25">
      <c r="A314">
        <v>123.65700000000001</v>
      </c>
      <c r="B314">
        <v>167.88</v>
      </c>
      <c r="C314">
        <v>179.88</v>
      </c>
      <c r="D314">
        <v>179.88</v>
      </c>
      <c r="E314">
        <f t="shared" si="4"/>
        <v>123.65700000000001</v>
      </c>
      <c r="F314" t="str" cm="1">
        <f t="array" ref="F314">INDEX({"Pay as you go","Prediction_PACK","Prediction_Payasyougo","Competitor"},MATCH(MIN(A314:D314), A314:D314, 0))</f>
        <v>Pay as you go</v>
      </c>
    </row>
    <row r="315" spans="1:6" x14ac:dyDescent="0.25">
      <c r="A315">
        <v>154.29400000000001</v>
      </c>
      <c r="B315">
        <v>183.88</v>
      </c>
      <c r="C315">
        <v>179.88</v>
      </c>
      <c r="D315">
        <v>199.88</v>
      </c>
      <c r="E315">
        <f t="shared" si="4"/>
        <v>154.29400000000001</v>
      </c>
      <c r="F315" t="str" cm="1">
        <f t="array" ref="F315">INDEX({"Pay as you go","Prediction_PACK","Prediction_Payasyougo","Competitor"},MATCH(MIN(A315:D315), A315:D315, 0))</f>
        <v>Pay as you go</v>
      </c>
    </row>
    <row r="316" spans="1:6" x14ac:dyDescent="0.25">
      <c r="A316">
        <v>95.641000000000005</v>
      </c>
      <c r="B316">
        <v>167.88</v>
      </c>
      <c r="C316">
        <v>179.88</v>
      </c>
      <c r="D316">
        <v>179.88</v>
      </c>
      <c r="E316">
        <f t="shared" si="4"/>
        <v>95.641000000000005</v>
      </c>
      <c r="F316" t="str" cm="1">
        <f t="array" ref="F316">INDEX({"Pay as you go","Prediction_PACK","Prediction_Payasyougo","Competitor"},MATCH(MIN(A316:D316), A316:D316, 0))</f>
        <v>Pay as you go</v>
      </c>
    </row>
    <row r="317" spans="1:6" x14ac:dyDescent="0.25">
      <c r="A317">
        <v>114.876</v>
      </c>
      <c r="B317">
        <v>167.88</v>
      </c>
      <c r="C317">
        <v>179.88</v>
      </c>
      <c r="D317">
        <v>179.88</v>
      </c>
      <c r="E317">
        <f t="shared" si="4"/>
        <v>114.876</v>
      </c>
      <c r="F317" t="str" cm="1">
        <f t="array" ref="F317">INDEX({"Pay as you go","Prediction_PACK","Prediction_Payasyougo","Competitor"},MATCH(MIN(A317:D317), A317:D317, 0))</f>
        <v>Pay as you go</v>
      </c>
    </row>
    <row r="318" spans="1:6" x14ac:dyDescent="0.25">
      <c r="A318">
        <v>103.92699999999999</v>
      </c>
      <c r="B318">
        <v>177.88</v>
      </c>
      <c r="C318">
        <v>179.88</v>
      </c>
      <c r="D318">
        <v>189.88</v>
      </c>
      <c r="E318">
        <f t="shared" si="4"/>
        <v>103.92699999999999</v>
      </c>
      <c r="F318" t="str" cm="1">
        <f t="array" ref="F318">INDEX({"Pay as you go","Prediction_PACK","Prediction_Payasyougo","Competitor"},MATCH(MIN(A318:D318), A318:D318, 0))</f>
        <v>Pay as you go</v>
      </c>
    </row>
    <row r="319" spans="1:6" x14ac:dyDescent="0.25">
      <c r="A319">
        <v>136.82900000000001</v>
      </c>
      <c r="B319">
        <v>167.88</v>
      </c>
      <c r="C319">
        <v>179.88</v>
      </c>
      <c r="D319">
        <v>179.88</v>
      </c>
      <c r="E319">
        <f t="shared" si="4"/>
        <v>136.82900000000001</v>
      </c>
      <c r="F319" t="str" cm="1">
        <f t="array" ref="F319">INDEX({"Pay as you go","Prediction_PACK","Prediction_Payasyougo","Competitor"},MATCH(MIN(A319:D319), A319:D319, 0))</f>
        <v>Pay as you go</v>
      </c>
    </row>
    <row r="320" spans="1:6" x14ac:dyDescent="0.25">
      <c r="A320">
        <v>120.327</v>
      </c>
      <c r="B320">
        <v>177.88</v>
      </c>
      <c r="C320">
        <v>179.88</v>
      </c>
      <c r="D320">
        <v>189.88</v>
      </c>
      <c r="E320">
        <f t="shared" si="4"/>
        <v>120.327</v>
      </c>
      <c r="F320" t="str" cm="1">
        <f t="array" ref="F320">INDEX({"Pay as you go","Prediction_PACK","Prediction_Payasyougo","Competitor"},MATCH(MIN(A320:D320), A320:D320, 0))</f>
        <v>Pay as you go</v>
      </c>
    </row>
    <row r="321" spans="1:6" x14ac:dyDescent="0.25">
      <c r="A321">
        <v>125.509</v>
      </c>
      <c r="B321">
        <v>167.88</v>
      </c>
      <c r="C321">
        <v>179.88</v>
      </c>
      <c r="D321">
        <v>179.88</v>
      </c>
      <c r="E321">
        <f t="shared" si="4"/>
        <v>125.509</v>
      </c>
      <c r="F321" t="str" cm="1">
        <f t="array" ref="F321">INDEX({"Pay as you go","Prediction_PACK","Prediction_Payasyougo","Competitor"},MATCH(MIN(A321:D321), A321:D321, 0))</f>
        <v>Pay as you go</v>
      </c>
    </row>
    <row r="322" spans="1:6" x14ac:dyDescent="0.25">
      <c r="A322">
        <v>107.61800000000001</v>
      </c>
      <c r="B322">
        <v>177.88</v>
      </c>
      <c r="C322">
        <v>179.88</v>
      </c>
      <c r="D322">
        <v>189.88</v>
      </c>
      <c r="E322">
        <f t="shared" si="4"/>
        <v>107.61800000000001</v>
      </c>
      <c r="F322" t="str" cm="1">
        <f t="array" ref="F322">INDEX({"Pay as you go","Prediction_PACK","Prediction_Payasyougo","Competitor"},MATCH(MIN(A322:D322), A322:D322, 0))</f>
        <v>Pay as you go</v>
      </c>
    </row>
    <row r="323" spans="1:6" x14ac:dyDescent="0.25">
      <c r="A323">
        <v>135.309</v>
      </c>
      <c r="B323">
        <v>187.88</v>
      </c>
      <c r="C323">
        <v>190.79270987517151</v>
      </c>
      <c r="D323">
        <v>199.88</v>
      </c>
      <c r="E323">
        <f t="shared" si="4"/>
        <v>135.309</v>
      </c>
      <c r="F323" t="str" cm="1">
        <f t="array" ref="F323">INDEX({"Pay as you go","Prediction_PACK","Prediction_Payasyougo","Competitor"},MATCH(MIN(A323:D323), A323:D323, 0))</f>
        <v>Pay as you go</v>
      </c>
    </row>
    <row r="324" spans="1:6" x14ac:dyDescent="0.25">
      <c r="A324">
        <v>112.15</v>
      </c>
      <c r="B324">
        <v>167.88</v>
      </c>
      <c r="C324">
        <v>179.88</v>
      </c>
      <c r="D324">
        <v>179.88</v>
      </c>
      <c r="E324">
        <f t="shared" si="4"/>
        <v>112.15</v>
      </c>
      <c r="F324" t="str" cm="1">
        <f t="array" ref="F324">INDEX({"Pay as you go","Prediction_PACK","Prediction_Payasyougo","Competitor"},MATCH(MIN(A324:D324), A324:D324, 0))</f>
        <v>Pay as you go</v>
      </c>
    </row>
    <row r="325" spans="1:6" x14ac:dyDescent="0.25">
      <c r="A325">
        <v>151.28299999999999</v>
      </c>
      <c r="B325">
        <v>187.88</v>
      </c>
      <c r="C325">
        <v>179.88</v>
      </c>
      <c r="D325">
        <v>199.88</v>
      </c>
      <c r="E325">
        <f t="shared" si="4"/>
        <v>151.28299999999999</v>
      </c>
      <c r="F325" t="str" cm="1">
        <f t="array" ref="F325">INDEX({"Pay as you go","Prediction_PACK","Prediction_Payasyougo","Competitor"},MATCH(MIN(A325:D325), A325:D325, 0))</f>
        <v>Pay as you go</v>
      </c>
    </row>
    <row r="326" spans="1:6" x14ac:dyDescent="0.25">
      <c r="A326">
        <v>208.239</v>
      </c>
      <c r="B326">
        <v>167.88</v>
      </c>
      <c r="C326">
        <v>179.88</v>
      </c>
      <c r="D326">
        <v>179.88</v>
      </c>
      <c r="E326">
        <f t="shared" si="4"/>
        <v>167.88</v>
      </c>
      <c r="F326" t="str" cm="1">
        <f t="array" ref="F326">INDEX({"Pay as you go","Prediction_PACK","Prediction_Payasyougo","Competitor"},MATCH(MIN(A326:D326), A326:D326, 0))</f>
        <v>Prediction_PACK</v>
      </c>
    </row>
    <row r="327" spans="1:6" x14ac:dyDescent="0.25">
      <c r="A327">
        <v>138.5</v>
      </c>
      <c r="B327">
        <v>171.88</v>
      </c>
      <c r="C327">
        <v>179.88</v>
      </c>
      <c r="D327">
        <v>184.88</v>
      </c>
      <c r="E327">
        <f t="shared" si="4"/>
        <v>138.5</v>
      </c>
      <c r="F327" t="str" cm="1">
        <f t="array" ref="F327">INDEX({"Pay as you go","Prediction_PACK","Prediction_Payasyougo","Competitor"},MATCH(MIN(A327:D327), A327:D327, 0))</f>
        <v>Pay as you go</v>
      </c>
    </row>
    <row r="328" spans="1:6" x14ac:dyDescent="0.25">
      <c r="A328">
        <v>108.105</v>
      </c>
      <c r="B328">
        <v>167.88</v>
      </c>
      <c r="C328">
        <v>179.88</v>
      </c>
      <c r="D328">
        <v>179.88</v>
      </c>
      <c r="E328">
        <f t="shared" ref="E328:E391" si="5">MIN(A328:D328)</f>
        <v>108.105</v>
      </c>
      <c r="F328" t="str" cm="1">
        <f t="array" ref="F328">INDEX({"Pay as you go","Prediction_PACK","Prediction_Payasyougo","Competitor"},MATCH(MIN(A328:D328), A328:D328, 0))</f>
        <v>Pay as you go</v>
      </c>
    </row>
    <row r="329" spans="1:6" x14ac:dyDescent="0.25">
      <c r="A329">
        <v>97.856000000000009</v>
      </c>
      <c r="B329">
        <v>167.88</v>
      </c>
      <c r="C329">
        <v>179.88</v>
      </c>
      <c r="D329">
        <v>179.88</v>
      </c>
      <c r="E329">
        <f t="shared" si="5"/>
        <v>97.856000000000009</v>
      </c>
      <c r="F329" t="str" cm="1">
        <f t="array" ref="F329">INDEX({"Pay as you go","Prediction_PACK","Prediction_Payasyougo","Competitor"},MATCH(MIN(A329:D329), A329:D329, 0))</f>
        <v>Pay as you go</v>
      </c>
    </row>
    <row r="330" spans="1:6" x14ac:dyDescent="0.25">
      <c r="A330">
        <v>116.22500000000001</v>
      </c>
      <c r="B330">
        <v>175.88</v>
      </c>
      <c r="C330">
        <v>179.88</v>
      </c>
      <c r="D330">
        <v>189.88</v>
      </c>
      <c r="E330">
        <f t="shared" si="5"/>
        <v>116.22500000000001</v>
      </c>
      <c r="F330" t="str" cm="1">
        <f t="array" ref="F330">INDEX({"Pay as you go","Prediction_PACK","Prediction_Payasyougo","Competitor"},MATCH(MIN(A330:D330), A330:D330, 0))</f>
        <v>Pay as you go</v>
      </c>
    </row>
    <row r="331" spans="1:6" x14ac:dyDescent="0.25">
      <c r="A331">
        <v>164.33499999999998</v>
      </c>
      <c r="B331">
        <v>167.88</v>
      </c>
      <c r="C331">
        <v>179.88</v>
      </c>
      <c r="D331">
        <v>179.88</v>
      </c>
      <c r="E331">
        <f t="shared" si="5"/>
        <v>164.33499999999998</v>
      </c>
      <c r="F331" t="str" cm="1">
        <f t="array" ref="F331">INDEX({"Pay as you go","Prediction_PACK","Prediction_Payasyougo","Competitor"},MATCH(MIN(A331:D331), A331:D331, 0))</f>
        <v>Pay as you go</v>
      </c>
    </row>
    <row r="332" spans="1:6" x14ac:dyDescent="0.25">
      <c r="A332">
        <v>107.581</v>
      </c>
      <c r="B332">
        <v>167.88</v>
      </c>
      <c r="C332">
        <v>179.88</v>
      </c>
      <c r="D332">
        <v>179.88</v>
      </c>
      <c r="E332">
        <f t="shared" si="5"/>
        <v>107.581</v>
      </c>
      <c r="F332" t="str" cm="1">
        <f t="array" ref="F332">INDEX({"Pay as you go","Prediction_PACK","Prediction_Payasyougo","Competitor"},MATCH(MIN(A332:D332), A332:D332, 0))</f>
        <v>Pay as you go</v>
      </c>
    </row>
    <row r="333" spans="1:6" x14ac:dyDescent="0.25">
      <c r="A333">
        <v>122.864</v>
      </c>
      <c r="B333">
        <v>171.88</v>
      </c>
      <c r="C333">
        <v>179.88</v>
      </c>
      <c r="D333">
        <v>184.88</v>
      </c>
      <c r="E333">
        <f t="shared" si="5"/>
        <v>122.864</v>
      </c>
      <c r="F333" t="str" cm="1">
        <f t="array" ref="F333">INDEX({"Pay as you go","Prediction_PACK","Prediction_Payasyougo","Competitor"},MATCH(MIN(A333:D333), A333:D333, 0))</f>
        <v>Pay as you go</v>
      </c>
    </row>
    <row r="334" spans="1:6" x14ac:dyDescent="0.25">
      <c r="A334">
        <v>85.180999999999997</v>
      </c>
      <c r="B334">
        <v>167.88</v>
      </c>
      <c r="C334">
        <v>179.88</v>
      </c>
      <c r="D334">
        <v>179.88</v>
      </c>
      <c r="E334">
        <f t="shared" si="5"/>
        <v>85.180999999999997</v>
      </c>
      <c r="F334" t="str" cm="1">
        <f t="array" ref="F334">INDEX({"Pay as you go","Prediction_PACK","Prediction_Payasyougo","Competitor"},MATCH(MIN(A334:D334), A334:D334, 0))</f>
        <v>Pay as you go</v>
      </c>
    </row>
    <row r="335" spans="1:6" x14ac:dyDescent="0.25">
      <c r="A335">
        <v>92.213000000000008</v>
      </c>
      <c r="B335">
        <v>167.88</v>
      </c>
      <c r="C335">
        <v>179.88</v>
      </c>
      <c r="D335">
        <v>179.88</v>
      </c>
      <c r="E335">
        <f t="shared" si="5"/>
        <v>92.213000000000008</v>
      </c>
      <c r="F335" t="str" cm="1">
        <f t="array" ref="F335">INDEX({"Pay as you go","Prediction_PACK","Prediction_Payasyougo","Competitor"},MATCH(MIN(A335:D335), A335:D335, 0))</f>
        <v>Pay as you go</v>
      </c>
    </row>
    <row r="336" spans="1:6" x14ac:dyDescent="0.25">
      <c r="A336">
        <v>81.457000000000008</v>
      </c>
      <c r="B336">
        <v>167.88</v>
      </c>
      <c r="C336">
        <v>179.88</v>
      </c>
      <c r="D336">
        <v>179.88</v>
      </c>
      <c r="E336">
        <f t="shared" si="5"/>
        <v>81.457000000000008</v>
      </c>
      <c r="F336" t="str" cm="1">
        <f t="array" ref="F336">INDEX({"Pay as you go","Prediction_PACK","Prediction_Payasyougo","Competitor"},MATCH(MIN(A336:D336), A336:D336, 0))</f>
        <v>Pay as you go</v>
      </c>
    </row>
    <row r="337" spans="1:6" x14ac:dyDescent="0.25">
      <c r="A337">
        <v>100.55500000000001</v>
      </c>
      <c r="B337">
        <v>167.88</v>
      </c>
      <c r="C337">
        <v>179.88</v>
      </c>
      <c r="D337">
        <v>179.88</v>
      </c>
      <c r="E337">
        <f t="shared" si="5"/>
        <v>100.55500000000001</v>
      </c>
      <c r="F337" t="str" cm="1">
        <f t="array" ref="F337">INDEX({"Pay as you go","Prediction_PACK","Prediction_Payasyougo","Competitor"},MATCH(MIN(A337:D337), A337:D337, 0))</f>
        <v>Pay as you go</v>
      </c>
    </row>
    <row r="338" spans="1:6" x14ac:dyDescent="0.25">
      <c r="A338">
        <v>116.206</v>
      </c>
      <c r="B338">
        <v>167.88</v>
      </c>
      <c r="C338">
        <v>179.88</v>
      </c>
      <c r="D338">
        <v>179.88</v>
      </c>
      <c r="E338">
        <f t="shared" si="5"/>
        <v>116.206</v>
      </c>
      <c r="F338" t="str" cm="1">
        <f t="array" ref="F338">INDEX({"Pay as you go","Prediction_PACK","Prediction_Payasyougo","Competitor"},MATCH(MIN(A338:D338), A338:D338, 0))</f>
        <v>Pay as you go</v>
      </c>
    </row>
    <row r="339" spans="1:6" x14ac:dyDescent="0.25">
      <c r="A339">
        <v>170.077</v>
      </c>
      <c r="B339">
        <v>207.88</v>
      </c>
      <c r="C339">
        <v>199.73135087058989</v>
      </c>
      <c r="D339">
        <v>219.88</v>
      </c>
      <c r="E339">
        <f t="shared" si="5"/>
        <v>170.077</v>
      </c>
      <c r="F339" t="str" cm="1">
        <f t="array" ref="F339">INDEX({"Pay as you go","Prediction_PACK","Prediction_Payasyougo","Competitor"},MATCH(MIN(A339:D339), A339:D339, 0))</f>
        <v>Pay as you go</v>
      </c>
    </row>
    <row r="340" spans="1:6" x14ac:dyDescent="0.25">
      <c r="A340">
        <v>140.48500000000001</v>
      </c>
      <c r="B340">
        <v>167.88</v>
      </c>
      <c r="C340">
        <v>179.88</v>
      </c>
      <c r="D340">
        <v>179.88</v>
      </c>
      <c r="E340">
        <f t="shared" si="5"/>
        <v>140.48500000000001</v>
      </c>
      <c r="F340" t="str" cm="1">
        <f t="array" ref="F340">INDEX({"Pay as you go","Prediction_PACK","Prediction_Payasyougo","Competitor"},MATCH(MIN(A340:D340), A340:D340, 0))</f>
        <v>Pay as you go</v>
      </c>
    </row>
    <row r="341" spans="1:6" x14ac:dyDescent="0.25">
      <c r="A341">
        <v>118.289</v>
      </c>
      <c r="B341">
        <v>182.88</v>
      </c>
      <c r="C341">
        <v>182.75449720768648</v>
      </c>
      <c r="D341">
        <v>194.88</v>
      </c>
      <c r="E341">
        <f t="shared" si="5"/>
        <v>118.289</v>
      </c>
      <c r="F341" t="str" cm="1">
        <f t="array" ref="F341">INDEX({"Pay as you go","Prediction_PACK","Prediction_Payasyougo","Competitor"},MATCH(MIN(A341:D341), A341:D341, 0))</f>
        <v>Pay as you go</v>
      </c>
    </row>
    <row r="342" spans="1:6" x14ac:dyDescent="0.25">
      <c r="A342">
        <v>87.616</v>
      </c>
      <c r="B342">
        <v>167.88</v>
      </c>
      <c r="C342">
        <v>179.88</v>
      </c>
      <c r="D342">
        <v>179.88</v>
      </c>
      <c r="E342">
        <f t="shared" si="5"/>
        <v>87.616</v>
      </c>
      <c r="F342" t="str" cm="1">
        <f t="array" ref="F342">INDEX({"Pay as you go","Prediction_PACK","Prediction_Payasyougo","Competitor"},MATCH(MIN(A342:D342), A342:D342, 0))</f>
        <v>Pay as you go</v>
      </c>
    </row>
    <row r="343" spans="1:6" x14ac:dyDescent="0.25">
      <c r="A343">
        <v>110.14200000000001</v>
      </c>
      <c r="B343">
        <v>167.88</v>
      </c>
      <c r="C343">
        <v>179.88</v>
      </c>
      <c r="D343">
        <v>179.88</v>
      </c>
      <c r="E343">
        <f t="shared" si="5"/>
        <v>110.14200000000001</v>
      </c>
      <c r="F343" t="str" cm="1">
        <f t="array" ref="F343">INDEX({"Pay as you go","Prediction_PACK","Prediction_Payasyougo","Competitor"},MATCH(MIN(A343:D343), A343:D343, 0))</f>
        <v>Pay as you go</v>
      </c>
    </row>
    <row r="344" spans="1:6" x14ac:dyDescent="0.25">
      <c r="A344">
        <v>104.61799999999999</v>
      </c>
      <c r="B344">
        <v>167.88</v>
      </c>
      <c r="C344">
        <v>179.88</v>
      </c>
      <c r="D344">
        <v>179.88</v>
      </c>
      <c r="E344">
        <f t="shared" si="5"/>
        <v>104.61799999999999</v>
      </c>
      <c r="F344" t="str" cm="1">
        <f t="array" ref="F344">INDEX({"Pay as you go","Prediction_PACK","Prediction_Payasyougo","Competitor"},MATCH(MIN(A344:D344), A344:D344, 0))</f>
        <v>Pay as you go</v>
      </c>
    </row>
    <row r="345" spans="1:6" x14ac:dyDescent="0.25">
      <c r="A345">
        <v>119.325</v>
      </c>
      <c r="B345">
        <v>167.88</v>
      </c>
      <c r="C345">
        <v>179.88</v>
      </c>
      <c r="D345">
        <v>179.88</v>
      </c>
      <c r="E345">
        <f t="shared" si="5"/>
        <v>119.325</v>
      </c>
      <c r="F345" t="str" cm="1">
        <f t="array" ref="F345">INDEX({"Pay as you go","Prediction_PACK","Prediction_Payasyougo","Competitor"},MATCH(MIN(A345:D345), A345:D345, 0))</f>
        <v>Pay as you go</v>
      </c>
    </row>
    <row r="346" spans="1:6" x14ac:dyDescent="0.25">
      <c r="A346">
        <v>138.98400000000001</v>
      </c>
      <c r="B346">
        <v>177.88</v>
      </c>
      <c r="C346">
        <v>179.88</v>
      </c>
      <c r="D346">
        <v>189.88</v>
      </c>
      <c r="E346">
        <f t="shared" si="5"/>
        <v>138.98400000000001</v>
      </c>
      <c r="F346" t="str" cm="1">
        <f t="array" ref="F346">INDEX({"Pay as you go","Prediction_PACK","Prediction_Payasyougo","Competitor"},MATCH(MIN(A346:D346), A346:D346, 0))</f>
        <v>Pay as you go</v>
      </c>
    </row>
    <row r="347" spans="1:6" x14ac:dyDescent="0.25">
      <c r="A347">
        <v>124.666</v>
      </c>
      <c r="B347">
        <v>175.88</v>
      </c>
      <c r="C347">
        <v>179.88</v>
      </c>
      <c r="D347">
        <v>189.88</v>
      </c>
      <c r="E347">
        <f t="shared" si="5"/>
        <v>124.666</v>
      </c>
      <c r="F347" t="str" cm="1">
        <f t="array" ref="F347">INDEX({"Pay as you go","Prediction_PACK","Prediction_Payasyougo","Competitor"},MATCH(MIN(A347:D347), A347:D347, 0))</f>
        <v>Pay as you go</v>
      </c>
    </row>
    <row r="348" spans="1:6" x14ac:dyDescent="0.25">
      <c r="A348">
        <v>202.45599999999999</v>
      </c>
      <c r="B348">
        <v>187.88</v>
      </c>
      <c r="C348">
        <v>179.88</v>
      </c>
      <c r="D348">
        <v>199.88</v>
      </c>
      <c r="E348">
        <f t="shared" si="5"/>
        <v>179.88</v>
      </c>
      <c r="F348" t="str" cm="1">
        <f t="array" ref="F348">INDEX({"Pay as you go","Prediction_PACK","Prediction_Payasyougo","Competitor"},MATCH(MIN(A348:D348), A348:D348, 0))</f>
        <v>Prediction_Payasyougo</v>
      </c>
    </row>
    <row r="349" spans="1:6" x14ac:dyDescent="0.25">
      <c r="A349">
        <v>105.95099999999999</v>
      </c>
      <c r="B349">
        <v>167.88</v>
      </c>
      <c r="C349">
        <v>179.88</v>
      </c>
      <c r="D349">
        <v>179.88</v>
      </c>
      <c r="E349">
        <f t="shared" si="5"/>
        <v>105.95099999999999</v>
      </c>
      <c r="F349" t="str" cm="1">
        <f t="array" ref="F349">INDEX({"Pay as you go","Prediction_PACK","Prediction_Payasyougo","Competitor"},MATCH(MIN(A349:D349), A349:D349, 0))</f>
        <v>Pay as you go</v>
      </c>
    </row>
    <row r="350" spans="1:6" x14ac:dyDescent="0.25">
      <c r="A350">
        <v>106.262</v>
      </c>
      <c r="B350">
        <v>167.88</v>
      </c>
      <c r="C350">
        <v>179.88</v>
      </c>
      <c r="D350">
        <v>179.88</v>
      </c>
      <c r="E350">
        <f t="shared" si="5"/>
        <v>106.262</v>
      </c>
      <c r="F350" t="str" cm="1">
        <f t="array" ref="F350">INDEX({"Pay as you go","Prediction_PACK","Prediction_Payasyougo","Competitor"},MATCH(MIN(A350:D350), A350:D350, 0))</f>
        <v>Pay as you go</v>
      </c>
    </row>
    <row r="351" spans="1:6" x14ac:dyDescent="0.25">
      <c r="A351">
        <v>161.68200000000002</v>
      </c>
      <c r="B351">
        <v>175.88</v>
      </c>
      <c r="C351">
        <v>179.88</v>
      </c>
      <c r="D351">
        <v>189.88</v>
      </c>
      <c r="E351">
        <f t="shared" si="5"/>
        <v>161.68200000000002</v>
      </c>
      <c r="F351" t="str" cm="1">
        <f t="array" ref="F351">INDEX({"Pay as you go","Prediction_PACK","Prediction_Payasyougo","Competitor"},MATCH(MIN(A351:D351), A351:D351, 0))</f>
        <v>Pay as you go</v>
      </c>
    </row>
    <row r="352" spans="1:6" x14ac:dyDescent="0.25">
      <c r="A352">
        <v>96.748999999999995</v>
      </c>
      <c r="B352">
        <v>167.88</v>
      </c>
      <c r="C352">
        <v>179.88</v>
      </c>
      <c r="D352">
        <v>179.88</v>
      </c>
      <c r="E352">
        <f t="shared" si="5"/>
        <v>96.748999999999995</v>
      </c>
      <c r="F352" t="str" cm="1">
        <f t="array" ref="F352">INDEX({"Pay as you go","Prediction_PACK","Prediction_Payasyougo","Competitor"},MATCH(MIN(A352:D352), A352:D352, 0))</f>
        <v>Pay as you go</v>
      </c>
    </row>
    <row r="353" spans="1:6" x14ac:dyDescent="0.25">
      <c r="A353">
        <v>153.69200000000001</v>
      </c>
      <c r="B353">
        <v>182.88</v>
      </c>
      <c r="C353">
        <v>187.19801406996541</v>
      </c>
      <c r="D353">
        <v>194.88</v>
      </c>
      <c r="E353">
        <f t="shared" si="5"/>
        <v>153.69200000000001</v>
      </c>
      <c r="F353" t="str" cm="1">
        <f t="array" ref="F353">INDEX({"Pay as you go","Prediction_PACK","Prediction_Payasyougo","Competitor"},MATCH(MIN(A353:D353), A353:D353, 0))</f>
        <v>Pay as you go</v>
      </c>
    </row>
    <row r="354" spans="1:6" x14ac:dyDescent="0.25">
      <c r="A354">
        <v>104.012</v>
      </c>
      <c r="B354">
        <v>182.88</v>
      </c>
      <c r="C354">
        <v>183.51920331215609</v>
      </c>
      <c r="D354">
        <v>194.88</v>
      </c>
      <c r="E354">
        <f t="shared" si="5"/>
        <v>104.012</v>
      </c>
      <c r="F354" t="str" cm="1">
        <f t="array" ref="F354">INDEX({"Pay as you go","Prediction_PACK","Prediction_Payasyougo","Competitor"},MATCH(MIN(A354:D354), A354:D354, 0))</f>
        <v>Pay as you go</v>
      </c>
    </row>
    <row r="355" spans="1:6" x14ac:dyDescent="0.25">
      <c r="A355">
        <v>136.489</v>
      </c>
      <c r="B355">
        <v>175.88</v>
      </c>
      <c r="C355">
        <v>179.88</v>
      </c>
      <c r="D355">
        <v>189.88</v>
      </c>
      <c r="E355">
        <f t="shared" si="5"/>
        <v>136.489</v>
      </c>
      <c r="F355" t="str" cm="1">
        <f t="array" ref="F355">INDEX({"Pay as you go","Prediction_PACK","Prediction_Payasyougo","Competitor"},MATCH(MIN(A355:D355), A355:D355, 0))</f>
        <v>Pay as you go</v>
      </c>
    </row>
    <row r="356" spans="1:6" x14ac:dyDescent="0.25">
      <c r="A356">
        <v>113.28700000000001</v>
      </c>
      <c r="B356">
        <v>167.88</v>
      </c>
      <c r="C356">
        <v>179.88</v>
      </c>
      <c r="D356">
        <v>179.88</v>
      </c>
      <c r="E356">
        <f t="shared" si="5"/>
        <v>113.28700000000001</v>
      </c>
      <c r="F356" t="str" cm="1">
        <f t="array" ref="F356">INDEX({"Pay as you go","Prediction_PACK","Prediction_Payasyougo","Competitor"},MATCH(MIN(A356:D356), A356:D356, 0))</f>
        <v>Pay as you go</v>
      </c>
    </row>
    <row r="357" spans="1:6" x14ac:dyDescent="0.25">
      <c r="A357">
        <v>115.214</v>
      </c>
      <c r="B357">
        <v>167.88</v>
      </c>
      <c r="C357">
        <v>179.88</v>
      </c>
      <c r="D357">
        <v>179.88</v>
      </c>
      <c r="E357">
        <f t="shared" si="5"/>
        <v>115.214</v>
      </c>
      <c r="F357" t="str" cm="1">
        <f t="array" ref="F357">INDEX({"Pay as you go","Prediction_PACK","Prediction_Payasyougo","Competitor"},MATCH(MIN(A357:D357), A357:D357, 0))</f>
        <v>Pay as you go</v>
      </c>
    </row>
    <row r="358" spans="1:6" x14ac:dyDescent="0.25">
      <c r="A358">
        <v>169.65800000000002</v>
      </c>
      <c r="B358">
        <v>182.88</v>
      </c>
      <c r="C358">
        <v>183.9035434710585</v>
      </c>
      <c r="D358">
        <v>194.88</v>
      </c>
      <c r="E358">
        <f t="shared" si="5"/>
        <v>169.65800000000002</v>
      </c>
      <c r="F358" t="str" cm="1">
        <f t="array" ref="F358">INDEX({"Pay as you go","Prediction_PACK","Prediction_Payasyougo","Competitor"},MATCH(MIN(A358:D358), A358:D358, 0))</f>
        <v>Pay as you go</v>
      </c>
    </row>
    <row r="359" spans="1:6" x14ac:dyDescent="0.25">
      <c r="A359">
        <v>150.24</v>
      </c>
      <c r="B359">
        <v>171.88</v>
      </c>
      <c r="C359">
        <v>179.88</v>
      </c>
      <c r="D359">
        <v>184.88</v>
      </c>
      <c r="E359">
        <f t="shared" si="5"/>
        <v>150.24</v>
      </c>
      <c r="F359" t="str" cm="1">
        <f t="array" ref="F359">INDEX({"Pay as you go","Prediction_PACK","Prediction_Payasyougo","Competitor"},MATCH(MIN(A359:D359), A359:D359, 0))</f>
        <v>Pay as you go</v>
      </c>
    </row>
    <row r="360" spans="1:6" x14ac:dyDescent="0.25">
      <c r="A360">
        <v>128.815</v>
      </c>
      <c r="B360">
        <v>171.88</v>
      </c>
      <c r="C360">
        <v>179.88</v>
      </c>
      <c r="D360">
        <v>184.88</v>
      </c>
      <c r="E360">
        <f t="shared" si="5"/>
        <v>128.815</v>
      </c>
      <c r="F360" t="str" cm="1">
        <f t="array" ref="F360">INDEX({"Pay as you go","Prediction_PACK","Prediction_Payasyougo","Competitor"},MATCH(MIN(A360:D360), A360:D360, 0))</f>
        <v>Pay as you go</v>
      </c>
    </row>
    <row r="361" spans="1:6" x14ac:dyDescent="0.25">
      <c r="A361">
        <v>175.94800000000001</v>
      </c>
      <c r="B361">
        <v>175.88</v>
      </c>
      <c r="C361">
        <v>179.88</v>
      </c>
      <c r="D361">
        <v>189.88</v>
      </c>
      <c r="E361">
        <f t="shared" si="5"/>
        <v>175.88</v>
      </c>
      <c r="F361" t="str" cm="1">
        <f t="array" ref="F361">INDEX({"Pay as you go","Prediction_PACK","Prediction_Payasyougo","Competitor"},MATCH(MIN(A361:D361), A361:D361, 0))</f>
        <v>Prediction_PACK</v>
      </c>
    </row>
    <row r="362" spans="1:6" x14ac:dyDescent="0.25">
      <c r="A362">
        <v>211.71799999999999</v>
      </c>
      <c r="B362">
        <v>212.88</v>
      </c>
      <c r="C362">
        <v>208.1153626754961</v>
      </c>
      <c r="D362">
        <v>224.88</v>
      </c>
      <c r="E362">
        <f t="shared" si="5"/>
        <v>208.1153626754961</v>
      </c>
      <c r="F362" t="str" cm="1">
        <f t="array" ref="F362">INDEX({"Pay as you go","Prediction_PACK","Prediction_Payasyougo","Competitor"},MATCH(MIN(A362:D362), A362:D362, 0))</f>
        <v>Prediction_Payasyougo</v>
      </c>
    </row>
    <row r="363" spans="1:6" x14ac:dyDescent="0.25">
      <c r="A363">
        <v>105.38</v>
      </c>
      <c r="B363">
        <v>167.88</v>
      </c>
      <c r="C363">
        <v>179.88</v>
      </c>
      <c r="D363">
        <v>179.88</v>
      </c>
      <c r="E363">
        <f t="shared" si="5"/>
        <v>105.38</v>
      </c>
      <c r="F363" t="str" cm="1">
        <f t="array" ref="F363">INDEX({"Pay as you go","Prediction_PACK","Prediction_Payasyougo","Competitor"},MATCH(MIN(A363:D363), A363:D363, 0))</f>
        <v>Pay as you go</v>
      </c>
    </row>
    <row r="364" spans="1:6" x14ac:dyDescent="0.25">
      <c r="A364">
        <v>180.87300000000002</v>
      </c>
      <c r="B364">
        <v>195.88</v>
      </c>
      <c r="C364">
        <v>180.6509073655107</v>
      </c>
      <c r="D364">
        <v>209.88</v>
      </c>
      <c r="E364">
        <f t="shared" si="5"/>
        <v>180.6509073655107</v>
      </c>
      <c r="F364" t="str" cm="1">
        <f t="array" ref="F364">INDEX({"Pay as you go","Prediction_PACK","Prediction_Payasyougo","Competitor"},MATCH(MIN(A364:D364), A364:D364, 0))</f>
        <v>Prediction_Payasyougo</v>
      </c>
    </row>
    <row r="365" spans="1:6" x14ac:dyDescent="0.25">
      <c r="A365">
        <v>81.64</v>
      </c>
      <c r="B365">
        <v>167.88</v>
      </c>
      <c r="C365">
        <v>179.88</v>
      </c>
      <c r="D365">
        <v>179.88</v>
      </c>
      <c r="E365">
        <f t="shared" si="5"/>
        <v>81.64</v>
      </c>
      <c r="F365" t="str" cm="1">
        <f t="array" ref="F365">INDEX({"Pay as you go","Prediction_PACK","Prediction_Payasyougo","Competitor"},MATCH(MIN(A365:D365), A365:D365, 0))</f>
        <v>Pay as you go</v>
      </c>
    </row>
    <row r="366" spans="1:6" x14ac:dyDescent="0.25">
      <c r="A366">
        <v>102.959</v>
      </c>
      <c r="B366">
        <v>167.88</v>
      </c>
      <c r="C366">
        <v>179.88</v>
      </c>
      <c r="D366">
        <v>179.88</v>
      </c>
      <c r="E366">
        <f t="shared" si="5"/>
        <v>102.959</v>
      </c>
      <c r="F366" t="str" cm="1">
        <f t="array" ref="F366">INDEX({"Pay as you go","Prediction_PACK","Prediction_Payasyougo","Competitor"},MATCH(MIN(A366:D366), A366:D366, 0))</f>
        <v>Pay as you go</v>
      </c>
    </row>
    <row r="367" spans="1:6" x14ac:dyDescent="0.25">
      <c r="A367">
        <v>142.09</v>
      </c>
      <c r="B367">
        <v>167.88</v>
      </c>
      <c r="C367">
        <v>179.88</v>
      </c>
      <c r="D367">
        <v>179.88</v>
      </c>
      <c r="E367">
        <f t="shared" si="5"/>
        <v>142.09</v>
      </c>
      <c r="F367" t="str" cm="1">
        <f t="array" ref="F367">INDEX({"Pay as you go","Prediction_PACK","Prediction_Payasyougo","Competitor"},MATCH(MIN(A367:D367), A367:D367, 0))</f>
        <v>Pay as you go</v>
      </c>
    </row>
    <row r="368" spans="1:6" x14ac:dyDescent="0.25">
      <c r="A368">
        <v>134.887</v>
      </c>
      <c r="B368">
        <v>167.88</v>
      </c>
      <c r="C368">
        <v>179.88</v>
      </c>
      <c r="D368">
        <v>179.88</v>
      </c>
      <c r="E368">
        <f t="shared" si="5"/>
        <v>134.887</v>
      </c>
      <c r="F368" t="str" cm="1">
        <f t="array" ref="F368">INDEX({"Pay as you go","Prediction_PACK","Prediction_Payasyougo","Competitor"},MATCH(MIN(A368:D368), A368:D368, 0))</f>
        <v>Pay as you go</v>
      </c>
    </row>
    <row r="369" spans="1:6" x14ac:dyDescent="0.25">
      <c r="A369">
        <v>103.63200000000001</v>
      </c>
      <c r="B369">
        <v>175.88</v>
      </c>
      <c r="C369">
        <v>179.88</v>
      </c>
      <c r="D369">
        <v>189.88</v>
      </c>
      <c r="E369">
        <f t="shared" si="5"/>
        <v>103.63200000000001</v>
      </c>
      <c r="F369" t="str" cm="1">
        <f t="array" ref="F369">INDEX({"Pay as you go","Prediction_PACK","Prediction_Payasyougo","Competitor"},MATCH(MIN(A369:D369), A369:D369, 0))</f>
        <v>Pay as you go</v>
      </c>
    </row>
    <row r="370" spans="1:6" x14ac:dyDescent="0.25">
      <c r="A370">
        <v>123.16300000000001</v>
      </c>
      <c r="B370">
        <v>177.88</v>
      </c>
      <c r="C370">
        <v>179.88</v>
      </c>
      <c r="D370">
        <v>189.88</v>
      </c>
      <c r="E370">
        <f t="shared" si="5"/>
        <v>123.16300000000001</v>
      </c>
      <c r="F370" t="str" cm="1">
        <f t="array" ref="F370">INDEX({"Pay as you go","Prediction_PACK","Prediction_Payasyougo","Competitor"},MATCH(MIN(A370:D370), A370:D370, 0))</f>
        <v>Pay as you go</v>
      </c>
    </row>
    <row r="371" spans="1:6" x14ac:dyDescent="0.25">
      <c r="A371">
        <v>137.00799999999998</v>
      </c>
      <c r="B371">
        <v>177.88</v>
      </c>
      <c r="C371">
        <v>179.88</v>
      </c>
      <c r="D371">
        <v>189.88</v>
      </c>
      <c r="E371">
        <f t="shared" si="5"/>
        <v>137.00799999999998</v>
      </c>
      <c r="F371" t="str" cm="1">
        <f t="array" ref="F371">INDEX({"Pay as you go","Prediction_PACK","Prediction_Payasyougo","Competitor"},MATCH(MIN(A371:D371), A371:D371, 0))</f>
        <v>Pay as you go</v>
      </c>
    </row>
    <row r="372" spans="1:6" x14ac:dyDescent="0.25">
      <c r="A372">
        <v>101.98599999999999</v>
      </c>
      <c r="B372">
        <v>182.88</v>
      </c>
      <c r="C372">
        <v>182.04574955261668</v>
      </c>
      <c r="D372">
        <v>194.88</v>
      </c>
      <c r="E372">
        <f t="shared" si="5"/>
        <v>101.98599999999999</v>
      </c>
      <c r="F372" t="str" cm="1">
        <f t="array" ref="F372">INDEX({"Pay as you go","Prediction_PACK","Prediction_Payasyougo","Competitor"},MATCH(MIN(A372:D372), A372:D372, 0))</f>
        <v>Pay as you go</v>
      </c>
    </row>
    <row r="373" spans="1:6" x14ac:dyDescent="0.25">
      <c r="A373">
        <v>112.41300000000001</v>
      </c>
      <c r="B373">
        <v>167.88</v>
      </c>
      <c r="C373">
        <v>179.88</v>
      </c>
      <c r="D373">
        <v>179.88</v>
      </c>
      <c r="E373">
        <f t="shared" si="5"/>
        <v>112.41300000000001</v>
      </c>
      <c r="F373" t="str" cm="1">
        <f t="array" ref="F373">INDEX({"Pay as you go","Prediction_PACK","Prediction_Payasyougo","Competitor"},MATCH(MIN(A373:D373), A373:D373, 0))</f>
        <v>Pay as you go</v>
      </c>
    </row>
    <row r="374" spans="1:6" x14ac:dyDescent="0.25">
      <c r="A374">
        <v>124.459</v>
      </c>
      <c r="B374">
        <v>167.88</v>
      </c>
      <c r="C374">
        <v>179.88</v>
      </c>
      <c r="D374">
        <v>179.88</v>
      </c>
      <c r="E374">
        <f t="shared" si="5"/>
        <v>124.459</v>
      </c>
      <c r="F374" t="str" cm="1">
        <f t="array" ref="F374">INDEX({"Pay as you go","Prediction_PACK","Prediction_Payasyougo","Competitor"},MATCH(MIN(A374:D374), A374:D374, 0))</f>
        <v>Pay as you go</v>
      </c>
    </row>
    <row r="375" spans="1:6" x14ac:dyDescent="0.25">
      <c r="A375">
        <v>148.149</v>
      </c>
      <c r="B375">
        <v>171.88</v>
      </c>
      <c r="C375">
        <v>179.88</v>
      </c>
      <c r="D375">
        <v>184.88</v>
      </c>
      <c r="E375">
        <f t="shared" si="5"/>
        <v>148.149</v>
      </c>
      <c r="F375" t="str" cm="1">
        <f t="array" ref="F375">INDEX({"Pay as you go","Prediction_PACK","Prediction_Payasyougo","Competitor"},MATCH(MIN(A375:D375), A375:D375, 0))</f>
        <v>Pay as you go</v>
      </c>
    </row>
    <row r="376" spans="1:6" x14ac:dyDescent="0.25">
      <c r="A376">
        <v>78.209999999999994</v>
      </c>
      <c r="B376">
        <v>167.88</v>
      </c>
      <c r="C376">
        <v>179.88</v>
      </c>
      <c r="D376">
        <v>179.88</v>
      </c>
      <c r="E376">
        <f t="shared" si="5"/>
        <v>78.209999999999994</v>
      </c>
      <c r="F376" t="str" cm="1">
        <f t="array" ref="F376">INDEX({"Pay as you go","Prediction_PACK","Prediction_Payasyougo","Competitor"},MATCH(MIN(A376:D376), A376:D376, 0))</f>
        <v>Pay as you go</v>
      </c>
    </row>
    <row r="377" spans="1:6" x14ac:dyDescent="0.25">
      <c r="A377">
        <v>152.161</v>
      </c>
      <c r="B377">
        <v>177.88</v>
      </c>
      <c r="C377">
        <v>179.88</v>
      </c>
      <c r="D377">
        <v>189.88</v>
      </c>
      <c r="E377">
        <f t="shared" si="5"/>
        <v>152.161</v>
      </c>
      <c r="F377" t="str" cm="1">
        <f t="array" ref="F377">INDEX({"Pay as you go","Prediction_PACK","Prediction_Payasyougo","Competitor"},MATCH(MIN(A377:D377), A377:D377, 0))</f>
        <v>Pay as you go</v>
      </c>
    </row>
    <row r="378" spans="1:6" x14ac:dyDescent="0.25">
      <c r="A378">
        <v>212.934</v>
      </c>
      <c r="B378">
        <v>197.88</v>
      </c>
      <c r="C378">
        <v>193.0060911370218</v>
      </c>
      <c r="D378">
        <v>209.88</v>
      </c>
      <c r="E378">
        <f t="shared" si="5"/>
        <v>193.0060911370218</v>
      </c>
      <c r="F378" t="str" cm="1">
        <f t="array" ref="F378">INDEX({"Pay as you go","Prediction_PACK","Prediction_Payasyougo","Competitor"},MATCH(MIN(A378:D378), A378:D378, 0))</f>
        <v>Prediction_Payasyougo</v>
      </c>
    </row>
    <row r="379" spans="1:6" x14ac:dyDescent="0.25">
      <c r="A379">
        <v>132.471</v>
      </c>
      <c r="B379">
        <v>171.88</v>
      </c>
      <c r="C379">
        <v>179.88</v>
      </c>
      <c r="D379">
        <v>184.88</v>
      </c>
      <c r="E379">
        <f t="shared" si="5"/>
        <v>132.471</v>
      </c>
      <c r="F379" t="str" cm="1">
        <f t="array" ref="F379">INDEX({"Pay as you go","Prediction_PACK","Prediction_Payasyougo","Competitor"},MATCH(MIN(A379:D379), A379:D379, 0))</f>
        <v>Pay as you go</v>
      </c>
    </row>
    <row r="380" spans="1:6" x14ac:dyDescent="0.25">
      <c r="A380">
        <v>91.795000000000002</v>
      </c>
      <c r="B380">
        <v>167.88</v>
      </c>
      <c r="C380">
        <v>179.88</v>
      </c>
      <c r="D380">
        <v>179.88</v>
      </c>
      <c r="E380">
        <f t="shared" si="5"/>
        <v>91.795000000000002</v>
      </c>
      <c r="F380" t="str" cm="1">
        <f t="array" ref="F380">INDEX({"Pay as you go","Prediction_PACK","Prediction_Payasyougo","Competitor"},MATCH(MIN(A380:D380), A380:D380, 0))</f>
        <v>Pay as you go</v>
      </c>
    </row>
    <row r="381" spans="1:6" x14ac:dyDescent="0.25">
      <c r="A381">
        <v>129.96100000000001</v>
      </c>
      <c r="B381">
        <v>171.88</v>
      </c>
      <c r="C381">
        <v>179.88</v>
      </c>
      <c r="D381">
        <v>184.88</v>
      </c>
      <c r="E381">
        <f t="shared" si="5"/>
        <v>129.96100000000001</v>
      </c>
      <c r="F381" t="str" cm="1">
        <f t="array" ref="F381">INDEX({"Pay as you go","Prediction_PACK","Prediction_Payasyougo","Competitor"},MATCH(MIN(A381:D381), A381:D381, 0))</f>
        <v>Pay as you go</v>
      </c>
    </row>
    <row r="382" spans="1:6" x14ac:dyDescent="0.25">
      <c r="A382">
        <v>145.50200000000001</v>
      </c>
      <c r="B382">
        <v>167.88</v>
      </c>
      <c r="C382">
        <v>179.88</v>
      </c>
      <c r="D382">
        <v>179.88</v>
      </c>
      <c r="E382">
        <f t="shared" si="5"/>
        <v>145.50200000000001</v>
      </c>
      <c r="F382" t="str" cm="1">
        <f t="array" ref="F382">INDEX({"Pay as you go","Prediction_PACK","Prediction_Payasyougo","Competitor"},MATCH(MIN(A382:D382), A382:D382, 0))</f>
        <v>Pay as you go</v>
      </c>
    </row>
    <row r="383" spans="1:6" x14ac:dyDescent="0.25">
      <c r="A383">
        <v>164.31200000000001</v>
      </c>
      <c r="B383">
        <v>171.88</v>
      </c>
      <c r="C383">
        <v>179.88</v>
      </c>
      <c r="D383">
        <v>184.88</v>
      </c>
      <c r="E383">
        <f t="shared" si="5"/>
        <v>164.31200000000001</v>
      </c>
      <c r="F383" t="str" cm="1">
        <f t="array" ref="F383">INDEX({"Pay as you go","Prediction_PACK","Prediction_Payasyougo","Competitor"},MATCH(MIN(A383:D383), A383:D383, 0))</f>
        <v>Pay as you go</v>
      </c>
    </row>
    <row r="384" spans="1:6" x14ac:dyDescent="0.25">
      <c r="A384">
        <v>133.095</v>
      </c>
      <c r="B384">
        <v>167.88</v>
      </c>
      <c r="C384">
        <v>179.88</v>
      </c>
      <c r="D384">
        <v>179.88</v>
      </c>
      <c r="E384">
        <f t="shared" si="5"/>
        <v>133.095</v>
      </c>
      <c r="F384" t="str" cm="1">
        <f t="array" ref="F384">INDEX({"Pay as you go","Prediction_PACK","Prediction_Payasyougo","Competitor"},MATCH(MIN(A384:D384), A384:D384, 0))</f>
        <v>Pay as you go</v>
      </c>
    </row>
    <row r="385" spans="1:6" x14ac:dyDescent="0.25">
      <c r="A385">
        <v>209.101</v>
      </c>
      <c r="B385">
        <v>179.88</v>
      </c>
      <c r="C385">
        <v>179.88</v>
      </c>
      <c r="D385">
        <v>194.88</v>
      </c>
      <c r="E385">
        <f t="shared" si="5"/>
        <v>179.88</v>
      </c>
      <c r="F385" t="str" cm="1">
        <f t="array" ref="F385">INDEX({"Pay as you go","Prediction_PACK","Prediction_Payasyougo","Competitor"},MATCH(MIN(A385:D385), A385:D385, 0))</f>
        <v>Prediction_PACK</v>
      </c>
    </row>
    <row r="386" spans="1:6" x14ac:dyDescent="0.25">
      <c r="A386">
        <v>174.434</v>
      </c>
      <c r="B386">
        <v>187.88</v>
      </c>
      <c r="C386">
        <v>179.88</v>
      </c>
      <c r="D386">
        <v>199.88</v>
      </c>
      <c r="E386">
        <f t="shared" si="5"/>
        <v>174.434</v>
      </c>
      <c r="F386" t="str" cm="1">
        <f t="array" ref="F386">INDEX({"Pay as you go","Prediction_PACK","Prediction_Payasyougo","Competitor"},MATCH(MIN(A386:D386), A386:D386, 0))</f>
        <v>Pay as you go</v>
      </c>
    </row>
    <row r="387" spans="1:6" x14ac:dyDescent="0.25">
      <c r="A387">
        <v>143.12700000000001</v>
      </c>
      <c r="B387">
        <v>167.88</v>
      </c>
      <c r="C387">
        <v>179.88</v>
      </c>
      <c r="D387">
        <v>179.88</v>
      </c>
      <c r="E387">
        <f t="shared" si="5"/>
        <v>143.12700000000001</v>
      </c>
      <c r="F387" t="str" cm="1">
        <f t="array" ref="F387">INDEX({"Pay as you go","Prediction_PACK","Prediction_Payasyougo","Competitor"},MATCH(MIN(A387:D387), A387:D387, 0))</f>
        <v>Pay as you go</v>
      </c>
    </row>
    <row r="388" spans="1:6" x14ac:dyDescent="0.25">
      <c r="A388">
        <v>233.46299999999999</v>
      </c>
      <c r="B388">
        <v>217.88</v>
      </c>
      <c r="C388">
        <v>192.75892458647459</v>
      </c>
      <c r="D388">
        <v>229.88</v>
      </c>
      <c r="E388">
        <f t="shared" si="5"/>
        <v>192.75892458647459</v>
      </c>
      <c r="F388" t="str" cm="1">
        <f t="array" ref="F388">INDEX({"Pay as you go","Prediction_PACK","Prediction_Payasyougo","Competitor"},MATCH(MIN(A388:D388), A388:D388, 0))</f>
        <v>Prediction_Payasyougo</v>
      </c>
    </row>
    <row r="389" spans="1:6" x14ac:dyDescent="0.25">
      <c r="A389">
        <v>234.75500000000002</v>
      </c>
      <c r="B389">
        <v>207.88</v>
      </c>
      <c r="C389">
        <v>188.38571141247269</v>
      </c>
      <c r="D389">
        <v>219.88</v>
      </c>
      <c r="E389">
        <f t="shared" si="5"/>
        <v>188.38571141247269</v>
      </c>
      <c r="F389" t="str" cm="1">
        <f t="array" ref="F389">INDEX({"Pay as you go","Prediction_PACK","Prediction_Payasyougo","Competitor"},MATCH(MIN(A389:D389), A389:D389, 0))</f>
        <v>Prediction_Payasyougo</v>
      </c>
    </row>
    <row r="390" spans="1:6" x14ac:dyDescent="0.25">
      <c r="A390">
        <v>128.29300000000001</v>
      </c>
      <c r="B390">
        <v>167.88</v>
      </c>
      <c r="C390">
        <v>179.88</v>
      </c>
      <c r="D390">
        <v>179.88</v>
      </c>
      <c r="E390">
        <f t="shared" si="5"/>
        <v>128.29300000000001</v>
      </c>
      <c r="F390" t="str" cm="1">
        <f t="array" ref="F390">INDEX({"Pay as you go","Prediction_PACK","Prediction_Payasyougo","Competitor"},MATCH(MIN(A390:D390), A390:D390, 0))</f>
        <v>Pay as you go</v>
      </c>
    </row>
    <row r="391" spans="1:6" x14ac:dyDescent="0.25">
      <c r="A391">
        <v>79.203999999999994</v>
      </c>
      <c r="B391">
        <v>167.88</v>
      </c>
      <c r="C391">
        <v>179.88</v>
      </c>
      <c r="D391">
        <v>179.88</v>
      </c>
      <c r="E391">
        <f t="shared" si="5"/>
        <v>79.203999999999994</v>
      </c>
      <c r="F391" t="str" cm="1">
        <f t="array" ref="F391">INDEX({"Pay as you go","Prediction_PACK","Prediction_Payasyougo","Competitor"},MATCH(MIN(A391:D391), A391:D391, 0))</f>
        <v>Pay as you go</v>
      </c>
    </row>
    <row r="392" spans="1:6" x14ac:dyDescent="0.25">
      <c r="A392">
        <v>127.08199999999999</v>
      </c>
      <c r="B392">
        <v>167.88</v>
      </c>
      <c r="C392">
        <v>179.88</v>
      </c>
      <c r="D392">
        <v>179.88</v>
      </c>
      <c r="E392">
        <f t="shared" ref="E392:E455" si="6">MIN(A392:D392)</f>
        <v>127.08199999999999</v>
      </c>
      <c r="F392" t="str" cm="1">
        <f t="array" ref="F392">INDEX({"Pay as you go","Prediction_PACK","Prediction_Payasyougo","Competitor"},MATCH(MIN(A392:D392), A392:D392, 0))</f>
        <v>Pay as you go</v>
      </c>
    </row>
    <row r="393" spans="1:6" x14ac:dyDescent="0.25">
      <c r="A393">
        <v>73.226000000000013</v>
      </c>
      <c r="B393">
        <v>167.88</v>
      </c>
      <c r="C393">
        <v>179.88</v>
      </c>
      <c r="D393">
        <v>179.88</v>
      </c>
      <c r="E393">
        <f t="shared" si="6"/>
        <v>73.226000000000013</v>
      </c>
      <c r="F393" t="str" cm="1">
        <f t="array" ref="F393">INDEX({"Pay as you go","Prediction_PACK","Prediction_Payasyougo","Competitor"},MATCH(MIN(A393:D393), A393:D393, 0))</f>
        <v>Pay as you go</v>
      </c>
    </row>
    <row r="394" spans="1:6" x14ac:dyDescent="0.25">
      <c r="A394">
        <v>100.358</v>
      </c>
      <c r="B394">
        <v>167.88</v>
      </c>
      <c r="C394">
        <v>179.88</v>
      </c>
      <c r="D394">
        <v>179.88</v>
      </c>
      <c r="E394">
        <f t="shared" si="6"/>
        <v>100.358</v>
      </c>
      <c r="F394" t="str" cm="1">
        <f t="array" ref="F394">INDEX({"Pay as you go","Prediction_PACK","Prediction_Payasyougo","Competitor"},MATCH(MIN(A394:D394), A394:D394, 0))</f>
        <v>Pay as you go</v>
      </c>
    </row>
    <row r="395" spans="1:6" x14ac:dyDescent="0.25">
      <c r="A395">
        <v>198.71700000000001</v>
      </c>
      <c r="B395">
        <v>179.88</v>
      </c>
      <c r="C395">
        <v>179.88</v>
      </c>
      <c r="D395">
        <v>194.88</v>
      </c>
      <c r="E395">
        <f t="shared" si="6"/>
        <v>179.88</v>
      </c>
      <c r="F395" t="str" cm="1">
        <f t="array" ref="F395">INDEX({"Pay as you go","Prediction_PACK","Prediction_Payasyougo","Competitor"},MATCH(MIN(A395:D395), A395:D395, 0))</f>
        <v>Prediction_PACK</v>
      </c>
    </row>
    <row r="396" spans="1:6" x14ac:dyDescent="0.25">
      <c r="A396">
        <v>140.012</v>
      </c>
      <c r="B396">
        <v>167.88</v>
      </c>
      <c r="C396">
        <v>179.88</v>
      </c>
      <c r="D396">
        <v>179.88</v>
      </c>
      <c r="E396">
        <f t="shared" si="6"/>
        <v>140.012</v>
      </c>
      <c r="F396" t="str" cm="1">
        <f t="array" ref="F396">INDEX({"Pay as you go","Prediction_PACK","Prediction_Payasyougo","Competitor"},MATCH(MIN(A396:D396), A396:D396, 0))</f>
        <v>Pay as you go</v>
      </c>
    </row>
    <row r="397" spans="1:6" x14ac:dyDescent="0.25">
      <c r="A397">
        <v>91.161999999999992</v>
      </c>
      <c r="B397">
        <v>167.88</v>
      </c>
      <c r="C397">
        <v>179.88</v>
      </c>
      <c r="D397">
        <v>179.88</v>
      </c>
      <c r="E397">
        <f t="shared" si="6"/>
        <v>91.161999999999992</v>
      </c>
      <c r="F397" t="str" cm="1">
        <f t="array" ref="F397">INDEX({"Pay as you go","Prediction_PACK","Prediction_Payasyougo","Competitor"},MATCH(MIN(A397:D397), A397:D397, 0))</f>
        <v>Pay as you go</v>
      </c>
    </row>
    <row r="398" spans="1:6" x14ac:dyDescent="0.25">
      <c r="A398">
        <v>141.10500000000002</v>
      </c>
      <c r="B398">
        <v>177.88</v>
      </c>
      <c r="C398">
        <v>179.88</v>
      </c>
      <c r="D398">
        <v>189.88</v>
      </c>
      <c r="E398">
        <f t="shared" si="6"/>
        <v>141.10500000000002</v>
      </c>
      <c r="F398" t="str" cm="1">
        <f t="array" ref="F398">INDEX({"Pay as you go","Prediction_PACK","Prediction_Payasyougo","Competitor"},MATCH(MIN(A398:D398), A398:D398, 0))</f>
        <v>Pay as you go</v>
      </c>
    </row>
    <row r="399" spans="1:6" x14ac:dyDescent="0.25">
      <c r="A399">
        <v>146.57599999999999</v>
      </c>
      <c r="B399">
        <v>177.88</v>
      </c>
      <c r="C399">
        <v>179.88</v>
      </c>
      <c r="D399">
        <v>189.88</v>
      </c>
      <c r="E399">
        <f t="shared" si="6"/>
        <v>146.57599999999999</v>
      </c>
      <c r="F399" t="str" cm="1">
        <f t="array" ref="F399">INDEX({"Pay as you go","Prediction_PACK","Prediction_Payasyougo","Competitor"},MATCH(MIN(A399:D399), A399:D399, 0))</f>
        <v>Pay as you go</v>
      </c>
    </row>
    <row r="400" spans="1:6" x14ac:dyDescent="0.25">
      <c r="A400">
        <v>65.200999999999993</v>
      </c>
      <c r="B400">
        <v>167.88</v>
      </c>
      <c r="C400">
        <v>179.88</v>
      </c>
      <c r="D400">
        <v>179.88</v>
      </c>
      <c r="E400">
        <f t="shared" si="6"/>
        <v>65.200999999999993</v>
      </c>
      <c r="F400" t="str" cm="1">
        <f t="array" ref="F400">INDEX({"Pay as you go","Prediction_PACK","Prediction_Payasyougo","Competitor"},MATCH(MIN(A400:D400), A400:D400, 0))</f>
        <v>Pay as you go</v>
      </c>
    </row>
    <row r="401" spans="1:6" x14ac:dyDescent="0.25">
      <c r="A401">
        <v>189.46300000000002</v>
      </c>
      <c r="B401">
        <v>177.88</v>
      </c>
      <c r="C401">
        <v>179.88</v>
      </c>
      <c r="D401">
        <v>189.88</v>
      </c>
      <c r="E401">
        <f t="shared" si="6"/>
        <v>177.88</v>
      </c>
      <c r="F401" t="str" cm="1">
        <f t="array" ref="F401">INDEX({"Pay as you go","Prediction_PACK","Prediction_Payasyougo","Competitor"},MATCH(MIN(A401:D401), A401:D401, 0))</f>
        <v>Prediction_PACK</v>
      </c>
    </row>
    <row r="402" spans="1:6" x14ac:dyDescent="0.25">
      <c r="A402">
        <v>98.964000000000013</v>
      </c>
      <c r="B402">
        <v>167.88</v>
      </c>
      <c r="C402">
        <v>179.88</v>
      </c>
      <c r="D402">
        <v>179.88</v>
      </c>
      <c r="E402">
        <f t="shared" si="6"/>
        <v>98.964000000000013</v>
      </c>
      <c r="F402" t="str" cm="1">
        <f t="array" ref="F402">INDEX({"Pay as you go","Prediction_PACK","Prediction_Payasyougo","Competitor"},MATCH(MIN(A402:D402), A402:D402, 0))</f>
        <v>Pay as you go</v>
      </c>
    </row>
    <row r="403" spans="1:6" x14ac:dyDescent="0.25">
      <c r="A403">
        <v>211.95100000000002</v>
      </c>
      <c r="B403">
        <v>197.88</v>
      </c>
      <c r="C403">
        <v>212.31416446747889</v>
      </c>
      <c r="D403">
        <v>209.88</v>
      </c>
      <c r="E403">
        <f t="shared" si="6"/>
        <v>197.88</v>
      </c>
      <c r="F403" t="str" cm="1">
        <f t="array" ref="F403">INDEX({"Pay as you go","Prediction_PACK","Prediction_Payasyougo","Competitor"},MATCH(MIN(A403:D403), A403:D403, 0))</f>
        <v>Prediction_PACK</v>
      </c>
    </row>
    <row r="404" spans="1:6" x14ac:dyDescent="0.25">
      <c r="A404">
        <v>108.87700000000001</v>
      </c>
      <c r="B404">
        <v>167.88</v>
      </c>
      <c r="C404">
        <v>179.88</v>
      </c>
      <c r="D404">
        <v>179.88</v>
      </c>
      <c r="E404">
        <f t="shared" si="6"/>
        <v>108.87700000000001</v>
      </c>
      <c r="F404" t="str" cm="1">
        <f t="array" ref="F404">INDEX({"Pay as you go","Prediction_PACK","Prediction_Payasyougo","Competitor"},MATCH(MIN(A404:D404), A404:D404, 0))</f>
        <v>Pay as you go</v>
      </c>
    </row>
    <row r="405" spans="1:6" x14ac:dyDescent="0.25">
      <c r="A405">
        <v>187.774</v>
      </c>
      <c r="B405">
        <v>197.88</v>
      </c>
      <c r="C405">
        <v>185.97838457251109</v>
      </c>
      <c r="D405">
        <v>209.88</v>
      </c>
      <c r="E405">
        <f t="shared" si="6"/>
        <v>185.97838457251109</v>
      </c>
      <c r="F405" t="str" cm="1">
        <f t="array" ref="F405">INDEX({"Pay as you go","Prediction_PACK","Prediction_Payasyougo","Competitor"},MATCH(MIN(A405:D405), A405:D405, 0))</f>
        <v>Prediction_Payasyougo</v>
      </c>
    </row>
    <row r="406" spans="1:6" x14ac:dyDescent="0.25">
      <c r="A406">
        <v>109.33200000000001</v>
      </c>
      <c r="B406">
        <v>167.88</v>
      </c>
      <c r="C406">
        <v>179.88</v>
      </c>
      <c r="D406">
        <v>179.88</v>
      </c>
      <c r="E406">
        <f t="shared" si="6"/>
        <v>109.33200000000001</v>
      </c>
      <c r="F406" t="str" cm="1">
        <f t="array" ref="F406">INDEX({"Pay as you go","Prediction_PACK","Prediction_Payasyougo","Competitor"},MATCH(MIN(A406:D406), A406:D406, 0))</f>
        <v>Pay as you go</v>
      </c>
    </row>
    <row r="407" spans="1:6" x14ac:dyDescent="0.25">
      <c r="A407">
        <v>92.775000000000006</v>
      </c>
      <c r="B407">
        <v>167.88</v>
      </c>
      <c r="C407">
        <v>179.88</v>
      </c>
      <c r="D407">
        <v>179.88</v>
      </c>
      <c r="E407">
        <f t="shared" si="6"/>
        <v>92.775000000000006</v>
      </c>
      <c r="F407" t="str" cm="1">
        <f t="array" ref="F407">INDEX({"Pay as you go","Prediction_PACK","Prediction_Payasyougo","Competitor"},MATCH(MIN(A407:D407), A407:D407, 0))</f>
        <v>Pay as you go</v>
      </c>
    </row>
    <row r="408" spans="1:6" x14ac:dyDescent="0.25">
      <c r="A408">
        <v>137.858</v>
      </c>
      <c r="B408">
        <v>167.88</v>
      </c>
      <c r="C408">
        <v>179.88</v>
      </c>
      <c r="D408">
        <v>179.88</v>
      </c>
      <c r="E408">
        <f t="shared" si="6"/>
        <v>137.858</v>
      </c>
      <c r="F408" t="str" cm="1">
        <f t="array" ref="F408">INDEX({"Pay as you go","Prediction_PACK","Prediction_Payasyougo","Competitor"},MATCH(MIN(A408:D408), A408:D408, 0))</f>
        <v>Pay as you go</v>
      </c>
    </row>
    <row r="409" spans="1:6" x14ac:dyDescent="0.25">
      <c r="A409">
        <v>82.063000000000002</v>
      </c>
      <c r="B409">
        <v>167.88</v>
      </c>
      <c r="C409">
        <v>179.88</v>
      </c>
      <c r="D409">
        <v>179.88</v>
      </c>
      <c r="E409">
        <f t="shared" si="6"/>
        <v>82.063000000000002</v>
      </c>
      <c r="F409" t="str" cm="1">
        <f t="array" ref="F409">INDEX({"Pay as you go","Prediction_PACK","Prediction_Payasyougo","Competitor"},MATCH(MIN(A409:D409), A409:D409, 0))</f>
        <v>Pay as you go</v>
      </c>
    </row>
    <row r="410" spans="1:6" x14ac:dyDescent="0.25">
      <c r="A410">
        <v>111.11500000000001</v>
      </c>
      <c r="B410">
        <v>182.88</v>
      </c>
      <c r="C410">
        <v>182.5430268858897</v>
      </c>
      <c r="D410">
        <v>194.88</v>
      </c>
      <c r="E410">
        <f t="shared" si="6"/>
        <v>111.11500000000001</v>
      </c>
      <c r="F410" t="str" cm="1">
        <f t="array" ref="F410">INDEX({"Pay as you go","Prediction_PACK","Prediction_Payasyougo","Competitor"},MATCH(MIN(A410:D410), A410:D410, 0))</f>
        <v>Pay as you go</v>
      </c>
    </row>
    <row r="411" spans="1:6" x14ac:dyDescent="0.25">
      <c r="A411">
        <v>91.263000000000005</v>
      </c>
      <c r="B411">
        <v>167.88</v>
      </c>
      <c r="C411">
        <v>179.88</v>
      </c>
      <c r="D411">
        <v>179.88</v>
      </c>
      <c r="E411">
        <f t="shared" si="6"/>
        <v>91.263000000000005</v>
      </c>
      <c r="F411" t="str" cm="1">
        <f t="array" ref="F411">INDEX({"Pay as you go","Prediction_PACK","Prediction_Payasyougo","Competitor"},MATCH(MIN(A411:D411), A411:D411, 0))</f>
        <v>Pay as you go</v>
      </c>
    </row>
    <row r="412" spans="1:6" x14ac:dyDescent="0.25">
      <c r="A412">
        <v>109.709</v>
      </c>
      <c r="B412">
        <v>167.88</v>
      </c>
      <c r="C412">
        <v>179.88</v>
      </c>
      <c r="D412">
        <v>179.88</v>
      </c>
      <c r="E412">
        <f t="shared" si="6"/>
        <v>109.709</v>
      </c>
      <c r="F412" t="str" cm="1">
        <f t="array" ref="F412">INDEX({"Pay as you go","Prediction_PACK","Prediction_Payasyougo","Competitor"},MATCH(MIN(A412:D412), A412:D412, 0))</f>
        <v>Pay as you go</v>
      </c>
    </row>
    <row r="413" spans="1:6" x14ac:dyDescent="0.25">
      <c r="A413">
        <v>84.323999999999998</v>
      </c>
      <c r="B413">
        <v>167.88</v>
      </c>
      <c r="C413">
        <v>179.88</v>
      </c>
      <c r="D413">
        <v>179.88</v>
      </c>
      <c r="E413">
        <f t="shared" si="6"/>
        <v>84.323999999999998</v>
      </c>
      <c r="F413" t="str" cm="1">
        <f t="array" ref="F413">INDEX({"Pay as you go","Prediction_PACK","Prediction_Payasyougo","Competitor"},MATCH(MIN(A413:D413), A413:D413, 0))</f>
        <v>Pay as you go</v>
      </c>
    </row>
    <row r="414" spans="1:6" x14ac:dyDescent="0.25">
      <c r="A414">
        <v>114.075</v>
      </c>
      <c r="B414">
        <v>177.88</v>
      </c>
      <c r="C414">
        <v>179.88</v>
      </c>
      <c r="D414">
        <v>189.88</v>
      </c>
      <c r="E414">
        <f t="shared" si="6"/>
        <v>114.075</v>
      </c>
      <c r="F414" t="str" cm="1">
        <f t="array" ref="F414">INDEX({"Pay as you go","Prediction_PACK","Prediction_Payasyougo","Competitor"},MATCH(MIN(A414:D414), A414:D414, 0))</f>
        <v>Pay as you go</v>
      </c>
    </row>
    <row r="415" spans="1:6" x14ac:dyDescent="0.25">
      <c r="A415">
        <v>117.068</v>
      </c>
      <c r="B415">
        <v>177.88</v>
      </c>
      <c r="C415">
        <v>179.88</v>
      </c>
      <c r="D415">
        <v>189.88</v>
      </c>
      <c r="E415">
        <f t="shared" si="6"/>
        <v>117.068</v>
      </c>
      <c r="F415" t="str" cm="1">
        <f t="array" ref="F415">INDEX({"Pay as you go","Prediction_PACK","Prediction_Payasyougo","Competitor"},MATCH(MIN(A415:D415), A415:D415, 0))</f>
        <v>Pay as you go</v>
      </c>
    </row>
    <row r="416" spans="1:6" x14ac:dyDescent="0.25">
      <c r="A416">
        <v>85.185999999999993</v>
      </c>
      <c r="B416">
        <v>167.88</v>
      </c>
      <c r="C416">
        <v>179.88</v>
      </c>
      <c r="D416">
        <v>179.88</v>
      </c>
      <c r="E416">
        <f t="shared" si="6"/>
        <v>85.185999999999993</v>
      </c>
      <c r="F416" t="str" cm="1">
        <f t="array" ref="F416">INDEX({"Pay as you go","Prediction_PACK","Prediction_Payasyougo","Competitor"},MATCH(MIN(A416:D416), A416:D416, 0))</f>
        <v>Pay as you go</v>
      </c>
    </row>
    <row r="417" spans="1:6" x14ac:dyDescent="0.25">
      <c r="A417">
        <v>139.22799999999998</v>
      </c>
      <c r="B417">
        <v>167.88</v>
      </c>
      <c r="C417">
        <v>179.88</v>
      </c>
      <c r="D417">
        <v>179.88</v>
      </c>
      <c r="E417">
        <f t="shared" si="6"/>
        <v>139.22799999999998</v>
      </c>
      <c r="F417" t="str" cm="1">
        <f t="array" ref="F417">INDEX({"Pay as you go","Prediction_PACK","Prediction_Payasyougo","Competitor"},MATCH(MIN(A417:D417), A417:D417, 0))</f>
        <v>Pay as you go</v>
      </c>
    </row>
    <row r="418" spans="1:6" x14ac:dyDescent="0.25">
      <c r="A418">
        <v>110.00700000000001</v>
      </c>
      <c r="B418">
        <v>167.88</v>
      </c>
      <c r="C418">
        <v>179.88</v>
      </c>
      <c r="D418">
        <v>179.88</v>
      </c>
      <c r="E418">
        <f t="shared" si="6"/>
        <v>110.00700000000001</v>
      </c>
      <c r="F418" t="str" cm="1">
        <f t="array" ref="F418">INDEX({"Pay as you go","Prediction_PACK","Prediction_Payasyougo","Competitor"},MATCH(MIN(A418:D418), A418:D418, 0))</f>
        <v>Pay as you go</v>
      </c>
    </row>
    <row r="419" spans="1:6" x14ac:dyDescent="0.25">
      <c r="A419">
        <v>89.950999999999993</v>
      </c>
      <c r="B419">
        <v>167.88</v>
      </c>
      <c r="C419">
        <v>179.88</v>
      </c>
      <c r="D419">
        <v>179.88</v>
      </c>
      <c r="E419">
        <f t="shared" si="6"/>
        <v>89.950999999999993</v>
      </c>
      <c r="F419" t="str" cm="1">
        <f t="array" ref="F419">INDEX({"Pay as you go","Prediction_PACK","Prediction_Payasyougo","Competitor"},MATCH(MIN(A419:D419), A419:D419, 0))</f>
        <v>Pay as you go</v>
      </c>
    </row>
    <row r="420" spans="1:6" x14ac:dyDescent="0.25">
      <c r="A420">
        <v>108.435</v>
      </c>
      <c r="B420">
        <v>167.88</v>
      </c>
      <c r="C420">
        <v>179.88</v>
      </c>
      <c r="D420">
        <v>179.88</v>
      </c>
      <c r="E420">
        <f t="shared" si="6"/>
        <v>108.435</v>
      </c>
      <c r="F420" t="str" cm="1">
        <f t="array" ref="F420">INDEX({"Pay as you go","Prediction_PACK","Prediction_Payasyougo","Competitor"},MATCH(MIN(A420:D420), A420:D420, 0))</f>
        <v>Pay as you go</v>
      </c>
    </row>
    <row r="421" spans="1:6" x14ac:dyDescent="0.25">
      <c r="A421">
        <v>159.31799999999998</v>
      </c>
      <c r="B421">
        <v>177.88</v>
      </c>
      <c r="C421">
        <v>179.88</v>
      </c>
      <c r="D421">
        <v>189.88</v>
      </c>
      <c r="E421">
        <f t="shared" si="6"/>
        <v>159.31799999999998</v>
      </c>
      <c r="F421" t="str" cm="1">
        <f t="array" ref="F421">INDEX({"Pay as you go","Prediction_PACK","Prediction_Payasyougo","Competitor"},MATCH(MIN(A421:D421), A421:D421, 0))</f>
        <v>Pay as you go</v>
      </c>
    </row>
    <row r="422" spans="1:6" x14ac:dyDescent="0.25">
      <c r="A422">
        <v>182.209</v>
      </c>
      <c r="B422">
        <v>182.88</v>
      </c>
      <c r="C422">
        <v>182.47766030637808</v>
      </c>
      <c r="D422">
        <v>194.88</v>
      </c>
      <c r="E422">
        <f t="shared" si="6"/>
        <v>182.209</v>
      </c>
      <c r="F422" t="str" cm="1">
        <f t="array" ref="F422">INDEX({"Pay as you go","Prediction_PACK","Prediction_Payasyougo","Competitor"},MATCH(MIN(A422:D422), A422:D422, 0))</f>
        <v>Pay as you go</v>
      </c>
    </row>
    <row r="423" spans="1:6" x14ac:dyDescent="0.25">
      <c r="A423">
        <v>265.73699999999997</v>
      </c>
      <c r="B423">
        <v>227.88</v>
      </c>
      <c r="C423">
        <v>236.06302781742571</v>
      </c>
      <c r="D423">
        <v>239.88</v>
      </c>
      <c r="E423">
        <f t="shared" si="6"/>
        <v>227.88</v>
      </c>
      <c r="F423" t="str" cm="1">
        <f t="array" ref="F423">INDEX({"Pay as you go","Prediction_PACK","Prediction_Payasyougo","Competitor"},MATCH(MIN(A423:D423), A423:D423, 0))</f>
        <v>Prediction_PACK</v>
      </c>
    </row>
    <row r="424" spans="1:6" x14ac:dyDescent="0.25">
      <c r="A424">
        <v>139.88900000000001</v>
      </c>
      <c r="B424">
        <v>182.88</v>
      </c>
      <c r="C424">
        <v>186.6535340245191</v>
      </c>
      <c r="D424">
        <v>194.88</v>
      </c>
      <c r="E424">
        <f t="shared" si="6"/>
        <v>139.88900000000001</v>
      </c>
      <c r="F424" t="str" cm="1">
        <f t="array" ref="F424">INDEX({"Pay as you go","Prediction_PACK","Prediction_Payasyougo","Competitor"},MATCH(MIN(A424:D424), A424:D424, 0))</f>
        <v>Pay as you go</v>
      </c>
    </row>
    <row r="425" spans="1:6" x14ac:dyDescent="0.25">
      <c r="A425">
        <v>95.558000000000007</v>
      </c>
      <c r="B425">
        <v>167.88</v>
      </c>
      <c r="C425">
        <v>179.88</v>
      </c>
      <c r="D425">
        <v>179.88</v>
      </c>
      <c r="E425">
        <f t="shared" si="6"/>
        <v>95.558000000000007</v>
      </c>
      <c r="F425" t="str" cm="1">
        <f t="array" ref="F425">INDEX({"Pay as you go","Prediction_PACK","Prediction_Payasyougo","Competitor"},MATCH(MIN(A425:D425), A425:D425, 0))</f>
        <v>Pay as you go</v>
      </c>
    </row>
    <row r="426" spans="1:6" x14ac:dyDescent="0.25">
      <c r="A426">
        <v>130.73099999999999</v>
      </c>
      <c r="B426">
        <v>177.88</v>
      </c>
      <c r="C426">
        <v>179.88</v>
      </c>
      <c r="D426">
        <v>189.88</v>
      </c>
      <c r="E426">
        <f t="shared" si="6"/>
        <v>130.73099999999999</v>
      </c>
      <c r="F426" t="str" cm="1">
        <f t="array" ref="F426">INDEX({"Pay as you go","Prediction_PACK","Prediction_Payasyougo","Competitor"},MATCH(MIN(A426:D426), A426:D426, 0))</f>
        <v>Pay as you go</v>
      </c>
    </row>
    <row r="427" spans="1:6" x14ac:dyDescent="0.25">
      <c r="A427">
        <v>182.50500000000002</v>
      </c>
      <c r="B427">
        <v>197.88</v>
      </c>
      <c r="C427">
        <v>191.84592444673558</v>
      </c>
      <c r="D427">
        <v>209.88</v>
      </c>
      <c r="E427">
        <f t="shared" si="6"/>
        <v>182.50500000000002</v>
      </c>
      <c r="F427" t="str" cm="1">
        <f t="array" ref="F427">INDEX({"Pay as you go","Prediction_PACK","Prediction_Payasyougo","Competitor"},MATCH(MIN(A427:D427), A427:D427, 0))</f>
        <v>Pay as you go</v>
      </c>
    </row>
    <row r="428" spans="1:6" x14ac:dyDescent="0.25">
      <c r="A428">
        <v>115.202</v>
      </c>
      <c r="B428">
        <v>167.88</v>
      </c>
      <c r="C428">
        <v>179.88</v>
      </c>
      <c r="D428">
        <v>179.88</v>
      </c>
      <c r="E428">
        <f t="shared" si="6"/>
        <v>115.202</v>
      </c>
      <c r="F428" t="str" cm="1">
        <f t="array" ref="F428">INDEX({"Pay as you go","Prediction_PACK","Prediction_Payasyougo","Competitor"},MATCH(MIN(A428:D428), A428:D428, 0))</f>
        <v>Pay as you go</v>
      </c>
    </row>
    <row r="429" spans="1:6" x14ac:dyDescent="0.25">
      <c r="A429">
        <v>52.500999999999998</v>
      </c>
      <c r="B429">
        <v>167.88</v>
      </c>
      <c r="C429">
        <v>179.88</v>
      </c>
      <c r="D429">
        <v>179.88</v>
      </c>
      <c r="E429">
        <f t="shared" si="6"/>
        <v>52.500999999999998</v>
      </c>
      <c r="F429" t="str" cm="1">
        <f t="array" ref="F429">INDEX({"Pay as you go","Prediction_PACK","Prediction_Payasyougo","Competitor"},MATCH(MIN(A429:D429), A429:D429, 0))</f>
        <v>Pay as you go</v>
      </c>
    </row>
    <row r="430" spans="1:6" x14ac:dyDescent="0.25">
      <c r="A430">
        <v>138.321</v>
      </c>
      <c r="B430">
        <v>171.88</v>
      </c>
      <c r="C430">
        <v>179.88</v>
      </c>
      <c r="D430">
        <v>184.88</v>
      </c>
      <c r="E430">
        <f t="shared" si="6"/>
        <v>138.321</v>
      </c>
      <c r="F430" t="str" cm="1">
        <f t="array" ref="F430">INDEX({"Pay as you go","Prediction_PACK","Prediction_Payasyougo","Competitor"},MATCH(MIN(A430:D430), A430:D430, 0))</f>
        <v>Pay as you go</v>
      </c>
    </row>
    <row r="431" spans="1:6" x14ac:dyDescent="0.25">
      <c r="A431">
        <v>101.038</v>
      </c>
      <c r="B431">
        <v>167.88</v>
      </c>
      <c r="C431">
        <v>179.88</v>
      </c>
      <c r="D431">
        <v>179.88</v>
      </c>
      <c r="E431">
        <f t="shared" si="6"/>
        <v>101.038</v>
      </c>
      <c r="F431" t="str" cm="1">
        <f t="array" ref="F431">INDEX({"Pay as you go","Prediction_PACK","Prediction_Payasyougo","Competitor"},MATCH(MIN(A431:D431), A431:D431, 0))</f>
        <v>Pay as you go</v>
      </c>
    </row>
    <row r="432" spans="1:6" x14ac:dyDescent="0.25">
      <c r="A432">
        <v>139.39700000000002</v>
      </c>
      <c r="B432">
        <v>182.88</v>
      </c>
      <c r="C432">
        <v>180.32330000957128</v>
      </c>
      <c r="D432">
        <v>194.88</v>
      </c>
      <c r="E432">
        <f t="shared" si="6"/>
        <v>139.39700000000002</v>
      </c>
      <c r="F432" t="str" cm="1">
        <f t="array" ref="F432">INDEX({"Pay as you go","Prediction_PACK","Prediction_Payasyougo","Competitor"},MATCH(MIN(A432:D432), A432:D432, 0))</f>
        <v>Pay as you go</v>
      </c>
    </row>
    <row r="433" spans="1:6" x14ac:dyDescent="0.25">
      <c r="A433">
        <v>91.13300000000001</v>
      </c>
      <c r="B433">
        <v>167.88</v>
      </c>
      <c r="C433">
        <v>179.88</v>
      </c>
      <c r="D433">
        <v>179.88</v>
      </c>
      <c r="E433">
        <f t="shared" si="6"/>
        <v>91.13300000000001</v>
      </c>
      <c r="F433" t="str" cm="1">
        <f t="array" ref="F433">INDEX({"Pay as you go","Prediction_PACK","Prediction_Payasyougo","Competitor"},MATCH(MIN(A433:D433), A433:D433, 0))</f>
        <v>Pay as you go</v>
      </c>
    </row>
    <row r="434" spans="1:6" x14ac:dyDescent="0.25">
      <c r="A434">
        <v>75.513000000000005</v>
      </c>
      <c r="B434">
        <v>167.88</v>
      </c>
      <c r="C434">
        <v>179.88</v>
      </c>
      <c r="D434">
        <v>179.88</v>
      </c>
      <c r="E434">
        <f t="shared" si="6"/>
        <v>75.513000000000005</v>
      </c>
      <c r="F434" t="str" cm="1">
        <f t="array" ref="F434">INDEX({"Pay as you go","Prediction_PACK","Prediction_Payasyougo","Competitor"},MATCH(MIN(A434:D434), A434:D434, 0))</f>
        <v>Pay as you go</v>
      </c>
    </row>
    <row r="435" spans="1:6" x14ac:dyDescent="0.25">
      <c r="A435">
        <v>74.347000000000008</v>
      </c>
      <c r="B435">
        <v>167.88</v>
      </c>
      <c r="C435">
        <v>179.88</v>
      </c>
      <c r="D435">
        <v>179.88</v>
      </c>
      <c r="E435">
        <f t="shared" si="6"/>
        <v>74.347000000000008</v>
      </c>
      <c r="F435" t="str" cm="1">
        <f t="array" ref="F435">INDEX({"Pay as you go","Prediction_PACK","Prediction_Payasyougo","Competitor"},MATCH(MIN(A435:D435), A435:D435, 0))</f>
        <v>Pay as you go</v>
      </c>
    </row>
    <row r="436" spans="1:6" x14ac:dyDescent="0.25">
      <c r="A436">
        <v>100.23</v>
      </c>
      <c r="B436">
        <v>167.88</v>
      </c>
      <c r="C436">
        <v>179.88</v>
      </c>
      <c r="D436">
        <v>179.88</v>
      </c>
      <c r="E436">
        <f t="shared" si="6"/>
        <v>100.23</v>
      </c>
      <c r="F436" t="str" cm="1">
        <f t="array" ref="F436">INDEX({"Pay as you go","Prediction_PACK","Prediction_Payasyougo","Competitor"},MATCH(MIN(A436:D436), A436:D436, 0))</f>
        <v>Pay as you go</v>
      </c>
    </row>
    <row r="437" spans="1:6" x14ac:dyDescent="0.25">
      <c r="A437">
        <v>105.28100000000001</v>
      </c>
      <c r="B437">
        <v>167.88</v>
      </c>
      <c r="C437">
        <v>179.88</v>
      </c>
      <c r="D437">
        <v>179.88</v>
      </c>
      <c r="E437">
        <f t="shared" si="6"/>
        <v>105.28100000000001</v>
      </c>
      <c r="F437" t="str" cm="1">
        <f t="array" ref="F437">INDEX({"Pay as you go","Prediction_PACK","Prediction_Payasyougo","Competitor"},MATCH(MIN(A437:D437), A437:D437, 0))</f>
        <v>Pay as you go</v>
      </c>
    </row>
    <row r="438" spans="1:6" x14ac:dyDescent="0.25">
      <c r="A438">
        <v>192.17600000000002</v>
      </c>
      <c r="B438">
        <v>197.88</v>
      </c>
      <c r="C438">
        <v>186.7837080744336</v>
      </c>
      <c r="D438">
        <v>209.88</v>
      </c>
      <c r="E438">
        <f t="shared" si="6"/>
        <v>186.7837080744336</v>
      </c>
      <c r="F438" t="str" cm="1">
        <f t="array" ref="F438">INDEX({"Pay as you go","Prediction_PACK","Prediction_Payasyougo","Competitor"},MATCH(MIN(A438:D438), A438:D438, 0))</f>
        <v>Prediction_Payasyougo</v>
      </c>
    </row>
    <row r="439" spans="1:6" x14ac:dyDescent="0.25">
      <c r="A439">
        <v>113.089</v>
      </c>
      <c r="B439">
        <v>177.88</v>
      </c>
      <c r="C439">
        <v>179.88</v>
      </c>
      <c r="D439">
        <v>189.88</v>
      </c>
      <c r="E439">
        <f t="shared" si="6"/>
        <v>113.089</v>
      </c>
      <c r="F439" t="str" cm="1">
        <f t="array" ref="F439">INDEX({"Pay as you go","Prediction_PACK","Prediction_Payasyougo","Competitor"},MATCH(MIN(A439:D439), A439:D439, 0))</f>
        <v>Pay as you go</v>
      </c>
    </row>
    <row r="440" spans="1:6" x14ac:dyDescent="0.25">
      <c r="A440">
        <v>111.337</v>
      </c>
      <c r="B440">
        <v>171.88</v>
      </c>
      <c r="C440">
        <v>179.88</v>
      </c>
      <c r="D440">
        <v>184.88</v>
      </c>
      <c r="E440">
        <f t="shared" si="6"/>
        <v>111.337</v>
      </c>
      <c r="F440" t="str" cm="1">
        <f t="array" ref="F440">INDEX({"Pay as you go","Prediction_PACK","Prediction_Payasyougo","Competitor"},MATCH(MIN(A440:D440), A440:D440, 0))</f>
        <v>Pay as you go</v>
      </c>
    </row>
    <row r="441" spans="1:6" x14ac:dyDescent="0.25">
      <c r="A441">
        <v>116.268</v>
      </c>
      <c r="B441">
        <v>167.88</v>
      </c>
      <c r="C441">
        <v>179.88</v>
      </c>
      <c r="D441">
        <v>179.88</v>
      </c>
      <c r="E441">
        <f t="shared" si="6"/>
        <v>116.268</v>
      </c>
      <c r="F441" t="str" cm="1">
        <f t="array" ref="F441">INDEX({"Pay as you go","Prediction_PACK","Prediction_Payasyougo","Competitor"},MATCH(MIN(A441:D441), A441:D441, 0))</f>
        <v>Pay as you go</v>
      </c>
    </row>
    <row r="442" spans="1:6" x14ac:dyDescent="0.25">
      <c r="A442">
        <v>117.845</v>
      </c>
      <c r="B442">
        <v>167.88</v>
      </c>
      <c r="C442">
        <v>179.88</v>
      </c>
      <c r="D442">
        <v>179.88</v>
      </c>
      <c r="E442">
        <f t="shared" si="6"/>
        <v>117.845</v>
      </c>
      <c r="F442" t="str" cm="1">
        <f t="array" ref="F442">INDEX({"Pay as you go","Prediction_PACK","Prediction_Payasyougo","Competitor"},MATCH(MIN(A442:D442), A442:D442, 0))</f>
        <v>Pay as you go</v>
      </c>
    </row>
    <row r="443" spans="1:6" x14ac:dyDescent="0.25">
      <c r="A443">
        <v>179.22</v>
      </c>
      <c r="B443">
        <v>167.88</v>
      </c>
      <c r="C443">
        <v>179.88</v>
      </c>
      <c r="D443">
        <v>179.88</v>
      </c>
      <c r="E443">
        <f t="shared" si="6"/>
        <v>167.88</v>
      </c>
      <c r="F443" t="str" cm="1">
        <f t="array" ref="F443">INDEX({"Pay as you go","Prediction_PACK","Prediction_Payasyougo","Competitor"},MATCH(MIN(A443:D443), A443:D443, 0))</f>
        <v>Prediction_PACK</v>
      </c>
    </row>
    <row r="444" spans="1:6" x14ac:dyDescent="0.25">
      <c r="A444">
        <v>108.767</v>
      </c>
      <c r="B444">
        <v>177.88</v>
      </c>
      <c r="C444">
        <v>179.88</v>
      </c>
      <c r="D444">
        <v>189.88</v>
      </c>
      <c r="E444">
        <f t="shared" si="6"/>
        <v>108.767</v>
      </c>
      <c r="F444" t="str" cm="1">
        <f t="array" ref="F444">INDEX({"Pay as you go","Prediction_PACK","Prediction_Payasyougo","Competitor"},MATCH(MIN(A444:D444), A444:D444, 0))</f>
        <v>Pay as you go</v>
      </c>
    </row>
    <row r="445" spans="1:6" x14ac:dyDescent="0.25">
      <c r="A445">
        <v>135.358</v>
      </c>
      <c r="B445">
        <v>167.88</v>
      </c>
      <c r="C445">
        <v>179.88</v>
      </c>
      <c r="D445">
        <v>179.88</v>
      </c>
      <c r="E445">
        <f t="shared" si="6"/>
        <v>135.358</v>
      </c>
      <c r="F445" t="str" cm="1">
        <f t="array" ref="F445">INDEX({"Pay as you go","Prediction_PACK","Prediction_Payasyougo","Competitor"},MATCH(MIN(A445:D445), A445:D445, 0))</f>
        <v>Pay as you go</v>
      </c>
    </row>
    <row r="446" spans="1:6" x14ac:dyDescent="0.25">
      <c r="A446">
        <v>117.035</v>
      </c>
      <c r="B446">
        <v>167.88</v>
      </c>
      <c r="C446">
        <v>179.88</v>
      </c>
      <c r="D446">
        <v>179.88</v>
      </c>
      <c r="E446">
        <f t="shared" si="6"/>
        <v>117.035</v>
      </c>
      <c r="F446" t="str" cm="1">
        <f t="array" ref="F446">INDEX({"Pay as you go","Prediction_PACK","Prediction_Payasyougo","Competitor"},MATCH(MIN(A446:D446), A446:D446, 0))</f>
        <v>Pay as you go</v>
      </c>
    </row>
    <row r="447" spans="1:6" x14ac:dyDescent="0.25">
      <c r="A447">
        <v>153.07500000000002</v>
      </c>
      <c r="B447">
        <v>175.88</v>
      </c>
      <c r="C447">
        <v>179.88</v>
      </c>
      <c r="D447">
        <v>189.88</v>
      </c>
      <c r="E447">
        <f t="shared" si="6"/>
        <v>153.07500000000002</v>
      </c>
      <c r="F447" t="str" cm="1">
        <f t="array" ref="F447">INDEX({"Pay as you go","Prediction_PACK","Prediction_Payasyougo","Competitor"},MATCH(MIN(A447:D447), A447:D447, 0))</f>
        <v>Pay as you go</v>
      </c>
    </row>
    <row r="448" spans="1:6" x14ac:dyDescent="0.25">
      <c r="A448">
        <v>192.20499999999998</v>
      </c>
      <c r="B448">
        <v>175.88</v>
      </c>
      <c r="C448">
        <v>179.88</v>
      </c>
      <c r="D448">
        <v>189.88</v>
      </c>
      <c r="E448">
        <f t="shared" si="6"/>
        <v>175.88</v>
      </c>
      <c r="F448" t="str" cm="1">
        <f t="array" ref="F448">INDEX({"Pay as you go","Prediction_PACK","Prediction_Payasyougo","Competitor"},MATCH(MIN(A448:D448), A448:D448, 0))</f>
        <v>Prediction_PACK</v>
      </c>
    </row>
    <row r="449" spans="1:6" x14ac:dyDescent="0.25">
      <c r="A449">
        <v>130.428</v>
      </c>
      <c r="B449">
        <v>167.88</v>
      </c>
      <c r="C449">
        <v>179.88</v>
      </c>
      <c r="D449">
        <v>179.88</v>
      </c>
      <c r="E449">
        <f t="shared" si="6"/>
        <v>130.428</v>
      </c>
      <c r="F449" t="str" cm="1">
        <f t="array" ref="F449">INDEX({"Pay as you go","Prediction_PACK","Prediction_Payasyougo","Competitor"},MATCH(MIN(A449:D449), A449:D449, 0))</f>
        <v>Pay as you go</v>
      </c>
    </row>
    <row r="450" spans="1:6" x14ac:dyDescent="0.25">
      <c r="A450">
        <v>95.219000000000008</v>
      </c>
      <c r="B450">
        <v>171.88</v>
      </c>
      <c r="C450">
        <v>179.88</v>
      </c>
      <c r="D450">
        <v>184.88</v>
      </c>
      <c r="E450">
        <f t="shared" si="6"/>
        <v>95.219000000000008</v>
      </c>
      <c r="F450" t="str" cm="1">
        <f t="array" ref="F450">INDEX({"Pay as you go","Prediction_PACK","Prediction_Payasyougo","Competitor"},MATCH(MIN(A450:D450), A450:D450, 0))</f>
        <v>Pay as you go</v>
      </c>
    </row>
    <row r="451" spans="1:6" x14ac:dyDescent="0.25">
      <c r="A451">
        <v>173.62800000000001</v>
      </c>
      <c r="B451">
        <v>182.88</v>
      </c>
      <c r="C451">
        <v>179.9109432171249</v>
      </c>
      <c r="D451">
        <v>194.88</v>
      </c>
      <c r="E451">
        <f t="shared" si="6"/>
        <v>173.62800000000001</v>
      </c>
      <c r="F451" t="str" cm="1">
        <f t="array" ref="F451">INDEX({"Pay as you go","Prediction_PACK","Prediction_Payasyougo","Competitor"},MATCH(MIN(A451:D451), A451:D451, 0))</f>
        <v>Pay as you go</v>
      </c>
    </row>
    <row r="452" spans="1:6" x14ac:dyDescent="0.25">
      <c r="A452">
        <v>179.60999999999999</v>
      </c>
      <c r="B452">
        <v>179.88</v>
      </c>
      <c r="C452">
        <v>179.88</v>
      </c>
      <c r="D452">
        <v>194.88</v>
      </c>
      <c r="E452">
        <f t="shared" si="6"/>
        <v>179.60999999999999</v>
      </c>
      <c r="F452" t="str" cm="1">
        <f t="array" ref="F452">INDEX({"Pay as you go","Prediction_PACK","Prediction_Payasyougo","Competitor"},MATCH(MIN(A452:D452), A452:D452, 0))</f>
        <v>Pay as you go</v>
      </c>
    </row>
    <row r="453" spans="1:6" x14ac:dyDescent="0.25">
      <c r="A453">
        <v>125.19200000000001</v>
      </c>
      <c r="B453">
        <v>167.88</v>
      </c>
      <c r="C453">
        <v>179.88</v>
      </c>
      <c r="D453">
        <v>179.88</v>
      </c>
      <c r="E453">
        <f t="shared" si="6"/>
        <v>125.19200000000001</v>
      </c>
      <c r="F453" t="str" cm="1">
        <f t="array" ref="F453">INDEX({"Pay as you go","Prediction_PACK","Prediction_Payasyougo","Competitor"},MATCH(MIN(A453:D453), A453:D453, 0))</f>
        <v>Pay as you go</v>
      </c>
    </row>
    <row r="454" spans="1:6" x14ac:dyDescent="0.25">
      <c r="A454">
        <v>160.04599999999999</v>
      </c>
      <c r="B454">
        <v>177.88</v>
      </c>
      <c r="C454">
        <v>179.88</v>
      </c>
      <c r="D454">
        <v>189.88</v>
      </c>
      <c r="E454">
        <f t="shared" si="6"/>
        <v>160.04599999999999</v>
      </c>
      <c r="F454" t="str" cm="1">
        <f t="array" ref="F454">INDEX({"Pay as you go","Prediction_PACK","Prediction_Payasyougo","Competitor"},MATCH(MIN(A454:D454), A454:D454, 0))</f>
        <v>Pay as you go</v>
      </c>
    </row>
    <row r="455" spans="1:6" x14ac:dyDescent="0.25">
      <c r="A455">
        <v>156.44200000000001</v>
      </c>
      <c r="B455">
        <v>182.88</v>
      </c>
      <c r="C455">
        <v>180.01645393582169</v>
      </c>
      <c r="D455">
        <v>194.88</v>
      </c>
      <c r="E455">
        <f t="shared" si="6"/>
        <v>156.44200000000001</v>
      </c>
      <c r="F455" t="str" cm="1">
        <f t="array" ref="F455">INDEX({"Pay as you go","Prediction_PACK","Prediction_Payasyougo","Competitor"},MATCH(MIN(A455:D455), A455:D455, 0))</f>
        <v>Pay as you go</v>
      </c>
    </row>
    <row r="456" spans="1:6" x14ac:dyDescent="0.25">
      <c r="A456">
        <v>134.73099999999999</v>
      </c>
      <c r="B456">
        <v>197.88</v>
      </c>
      <c r="C456">
        <v>198.05161740586351</v>
      </c>
      <c r="D456">
        <v>209.88</v>
      </c>
      <c r="E456">
        <f t="shared" ref="E456:E519" si="7">MIN(A456:D456)</f>
        <v>134.73099999999999</v>
      </c>
      <c r="F456" t="str" cm="1">
        <f t="array" ref="F456">INDEX({"Pay as you go","Prediction_PACK","Prediction_Payasyougo","Competitor"},MATCH(MIN(A456:D456), A456:D456, 0))</f>
        <v>Pay as you go</v>
      </c>
    </row>
    <row r="457" spans="1:6" x14ac:dyDescent="0.25">
      <c r="A457">
        <v>116.402</v>
      </c>
      <c r="B457">
        <v>171.88</v>
      </c>
      <c r="C457">
        <v>179.88</v>
      </c>
      <c r="D457">
        <v>184.88</v>
      </c>
      <c r="E457">
        <f t="shared" si="7"/>
        <v>116.402</v>
      </c>
      <c r="F457" t="str" cm="1">
        <f t="array" ref="F457">INDEX({"Pay as you go","Prediction_PACK","Prediction_Payasyougo","Competitor"},MATCH(MIN(A457:D457), A457:D457, 0))</f>
        <v>Pay as you go</v>
      </c>
    </row>
    <row r="458" spans="1:6" x14ac:dyDescent="0.25">
      <c r="A458">
        <v>114.801</v>
      </c>
      <c r="B458">
        <v>167.88</v>
      </c>
      <c r="C458">
        <v>179.88</v>
      </c>
      <c r="D458">
        <v>179.88</v>
      </c>
      <c r="E458">
        <f t="shared" si="7"/>
        <v>114.801</v>
      </c>
      <c r="F458" t="str" cm="1">
        <f t="array" ref="F458">INDEX({"Pay as you go","Prediction_PACK","Prediction_Payasyougo","Competitor"},MATCH(MIN(A458:D458), A458:D458, 0))</f>
        <v>Pay as you go</v>
      </c>
    </row>
    <row r="459" spans="1:6" x14ac:dyDescent="0.25">
      <c r="A459">
        <v>139.66300000000001</v>
      </c>
      <c r="B459">
        <v>177.88</v>
      </c>
      <c r="C459">
        <v>179.88</v>
      </c>
      <c r="D459">
        <v>189.88</v>
      </c>
      <c r="E459">
        <f t="shared" si="7"/>
        <v>139.66300000000001</v>
      </c>
      <c r="F459" t="str" cm="1">
        <f t="array" ref="F459">INDEX({"Pay as you go","Prediction_PACK","Prediction_Payasyougo","Competitor"},MATCH(MIN(A459:D459), A459:D459, 0))</f>
        <v>Pay as you go</v>
      </c>
    </row>
    <row r="460" spans="1:6" x14ac:dyDescent="0.25">
      <c r="A460">
        <v>151.58500000000001</v>
      </c>
      <c r="B460">
        <v>182.88</v>
      </c>
      <c r="C460">
        <v>180.1836454748676</v>
      </c>
      <c r="D460">
        <v>194.88</v>
      </c>
      <c r="E460">
        <f t="shared" si="7"/>
        <v>151.58500000000001</v>
      </c>
      <c r="F460" t="str" cm="1">
        <f t="array" ref="F460">INDEX({"Pay as you go","Prediction_PACK","Prediction_Payasyougo","Competitor"},MATCH(MIN(A460:D460), A460:D460, 0))</f>
        <v>Pay as you go</v>
      </c>
    </row>
    <row r="461" spans="1:6" x14ac:dyDescent="0.25">
      <c r="A461">
        <v>114.60799999999999</v>
      </c>
      <c r="B461">
        <v>167.88</v>
      </c>
      <c r="C461">
        <v>179.88</v>
      </c>
      <c r="D461">
        <v>179.88</v>
      </c>
      <c r="E461">
        <f t="shared" si="7"/>
        <v>114.60799999999999</v>
      </c>
      <c r="F461" t="str" cm="1">
        <f t="array" ref="F461">INDEX({"Pay as you go","Prediction_PACK","Prediction_Payasyougo","Competitor"},MATCH(MIN(A461:D461), A461:D461, 0))</f>
        <v>Pay as you go</v>
      </c>
    </row>
    <row r="462" spans="1:6" x14ac:dyDescent="0.25">
      <c r="A462">
        <v>161.947</v>
      </c>
      <c r="B462">
        <v>187.88</v>
      </c>
      <c r="C462">
        <v>179.88</v>
      </c>
      <c r="D462">
        <v>199.88</v>
      </c>
      <c r="E462">
        <f t="shared" si="7"/>
        <v>161.947</v>
      </c>
      <c r="F462" t="str" cm="1">
        <f t="array" ref="F462">INDEX({"Pay as you go","Prediction_PACK","Prediction_Payasyougo","Competitor"},MATCH(MIN(A462:D462), A462:D462, 0))</f>
        <v>Pay as you go</v>
      </c>
    </row>
    <row r="463" spans="1:6" x14ac:dyDescent="0.25">
      <c r="A463">
        <v>148.97199999999998</v>
      </c>
      <c r="B463">
        <v>182.88</v>
      </c>
      <c r="C463">
        <v>185.3122070907138</v>
      </c>
      <c r="D463">
        <v>194.88</v>
      </c>
      <c r="E463">
        <f t="shared" si="7"/>
        <v>148.97199999999998</v>
      </c>
      <c r="F463" t="str" cm="1">
        <f t="array" ref="F463">INDEX({"Pay as you go","Prediction_PACK","Prediction_Payasyougo","Competitor"},MATCH(MIN(A463:D463), A463:D463, 0))</f>
        <v>Pay as you go</v>
      </c>
    </row>
    <row r="464" spans="1:6" x14ac:dyDescent="0.25">
      <c r="A464">
        <v>66.795000000000002</v>
      </c>
      <c r="B464">
        <v>167.88</v>
      </c>
      <c r="C464">
        <v>179.88</v>
      </c>
      <c r="D464">
        <v>179.88</v>
      </c>
      <c r="E464">
        <f t="shared" si="7"/>
        <v>66.795000000000002</v>
      </c>
      <c r="F464" t="str" cm="1">
        <f t="array" ref="F464">INDEX({"Pay as you go","Prediction_PACK","Prediction_Payasyougo","Competitor"},MATCH(MIN(A464:D464), A464:D464, 0))</f>
        <v>Pay as you go</v>
      </c>
    </row>
    <row r="465" spans="1:6" x14ac:dyDescent="0.25">
      <c r="A465">
        <v>155.316</v>
      </c>
      <c r="B465">
        <v>195.88</v>
      </c>
      <c r="C465">
        <v>179.88</v>
      </c>
      <c r="D465">
        <v>209.88</v>
      </c>
      <c r="E465">
        <f t="shared" si="7"/>
        <v>155.316</v>
      </c>
      <c r="F465" t="str" cm="1">
        <f t="array" ref="F465">INDEX({"Pay as you go","Prediction_PACK","Prediction_Payasyougo","Competitor"},MATCH(MIN(A465:D465), A465:D465, 0))</f>
        <v>Pay as you go</v>
      </c>
    </row>
    <row r="466" spans="1:6" x14ac:dyDescent="0.25">
      <c r="A466">
        <v>149.93799999999999</v>
      </c>
      <c r="B466">
        <v>177.88</v>
      </c>
      <c r="C466">
        <v>179.88</v>
      </c>
      <c r="D466">
        <v>189.88</v>
      </c>
      <c r="E466">
        <f t="shared" si="7"/>
        <v>149.93799999999999</v>
      </c>
      <c r="F466" t="str" cm="1">
        <f t="array" ref="F466">INDEX({"Pay as you go","Prediction_PACK","Prediction_Payasyougo","Competitor"},MATCH(MIN(A466:D466), A466:D466, 0))</f>
        <v>Pay as you go</v>
      </c>
    </row>
    <row r="467" spans="1:6" x14ac:dyDescent="0.25">
      <c r="A467">
        <v>174.40100000000001</v>
      </c>
      <c r="B467">
        <v>187.88</v>
      </c>
      <c r="C467">
        <v>179.88</v>
      </c>
      <c r="D467">
        <v>199.88</v>
      </c>
      <c r="E467">
        <f t="shared" si="7"/>
        <v>174.40100000000001</v>
      </c>
      <c r="F467" t="str" cm="1">
        <f t="array" ref="F467">INDEX({"Pay as you go","Prediction_PACK","Prediction_Payasyougo","Competitor"},MATCH(MIN(A467:D467), A467:D467, 0))</f>
        <v>Pay as you go</v>
      </c>
    </row>
    <row r="468" spans="1:6" x14ac:dyDescent="0.25">
      <c r="A468">
        <v>142.08800000000002</v>
      </c>
      <c r="B468">
        <v>182.88</v>
      </c>
      <c r="C468">
        <v>185.1301756323534</v>
      </c>
      <c r="D468">
        <v>194.88</v>
      </c>
      <c r="E468">
        <f t="shared" si="7"/>
        <v>142.08800000000002</v>
      </c>
      <c r="F468" t="str" cm="1">
        <f t="array" ref="F468">INDEX({"Pay as you go","Prediction_PACK","Prediction_Payasyougo","Competitor"},MATCH(MIN(A468:D468), A468:D468, 0))</f>
        <v>Pay as you go</v>
      </c>
    </row>
    <row r="469" spans="1:6" x14ac:dyDescent="0.25">
      <c r="A469">
        <v>223.69799999999998</v>
      </c>
      <c r="B469">
        <v>207.88</v>
      </c>
      <c r="C469">
        <v>202.18523735216399</v>
      </c>
      <c r="D469">
        <v>219.88</v>
      </c>
      <c r="E469">
        <f t="shared" si="7"/>
        <v>202.18523735216399</v>
      </c>
      <c r="F469" t="str" cm="1">
        <f t="array" ref="F469">INDEX({"Pay as you go","Prediction_PACK","Prediction_Payasyougo","Competitor"},MATCH(MIN(A469:D469), A469:D469, 0))</f>
        <v>Prediction_Payasyougo</v>
      </c>
    </row>
    <row r="470" spans="1:6" x14ac:dyDescent="0.25">
      <c r="A470">
        <v>144.05100000000002</v>
      </c>
      <c r="B470">
        <v>177.88</v>
      </c>
      <c r="C470">
        <v>179.88</v>
      </c>
      <c r="D470">
        <v>189.88</v>
      </c>
      <c r="E470">
        <f t="shared" si="7"/>
        <v>144.05100000000002</v>
      </c>
      <c r="F470" t="str" cm="1">
        <f t="array" ref="F470">INDEX({"Pay as you go","Prediction_PACK","Prediction_Payasyougo","Competitor"},MATCH(MIN(A470:D470), A470:D470, 0))</f>
        <v>Pay as you go</v>
      </c>
    </row>
    <row r="471" spans="1:6" x14ac:dyDescent="0.25">
      <c r="A471">
        <v>125.23099999999999</v>
      </c>
      <c r="B471">
        <v>167.88</v>
      </c>
      <c r="C471">
        <v>179.88</v>
      </c>
      <c r="D471">
        <v>179.88</v>
      </c>
      <c r="E471">
        <f t="shared" si="7"/>
        <v>125.23099999999999</v>
      </c>
      <c r="F471" t="str" cm="1">
        <f t="array" ref="F471">INDEX({"Pay as you go","Prediction_PACK","Prediction_Payasyougo","Competitor"},MATCH(MIN(A471:D471), A471:D471, 0))</f>
        <v>Pay as you go</v>
      </c>
    </row>
    <row r="472" spans="1:6" x14ac:dyDescent="0.25">
      <c r="A472">
        <v>179.26399999999998</v>
      </c>
      <c r="B472">
        <v>197.88</v>
      </c>
      <c r="C472">
        <v>189.49426426436818</v>
      </c>
      <c r="D472">
        <v>209.88</v>
      </c>
      <c r="E472">
        <f t="shared" si="7"/>
        <v>179.26399999999998</v>
      </c>
      <c r="F472" t="str" cm="1">
        <f t="array" ref="F472">INDEX({"Pay as you go","Prediction_PACK","Prediction_Payasyougo","Competitor"},MATCH(MIN(A472:D472), A472:D472, 0))</f>
        <v>Pay as you go</v>
      </c>
    </row>
    <row r="473" spans="1:6" x14ac:dyDescent="0.25">
      <c r="A473">
        <v>96.7</v>
      </c>
      <c r="B473">
        <v>167.88</v>
      </c>
      <c r="C473">
        <v>179.88</v>
      </c>
      <c r="D473">
        <v>179.88</v>
      </c>
      <c r="E473">
        <f t="shared" si="7"/>
        <v>96.7</v>
      </c>
      <c r="F473" t="str" cm="1">
        <f t="array" ref="F473">INDEX({"Pay as you go","Prediction_PACK","Prediction_Payasyougo","Competitor"},MATCH(MIN(A473:D473), A473:D473, 0))</f>
        <v>Pay as you go</v>
      </c>
    </row>
    <row r="474" spans="1:6" x14ac:dyDescent="0.25">
      <c r="A474">
        <v>122.45100000000001</v>
      </c>
      <c r="B474">
        <v>167.88</v>
      </c>
      <c r="C474">
        <v>179.88</v>
      </c>
      <c r="D474">
        <v>179.88</v>
      </c>
      <c r="E474">
        <f t="shared" si="7"/>
        <v>122.45100000000001</v>
      </c>
      <c r="F474" t="str" cm="1">
        <f t="array" ref="F474">INDEX({"Pay as you go","Prediction_PACK","Prediction_Payasyougo","Competitor"},MATCH(MIN(A474:D474), A474:D474, 0))</f>
        <v>Pay as you go</v>
      </c>
    </row>
    <row r="475" spans="1:6" x14ac:dyDescent="0.25">
      <c r="A475">
        <v>102.994</v>
      </c>
      <c r="B475">
        <v>171.88</v>
      </c>
      <c r="C475">
        <v>179.88</v>
      </c>
      <c r="D475">
        <v>184.88</v>
      </c>
      <c r="E475">
        <f t="shared" si="7"/>
        <v>102.994</v>
      </c>
      <c r="F475" t="str" cm="1">
        <f t="array" ref="F475">INDEX({"Pay as you go","Prediction_PACK","Prediction_Payasyougo","Competitor"},MATCH(MIN(A475:D475), A475:D475, 0))</f>
        <v>Pay as you go</v>
      </c>
    </row>
    <row r="476" spans="1:6" x14ac:dyDescent="0.25">
      <c r="A476">
        <v>159.727</v>
      </c>
      <c r="B476">
        <v>187.88</v>
      </c>
      <c r="C476">
        <v>179.88</v>
      </c>
      <c r="D476">
        <v>199.88</v>
      </c>
      <c r="E476">
        <f t="shared" si="7"/>
        <v>159.727</v>
      </c>
      <c r="F476" t="str" cm="1">
        <f t="array" ref="F476">INDEX({"Pay as you go","Prediction_PACK","Prediction_Payasyougo","Competitor"},MATCH(MIN(A476:D476), A476:D476, 0))</f>
        <v>Pay as you go</v>
      </c>
    </row>
    <row r="477" spans="1:6" x14ac:dyDescent="0.25">
      <c r="A477">
        <v>190.154</v>
      </c>
      <c r="B477">
        <v>212.88</v>
      </c>
      <c r="C477">
        <v>225.78945693230159</v>
      </c>
      <c r="D477">
        <v>224.88</v>
      </c>
      <c r="E477">
        <f t="shared" si="7"/>
        <v>190.154</v>
      </c>
      <c r="F477" t="str" cm="1">
        <f t="array" ref="F477">INDEX({"Pay as you go","Prediction_PACK","Prediction_Payasyougo","Competitor"},MATCH(MIN(A477:D477), A477:D477, 0))</f>
        <v>Pay as you go</v>
      </c>
    </row>
    <row r="478" spans="1:6" x14ac:dyDescent="0.25">
      <c r="A478">
        <v>161.17600000000002</v>
      </c>
      <c r="B478">
        <v>177.88</v>
      </c>
      <c r="C478">
        <v>179.88</v>
      </c>
      <c r="D478">
        <v>189.88</v>
      </c>
      <c r="E478">
        <f t="shared" si="7"/>
        <v>161.17600000000002</v>
      </c>
      <c r="F478" t="str" cm="1">
        <f t="array" ref="F478">INDEX({"Pay as you go","Prediction_PACK","Prediction_Payasyougo","Competitor"},MATCH(MIN(A478:D478), A478:D478, 0))</f>
        <v>Pay as you go</v>
      </c>
    </row>
    <row r="479" spans="1:6" x14ac:dyDescent="0.25">
      <c r="A479">
        <v>131.07599999999999</v>
      </c>
      <c r="B479">
        <v>167.88</v>
      </c>
      <c r="C479">
        <v>179.88</v>
      </c>
      <c r="D479">
        <v>179.88</v>
      </c>
      <c r="E479">
        <f t="shared" si="7"/>
        <v>131.07599999999999</v>
      </c>
      <c r="F479" t="str" cm="1">
        <f t="array" ref="F479">INDEX({"Pay as you go","Prediction_PACK","Prediction_Payasyougo","Competitor"},MATCH(MIN(A479:D479), A479:D479, 0))</f>
        <v>Pay as you go</v>
      </c>
    </row>
    <row r="480" spans="1:6" x14ac:dyDescent="0.25">
      <c r="A480">
        <v>69.378</v>
      </c>
      <c r="B480">
        <v>167.88</v>
      </c>
      <c r="C480">
        <v>179.88</v>
      </c>
      <c r="D480">
        <v>179.88</v>
      </c>
      <c r="E480">
        <f t="shared" si="7"/>
        <v>69.378</v>
      </c>
      <c r="F480" t="str" cm="1">
        <f t="array" ref="F480">INDEX({"Pay as you go","Prediction_PACK","Prediction_Payasyougo","Competitor"},MATCH(MIN(A480:D480), A480:D480, 0))</f>
        <v>Pay as you go</v>
      </c>
    </row>
    <row r="481" spans="1:6" x14ac:dyDescent="0.25">
      <c r="A481">
        <v>98.533000000000001</v>
      </c>
      <c r="B481">
        <v>167.88</v>
      </c>
      <c r="C481">
        <v>179.88</v>
      </c>
      <c r="D481">
        <v>179.88</v>
      </c>
      <c r="E481">
        <f t="shared" si="7"/>
        <v>98.533000000000001</v>
      </c>
      <c r="F481" t="str" cm="1">
        <f t="array" ref="F481">INDEX({"Pay as you go","Prediction_PACK","Prediction_Payasyougo","Competitor"},MATCH(MIN(A481:D481), A481:D481, 0))</f>
        <v>Pay as you go</v>
      </c>
    </row>
    <row r="482" spans="1:6" x14ac:dyDescent="0.25">
      <c r="A482">
        <v>153.721</v>
      </c>
      <c r="B482">
        <v>177.88</v>
      </c>
      <c r="C482">
        <v>179.88</v>
      </c>
      <c r="D482">
        <v>189.88</v>
      </c>
      <c r="E482">
        <f t="shared" si="7"/>
        <v>153.721</v>
      </c>
      <c r="F482" t="str" cm="1">
        <f t="array" ref="F482">INDEX({"Pay as you go","Prediction_PACK","Prediction_Payasyougo","Competitor"},MATCH(MIN(A482:D482), A482:D482, 0))</f>
        <v>Pay as you go</v>
      </c>
    </row>
    <row r="483" spans="1:6" x14ac:dyDescent="0.25">
      <c r="A483">
        <v>86.316000000000003</v>
      </c>
      <c r="B483">
        <v>167.88</v>
      </c>
      <c r="C483">
        <v>179.88</v>
      </c>
      <c r="D483">
        <v>179.88</v>
      </c>
      <c r="E483">
        <f t="shared" si="7"/>
        <v>86.316000000000003</v>
      </c>
      <c r="F483" t="str" cm="1">
        <f t="array" ref="F483">INDEX({"Pay as you go","Prediction_PACK","Prediction_Payasyougo","Competitor"},MATCH(MIN(A483:D483), A483:D483, 0))</f>
        <v>Pay as you go</v>
      </c>
    </row>
    <row r="484" spans="1:6" x14ac:dyDescent="0.25">
      <c r="A484">
        <v>124.401</v>
      </c>
      <c r="B484">
        <v>177.88</v>
      </c>
      <c r="C484">
        <v>179.88</v>
      </c>
      <c r="D484">
        <v>189.88</v>
      </c>
      <c r="E484">
        <f t="shared" si="7"/>
        <v>124.401</v>
      </c>
      <c r="F484" t="str" cm="1">
        <f t="array" ref="F484">INDEX({"Pay as you go","Prediction_PACK","Prediction_Payasyougo","Competitor"},MATCH(MIN(A484:D484), A484:D484, 0))</f>
        <v>Pay as you go</v>
      </c>
    </row>
    <row r="485" spans="1:6" x14ac:dyDescent="0.25">
      <c r="A485">
        <v>104.878</v>
      </c>
      <c r="B485">
        <v>167.88</v>
      </c>
      <c r="C485">
        <v>179.88</v>
      </c>
      <c r="D485">
        <v>179.88</v>
      </c>
      <c r="E485">
        <f t="shared" si="7"/>
        <v>104.878</v>
      </c>
      <c r="F485" t="str" cm="1">
        <f t="array" ref="F485">INDEX({"Pay as you go","Prediction_PACK","Prediction_Payasyougo","Competitor"},MATCH(MIN(A485:D485), A485:D485, 0))</f>
        <v>Pay as you go</v>
      </c>
    </row>
    <row r="486" spans="1:6" x14ac:dyDescent="0.25">
      <c r="A486">
        <v>125.43</v>
      </c>
      <c r="B486">
        <v>167.88</v>
      </c>
      <c r="C486">
        <v>179.88</v>
      </c>
      <c r="D486">
        <v>179.88</v>
      </c>
      <c r="E486">
        <f t="shared" si="7"/>
        <v>125.43</v>
      </c>
      <c r="F486" t="str" cm="1">
        <f t="array" ref="F486">INDEX({"Pay as you go","Prediction_PACK","Prediction_Payasyougo","Competitor"},MATCH(MIN(A486:D486), A486:D486, 0))</f>
        <v>Pay as you go</v>
      </c>
    </row>
    <row r="487" spans="1:6" x14ac:dyDescent="0.25">
      <c r="A487">
        <v>125.498</v>
      </c>
      <c r="B487">
        <v>167.88</v>
      </c>
      <c r="C487">
        <v>179.88</v>
      </c>
      <c r="D487">
        <v>179.88</v>
      </c>
      <c r="E487">
        <f t="shared" si="7"/>
        <v>125.498</v>
      </c>
      <c r="F487" t="str" cm="1">
        <f t="array" ref="F487">INDEX({"Pay as you go","Prediction_PACK","Prediction_Payasyougo","Competitor"},MATCH(MIN(A487:D487), A487:D487, 0))</f>
        <v>Pay as you go</v>
      </c>
    </row>
    <row r="488" spans="1:6" x14ac:dyDescent="0.25">
      <c r="A488">
        <v>128.976</v>
      </c>
      <c r="B488">
        <v>175.88</v>
      </c>
      <c r="C488">
        <v>179.88</v>
      </c>
      <c r="D488">
        <v>189.88</v>
      </c>
      <c r="E488">
        <f t="shared" si="7"/>
        <v>128.976</v>
      </c>
      <c r="F488" t="str" cm="1">
        <f t="array" ref="F488">INDEX({"Pay as you go","Prediction_PACK","Prediction_Payasyougo","Competitor"},MATCH(MIN(A488:D488), A488:D488, 0))</f>
        <v>Pay as you go</v>
      </c>
    </row>
    <row r="489" spans="1:6" x14ac:dyDescent="0.25">
      <c r="A489">
        <v>92.057999999999993</v>
      </c>
      <c r="B489">
        <v>167.88</v>
      </c>
      <c r="C489">
        <v>179.88</v>
      </c>
      <c r="D489">
        <v>179.88</v>
      </c>
      <c r="E489">
        <f t="shared" si="7"/>
        <v>92.057999999999993</v>
      </c>
      <c r="F489" t="str" cm="1">
        <f t="array" ref="F489">INDEX({"Pay as you go","Prediction_PACK","Prediction_Payasyougo","Competitor"},MATCH(MIN(A489:D489), A489:D489, 0))</f>
        <v>Pay as you go</v>
      </c>
    </row>
    <row r="490" spans="1:6" x14ac:dyDescent="0.25">
      <c r="A490">
        <v>148.24</v>
      </c>
      <c r="B490">
        <v>187.88</v>
      </c>
      <c r="C490">
        <v>179.88</v>
      </c>
      <c r="D490">
        <v>199.88</v>
      </c>
      <c r="E490">
        <f t="shared" si="7"/>
        <v>148.24</v>
      </c>
      <c r="F490" t="str" cm="1">
        <f t="array" ref="F490">INDEX({"Pay as you go","Prediction_PACK","Prediction_Payasyougo","Competitor"},MATCH(MIN(A490:D490), A490:D490, 0))</f>
        <v>Pay as you go</v>
      </c>
    </row>
    <row r="491" spans="1:6" x14ac:dyDescent="0.25">
      <c r="A491">
        <v>115.188</v>
      </c>
      <c r="B491">
        <v>167.88</v>
      </c>
      <c r="C491">
        <v>179.88</v>
      </c>
      <c r="D491">
        <v>179.88</v>
      </c>
      <c r="E491">
        <f t="shared" si="7"/>
        <v>115.188</v>
      </c>
      <c r="F491" t="str" cm="1">
        <f t="array" ref="F491">INDEX({"Pay as you go","Prediction_PACK","Prediction_Payasyougo","Competitor"},MATCH(MIN(A491:D491), A491:D491, 0))</f>
        <v>Pay as you go</v>
      </c>
    </row>
    <row r="492" spans="1:6" x14ac:dyDescent="0.25">
      <c r="A492">
        <v>71.626000000000005</v>
      </c>
      <c r="B492">
        <v>167.88</v>
      </c>
      <c r="C492">
        <v>179.88</v>
      </c>
      <c r="D492">
        <v>179.88</v>
      </c>
      <c r="E492">
        <f t="shared" si="7"/>
        <v>71.626000000000005</v>
      </c>
      <c r="F492" t="str" cm="1">
        <f t="array" ref="F492">INDEX({"Pay as you go","Prediction_PACK","Prediction_Payasyougo","Competitor"},MATCH(MIN(A492:D492), A492:D492, 0))</f>
        <v>Pay as you go</v>
      </c>
    </row>
    <row r="493" spans="1:6" x14ac:dyDescent="0.25">
      <c r="A493">
        <v>124.11</v>
      </c>
      <c r="B493">
        <v>171.88</v>
      </c>
      <c r="C493">
        <v>179.88</v>
      </c>
      <c r="D493">
        <v>184.88</v>
      </c>
      <c r="E493">
        <f t="shared" si="7"/>
        <v>124.11</v>
      </c>
      <c r="F493" t="str" cm="1">
        <f t="array" ref="F493">INDEX({"Pay as you go","Prediction_PACK","Prediction_Payasyougo","Competitor"},MATCH(MIN(A493:D493), A493:D493, 0))</f>
        <v>Pay as you go</v>
      </c>
    </row>
    <row r="494" spans="1:6" x14ac:dyDescent="0.25">
      <c r="A494">
        <v>88.800000000000011</v>
      </c>
      <c r="B494">
        <v>167.88</v>
      </c>
      <c r="C494">
        <v>179.88</v>
      </c>
      <c r="D494">
        <v>179.88</v>
      </c>
      <c r="E494">
        <f t="shared" si="7"/>
        <v>88.800000000000011</v>
      </c>
      <c r="F494" t="str" cm="1">
        <f t="array" ref="F494">INDEX({"Pay as you go","Prediction_PACK","Prediction_Payasyougo","Competitor"},MATCH(MIN(A494:D494), A494:D494, 0))</f>
        <v>Pay as you go</v>
      </c>
    </row>
    <row r="495" spans="1:6" x14ac:dyDescent="0.25">
      <c r="A495">
        <v>73.218999999999994</v>
      </c>
      <c r="B495">
        <v>167.88</v>
      </c>
      <c r="C495">
        <v>179.88</v>
      </c>
      <c r="D495">
        <v>179.88</v>
      </c>
      <c r="E495">
        <f t="shared" si="7"/>
        <v>73.218999999999994</v>
      </c>
      <c r="F495" t="str" cm="1">
        <f t="array" ref="F495">INDEX({"Pay as you go","Prediction_PACK","Prediction_Payasyougo","Competitor"},MATCH(MIN(A495:D495), A495:D495, 0))</f>
        <v>Pay as you go</v>
      </c>
    </row>
    <row r="496" spans="1:6" x14ac:dyDescent="0.25">
      <c r="A496">
        <v>129.465</v>
      </c>
      <c r="B496">
        <v>167.88</v>
      </c>
      <c r="C496">
        <v>179.88</v>
      </c>
      <c r="D496">
        <v>179.88</v>
      </c>
      <c r="E496">
        <f t="shared" si="7"/>
        <v>129.465</v>
      </c>
      <c r="F496" t="str" cm="1">
        <f t="array" ref="F496">INDEX({"Pay as you go","Prediction_PACK","Prediction_Payasyougo","Competitor"},MATCH(MIN(A496:D496), A496:D496, 0))</f>
        <v>Pay as you go</v>
      </c>
    </row>
    <row r="497" spans="1:6" x14ac:dyDescent="0.25">
      <c r="A497">
        <v>107.14700000000001</v>
      </c>
      <c r="B497">
        <v>167.88</v>
      </c>
      <c r="C497">
        <v>179.88</v>
      </c>
      <c r="D497">
        <v>179.88</v>
      </c>
      <c r="E497">
        <f t="shared" si="7"/>
        <v>107.14700000000001</v>
      </c>
      <c r="F497" t="str" cm="1">
        <f t="array" ref="F497">INDEX({"Pay as you go","Prediction_PACK","Prediction_Payasyougo","Competitor"},MATCH(MIN(A497:D497), A497:D497, 0))</f>
        <v>Pay as you go</v>
      </c>
    </row>
    <row r="498" spans="1:6" x14ac:dyDescent="0.25">
      <c r="A498">
        <v>112.52900000000001</v>
      </c>
      <c r="B498">
        <v>167.88</v>
      </c>
      <c r="C498">
        <v>179.88</v>
      </c>
      <c r="D498">
        <v>179.88</v>
      </c>
      <c r="E498">
        <f t="shared" si="7"/>
        <v>112.52900000000001</v>
      </c>
      <c r="F498" t="str" cm="1">
        <f t="array" ref="F498">INDEX({"Pay as you go","Prediction_PACK","Prediction_Payasyougo","Competitor"},MATCH(MIN(A498:D498), A498:D498, 0))</f>
        <v>Pay as you go</v>
      </c>
    </row>
    <row r="499" spans="1:6" x14ac:dyDescent="0.25">
      <c r="A499">
        <v>77.034000000000006</v>
      </c>
      <c r="B499">
        <v>167.88</v>
      </c>
      <c r="C499">
        <v>179.88</v>
      </c>
      <c r="D499">
        <v>179.88</v>
      </c>
      <c r="E499">
        <f t="shared" si="7"/>
        <v>77.034000000000006</v>
      </c>
      <c r="F499" t="str" cm="1">
        <f t="array" ref="F499">INDEX({"Pay as you go","Prediction_PACK","Prediction_Payasyougo","Competitor"},MATCH(MIN(A499:D499), A499:D499, 0))</f>
        <v>Pay as you go</v>
      </c>
    </row>
    <row r="500" spans="1:6" x14ac:dyDescent="0.25">
      <c r="A500">
        <v>133.196</v>
      </c>
      <c r="B500">
        <v>167.88</v>
      </c>
      <c r="C500">
        <v>179.88</v>
      </c>
      <c r="D500">
        <v>179.88</v>
      </c>
      <c r="E500">
        <f t="shared" si="7"/>
        <v>133.196</v>
      </c>
      <c r="F500" t="str" cm="1">
        <f t="array" ref="F500">INDEX({"Pay as you go","Prediction_PACK","Prediction_Payasyougo","Competitor"},MATCH(MIN(A500:D500), A500:D500, 0))</f>
        <v>Pay as you go</v>
      </c>
    </row>
    <row r="501" spans="1:6" x14ac:dyDescent="0.25">
      <c r="A501">
        <v>96.391000000000005</v>
      </c>
      <c r="B501">
        <v>167.88</v>
      </c>
      <c r="C501">
        <v>179.88</v>
      </c>
      <c r="D501">
        <v>179.88</v>
      </c>
      <c r="E501">
        <f t="shared" si="7"/>
        <v>96.391000000000005</v>
      </c>
      <c r="F501" t="str" cm="1">
        <f t="array" ref="F501">INDEX({"Pay as you go","Prediction_PACK","Prediction_Payasyougo","Competitor"},MATCH(MIN(A501:D501), A501:D501, 0))</f>
        <v>Pay as you go</v>
      </c>
    </row>
    <row r="502" spans="1:6" x14ac:dyDescent="0.25">
      <c r="A502">
        <v>84.453999999999994</v>
      </c>
      <c r="B502">
        <v>167.88</v>
      </c>
      <c r="C502">
        <v>179.88</v>
      </c>
      <c r="D502">
        <v>179.88</v>
      </c>
      <c r="E502">
        <f t="shared" si="7"/>
        <v>84.453999999999994</v>
      </c>
      <c r="F502" t="str" cm="1">
        <f t="array" ref="F502">INDEX({"Pay as you go","Prediction_PACK","Prediction_Payasyougo","Competitor"},MATCH(MIN(A502:D502), A502:D502, 0))</f>
        <v>Pay as you go</v>
      </c>
    </row>
    <row r="503" spans="1:6" x14ac:dyDescent="0.25">
      <c r="A503">
        <v>117.48700000000001</v>
      </c>
      <c r="B503">
        <v>167.88</v>
      </c>
      <c r="C503">
        <v>179.88</v>
      </c>
      <c r="D503">
        <v>179.88</v>
      </c>
      <c r="E503">
        <f t="shared" si="7"/>
        <v>117.48700000000001</v>
      </c>
      <c r="F503" t="str" cm="1">
        <f t="array" ref="F503">INDEX({"Pay as you go","Prediction_PACK","Prediction_Payasyougo","Competitor"},MATCH(MIN(A503:D503), A503:D503, 0))</f>
        <v>Pay as you go</v>
      </c>
    </row>
    <row r="504" spans="1:6" x14ac:dyDescent="0.25">
      <c r="A504">
        <v>155.548</v>
      </c>
      <c r="B504">
        <v>187.88</v>
      </c>
      <c r="C504">
        <v>179.88</v>
      </c>
      <c r="D504">
        <v>199.88</v>
      </c>
      <c r="E504">
        <f t="shared" si="7"/>
        <v>155.548</v>
      </c>
      <c r="F504" t="str" cm="1">
        <f t="array" ref="F504">INDEX({"Pay as you go","Prediction_PACK","Prediction_Payasyougo","Competitor"},MATCH(MIN(A504:D504), A504:D504, 0))</f>
        <v>Pay as you go</v>
      </c>
    </row>
    <row r="505" spans="1:6" x14ac:dyDescent="0.25">
      <c r="A505">
        <v>166.86500000000001</v>
      </c>
      <c r="B505">
        <v>175.88</v>
      </c>
      <c r="C505">
        <v>179.88</v>
      </c>
      <c r="D505">
        <v>189.88</v>
      </c>
      <c r="E505">
        <f t="shared" si="7"/>
        <v>166.86500000000001</v>
      </c>
      <c r="F505" t="str" cm="1">
        <f t="array" ref="F505">INDEX({"Pay as you go","Prediction_PACK","Prediction_Payasyougo","Competitor"},MATCH(MIN(A505:D505), A505:D505, 0))</f>
        <v>Pay as you go</v>
      </c>
    </row>
    <row r="506" spans="1:6" x14ac:dyDescent="0.25">
      <c r="A506">
        <v>122.15700000000001</v>
      </c>
      <c r="B506">
        <v>177.88</v>
      </c>
      <c r="C506">
        <v>179.88</v>
      </c>
      <c r="D506">
        <v>189.88</v>
      </c>
      <c r="E506">
        <f t="shared" si="7"/>
        <v>122.15700000000001</v>
      </c>
      <c r="F506" t="str" cm="1">
        <f t="array" ref="F506">INDEX({"Pay as you go","Prediction_PACK","Prediction_Payasyougo","Competitor"},MATCH(MIN(A506:D506), A506:D506, 0))</f>
        <v>Pay as you go</v>
      </c>
    </row>
    <row r="507" spans="1:6" x14ac:dyDescent="0.25">
      <c r="A507">
        <v>89.994</v>
      </c>
      <c r="B507">
        <v>167.88</v>
      </c>
      <c r="C507">
        <v>179.88</v>
      </c>
      <c r="D507">
        <v>179.88</v>
      </c>
      <c r="E507">
        <f t="shared" si="7"/>
        <v>89.994</v>
      </c>
      <c r="F507" t="str" cm="1">
        <f t="array" ref="F507">INDEX({"Pay as you go","Prediction_PACK","Prediction_Payasyougo","Competitor"},MATCH(MIN(A507:D507), A507:D507, 0))</f>
        <v>Pay as you go</v>
      </c>
    </row>
    <row r="508" spans="1:6" x14ac:dyDescent="0.25">
      <c r="A508">
        <v>119.893</v>
      </c>
      <c r="B508">
        <v>182.88</v>
      </c>
      <c r="C508">
        <v>180.03922929057239</v>
      </c>
      <c r="D508">
        <v>194.88</v>
      </c>
      <c r="E508">
        <f t="shared" si="7"/>
        <v>119.893</v>
      </c>
      <c r="F508" t="str" cm="1">
        <f t="array" ref="F508">INDEX({"Pay as you go","Prediction_PACK","Prediction_Payasyougo","Competitor"},MATCH(MIN(A508:D508), A508:D508, 0))</f>
        <v>Pay as you go</v>
      </c>
    </row>
    <row r="509" spans="1:6" x14ac:dyDescent="0.25">
      <c r="A509">
        <v>133.785</v>
      </c>
      <c r="B509">
        <v>167.88</v>
      </c>
      <c r="C509">
        <v>179.88</v>
      </c>
      <c r="D509">
        <v>179.88</v>
      </c>
      <c r="E509">
        <f t="shared" si="7"/>
        <v>133.785</v>
      </c>
      <c r="F509" t="str" cm="1">
        <f t="array" ref="F509">INDEX({"Pay as you go","Prediction_PACK","Prediction_Payasyougo","Competitor"},MATCH(MIN(A509:D509), A509:D509, 0))</f>
        <v>Pay as you go</v>
      </c>
    </row>
    <row r="510" spans="1:6" x14ac:dyDescent="0.25">
      <c r="A510">
        <v>126.47</v>
      </c>
      <c r="B510">
        <v>167.88</v>
      </c>
      <c r="C510">
        <v>179.88</v>
      </c>
      <c r="D510">
        <v>179.88</v>
      </c>
      <c r="E510">
        <f t="shared" si="7"/>
        <v>126.47</v>
      </c>
      <c r="F510" t="str" cm="1">
        <f t="array" ref="F510">INDEX({"Pay as you go","Prediction_PACK","Prediction_Payasyougo","Competitor"},MATCH(MIN(A510:D510), A510:D510, 0))</f>
        <v>Pay as you go</v>
      </c>
    </row>
    <row r="511" spans="1:6" x14ac:dyDescent="0.25">
      <c r="A511">
        <v>87.914999999999992</v>
      </c>
      <c r="B511">
        <v>171.88</v>
      </c>
      <c r="C511">
        <v>179.88</v>
      </c>
      <c r="D511">
        <v>184.88</v>
      </c>
      <c r="E511">
        <f t="shared" si="7"/>
        <v>87.914999999999992</v>
      </c>
      <c r="F511" t="str" cm="1">
        <f t="array" ref="F511">INDEX({"Pay as you go","Prediction_PACK","Prediction_Payasyougo","Competitor"},MATCH(MIN(A511:D511), A511:D511, 0))</f>
        <v>Pay as you go</v>
      </c>
    </row>
    <row r="512" spans="1:6" x14ac:dyDescent="0.25">
      <c r="A512">
        <v>82.319000000000003</v>
      </c>
      <c r="B512">
        <v>167.88</v>
      </c>
      <c r="C512">
        <v>179.88</v>
      </c>
      <c r="D512">
        <v>179.88</v>
      </c>
      <c r="E512">
        <f t="shared" si="7"/>
        <v>82.319000000000003</v>
      </c>
      <c r="F512" t="str" cm="1">
        <f t="array" ref="F512">INDEX({"Pay as you go","Prediction_PACK","Prediction_Payasyougo","Competitor"},MATCH(MIN(A512:D512), A512:D512, 0))</f>
        <v>Pay as you go</v>
      </c>
    </row>
    <row r="513" spans="1:6" x14ac:dyDescent="0.25">
      <c r="A513">
        <v>93.738</v>
      </c>
      <c r="B513">
        <v>167.88</v>
      </c>
      <c r="C513">
        <v>179.88</v>
      </c>
      <c r="D513">
        <v>179.88</v>
      </c>
      <c r="E513">
        <f t="shared" si="7"/>
        <v>93.738</v>
      </c>
      <c r="F513" t="str" cm="1">
        <f t="array" ref="F513">INDEX({"Pay as you go","Prediction_PACK","Prediction_Payasyougo","Competitor"},MATCH(MIN(A513:D513), A513:D513, 0))</f>
        <v>Pay as you go</v>
      </c>
    </row>
    <row r="514" spans="1:6" x14ac:dyDescent="0.25">
      <c r="A514">
        <v>111.402</v>
      </c>
      <c r="B514">
        <v>167.88</v>
      </c>
      <c r="C514">
        <v>179.88</v>
      </c>
      <c r="D514">
        <v>179.88</v>
      </c>
      <c r="E514">
        <f t="shared" si="7"/>
        <v>111.402</v>
      </c>
      <c r="F514" t="str" cm="1">
        <f t="array" ref="F514">INDEX({"Pay as you go","Prediction_PACK","Prediction_Payasyougo","Competitor"},MATCH(MIN(A514:D514), A514:D514, 0))</f>
        <v>Pay as you go</v>
      </c>
    </row>
    <row r="515" spans="1:6" x14ac:dyDescent="0.25">
      <c r="A515">
        <v>194.67999999999998</v>
      </c>
      <c r="B515">
        <v>197.88</v>
      </c>
      <c r="C515">
        <v>198.8823404150082</v>
      </c>
      <c r="D515">
        <v>209.88</v>
      </c>
      <c r="E515">
        <f t="shared" si="7"/>
        <v>194.67999999999998</v>
      </c>
      <c r="F515" t="str" cm="1">
        <f t="array" ref="F515">INDEX({"Pay as you go","Prediction_PACK","Prediction_Payasyougo","Competitor"},MATCH(MIN(A515:D515), A515:D515, 0))</f>
        <v>Pay as you go</v>
      </c>
    </row>
    <row r="516" spans="1:6" x14ac:dyDescent="0.25">
      <c r="A516">
        <v>82.414999999999992</v>
      </c>
      <c r="B516">
        <v>167.88</v>
      </c>
      <c r="C516">
        <v>179.88</v>
      </c>
      <c r="D516">
        <v>179.88</v>
      </c>
      <c r="E516">
        <f t="shared" si="7"/>
        <v>82.414999999999992</v>
      </c>
      <c r="F516" t="str" cm="1">
        <f t="array" ref="F516">INDEX({"Pay as you go","Prediction_PACK","Prediction_Payasyougo","Competitor"},MATCH(MIN(A516:D516), A516:D516, 0))</f>
        <v>Pay as you go</v>
      </c>
    </row>
    <row r="517" spans="1:6" x14ac:dyDescent="0.25">
      <c r="A517">
        <v>105.67099999999999</v>
      </c>
      <c r="B517">
        <v>175.88</v>
      </c>
      <c r="C517">
        <v>179.88</v>
      </c>
      <c r="D517">
        <v>189.88</v>
      </c>
      <c r="E517">
        <f t="shared" si="7"/>
        <v>105.67099999999999</v>
      </c>
      <c r="F517" t="str" cm="1">
        <f t="array" ref="F517">INDEX({"Pay as you go","Prediction_PACK","Prediction_Payasyougo","Competitor"},MATCH(MIN(A517:D517), A517:D517, 0))</f>
        <v>Pay as you go</v>
      </c>
    </row>
    <row r="518" spans="1:6" x14ac:dyDescent="0.25">
      <c r="A518">
        <v>117.569</v>
      </c>
      <c r="B518">
        <v>177.88</v>
      </c>
      <c r="C518">
        <v>179.88</v>
      </c>
      <c r="D518">
        <v>189.88</v>
      </c>
      <c r="E518">
        <f t="shared" si="7"/>
        <v>117.569</v>
      </c>
      <c r="F518" t="str" cm="1">
        <f t="array" ref="F518">INDEX({"Pay as you go","Prediction_PACK","Prediction_Payasyougo","Competitor"},MATCH(MIN(A518:D518), A518:D518, 0))</f>
        <v>Pay as you go</v>
      </c>
    </row>
    <row r="519" spans="1:6" x14ac:dyDescent="0.25">
      <c r="A519">
        <v>107.41500000000001</v>
      </c>
      <c r="B519">
        <v>182.88</v>
      </c>
      <c r="C519">
        <v>184.7419963818096</v>
      </c>
      <c r="D519">
        <v>194.88</v>
      </c>
      <c r="E519">
        <f t="shared" si="7"/>
        <v>107.41500000000001</v>
      </c>
      <c r="F519" t="str" cm="1">
        <f t="array" ref="F519">INDEX({"Pay as you go","Prediction_PACK","Prediction_Payasyougo","Competitor"},MATCH(MIN(A519:D519), A519:D519, 0))</f>
        <v>Pay as you go</v>
      </c>
    </row>
    <row r="520" spans="1:6" x14ac:dyDescent="0.25">
      <c r="A520">
        <v>84.813999999999993</v>
      </c>
      <c r="B520">
        <v>167.88</v>
      </c>
      <c r="C520">
        <v>179.88</v>
      </c>
      <c r="D520">
        <v>179.88</v>
      </c>
      <c r="E520">
        <f t="shared" ref="E520:E583" si="8">MIN(A520:D520)</f>
        <v>84.813999999999993</v>
      </c>
      <c r="F520" t="str" cm="1">
        <f t="array" ref="F520">INDEX({"Pay as you go","Prediction_PACK","Prediction_Payasyougo","Competitor"},MATCH(MIN(A520:D520), A520:D520, 0))</f>
        <v>Pay as you go</v>
      </c>
    </row>
    <row r="521" spans="1:6" x14ac:dyDescent="0.25">
      <c r="A521">
        <v>155.505</v>
      </c>
      <c r="B521">
        <v>179.88</v>
      </c>
      <c r="C521">
        <v>179.88</v>
      </c>
      <c r="D521">
        <v>194.88</v>
      </c>
      <c r="E521">
        <f t="shared" si="8"/>
        <v>155.505</v>
      </c>
      <c r="F521" t="str" cm="1">
        <f t="array" ref="F521">INDEX({"Pay as you go","Prediction_PACK","Prediction_Payasyougo","Competitor"},MATCH(MIN(A521:D521), A521:D521, 0))</f>
        <v>Pay as you go</v>
      </c>
    </row>
    <row r="522" spans="1:6" x14ac:dyDescent="0.25">
      <c r="A522">
        <v>171.25399999999999</v>
      </c>
      <c r="B522">
        <v>187.88</v>
      </c>
      <c r="C522">
        <v>179.88</v>
      </c>
      <c r="D522">
        <v>199.88</v>
      </c>
      <c r="E522">
        <f t="shared" si="8"/>
        <v>171.25399999999999</v>
      </c>
      <c r="F522" t="str" cm="1">
        <f t="array" ref="F522">INDEX({"Pay as you go","Prediction_PACK","Prediction_Payasyougo","Competitor"},MATCH(MIN(A522:D522), A522:D522, 0))</f>
        <v>Pay as you go</v>
      </c>
    </row>
    <row r="523" spans="1:6" x14ac:dyDescent="0.25">
      <c r="A523">
        <v>108.81</v>
      </c>
      <c r="B523">
        <v>167.88</v>
      </c>
      <c r="C523">
        <v>179.88</v>
      </c>
      <c r="D523">
        <v>179.88</v>
      </c>
      <c r="E523">
        <f t="shared" si="8"/>
        <v>108.81</v>
      </c>
      <c r="F523" t="str" cm="1">
        <f t="array" ref="F523">INDEX({"Pay as you go","Prediction_PACK","Prediction_Payasyougo","Competitor"},MATCH(MIN(A523:D523), A523:D523, 0))</f>
        <v>Pay as you go</v>
      </c>
    </row>
    <row r="524" spans="1:6" x14ac:dyDescent="0.25">
      <c r="A524">
        <v>125.599</v>
      </c>
      <c r="B524">
        <v>167.88</v>
      </c>
      <c r="C524">
        <v>179.88</v>
      </c>
      <c r="D524">
        <v>179.88</v>
      </c>
      <c r="E524">
        <f t="shared" si="8"/>
        <v>125.599</v>
      </c>
      <c r="F524" t="str" cm="1">
        <f t="array" ref="F524">INDEX({"Pay as you go","Prediction_PACK","Prediction_Payasyougo","Competitor"},MATCH(MIN(A524:D524), A524:D524, 0))</f>
        <v>Pay as you go</v>
      </c>
    </row>
    <row r="525" spans="1:6" x14ac:dyDescent="0.25">
      <c r="A525">
        <v>148.38800000000001</v>
      </c>
      <c r="B525">
        <v>177.88</v>
      </c>
      <c r="C525">
        <v>179.88</v>
      </c>
      <c r="D525">
        <v>189.88</v>
      </c>
      <c r="E525">
        <f t="shared" si="8"/>
        <v>148.38800000000001</v>
      </c>
      <c r="F525" t="str" cm="1">
        <f t="array" ref="F525">INDEX({"Pay as you go","Prediction_PACK","Prediction_Payasyougo","Competitor"},MATCH(MIN(A525:D525), A525:D525, 0))</f>
        <v>Pay as you go</v>
      </c>
    </row>
    <row r="526" spans="1:6" x14ac:dyDescent="0.25">
      <c r="A526">
        <v>102.883</v>
      </c>
      <c r="B526">
        <v>167.88</v>
      </c>
      <c r="C526">
        <v>179.88</v>
      </c>
      <c r="D526">
        <v>179.88</v>
      </c>
      <c r="E526">
        <f t="shared" si="8"/>
        <v>102.883</v>
      </c>
      <c r="F526" t="str" cm="1">
        <f t="array" ref="F526">INDEX({"Pay as you go","Prediction_PACK","Prediction_Payasyougo","Competitor"},MATCH(MIN(A526:D526), A526:D526, 0))</f>
        <v>Pay as you go</v>
      </c>
    </row>
    <row r="527" spans="1:6" x14ac:dyDescent="0.25">
      <c r="A527">
        <v>137.53300000000002</v>
      </c>
      <c r="B527">
        <v>171.88</v>
      </c>
      <c r="C527">
        <v>179.88</v>
      </c>
      <c r="D527">
        <v>184.88</v>
      </c>
      <c r="E527">
        <f t="shared" si="8"/>
        <v>137.53300000000002</v>
      </c>
      <c r="F527" t="str" cm="1">
        <f t="array" ref="F527">INDEX({"Pay as you go","Prediction_PACK","Prediction_Payasyougo","Competitor"},MATCH(MIN(A527:D527), A527:D527, 0))</f>
        <v>Pay as you go</v>
      </c>
    </row>
    <row r="528" spans="1:6" x14ac:dyDescent="0.25">
      <c r="A528">
        <v>228.03900000000002</v>
      </c>
      <c r="B528">
        <v>207.88</v>
      </c>
      <c r="C528">
        <v>197.06448045742889</v>
      </c>
      <c r="D528">
        <v>219.88</v>
      </c>
      <c r="E528">
        <f t="shared" si="8"/>
        <v>197.06448045742889</v>
      </c>
      <c r="F528" t="str" cm="1">
        <f t="array" ref="F528">INDEX({"Pay as you go","Prediction_PACK","Prediction_Payasyougo","Competitor"},MATCH(MIN(A528:D528), A528:D528, 0))</f>
        <v>Prediction_Payasyougo</v>
      </c>
    </row>
    <row r="529" spans="1:6" x14ac:dyDescent="0.25">
      <c r="A529">
        <v>91.756</v>
      </c>
      <c r="B529">
        <v>167.88</v>
      </c>
      <c r="C529">
        <v>179.88</v>
      </c>
      <c r="D529">
        <v>179.88</v>
      </c>
      <c r="E529">
        <f t="shared" si="8"/>
        <v>91.756</v>
      </c>
      <c r="F529" t="str" cm="1">
        <f t="array" ref="F529">INDEX({"Pay as you go","Prediction_PACK","Prediction_Payasyougo","Competitor"},MATCH(MIN(A529:D529), A529:D529, 0))</f>
        <v>Pay as you go</v>
      </c>
    </row>
    <row r="530" spans="1:6" x14ac:dyDescent="0.25">
      <c r="A530">
        <v>185.92700000000002</v>
      </c>
      <c r="B530">
        <v>197.88</v>
      </c>
      <c r="C530">
        <v>179.88</v>
      </c>
      <c r="D530">
        <v>209.88</v>
      </c>
      <c r="E530">
        <f t="shared" si="8"/>
        <v>179.88</v>
      </c>
      <c r="F530" t="str" cm="1">
        <f t="array" ref="F530">INDEX({"Pay as you go","Prediction_PACK","Prediction_Payasyougo","Competitor"},MATCH(MIN(A530:D530), A530:D530, 0))</f>
        <v>Prediction_Payasyougo</v>
      </c>
    </row>
    <row r="531" spans="1:6" x14ac:dyDescent="0.25">
      <c r="A531">
        <v>112.11</v>
      </c>
      <c r="B531">
        <v>175.88</v>
      </c>
      <c r="C531">
        <v>179.88</v>
      </c>
      <c r="D531">
        <v>189.88</v>
      </c>
      <c r="E531">
        <f t="shared" si="8"/>
        <v>112.11</v>
      </c>
      <c r="F531" t="str" cm="1">
        <f t="array" ref="F531">INDEX({"Pay as you go","Prediction_PACK","Prediction_Payasyougo","Competitor"},MATCH(MIN(A531:D531), A531:D531, 0))</f>
        <v>Pay as you go</v>
      </c>
    </row>
    <row r="532" spans="1:6" x14ac:dyDescent="0.25">
      <c r="A532">
        <v>174.00600000000003</v>
      </c>
      <c r="B532">
        <v>167.88</v>
      </c>
      <c r="C532">
        <v>179.88</v>
      </c>
      <c r="D532">
        <v>179.88</v>
      </c>
      <c r="E532">
        <f t="shared" si="8"/>
        <v>167.88</v>
      </c>
      <c r="F532" t="str" cm="1">
        <f t="array" ref="F532">INDEX({"Pay as you go","Prediction_PACK","Prediction_Payasyougo","Competitor"},MATCH(MIN(A532:D532), A532:D532, 0))</f>
        <v>Prediction_PACK</v>
      </c>
    </row>
    <row r="533" spans="1:6" x14ac:dyDescent="0.25">
      <c r="A533">
        <v>191.31099999999998</v>
      </c>
      <c r="B533">
        <v>212.88</v>
      </c>
      <c r="C533">
        <v>210.88710421270861</v>
      </c>
      <c r="D533">
        <v>224.88</v>
      </c>
      <c r="E533">
        <f t="shared" si="8"/>
        <v>191.31099999999998</v>
      </c>
      <c r="F533" t="str" cm="1">
        <f t="array" ref="F533">INDEX({"Pay as you go","Prediction_PACK","Prediction_Payasyougo","Competitor"},MATCH(MIN(A533:D533), A533:D533, 0))</f>
        <v>Pay as you go</v>
      </c>
    </row>
    <row r="534" spans="1:6" x14ac:dyDescent="0.25">
      <c r="A534">
        <v>91.251999999999995</v>
      </c>
      <c r="B534">
        <v>167.88</v>
      </c>
      <c r="C534">
        <v>179.88</v>
      </c>
      <c r="D534">
        <v>179.88</v>
      </c>
      <c r="E534">
        <f t="shared" si="8"/>
        <v>91.251999999999995</v>
      </c>
      <c r="F534" t="str" cm="1">
        <f t="array" ref="F534">INDEX({"Pay as you go","Prediction_PACK","Prediction_Payasyougo","Competitor"},MATCH(MIN(A534:D534), A534:D534, 0))</f>
        <v>Pay as you go</v>
      </c>
    </row>
    <row r="535" spans="1:6" x14ac:dyDescent="0.25">
      <c r="A535">
        <v>175.774</v>
      </c>
      <c r="B535">
        <v>197.88</v>
      </c>
      <c r="C535">
        <v>187.94562349144439</v>
      </c>
      <c r="D535">
        <v>209.88</v>
      </c>
      <c r="E535">
        <f t="shared" si="8"/>
        <v>175.774</v>
      </c>
      <c r="F535" t="str" cm="1">
        <f t="array" ref="F535">INDEX({"Pay as you go","Prediction_PACK","Prediction_Payasyougo","Competitor"},MATCH(MIN(A535:D535), A535:D535, 0))</f>
        <v>Pay as you go</v>
      </c>
    </row>
    <row r="536" spans="1:6" x14ac:dyDescent="0.25">
      <c r="A536">
        <v>98.620999999999995</v>
      </c>
      <c r="B536">
        <v>167.88</v>
      </c>
      <c r="C536">
        <v>179.88</v>
      </c>
      <c r="D536">
        <v>179.88</v>
      </c>
      <c r="E536">
        <f t="shared" si="8"/>
        <v>98.620999999999995</v>
      </c>
      <c r="F536" t="str" cm="1">
        <f t="array" ref="F536">INDEX({"Pay as you go","Prediction_PACK","Prediction_Payasyougo","Competitor"},MATCH(MIN(A536:D536), A536:D536, 0))</f>
        <v>Pay as you go</v>
      </c>
    </row>
    <row r="537" spans="1:6" x14ac:dyDescent="0.25">
      <c r="A537">
        <v>154.59800000000001</v>
      </c>
      <c r="B537">
        <v>177.88</v>
      </c>
      <c r="C537">
        <v>179.88</v>
      </c>
      <c r="D537">
        <v>189.88</v>
      </c>
      <c r="E537">
        <f t="shared" si="8"/>
        <v>154.59800000000001</v>
      </c>
      <c r="F537" t="str" cm="1">
        <f t="array" ref="F537">INDEX({"Pay as you go","Prediction_PACK","Prediction_Payasyougo","Competitor"},MATCH(MIN(A537:D537), A537:D537, 0))</f>
        <v>Pay as you go</v>
      </c>
    </row>
    <row r="538" spans="1:6" x14ac:dyDescent="0.25">
      <c r="A538">
        <v>93.414000000000001</v>
      </c>
      <c r="B538">
        <v>167.88</v>
      </c>
      <c r="C538">
        <v>179.88</v>
      </c>
      <c r="D538">
        <v>179.88</v>
      </c>
      <c r="E538">
        <f t="shared" si="8"/>
        <v>93.414000000000001</v>
      </c>
      <c r="F538" t="str" cm="1">
        <f t="array" ref="F538">INDEX({"Pay as you go","Prediction_PACK","Prediction_Payasyougo","Competitor"},MATCH(MIN(A538:D538), A538:D538, 0))</f>
        <v>Pay as you go</v>
      </c>
    </row>
    <row r="539" spans="1:6" x14ac:dyDescent="0.25">
      <c r="A539">
        <v>124.78400000000001</v>
      </c>
      <c r="B539">
        <v>175.88</v>
      </c>
      <c r="C539">
        <v>179.88</v>
      </c>
      <c r="D539">
        <v>189.88</v>
      </c>
      <c r="E539">
        <f t="shared" si="8"/>
        <v>124.78400000000001</v>
      </c>
      <c r="F539" t="str" cm="1">
        <f t="array" ref="F539">INDEX({"Pay as you go","Prediction_PACK","Prediction_Payasyougo","Competitor"},MATCH(MIN(A539:D539), A539:D539, 0))</f>
        <v>Pay as you go</v>
      </c>
    </row>
    <row r="540" spans="1:6" x14ac:dyDescent="0.25">
      <c r="A540">
        <v>88.614000000000004</v>
      </c>
      <c r="B540">
        <v>167.88</v>
      </c>
      <c r="C540">
        <v>179.88</v>
      </c>
      <c r="D540">
        <v>179.88</v>
      </c>
      <c r="E540">
        <f t="shared" si="8"/>
        <v>88.614000000000004</v>
      </c>
      <c r="F540" t="str" cm="1">
        <f t="array" ref="F540">INDEX({"Pay as you go","Prediction_PACK","Prediction_Payasyougo","Competitor"},MATCH(MIN(A540:D540), A540:D540, 0))</f>
        <v>Pay as you go</v>
      </c>
    </row>
    <row r="541" spans="1:6" x14ac:dyDescent="0.25">
      <c r="A541">
        <v>126.449</v>
      </c>
      <c r="B541">
        <v>167.88</v>
      </c>
      <c r="C541">
        <v>179.88</v>
      </c>
      <c r="D541">
        <v>179.88</v>
      </c>
      <c r="E541">
        <f t="shared" si="8"/>
        <v>126.449</v>
      </c>
      <c r="F541" t="str" cm="1">
        <f t="array" ref="F541">INDEX({"Pay as you go","Prediction_PACK","Prediction_Payasyougo","Competitor"},MATCH(MIN(A541:D541), A541:D541, 0))</f>
        <v>Pay as you go</v>
      </c>
    </row>
    <row r="542" spans="1:6" x14ac:dyDescent="0.25">
      <c r="A542">
        <v>81.850999999999999</v>
      </c>
      <c r="B542">
        <v>167.88</v>
      </c>
      <c r="C542">
        <v>179.88</v>
      </c>
      <c r="D542">
        <v>179.88</v>
      </c>
      <c r="E542">
        <f t="shared" si="8"/>
        <v>81.850999999999999</v>
      </c>
      <c r="F542" t="str" cm="1">
        <f t="array" ref="F542">INDEX({"Pay as you go","Prediction_PACK","Prediction_Payasyougo","Competitor"},MATCH(MIN(A542:D542), A542:D542, 0))</f>
        <v>Pay as you go</v>
      </c>
    </row>
    <row r="543" spans="1:6" x14ac:dyDescent="0.25">
      <c r="A543">
        <v>72.271999999999991</v>
      </c>
      <c r="B543">
        <v>167.88</v>
      </c>
      <c r="C543">
        <v>179.88</v>
      </c>
      <c r="D543">
        <v>179.88</v>
      </c>
      <c r="E543">
        <f t="shared" si="8"/>
        <v>72.271999999999991</v>
      </c>
      <c r="F543" t="str" cm="1">
        <f t="array" ref="F543">INDEX({"Pay as you go","Prediction_PACK","Prediction_Payasyougo","Competitor"},MATCH(MIN(A543:D543), A543:D543, 0))</f>
        <v>Pay as you go</v>
      </c>
    </row>
    <row r="544" spans="1:6" x14ac:dyDescent="0.25">
      <c r="A544">
        <v>108.32600000000001</v>
      </c>
      <c r="B544">
        <v>171.88</v>
      </c>
      <c r="C544">
        <v>179.88</v>
      </c>
      <c r="D544">
        <v>184.88</v>
      </c>
      <c r="E544">
        <f t="shared" si="8"/>
        <v>108.32600000000001</v>
      </c>
      <c r="F544" t="str" cm="1">
        <f t="array" ref="F544">INDEX({"Pay as you go","Prediction_PACK","Prediction_Payasyougo","Competitor"},MATCH(MIN(A544:D544), A544:D544, 0))</f>
        <v>Pay as you go</v>
      </c>
    </row>
    <row r="545" spans="1:6" x14ac:dyDescent="0.25">
      <c r="A545">
        <v>131.49</v>
      </c>
      <c r="B545">
        <v>182.88</v>
      </c>
      <c r="C545">
        <v>183.1821890915067</v>
      </c>
      <c r="D545">
        <v>194.88</v>
      </c>
      <c r="E545">
        <f t="shared" si="8"/>
        <v>131.49</v>
      </c>
      <c r="F545" t="str" cm="1">
        <f t="array" ref="F545">INDEX({"Pay as you go","Prediction_PACK","Prediction_Payasyougo","Competitor"},MATCH(MIN(A545:D545), A545:D545, 0))</f>
        <v>Pay as you go</v>
      </c>
    </row>
    <row r="546" spans="1:6" x14ac:dyDescent="0.25">
      <c r="A546">
        <v>90.515000000000001</v>
      </c>
      <c r="B546">
        <v>167.88</v>
      </c>
      <c r="C546">
        <v>179.88</v>
      </c>
      <c r="D546">
        <v>179.88</v>
      </c>
      <c r="E546">
        <f t="shared" si="8"/>
        <v>90.515000000000001</v>
      </c>
      <c r="F546" t="str" cm="1">
        <f t="array" ref="F546">INDEX({"Pay as you go","Prediction_PACK","Prediction_Payasyougo","Competitor"},MATCH(MIN(A546:D546), A546:D546, 0))</f>
        <v>Pay as you go</v>
      </c>
    </row>
    <row r="547" spans="1:6" x14ac:dyDescent="0.25">
      <c r="A547">
        <v>157.85399999999998</v>
      </c>
      <c r="B547">
        <v>197.88</v>
      </c>
      <c r="C547">
        <v>180.5330026153608</v>
      </c>
      <c r="D547">
        <v>209.88</v>
      </c>
      <c r="E547">
        <f t="shared" si="8"/>
        <v>157.85399999999998</v>
      </c>
      <c r="F547" t="str" cm="1">
        <f t="array" ref="F547">INDEX({"Pay as you go","Prediction_PACK","Prediction_Payasyougo","Competitor"},MATCH(MIN(A547:D547), A547:D547, 0))</f>
        <v>Pay as you go</v>
      </c>
    </row>
    <row r="548" spans="1:6" x14ac:dyDescent="0.25">
      <c r="A548">
        <v>190.13200000000001</v>
      </c>
      <c r="B548">
        <v>207.88</v>
      </c>
      <c r="C548">
        <v>213.49781757729721</v>
      </c>
      <c r="D548">
        <v>219.88</v>
      </c>
      <c r="E548">
        <f t="shared" si="8"/>
        <v>190.13200000000001</v>
      </c>
      <c r="F548" t="str" cm="1">
        <f t="array" ref="F548">INDEX({"Pay as you go","Prediction_PACK","Prediction_Payasyougo","Competitor"},MATCH(MIN(A548:D548), A548:D548, 0))</f>
        <v>Pay as you go</v>
      </c>
    </row>
    <row r="549" spans="1:6" x14ac:dyDescent="0.25">
      <c r="A549">
        <v>82.366</v>
      </c>
      <c r="B549">
        <v>167.88</v>
      </c>
      <c r="C549">
        <v>179.88</v>
      </c>
      <c r="D549">
        <v>179.88</v>
      </c>
      <c r="E549">
        <f t="shared" si="8"/>
        <v>82.366</v>
      </c>
      <c r="F549" t="str" cm="1">
        <f t="array" ref="F549">INDEX({"Pay as you go","Prediction_PACK","Prediction_Payasyougo","Competitor"},MATCH(MIN(A549:D549), A549:D549, 0))</f>
        <v>Pay as you go</v>
      </c>
    </row>
    <row r="550" spans="1:6" x14ac:dyDescent="0.25">
      <c r="A550">
        <v>150.37</v>
      </c>
      <c r="B550">
        <v>191.88</v>
      </c>
      <c r="C550">
        <v>179.88</v>
      </c>
      <c r="D550">
        <v>209.88</v>
      </c>
      <c r="E550">
        <f t="shared" si="8"/>
        <v>150.37</v>
      </c>
      <c r="F550" t="str" cm="1">
        <f t="array" ref="F550">INDEX({"Pay as you go","Prediction_PACK","Prediction_Payasyougo","Competitor"},MATCH(MIN(A550:D550), A550:D550, 0))</f>
        <v>Pay as you go</v>
      </c>
    </row>
    <row r="551" spans="1:6" x14ac:dyDescent="0.25">
      <c r="A551">
        <v>113.84100000000001</v>
      </c>
      <c r="B551">
        <v>177.88</v>
      </c>
      <c r="C551">
        <v>179.88</v>
      </c>
      <c r="D551">
        <v>189.88</v>
      </c>
      <c r="E551">
        <f t="shared" si="8"/>
        <v>113.84100000000001</v>
      </c>
      <c r="F551" t="str" cm="1">
        <f t="array" ref="F551">INDEX({"Pay as you go","Prediction_PACK","Prediction_Payasyougo","Competitor"},MATCH(MIN(A551:D551), A551:D551, 0))</f>
        <v>Pay as you go</v>
      </c>
    </row>
    <row r="552" spans="1:6" x14ac:dyDescent="0.25">
      <c r="A552">
        <v>123.142</v>
      </c>
      <c r="B552">
        <v>167.88</v>
      </c>
      <c r="C552">
        <v>179.88</v>
      </c>
      <c r="D552">
        <v>179.88</v>
      </c>
      <c r="E552">
        <f t="shared" si="8"/>
        <v>123.142</v>
      </c>
      <c r="F552" t="str" cm="1">
        <f t="array" ref="F552">INDEX({"Pay as you go","Prediction_PACK","Prediction_Payasyougo","Competitor"},MATCH(MIN(A552:D552), A552:D552, 0))</f>
        <v>Pay as you go</v>
      </c>
    </row>
    <row r="553" spans="1:6" x14ac:dyDescent="0.25">
      <c r="A553">
        <v>111.745</v>
      </c>
      <c r="B553">
        <v>167.88</v>
      </c>
      <c r="C553">
        <v>179.88</v>
      </c>
      <c r="D553">
        <v>179.88</v>
      </c>
      <c r="E553">
        <f t="shared" si="8"/>
        <v>111.745</v>
      </c>
      <c r="F553" t="str" cm="1">
        <f t="array" ref="F553">INDEX({"Pay as you go","Prediction_PACK","Prediction_Payasyougo","Competitor"},MATCH(MIN(A553:D553), A553:D553, 0))</f>
        <v>Pay as you go</v>
      </c>
    </row>
    <row r="554" spans="1:6" x14ac:dyDescent="0.25">
      <c r="A554">
        <v>127.872</v>
      </c>
      <c r="B554">
        <v>177.88</v>
      </c>
      <c r="C554">
        <v>179.88</v>
      </c>
      <c r="D554">
        <v>189.88</v>
      </c>
      <c r="E554">
        <f t="shared" si="8"/>
        <v>127.872</v>
      </c>
      <c r="F554" t="str" cm="1">
        <f t="array" ref="F554">INDEX({"Pay as you go","Prediction_PACK","Prediction_Payasyougo","Competitor"},MATCH(MIN(A554:D554), A554:D554, 0))</f>
        <v>Pay as you go</v>
      </c>
    </row>
    <row r="555" spans="1:6" x14ac:dyDescent="0.25">
      <c r="A555">
        <v>119.444</v>
      </c>
      <c r="B555">
        <v>167.88</v>
      </c>
      <c r="C555">
        <v>179.88</v>
      </c>
      <c r="D555">
        <v>179.88</v>
      </c>
      <c r="E555">
        <f t="shared" si="8"/>
        <v>119.444</v>
      </c>
      <c r="F555" t="str" cm="1">
        <f t="array" ref="F555">INDEX({"Pay as you go","Prediction_PACK","Prediction_Payasyougo","Competitor"},MATCH(MIN(A555:D555), A555:D555, 0))</f>
        <v>Pay as you go</v>
      </c>
    </row>
    <row r="556" spans="1:6" x14ac:dyDescent="0.25">
      <c r="A556">
        <v>108.938</v>
      </c>
      <c r="B556">
        <v>167.88</v>
      </c>
      <c r="C556">
        <v>179.88</v>
      </c>
      <c r="D556">
        <v>179.88</v>
      </c>
      <c r="E556">
        <f t="shared" si="8"/>
        <v>108.938</v>
      </c>
      <c r="F556" t="str" cm="1">
        <f t="array" ref="F556">INDEX({"Pay as you go","Prediction_PACK","Prediction_Payasyougo","Competitor"},MATCH(MIN(A556:D556), A556:D556, 0))</f>
        <v>Pay as you go</v>
      </c>
    </row>
    <row r="557" spans="1:6" x14ac:dyDescent="0.25">
      <c r="A557">
        <v>142.333</v>
      </c>
      <c r="B557">
        <v>182.88</v>
      </c>
      <c r="C557">
        <v>188.41016230449958</v>
      </c>
      <c r="D557">
        <v>194.88</v>
      </c>
      <c r="E557">
        <f t="shared" si="8"/>
        <v>142.333</v>
      </c>
      <c r="F557" t="str" cm="1">
        <f t="array" ref="F557">INDEX({"Pay as you go","Prediction_PACK","Prediction_Payasyougo","Competitor"},MATCH(MIN(A557:D557), A557:D557, 0))</f>
        <v>Pay as you go</v>
      </c>
    </row>
    <row r="558" spans="1:6" x14ac:dyDescent="0.25">
      <c r="A558">
        <v>143.702</v>
      </c>
      <c r="B558">
        <v>175.88</v>
      </c>
      <c r="C558">
        <v>179.88</v>
      </c>
      <c r="D558">
        <v>189.88</v>
      </c>
      <c r="E558">
        <f t="shared" si="8"/>
        <v>143.702</v>
      </c>
      <c r="F558" t="str" cm="1">
        <f t="array" ref="F558">INDEX({"Pay as you go","Prediction_PACK","Prediction_Payasyougo","Competitor"},MATCH(MIN(A558:D558), A558:D558, 0))</f>
        <v>Pay as you go</v>
      </c>
    </row>
    <row r="559" spans="1:6" x14ac:dyDescent="0.25">
      <c r="A559">
        <v>167.14400000000001</v>
      </c>
      <c r="B559">
        <v>187.88</v>
      </c>
      <c r="C559">
        <v>190.95152719980359</v>
      </c>
      <c r="D559">
        <v>199.88</v>
      </c>
      <c r="E559">
        <f t="shared" si="8"/>
        <v>167.14400000000001</v>
      </c>
      <c r="F559" t="str" cm="1">
        <f t="array" ref="F559">INDEX({"Pay as you go","Prediction_PACK","Prediction_Payasyougo","Competitor"},MATCH(MIN(A559:D559), A559:D559, 0))</f>
        <v>Pay as you go</v>
      </c>
    </row>
    <row r="560" spans="1:6" x14ac:dyDescent="0.25">
      <c r="A560">
        <v>96.215000000000003</v>
      </c>
      <c r="B560">
        <v>175.88</v>
      </c>
      <c r="C560">
        <v>179.88</v>
      </c>
      <c r="D560">
        <v>189.88</v>
      </c>
      <c r="E560">
        <f t="shared" si="8"/>
        <v>96.215000000000003</v>
      </c>
      <c r="F560" t="str" cm="1">
        <f t="array" ref="F560">INDEX({"Pay as you go","Prediction_PACK","Prediction_Payasyougo","Competitor"},MATCH(MIN(A560:D560), A560:D560, 0))</f>
        <v>Pay as you go</v>
      </c>
    </row>
    <row r="561" spans="1:6" x14ac:dyDescent="0.25">
      <c r="A561">
        <v>50.177000000000007</v>
      </c>
      <c r="B561">
        <v>167.88</v>
      </c>
      <c r="C561">
        <v>179.88</v>
      </c>
      <c r="D561">
        <v>179.88</v>
      </c>
      <c r="E561">
        <f t="shared" si="8"/>
        <v>50.177000000000007</v>
      </c>
      <c r="F561" t="str" cm="1">
        <f t="array" ref="F561">INDEX({"Pay as you go","Prediction_PACK","Prediction_Payasyougo","Competitor"},MATCH(MIN(A561:D561), A561:D561, 0))</f>
        <v>Pay as you go</v>
      </c>
    </row>
    <row r="562" spans="1:6" x14ac:dyDescent="0.25">
      <c r="A562">
        <v>108.863</v>
      </c>
      <c r="B562">
        <v>167.88</v>
      </c>
      <c r="C562">
        <v>179.88</v>
      </c>
      <c r="D562">
        <v>179.88</v>
      </c>
      <c r="E562">
        <f t="shared" si="8"/>
        <v>108.863</v>
      </c>
      <c r="F562" t="str" cm="1">
        <f t="array" ref="F562">INDEX({"Pay as you go","Prediction_PACK","Prediction_Payasyougo","Competitor"},MATCH(MIN(A562:D562), A562:D562, 0))</f>
        <v>Pay as you go</v>
      </c>
    </row>
    <row r="563" spans="1:6" x14ac:dyDescent="0.25">
      <c r="A563">
        <v>161.95699999999999</v>
      </c>
      <c r="B563">
        <v>175.88</v>
      </c>
      <c r="C563">
        <v>179.88</v>
      </c>
      <c r="D563">
        <v>189.88</v>
      </c>
      <c r="E563">
        <f t="shared" si="8"/>
        <v>161.95699999999999</v>
      </c>
      <c r="F563" t="str" cm="1">
        <f t="array" ref="F563">INDEX({"Pay as you go","Prediction_PACK","Prediction_Payasyougo","Competitor"},MATCH(MIN(A563:D563), A563:D563, 0))</f>
        <v>Pay as you go</v>
      </c>
    </row>
    <row r="564" spans="1:6" x14ac:dyDescent="0.25">
      <c r="A564">
        <v>134.273</v>
      </c>
      <c r="B564">
        <v>167.88</v>
      </c>
      <c r="C564">
        <v>179.88</v>
      </c>
      <c r="D564">
        <v>179.88</v>
      </c>
      <c r="E564">
        <f t="shared" si="8"/>
        <v>134.273</v>
      </c>
      <c r="F564" t="str" cm="1">
        <f t="array" ref="F564">INDEX({"Pay as you go","Prediction_PACK","Prediction_Payasyougo","Competitor"},MATCH(MIN(A564:D564), A564:D564, 0))</f>
        <v>Pay as you go</v>
      </c>
    </row>
    <row r="565" spans="1:6" x14ac:dyDescent="0.25">
      <c r="A565">
        <v>104.79700000000001</v>
      </c>
      <c r="B565">
        <v>167.88</v>
      </c>
      <c r="C565">
        <v>179.88</v>
      </c>
      <c r="D565">
        <v>179.88</v>
      </c>
      <c r="E565">
        <f t="shared" si="8"/>
        <v>104.79700000000001</v>
      </c>
      <c r="F565" t="str" cm="1">
        <f t="array" ref="F565">INDEX({"Pay as you go","Prediction_PACK","Prediction_Payasyougo","Competitor"},MATCH(MIN(A565:D565), A565:D565, 0))</f>
        <v>Pay as you go</v>
      </c>
    </row>
    <row r="566" spans="1:6" x14ac:dyDescent="0.25">
      <c r="A566">
        <v>145.446</v>
      </c>
      <c r="B566">
        <v>171.88</v>
      </c>
      <c r="C566">
        <v>179.88</v>
      </c>
      <c r="D566">
        <v>184.88</v>
      </c>
      <c r="E566">
        <f t="shared" si="8"/>
        <v>145.446</v>
      </c>
      <c r="F566" t="str" cm="1">
        <f t="array" ref="F566">INDEX({"Pay as you go","Prediction_PACK","Prediction_Payasyougo","Competitor"},MATCH(MIN(A566:D566), A566:D566, 0))</f>
        <v>Pay as you go</v>
      </c>
    </row>
    <row r="567" spans="1:6" x14ac:dyDescent="0.25">
      <c r="A567">
        <v>125.53700000000001</v>
      </c>
      <c r="B567">
        <v>177.88</v>
      </c>
      <c r="C567">
        <v>179.88</v>
      </c>
      <c r="D567">
        <v>189.88</v>
      </c>
      <c r="E567">
        <f t="shared" si="8"/>
        <v>125.53700000000001</v>
      </c>
      <c r="F567" t="str" cm="1">
        <f t="array" ref="F567">INDEX({"Pay as you go","Prediction_PACK","Prediction_Payasyougo","Competitor"},MATCH(MIN(A567:D567), A567:D567, 0))</f>
        <v>Pay as you go</v>
      </c>
    </row>
    <row r="568" spans="1:6" x14ac:dyDescent="0.25">
      <c r="A568">
        <v>121.57300000000001</v>
      </c>
      <c r="B568">
        <v>175.88</v>
      </c>
      <c r="C568">
        <v>179.88</v>
      </c>
      <c r="D568">
        <v>189.88</v>
      </c>
      <c r="E568">
        <f t="shared" si="8"/>
        <v>121.57300000000001</v>
      </c>
      <c r="F568" t="str" cm="1">
        <f t="array" ref="F568">INDEX({"Pay as you go","Prediction_PACK","Prediction_Payasyougo","Competitor"},MATCH(MIN(A568:D568), A568:D568, 0))</f>
        <v>Pay as you go</v>
      </c>
    </row>
    <row r="569" spans="1:6" x14ac:dyDescent="0.25">
      <c r="A569">
        <v>126.90599999999999</v>
      </c>
      <c r="B569">
        <v>167.88</v>
      </c>
      <c r="C569">
        <v>179.88</v>
      </c>
      <c r="D569">
        <v>179.88</v>
      </c>
      <c r="E569">
        <f t="shared" si="8"/>
        <v>126.90599999999999</v>
      </c>
      <c r="F569" t="str" cm="1">
        <f t="array" ref="F569">INDEX({"Pay as you go","Prediction_PACK","Prediction_Payasyougo","Competitor"},MATCH(MIN(A569:D569), A569:D569, 0))</f>
        <v>Pay as you go</v>
      </c>
    </row>
    <row r="570" spans="1:6" x14ac:dyDescent="0.25">
      <c r="A570">
        <v>88.988</v>
      </c>
      <c r="B570">
        <v>167.88</v>
      </c>
      <c r="C570">
        <v>179.88</v>
      </c>
      <c r="D570">
        <v>179.88</v>
      </c>
      <c r="E570">
        <f t="shared" si="8"/>
        <v>88.988</v>
      </c>
      <c r="F570" t="str" cm="1">
        <f t="array" ref="F570">INDEX({"Pay as you go","Prediction_PACK","Prediction_Payasyougo","Competitor"},MATCH(MIN(A570:D570), A570:D570, 0))</f>
        <v>Pay as you go</v>
      </c>
    </row>
    <row r="571" spans="1:6" x14ac:dyDescent="0.25">
      <c r="A571">
        <v>152.054</v>
      </c>
      <c r="B571">
        <v>171.88</v>
      </c>
      <c r="C571">
        <v>179.88</v>
      </c>
      <c r="D571">
        <v>184.88</v>
      </c>
      <c r="E571">
        <f t="shared" si="8"/>
        <v>152.054</v>
      </c>
      <c r="F571" t="str" cm="1">
        <f t="array" ref="F571">INDEX({"Pay as you go","Prediction_PACK","Prediction_Payasyougo","Competitor"},MATCH(MIN(A571:D571), A571:D571, 0))</f>
        <v>Pay as you go</v>
      </c>
    </row>
    <row r="572" spans="1:6" x14ac:dyDescent="0.25">
      <c r="A572">
        <v>136.721</v>
      </c>
      <c r="B572">
        <v>177.88</v>
      </c>
      <c r="C572">
        <v>179.88</v>
      </c>
      <c r="D572">
        <v>189.88</v>
      </c>
      <c r="E572">
        <f t="shared" si="8"/>
        <v>136.721</v>
      </c>
      <c r="F572" t="str" cm="1">
        <f t="array" ref="F572">INDEX({"Pay as you go","Prediction_PACK","Prediction_Payasyougo","Competitor"},MATCH(MIN(A572:D572), A572:D572, 0))</f>
        <v>Pay as you go</v>
      </c>
    </row>
    <row r="573" spans="1:6" x14ac:dyDescent="0.25">
      <c r="A573">
        <v>132.85</v>
      </c>
      <c r="B573">
        <v>175.88</v>
      </c>
      <c r="C573">
        <v>179.88</v>
      </c>
      <c r="D573">
        <v>189.88</v>
      </c>
      <c r="E573">
        <f t="shared" si="8"/>
        <v>132.85</v>
      </c>
      <c r="F573" t="str" cm="1">
        <f t="array" ref="F573">INDEX({"Pay as you go","Prediction_PACK","Prediction_Payasyougo","Competitor"},MATCH(MIN(A573:D573), A573:D573, 0))</f>
        <v>Pay as you go</v>
      </c>
    </row>
    <row r="574" spans="1:6" x14ac:dyDescent="0.25">
      <c r="A574">
        <v>104.748</v>
      </c>
      <c r="B574">
        <v>167.88</v>
      </c>
      <c r="C574">
        <v>179.88</v>
      </c>
      <c r="D574">
        <v>179.88</v>
      </c>
      <c r="E574">
        <f t="shared" si="8"/>
        <v>104.748</v>
      </c>
      <c r="F574" t="str" cm="1">
        <f t="array" ref="F574">INDEX({"Pay as you go","Prediction_PACK","Prediction_Payasyougo","Competitor"},MATCH(MIN(A574:D574), A574:D574, 0))</f>
        <v>Pay as you go</v>
      </c>
    </row>
    <row r="575" spans="1:6" x14ac:dyDescent="0.25">
      <c r="A575">
        <v>175.20699999999999</v>
      </c>
      <c r="B575">
        <v>187.88</v>
      </c>
      <c r="C575">
        <v>179.88</v>
      </c>
      <c r="D575">
        <v>199.88</v>
      </c>
      <c r="E575">
        <f t="shared" si="8"/>
        <v>175.20699999999999</v>
      </c>
      <c r="F575" t="str" cm="1">
        <f t="array" ref="F575">INDEX({"Pay as you go","Prediction_PACK","Prediction_Payasyougo","Competitor"},MATCH(MIN(A575:D575), A575:D575, 0))</f>
        <v>Pay as you go</v>
      </c>
    </row>
    <row r="576" spans="1:6" x14ac:dyDescent="0.25">
      <c r="A576">
        <v>159.602</v>
      </c>
      <c r="B576">
        <v>182.88</v>
      </c>
      <c r="C576">
        <v>185.46971502657061</v>
      </c>
      <c r="D576">
        <v>194.88</v>
      </c>
      <c r="E576">
        <f t="shared" si="8"/>
        <v>159.602</v>
      </c>
      <c r="F576" t="str" cm="1">
        <f t="array" ref="F576">INDEX({"Pay as you go","Prediction_PACK","Prediction_Payasyougo","Competitor"},MATCH(MIN(A576:D576), A576:D576, 0))</f>
        <v>Pay as you go</v>
      </c>
    </row>
    <row r="577" spans="1:6" x14ac:dyDescent="0.25">
      <c r="A577">
        <v>170.255</v>
      </c>
      <c r="B577">
        <v>203.88</v>
      </c>
      <c r="C577">
        <v>182.67515924257501</v>
      </c>
      <c r="D577">
        <v>219.88</v>
      </c>
      <c r="E577">
        <f t="shared" si="8"/>
        <v>170.255</v>
      </c>
      <c r="F577" t="str" cm="1">
        <f t="array" ref="F577">INDEX({"Pay as you go","Prediction_PACK","Prediction_Payasyougo","Competitor"},MATCH(MIN(A577:D577), A577:D577, 0))</f>
        <v>Pay as you go</v>
      </c>
    </row>
    <row r="578" spans="1:6" x14ac:dyDescent="0.25">
      <c r="A578">
        <v>88.318000000000012</v>
      </c>
      <c r="B578">
        <v>167.88</v>
      </c>
      <c r="C578">
        <v>179.88</v>
      </c>
      <c r="D578">
        <v>179.88</v>
      </c>
      <c r="E578">
        <f t="shared" si="8"/>
        <v>88.318000000000012</v>
      </c>
      <c r="F578" t="str" cm="1">
        <f t="array" ref="F578">INDEX({"Pay as you go","Prediction_PACK","Prediction_Payasyougo","Competitor"},MATCH(MIN(A578:D578), A578:D578, 0))</f>
        <v>Pay as you go</v>
      </c>
    </row>
    <row r="579" spans="1:6" x14ac:dyDescent="0.25">
      <c r="A579">
        <v>160.77700000000002</v>
      </c>
      <c r="B579">
        <v>177.88</v>
      </c>
      <c r="C579">
        <v>179.88</v>
      </c>
      <c r="D579">
        <v>189.88</v>
      </c>
      <c r="E579">
        <f t="shared" si="8"/>
        <v>160.77700000000002</v>
      </c>
      <c r="F579" t="str" cm="1">
        <f t="array" ref="F579">INDEX({"Pay as you go","Prediction_PACK","Prediction_Payasyougo","Competitor"},MATCH(MIN(A579:D579), A579:D579, 0))</f>
        <v>Pay as you go</v>
      </c>
    </row>
    <row r="580" spans="1:6" x14ac:dyDescent="0.25">
      <c r="A580">
        <v>159.21800000000002</v>
      </c>
      <c r="B580">
        <v>167.88</v>
      </c>
      <c r="C580">
        <v>179.88</v>
      </c>
      <c r="D580">
        <v>179.88</v>
      </c>
      <c r="E580">
        <f t="shared" si="8"/>
        <v>159.21800000000002</v>
      </c>
      <c r="F580" t="str" cm="1">
        <f t="array" ref="F580">INDEX({"Pay as you go","Prediction_PACK","Prediction_Payasyougo","Competitor"},MATCH(MIN(A580:D580), A580:D580, 0))</f>
        <v>Pay as you go</v>
      </c>
    </row>
    <row r="581" spans="1:6" x14ac:dyDescent="0.25">
      <c r="A581">
        <v>129.25900000000001</v>
      </c>
      <c r="B581">
        <v>177.88</v>
      </c>
      <c r="C581">
        <v>179.88</v>
      </c>
      <c r="D581">
        <v>189.88</v>
      </c>
      <c r="E581">
        <f t="shared" si="8"/>
        <v>129.25900000000001</v>
      </c>
      <c r="F581" t="str" cm="1">
        <f t="array" ref="F581">INDEX({"Pay as you go","Prediction_PACK","Prediction_Payasyougo","Competitor"},MATCH(MIN(A581:D581), A581:D581, 0))</f>
        <v>Pay as you go</v>
      </c>
    </row>
    <row r="582" spans="1:6" x14ac:dyDescent="0.25">
      <c r="A582">
        <v>135.66600000000003</v>
      </c>
      <c r="B582">
        <v>167.88</v>
      </c>
      <c r="C582">
        <v>179.88</v>
      </c>
      <c r="D582">
        <v>179.88</v>
      </c>
      <c r="E582">
        <f t="shared" si="8"/>
        <v>135.66600000000003</v>
      </c>
      <c r="F582" t="str" cm="1">
        <f t="array" ref="F582">INDEX({"Pay as you go","Prediction_PACK","Prediction_Payasyougo","Competitor"},MATCH(MIN(A582:D582), A582:D582, 0))</f>
        <v>Pay as you go</v>
      </c>
    </row>
    <row r="583" spans="1:6" x14ac:dyDescent="0.25">
      <c r="A583">
        <v>121.455</v>
      </c>
      <c r="B583">
        <v>167.88</v>
      </c>
      <c r="C583">
        <v>179.88</v>
      </c>
      <c r="D583">
        <v>179.88</v>
      </c>
      <c r="E583">
        <f t="shared" si="8"/>
        <v>121.455</v>
      </c>
      <c r="F583" t="str" cm="1">
        <f t="array" ref="F583">INDEX({"Pay as you go","Prediction_PACK","Prediction_Payasyougo","Competitor"},MATCH(MIN(A583:D583), A583:D583, 0))</f>
        <v>Pay as you go</v>
      </c>
    </row>
    <row r="584" spans="1:6" x14ac:dyDescent="0.25">
      <c r="A584">
        <v>162.63000000000002</v>
      </c>
      <c r="B584">
        <v>177.88</v>
      </c>
      <c r="C584">
        <v>179.88</v>
      </c>
      <c r="D584">
        <v>189.88</v>
      </c>
      <c r="E584">
        <f t="shared" ref="E584:E647" si="9">MIN(A584:D584)</f>
        <v>162.63000000000002</v>
      </c>
      <c r="F584" t="str" cm="1">
        <f t="array" ref="F584">INDEX({"Pay as you go","Prediction_PACK","Prediction_Payasyougo","Competitor"},MATCH(MIN(A584:D584), A584:D584, 0))</f>
        <v>Pay as you go</v>
      </c>
    </row>
    <row r="585" spans="1:6" x14ac:dyDescent="0.25">
      <c r="A585">
        <v>110.20399999999999</v>
      </c>
      <c r="B585">
        <v>167.88</v>
      </c>
      <c r="C585">
        <v>179.88</v>
      </c>
      <c r="D585">
        <v>179.88</v>
      </c>
      <c r="E585">
        <f t="shared" si="9"/>
        <v>110.20399999999999</v>
      </c>
      <c r="F585" t="str" cm="1">
        <f t="array" ref="F585">INDEX({"Pay as you go","Prediction_PACK","Prediction_Payasyougo","Competitor"},MATCH(MIN(A585:D585), A585:D585, 0))</f>
        <v>Pay as you go</v>
      </c>
    </row>
    <row r="586" spans="1:6" x14ac:dyDescent="0.25">
      <c r="A586">
        <v>91.727000000000004</v>
      </c>
      <c r="B586">
        <v>171.88</v>
      </c>
      <c r="C586">
        <v>179.88</v>
      </c>
      <c r="D586">
        <v>184.88</v>
      </c>
      <c r="E586">
        <f t="shared" si="9"/>
        <v>91.727000000000004</v>
      </c>
      <c r="F586" t="str" cm="1">
        <f t="array" ref="F586">INDEX({"Pay as you go","Prediction_PACK","Prediction_Payasyougo","Competitor"},MATCH(MIN(A586:D586), A586:D586, 0))</f>
        <v>Pay as you go</v>
      </c>
    </row>
    <row r="587" spans="1:6" x14ac:dyDescent="0.25">
      <c r="A587">
        <v>87.488</v>
      </c>
      <c r="B587">
        <v>167.88</v>
      </c>
      <c r="C587">
        <v>179.88</v>
      </c>
      <c r="D587">
        <v>179.88</v>
      </c>
      <c r="E587">
        <f t="shared" si="9"/>
        <v>87.488</v>
      </c>
      <c r="F587" t="str" cm="1">
        <f t="array" ref="F587">INDEX({"Pay as you go","Prediction_PACK","Prediction_Payasyougo","Competitor"},MATCH(MIN(A587:D587), A587:D587, 0))</f>
        <v>Pay as you go</v>
      </c>
    </row>
    <row r="588" spans="1:6" x14ac:dyDescent="0.25">
      <c r="A588">
        <v>119.90600000000001</v>
      </c>
      <c r="B588">
        <v>175.88</v>
      </c>
      <c r="C588">
        <v>179.88</v>
      </c>
      <c r="D588">
        <v>189.88</v>
      </c>
      <c r="E588">
        <f t="shared" si="9"/>
        <v>119.90600000000001</v>
      </c>
      <c r="F588" t="str" cm="1">
        <f t="array" ref="F588">INDEX({"Pay as you go","Prediction_PACK","Prediction_Payasyougo","Competitor"},MATCH(MIN(A588:D588), A588:D588, 0))</f>
        <v>Pay as you go</v>
      </c>
    </row>
    <row r="589" spans="1:6" x14ac:dyDescent="0.25">
      <c r="A589">
        <v>78.692999999999998</v>
      </c>
      <c r="B589">
        <v>167.88</v>
      </c>
      <c r="C589">
        <v>179.88</v>
      </c>
      <c r="D589">
        <v>179.88</v>
      </c>
      <c r="E589">
        <f t="shared" si="9"/>
        <v>78.692999999999998</v>
      </c>
      <c r="F589" t="str" cm="1">
        <f t="array" ref="F589">INDEX({"Pay as you go","Prediction_PACK","Prediction_Payasyougo","Competitor"},MATCH(MIN(A589:D589), A589:D589, 0))</f>
        <v>Pay as you go</v>
      </c>
    </row>
    <row r="590" spans="1:6" x14ac:dyDescent="0.25">
      <c r="A590">
        <v>84.797000000000011</v>
      </c>
      <c r="B590">
        <v>167.88</v>
      </c>
      <c r="C590">
        <v>179.88</v>
      </c>
      <c r="D590">
        <v>179.88</v>
      </c>
      <c r="E590">
        <f t="shared" si="9"/>
        <v>84.797000000000011</v>
      </c>
      <c r="F590" t="str" cm="1">
        <f t="array" ref="F590">INDEX({"Pay as you go","Prediction_PACK","Prediction_Payasyougo","Competitor"},MATCH(MIN(A590:D590), A590:D590, 0))</f>
        <v>Pay as you go</v>
      </c>
    </row>
    <row r="591" spans="1:6" x14ac:dyDescent="0.25">
      <c r="A591">
        <v>130.80700000000002</v>
      </c>
      <c r="B591">
        <v>167.88</v>
      </c>
      <c r="C591">
        <v>179.88</v>
      </c>
      <c r="D591">
        <v>179.88</v>
      </c>
      <c r="E591">
        <f t="shared" si="9"/>
        <v>130.80700000000002</v>
      </c>
      <c r="F591" t="str" cm="1">
        <f t="array" ref="F591">INDEX({"Pay as you go","Prediction_PACK","Prediction_Payasyougo","Competitor"},MATCH(MIN(A591:D591), A591:D591, 0))</f>
        <v>Pay as you go</v>
      </c>
    </row>
    <row r="592" spans="1:6" x14ac:dyDescent="0.25">
      <c r="A592">
        <v>60.481000000000002</v>
      </c>
      <c r="B592">
        <v>167.88</v>
      </c>
      <c r="C592">
        <v>179.88</v>
      </c>
      <c r="D592">
        <v>179.88</v>
      </c>
      <c r="E592">
        <f t="shared" si="9"/>
        <v>60.481000000000002</v>
      </c>
      <c r="F592" t="str" cm="1">
        <f t="array" ref="F592">INDEX({"Pay as you go","Prediction_PACK","Prediction_Payasyougo","Competitor"},MATCH(MIN(A592:D592), A592:D592, 0))</f>
        <v>Pay as you go</v>
      </c>
    </row>
    <row r="593" spans="1:6" x14ac:dyDescent="0.25">
      <c r="A593">
        <v>154.34500000000003</v>
      </c>
      <c r="B593">
        <v>182.88</v>
      </c>
      <c r="C593">
        <v>183.5056656310845</v>
      </c>
      <c r="D593">
        <v>194.88</v>
      </c>
      <c r="E593">
        <f t="shared" si="9"/>
        <v>154.34500000000003</v>
      </c>
      <c r="F593" t="str" cm="1">
        <f t="array" ref="F593">INDEX({"Pay as you go","Prediction_PACK","Prediction_Payasyougo","Competitor"},MATCH(MIN(A593:D593), A593:D593, 0))</f>
        <v>Pay as you go</v>
      </c>
    </row>
    <row r="594" spans="1:6" x14ac:dyDescent="0.25">
      <c r="A594">
        <v>123.301</v>
      </c>
      <c r="B594">
        <v>167.88</v>
      </c>
      <c r="C594">
        <v>179.88</v>
      </c>
      <c r="D594">
        <v>179.88</v>
      </c>
      <c r="E594">
        <f t="shared" si="9"/>
        <v>123.301</v>
      </c>
      <c r="F594" t="str" cm="1">
        <f t="array" ref="F594">INDEX({"Pay as you go","Prediction_PACK","Prediction_Payasyougo","Competitor"},MATCH(MIN(A594:D594), A594:D594, 0))</f>
        <v>Pay as you go</v>
      </c>
    </row>
    <row r="595" spans="1:6" x14ac:dyDescent="0.25">
      <c r="A595">
        <v>96.762999999999991</v>
      </c>
      <c r="B595">
        <v>167.88</v>
      </c>
      <c r="C595">
        <v>179.88</v>
      </c>
      <c r="D595">
        <v>179.88</v>
      </c>
      <c r="E595">
        <f t="shared" si="9"/>
        <v>96.762999999999991</v>
      </c>
      <c r="F595" t="str" cm="1">
        <f t="array" ref="F595">INDEX({"Pay as you go","Prediction_PACK","Prediction_Payasyougo","Competitor"},MATCH(MIN(A595:D595), A595:D595, 0))</f>
        <v>Pay as you go</v>
      </c>
    </row>
    <row r="596" spans="1:6" x14ac:dyDescent="0.25">
      <c r="A596">
        <v>128.02199999999999</v>
      </c>
      <c r="B596">
        <v>167.88</v>
      </c>
      <c r="C596">
        <v>179.88</v>
      </c>
      <c r="D596">
        <v>179.88</v>
      </c>
      <c r="E596">
        <f t="shared" si="9"/>
        <v>128.02199999999999</v>
      </c>
      <c r="F596" t="str" cm="1">
        <f t="array" ref="F596">INDEX({"Pay as you go","Prediction_PACK","Prediction_Payasyougo","Competitor"},MATCH(MIN(A596:D596), A596:D596, 0))</f>
        <v>Pay as you go</v>
      </c>
    </row>
    <row r="597" spans="1:6" x14ac:dyDescent="0.25">
      <c r="A597">
        <v>51.311</v>
      </c>
      <c r="B597">
        <v>167.88</v>
      </c>
      <c r="C597">
        <v>179.88</v>
      </c>
      <c r="D597">
        <v>179.88</v>
      </c>
      <c r="E597">
        <f t="shared" si="9"/>
        <v>51.311</v>
      </c>
      <c r="F597" t="str" cm="1">
        <f t="array" ref="F597">INDEX({"Pay as you go","Prediction_PACK","Prediction_Payasyougo","Competitor"},MATCH(MIN(A597:D597), A597:D597, 0))</f>
        <v>Pay as you go</v>
      </c>
    </row>
    <row r="598" spans="1:6" x14ac:dyDescent="0.25">
      <c r="A598">
        <v>132.42599999999999</v>
      </c>
      <c r="B598">
        <v>182.88</v>
      </c>
      <c r="C598">
        <v>180.9921843276216</v>
      </c>
      <c r="D598">
        <v>194.88</v>
      </c>
      <c r="E598">
        <f t="shared" si="9"/>
        <v>132.42599999999999</v>
      </c>
      <c r="F598" t="str" cm="1">
        <f t="array" ref="F598">INDEX({"Pay as you go","Prediction_PACK","Prediction_Payasyougo","Competitor"},MATCH(MIN(A598:D598), A598:D598, 0))</f>
        <v>Pay as you go</v>
      </c>
    </row>
    <row r="599" spans="1:6" x14ac:dyDescent="0.25">
      <c r="A599">
        <v>116.669</v>
      </c>
      <c r="B599">
        <v>167.88</v>
      </c>
      <c r="C599">
        <v>179.88</v>
      </c>
      <c r="D599">
        <v>179.88</v>
      </c>
      <c r="E599">
        <f t="shared" si="9"/>
        <v>116.669</v>
      </c>
      <c r="F599" t="str" cm="1">
        <f t="array" ref="F599">INDEX({"Pay as you go","Prediction_PACK","Prediction_Payasyougo","Competitor"},MATCH(MIN(A599:D599), A599:D599, 0))</f>
        <v>Pay as you go</v>
      </c>
    </row>
    <row r="600" spans="1:6" x14ac:dyDescent="0.25">
      <c r="A600">
        <v>160.49300000000002</v>
      </c>
      <c r="B600">
        <v>183.88</v>
      </c>
      <c r="C600">
        <v>179.88</v>
      </c>
      <c r="D600">
        <v>199.88</v>
      </c>
      <c r="E600">
        <f t="shared" si="9"/>
        <v>160.49300000000002</v>
      </c>
      <c r="F600" t="str" cm="1">
        <f t="array" ref="F600">INDEX({"Pay as you go","Prediction_PACK","Prediction_Payasyougo","Competitor"},MATCH(MIN(A600:D600), A600:D600, 0))</f>
        <v>Pay as you go</v>
      </c>
    </row>
    <row r="601" spans="1:6" x14ac:dyDescent="0.25">
      <c r="A601">
        <v>108.52200000000001</v>
      </c>
      <c r="B601">
        <v>167.88</v>
      </c>
      <c r="C601">
        <v>179.88</v>
      </c>
      <c r="D601">
        <v>179.88</v>
      </c>
      <c r="E601">
        <f t="shared" si="9"/>
        <v>108.52200000000001</v>
      </c>
      <c r="F601" t="str" cm="1">
        <f t="array" ref="F601">INDEX({"Pay as you go","Prediction_PACK","Prediction_Payasyougo","Competitor"},MATCH(MIN(A601:D601), A601:D601, 0))</f>
        <v>Pay as you go</v>
      </c>
    </row>
    <row r="602" spans="1:6" x14ac:dyDescent="0.25">
      <c r="A602">
        <v>229.744</v>
      </c>
      <c r="B602">
        <v>217.88</v>
      </c>
      <c r="C602">
        <v>203.7136065146052</v>
      </c>
      <c r="D602">
        <v>229.88</v>
      </c>
      <c r="E602">
        <f t="shared" si="9"/>
        <v>203.7136065146052</v>
      </c>
      <c r="F602" t="str" cm="1">
        <f t="array" ref="F602">INDEX({"Pay as you go","Prediction_PACK","Prediction_Payasyougo","Competitor"},MATCH(MIN(A602:D602), A602:D602, 0))</f>
        <v>Prediction_Payasyougo</v>
      </c>
    </row>
    <row r="603" spans="1:6" x14ac:dyDescent="0.25">
      <c r="A603">
        <v>93.62</v>
      </c>
      <c r="B603">
        <v>167.88</v>
      </c>
      <c r="C603">
        <v>179.88</v>
      </c>
      <c r="D603">
        <v>179.88</v>
      </c>
      <c r="E603">
        <f t="shared" si="9"/>
        <v>93.62</v>
      </c>
      <c r="F603" t="str" cm="1">
        <f t="array" ref="F603">INDEX({"Pay as you go","Prediction_PACK","Prediction_Payasyougo","Competitor"},MATCH(MIN(A603:D603), A603:D603, 0))</f>
        <v>Pay as you go</v>
      </c>
    </row>
    <row r="604" spans="1:6" x14ac:dyDescent="0.25">
      <c r="A604">
        <v>247.83</v>
      </c>
      <c r="B604">
        <v>217.88</v>
      </c>
      <c r="C604">
        <v>202.73986299922589</v>
      </c>
      <c r="D604">
        <v>229.88</v>
      </c>
      <c r="E604">
        <f t="shared" si="9"/>
        <v>202.73986299922589</v>
      </c>
      <c r="F604" t="str" cm="1">
        <f t="array" ref="F604">INDEX({"Pay as you go","Prediction_PACK","Prediction_Payasyougo","Competitor"},MATCH(MIN(A604:D604), A604:D604, 0))</f>
        <v>Prediction_Payasyougo</v>
      </c>
    </row>
    <row r="605" spans="1:6" x14ac:dyDescent="0.25">
      <c r="A605">
        <v>156.22999999999999</v>
      </c>
      <c r="B605">
        <v>175.88</v>
      </c>
      <c r="C605">
        <v>179.88</v>
      </c>
      <c r="D605">
        <v>189.88</v>
      </c>
      <c r="E605">
        <f t="shared" si="9"/>
        <v>156.22999999999999</v>
      </c>
      <c r="F605" t="str" cm="1">
        <f t="array" ref="F605">INDEX({"Pay as you go","Prediction_PACK","Prediction_Payasyougo","Competitor"},MATCH(MIN(A605:D605), A605:D605, 0))</f>
        <v>Pay as you go</v>
      </c>
    </row>
    <row r="606" spans="1:6" x14ac:dyDescent="0.25">
      <c r="A606">
        <v>62.073000000000008</v>
      </c>
      <c r="B606">
        <v>167.88</v>
      </c>
      <c r="C606">
        <v>179.88</v>
      </c>
      <c r="D606">
        <v>179.88</v>
      </c>
      <c r="E606">
        <f t="shared" si="9"/>
        <v>62.073000000000008</v>
      </c>
      <c r="F606" t="str" cm="1">
        <f t="array" ref="F606">INDEX({"Pay as you go","Prediction_PACK","Prediction_Payasyougo","Competitor"},MATCH(MIN(A606:D606), A606:D606, 0))</f>
        <v>Pay as you go</v>
      </c>
    </row>
    <row r="607" spans="1:6" x14ac:dyDescent="0.25">
      <c r="A607">
        <v>178.73399999999998</v>
      </c>
      <c r="B607">
        <v>197.88</v>
      </c>
      <c r="C607">
        <v>180.23501443507681</v>
      </c>
      <c r="D607">
        <v>209.88</v>
      </c>
      <c r="E607">
        <f t="shared" si="9"/>
        <v>178.73399999999998</v>
      </c>
      <c r="F607" t="str" cm="1">
        <f t="array" ref="F607">INDEX({"Pay as you go","Prediction_PACK","Prediction_Payasyougo","Competitor"},MATCH(MIN(A607:D607), A607:D607, 0))</f>
        <v>Pay as you go</v>
      </c>
    </row>
    <row r="608" spans="1:6" x14ac:dyDescent="0.25">
      <c r="A608">
        <v>215.69800000000001</v>
      </c>
      <c r="B608">
        <v>197.88</v>
      </c>
      <c r="C608">
        <v>191.85225303763829</v>
      </c>
      <c r="D608">
        <v>209.88</v>
      </c>
      <c r="E608">
        <f t="shared" si="9"/>
        <v>191.85225303763829</v>
      </c>
      <c r="F608" t="str" cm="1">
        <f t="array" ref="F608">INDEX({"Pay as you go","Prediction_PACK","Prediction_Payasyougo","Competitor"},MATCH(MIN(A608:D608), A608:D608, 0))</f>
        <v>Prediction_Payasyougo</v>
      </c>
    </row>
    <row r="609" spans="1:6" x14ac:dyDescent="0.25">
      <c r="A609">
        <v>105.553</v>
      </c>
      <c r="B609">
        <v>175.88</v>
      </c>
      <c r="C609">
        <v>179.88</v>
      </c>
      <c r="D609">
        <v>189.88</v>
      </c>
      <c r="E609">
        <f t="shared" si="9"/>
        <v>105.553</v>
      </c>
      <c r="F609" t="str" cm="1">
        <f t="array" ref="F609">INDEX({"Pay as you go","Prediction_PACK","Prediction_Payasyougo","Competitor"},MATCH(MIN(A609:D609), A609:D609, 0))</f>
        <v>Pay as you go</v>
      </c>
    </row>
    <row r="610" spans="1:6" x14ac:dyDescent="0.25">
      <c r="A610">
        <v>117.89100000000001</v>
      </c>
      <c r="B610">
        <v>167.88</v>
      </c>
      <c r="C610">
        <v>179.88</v>
      </c>
      <c r="D610">
        <v>179.88</v>
      </c>
      <c r="E610">
        <f t="shared" si="9"/>
        <v>117.89100000000001</v>
      </c>
      <c r="F610" t="str" cm="1">
        <f t="array" ref="F610">INDEX({"Pay as you go","Prediction_PACK","Prediction_Payasyougo","Competitor"},MATCH(MIN(A610:D610), A610:D610, 0))</f>
        <v>Pay as you go</v>
      </c>
    </row>
    <row r="611" spans="1:6" x14ac:dyDescent="0.25">
      <c r="A611">
        <v>74.958999999999989</v>
      </c>
      <c r="B611">
        <v>167.88</v>
      </c>
      <c r="C611">
        <v>179.88</v>
      </c>
      <c r="D611">
        <v>179.88</v>
      </c>
      <c r="E611">
        <f t="shared" si="9"/>
        <v>74.958999999999989</v>
      </c>
      <c r="F611" t="str" cm="1">
        <f t="array" ref="F611">INDEX({"Pay as you go","Prediction_PACK","Prediction_Payasyougo","Competitor"},MATCH(MIN(A611:D611), A611:D611, 0))</f>
        <v>Pay as you go</v>
      </c>
    </row>
    <row r="612" spans="1:6" x14ac:dyDescent="0.25">
      <c r="A612">
        <v>160.012</v>
      </c>
      <c r="B612">
        <v>182.88</v>
      </c>
      <c r="C612">
        <v>180.0352356530139</v>
      </c>
      <c r="D612">
        <v>194.88</v>
      </c>
      <c r="E612">
        <f t="shared" si="9"/>
        <v>160.012</v>
      </c>
      <c r="F612" t="str" cm="1">
        <f t="array" ref="F612">INDEX({"Pay as you go","Prediction_PACK","Prediction_Payasyougo","Competitor"},MATCH(MIN(A612:D612), A612:D612, 0))</f>
        <v>Pay as you go</v>
      </c>
    </row>
    <row r="613" spans="1:6" x14ac:dyDescent="0.25">
      <c r="A613">
        <v>119.95400000000001</v>
      </c>
      <c r="B613">
        <v>167.88</v>
      </c>
      <c r="C613">
        <v>179.88</v>
      </c>
      <c r="D613">
        <v>179.88</v>
      </c>
      <c r="E613">
        <f t="shared" si="9"/>
        <v>119.95400000000001</v>
      </c>
      <c r="F613" t="str" cm="1">
        <f t="array" ref="F613">INDEX({"Pay as you go","Prediction_PACK","Prediction_Payasyougo","Competitor"},MATCH(MIN(A613:D613), A613:D613, 0))</f>
        <v>Pay as you go</v>
      </c>
    </row>
    <row r="614" spans="1:6" x14ac:dyDescent="0.25">
      <c r="A614">
        <v>158.74599999999998</v>
      </c>
      <c r="B614">
        <v>167.88</v>
      </c>
      <c r="C614">
        <v>179.88</v>
      </c>
      <c r="D614">
        <v>179.88</v>
      </c>
      <c r="E614">
        <f t="shared" si="9"/>
        <v>158.74599999999998</v>
      </c>
      <c r="F614" t="str" cm="1">
        <f t="array" ref="F614">INDEX({"Pay as you go","Prediction_PACK","Prediction_Payasyougo","Competitor"},MATCH(MIN(A614:D614), A614:D614, 0))</f>
        <v>Pay as you go</v>
      </c>
    </row>
    <row r="615" spans="1:6" x14ac:dyDescent="0.25">
      <c r="A615">
        <v>107.65</v>
      </c>
      <c r="B615">
        <v>167.88</v>
      </c>
      <c r="C615">
        <v>179.88</v>
      </c>
      <c r="D615">
        <v>179.88</v>
      </c>
      <c r="E615">
        <f t="shared" si="9"/>
        <v>107.65</v>
      </c>
      <c r="F615" t="str" cm="1">
        <f t="array" ref="F615">INDEX({"Pay as you go","Prediction_PACK","Prediction_Payasyougo","Competitor"},MATCH(MIN(A615:D615), A615:D615, 0))</f>
        <v>Pay as you go</v>
      </c>
    </row>
    <row r="616" spans="1:6" x14ac:dyDescent="0.25">
      <c r="A616">
        <v>149.83699999999999</v>
      </c>
      <c r="B616">
        <v>182.88</v>
      </c>
      <c r="C616">
        <v>182.75276335645771</v>
      </c>
      <c r="D616">
        <v>194.88</v>
      </c>
      <c r="E616">
        <f t="shared" si="9"/>
        <v>149.83699999999999</v>
      </c>
      <c r="F616" t="str" cm="1">
        <f t="array" ref="F616">INDEX({"Pay as you go","Prediction_PACK","Prediction_Payasyougo","Competitor"},MATCH(MIN(A616:D616), A616:D616, 0))</f>
        <v>Pay as you go</v>
      </c>
    </row>
    <row r="617" spans="1:6" x14ac:dyDescent="0.25">
      <c r="A617">
        <v>128.13300000000001</v>
      </c>
      <c r="B617">
        <v>167.88</v>
      </c>
      <c r="C617">
        <v>179.88</v>
      </c>
      <c r="D617">
        <v>179.88</v>
      </c>
      <c r="E617">
        <f t="shared" si="9"/>
        <v>128.13300000000001</v>
      </c>
      <c r="F617" t="str" cm="1">
        <f t="array" ref="F617">INDEX({"Pay as you go","Prediction_PACK","Prediction_Payasyougo","Competitor"},MATCH(MIN(A617:D617), A617:D617, 0))</f>
        <v>Pay as you go</v>
      </c>
    </row>
    <row r="618" spans="1:6" x14ac:dyDescent="0.25">
      <c r="A618">
        <v>173.03899999999999</v>
      </c>
      <c r="B618">
        <v>187.88</v>
      </c>
      <c r="C618">
        <v>179.88</v>
      </c>
      <c r="D618">
        <v>199.88</v>
      </c>
      <c r="E618">
        <f t="shared" si="9"/>
        <v>173.03899999999999</v>
      </c>
      <c r="F618" t="str" cm="1">
        <f t="array" ref="F618">INDEX({"Pay as you go","Prediction_PACK","Prediction_Payasyougo","Competitor"},MATCH(MIN(A618:D618), A618:D618, 0))</f>
        <v>Pay as you go</v>
      </c>
    </row>
    <row r="619" spans="1:6" x14ac:dyDescent="0.25">
      <c r="A619">
        <v>133.76300000000001</v>
      </c>
      <c r="B619">
        <v>167.88</v>
      </c>
      <c r="C619">
        <v>179.88</v>
      </c>
      <c r="D619">
        <v>179.88</v>
      </c>
      <c r="E619">
        <f t="shared" si="9"/>
        <v>133.76300000000001</v>
      </c>
      <c r="F619" t="str" cm="1">
        <f t="array" ref="F619">INDEX({"Pay as you go","Prediction_PACK","Prediction_Payasyougo","Competitor"},MATCH(MIN(A619:D619), A619:D619, 0))</f>
        <v>Pay as you go</v>
      </c>
    </row>
    <row r="620" spans="1:6" x14ac:dyDescent="0.25">
      <c r="A620">
        <v>145.983</v>
      </c>
      <c r="B620">
        <v>187.88</v>
      </c>
      <c r="C620">
        <v>179.88</v>
      </c>
      <c r="D620">
        <v>199.88</v>
      </c>
      <c r="E620">
        <f t="shared" si="9"/>
        <v>145.983</v>
      </c>
      <c r="F620" t="str" cm="1">
        <f t="array" ref="F620">INDEX({"Pay as you go","Prediction_PACK","Prediction_Payasyougo","Competitor"},MATCH(MIN(A620:D620), A620:D620, 0))</f>
        <v>Pay as you go</v>
      </c>
    </row>
    <row r="621" spans="1:6" x14ac:dyDescent="0.25">
      <c r="A621">
        <v>169.22399999999999</v>
      </c>
      <c r="B621">
        <v>182.88</v>
      </c>
      <c r="C621">
        <v>182.22538382744429</v>
      </c>
      <c r="D621">
        <v>194.88</v>
      </c>
      <c r="E621">
        <f t="shared" si="9"/>
        <v>169.22399999999999</v>
      </c>
      <c r="F621" t="str" cm="1">
        <f t="array" ref="F621">INDEX({"Pay as you go","Prediction_PACK","Prediction_Payasyougo","Competitor"},MATCH(MIN(A621:D621), A621:D621, 0))</f>
        <v>Pay as you go</v>
      </c>
    </row>
    <row r="622" spans="1:6" x14ac:dyDescent="0.25">
      <c r="A622">
        <v>109.92</v>
      </c>
      <c r="B622">
        <v>167.88</v>
      </c>
      <c r="C622">
        <v>179.88</v>
      </c>
      <c r="D622">
        <v>179.88</v>
      </c>
      <c r="E622">
        <f t="shared" si="9"/>
        <v>109.92</v>
      </c>
      <c r="F622" t="str" cm="1">
        <f t="array" ref="F622">INDEX({"Pay as you go","Prediction_PACK","Prediction_Payasyougo","Competitor"},MATCH(MIN(A622:D622), A622:D622, 0))</f>
        <v>Pay as you go</v>
      </c>
    </row>
    <row r="623" spans="1:6" x14ac:dyDescent="0.25">
      <c r="A623">
        <v>166.48700000000002</v>
      </c>
      <c r="B623">
        <v>197.88</v>
      </c>
      <c r="C623">
        <v>179.8954764305181</v>
      </c>
      <c r="D623">
        <v>209.88</v>
      </c>
      <c r="E623">
        <f t="shared" si="9"/>
        <v>166.48700000000002</v>
      </c>
      <c r="F623" t="str" cm="1">
        <f t="array" ref="F623">INDEX({"Pay as you go","Prediction_PACK","Prediction_Payasyougo","Competitor"},MATCH(MIN(A623:D623), A623:D623, 0))</f>
        <v>Pay as you go</v>
      </c>
    </row>
    <row r="624" spans="1:6" x14ac:dyDescent="0.25">
      <c r="A624">
        <v>96.408000000000001</v>
      </c>
      <c r="B624">
        <v>167.88</v>
      </c>
      <c r="C624">
        <v>179.88</v>
      </c>
      <c r="D624">
        <v>179.88</v>
      </c>
      <c r="E624">
        <f t="shared" si="9"/>
        <v>96.408000000000001</v>
      </c>
      <c r="F624" t="str" cm="1">
        <f t="array" ref="F624">INDEX({"Pay as you go","Prediction_PACK","Prediction_Payasyougo","Competitor"},MATCH(MIN(A624:D624), A624:D624, 0))</f>
        <v>Pay as you go</v>
      </c>
    </row>
    <row r="625" spans="1:6" x14ac:dyDescent="0.25">
      <c r="A625">
        <v>87.918000000000006</v>
      </c>
      <c r="B625">
        <v>167.88</v>
      </c>
      <c r="C625">
        <v>179.88</v>
      </c>
      <c r="D625">
        <v>179.88</v>
      </c>
      <c r="E625">
        <f t="shared" si="9"/>
        <v>87.918000000000006</v>
      </c>
      <c r="F625" t="str" cm="1">
        <f t="array" ref="F625">INDEX({"Pay as you go","Prediction_PACK","Prediction_Payasyougo","Competitor"},MATCH(MIN(A625:D625), A625:D625, 0))</f>
        <v>Pay as you go</v>
      </c>
    </row>
    <row r="626" spans="1:6" x14ac:dyDescent="0.25">
      <c r="A626">
        <v>198.53399999999999</v>
      </c>
      <c r="B626">
        <v>197.88</v>
      </c>
      <c r="C626">
        <v>193.4081683514826</v>
      </c>
      <c r="D626">
        <v>209.88</v>
      </c>
      <c r="E626">
        <f t="shared" si="9"/>
        <v>193.4081683514826</v>
      </c>
      <c r="F626" t="str" cm="1">
        <f t="array" ref="F626">INDEX({"Pay as you go","Prediction_PACK","Prediction_Payasyougo","Competitor"},MATCH(MIN(A626:D626), A626:D626, 0))</f>
        <v>Prediction_Payasyougo</v>
      </c>
    </row>
    <row r="627" spans="1:6" x14ac:dyDescent="0.25">
      <c r="A627">
        <v>114.39400000000001</v>
      </c>
      <c r="B627">
        <v>167.88</v>
      </c>
      <c r="C627">
        <v>179.88</v>
      </c>
      <c r="D627">
        <v>179.88</v>
      </c>
      <c r="E627">
        <f t="shared" si="9"/>
        <v>114.39400000000001</v>
      </c>
      <c r="F627" t="str" cm="1">
        <f t="array" ref="F627">INDEX({"Pay as you go","Prediction_PACK","Prediction_Payasyougo","Competitor"},MATCH(MIN(A627:D627), A627:D627, 0))</f>
        <v>Pay as you go</v>
      </c>
    </row>
    <row r="628" spans="1:6" x14ac:dyDescent="0.25">
      <c r="A628">
        <v>140.173</v>
      </c>
      <c r="B628">
        <v>197.88</v>
      </c>
      <c r="C628">
        <v>189.26643978478259</v>
      </c>
      <c r="D628">
        <v>209.88</v>
      </c>
      <c r="E628">
        <f t="shared" si="9"/>
        <v>140.173</v>
      </c>
      <c r="F628" t="str" cm="1">
        <f t="array" ref="F628">INDEX({"Pay as you go","Prediction_PACK","Prediction_Payasyougo","Competitor"},MATCH(MIN(A628:D628), A628:D628, 0))</f>
        <v>Pay as you go</v>
      </c>
    </row>
    <row r="629" spans="1:6" x14ac:dyDescent="0.25">
      <c r="A629">
        <v>137.803</v>
      </c>
      <c r="B629">
        <v>182.88</v>
      </c>
      <c r="C629">
        <v>180.26983018454879</v>
      </c>
      <c r="D629">
        <v>194.88</v>
      </c>
      <c r="E629">
        <f t="shared" si="9"/>
        <v>137.803</v>
      </c>
      <c r="F629" t="str" cm="1">
        <f t="array" ref="F629">INDEX({"Pay as you go","Prediction_PACK","Prediction_Payasyougo","Competitor"},MATCH(MIN(A629:D629), A629:D629, 0))</f>
        <v>Pay as you go</v>
      </c>
    </row>
    <row r="630" spans="1:6" x14ac:dyDescent="0.25">
      <c r="A630">
        <v>104.553</v>
      </c>
      <c r="B630">
        <v>167.88</v>
      </c>
      <c r="C630">
        <v>179.88</v>
      </c>
      <c r="D630">
        <v>179.88</v>
      </c>
      <c r="E630">
        <f t="shared" si="9"/>
        <v>104.553</v>
      </c>
      <c r="F630" t="str" cm="1">
        <f t="array" ref="F630">INDEX({"Pay as you go","Prediction_PACK","Prediction_Payasyougo","Competitor"},MATCH(MIN(A630:D630), A630:D630, 0))</f>
        <v>Pay as you go</v>
      </c>
    </row>
    <row r="631" spans="1:6" x14ac:dyDescent="0.25">
      <c r="A631">
        <v>129.09700000000001</v>
      </c>
      <c r="B631">
        <v>171.88</v>
      </c>
      <c r="C631">
        <v>179.88</v>
      </c>
      <c r="D631">
        <v>184.88</v>
      </c>
      <c r="E631">
        <f t="shared" si="9"/>
        <v>129.09700000000001</v>
      </c>
      <c r="F631" t="str" cm="1">
        <f t="array" ref="F631">INDEX({"Pay as you go","Prediction_PACK","Prediction_Payasyougo","Competitor"},MATCH(MIN(A631:D631), A631:D631, 0))</f>
        <v>Pay as you go</v>
      </c>
    </row>
    <row r="632" spans="1:6" x14ac:dyDescent="0.25">
      <c r="A632">
        <v>179.215</v>
      </c>
      <c r="B632">
        <v>197.88</v>
      </c>
      <c r="C632">
        <v>186.01018963582828</v>
      </c>
      <c r="D632">
        <v>209.88</v>
      </c>
      <c r="E632">
        <f t="shared" si="9"/>
        <v>179.215</v>
      </c>
      <c r="F632" t="str" cm="1">
        <f t="array" ref="F632">INDEX({"Pay as you go","Prediction_PACK","Prediction_Payasyougo","Competitor"},MATCH(MIN(A632:D632), A632:D632, 0))</f>
        <v>Pay as you go</v>
      </c>
    </row>
    <row r="633" spans="1:6" x14ac:dyDescent="0.25">
      <c r="A633">
        <v>139.92499999999998</v>
      </c>
      <c r="B633">
        <v>167.88</v>
      </c>
      <c r="C633">
        <v>179.88</v>
      </c>
      <c r="D633">
        <v>179.88</v>
      </c>
      <c r="E633">
        <f t="shared" si="9"/>
        <v>139.92499999999998</v>
      </c>
      <c r="F633" t="str" cm="1">
        <f t="array" ref="F633">INDEX({"Pay as you go","Prediction_PACK","Prediction_Payasyougo","Competitor"},MATCH(MIN(A633:D633), A633:D633, 0))</f>
        <v>Pay as you go</v>
      </c>
    </row>
    <row r="634" spans="1:6" x14ac:dyDescent="0.25">
      <c r="A634">
        <v>124.758</v>
      </c>
      <c r="B634">
        <v>183.88</v>
      </c>
      <c r="C634">
        <v>179.88</v>
      </c>
      <c r="D634">
        <v>199.88</v>
      </c>
      <c r="E634">
        <f t="shared" si="9"/>
        <v>124.758</v>
      </c>
      <c r="F634" t="str" cm="1">
        <f t="array" ref="F634">INDEX({"Pay as you go","Prediction_PACK","Prediction_Payasyougo","Competitor"},MATCH(MIN(A634:D634), A634:D634, 0))</f>
        <v>Pay as you go</v>
      </c>
    </row>
    <row r="635" spans="1:6" x14ac:dyDescent="0.25">
      <c r="A635">
        <v>121.337</v>
      </c>
      <c r="B635">
        <v>197.88</v>
      </c>
      <c r="C635">
        <v>204.6572712881007</v>
      </c>
      <c r="D635">
        <v>209.88</v>
      </c>
      <c r="E635">
        <f t="shared" si="9"/>
        <v>121.337</v>
      </c>
      <c r="F635" t="str" cm="1">
        <f t="array" ref="F635">INDEX({"Pay as you go","Prediction_PACK","Prediction_Payasyougo","Competitor"},MATCH(MIN(A635:D635), A635:D635, 0))</f>
        <v>Pay as you go</v>
      </c>
    </row>
    <row r="636" spans="1:6" x14ac:dyDescent="0.25">
      <c r="A636">
        <v>99.646000000000001</v>
      </c>
      <c r="B636">
        <v>167.88</v>
      </c>
      <c r="C636">
        <v>179.88</v>
      </c>
      <c r="D636">
        <v>179.88</v>
      </c>
      <c r="E636">
        <f t="shared" si="9"/>
        <v>99.646000000000001</v>
      </c>
      <c r="F636" t="str" cm="1">
        <f t="array" ref="F636">INDEX({"Pay as you go","Prediction_PACK","Prediction_Payasyougo","Competitor"},MATCH(MIN(A636:D636), A636:D636, 0))</f>
        <v>Pay as you go</v>
      </c>
    </row>
    <row r="637" spans="1:6" x14ac:dyDescent="0.25">
      <c r="A637">
        <v>105.18</v>
      </c>
      <c r="B637">
        <v>167.88</v>
      </c>
      <c r="C637">
        <v>179.88</v>
      </c>
      <c r="D637">
        <v>179.88</v>
      </c>
      <c r="E637">
        <f t="shared" si="9"/>
        <v>105.18</v>
      </c>
      <c r="F637" t="str" cm="1">
        <f t="array" ref="F637">INDEX({"Pay as you go","Prediction_PACK","Prediction_Payasyougo","Competitor"},MATCH(MIN(A637:D637), A637:D637, 0))</f>
        <v>Pay as you go</v>
      </c>
    </row>
    <row r="638" spans="1:6" x14ac:dyDescent="0.25">
      <c r="A638">
        <v>179.72899999999998</v>
      </c>
      <c r="B638">
        <v>203.88</v>
      </c>
      <c r="C638">
        <v>180.84020168613691</v>
      </c>
      <c r="D638">
        <v>219.88</v>
      </c>
      <c r="E638">
        <f t="shared" si="9"/>
        <v>179.72899999999998</v>
      </c>
      <c r="F638" t="str" cm="1">
        <f t="array" ref="F638">INDEX({"Pay as you go","Prediction_PACK","Prediction_Payasyougo","Competitor"},MATCH(MIN(A638:D638), A638:D638, 0))</f>
        <v>Pay as you go</v>
      </c>
    </row>
    <row r="639" spans="1:6" x14ac:dyDescent="0.25">
      <c r="A639">
        <v>170.756</v>
      </c>
      <c r="B639">
        <v>207.88</v>
      </c>
      <c r="C639">
        <v>200.83065541635779</v>
      </c>
      <c r="D639">
        <v>219.88</v>
      </c>
      <c r="E639">
        <f t="shared" si="9"/>
        <v>170.756</v>
      </c>
      <c r="F639" t="str" cm="1">
        <f t="array" ref="F639">INDEX({"Pay as you go","Prediction_PACK","Prediction_Payasyougo","Competitor"},MATCH(MIN(A639:D639), A639:D639, 0))</f>
        <v>Pay as you go</v>
      </c>
    </row>
    <row r="640" spans="1:6" x14ac:dyDescent="0.25">
      <c r="A640">
        <v>139.399</v>
      </c>
      <c r="B640">
        <v>167.88</v>
      </c>
      <c r="C640">
        <v>179.88</v>
      </c>
      <c r="D640">
        <v>179.88</v>
      </c>
      <c r="E640">
        <f t="shared" si="9"/>
        <v>139.399</v>
      </c>
      <c r="F640" t="str" cm="1">
        <f t="array" ref="F640">INDEX({"Pay as you go","Prediction_PACK","Prediction_Payasyougo","Competitor"},MATCH(MIN(A640:D640), A640:D640, 0))</f>
        <v>Pay as you go</v>
      </c>
    </row>
    <row r="641" spans="1:6" x14ac:dyDescent="0.25">
      <c r="A641">
        <v>145.6</v>
      </c>
      <c r="B641">
        <v>177.88</v>
      </c>
      <c r="C641">
        <v>179.88</v>
      </c>
      <c r="D641">
        <v>189.88</v>
      </c>
      <c r="E641">
        <f t="shared" si="9"/>
        <v>145.6</v>
      </c>
      <c r="F641" t="str" cm="1">
        <f t="array" ref="F641">INDEX({"Pay as you go","Prediction_PACK","Prediction_Payasyougo","Competitor"},MATCH(MIN(A641:D641), A641:D641, 0))</f>
        <v>Pay as you go</v>
      </c>
    </row>
    <row r="642" spans="1:6" x14ac:dyDescent="0.25">
      <c r="A642">
        <v>123.581</v>
      </c>
      <c r="B642">
        <v>171.88</v>
      </c>
      <c r="C642">
        <v>179.88</v>
      </c>
      <c r="D642">
        <v>184.88</v>
      </c>
      <c r="E642">
        <f t="shared" si="9"/>
        <v>123.581</v>
      </c>
      <c r="F642" t="str" cm="1">
        <f t="array" ref="F642">INDEX({"Pay as you go","Prediction_PACK","Prediction_Payasyougo","Competitor"},MATCH(MIN(A642:D642), A642:D642, 0))</f>
        <v>Pay as you go</v>
      </c>
    </row>
    <row r="643" spans="1:6" x14ac:dyDescent="0.25">
      <c r="A643">
        <v>136.38200000000001</v>
      </c>
      <c r="B643">
        <v>171.88</v>
      </c>
      <c r="C643">
        <v>179.88</v>
      </c>
      <c r="D643">
        <v>184.88</v>
      </c>
      <c r="E643">
        <f t="shared" si="9"/>
        <v>136.38200000000001</v>
      </c>
      <c r="F643" t="str" cm="1">
        <f t="array" ref="F643">INDEX({"Pay as you go","Prediction_PACK","Prediction_Payasyougo","Competitor"},MATCH(MIN(A643:D643), A643:D643, 0))</f>
        <v>Pay as you go</v>
      </c>
    </row>
    <row r="644" spans="1:6" x14ac:dyDescent="0.25">
      <c r="A644">
        <v>186.30900000000003</v>
      </c>
      <c r="B644">
        <v>197.88</v>
      </c>
      <c r="C644">
        <v>198.625775684481</v>
      </c>
      <c r="D644">
        <v>209.88</v>
      </c>
      <c r="E644">
        <f t="shared" si="9"/>
        <v>186.30900000000003</v>
      </c>
      <c r="F644" t="str" cm="1">
        <f t="array" ref="F644">INDEX({"Pay as you go","Prediction_PACK","Prediction_Payasyougo","Competitor"},MATCH(MIN(A644:D644), A644:D644, 0))</f>
        <v>Pay as you go</v>
      </c>
    </row>
    <row r="645" spans="1:6" x14ac:dyDescent="0.25">
      <c r="A645">
        <v>136.63900000000001</v>
      </c>
      <c r="B645">
        <v>167.88</v>
      </c>
      <c r="C645">
        <v>179.88</v>
      </c>
      <c r="D645">
        <v>179.88</v>
      </c>
      <c r="E645">
        <f t="shared" si="9"/>
        <v>136.63900000000001</v>
      </c>
      <c r="F645" t="str" cm="1">
        <f t="array" ref="F645">INDEX({"Pay as you go","Prediction_PACK","Prediction_Payasyougo","Competitor"},MATCH(MIN(A645:D645), A645:D645, 0))</f>
        <v>Pay as you go</v>
      </c>
    </row>
    <row r="646" spans="1:6" x14ac:dyDescent="0.25">
      <c r="A646">
        <v>110.889</v>
      </c>
      <c r="B646">
        <v>167.88</v>
      </c>
      <c r="C646">
        <v>179.88</v>
      </c>
      <c r="D646">
        <v>179.88</v>
      </c>
      <c r="E646">
        <f t="shared" si="9"/>
        <v>110.889</v>
      </c>
      <c r="F646" t="str" cm="1">
        <f t="array" ref="F646">INDEX({"Pay as you go","Prediction_PACK","Prediction_Payasyougo","Competitor"},MATCH(MIN(A646:D646), A646:D646, 0))</f>
        <v>Pay as you go</v>
      </c>
    </row>
    <row r="647" spans="1:6" x14ac:dyDescent="0.25">
      <c r="A647">
        <v>102.898</v>
      </c>
      <c r="B647">
        <v>167.88</v>
      </c>
      <c r="C647">
        <v>179.88</v>
      </c>
      <c r="D647">
        <v>179.88</v>
      </c>
      <c r="E647">
        <f t="shared" si="9"/>
        <v>102.898</v>
      </c>
      <c r="F647" t="str" cm="1">
        <f t="array" ref="F647">INDEX({"Pay as you go","Prediction_PACK","Prediction_Payasyougo","Competitor"},MATCH(MIN(A647:D647), A647:D647, 0))</f>
        <v>Pay as you go</v>
      </c>
    </row>
    <row r="648" spans="1:6" x14ac:dyDescent="0.25">
      <c r="A648">
        <v>157.43200000000002</v>
      </c>
      <c r="B648">
        <v>207.88</v>
      </c>
      <c r="C648">
        <v>198.2675842002636</v>
      </c>
      <c r="D648">
        <v>219.88</v>
      </c>
      <c r="E648">
        <f t="shared" ref="E648:E711" si="10">MIN(A648:D648)</f>
        <v>157.43200000000002</v>
      </c>
      <c r="F648" t="str" cm="1">
        <f t="array" ref="F648">INDEX({"Pay as you go","Prediction_PACK","Prediction_Payasyougo","Competitor"},MATCH(MIN(A648:D648), A648:D648, 0))</f>
        <v>Pay as you go</v>
      </c>
    </row>
    <row r="649" spans="1:6" x14ac:dyDescent="0.25">
      <c r="A649">
        <v>116.85599999999999</v>
      </c>
      <c r="B649">
        <v>167.88</v>
      </c>
      <c r="C649">
        <v>179.88</v>
      </c>
      <c r="D649">
        <v>179.88</v>
      </c>
      <c r="E649">
        <f t="shared" si="10"/>
        <v>116.85599999999999</v>
      </c>
      <c r="F649" t="str" cm="1">
        <f t="array" ref="F649">INDEX({"Pay as you go","Prediction_PACK","Prediction_Payasyougo","Competitor"},MATCH(MIN(A649:D649), A649:D649, 0))</f>
        <v>Pay as you go</v>
      </c>
    </row>
    <row r="650" spans="1:6" x14ac:dyDescent="0.25">
      <c r="A650">
        <v>139.339</v>
      </c>
      <c r="B650">
        <v>177.88</v>
      </c>
      <c r="C650">
        <v>179.88</v>
      </c>
      <c r="D650">
        <v>189.88</v>
      </c>
      <c r="E650">
        <f t="shared" si="10"/>
        <v>139.339</v>
      </c>
      <c r="F650" t="str" cm="1">
        <f t="array" ref="F650">INDEX({"Pay as you go","Prediction_PACK","Prediction_Payasyougo","Competitor"},MATCH(MIN(A650:D650), A650:D650, 0))</f>
        <v>Pay as you go</v>
      </c>
    </row>
    <row r="651" spans="1:6" x14ac:dyDescent="0.25">
      <c r="A651">
        <v>175.18100000000001</v>
      </c>
      <c r="B651">
        <v>167.88</v>
      </c>
      <c r="C651">
        <v>179.88</v>
      </c>
      <c r="D651">
        <v>179.88</v>
      </c>
      <c r="E651">
        <f t="shared" si="10"/>
        <v>167.88</v>
      </c>
      <c r="F651" t="str" cm="1">
        <f t="array" ref="F651">INDEX({"Pay as you go","Prediction_PACK","Prediction_Payasyougo","Competitor"},MATCH(MIN(A651:D651), A651:D651, 0))</f>
        <v>Prediction_PACK</v>
      </c>
    </row>
    <row r="652" spans="1:6" x14ac:dyDescent="0.25">
      <c r="A652">
        <v>71.388999999999996</v>
      </c>
      <c r="B652">
        <v>167.88</v>
      </c>
      <c r="C652">
        <v>179.88</v>
      </c>
      <c r="D652">
        <v>179.88</v>
      </c>
      <c r="E652">
        <f t="shared" si="10"/>
        <v>71.388999999999996</v>
      </c>
      <c r="F652" t="str" cm="1">
        <f t="array" ref="F652">INDEX({"Pay as you go","Prediction_PACK","Prediction_Payasyougo","Competitor"},MATCH(MIN(A652:D652), A652:D652, 0))</f>
        <v>Pay as you go</v>
      </c>
    </row>
    <row r="653" spans="1:6" x14ac:dyDescent="0.25">
      <c r="A653">
        <v>124.33200000000001</v>
      </c>
      <c r="B653">
        <v>171.88</v>
      </c>
      <c r="C653">
        <v>179.88</v>
      </c>
      <c r="D653">
        <v>184.88</v>
      </c>
      <c r="E653">
        <f t="shared" si="10"/>
        <v>124.33200000000001</v>
      </c>
      <c r="F653" t="str" cm="1">
        <f t="array" ref="F653">INDEX({"Pay as you go","Prediction_PACK","Prediction_Payasyougo","Competitor"},MATCH(MIN(A653:D653), A653:D653, 0))</f>
        <v>Pay as you go</v>
      </c>
    </row>
    <row r="654" spans="1:6" x14ac:dyDescent="0.25">
      <c r="A654">
        <v>146.38000000000002</v>
      </c>
      <c r="B654">
        <v>179.88</v>
      </c>
      <c r="C654">
        <v>179.88</v>
      </c>
      <c r="D654">
        <v>194.88</v>
      </c>
      <c r="E654">
        <f t="shared" si="10"/>
        <v>146.38000000000002</v>
      </c>
      <c r="F654" t="str" cm="1">
        <f t="array" ref="F654">INDEX({"Pay as you go","Prediction_PACK","Prediction_Payasyougo","Competitor"},MATCH(MIN(A654:D654), A654:D654, 0))</f>
        <v>Pay as you go</v>
      </c>
    </row>
    <row r="655" spans="1:6" x14ac:dyDescent="0.25">
      <c r="A655">
        <v>154.76300000000001</v>
      </c>
      <c r="B655">
        <v>187.88</v>
      </c>
      <c r="C655">
        <v>179.88</v>
      </c>
      <c r="D655">
        <v>199.88</v>
      </c>
      <c r="E655">
        <f t="shared" si="10"/>
        <v>154.76300000000001</v>
      </c>
      <c r="F655" t="str" cm="1">
        <f t="array" ref="F655">INDEX({"Pay as you go","Prediction_PACK","Prediction_Payasyougo","Competitor"},MATCH(MIN(A655:D655), A655:D655, 0))</f>
        <v>Pay as you go</v>
      </c>
    </row>
    <row r="656" spans="1:6" x14ac:dyDescent="0.25">
      <c r="A656">
        <v>84.619</v>
      </c>
      <c r="B656">
        <v>167.88</v>
      </c>
      <c r="C656">
        <v>179.88</v>
      </c>
      <c r="D656">
        <v>179.88</v>
      </c>
      <c r="E656">
        <f t="shared" si="10"/>
        <v>84.619</v>
      </c>
      <c r="F656" t="str" cm="1">
        <f t="array" ref="F656">INDEX({"Pay as you go","Prediction_PACK","Prediction_Payasyougo","Competitor"},MATCH(MIN(A656:D656), A656:D656, 0))</f>
        <v>Pay as you go</v>
      </c>
    </row>
    <row r="657" spans="1:6" x14ac:dyDescent="0.25">
      <c r="A657">
        <v>120.72</v>
      </c>
      <c r="B657">
        <v>167.88</v>
      </c>
      <c r="C657">
        <v>179.88</v>
      </c>
      <c r="D657">
        <v>179.88</v>
      </c>
      <c r="E657">
        <f t="shared" si="10"/>
        <v>120.72</v>
      </c>
      <c r="F657" t="str" cm="1">
        <f t="array" ref="F657">INDEX({"Pay as you go","Prediction_PACK","Prediction_Payasyougo","Competitor"},MATCH(MIN(A657:D657), A657:D657, 0))</f>
        <v>Pay as you go</v>
      </c>
    </row>
    <row r="658" spans="1:6" x14ac:dyDescent="0.25">
      <c r="A658">
        <v>128.84299999999999</v>
      </c>
      <c r="B658">
        <v>182.88</v>
      </c>
      <c r="C658">
        <v>188.5433141377188</v>
      </c>
      <c r="D658">
        <v>194.88</v>
      </c>
      <c r="E658">
        <f t="shared" si="10"/>
        <v>128.84299999999999</v>
      </c>
      <c r="F658" t="str" cm="1">
        <f t="array" ref="F658">INDEX({"Pay as you go","Prediction_PACK","Prediction_Payasyougo","Competitor"},MATCH(MIN(A658:D658), A658:D658, 0))</f>
        <v>Pay as you go</v>
      </c>
    </row>
    <row r="659" spans="1:6" x14ac:dyDescent="0.25">
      <c r="A659">
        <v>120.25</v>
      </c>
      <c r="B659">
        <v>171.88</v>
      </c>
      <c r="C659">
        <v>179.88</v>
      </c>
      <c r="D659">
        <v>184.88</v>
      </c>
      <c r="E659">
        <f t="shared" si="10"/>
        <v>120.25</v>
      </c>
      <c r="F659" t="str" cm="1">
        <f t="array" ref="F659">INDEX({"Pay as you go","Prediction_PACK","Prediction_Payasyougo","Competitor"},MATCH(MIN(A659:D659), A659:D659, 0))</f>
        <v>Pay as you go</v>
      </c>
    </row>
    <row r="660" spans="1:6" x14ac:dyDescent="0.25">
      <c r="A660">
        <v>105.515</v>
      </c>
      <c r="B660">
        <v>167.88</v>
      </c>
      <c r="C660">
        <v>179.88</v>
      </c>
      <c r="D660">
        <v>179.88</v>
      </c>
      <c r="E660">
        <f t="shared" si="10"/>
        <v>105.515</v>
      </c>
      <c r="F660" t="str" cm="1">
        <f t="array" ref="F660">INDEX({"Pay as you go","Prediction_PACK","Prediction_Payasyougo","Competitor"},MATCH(MIN(A660:D660), A660:D660, 0))</f>
        <v>Pay as you go</v>
      </c>
    </row>
    <row r="661" spans="1:6" x14ac:dyDescent="0.25">
      <c r="A661">
        <v>116.71300000000001</v>
      </c>
      <c r="B661">
        <v>167.88</v>
      </c>
      <c r="C661">
        <v>179.88</v>
      </c>
      <c r="D661">
        <v>179.88</v>
      </c>
      <c r="E661">
        <f t="shared" si="10"/>
        <v>116.71300000000001</v>
      </c>
      <c r="F661" t="str" cm="1">
        <f t="array" ref="F661">INDEX({"Pay as you go","Prediction_PACK","Prediction_Payasyougo","Competitor"},MATCH(MIN(A661:D661), A661:D661, 0))</f>
        <v>Pay as you go</v>
      </c>
    </row>
    <row r="662" spans="1:6" x14ac:dyDescent="0.25">
      <c r="A662">
        <v>148.898</v>
      </c>
      <c r="B662">
        <v>171.88</v>
      </c>
      <c r="C662">
        <v>179.88</v>
      </c>
      <c r="D662">
        <v>184.88</v>
      </c>
      <c r="E662">
        <f t="shared" si="10"/>
        <v>148.898</v>
      </c>
      <c r="F662" t="str" cm="1">
        <f t="array" ref="F662">INDEX({"Pay as you go","Prediction_PACK","Prediction_Payasyougo","Competitor"},MATCH(MIN(A662:D662), A662:D662, 0))</f>
        <v>Pay as you go</v>
      </c>
    </row>
    <row r="663" spans="1:6" x14ac:dyDescent="0.25">
      <c r="A663">
        <v>125.25700000000001</v>
      </c>
      <c r="B663">
        <v>177.88</v>
      </c>
      <c r="C663">
        <v>179.88</v>
      </c>
      <c r="D663">
        <v>189.88</v>
      </c>
      <c r="E663">
        <f t="shared" si="10"/>
        <v>125.25700000000001</v>
      </c>
      <c r="F663" t="str" cm="1">
        <f t="array" ref="F663">INDEX({"Pay as you go","Prediction_PACK","Prediction_Payasyougo","Competitor"},MATCH(MIN(A663:D663), A663:D663, 0))</f>
        <v>Pay as you go</v>
      </c>
    </row>
    <row r="664" spans="1:6" x14ac:dyDescent="0.25">
      <c r="A664">
        <v>100.485</v>
      </c>
      <c r="B664">
        <v>167.88</v>
      </c>
      <c r="C664">
        <v>179.88</v>
      </c>
      <c r="D664">
        <v>179.88</v>
      </c>
      <c r="E664">
        <f t="shared" si="10"/>
        <v>100.485</v>
      </c>
      <c r="F664" t="str" cm="1">
        <f t="array" ref="F664">INDEX({"Pay as you go","Prediction_PACK","Prediction_Payasyougo","Competitor"},MATCH(MIN(A664:D664), A664:D664, 0))</f>
        <v>Pay as you go</v>
      </c>
    </row>
    <row r="665" spans="1:6" x14ac:dyDescent="0.25">
      <c r="A665">
        <v>133.46299999999999</v>
      </c>
      <c r="B665">
        <v>171.88</v>
      </c>
      <c r="C665">
        <v>179.88</v>
      </c>
      <c r="D665">
        <v>184.88</v>
      </c>
      <c r="E665">
        <f t="shared" si="10"/>
        <v>133.46299999999999</v>
      </c>
      <c r="F665" t="str" cm="1">
        <f t="array" ref="F665">INDEX({"Pay as you go","Prediction_PACK","Prediction_Payasyougo","Competitor"},MATCH(MIN(A665:D665), A665:D665, 0))</f>
        <v>Pay as you go</v>
      </c>
    </row>
    <row r="666" spans="1:6" x14ac:dyDescent="0.25">
      <c r="A666">
        <v>126.10900000000001</v>
      </c>
      <c r="B666">
        <v>197.88</v>
      </c>
      <c r="C666">
        <v>198.7990550996484</v>
      </c>
      <c r="D666">
        <v>209.88</v>
      </c>
      <c r="E666">
        <f t="shared" si="10"/>
        <v>126.10900000000001</v>
      </c>
      <c r="F666" t="str" cm="1">
        <f t="array" ref="F666">INDEX({"Pay as you go","Prediction_PACK","Prediction_Payasyougo","Competitor"},MATCH(MIN(A666:D666), A666:D666, 0))</f>
        <v>Pay as you go</v>
      </c>
    </row>
    <row r="667" spans="1:6" x14ac:dyDescent="0.25">
      <c r="A667">
        <v>153.11700000000002</v>
      </c>
      <c r="B667">
        <v>177.88</v>
      </c>
      <c r="C667">
        <v>179.88</v>
      </c>
      <c r="D667">
        <v>189.88</v>
      </c>
      <c r="E667">
        <f t="shared" si="10"/>
        <v>153.11700000000002</v>
      </c>
      <c r="F667" t="str" cm="1">
        <f t="array" ref="F667">INDEX({"Pay as you go","Prediction_PACK","Prediction_Payasyougo","Competitor"},MATCH(MIN(A667:D667), A667:D667, 0))</f>
        <v>Pay as you go</v>
      </c>
    </row>
    <row r="668" spans="1:6" x14ac:dyDescent="0.25">
      <c r="A668">
        <v>179.96899999999999</v>
      </c>
      <c r="B668">
        <v>171.88</v>
      </c>
      <c r="C668">
        <v>179.88</v>
      </c>
      <c r="D668">
        <v>184.88</v>
      </c>
      <c r="E668">
        <f t="shared" si="10"/>
        <v>171.88</v>
      </c>
      <c r="F668" t="str" cm="1">
        <f t="array" ref="F668">INDEX({"Pay as you go","Prediction_PACK","Prediction_Payasyougo","Competitor"},MATCH(MIN(A668:D668), A668:D668, 0))</f>
        <v>Prediction_PACK</v>
      </c>
    </row>
    <row r="669" spans="1:6" x14ac:dyDescent="0.25">
      <c r="A669">
        <v>113.01</v>
      </c>
      <c r="B669">
        <v>175.88</v>
      </c>
      <c r="C669">
        <v>179.88</v>
      </c>
      <c r="D669">
        <v>189.88</v>
      </c>
      <c r="E669">
        <f t="shared" si="10"/>
        <v>113.01</v>
      </c>
      <c r="F669" t="str" cm="1">
        <f t="array" ref="F669">INDEX({"Pay as you go","Prediction_PACK","Prediction_Payasyougo","Competitor"},MATCH(MIN(A669:D669), A669:D669, 0))</f>
        <v>Pay as you go</v>
      </c>
    </row>
    <row r="670" spans="1:6" x14ac:dyDescent="0.25">
      <c r="A670">
        <v>121.51899999999999</v>
      </c>
      <c r="B670">
        <v>167.88</v>
      </c>
      <c r="C670">
        <v>179.88</v>
      </c>
      <c r="D670">
        <v>179.88</v>
      </c>
      <c r="E670">
        <f t="shared" si="10"/>
        <v>121.51899999999999</v>
      </c>
      <c r="F670" t="str" cm="1">
        <f t="array" ref="F670">INDEX({"Pay as you go","Prediction_PACK","Prediction_Payasyougo","Competitor"},MATCH(MIN(A670:D670), A670:D670, 0))</f>
        <v>Pay as you go</v>
      </c>
    </row>
    <row r="671" spans="1:6" x14ac:dyDescent="0.25">
      <c r="A671">
        <v>116.78400000000001</v>
      </c>
      <c r="B671">
        <v>167.88</v>
      </c>
      <c r="C671">
        <v>179.88</v>
      </c>
      <c r="D671">
        <v>179.88</v>
      </c>
      <c r="E671">
        <f t="shared" si="10"/>
        <v>116.78400000000001</v>
      </c>
      <c r="F671" t="str" cm="1">
        <f t="array" ref="F671">INDEX({"Pay as you go","Prediction_PACK","Prediction_Payasyougo","Competitor"},MATCH(MIN(A671:D671), A671:D671, 0))</f>
        <v>Pay as you go</v>
      </c>
    </row>
    <row r="672" spans="1:6" x14ac:dyDescent="0.25">
      <c r="A672">
        <v>161.33200000000002</v>
      </c>
      <c r="B672">
        <v>167.88</v>
      </c>
      <c r="C672">
        <v>179.88</v>
      </c>
      <c r="D672">
        <v>179.88</v>
      </c>
      <c r="E672">
        <f t="shared" si="10"/>
        <v>161.33200000000002</v>
      </c>
      <c r="F672" t="str" cm="1">
        <f t="array" ref="F672">INDEX({"Pay as you go","Prediction_PACK","Prediction_Payasyougo","Competitor"},MATCH(MIN(A672:D672), A672:D672, 0))</f>
        <v>Pay as you go</v>
      </c>
    </row>
    <row r="673" spans="1:6" x14ac:dyDescent="0.25">
      <c r="A673">
        <v>167.96099999999998</v>
      </c>
      <c r="B673">
        <v>171.88</v>
      </c>
      <c r="C673">
        <v>179.88</v>
      </c>
      <c r="D673">
        <v>184.88</v>
      </c>
      <c r="E673">
        <f t="shared" si="10"/>
        <v>167.96099999999998</v>
      </c>
      <c r="F673" t="str" cm="1">
        <f t="array" ref="F673">INDEX({"Pay as you go","Prediction_PACK","Prediction_Payasyougo","Competitor"},MATCH(MIN(A673:D673), A673:D673, 0))</f>
        <v>Pay as you go</v>
      </c>
    </row>
    <row r="674" spans="1:6" x14ac:dyDescent="0.25">
      <c r="A674">
        <v>100.352</v>
      </c>
      <c r="B674">
        <v>167.88</v>
      </c>
      <c r="C674">
        <v>179.88</v>
      </c>
      <c r="D674">
        <v>179.88</v>
      </c>
      <c r="E674">
        <f t="shared" si="10"/>
        <v>100.352</v>
      </c>
      <c r="F674" t="str" cm="1">
        <f t="array" ref="F674">INDEX({"Pay as you go","Prediction_PACK","Prediction_Payasyougo","Competitor"},MATCH(MIN(A674:D674), A674:D674, 0))</f>
        <v>Pay as you go</v>
      </c>
    </row>
    <row r="675" spans="1:6" x14ac:dyDescent="0.25">
      <c r="A675">
        <v>158.315</v>
      </c>
      <c r="B675">
        <v>179.88</v>
      </c>
      <c r="C675">
        <v>179.88</v>
      </c>
      <c r="D675">
        <v>194.88</v>
      </c>
      <c r="E675">
        <f t="shared" si="10"/>
        <v>158.315</v>
      </c>
      <c r="F675" t="str" cm="1">
        <f t="array" ref="F675">INDEX({"Pay as you go","Prediction_PACK","Prediction_Payasyougo","Competitor"},MATCH(MIN(A675:D675), A675:D675, 0))</f>
        <v>Pay as you go</v>
      </c>
    </row>
    <row r="676" spans="1:6" x14ac:dyDescent="0.25">
      <c r="A676">
        <v>134.202</v>
      </c>
      <c r="B676">
        <v>167.88</v>
      </c>
      <c r="C676">
        <v>179.88</v>
      </c>
      <c r="D676">
        <v>179.88</v>
      </c>
      <c r="E676">
        <f t="shared" si="10"/>
        <v>134.202</v>
      </c>
      <c r="F676" t="str" cm="1">
        <f t="array" ref="F676">INDEX({"Pay as you go","Prediction_PACK","Prediction_Payasyougo","Competitor"},MATCH(MIN(A676:D676), A676:D676, 0))</f>
        <v>Pay as you go</v>
      </c>
    </row>
    <row r="677" spans="1:6" x14ac:dyDescent="0.25">
      <c r="A677">
        <v>218.995</v>
      </c>
      <c r="B677">
        <v>197.88</v>
      </c>
      <c r="C677">
        <v>208.173609650109</v>
      </c>
      <c r="D677">
        <v>209.88</v>
      </c>
      <c r="E677">
        <f t="shared" si="10"/>
        <v>197.88</v>
      </c>
      <c r="F677" t="str" cm="1">
        <f t="array" ref="F677">INDEX({"Pay as you go","Prediction_PACK","Prediction_Payasyougo","Competitor"},MATCH(MIN(A677:D677), A677:D677, 0))</f>
        <v>Prediction_PACK</v>
      </c>
    </row>
    <row r="678" spans="1:6" x14ac:dyDescent="0.25">
      <c r="A678">
        <v>145.02699999999999</v>
      </c>
      <c r="B678">
        <v>175.88</v>
      </c>
      <c r="C678">
        <v>179.88</v>
      </c>
      <c r="D678">
        <v>189.88</v>
      </c>
      <c r="E678">
        <f t="shared" si="10"/>
        <v>145.02699999999999</v>
      </c>
      <c r="F678" t="str" cm="1">
        <f t="array" ref="F678">INDEX({"Pay as you go","Prediction_PACK","Prediction_Payasyougo","Competitor"},MATCH(MIN(A678:D678), A678:D678, 0))</f>
        <v>Pay as you go</v>
      </c>
    </row>
    <row r="679" spans="1:6" x14ac:dyDescent="0.25">
      <c r="A679">
        <v>124.584</v>
      </c>
      <c r="B679">
        <v>177.88</v>
      </c>
      <c r="C679">
        <v>179.88</v>
      </c>
      <c r="D679">
        <v>189.88</v>
      </c>
      <c r="E679">
        <f t="shared" si="10"/>
        <v>124.584</v>
      </c>
      <c r="F679" t="str" cm="1">
        <f t="array" ref="F679">INDEX({"Pay as you go","Prediction_PACK","Prediction_Payasyougo","Competitor"},MATCH(MIN(A679:D679), A679:D679, 0))</f>
        <v>Pay as you go</v>
      </c>
    </row>
    <row r="680" spans="1:6" x14ac:dyDescent="0.25">
      <c r="A680">
        <v>109.212</v>
      </c>
      <c r="B680">
        <v>167.88</v>
      </c>
      <c r="C680">
        <v>179.88</v>
      </c>
      <c r="D680">
        <v>179.88</v>
      </c>
      <c r="E680">
        <f t="shared" si="10"/>
        <v>109.212</v>
      </c>
      <c r="F680" t="str" cm="1">
        <f t="array" ref="F680">INDEX({"Pay as you go","Prediction_PACK","Prediction_Payasyougo","Competitor"},MATCH(MIN(A680:D680), A680:D680, 0))</f>
        <v>Pay as you go</v>
      </c>
    </row>
    <row r="681" spans="1:6" x14ac:dyDescent="0.25">
      <c r="A681">
        <v>137.024</v>
      </c>
      <c r="B681">
        <v>182.88</v>
      </c>
      <c r="C681">
        <v>180.58722549513058</v>
      </c>
      <c r="D681">
        <v>194.88</v>
      </c>
      <c r="E681">
        <f t="shared" si="10"/>
        <v>137.024</v>
      </c>
      <c r="F681" t="str" cm="1">
        <f t="array" ref="F681">INDEX({"Pay as you go","Prediction_PACK","Prediction_Payasyougo","Competitor"},MATCH(MIN(A681:D681), A681:D681, 0))</f>
        <v>Pay as you go</v>
      </c>
    </row>
    <row r="682" spans="1:6" x14ac:dyDescent="0.25">
      <c r="A682">
        <v>106.07700000000001</v>
      </c>
      <c r="B682">
        <v>167.88</v>
      </c>
      <c r="C682">
        <v>179.88</v>
      </c>
      <c r="D682">
        <v>179.88</v>
      </c>
      <c r="E682">
        <f t="shared" si="10"/>
        <v>106.07700000000001</v>
      </c>
      <c r="F682" t="str" cm="1">
        <f t="array" ref="F682">INDEX({"Pay as you go","Prediction_PACK","Prediction_Payasyougo","Competitor"},MATCH(MIN(A682:D682), A682:D682, 0))</f>
        <v>Pay as you go</v>
      </c>
    </row>
    <row r="683" spans="1:6" x14ac:dyDescent="0.25">
      <c r="A683">
        <v>94.984000000000009</v>
      </c>
      <c r="B683">
        <v>167.88</v>
      </c>
      <c r="C683">
        <v>179.88</v>
      </c>
      <c r="D683">
        <v>179.88</v>
      </c>
      <c r="E683">
        <f t="shared" si="10"/>
        <v>94.984000000000009</v>
      </c>
      <c r="F683" t="str" cm="1">
        <f t="array" ref="F683">INDEX({"Pay as you go","Prediction_PACK","Prediction_Payasyougo","Competitor"},MATCH(MIN(A683:D683), A683:D683, 0))</f>
        <v>Pay as you go</v>
      </c>
    </row>
    <row r="684" spans="1:6" x14ac:dyDescent="0.25">
      <c r="A684">
        <v>127.319</v>
      </c>
      <c r="B684">
        <v>167.88</v>
      </c>
      <c r="C684">
        <v>179.88</v>
      </c>
      <c r="D684">
        <v>179.88</v>
      </c>
      <c r="E684">
        <f t="shared" si="10"/>
        <v>127.319</v>
      </c>
      <c r="F684" t="str" cm="1">
        <f t="array" ref="F684">INDEX({"Pay as you go","Prediction_PACK","Prediction_Payasyougo","Competitor"},MATCH(MIN(A684:D684), A684:D684, 0))</f>
        <v>Pay as you go</v>
      </c>
    </row>
    <row r="685" spans="1:6" x14ac:dyDescent="0.25">
      <c r="A685">
        <v>158.04300000000001</v>
      </c>
      <c r="B685">
        <v>197.88</v>
      </c>
      <c r="C685">
        <v>187.8205244571906</v>
      </c>
      <c r="D685">
        <v>209.88</v>
      </c>
      <c r="E685">
        <f t="shared" si="10"/>
        <v>158.04300000000001</v>
      </c>
      <c r="F685" t="str" cm="1">
        <f t="array" ref="F685">INDEX({"Pay as you go","Prediction_PACK","Prediction_Payasyougo","Competitor"},MATCH(MIN(A685:D685), A685:D685, 0))</f>
        <v>Pay as you go</v>
      </c>
    </row>
    <row r="686" spans="1:6" x14ac:dyDescent="0.25">
      <c r="A686">
        <v>161.72</v>
      </c>
      <c r="B686">
        <v>167.88</v>
      </c>
      <c r="C686">
        <v>179.88</v>
      </c>
      <c r="D686">
        <v>179.88</v>
      </c>
      <c r="E686">
        <f t="shared" si="10"/>
        <v>161.72</v>
      </c>
      <c r="F686" t="str" cm="1">
        <f t="array" ref="F686">INDEX({"Pay as you go","Prediction_PACK","Prediction_Payasyougo","Competitor"},MATCH(MIN(A686:D686), A686:D686, 0))</f>
        <v>Pay as you go</v>
      </c>
    </row>
    <row r="687" spans="1:6" x14ac:dyDescent="0.25">
      <c r="A687">
        <v>132.29599999999999</v>
      </c>
      <c r="B687">
        <v>177.88</v>
      </c>
      <c r="C687">
        <v>179.88</v>
      </c>
      <c r="D687">
        <v>189.88</v>
      </c>
      <c r="E687">
        <f t="shared" si="10"/>
        <v>132.29599999999999</v>
      </c>
      <c r="F687" t="str" cm="1">
        <f t="array" ref="F687">INDEX({"Pay as you go","Prediction_PACK","Prediction_Payasyougo","Competitor"},MATCH(MIN(A687:D687), A687:D687, 0))</f>
        <v>Pay as you go</v>
      </c>
    </row>
    <row r="688" spans="1:6" x14ac:dyDescent="0.25">
      <c r="A688">
        <v>119.12800000000001</v>
      </c>
      <c r="B688">
        <v>177.88</v>
      </c>
      <c r="C688">
        <v>179.88</v>
      </c>
      <c r="D688">
        <v>189.88</v>
      </c>
      <c r="E688">
        <f t="shared" si="10"/>
        <v>119.12800000000001</v>
      </c>
      <c r="F688" t="str" cm="1">
        <f t="array" ref="F688">INDEX({"Pay as you go","Prediction_PACK","Prediction_Payasyougo","Competitor"},MATCH(MIN(A688:D688), A688:D688, 0))</f>
        <v>Pay as you go</v>
      </c>
    </row>
    <row r="689" spans="1:6" x14ac:dyDescent="0.25">
      <c r="A689">
        <v>172.63500000000002</v>
      </c>
      <c r="B689">
        <v>177.88</v>
      </c>
      <c r="C689">
        <v>179.88</v>
      </c>
      <c r="D689">
        <v>189.88</v>
      </c>
      <c r="E689">
        <f t="shared" si="10"/>
        <v>172.63500000000002</v>
      </c>
      <c r="F689" t="str" cm="1">
        <f t="array" ref="F689">INDEX({"Pay as you go","Prediction_PACK","Prediction_Payasyougo","Competitor"},MATCH(MIN(A689:D689), A689:D689, 0))</f>
        <v>Pay as you go</v>
      </c>
    </row>
    <row r="690" spans="1:6" x14ac:dyDescent="0.25">
      <c r="A690">
        <v>95.507999999999996</v>
      </c>
      <c r="B690">
        <v>177.88</v>
      </c>
      <c r="C690">
        <v>179.88</v>
      </c>
      <c r="D690">
        <v>189.88</v>
      </c>
      <c r="E690">
        <f t="shared" si="10"/>
        <v>95.507999999999996</v>
      </c>
      <c r="F690" t="str" cm="1">
        <f t="array" ref="F690">INDEX({"Pay as you go","Prediction_PACK","Prediction_Payasyougo","Competitor"},MATCH(MIN(A690:D690), A690:D690, 0))</f>
        <v>Pay as you go</v>
      </c>
    </row>
    <row r="691" spans="1:6" x14ac:dyDescent="0.25">
      <c r="A691">
        <v>102.53400000000001</v>
      </c>
      <c r="B691">
        <v>167.88</v>
      </c>
      <c r="C691">
        <v>179.88</v>
      </c>
      <c r="D691">
        <v>179.88</v>
      </c>
      <c r="E691">
        <f t="shared" si="10"/>
        <v>102.53400000000001</v>
      </c>
      <c r="F691" t="str" cm="1">
        <f t="array" ref="F691">INDEX({"Pay as you go","Prediction_PACK","Prediction_Payasyougo","Competitor"},MATCH(MIN(A691:D691), A691:D691, 0))</f>
        <v>Pay as you go</v>
      </c>
    </row>
    <row r="692" spans="1:6" x14ac:dyDescent="0.25">
      <c r="A692">
        <v>111.07700000000001</v>
      </c>
      <c r="B692">
        <v>167.88</v>
      </c>
      <c r="C692">
        <v>179.88</v>
      </c>
      <c r="D692">
        <v>179.88</v>
      </c>
      <c r="E692">
        <f t="shared" si="10"/>
        <v>111.07700000000001</v>
      </c>
      <c r="F692" t="str" cm="1">
        <f t="array" ref="F692">INDEX({"Pay as you go","Prediction_PACK","Prediction_Payasyougo","Competitor"},MATCH(MIN(A692:D692), A692:D692, 0))</f>
        <v>Pay as you go</v>
      </c>
    </row>
    <row r="693" spans="1:6" x14ac:dyDescent="0.25">
      <c r="A693">
        <v>126.68400000000001</v>
      </c>
      <c r="B693">
        <v>177.88</v>
      </c>
      <c r="C693">
        <v>179.88</v>
      </c>
      <c r="D693">
        <v>189.88</v>
      </c>
      <c r="E693">
        <f t="shared" si="10"/>
        <v>126.68400000000001</v>
      </c>
      <c r="F693" t="str" cm="1">
        <f t="array" ref="F693">INDEX({"Pay as you go","Prediction_PACK","Prediction_Payasyougo","Competitor"},MATCH(MIN(A693:D693), A693:D693, 0))</f>
        <v>Pay as you go</v>
      </c>
    </row>
    <row r="694" spans="1:6" x14ac:dyDescent="0.25">
      <c r="A694">
        <v>125.99499999999999</v>
      </c>
      <c r="B694">
        <v>175.88</v>
      </c>
      <c r="C694">
        <v>179.88</v>
      </c>
      <c r="D694">
        <v>189.88</v>
      </c>
      <c r="E694">
        <f t="shared" si="10"/>
        <v>125.99499999999999</v>
      </c>
      <c r="F694" t="str" cm="1">
        <f t="array" ref="F694">INDEX({"Pay as you go","Prediction_PACK","Prediction_Payasyougo","Competitor"},MATCH(MIN(A694:D694), A694:D694, 0))</f>
        <v>Pay as you go</v>
      </c>
    </row>
    <row r="695" spans="1:6" x14ac:dyDescent="0.25">
      <c r="A695">
        <v>183.667</v>
      </c>
      <c r="B695">
        <v>177.88</v>
      </c>
      <c r="C695">
        <v>179.88</v>
      </c>
      <c r="D695">
        <v>189.88</v>
      </c>
      <c r="E695">
        <f t="shared" si="10"/>
        <v>177.88</v>
      </c>
      <c r="F695" t="str" cm="1">
        <f t="array" ref="F695">INDEX({"Pay as you go","Prediction_PACK","Prediction_Payasyougo","Competitor"},MATCH(MIN(A695:D695), A695:D695, 0))</f>
        <v>Prediction_PACK</v>
      </c>
    </row>
    <row r="696" spans="1:6" x14ac:dyDescent="0.25">
      <c r="A696">
        <v>101.893</v>
      </c>
      <c r="B696">
        <v>167.88</v>
      </c>
      <c r="C696">
        <v>179.88</v>
      </c>
      <c r="D696">
        <v>179.88</v>
      </c>
      <c r="E696">
        <f t="shared" si="10"/>
        <v>101.893</v>
      </c>
      <c r="F696" t="str" cm="1">
        <f t="array" ref="F696">INDEX({"Pay as you go","Prediction_PACK","Prediction_Payasyougo","Competitor"},MATCH(MIN(A696:D696), A696:D696, 0))</f>
        <v>Pay as you go</v>
      </c>
    </row>
    <row r="697" spans="1:6" x14ac:dyDescent="0.25">
      <c r="A697">
        <v>126.84099999999999</v>
      </c>
      <c r="B697">
        <v>175.88</v>
      </c>
      <c r="C697">
        <v>179.88</v>
      </c>
      <c r="D697">
        <v>189.88</v>
      </c>
      <c r="E697">
        <f t="shared" si="10"/>
        <v>126.84099999999999</v>
      </c>
      <c r="F697" t="str" cm="1">
        <f t="array" ref="F697">INDEX({"Pay as you go","Prediction_PACK","Prediction_Payasyougo","Competitor"},MATCH(MIN(A697:D697), A697:D697, 0))</f>
        <v>Pay as you go</v>
      </c>
    </row>
    <row r="698" spans="1:6" x14ac:dyDescent="0.25">
      <c r="A698">
        <v>184.411</v>
      </c>
      <c r="B698">
        <v>175.88</v>
      </c>
      <c r="C698">
        <v>179.88</v>
      </c>
      <c r="D698">
        <v>189.88</v>
      </c>
      <c r="E698">
        <f t="shared" si="10"/>
        <v>175.88</v>
      </c>
      <c r="F698" t="str" cm="1">
        <f t="array" ref="F698">INDEX({"Pay as you go","Prediction_PACK","Prediction_Payasyougo","Competitor"},MATCH(MIN(A698:D698), A698:D698, 0))</f>
        <v>Prediction_PACK</v>
      </c>
    </row>
    <row r="699" spans="1:6" x14ac:dyDescent="0.25">
      <c r="A699">
        <v>60.76</v>
      </c>
      <c r="B699">
        <v>167.88</v>
      </c>
      <c r="C699">
        <v>179.88</v>
      </c>
      <c r="D699">
        <v>179.88</v>
      </c>
      <c r="E699">
        <f t="shared" si="10"/>
        <v>60.76</v>
      </c>
      <c r="F699" t="str" cm="1">
        <f t="array" ref="F699">INDEX({"Pay as you go","Prediction_PACK","Prediction_Payasyougo","Competitor"},MATCH(MIN(A699:D699), A699:D699, 0))</f>
        <v>Pay as you go</v>
      </c>
    </row>
    <row r="700" spans="1:6" x14ac:dyDescent="0.25">
      <c r="A700">
        <v>133.72800000000001</v>
      </c>
      <c r="B700">
        <v>182.88</v>
      </c>
      <c r="C700">
        <v>188.5777387956168</v>
      </c>
      <c r="D700">
        <v>194.88</v>
      </c>
      <c r="E700">
        <f t="shared" si="10"/>
        <v>133.72800000000001</v>
      </c>
      <c r="F700" t="str" cm="1">
        <f t="array" ref="F700">INDEX({"Pay as you go","Prediction_PACK","Prediction_Payasyougo","Competitor"},MATCH(MIN(A700:D700), A700:D700, 0))</f>
        <v>Pay as you go</v>
      </c>
    </row>
    <row r="701" spans="1:6" x14ac:dyDescent="0.25">
      <c r="A701">
        <v>157.02700000000002</v>
      </c>
      <c r="B701">
        <v>167.88</v>
      </c>
      <c r="C701">
        <v>179.88</v>
      </c>
      <c r="D701">
        <v>179.88</v>
      </c>
      <c r="E701">
        <f t="shared" si="10"/>
        <v>157.02700000000002</v>
      </c>
      <c r="F701" t="str" cm="1">
        <f t="array" ref="F701">INDEX({"Pay as you go","Prediction_PACK","Prediction_Payasyougo","Competitor"},MATCH(MIN(A701:D701), A701:D701, 0))</f>
        <v>Pay as you go</v>
      </c>
    </row>
    <row r="702" spans="1:6" x14ac:dyDescent="0.25">
      <c r="A702">
        <v>96.763999999999996</v>
      </c>
      <c r="B702">
        <v>167.88</v>
      </c>
      <c r="C702">
        <v>179.88</v>
      </c>
      <c r="D702">
        <v>179.88</v>
      </c>
      <c r="E702">
        <f t="shared" si="10"/>
        <v>96.763999999999996</v>
      </c>
      <c r="F702" t="str" cm="1">
        <f t="array" ref="F702">INDEX({"Pay as you go","Prediction_PACK","Prediction_Payasyougo","Competitor"},MATCH(MIN(A702:D702), A702:D702, 0))</f>
        <v>Pay as you go</v>
      </c>
    </row>
    <row r="703" spans="1:6" x14ac:dyDescent="0.25">
      <c r="A703">
        <v>153.76300000000001</v>
      </c>
      <c r="B703">
        <v>175.88</v>
      </c>
      <c r="C703">
        <v>179.88</v>
      </c>
      <c r="D703">
        <v>189.88</v>
      </c>
      <c r="E703">
        <f t="shared" si="10"/>
        <v>153.76300000000001</v>
      </c>
      <c r="F703" t="str" cm="1">
        <f t="array" ref="F703">INDEX({"Pay as you go","Prediction_PACK","Prediction_Payasyougo","Competitor"},MATCH(MIN(A703:D703), A703:D703, 0))</f>
        <v>Pay as you go</v>
      </c>
    </row>
    <row r="704" spans="1:6" x14ac:dyDescent="0.25">
      <c r="A704">
        <v>96.48</v>
      </c>
      <c r="B704">
        <v>167.88</v>
      </c>
      <c r="C704">
        <v>179.88</v>
      </c>
      <c r="D704">
        <v>179.88</v>
      </c>
      <c r="E704">
        <f t="shared" si="10"/>
        <v>96.48</v>
      </c>
      <c r="F704" t="str" cm="1">
        <f t="array" ref="F704">INDEX({"Pay as you go","Prediction_PACK","Prediction_Payasyougo","Competitor"},MATCH(MIN(A704:D704), A704:D704, 0))</f>
        <v>Pay as you go</v>
      </c>
    </row>
    <row r="705" spans="1:6" x14ac:dyDescent="0.25">
      <c r="A705">
        <v>143.072</v>
      </c>
      <c r="B705">
        <v>182.88</v>
      </c>
      <c r="C705">
        <v>183.36214950590309</v>
      </c>
      <c r="D705">
        <v>194.88</v>
      </c>
      <c r="E705">
        <f t="shared" si="10"/>
        <v>143.072</v>
      </c>
      <c r="F705" t="str" cm="1">
        <f t="array" ref="F705">INDEX({"Pay as you go","Prediction_PACK","Prediction_Payasyougo","Competitor"},MATCH(MIN(A705:D705), A705:D705, 0))</f>
        <v>Pay as you go</v>
      </c>
    </row>
    <row r="706" spans="1:6" x14ac:dyDescent="0.25">
      <c r="A706">
        <v>169.999</v>
      </c>
      <c r="B706">
        <v>177.88</v>
      </c>
      <c r="C706">
        <v>179.88</v>
      </c>
      <c r="D706">
        <v>189.88</v>
      </c>
      <c r="E706">
        <f t="shared" si="10"/>
        <v>169.999</v>
      </c>
      <c r="F706" t="str" cm="1">
        <f t="array" ref="F706">INDEX({"Pay as you go","Prediction_PACK","Prediction_Payasyougo","Competitor"},MATCH(MIN(A706:D706), A706:D706, 0))</f>
        <v>Pay as you go</v>
      </c>
    </row>
    <row r="707" spans="1:6" x14ac:dyDescent="0.25">
      <c r="A707">
        <v>91.948999999999998</v>
      </c>
      <c r="B707">
        <v>167.88</v>
      </c>
      <c r="C707">
        <v>179.88</v>
      </c>
      <c r="D707">
        <v>179.88</v>
      </c>
      <c r="E707">
        <f t="shared" si="10"/>
        <v>91.948999999999998</v>
      </c>
      <c r="F707" t="str" cm="1">
        <f t="array" ref="F707">INDEX({"Pay as you go","Prediction_PACK","Prediction_Payasyougo","Competitor"},MATCH(MIN(A707:D707), A707:D707, 0))</f>
        <v>Pay as you go</v>
      </c>
    </row>
    <row r="708" spans="1:6" x14ac:dyDescent="0.25">
      <c r="A708">
        <v>89.543000000000006</v>
      </c>
      <c r="B708">
        <v>167.88</v>
      </c>
      <c r="C708">
        <v>179.88</v>
      </c>
      <c r="D708">
        <v>179.88</v>
      </c>
      <c r="E708">
        <f t="shared" si="10"/>
        <v>89.543000000000006</v>
      </c>
      <c r="F708" t="str" cm="1">
        <f t="array" ref="F708">INDEX({"Pay as you go","Prediction_PACK","Prediction_Payasyougo","Competitor"},MATCH(MIN(A708:D708), A708:D708, 0))</f>
        <v>Pay as you go</v>
      </c>
    </row>
    <row r="709" spans="1:6" x14ac:dyDescent="0.25">
      <c r="A709">
        <v>88.73</v>
      </c>
      <c r="B709">
        <v>167.88</v>
      </c>
      <c r="C709">
        <v>179.88</v>
      </c>
      <c r="D709">
        <v>179.88</v>
      </c>
      <c r="E709">
        <f t="shared" si="10"/>
        <v>88.73</v>
      </c>
      <c r="F709" t="str" cm="1">
        <f t="array" ref="F709">INDEX({"Pay as you go","Prediction_PACK","Prediction_Payasyougo","Competitor"},MATCH(MIN(A709:D709), A709:D709, 0))</f>
        <v>Pay as you go</v>
      </c>
    </row>
    <row r="710" spans="1:6" x14ac:dyDescent="0.25">
      <c r="A710">
        <v>54.447000000000003</v>
      </c>
      <c r="B710">
        <v>167.88</v>
      </c>
      <c r="C710">
        <v>179.88</v>
      </c>
      <c r="D710">
        <v>179.88</v>
      </c>
      <c r="E710">
        <f t="shared" si="10"/>
        <v>54.447000000000003</v>
      </c>
      <c r="F710" t="str" cm="1">
        <f t="array" ref="F710">INDEX({"Pay as you go","Prediction_PACK","Prediction_Payasyougo","Competitor"},MATCH(MIN(A710:D710), A710:D710, 0))</f>
        <v>Pay as you go</v>
      </c>
    </row>
    <row r="711" spans="1:6" x14ac:dyDescent="0.25">
      <c r="A711">
        <v>117.62400000000001</v>
      </c>
      <c r="B711">
        <v>167.88</v>
      </c>
      <c r="C711">
        <v>179.88</v>
      </c>
      <c r="D711">
        <v>179.88</v>
      </c>
      <c r="E711">
        <f t="shared" si="10"/>
        <v>117.62400000000001</v>
      </c>
      <c r="F711" t="str" cm="1">
        <f t="array" ref="F711">INDEX({"Pay as you go","Prediction_PACK","Prediction_Payasyougo","Competitor"},MATCH(MIN(A711:D711), A711:D711, 0))</f>
        <v>Pay as you go</v>
      </c>
    </row>
    <row r="712" spans="1:6" x14ac:dyDescent="0.25">
      <c r="A712">
        <v>68.623999999999995</v>
      </c>
      <c r="B712">
        <v>167.88</v>
      </c>
      <c r="C712">
        <v>179.88</v>
      </c>
      <c r="D712">
        <v>179.88</v>
      </c>
      <c r="E712">
        <f t="shared" ref="E712:E775" si="11">MIN(A712:D712)</f>
        <v>68.623999999999995</v>
      </c>
      <c r="F712" t="str" cm="1">
        <f t="array" ref="F712">INDEX({"Pay as you go","Prediction_PACK","Prediction_Payasyougo","Competitor"},MATCH(MIN(A712:D712), A712:D712, 0))</f>
        <v>Pay as you go</v>
      </c>
    </row>
    <row r="713" spans="1:6" x14ac:dyDescent="0.25">
      <c r="A713">
        <v>130.333</v>
      </c>
      <c r="B713">
        <v>167.88</v>
      </c>
      <c r="C713">
        <v>179.88</v>
      </c>
      <c r="D713">
        <v>179.88</v>
      </c>
      <c r="E713">
        <f t="shared" si="11"/>
        <v>130.333</v>
      </c>
      <c r="F713" t="str" cm="1">
        <f t="array" ref="F713">INDEX({"Pay as you go","Prediction_PACK","Prediction_Payasyougo","Competitor"},MATCH(MIN(A713:D713), A713:D713, 0))</f>
        <v>Pay as you go</v>
      </c>
    </row>
    <row r="714" spans="1:6" x14ac:dyDescent="0.25">
      <c r="A714">
        <v>147.321</v>
      </c>
      <c r="B714">
        <v>167.88</v>
      </c>
      <c r="C714">
        <v>179.88</v>
      </c>
      <c r="D714">
        <v>179.88</v>
      </c>
      <c r="E714">
        <f t="shared" si="11"/>
        <v>147.321</v>
      </c>
      <c r="F714" t="str" cm="1">
        <f t="array" ref="F714">INDEX({"Pay as you go","Prediction_PACK","Prediction_Payasyougo","Competitor"},MATCH(MIN(A714:D714), A714:D714, 0))</f>
        <v>Pay as you go</v>
      </c>
    </row>
    <row r="715" spans="1:6" x14ac:dyDescent="0.25">
      <c r="A715">
        <v>116.72</v>
      </c>
      <c r="B715">
        <v>167.88</v>
      </c>
      <c r="C715">
        <v>179.88</v>
      </c>
      <c r="D715">
        <v>179.88</v>
      </c>
      <c r="E715">
        <f t="shared" si="11"/>
        <v>116.72</v>
      </c>
      <c r="F715" t="str" cm="1">
        <f t="array" ref="F715">INDEX({"Pay as you go","Prediction_PACK","Prediction_Payasyougo","Competitor"},MATCH(MIN(A715:D715), A715:D715, 0))</f>
        <v>Pay as you go</v>
      </c>
    </row>
    <row r="716" spans="1:6" x14ac:dyDescent="0.25">
      <c r="A716">
        <v>148.874</v>
      </c>
      <c r="B716">
        <v>183.88</v>
      </c>
      <c r="C716">
        <v>179.88</v>
      </c>
      <c r="D716">
        <v>199.88</v>
      </c>
      <c r="E716">
        <f t="shared" si="11"/>
        <v>148.874</v>
      </c>
      <c r="F716" t="str" cm="1">
        <f t="array" ref="F716">INDEX({"Pay as you go","Prediction_PACK","Prediction_Payasyougo","Competitor"},MATCH(MIN(A716:D716), A716:D716, 0))</f>
        <v>Pay as you go</v>
      </c>
    </row>
    <row r="717" spans="1:6" x14ac:dyDescent="0.25">
      <c r="A717">
        <v>155.822</v>
      </c>
      <c r="B717">
        <v>179.88</v>
      </c>
      <c r="C717">
        <v>179.88</v>
      </c>
      <c r="D717">
        <v>194.88</v>
      </c>
      <c r="E717">
        <f t="shared" si="11"/>
        <v>155.822</v>
      </c>
      <c r="F717" t="str" cm="1">
        <f t="array" ref="F717">INDEX({"Pay as you go","Prediction_PACK","Prediction_Payasyougo","Competitor"},MATCH(MIN(A717:D717), A717:D717, 0))</f>
        <v>Pay as you go</v>
      </c>
    </row>
    <row r="718" spans="1:6" x14ac:dyDescent="0.25">
      <c r="A718">
        <v>84.963000000000008</v>
      </c>
      <c r="B718">
        <v>167.88</v>
      </c>
      <c r="C718">
        <v>179.88</v>
      </c>
      <c r="D718">
        <v>179.88</v>
      </c>
      <c r="E718">
        <f t="shared" si="11"/>
        <v>84.963000000000008</v>
      </c>
      <c r="F718" t="str" cm="1">
        <f t="array" ref="F718">INDEX({"Pay as you go","Prediction_PACK","Prediction_Payasyougo","Competitor"},MATCH(MIN(A718:D718), A718:D718, 0))</f>
        <v>Pay as you go</v>
      </c>
    </row>
    <row r="719" spans="1:6" x14ac:dyDescent="0.25">
      <c r="A719">
        <v>197.20599999999999</v>
      </c>
      <c r="B719">
        <v>187.88</v>
      </c>
      <c r="C719">
        <v>179.88</v>
      </c>
      <c r="D719">
        <v>199.88</v>
      </c>
      <c r="E719">
        <f t="shared" si="11"/>
        <v>179.88</v>
      </c>
      <c r="F719" t="str" cm="1">
        <f t="array" ref="F719">INDEX({"Pay as you go","Prediction_PACK","Prediction_Payasyougo","Competitor"},MATCH(MIN(A719:D719), A719:D719, 0))</f>
        <v>Prediction_Payasyougo</v>
      </c>
    </row>
    <row r="720" spans="1:6" x14ac:dyDescent="0.25">
      <c r="A720">
        <v>133.88300000000001</v>
      </c>
      <c r="B720">
        <v>167.88</v>
      </c>
      <c r="C720">
        <v>179.88</v>
      </c>
      <c r="D720">
        <v>179.88</v>
      </c>
      <c r="E720">
        <f t="shared" si="11"/>
        <v>133.88300000000001</v>
      </c>
      <c r="F720" t="str" cm="1">
        <f t="array" ref="F720">INDEX({"Pay as you go","Prediction_PACK","Prediction_Payasyougo","Competitor"},MATCH(MIN(A720:D720), A720:D720, 0))</f>
        <v>Pay as you go</v>
      </c>
    </row>
    <row r="721" spans="1:6" x14ac:dyDescent="0.25">
      <c r="A721">
        <v>214.596</v>
      </c>
      <c r="B721">
        <v>187.88</v>
      </c>
      <c r="C721">
        <v>191.94825208195289</v>
      </c>
      <c r="D721">
        <v>199.88</v>
      </c>
      <c r="E721">
        <f t="shared" si="11"/>
        <v>187.88</v>
      </c>
      <c r="F721" t="str" cm="1">
        <f t="array" ref="F721">INDEX({"Pay as you go","Prediction_PACK","Prediction_Payasyougo","Competitor"},MATCH(MIN(A721:D721), A721:D721, 0))</f>
        <v>Prediction_PACK</v>
      </c>
    </row>
    <row r="722" spans="1:6" x14ac:dyDescent="0.25">
      <c r="A722">
        <v>119.512</v>
      </c>
      <c r="B722">
        <v>167.88</v>
      </c>
      <c r="C722">
        <v>179.88</v>
      </c>
      <c r="D722">
        <v>179.88</v>
      </c>
      <c r="E722">
        <f t="shared" si="11"/>
        <v>119.512</v>
      </c>
      <c r="F722" t="str" cm="1">
        <f t="array" ref="F722">INDEX({"Pay as you go","Prediction_PACK","Prediction_Payasyougo","Competitor"},MATCH(MIN(A722:D722), A722:D722, 0))</f>
        <v>Pay as you go</v>
      </c>
    </row>
    <row r="723" spans="1:6" x14ac:dyDescent="0.25">
      <c r="A723">
        <v>92.644999999999996</v>
      </c>
      <c r="B723">
        <v>167.88</v>
      </c>
      <c r="C723">
        <v>179.88</v>
      </c>
      <c r="D723">
        <v>179.88</v>
      </c>
      <c r="E723">
        <f t="shared" si="11"/>
        <v>92.644999999999996</v>
      </c>
      <c r="F723" t="str" cm="1">
        <f t="array" ref="F723">INDEX({"Pay as you go","Prediction_PACK","Prediction_Payasyougo","Competitor"},MATCH(MIN(A723:D723), A723:D723, 0))</f>
        <v>Pay as you go</v>
      </c>
    </row>
    <row r="724" spans="1:6" x14ac:dyDescent="0.25">
      <c r="A724">
        <v>202.655</v>
      </c>
      <c r="B724">
        <v>195.88</v>
      </c>
      <c r="C724">
        <v>179.88</v>
      </c>
      <c r="D724">
        <v>209.88</v>
      </c>
      <c r="E724">
        <f t="shared" si="11"/>
        <v>179.88</v>
      </c>
      <c r="F724" t="str" cm="1">
        <f t="array" ref="F724">INDEX({"Pay as you go","Prediction_PACK","Prediction_Payasyougo","Competitor"},MATCH(MIN(A724:D724), A724:D724, 0))</f>
        <v>Prediction_Payasyougo</v>
      </c>
    </row>
    <row r="725" spans="1:6" x14ac:dyDescent="0.25">
      <c r="A725">
        <v>141.304</v>
      </c>
      <c r="B725">
        <v>177.88</v>
      </c>
      <c r="C725">
        <v>179.88</v>
      </c>
      <c r="D725">
        <v>189.88</v>
      </c>
      <c r="E725">
        <f t="shared" si="11"/>
        <v>141.304</v>
      </c>
      <c r="F725" t="str" cm="1">
        <f t="array" ref="F725">INDEX({"Pay as you go","Prediction_PACK","Prediction_Payasyougo","Competitor"},MATCH(MIN(A725:D725), A725:D725, 0))</f>
        <v>Pay as you go</v>
      </c>
    </row>
    <row r="726" spans="1:6" x14ac:dyDescent="0.25">
      <c r="A726">
        <v>154.19900000000001</v>
      </c>
      <c r="B726">
        <v>167.88</v>
      </c>
      <c r="C726">
        <v>179.88</v>
      </c>
      <c r="D726">
        <v>179.88</v>
      </c>
      <c r="E726">
        <f t="shared" si="11"/>
        <v>154.19900000000001</v>
      </c>
      <c r="F726" t="str" cm="1">
        <f t="array" ref="F726">INDEX({"Pay as you go","Prediction_PACK","Prediction_Payasyougo","Competitor"},MATCH(MIN(A726:D726), A726:D726, 0))</f>
        <v>Pay as you go</v>
      </c>
    </row>
    <row r="727" spans="1:6" x14ac:dyDescent="0.25">
      <c r="A727">
        <v>123.432</v>
      </c>
      <c r="B727">
        <v>167.88</v>
      </c>
      <c r="C727">
        <v>179.88</v>
      </c>
      <c r="D727">
        <v>179.88</v>
      </c>
      <c r="E727">
        <f t="shared" si="11"/>
        <v>123.432</v>
      </c>
      <c r="F727" t="str" cm="1">
        <f t="array" ref="F727">INDEX({"Pay as you go","Prediction_PACK","Prediction_Payasyougo","Competitor"},MATCH(MIN(A727:D727), A727:D727, 0))</f>
        <v>Pay as you go</v>
      </c>
    </row>
    <row r="728" spans="1:6" x14ac:dyDescent="0.25">
      <c r="A728">
        <v>189.15600000000001</v>
      </c>
      <c r="B728">
        <v>197.88</v>
      </c>
      <c r="C728">
        <v>185.75583892703759</v>
      </c>
      <c r="D728">
        <v>209.88</v>
      </c>
      <c r="E728">
        <f t="shared" si="11"/>
        <v>185.75583892703759</v>
      </c>
      <c r="F728" t="str" cm="1">
        <f t="array" ref="F728">INDEX({"Pay as you go","Prediction_PACK","Prediction_Payasyougo","Competitor"},MATCH(MIN(A728:D728), A728:D728, 0))</f>
        <v>Prediction_Payasyougo</v>
      </c>
    </row>
    <row r="729" spans="1:6" x14ac:dyDescent="0.25">
      <c r="A729">
        <v>146.54599999999999</v>
      </c>
      <c r="B729">
        <v>171.88</v>
      </c>
      <c r="C729">
        <v>179.88</v>
      </c>
      <c r="D729">
        <v>184.88</v>
      </c>
      <c r="E729">
        <f t="shared" si="11"/>
        <v>146.54599999999999</v>
      </c>
      <c r="F729" t="str" cm="1">
        <f t="array" ref="F729">INDEX({"Pay as you go","Prediction_PACK","Prediction_Payasyougo","Competitor"},MATCH(MIN(A729:D729), A729:D729, 0))</f>
        <v>Pay as you go</v>
      </c>
    </row>
    <row r="730" spans="1:6" x14ac:dyDescent="0.25">
      <c r="A730">
        <v>100.292</v>
      </c>
      <c r="B730">
        <v>167.88</v>
      </c>
      <c r="C730">
        <v>179.88</v>
      </c>
      <c r="D730">
        <v>179.88</v>
      </c>
      <c r="E730">
        <f t="shared" si="11"/>
        <v>100.292</v>
      </c>
      <c r="F730" t="str" cm="1">
        <f t="array" ref="F730">INDEX({"Pay as you go","Prediction_PACK","Prediction_Payasyougo","Competitor"},MATCH(MIN(A730:D730), A730:D730, 0))</f>
        <v>Pay as you go</v>
      </c>
    </row>
    <row r="731" spans="1:6" x14ac:dyDescent="0.25">
      <c r="A731">
        <v>137.626</v>
      </c>
      <c r="B731">
        <v>177.88</v>
      </c>
      <c r="C731">
        <v>179.88</v>
      </c>
      <c r="D731">
        <v>189.88</v>
      </c>
      <c r="E731">
        <f t="shared" si="11"/>
        <v>137.626</v>
      </c>
      <c r="F731" t="str" cm="1">
        <f t="array" ref="F731">INDEX({"Pay as you go","Prediction_PACK","Prediction_Payasyougo","Competitor"},MATCH(MIN(A731:D731), A731:D731, 0))</f>
        <v>Pay as you go</v>
      </c>
    </row>
    <row r="732" spans="1:6" x14ac:dyDescent="0.25">
      <c r="A732">
        <v>94.078999999999994</v>
      </c>
      <c r="B732">
        <v>167.88</v>
      </c>
      <c r="C732">
        <v>179.88</v>
      </c>
      <c r="D732">
        <v>179.88</v>
      </c>
      <c r="E732">
        <f t="shared" si="11"/>
        <v>94.078999999999994</v>
      </c>
      <c r="F732" t="str" cm="1">
        <f t="array" ref="F732">INDEX({"Pay as you go","Prediction_PACK","Prediction_Payasyougo","Competitor"},MATCH(MIN(A732:D732), A732:D732, 0))</f>
        <v>Pay as you go</v>
      </c>
    </row>
    <row r="733" spans="1:6" x14ac:dyDescent="0.25">
      <c r="A733">
        <v>102.649</v>
      </c>
      <c r="B733">
        <v>167.88</v>
      </c>
      <c r="C733">
        <v>179.88</v>
      </c>
      <c r="D733">
        <v>179.88</v>
      </c>
      <c r="E733">
        <f t="shared" si="11"/>
        <v>102.649</v>
      </c>
      <c r="F733" t="str" cm="1">
        <f t="array" ref="F733">INDEX({"Pay as you go","Prediction_PACK","Prediction_Payasyougo","Competitor"},MATCH(MIN(A733:D733), A733:D733, 0))</f>
        <v>Pay as you go</v>
      </c>
    </row>
    <row r="734" spans="1:6" x14ac:dyDescent="0.25">
      <c r="A734">
        <v>110.78999999999999</v>
      </c>
      <c r="B734">
        <v>167.88</v>
      </c>
      <c r="C734">
        <v>179.88</v>
      </c>
      <c r="D734">
        <v>179.88</v>
      </c>
      <c r="E734">
        <f t="shared" si="11"/>
        <v>110.78999999999999</v>
      </c>
      <c r="F734" t="str" cm="1">
        <f t="array" ref="F734">INDEX({"Pay as you go","Prediction_PACK","Prediction_Payasyougo","Competitor"},MATCH(MIN(A734:D734), A734:D734, 0))</f>
        <v>Pay as you go</v>
      </c>
    </row>
    <row r="735" spans="1:6" x14ac:dyDescent="0.25">
      <c r="A735">
        <v>144.64500000000001</v>
      </c>
      <c r="B735">
        <v>167.88</v>
      </c>
      <c r="C735">
        <v>179.88</v>
      </c>
      <c r="D735">
        <v>179.88</v>
      </c>
      <c r="E735">
        <f t="shared" si="11"/>
        <v>144.64500000000001</v>
      </c>
      <c r="F735" t="str" cm="1">
        <f t="array" ref="F735">INDEX({"Pay as you go","Prediction_PACK","Prediction_Payasyougo","Competitor"},MATCH(MIN(A735:D735), A735:D735, 0))</f>
        <v>Pay as you go</v>
      </c>
    </row>
    <row r="736" spans="1:6" x14ac:dyDescent="0.25">
      <c r="A736">
        <v>94.597999999999999</v>
      </c>
      <c r="B736">
        <v>167.88</v>
      </c>
      <c r="C736">
        <v>179.88</v>
      </c>
      <c r="D736">
        <v>179.88</v>
      </c>
      <c r="E736">
        <f t="shared" si="11"/>
        <v>94.597999999999999</v>
      </c>
      <c r="F736" t="str" cm="1">
        <f t="array" ref="F736">INDEX({"Pay as you go","Prediction_PACK","Prediction_Payasyougo","Competitor"},MATCH(MIN(A736:D736), A736:D736, 0))</f>
        <v>Pay as you go</v>
      </c>
    </row>
    <row r="737" spans="1:6" x14ac:dyDescent="0.25">
      <c r="A737">
        <v>117.515</v>
      </c>
      <c r="B737">
        <v>167.88</v>
      </c>
      <c r="C737">
        <v>179.88</v>
      </c>
      <c r="D737">
        <v>179.88</v>
      </c>
      <c r="E737">
        <f t="shared" si="11"/>
        <v>117.515</v>
      </c>
      <c r="F737" t="str" cm="1">
        <f t="array" ref="F737">INDEX({"Pay as you go","Prediction_PACK","Prediction_Payasyougo","Competitor"},MATCH(MIN(A737:D737), A737:D737, 0))</f>
        <v>Pay as you go</v>
      </c>
    </row>
    <row r="738" spans="1:6" x14ac:dyDescent="0.25">
      <c r="A738">
        <v>93.166000000000011</v>
      </c>
      <c r="B738">
        <v>167.88</v>
      </c>
      <c r="C738">
        <v>179.88</v>
      </c>
      <c r="D738">
        <v>179.88</v>
      </c>
      <c r="E738">
        <f t="shared" si="11"/>
        <v>93.166000000000011</v>
      </c>
      <c r="F738" t="str" cm="1">
        <f t="array" ref="F738">INDEX({"Pay as you go","Prediction_PACK","Prediction_Payasyougo","Competitor"},MATCH(MIN(A738:D738), A738:D738, 0))</f>
        <v>Pay as you go</v>
      </c>
    </row>
    <row r="739" spans="1:6" x14ac:dyDescent="0.25">
      <c r="A739">
        <v>122.711</v>
      </c>
      <c r="B739">
        <v>167.88</v>
      </c>
      <c r="C739">
        <v>179.88</v>
      </c>
      <c r="D739">
        <v>179.88</v>
      </c>
      <c r="E739">
        <f t="shared" si="11"/>
        <v>122.711</v>
      </c>
      <c r="F739" t="str" cm="1">
        <f t="array" ref="F739">INDEX({"Pay as you go","Prediction_PACK","Prediction_Payasyougo","Competitor"},MATCH(MIN(A739:D739), A739:D739, 0))</f>
        <v>Pay as you go</v>
      </c>
    </row>
    <row r="740" spans="1:6" x14ac:dyDescent="0.25">
      <c r="A740">
        <v>125.402</v>
      </c>
      <c r="B740">
        <v>167.88</v>
      </c>
      <c r="C740">
        <v>179.88</v>
      </c>
      <c r="D740">
        <v>179.88</v>
      </c>
      <c r="E740">
        <f t="shared" si="11"/>
        <v>125.402</v>
      </c>
      <c r="F740" t="str" cm="1">
        <f t="array" ref="F740">INDEX({"Pay as you go","Prediction_PACK","Prediction_Payasyougo","Competitor"},MATCH(MIN(A740:D740), A740:D740, 0))</f>
        <v>Pay as you go</v>
      </c>
    </row>
    <row r="741" spans="1:6" x14ac:dyDescent="0.25">
      <c r="A741">
        <v>147.24700000000001</v>
      </c>
      <c r="B741">
        <v>175.88</v>
      </c>
      <c r="C741">
        <v>179.88</v>
      </c>
      <c r="D741">
        <v>189.88</v>
      </c>
      <c r="E741">
        <f t="shared" si="11"/>
        <v>147.24700000000001</v>
      </c>
      <c r="F741" t="str" cm="1">
        <f t="array" ref="F741">INDEX({"Pay as you go","Prediction_PACK","Prediction_Payasyougo","Competitor"},MATCH(MIN(A741:D741), A741:D741, 0))</f>
        <v>Pay as you go</v>
      </c>
    </row>
    <row r="742" spans="1:6" x14ac:dyDescent="0.25">
      <c r="A742">
        <v>161.43899999999999</v>
      </c>
      <c r="B742">
        <v>197.88</v>
      </c>
      <c r="C742">
        <v>181.7470769491743</v>
      </c>
      <c r="D742">
        <v>209.88</v>
      </c>
      <c r="E742">
        <f t="shared" si="11"/>
        <v>161.43899999999999</v>
      </c>
      <c r="F742" t="str" cm="1">
        <f t="array" ref="F742">INDEX({"Pay as you go","Prediction_PACK","Prediction_Payasyougo","Competitor"},MATCH(MIN(A742:D742), A742:D742, 0))</f>
        <v>Pay as you go</v>
      </c>
    </row>
    <row r="743" spans="1:6" x14ac:dyDescent="0.25">
      <c r="A743">
        <v>130.577</v>
      </c>
      <c r="B743">
        <v>171.88</v>
      </c>
      <c r="C743">
        <v>179.88</v>
      </c>
      <c r="D743">
        <v>184.88</v>
      </c>
      <c r="E743">
        <f t="shared" si="11"/>
        <v>130.577</v>
      </c>
      <c r="F743" t="str" cm="1">
        <f t="array" ref="F743">INDEX({"Pay as you go","Prediction_PACK","Prediction_Payasyougo","Competitor"},MATCH(MIN(A743:D743), A743:D743, 0))</f>
        <v>Pay as you go</v>
      </c>
    </row>
    <row r="744" spans="1:6" x14ac:dyDescent="0.25">
      <c r="A744">
        <v>196.83700000000002</v>
      </c>
      <c r="B744">
        <v>217.88</v>
      </c>
      <c r="C744">
        <v>199.8997446276432</v>
      </c>
      <c r="D744">
        <v>229.88</v>
      </c>
      <c r="E744">
        <f t="shared" si="11"/>
        <v>196.83700000000002</v>
      </c>
      <c r="F744" t="str" cm="1">
        <f t="array" ref="F744">INDEX({"Pay as you go","Prediction_PACK","Prediction_Payasyougo","Competitor"},MATCH(MIN(A744:D744), A744:D744, 0))</f>
        <v>Pay as you go</v>
      </c>
    </row>
    <row r="745" spans="1:6" x14ac:dyDescent="0.25">
      <c r="A745">
        <v>110.28999999999999</v>
      </c>
      <c r="B745">
        <v>167.88</v>
      </c>
      <c r="C745">
        <v>179.88</v>
      </c>
      <c r="D745">
        <v>179.88</v>
      </c>
      <c r="E745">
        <f t="shared" si="11"/>
        <v>110.28999999999999</v>
      </c>
      <c r="F745" t="str" cm="1">
        <f t="array" ref="F745">INDEX({"Pay as you go","Prediction_PACK","Prediction_Payasyougo","Competitor"},MATCH(MIN(A745:D745), A745:D745, 0))</f>
        <v>Pay as you go</v>
      </c>
    </row>
    <row r="746" spans="1:6" x14ac:dyDescent="0.25">
      <c r="A746">
        <v>122.458</v>
      </c>
      <c r="B746">
        <v>167.88</v>
      </c>
      <c r="C746">
        <v>179.88</v>
      </c>
      <c r="D746">
        <v>179.88</v>
      </c>
      <c r="E746">
        <f t="shared" si="11"/>
        <v>122.458</v>
      </c>
      <c r="F746" t="str" cm="1">
        <f t="array" ref="F746">INDEX({"Pay as you go","Prediction_PACK","Prediction_Payasyougo","Competitor"},MATCH(MIN(A746:D746), A746:D746, 0))</f>
        <v>Pay as you go</v>
      </c>
    </row>
    <row r="747" spans="1:6" x14ac:dyDescent="0.25">
      <c r="A747">
        <v>89.236000000000004</v>
      </c>
      <c r="B747">
        <v>167.88</v>
      </c>
      <c r="C747">
        <v>179.88</v>
      </c>
      <c r="D747">
        <v>179.88</v>
      </c>
      <c r="E747">
        <f t="shared" si="11"/>
        <v>89.236000000000004</v>
      </c>
      <c r="F747" t="str" cm="1">
        <f t="array" ref="F747">INDEX({"Pay as you go","Prediction_PACK","Prediction_Payasyougo","Competitor"},MATCH(MIN(A747:D747), A747:D747, 0))</f>
        <v>Pay as you go</v>
      </c>
    </row>
    <row r="748" spans="1:6" x14ac:dyDescent="0.25">
      <c r="A748">
        <v>174.53200000000001</v>
      </c>
      <c r="B748">
        <v>197.88</v>
      </c>
      <c r="C748">
        <v>183.03535849412128</v>
      </c>
      <c r="D748">
        <v>209.88</v>
      </c>
      <c r="E748">
        <f t="shared" si="11"/>
        <v>174.53200000000001</v>
      </c>
      <c r="F748" t="str" cm="1">
        <f t="array" ref="F748">INDEX({"Pay as you go","Prediction_PACK","Prediction_Payasyougo","Competitor"},MATCH(MIN(A748:D748), A748:D748, 0))</f>
        <v>Pay as you go</v>
      </c>
    </row>
    <row r="749" spans="1:6" x14ac:dyDescent="0.25">
      <c r="A749">
        <v>110.88600000000001</v>
      </c>
      <c r="B749">
        <v>171.88</v>
      </c>
      <c r="C749">
        <v>179.88</v>
      </c>
      <c r="D749">
        <v>184.88</v>
      </c>
      <c r="E749">
        <f t="shared" si="11"/>
        <v>110.88600000000001</v>
      </c>
      <c r="F749" t="str" cm="1">
        <f t="array" ref="F749">INDEX({"Pay as you go","Prediction_PACK","Prediction_Payasyougo","Competitor"},MATCH(MIN(A749:D749), A749:D749, 0))</f>
        <v>Pay as you go</v>
      </c>
    </row>
    <row r="750" spans="1:6" x14ac:dyDescent="0.25">
      <c r="A750">
        <v>133.35599999999999</v>
      </c>
      <c r="B750">
        <v>177.88</v>
      </c>
      <c r="C750">
        <v>179.88</v>
      </c>
      <c r="D750">
        <v>189.88</v>
      </c>
      <c r="E750">
        <f t="shared" si="11"/>
        <v>133.35599999999999</v>
      </c>
      <c r="F750" t="str" cm="1">
        <f t="array" ref="F750">INDEX({"Pay as you go","Prediction_PACK","Prediction_Payasyougo","Competitor"},MATCH(MIN(A750:D750), A750:D750, 0))</f>
        <v>Pay as you go</v>
      </c>
    </row>
    <row r="751" spans="1:6" x14ac:dyDescent="0.25">
      <c r="A751">
        <v>156.90700000000001</v>
      </c>
      <c r="B751">
        <v>177.88</v>
      </c>
      <c r="C751">
        <v>179.88</v>
      </c>
      <c r="D751">
        <v>189.88</v>
      </c>
      <c r="E751">
        <f t="shared" si="11"/>
        <v>156.90700000000001</v>
      </c>
      <c r="F751" t="str" cm="1">
        <f t="array" ref="F751">INDEX({"Pay as you go","Prediction_PACK","Prediction_Payasyougo","Competitor"},MATCH(MIN(A751:D751), A751:D751, 0))</f>
        <v>Pay as you go</v>
      </c>
    </row>
    <row r="752" spans="1:6" x14ac:dyDescent="0.25">
      <c r="A752">
        <v>133.273</v>
      </c>
      <c r="B752">
        <v>167.88</v>
      </c>
      <c r="C752">
        <v>179.88</v>
      </c>
      <c r="D752">
        <v>179.88</v>
      </c>
      <c r="E752">
        <f t="shared" si="11"/>
        <v>133.273</v>
      </c>
      <c r="F752" t="str" cm="1">
        <f t="array" ref="F752">INDEX({"Pay as you go","Prediction_PACK","Prediction_Payasyougo","Competitor"},MATCH(MIN(A752:D752), A752:D752, 0))</f>
        <v>Pay as you go</v>
      </c>
    </row>
    <row r="753" spans="1:6" x14ac:dyDescent="0.25">
      <c r="A753">
        <v>115.286</v>
      </c>
      <c r="B753">
        <v>171.88</v>
      </c>
      <c r="C753">
        <v>179.88</v>
      </c>
      <c r="D753">
        <v>184.88</v>
      </c>
      <c r="E753">
        <f t="shared" si="11"/>
        <v>115.286</v>
      </c>
      <c r="F753" t="str" cm="1">
        <f t="array" ref="F753">INDEX({"Pay as you go","Prediction_PACK","Prediction_Payasyougo","Competitor"},MATCH(MIN(A753:D753), A753:D753, 0))</f>
        <v>Pay as you go</v>
      </c>
    </row>
    <row r="754" spans="1:6" x14ac:dyDescent="0.25">
      <c r="A754">
        <v>151.00700000000001</v>
      </c>
      <c r="B754">
        <v>177.88</v>
      </c>
      <c r="C754">
        <v>179.88</v>
      </c>
      <c r="D754">
        <v>189.88</v>
      </c>
      <c r="E754">
        <f t="shared" si="11"/>
        <v>151.00700000000001</v>
      </c>
      <c r="F754" t="str" cm="1">
        <f t="array" ref="F754">INDEX({"Pay as you go","Prediction_PACK","Prediction_Payasyougo","Competitor"},MATCH(MIN(A754:D754), A754:D754, 0))</f>
        <v>Pay as you go</v>
      </c>
    </row>
    <row r="755" spans="1:6" x14ac:dyDescent="0.25">
      <c r="A755">
        <v>117.05799999999999</v>
      </c>
      <c r="B755">
        <v>177.88</v>
      </c>
      <c r="C755">
        <v>179.88</v>
      </c>
      <c r="D755">
        <v>189.88</v>
      </c>
      <c r="E755">
        <f t="shared" si="11"/>
        <v>117.05799999999999</v>
      </c>
      <c r="F755" t="str" cm="1">
        <f t="array" ref="F755">INDEX({"Pay as you go","Prediction_PACK","Prediction_Payasyougo","Competitor"},MATCH(MIN(A755:D755), A755:D755, 0))</f>
        <v>Pay as you go</v>
      </c>
    </row>
    <row r="756" spans="1:6" x14ac:dyDescent="0.25">
      <c r="A756">
        <v>128.81800000000001</v>
      </c>
      <c r="B756">
        <v>167.88</v>
      </c>
      <c r="C756">
        <v>179.88</v>
      </c>
      <c r="D756">
        <v>179.88</v>
      </c>
      <c r="E756">
        <f t="shared" si="11"/>
        <v>128.81800000000001</v>
      </c>
      <c r="F756" t="str" cm="1">
        <f t="array" ref="F756">INDEX({"Pay as you go","Prediction_PACK","Prediction_Payasyougo","Competitor"},MATCH(MIN(A756:D756), A756:D756, 0))</f>
        <v>Pay as you go</v>
      </c>
    </row>
    <row r="757" spans="1:6" x14ac:dyDescent="0.25">
      <c r="A757">
        <v>134.66299999999998</v>
      </c>
      <c r="B757">
        <v>167.88</v>
      </c>
      <c r="C757">
        <v>179.88</v>
      </c>
      <c r="D757">
        <v>179.88</v>
      </c>
      <c r="E757">
        <f t="shared" si="11"/>
        <v>134.66299999999998</v>
      </c>
      <c r="F757" t="str" cm="1">
        <f t="array" ref="F757">INDEX({"Pay as you go","Prediction_PACK","Prediction_Payasyougo","Competitor"},MATCH(MIN(A757:D757), A757:D757, 0))</f>
        <v>Pay as you go</v>
      </c>
    </row>
    <row r="758" spans="1:6" x14ac:dyDescent="0.25">
      <c r="A758">
        <v>98.975999999999999</v>
      </c>
      <c r="B758">
        <v>167.88</v>
      </c>
      <c r="C758">
        <v>179.88</v>
      </c>
      <c r="D758">
        <v>179.88</v>
      </c>
      <c r="E758">
        <f t="shared" si="11"/>
        <v>98.975999999999999</v>
      </c>
      <c r="F758" t="str" cm="1">
        <f t="array" ref="F758">INDEX({"Pay as you go","Prediction_PACK","Prediction_Payasyougo","Competitor"},MATCH(MIN(A758:D758), A758:D758, 0))</f>
        <v>Pay as you go</v>
      </c>
    </row>
    <row r="759" spans="1:6" x14ac:dyDescent="0.25">
      <c r="A759">
        <v>109.64100000000001</v>
      </c>
      <c r="B759">
        <v>167.88</v>
      </c>
      <c r="C759">
        <v>179.88</v>
      </c>
      <c r="D759">
        <v>179.88</v>
      </c>
      <c r="E759">
        <f t="shared" si="11"/>
        <v>109.64100000000001</v>
      </c>
      <c r="F759" t="str" cm="1">
        <f t="array" ref="F759">INDEX({"Pay as you go","Prediction_PACK","Prediction_Payasyougo","Competitor"},MATCH(MIN(A759:D759), A759:D759, 0))</f>
        <v>Pay as you go</v>
      </c>
    </row>
    <row r="760" spans="1:6" x14ac:dyDescent="0.25">
      <c r="A760">
        <v>182.994</v>
      </c>
      <c r="B760">
        <v>195.88</v>
      </c>
      <c r="C760">
        <v>179.88</v>
      </c>
      <c r="D760">
        <v>209.88</v>
      </c>
      <c r="E760">
        <f t="shared" si="11"/>
        <v>179.88</v>
      </c>
      <c r="F760" t="str" cm="1">
        <f t="array" ref="F760">INDEX({"Pay as you go","Prediction_PACK","Prediction_Payasyougo","Competitor"},MATCH(MIN(A760:D760), A760:D760, 0))</f>
        <v>Prediction_Payasyougo</v>
      </c>
    </row>
    <row r="761" spans="1:6" x14ac:dyDescent="0.25">
      <c r="A761">
        <v>104.22800000000001</v>
      </c>
      <c r="B761">
        <v>167.88</v>
      </c>
      <c r="C761">
        <v>179.88</v>
      </c>
      <c r="D761">
        <v>179.88</v>
      </c>
      <c r="E761">
        <f t="shared" si="11"/>
        <v>104.22800000000001</v>
      </c>
      <c r="F761" t="str" cm="1">
        <f t="array" ref="F761">INDEX({"Pay as you go","Prediction_PACK","Prediction_Payasyougo","Competitor"},MATCH(MIN(A761:D761), A761:D761, 0))</f>
        <v>Pay as you go</v>
      </c>
    </row>
    <row r="762" spans="1:6" x14ac:dyDescent="0.25">
      <c r="A762">
        <v>75.593000000000004</v>
      </c>
      <c r="B762">
        <v>167.88</v>
      </c>
      <c r="C762">
        <v>179.88</v>
      </c>
      <c r="D762">
        <v>179.88</v>
      </c>
      <c r="E762">
        <f t="shared" si="11"/>
        <v>75.593000000000004</v>
      </c>
      <c r="F762" t="str" cm="1">
        <f t="array" ref="F762">INDEX({"Pay as you go","Prediction_PACK","Prediction_Payasyougo","Competitor"},MATCH(MIN(A762:D762), A762:D762, 0))</f>
        <v>Pay as you go</v>
      </c>
    </row>
    <row r="763" spans="1:6" x14ac:dyDescent="0.25">
      <c r="A763">
        <v>94.466999999999999</v>
      </c>
      <c r="B763">
        <v>167.88</v>
      </c>
      <c r="C763">
        <v>179.88</v>
      </c>
      <c r="D763">
        <v>179.88</v>
      </c>
      <c r="E763">
        <f t="shared" si="11"/>
        <v>94.466999999999999</v>
      </c>
      <c r="F763" t="str" cm="1">
        <f t="array" ref="F763">INDEX({"Pay as you go","Prediction_PACK","Prediction_Payasyougo","Competitor"},MATCH(MIN(A763:D763), A763:D763, 0))</f>
        <v>Pay as you go</v>
      </c>
    </row>
    <row r="764" spans="1:6" x14ac:dyDescent="0.25">
      <c r="A764">
        <v>110.41200000000001</v>
      </c>
      <c r="B764">
        <v>167.88</v>
      </c>
      <c r="C764">
        <v>179.88</v>
      </c>
      <c r="D764">
        <v>179.88</v>
      </c>
      <c r="E764">
        <f t="shared" si="11"/>
        <v>110.41200000000001</v>
      </c>
      <c r="F764" t="str" cm="1">
        <f t="array" ref="F764">INDEX({"Pay as you go","Prediction_PACK","Prediction_Payasyougo","Competitor"},MATCH(MIN(A764:D764), A764:D764, 0))</f>
        <v>Pay as you go</v>
      </c>
    </row>
    <row r="765" spans="1:6" x14ac:dyDescent="0.25">
      <c r="A765">
        <v>133.33600000000001</v>
      </c>
      <c r="B765">
        <v>197.88</v>
      </c>
      <c r="C765">
        <v>201.98263457154269</v>
      </c>
      <c r="D765">
        <v>209.88</v>
      </c>
      <c r="E765">
        <f t="shared" si="11"/>
        <v>133.33600000000001</v>
      </c>
      <c r="F765" t="str" cm="1">
        <f t="array" ref="F765">INDEX({"Pay as you go","Prediction_PACK","Prediction_Payasyougo","Competitor"},MATCH(MIN(A765:D765), A765:D765, 0))</f>
        <v>Pay as you go</v>
      </c>
    </row>
    <row r="766" spans="1:6" x14ac:dyDescent="0.25">
      <c r="A766">
        <v>143.845</v>
      </c>
      <c r="B766">
        <v>167.88</v>
      </c>
      <c r="C766">
        <v>179.88</v>
      </c>
      <c r="D766">
        <v>179.88</v>
      </c>
      <c r="E766">
        <f t="shared" si="11"/>
        <v>143.845</v>
      </c>
      <c r="F766" t="str" cm="1">
        <f t="array" ref="F766">INDEX({"Pay as you go","Prediction_PACK","Prediction_Payasyougo","Competitor"},MATCH(MIN(A766:D766), A766:D766, 0))</f>
        <v>Pay as you go</v>
      </c>
    </row>
    <row r="767" spans="1:6" x14ac:dyDescent="0.25">
      <c r="A767">
        <v>151.58799999999999</v>
      </c>
      <c r="B767">
        <v>171.88</v>
      </c>
      <c r="C767">
        <v>179.88</v>
      </c>
      <c r="D767">
        <v>184.88</v>
      </c>
      <c r="E767">
        <f t="shared" si="11"/>
        <v>151.58799999999999</v>
      </c>
      <c r="F767" t="str" cm="1">
        <f t="array" ref="F767">INDEX({"Pay as you go","Prediction_PACK","Prediction_Payasyougo","Competitor"},MATCH(MIN(A767:D767), A767:D767, 0))</f>
        <v>Pay as you go</v>
      </c>
    </row>
    <row r="768" spans="1:6" x14ac:dyDescent="0.25">
      <c r="A768">
        <v>94.884999999999991</v>
      </c>
      <c r="B768">
        <v>167.88</v>
      </c>
      <c r="C768">
        <v>179.88</v>
      </c>
      <c r="D768">
        <v>179.88</v>
      </c>
      <c r="E768">
        <f t="shared" si="11"/>
        <v>94.884999999999991</v>
      </c>
      <c r="F768" t="str" cm="1">
        <f t="array" ref="F768">INDEX({"Pay as you go","Prediction_PACK","Prediction_Payasyougo","Competitor"},MATCH(MIN(A768:D768), A768:D768, 0))</f>
        <v>Pay as you go</v>
      </c>
    </row>
    <row r="769" spans="1:6" x14ac:dyDescent="0.25">
      <c r="A769">
        <v>74.971999999999994</v>
      </c>
      <c r="B769">
        <v>167.88</v>
      </c>
      <c r="C769">
        <v>179.88</v>
      </c>
      <c r="D769">
        <v>179.88</v>
      </c>
      <c r="E769">
        <f t="shared" si="11"/>
        <v>74.971999999999994</v>
      </c>
      <c r="F769" t="str" cm="1">
        <f t="array" ref="F769">INDEX({"Pay as you go","Prediction_PACK","Prediction_Payasyougo","Competitor"},MATCH(MIN(A769:D769), A769:D769, 0))</f>
        <v>Pay as you go</v>
      </c>
    </row>
    <row r="770" spans="1:6" x14ac:dyDescent="0.25">
      <c r="A770">
        <v>81.197000000000003</v>
      </c>
      <c r="B770">
        <v>171.88</v>
      </c>
      <c r="C770">
        <v>179.88</v>
      </c>
      <c r="D770">
        <v>184.88</v>
      </c>
      <c r="E770">
        <f t="shared" si="11"/>
        <v>81.197000000000003</v>
      </c>
      <c r="F770" t="str" cm="1">
        <f t="array" ref="F770">INDEX({"Pay as you go","Prediction_PACK","Prediction_Payasyougo","Competitor"},MATCH(MIN(A770:D770), A770:D770, 0))</f>
        <v>Pay as you go</v>
      </c>
    </row>
    <row r="771" spans="1:6" x14ac:dyDescent="0.25">
      <c r="A771">
        <v>162.399</v>
      </c>
      <c r="B771">
        <v>187.88</v>
      </c>
      <c r="C771">
        <v>179.88</v>
      </c>
      <c r="D771">
        <v>199.88</v>
      </c>
      <c r="E771">
        <f t="shared" si="11"/>
        <v>162.399</v>
      </c>
      <c r="F771" t="str" cm="1">
        <f t="array" ref="F771">INDEX({"Pay as you go","Prediction_PACK","Prediction_Payasyougo","Competitor"},MATCH(MIN(A771:D771), A771:D771, 0))</f>
        <v>Pay as you go</v>
      </c>
    </row>
    <row r="772" spans="1:6" x14ac:dyDescent="0.25">
      <c r="A772">
        <v>161.9</v>
      </c>
      <c r="B772">
        <v>187.88</v>
      </c>
      <c r="C772">
        <v>179.88</v>
      </c>
      <c r="D772">
        <v>199.88</v>
      </c>
      <c r="E772">
        <f t="shared" si="11"/>
        <v>161.9</v>
      </c>
      <c r="F772" t="str" cm="1">
        <f t="array" ref="F772">INDEX({"Pay as you go","Prediction_PACK","Prediction_Payasyougo","Competitor"},MATCH(MIN(A772:D772), A772:D772, 0))</f>
        <v>Pay as you go</v>
      </c>
    </row>
    <row r="773" spans="1:6" x14ac:dyDescent="0.25">
      <c r="A773">
        <v>124.92100000000001</v>
      </c>
      <c r="B773">
        <v>182.88</v>
      </c>
      <c r="C773">
        <v>187.42075677555869</v>
      </c>
      <c r="D773">
        <v>194.88</v>
      </c>
      <c r="E773">
        <f t="shared" si="11"/>
        <v>124.92100000000001</v>
      </c>
      <c r="F773" t="str" cm="1">
        <f t="array" ref="F773">INDEX({"Pay as you go","Prediction_PACK","Prediction_Payasyougo","Competitor"},MATCH(MIN(A773:D773), A773:D773, 0))</f>
        <v>Pay as you go</v>
      </c>
    </row>
    <row r="774" spans="1:6" x14ac:dyDescent="0.25">
      <c r="A774">
        <v>149.33199999999999</v>
      </c>
      <c r="B774">
        <v>177.88</v>
      </c>
      <c r="C774">
        <v>179.88</v>
      </c>
      <c r="D774">
        <v>189.88</v>
      </c>
      <c r="E774">
        <f t="shared" si="11"/>
        <v>149.33199999999999</v>
      </c>
      <c r="F774" t="str" cm="1">
        <f t="array" ref="F774">INDEX({"Pay as you go","Prediction_PACK","Prediction_Payasyougo","Competitor"},MATCH(MIN(A774:D774), A774:D774, 0))</f>
        <v>Pay as you go</v>
      </c>
    </row>
    <row r="775" spans="1:6" x14ac:dyDescent="0.25">
      <c r="A775">
        <v>130.63400000000001</v>
      </c>
      <c r="B775">
        <v>177.88</v>
      </c>
      <c r="C775">
        <v>179.88</v>
      </c>
      <c r="D775">
        <v>189.88</v>
      </c>
      <c r="E775">
        <f t="shared" si="11"/>
        <v>130.63400000000001</v>
      </c>
      <c r="F775" t="str" cm="1">
        <f t="array" ref="F775">INDEX({"Pay as you go","Prediction_PACK","Prediction_Payasyougo","Competitor"},MATCH(MIN(A775:D775), A775:D775, 0))</f>
        <v>Pay as you go</v>
      </c>
    </row>
    <row r="776" spans="1:6" x14ac:dyDescent="0.25">
      <c r="A776">
        <v>107.143</v>
      </c>
      <c r="B776">
        <v>167.88</v>
      </c>
      <c r="C776">
        <v>179.88</v>
      </c>
      <c r="D776">
        <v>179.88</v>
      </c>
      <c r="E776">
        <f t="shared" ref="E776:E839" si="12">MIN(A776:D776)</f>
        <v>107.143</v>
      </c>
      <c r="F776" t="str" cm="1">
        <f t="array" ref="F776">INDEX({"Pay as you go","Prediction_PACK","Prediction_Payasyougo","Competitor"},MATCH(MIN(A776:D776), A776:D776, 0))</f>
        <v>Pay as you go</v>
      </c>
    </row>
    <row r="777" spans="1:6" x14ac:dyDescent="0.25">
      <c r="A777">
        <v>205.73500000000001</v>
      </c>
      <c r="B777">
        <v>187.88</v>
      </c>
      <c r="C777">
        <v>179.88</v>
      </c>
      <c r="D777">
        <v>204.88</v>
      </c>
      <c r="E777">
        <f t="shared" si="12"/>
        <v>179.88</v>
      </c>
      <c r="F777" t="str" cm="1">
        <f t="array" ref="F777">INDEX({"Pay as you go","Prediction_PACK","Prediction_Payasyougo","Competitor"},MATCH(MIN(A777:D777), A777:D777, 0))</f>
        <v>Prediction_Payasyougo</v>
      </c>
    </row>
    <row r="778" spans="1:6" x14ac:dyDescent="0.25">
      <c r="A778">
        <v>104.468</v>
      </c>
      <c r="B778">
        <v>187.88</v>
      </c>
      <c r="C778">
        <v>190.79311079985931</v>
      </c>
      <c r="D778">
        <v>199.88</v>
      </c>
      <c r="E778">
        <f t="shared" si="12"/>
        <v>104.468</v>
      </c>
      <c r="F778" t="str" cm="1">
        <f t="array" ref="F778">INDEX({"Pay as you go","Prediction_PACK","Prediction_Payasyougo","Competitor"},MATCH(MIN(A778:D778), A778:D778, 0))</f>
        <v>Pay as you go</v>
      </c>
    </row>
    <row r="779" spans="1:6" x14ac:dyDescent="0.25">
      <c r="A779">
        <v>77.121000000000009</v>
      </c>
      <c r="B779">
        <v>167.88</v>
      </c>
      <c r="C779">
        <v>179.88</v>
      </c>
      <c r="D779">
        <v>179.88</v>
      </c>
      <c r="E779">
        <f t="shared" si="12"/>
        <v>77.121000000000009</v>
      </c>
      <c r="F779" t="str" cm="1">
        <f t="array" ref="F779">INDEX({"Pay as you go","Prediction_PACK","Prediction_Payasyougo","Competitor"},MATCH(MIN(A779:D779), A779:D779, 0))</f>
        <v>Pay as you go</v>
      </c>
    </row>
    <row r="780" spans="1:6" x14ac:dyDescent="0.25">
      <c r="A780">
        <v>105.83500000000001</v>
      </c>
      <c r="B780">
        <v>182.88</v>
      </c>
      <c r="C780">
        <v>188.84580808659268</v>
      </c>
      <c r="D780">
        <v>194.88</v>
      </c>
      <c r="E780">
        <f t="shared" si="12"/>
        <v>105.83500000000001</v>
      </c>
      <c r="F780" t="str" cm="1">
        <f t="array" ref="F780">INDEX({"Pay as you go","Prediction_PACK","Prediction_Payasyougo","Competitor"},MATCH(MIN(A780:D780), A780:D780, 0))</f>
        <v>Pay as you go</v>
      </c>
    </row>
    <row r="781" spans="1:6" x14ac:dyDescent="0.25">
      <c r="A781">
        <v>103.34399999999999</v>
      </c>
      <c r="B781">
        <v>177.88</v>
      </c>
      <c r="C781">
        <v>179.88</v>
      </c>
      <c r="D781">
        <v>189.88</v>
      </c>
      <c r="E781">
        <f t="shared" si="12"/>
        <v>103.34399999999999</v>
      </c>
      <c r="F781" t="str" cm="1">
        <f t="array" ref="F781">INDEX({"Pay as you go","Prediction_PACK","Prediction_Payasyougo","Competitor"},MATCH(MIN(A781:D781), A781:D781, 0))</f>
        <v>Pay as you go</v>
      </c>
    </row>
    <row r="782" spans="1:6" x14ac:dyDescent="0.25">
      <c r="A782">
        <v>106.511</v>
      </c>
      <c r="B782">
        <v>167.88</v>
      </c>
      <c r="C782">
        <v>179.88</v>
      </c>
      <c r="D782">
        <v>179.88</v>
      </c>
      <c r="E782">
        <f t="shared" si="12"/>
        <v>106.511</v>
      </c>
      <c r="F782" t="str" cm="1">
        <f t="array" ref="F782">INDEX({"Pay as you go","Prediction_PACK","Prediction_Payasyougo","Competitor"},MATCH(MIN(A782:D782), A782:D782, 0))</f>
        <v>Pay as you go</v>
      </c>
    </row>
    <row r="783" spans="1:6" x14ac:dyDescent="0.25">
      <c r="A783">
        <v>129.11799999999999</v>
      </c>
      <c r="B783">
        <v>167.88</v>
      </c>
      <c r="C783">
        <v>179.88</v>
      </c>
      <c r="D783">
        <v>179.88</v>
      </c>
      <c r="E783">
        <f t="shared" si="12"/>
        <v>129.11799999999999</v>
      </c>
      <c r="F783" t="str" cm="1">
        <f t="array" ref="F783">INDEX({"Pay as you go","Prediction_PACK","Prediction_Payasyougo","Competitor"},MATCH(MIN(A783:D783), A783:D783, 0))</f>
        <v>Pay as you go</v>
      </c>
    </row>
    <row r="784" spans="1:6" x14ac:dyDescent="0.25">
      <c r="A784">
        <v>141.50900000000001</v>
      </c>
      <c r="B784">
        <v>177.88</v>
      </c>
      <c r="C784">
        <v>179.88</v>
      </c>
      <c r="D784">
        <v>189.88</v>
      </c>
      <c r="E784">
        <f t="shared" si="12"/>
        <v>141.50900000000001</v>
      </c>
      <c r="F784" t="str" cm="1">
        <f t="array" ref="F784">INDEX({"Pay as you go","Prediction_PACK","Prediction_Payasyougo","Competitor"},MATCH(MIN(A784:D784), A784:D784, 0))</f>
        <v>Pay as you go</v>
      </c>
    </row>
    <row r="785" spans="1:6" x14ac:dyDescent="0.25">
      <c r="A785">
        <v>169.45500000000001</v>
      </c>
      <c r="B785">
        <v>197.88</v>
      </c>
      <c r="C785">
        <v>190.64924491406069</v>
      </c>
      <c r="D785">
        <v>209.88</v>
      </c>
      <c r="E785">
        <f t="shared" si="12"/>
        <v>169.45500000000001</v>
      </c>
      <c r="F785" t="str" cm="1">
        <f t="array" ref="F785">INDEX({"Pay as you go","Prediction_PACK","Prediction_Payasyougo","Competitor"},MATCH(MIN(A785:D785), A785:D785, 0))</f>
        <v>Pay as you go</v>
      </c>
    </row>
    <row r="786" spans="1:6" x14ac:dyDescent="0.25">
      <c r="A786">
        <v>123.029</v>
      </c>
      <c r="B786">
        <v>177.88</v>
      </c>
      <c r="C786">
        <v>179.88</v>
      </c>
      <c r="D786">
        <v>189.88</v>
      </c>
      <c r="E786">
        <f t="shared" si="12"/>
        <v>123.029</v>
      </c>
      <c r="F786" t="str" cm="1">
        <f t="array" ref="F786">INDEX({"Pay as you go","Prediction_PACK","Prediction_Payasyougo","Competitor"},MATCH(MIN(A786:D786), A786:D786, 0))</f>
        <v>Pay as you go</v>
      </c>
    </row>
    <row r="787" spans="1:6" x14ac:dyDescent="0.25">
      <c r="A787">
        <v>116.354</v>
      </c>
      <c r="B787">
        <v>167.88</v>
      </c>
      <c r="C787">
        <v>179.88</v>
      </c>
      <c r="D787">
        <v>179.88</v>
      </c>
      <c r="E787">
        <f t="shared" si="12"/>
        <v>116.354</v>
      </c>
      <c r="F787" t="str" cm="1">
        <f t="array" ref="F787">INDEX({"Pay as you go","Prediction_PACK","Prediction_Payasyougo","Competitor"},MATCH(MIN(A787:D787), A787:D787, 0))</f>
        <v>Pay as you go</v>
      </c>
    </row>
    <row r="788" spans="1:6" x14ac:dyDescent="0.25">
      <c r="A788">
        <v>88.084000000000003</v>
      </c>
      <c r="B788">
        <v>167.88</v>
      </c>
      <c r="C788">
        <v>179.88</v>
      </c>
      <c r="D788">
        <v>179.88</v>
      </c>
      <c r="E788">
        <f t="shared" si="12"/>
        <v>88.084000000000003</v>
      </c>
      <c r="F788" t="str" cm="1">
        <f t="array" ref="F788">INDEX({"Pay as you go","Prediction_PACK","Prediction_Payasyougo","Competitor"},MATCH(MIN(A788:D788), A788:D788, 0))</f>
        <v>Pay as you go</v>
      </c>
    </row>
    <row r="789" spans="1:6" x14ac:dyDescent="0.25">
      <c r="A789">
        <v>83.286999999999992</v>
      </c>
      <c r="B789">
        <v>167.88</v>
      </c>
      <c r="C789">
        <v>179.88</v>
      </c>
      <c r="D789">
        <v>179.88</v>
      </c>
      <c r="E789">
        <f t="shared" si="12"/>
        <v>83.286999999999992</v>
      </c>
      <c r="F789" t="str" cm="1">
        <f t="array" ref="F789">INDEX({"Pay as you go","Prediction_PACK","Prediction_Payasyougo","Competitor"},MATCH(MIN(A789:D789), A789:D789, 0))</f>
        <v>Pay as you go</v>
      </c>
    </row>
    <row r="790" spans="1:6" x14ac:dyDescent="0.25">
      <c r="A790">
        <v>153.006</v>
      </c>
      <c r="B790">
        <v>197.88</v>
      </c>
      <c r="C790">
        <v>180.887951448774</v>
      </c>
      <c r="D790">
        <v>209.88</v>
      </c>
      <c r="E790">
        <f t="shared" si="12"/>
        <v>153.006</v>
      </c>
      <c r="F790" t="str" cm="1">
        <f t="array" ref="F790">INDEX({"Pay as you go","Prediction_PACK","Prediction_Payasyougo","Competitor"},MATCH(MIN(A790:D790), A790:D790, 0))</f>
        <v>Pay as you go</v>
      </c>
    </row>
    <row r="791" spans="1:6" x14ac:dyDescent="0.25">
      <c r="A791">
        <v>73.851000000000013</v>
      </c>
      <c r="B791">
        <v>167.88</v>
      </c>
      <c r="C791">
        <v>179.88</v>
      </c>
      <c r="D791">
        <v>179.88</v>
      </c>
      <c r="E791">
        <f t="shared" si="12"/>
        <v>73.851000000000013</v>
      </c>
      <c r="F791" t="str" cm="1">
        <f t="array" ref="F791">INDEX({"Pay as you go","Prediction_PACK","Prediction_Payasyougo","Competitor"},MATCH(MIN(A791:D791), A791:D791, 0))</f>
        <v>Pay as you go</v>
      </c>
    </row>
    <row r="792" spans="1:6" x14ac:dyDescent="0.25">
      <c r="A792">
        <v>178.83100000000002</v>
      </c>
      <c r="B792">
        <v>197.88</v>
      </c>
      <c r="C792">
        <v>189.157141903065</v>
      </c>
      <c r="D792">
        <v>209.88</v>
      </c>
      <c r="E792">
        <f t="shared" si="12"/>
        <v>178.83100000000002</v>
      </c>
      <c r="F792" t="str" cm="1">
        <f t="array" ref="F792">INDEX({"Pay as you go","Prediction_PACK","Prediction_Payasyougo","Competitor"},MATCH(MIN(A792:D792), A792:D792, 0))</f>
        <v>Pay as you go</v>
      </c>
    </row>
    <row r="793" spans="1:6" x14ac:dyDescent="0.25">
      <c r="A793">
        <v>163.70500000000001</v>
      </c>
      <c r="B793">
        <v>171.88</v>
      </c>
      <c r="C793">
        <v>179.88</v>
      </c>
      <c r="D793">
        <v>184.88</v>
      </c>
      <c r="E793">
        <f t="shared" si="12"/>
        <v>163.70500000000001</v>
      </c>
      <c r="F793" t="str" cm="1">
        <f t="array" ref="F793">INDEX({"Pay as you go","Prediction_PACK","Prediction_Payasyougo","Competitor"},MATCH(MIN(A793:D793), A793:D793, 0))</f>
        <v>Pay as you go</v>
      </c>
    </row>
    <row r="794" spans="1:6" x14ac:dyDescent="0.25">
      <c r="A794">
        <v>164.107</v>
      </c>
      <c r="B794">
        <v>177.88</v>
      </c>
      <c r="C794">
        <v>179.88</v>
      </c>
      <c r="D794">
        <v>189.88</v>
      </c>
      <c r="E794">
        <f t="shared" si="12"/>
        <v>164.107</v>
      </c>
      <c r="F794" t="str" cm="1">
        <f t="array" ref="F794">INDEX({"Pay as you go","Prediction_PACK","Prediction_Payasyougo","Competitor"},MATCH(MIN(A794:D794), A794:D794, 0))</f>
        <v>Pay as you go</v>
      </c>
    </row>
    <row r="795" spans="1:6" x14ac:dyDescent="0.25">
      <c r="A795">
        <v>226.71100000000001</v>
      </c>
      <c r="B795">
        <v>227.88</v>
      </c>
      <c r="C795">
        <v>214.62617859193591</v>
      </c>
      <c r="D795">
        <v>239.88</v>
      </c>
      <c r="E795">
        <f t="shared" si="12"/>
        <v>214.62617859193591</v>
      </c>
      <c r="F795" t="str" cm="1">
        <f t="array" ref="F795">INDEX({"Pay as you go","Prediction_PACK","Prediction_Payasyougo","Competitor"},MATCH(MIN(A795:D795), A795:D795, 0))</f>
        <v>Prediction_Payasyougo</v>
      </c>
    </row>
    <row r="796" spans="1:6" x14ac:dyDescent="0.25">
      <c r="A796">
        <v>128.345</v>
      </c>
      <c r="B796">
        <v>167.88</v>
      </c>
      <c r="C796">
        <v>179.88</v>
      </c>
      <c r="D796">
        <v>179.88</v>
      </c>
      <c r="E796">
        <f t="shared" si="12"/>
        <v>128.345</v>
      </c>
      <c r="F796" t="str" cm="1">
        <f t="array" ref="F796">INDEX({"Pay as you go","Prediction_PACK","Prediction_Payasyougo","Competitor"},MATCH(MIN(A796:D796), A796:D796, 0))</f>
        <v>Pay as you go</v>
      </c>
    </row>
    <row r="797" spans="1:6" x14ac:dyDescent="0.25">
      <c r="A797">
        <v>118.74000000000001</v>
      </c>
      <c r="B797">
        <v>177.88</v>
      </c>
      <c r="C797">
        <v>179.88</v>
      </c>
      <c r="D797">
        <v>189.88</v>
      </c>
      <c r="E797">
        <f t="shared" si="12"/>
        <v>118.74000000000001</v>
      </c>
      <c r="F797" t="str" cm="1">
        <f t="array" ref="F797">INDEX({"Pay as you go","Prediction_PACK","Prediction_Payasyougo","Competitor"},MATCH(MIN(A797:D797), A797:D797, 0))</f>
        <v>Pay as you go</v>
      </c>
    </row>
    <row r="798" spans="1:6" x14ac:dyDescent="0.25">
      <c r="A798">
        <v>132.959</v>
      </c>
      <c r="B798">
        <v>175.88</v>
      </c>
      <c r="C798">
        <v>179.88</v>
      </c>
      <c r="D798">
        <v>189.88</v>
      </c>
      <c r="E798">
        <f t="shared" si="12"/>
        <v>132.959</v>
      </c>
      <c r="F798" t="str" cm="1">
        <f t="array" ref="F798">INDEX({"Pay as you go","Prediction_PACK","Prediction_Payasyougo","Competitor"},MATCH(MIN(A798:D798), A798:D798, 0))</f>
        <v>Pay as you go</v>
      </c>
    </row>
    <row r="799" spans="1:6" x14ac:dyDescent="0.25">
      <c r="A799">
        <v>97.085999999999999</v>
      </c>
      <c r="B799">
        <v>167.88</v>
      </c>
      <c r="C799">
        <v>179.88</v>
      </c>
      <c r="D799">
        <v>179.88</v>
      </c>
      <c r="E799">
        <f t="shared" si="12"/>
        <v>97.085999999999999</v>
      </c>
      <c r="F799" t="str" cm="1">
        <f t="array" ref="F799">INDEX({"Pay as you go","Prediction_PACK","Prediction_Payasyougo","Competitor"},MATCH(MIN(A799:D799), A799:D799, 0))</f>
        <v>Pay as you go</v>
      </c>
    </row>
    <row r="800" spans="1:6" x14ac:dyDescent="0.25">
      <c r="A800">
        <v>124.342</v>
      </c>
      <c r="B800">
        <v>175.88</v>
      </c>
      <c r="C800">
        <v>179.88</v>
      </c>
      <c r="D800">
        <v>189.88</v>
      </c>
      <c r="E800">
        <f t="shared" si="12"/>
        <v>124.342</v>
      </c>
      <c r="F800" t="str" cm="1">
        <f t="array" ref="F800">INDEX({"Pay as you go","Prediction_PACK","Prediction_Payasyougo","Competitor"},MATCH(MIN(A800:D800), A800:D800, 0))</f>
        <v>Pay as you go</v>
      </c>
    </row>
    <row r="801" spans="1:6" x14ac:dyDescent="0.25">
      <c r="A801">
        <v>106.08800000000001</v>
      </c>
      <c r="B801">
        <v>167.88</v>
      </c>
      <c r="C801">
        <v>179.88</v>
      </c>
      <c r="D801">
        <v>179.88</v>
      </c>
      <c r="E801">
        <f t="shared" si="12"/>
        <v>106.08800000000001</v>
      </c>
      <c r="F801" t="str" cm="1">
        <f t="array" ref="F801">INDEX({"Pay as you go","Prediction_PACK","Prediction_Payasyougo","Competitor"},MATCH(MIN(A801:D801), A801:D801, 0))</f>
        <v>Pay as you go</v>
      </c>
    </row>
    <row r="802" spans="1:6" x14ac:dyDescent="0.25">
      <c r="A802">
        <v>134.65600000000001</v>
      </c>
      <c r="B802">
        <v>167.88</v>
      </c>
      <c r="C802">
        <v>179.88</v>
      </c>
      <c r="D802">
        <v>179.88</v>
      </c>
      <c r="E802">
        <f t="shared" si="12"/>
        <v>134.65600000000001</v>
      </c>
      <c r="F802" t="str" cm="1">
        <f t="array" ref="F802">INDEX({"Pay as you go","Prediction_PACK","Prediction_Payasyougo","Competitor"},MATCH(MIN(A802:D802), A802:D802, 0))</f>
        <v>Pay as you go</v>
      </c>
    </row>
    <row r="803" spans="1:6" x14ac:dyDescent="0.25">
      <c r="A803">
        <v>122.944</v>
      </c>
      <c r="B803">
        <v>167.88</v>
      </c>
      <c r="C803">
        <v>179.88</v>
      </c>
      <c r="D803">
        <v>179.88</v>
      </c>
      <c r="E803">
        <f t="shared" si="12"/>
        <v>122.944</v>
      </c>
      <c r="F803" t="str" cm="1">
        <f t="array" ref="F803">INDEX({"Pay as you go","Prediction_PACK","Prediction_Payasyougo","Competitor"},MATCH(MIN(A803:D803), A803:D803, 0))</f>
        <v>Pay as you go</v>
      </c>
    </row>
    <row r="804" spans="1:6" x14ac:dyDescent="0.25">
      <c r="A804">
        <v>128.35599999999999</v>
      </c>
      <c r="B804">
        <v>167.88</v>
      </c>
      <c r="C804">
        <v>179.88</v>
      </c>
      <c r="D804">
        <v>179.88</v>
      </c>
      <c r="E804">
        <f t="shared" si="12"/>
        <v>128.35599999999999</v>
      </c>
      <c r="F804" t="str" cm="1">
        <f t="array" ref="F804">INDEX({"Pay as you go","Prediction_PACK","Prediction_Payasyougo","Competitor"},MATCH(MIN(A804:D804), A804:D804, 0))</f>
        <v>Pay as you go</v>
      </c>
    </row>
    <row r="805" spans="1:6" x14ac:dyDescent="0.25">
      <c r="A805">
        <v>119.661</v>
      </c>
      <c r="B805">
        <v>182.88</v>
      </c>
      <c r="C805">
        <v>185.7589867556778</v>
      </c>
      <c r="D805">
        <v>194.88</v>
      </c>
      <c r="E805">
        <f t="shared" si="12"/>
        <v>119.661</v>
      </c>
      <c r="F805" t="str" cm="1">
        <f t="array" ref="F805">INDEX({"Pay as you go","Prediction_PACK","Prediction_Payasyougo","Competitor"},MATCH(MIN(A805:D805), A805:D805, 0))</f>
        <v>Pay as you go</v>
      </c>
    </row>
    <row r="806" spans="1:6" x14ac:dyDescent="0.25">
      <c r="A806">
        <v>116.913</v>
      </c>
      <c r="B806">
        <v>171.88</v>
      </c>
      <c r="C806">
        <v>179.88</v>
      </c>
      <c r="D806">
        <v>184.88</v>
      </c>
      <c r="E806">
        <f t="shared" si="12"/>
        <v>116.913</v>
      </c>
      <c r="F806" t="str" cm="1">
        <f t="array" ref="F806">INDEX({"Pay as you go","Prediction_PACK","Prediction_Payasyougo","Competitor"},MATCH(MIN(A806:D806), A806:D806, 0))</f>
        <v>Pay as you go</v>
      </c>
    </row>
    <row r="807" spans="1:6" x14ac:dyDescent="0.25">
      <c r="A807">
        <v>95.885000000000005</v>
      </c>
      <c r="B807">
        <v>167.88</v>
      </c>
      <c r="C807">
        <v>179.88</v>
      </c>
      <c r="D807">
        <v>179.88</v>
      </c>
      <c r="E807">
        <f t="shared" si="12"/>
        <v>95.885000000000005</v>
      </c>
      <c r="F807" t="str" cm="1">
        <f t="array" ref="F807">INDEX({"Pay as you go","Prediction_PACK","Prediction_Payasyougo","Competitor"},MATCH(MIN(A807:D807), A807:D807, 0))</f>
        <v>Pay as you go</v>
      </c>
    </row>
    <row r="808" spans="1:6" x14ac:dyDescent="0.25">
      <c r="A808">
        <v>97.538000000000011</v>
      </c>
      <c r="B808">
        <v>167.88</v>
      </c>
      <c r="C808">
        <v>179.88</v>
      </c>
      <c r="D808">
        <v>179.88</v>
      </c>
      <c r="E808">
        <f t="shared" si="12"/>
        <v>97.538000000000011</v>
      </c>
      <c r="F808" t="str" cm="1">
        <f t="array" ref="F808">INDEX({"Pay as you go","Prediction_PACK","Prediction_Payasyougo","Competitor"},MATCH(MIN(A808:D808), A808:D808, 0))</f>
        <v>Pay as you go</v>
      </c>
    </row>
    <row r="809" spans="1:6" x14ac:dyDescent="0.25">
      <c r="A809">
        <v>123.944</v>
      </c>
      <c r="B809">
        <v>177.88</v>
      </c>
      <c r="C809">
        <v>179.88</v>
      </c>
      <c r="D809">
        <v>189.88</v>
      </c>
      <c r="E809">
        <f t="shared" si="12"/>
        <v>123.944</v>
      </c>
      <c r="F809" t="str" cm="1">
        <f t="array" ref="F809">INDEX({"Pay as you go","Prediction_PACK","Prediction_Payasyougo","Competitor"},MATCH(MIN(A809:D809), A809:D809, 0))</f>
        <v>Pay as you go</v>
      </c>
    </row>
    <row r="810" spans="1:6" x14ac:dyDescent="0.25">
      <c r="A810">
        <v>122.044</v>
      </c>
      <c r="B810">
        <v>177.88</v>
      </c>
      <c r="C810">
        <v>179.88</v>
      </c>
      <c r="D810">
        <v>189.88</v>
      </c>
      <c r="E810">
        <f t="shared" si="12"/>
        <v>122.044</v>
      </c>
      <c r="F810" t="str" cm="1">
        <f t="array" ref="F810">INDEX({"Pay as you go","Prediction_PACK","Prediction_Payasyougo","Competitor"},MATCH(MIN(A810:D810), A810:D810, 0))</f>
        <v>Pay as you go</v>
      </c>
    </row>
    <row r="811" spans="1:6" x14ac:dyDescent="0.25">
      <c r="A811">
        <v>84.363000000000014</v>
      </c>
      <c r="B811">
        <v>167.88</v>
      </c>
      <c r="C811">
        <v>179.88</v>
      </c>
      <c r="D811">
        <v>179.88</v>
      </c>
      <c r="E811">
        <f t="shared" si="12"/>
        <v>84.363000000000014</v>
      </c>
      <c r="F811" t="str" cm="1">
        <f t="array" ref="F811">INDEX({"Pay as you go","Prediction_PACK","Prediction_Payasyougo","Competitor"},MATCH(MIN(A811:D811), A811:D811, 0))</f>
        <v>Pay as you go</v>
      </c>
    </row>
    <row r="812" spans="1:6" x14ac:dyDescent="0.25">
      <c r="A812">
        <v>112.777</v>
      </c>
      <c r="B812">
        <v>167.88</v>
      </c>
      <c r="C812">
        <v>179.88</v>
      </c>
      <c r="D812">
        <v>179.88</v>
      </c>
      <c r="E812">
        <f t="shared" si="12"/>
        <v>112.777</v>
      </c>
      <c r="F812" t="str" cm="1">
        <f t="array" ref="F812">INDEX({"Pay as you go","Prediction_PACK","Prediction_Payasyougo","Competitor"},MATCH(MIN(A812:D812), A812:D812, 0))</f>
        <v>Pay as you go</v>
      </c>
    </row>
    <row r="813" spans="1:6" x14ac:dyDescent="0.25">
      <c r="A813">
        <v>121.268</v>
      </c>
      <c r="B813">
        <v>167.88</v>
      </c>
      <c r="C813">
        <v>179.88</v>
      </c>
      <c r="D813">
        <v>179.88</v>
      </c>
      <c r="E813">
        <f t="shared" si="12"/>
        <v>121.268</v>
      </c>
      <c r="F813" t="str" cm="1">
        <f t="array" ref="F813">INDEX({"Pay as you go","Prediction_PACK","Prediction_Payasyougo","Competitor"},MATCH(MIN(A813:D813), A813:D813, 0))</f>
        <v>Pay as you go</v>
      </c>
    </row>
    <row r="814" spans="1:6" x14ac:dyDescent="0.25">
      <c r="A814">
        <v>96.680999999999997</v>
      </c>
      <c r="B814">
        <v>167.88</v>
      </c>
      <c r="C814">
        <v>179.88</v>
      </c>
      <c r="D814">
        <v>179.88</v>
      </c>
      <c r="E814">
        <f t="shared" si="12"/>
        <v>96.680999999999997</v>
      </c>
      <c r="F814" t="str" cm="1">
        <f t="array" ref="F814">INDEX({"Pay as you go","Prediction_PACK","Prediction_Payasyougo","Competitor"},MATCH(MIN(A814:D814), A814:D814, 0))</f>
        <v>Pay as you go</v>
      </c>
    </row>
    <row r="815" spans="1:6" x14ac:dyDescent="0.25">
      <c r="A815">
        <v>111.774</v>
      </c>
      <c r="B815">
        <v>175.88</v>
      </c>
      <c r="C815">
        <v>179.88</v>
      </c>
      <c r="D815">
        <v>189.88</v>
      </c>
      <c r="E815">
        <f t="shared" si="12"/>
        <v>111.774</v>
      </c>
      <c r="F815" t="str" cm="1">
        <f t="array" ref="F815">INDEX({"Pay as you go","Prediction_PACK","Prediction_Payasyougo","Competitor"},MATCH(MIN(A815:D815), A815:D815, 0))</f>
        <v>Pay as you go</v>
      </c>
    </row>
    <row r="816" spans="1:6" x14ac:dyDescent="0.25">
      <c r="A816">
        <v>164.38</v>
      </c>
      <c r="B816">
        <v>197.88</v>
      </c>
      <c r="C816">
        <v>181.27144543072231</v>
      </c>
      <c r="D816">
        <v>209.88</v>
      </c>
      <c r="E816">
        <f t="shared" si="12"/>
        <v>164.38</v>
      </c>
      <c r="F816" t="str" cm="1">
        <f t="array" ref="F816">INDEX({"Pay as you go","Prediction_PACK","Prediction_Payasyougo","Competitor"},MATCH(MIN(A816:D816), A816:D816, 0))</f>
        <v>Pay as you go</v>
      </c>
    </row>
    <row r="817" spans="1:6" x14ac:dyDescent="0.25">
      <c r="A817">
        <v>119.77300000000001</v>
      </c>
      <c r="B817">
        <v>167.88</v>
      </c>
      <c r="C817">
        <v>179.88</v>
      </c>
      <c r="D817">
        <v>179.88</v>
      </c>
      <c r="E817">
        <f t="shared" si="12"/>
        <v>119.77300000000001</v>
      </c>
      <c r="F817" t="str" cm="1">
        <f t="array" ref="F817">INDEX({"Pay as you go","Prediction_PACK","Prediction_Payasyougo","Competitor"},MATCH(MIN(A817:D817), A817:D817, 0))</f>
        <v>Pay as you go</v>
      </c>
    </row>
    <row r="818" spans="1:6" x14ac:dyDescent="0.25">
      <c r="A818">
        <v>73.691000000000003</v>
      </c>
      <c r="B818">
        <v>167.88</v>
      </c>
      <c r="C818">
        <v>179.88</v>
      </c>
      <c r="D818">
        <v>179.88</v>
      </c>
      <c r="E818">
        <f t="shared" si="12"/>
        <v>73.691000000000003</v>
      </c>
      <c r="F818" t="str" cm="1">
        <f t="array" ref="F818">INDEX({"Pay as you go","Prediction_PACK","Prediction_Payasyougo","Competitor"},MATCH(MIN(A818:D818), A818:D818, 0))</f>
        <v>Pay as you go</v>
      </c>
    </row>
    <row r="819" spans="1:6" x14ac:dyDescent="0.25">
      <c r="A819">
        <v>148.94199999999998</v>
      </c>
      <c r="B819">
        <v>177.88</v>
      </c>
      <c r="C819">
        <v>179.88</v>
      </c>
      <c r="D819">
        <v>189.88</v>
      </c>
      <c r="E819">
        <f t="shared" si="12"/>
        <v>148.94199999999998</v>
      </c>
      <c r="F819" t="str" cm="1">
        <f t="array" ref="F819">INDEX({"Pay as you go","Prediction_PACK","Prediction_Payasyougo","Competitor"},MATCH(MIN(A819:D819), A819:D819, 0))</f>
        <v>Pay as you go</v>
      </c>
    </row>
    <row r="820" spans="1:6" x14ac:dyDescent="0.25">
      <c r="A820">
        <v>70.346000000000004</v>
      </c>
      <c r="B820">
        <v>167.88</v>
      </c>
      <c r="C820">
        <v>179.88</v>
      </c>
      <c r="D820">
        <v>179.88</v>
      </c>
      <c r="E820">
        <f t="shared" si="12"/>
        <v>70.346000000000004</v>
      </c>
      <c r="F820" t="str" cm="1">
        <f t="array" ref="F820">INDEX({"Pay as you go","Prediction_PACK","Prediction_Payasyougo","Competitor"},MATCH(MIN(A820:D820), A820:D820, 0))</f>
        <v>Pay as you go</v>
      </c>
    </row>
    <row r="821" spans="1:6" x14ac:dyDescent="0.25">
      <c r="A821">
        <v>51.024999999999999</v>
      </c>
      <c r="B821">
        <v>167.88</v>
      </c>
      <c r="C821">
        <v>179.88</v>
      </c>
      <c r="D821">
        <v>179.88</v>
      </c>
      <c r="E821">
        <f t="shared" si="12"/>
        <v>51.024999999999999</v>
      </c>
      <c r="F821" t="str" cm="1">
        <f t="array" ref="F821">INDEX({"Pay as you go","Prediction_PACK","Prediction_Payasyougo","Competitor"},MATCH(MIN(A821:D821), A821:D821, 0))</f>
        <v>Pay as you go</v>
      </c>
    </row>
    <row r="822" spans="1:6" x14ac:dyDescent="0.25">
      <c r="A822">
        <v>100.428</v>
      </c>
      <c r="B822">
        <v>167.88</v>
      </c>
      <c r="C822">
        <v>179.88</v>
      </c>
      <c r="D822">
        <v>179.88</v>
      </c>
      <c r="E822">
        <f t="shared" si="12"/>
        <v>100.428</v>
      </c>
      <c r="F822" t="str" cm="1">
        <f t="array" ref="F822">INDEX({"Pay as you go","Prediction_PACK","Prediction_Payasyougo","Competitor"},MATCH(MIN(A822:D822), A822:D822, 0))</f>
        <v>Pay as you go</v>
      </c>
    </row>
    <row r="823" spans="1:6" x14ac:dyDescent="0.25">
      <c r="A823">
        <v>87.438999999999993</v>
      </c>
      <c r="B823">
        <v>167.88</v>
      </c>
      <c r="C823">
        <v>179.88</v>
      </c>
      <c r="D823">
        <v>179.88</v>
      </c>
      <c r="E823">
        <f t="shared" si="12"/>
        <v>87.438999999999993</v>
      </c>
      <c r="F823" t="str" cm="1">
        <f t="array" ref="F823">INDEX({"Pay as you go","Prediction_PACK","Prediction_Payasyougo","Competitor"},MATCH(MIN(A823:D823), A823:D823, 0))</f>
        <v>Pay as you go</v>
      </c>
    </row>
    <row r="824" spans="1:6" x14ac:dyDescent="0.25">
      <c r="A824">
        <v>80.930999999999997</v>
      </c>
      <c r="B824">
        <v>167.88</v>
      </c>
      <c r="C824">
        <v>179.88</v>
      </c>
      <c r="D824">
        <v>179.88</v>
      </c>
      <c r="E824">
        <f t="shared" si="12"/>
        <v>80.930999999999997</v>
      </c>
      <c r="F824" t="str" cm="1">
        <f t="array" ref="F824">INDEX({"Pay as you go","Prediction_PACK","Prediction_Payasyougo","Competitor"},MATCH(MIN(A824:D824), A824:D824, 0))</f>
        <v>Pay as you go</v>
      </c>
    </row>
    <row r="825" spans="1:6" x14ac:dyDescent="0.25">
      <c r="A825">
        <v>191.76500000000001</v>
      </c>
      <c r="B825">
        <v>212.88</v>
      </c>
      <c r="C825">
        <v>200.2707777767688</v>
      </c>
      <c r="D825">
        <v>224.88</v>
      </c>
      <c r="E825">
        <f t="shared" si="12"/>
        <v>191.76500000000001</v>
      </c>
      <c r="F825" t="str" cm="1">
        <f t="array" ref="F825">INDEX({"Pay as you go","Prediction_PACK","Prediction_Payasyougo","Competitor"},MATCH(MIN(A825:D825), A825:D825, 0))</f>
        <v>Pay as you go</v>
      </c>
    </row>
    <row r="826" spans="1:6" x14ac:dyDescent="0.25">
      <c r="A826">
        <v>201.56399999999999</v>
      </c>
      <c r="B826">
        <v>187.88</v>
      </c>
      <c r="C826">
        <v>188.95015587662368</v>
      </c>
      <c r="D826">
        <v>199.88</v>
      </c>
      <c r="E826">
        <f t="shared" si="12"/>
        <v>187.88</v>
      </c>
      <c r="F826" t="str" cm="1">
        <f t="array" ref="F826">INDEX({"Pay as you go","Prediction_PACK","Prediction_Payasyougo","Competitor"},MATCH(MIN(A826:D826), A826:D826, 0))</f>
        <v>Prediction_PACK</v>
      </c>
    </row>
    <row r="827" spans="1:6" x14ac:dyDescent="0.25">
      <c r="A827">
        <v>151.82399999999998</v>
      </c>
      <c r="B827">
        <v>197.88</v>
      </c>
      <c r="C827">
        <v>180.89138089545989</v>
      </c>
      <c r="D827">
        <v>209.88</v>
      </c>
      <c r="E827">
        <f t="shared" si="12"/>
        <v>151.82399999999998</v>
      </c>
      <c r="F827" t="str" cm="1">
        <f t="array" ref="F827">INDEX({"Pay as you go","Prediction_PACK","Prediction_Payasyougo","Competitor"},MATCH(MIN(A827:D827), A827:D827, 0))</f>
        <v>Pay as you go</v>
      </c>
    </row>
    <row r="828" spans="1:6" x14ac:dyDescent="0.25">
      <c r="A828">
        <v>152.24400000000003</v>
      </c>
      <c r="B828">
        <v>167.88</v>
      </c>
      <c r="C828">
        <v>179.88</v>
      </c>
      <c r="D828">
        <v>179.88</v>
      </c>
      <c r="E828">
        <f t="shared" si="12"/>
        <v>152.24400000000003</v>
      </c>
      <c r="F828" t="str" cm="1">
        <f t="array" ref="F828">INDEX({"Pay as you go","Prediction_PACK","Prediction_Payasyougo","Competitor"},MATCH(MIN(A828:D828), A828:D828, 0))</f>
        <v>Pay as you go</v>
      </c>
    </row>
    <row r="829" spans="1:6" x14ac:dyDescent="0.25">
      <c r="A829">
        <v>117.398</v>
      </c>
      <c r="B829">
        <v>167.88</v>
      </c>
      <c r="C829">
        <v>179.88</v>
      </c>
      <c r="D829">
        <v>179.88</v>
      </c>
      <c r="E829">
        <f t="shared" si="12"/>
        <v>117.398</v>
      </c>
      <c r="F829" t="str" cm="1">
        <f t="array" ref="F829">INDEX({"Pay as you go","Prediction_PACK","Prediction_Payasyougo","Competitor"},MATCH(MIN(A829:D829), A829:D829, 0))</f>
        <v>Pay as you go</v>
      </c>
    </row>
    <row r="830" spans="1:6" x14ac:dyDescent="0.25">
      <c r="A830">
        <v>92.27000000000001</v>
      </c>
      <c r="B830">
        <v>167.88</v>
      </c>
      <c r="C830">
        <v>179.88</v>
      </c>
      <c r="D830">
        <v>179.88</v>
      </c>
      <c r="E830">
        <f t="shared" si="12"/>
        <v>92.27000000000001</v>
      </c>
      <c r="F830" t="str" cm="1">
        <f t="array" ref="F830">INDEX({"Pay as you go","Prediction_PACK","Prediction_Payasyougo","Competitor"},MATCH(MIN(A830:D830), A830:D830, 0))</f>
        <v>Pay as you go</v>
      </c>
    </row>
    <row r="831" spans="1:6" x14ac:dyDescent="0.25">
      <c r="A831">
        <v>142.43200000000002</v>
      </c>
      <c r="B831">
        <v>171.88</v>
      </c>
      <c r="C831">
        <v>179.88</v>
      </c>
      <c r="D831">
        <v>184.88</v>
      </c>
      <c r="E831">
        <f t="shared" si="12"/>
        <v>142.43200000000002</v>
      </c>
      <c r="F831" t="str" cm="1">
        <f t="array" ref="F831">INDEX({"Pay as you go","Prediction_PACK","Prediction_Payasyougo","Competitor"},MATCH(MIN(A831:D831), A831:D831, 0))</f>
        <v>Pay as you go</v>
      </c>
    </row>
    <row r="832" spans="1:6" x14ac:dyDescent="0.25">
      <c r="A832">
        <v>138.387</v>
      </c>
      <c r="B832">
        <v>177.88</v>
      </c>
      <c r="C832">
        <v>179.88</v>
      </c>
      <c r="D832">
        <v>189.88</v>
      </c>
      <c r="E832">
        <f t="shared" si="12"/>
        <v>138.387</v>
      </c>
      <c r="F832" t="str" cm="1">
        <f t="array" ref="F832">INDEX({"Pay as you go","Prediction_PACK","Prediction_Payasyougo","Competitor"},MATCH(MIN(A832:D832), A832:D832, 0))</f>
        <v>Pay as you go</v>
      </c>
    </row>
    <row r="833" spans="1:6" x14ac:dyDescent="0.25">
      <c r="A833">
        <v>226.12199999999999</v>
      </c>
      <c r="B833">
        <v>217.88</v>
      </c>
      <c r="C833">
        <v>197.6082095534415</v>
      </c>
      <c r="D833">
        <v>229.88</v>
      </c>
      <c r="E833">
        <f t="shared" si="12"/>
        <v>197.6082095534415</v>
      </c>
      <c r="F833" t="str" cm="1">
        <f t="array" ref="F833">INDEX({"Pay as you go","Prediction_PACK","Prediction_Payasyougo","Competitor"},MATCH(MIN(A833:D833), A833:D833, 0))</f>
        <v>Prediction_Payasyougo</v>
      </c>
    </row>
    <row r="834" spans="1:6" x14ac:dyDescent="0.25">
      <c r="A834">
        <v>96.715999999999994</v>
      </c>
      <c r="B834">
        <v>171.88</v>
      </c>
      <c r="C834">
        <v>179.88</v>
      </c>
      <c r="D834">
        <v>184.88</v>
      </c>
      <c r="E834">
        <f t="shared" si="12"/>
        <v>96.715999999999994</v>
      </c>
      <c r="F834" t="str" cm="1">
        <f t="array" ref="F834">INDEX({"Pay as you go","Prediction_PACK","Prediction_Payasyougo","Competitor"},MATCH(MIN(A834:D834), A834:D834, 0))</f>
        <v>Pay as you go</v>
      </c>
    </row>
    <row r="835" spans="1:6" x14ac:dyDescent="0.25">
      <c r="A835">
        <v>131.24600000000001</v>
      </c>
      <c r="B835">
        <v>171.88</v>
      </c>
      <c r="C835">
        <v>179.88</v>
      </c>
      <c r="D835">
        <v>184.88</v>
      </c>
      <c r="E835">
        <f t="shared" si="12"/>
        <v>131.24600000000001</v>
      </c>
      <c r="F835" t="str" cm="1">
        <f t="array" ref="F835">INDEX({"Pay as you go","Prediction_PACK","Prediction_Payasyougo","Competitor"},MATCH(MIN(A835:D835), A835:D835, 0))</f>
        <v>Pay as you go</v>
      </c>
    </row>
    <row r="836" spans="1:6" x14ac:dyDescent="0.25">
      <c r="A836">
        <v>89.192000000000007</v>
      </c>
      <c r="B836">
        <v>167.88</v>
      </c>
      <c r="C836">
        <v>179.88</v>
      </c>
      <c r="D836">
        <v>179.88</v>
      </c>
      <c r="E836">
        <f t="shared" si="12"/>
        <v>89.192000000000007</v>
      </c>
      <c r="F836" t="str" cm="1">
        <f t="array" ref="F836">INDEX({"Pay as you go","Prediction_PACK","Prediction_Payasyougo","Competitor"},MATCH(MIN(A836:D836), A836:D836, 0))</f>
        <v>Pay as you go</v>
      </c>
    </row>
    <row r="837" spans="1:6" x14ac:dyDescent="0.25">
      <c r="A837">
        <v>73.835000000000008</v>
      </c>
      <c r="B837">
        <v>167.88</v>
      </c>
      <c r="C837">
        <v>179.88</v>
      </c>
      <c r="D837">
        <v>179.88</v>
      </c>
      <c r="E837">
        <f t="shared" si="12"/>
        <v>73.835000000000008</v>
      </c>
      <c r="F837" t="str" cm="1">
        <f t="array" ref="F837">INDEX({"Pay as you go","Prediction_PACK","Prediction_Payasyougo","Competitor"},MATCH(MIN(A837:D837), A837:D837, 0))</f>
        <v>Pay as you go</v>
      </c>
    </row>
    <row r="838" spans="1:6" x14ac:dyDescent="0.25">
      <c r="A838">
        <v>214.74299999999999</v>
      </c>
      <c r="B838">
        <v>227.88</v>
      </c>
      <c r="C838">
        <v>202.3720972463895</v>
      </c>
      <c r="D838">
        <v>239.88</v>
      </c>
      <c r="E838">
        <f t="shared" si="12"/>
        <v>202.3720972463895</v>
      </c>
      <c r="F838" t="str" cm="1">
        <f t="array" ref="F838">INDEX({"Pay as you go","Prediction_PACK","Prediction_Payasyougo","Competitor"},MATCH(MIN(A838:D838), A838:D838, 0))</f>
        <v>Prediction_Payasyougo</v>
      </c>
    </row>
    <row r="839" spans="1:6" x14ac:dyDescent="0.25">
      <c r="A839">
        <v>88.858000000000004</v>
      </c>
      <c r="B839">
        <v>167.88</v>
      </c>
      <c r="C839">
        <v>179.88</v>
      </c>
      <c r="D839">
        <v>179.88</v>
      </c>
      <c r="E839">
        <f t="shared" si="12"/>
        <v>88.858000000000004</v>
      </c>
      <c r="F839" t="str" cm="1">
        <f t="array" ref="F839">INDEX({"Pay as you go","Prediction_PACK","Prediction_Payasyougo","Competitor"},MATCH(MIN(A839:D839), A839:D839, 0))</f>
        <v>Pay as you go</v>
      </c>
    </row>
    <row r="840" spans="1:6" x14ac:dyDescent="0.25">
      <c r="A840">
        <v>105.075</v>
      </c>
      <c r="B840">
        <v>182.88</v>
      </c>
      <c r="C840">
        <v>181.70164500732631</v>
      </c>
      <c r="D840">
        <v>194.88</v>
      </c>
      <c r="E840">
        <f t="shared" ref="E840:E903" si="13">MIN(A840:D840)</f>
        <v>105.075</v>
      </c>
      <c r="F840" t="str" cm="1">
        <f t="array" ref="F840">INDEX({"Pay as you go","Prediction_PACK","Prediction_Payasyougo","Competitor"},MATCH(MIN(A840:D840), A840:D840, 0))</f>
        <v>Pay as you go</v>
      </c>
    </row>
    <row r="841" spans="1:6" x14ac:dyDescent="0.25">
      <c r="A841">
        <v>40.550999999999995</v>
      </c>
      <c r="B841">
        <v>167.88</v>
      </c>
      <c r="C841">
        <v>179.88</v>
      </c>
      <c r="D841">
        <v>179.88</v>
      </c>
      <c r="E841">
        <f t="shared" si="13"/>
        <v>40.550999999999995</v>
      </c>
      <c r="F841" t="str" cm="1">
        <f t="array" ref="F841">INDEX({"Pay as you go","Prediction_PACK","Prediction_Payasyougo","Competitor"},MATCH(MIN(A841:D841), A841:D841, 0))</f>
        <v>Pay as you go</v>
      </c>
    </row>
    <row r="842" spans="1:6" x14ac:dyDescent="0.25">
      <c r="A842">
        <v>91.093999999999994</v>
      </c>
      <c r="B842">
        <v>167.88</v>
      </c>
      <c r="C842">
        <v>179.88</v>
      </c>
      <c r="D842">
        <v>179.88</v>
      </c>
      <c r="E842">
        <f t="shared" si="13"/>
        <v>91.093999999999994</v>
      </c>
      <c r="F842" t="str" cm="1">
        <f t="array" ref="F842">INDEX({"Pay as you go","Prediction_PACK","Prediction_Payasyougo","Competitor"},MATCH(MIN(A842:D842), A842:D842, 0))</f>
        <v>Pay as you go</v>
      </c>
    </row>
    <row r="843" spans="1:6" x14ac:dyDescent="0.25">
      <c r="A843">
        <v>157.17099999999999</v>
      </c>
      <c r="B843">
        <v>182.88</v>
      </c>
      <c r="C843">
        <v>187.0346622378141</v>
      </c>
      <c r="D843">
        <v>194.88</v>
      </c>
      <c r="E843">
        <f t="shared" si="13"/>
        <v>157.17099999999999</v>
      </c>
      <c r="F843" t="str" cm="1">
        <f t="array" ref="F843">INDEX({"Pay as you go","Prediction_PACK","Prediction_Payasyougo","Competitor"},MATCH(MIN(A843:D843), A843:D843, 0))</f>
        <v>Pay as you go</v>
      </c>
    </row>
    <row r="844" spans="1:6" x14ac:dyDescent="0.25">
      <c r="A844">
        <v>132.05200000000002</v>
      </c>
      <c r="B844">
        <v>171.88</v>
      </c>
      <c r="C844">
        <v>179.88</v>
      </c>
      <c r="D844">
        <v>184.88</v>
      </c>
      <c r="E844">
        <f t="shared" si="13"/>
        <v>132.05200000000002</v>
      </c>
      <c r="F844" t="str" cm="1">
        <f t="array" ref="F844">INDEX({"Pay as you go","Prediction_PACK","Prediction_Payasyougo","Competitor"},MATCH(MIN(A844:D844), A844:D844, 0))</f>
        <v>Pay as you go</v>
      </c>
    </row>
    <row r="845" spans="1:6" x14ac:dyDescent="0.25">
      <c r="A845">
        <v>108.566</v>
      </c>
      <c r="B845">
        <v>167.88</v>
      </c>
      <c r="C845">
        <v>179.88</v>
      </c>
      <c r="D845">
        <v>179.88</v>
      </c>
      <c r="E845">
        <f t="shared" si="13"/>
        <v>108.566</v>
      </c>
      <c r="F845" t="str" cm="1">
        <f t="array" ref="F845">INDEX({"Pay as you go","Prediction_PACK","Prediction_Payasyougo","Competitor"},MATCH(MIN(A845:D845), A845:D845, 0))</f>
        <v>Pay as you go</v>
      </c>
    </row>
    <row r="846" spans="1:6" x14ac:dyDescent="0.25">
      <c r="A846">
        <v>137.494</v>
      </c>
      <c r="B846">
        <v>175.88</v>
      </c>
      <c r="C846">
        <v>179.88</v>
      </c>
      <c r="D846">
        <v>189.88</v>
      </c>
      <c r="E846">
        <f t="shared" si="13"/>
        <v>137.494</v>
      </c>
      <c r="F846" t="str" cm="1">
        <f t="array" ref="F846">INDEX({"Pay as you go","Prediction_PACK","Prediction_Payasyougo","Competitor"},MATCH(MIN(A846:D846), A846:D846, 0))</f>
        <v>Pay as you go</v>
      </c>
    </row>
    <row r="847" spans="1:6" x14ac:dyDescent="0.25">
      <c r="A847">
        <v>173.76599999999999</v>
      </c>
      <c r="B847">
        <v>177.88</v>
      </c>
      <c r="C847">
        <v>179.88</v>
      </c>
      <c r="D847">
        <v>189.88</v>
      </c>
      <c r="E847">
        <f t="shared" si="13"/>
        <v>173.76599999999999</v>
      </c>
      <c r="F847" t="str" cm="1">
        <f t="array" ref="F847">INDEX({"Pay as you go","Prediction_PACK","Prediction_Payasyougo","Competitor"},MATCH(MIN(A847:D847), A847:D847, 0))</f>
        <v>Pay as you go</v>
      </c>
    </row>
    <row r="848" spans="1:6" x14ac:dyDescent="0.25">
      <c r="A848">
        <v>95.626999999999995</v>
      </c>
      <c r="B848">
        <v>167.88</v>
      </c>
      <c r="C848">
        <v>179.88</v>
      </c>
      <c r="D848">
        <v>179.88</v>
      </c>
      <c r="E848">
        <f t="shared" si="13"/>
        <v>95.626999999999995</v>
      </c>
      <c r="F848" t="str" cm="1">
        <f t="array" ref="F848">INDEX({"Pay as you go","Prediction_PACK","Prediction_Payasyougo","Competitor"},MATCH(MIN(A848:D848), A848:D848, 0))</f>
        <v>Pay as you go</v>
      </c>
    </row>
    <row r="849" spans="1:6" x14ac:dyDescent="0.25">
      <c r="A849">
        <v>118.414</v>
      </c>
      <c r="B849">
        <v>167.88</v>
      </c>
      <c r="C849">
        <v>179.88</v>
      </c>
      <c r="D849">
        <v>179.88</v>
      </c>
      <c r="E849">
        <f t="shared" si="13"/>
        <v>118.414</v>
      </c>
      <c r="F849" t="str" cm="1">
        <f t="array" ref="F849">INDEX({"Pay as you go","Prediction_PACK","Prediction_Payasyougo","Competitor"},MATCH(MIN(A849:D849), A849:D849, 0))</f>
        <v>Pay as you go</v>
      </c>
    </row>
    <row r="850" spans="1:6" x14ac:dyDescent="0.25">
      <c r="A850">
        <v>146.87100000000001</v>
      </c>
      <c r="B850">
        <v>167.88</v>
      </c>
      <c r="C850">
        <v>179.88</v>
      </c>
      <c r="D850">
        <v>179.88</v>
      </c>
      <c r="E850">
        <f t="shared" si="13"/>
        <v>146.87100000000001</v>
      </c>
      <c r="F850" t="str" cm="1">
        <f t="array" ref="F850">INDEX({"Pay as you go","Prediction_PACK","Prediction_Payasyougo","Competitor"},MATCH(MIN(A850:D850), A850:D850, 0))</f>
        <v>Pay as you go</v>
      </c>
    </row>
    <row r="851" spans="1:6" x14ac:dyDescent="0.25">
      <c r="A851">
        <v>119.74400000000001</v>
      </c>
      <c r="B851">
        <v>175.88</v>
      </c>
      <c r="C851">
        <v>179.88</v>
      </c>
      <c r="D851">
        <v>189.88</v>
      </c>
      <c r="E851">
        <f t="shared" si="13"/>
        <v>119.74400000000001</v>
      </c>
      <c r="F851" t="str" cm="1">
        <f t="array" ref="F851">INDEX({"Pay as you go","Prediction_PACK","Prediction_Payasyougo","Competitor"},MATCH(MIN(A851:D851), A851:D851, 0))</f>
        <v>Pay as you go</v>
      </c>
    </row>
    <row r="852" spans="1:6" x14ac:dyDescent="0.25">
      <c r="A852">
        <v>84.036999999999992</v>
      </c>
      <c r="B852">
        <v>167.88</v>
      </c>
      <c r="C852">
        <v>179.88</v>
      </c>
      <c r="D852">
        <v>179.88</v>
      </c>
      <c r="E852">
        <f t="shared" si="13"/>
        <v>84.036999999999992</v>
      </c>
      <c r="F852" t="str" cm="1">
        <f t="array" ref="F852">INDEX({"Pay as you go","Prediction_PACK","Prediction_Payasyougo","Competitor"},MATCH(MIN(A852:D852), A852:D852, 0))</f>
        <v>Pay as you go</v>
      </c>
    </row>
    <row r="853" spans="1:6" x14ac:dyDescent="0.25">
      <c r="A853">
        <v>122.83199999999999</v>
      </c>
      <c r="B853">
        <v>167.88</v>
      </c>
      <c r="C853">
        <v>179.88</v>
      </c>
      <c r="D853">
        <v>179.88</v>
      </c>
      <c r="E853">
        <f t="shared" si="13"/>
        <v>122.83199999999999</v>
      </c>
      <c r="F853" t="str" cm="1">
        <f t="array" ref="F853">INDEX({"Pay as you go","Prediction_PACK","Prediction_Payasyougo","Competitor"},MATCH(MIN(A853:D853), A853:D853, 0))</f>
        <v>Pay as you go</v>
      </c>
    </row>
    <row r="854" spans="1:6" x14ac:dyDescent="0.25">
      <c r="A854">
        <v>98.103999999999999</v>
      </c>
      <c r="B854">
        <v>167.88</v>
      </c>
      <c r="C854">
        <v>179.88</v>
      </c>
      <c r="D854">
        <v>179.88</v>
      </c>
      <c r="E854">
        <f t="shared" si="13"/>
        <v>98.103999999999999</v>
      </c>
      <c r="F854" t="str" cm="1">
        <f t="array" ref="F854">INDEX({"Pay as you go","Prediction_PACK","Prediction_Payasyougo","Competitor"},MATCH(MIN(A854:D854), A854:D854, 0))</f>
        <v>Pay as you go</v>
      </c>
    </row>
    <row r="855" spans="1:6" x14ac:dyDescent="0.25">
      <c r="A855">
        <v>137.85</v>
      </c>
      <c r="B855">
        <v>182.88</v>
      </c>
      <c r="C855">
        <v>182.74532214193408</v>
      </c>
      <c r="D855">
        <v>194.88</v>
      </c>
      <c r="E855">
        <f t="shared" si="13"/>
        <v>137.85</v>
      </c>
      <c r="F855" t="str" cm="1">
        <f t="array" ref="F855">INDEX({"Pay as you go","Prediction_PACK","Prediction_Payasyougo","Competitor"},MATCH(MIN(A855:D855), A855:D855, 0))</f>
        <v>Pay as you go</v>
      </c>
    </row>
    <row r="856" spans="1:6" x14ac:dyDescent="0.25">
      <c r="A856">
        <v>147.16799999999998</v>
      </c>
      <c r="B856">
        <v>197.88</v>
      </c>
      <c r="C856">
        <v>179.88</v>
      </c>
      <c r="D856">
        <v>209.88</v>
      </c>
      <c r="E856">
        <f t="shared" si="13"/>
        <v>147.16799999999998</v>
      </c>
      <c r="F856" t="str" cm="1">
        <f t="array" ref="F856">INDEX({"Pay as you go","Prediction_PACK","Prediction_Payasyougo","Competitor"},MATCH(MIN(A856:D856), A856:D856, 0))</f>
        <v>Pay as you go</v>
      </c>
    </row>
    <row r="857" spans="1:6" x14ac:dyDescent="0.25">
      <c r="A857">
        <v>95.706000000000003</v>
      </c>
      <c r="B857">
        <v>167.88</v>
      </c>
      <c r="C857">
        <v>179.88</v>
      </c>
      <c r="D857">
        <v>179.88</v>
      </c>
      <c r="E857">
        <f t="shared" si="13"/>
        <v>95.706000000000003</v>
      </c>
      <c r="F857" t="str" cm="1">
        <f t="array" ref="F857">INDEX({"Pay as you go","Prediction_PACK","Prediction_Payasyougo","Competitor"},MATCH(MIN(A857:D857), A857:D857, 0))</f>
        <v>Pay as you go</v>
      </c>
    </row>
    <row r="858" spans="1:6" x14ac:dyDescent="0.25">
      <c r="A858">
        <v>118.20099999999999</v>
      </c>
      <c r="B858">
        <v>167.88</v>
      </c>
      <c r="C858">
        <v>179.88</v>
      </c>
      <c r="D858">
        <v>179.88</v>
      </c>
      <c r="E858">
        <f t="shared" si="13"/>
        <v>118.20099999999999</v>
      </c>
      <c r="F858" t="str" cm="1">
        <f t="array" ref="F858">INDEX({"Pay as you go","Prediction_PACK","Prediction_Payasyougo","Competitor"},MATCH(MIN(A858:D858), A858:D858, 0))</f>
        <v>Pay as you go</v>
      </c>
    </row>
    <row r="859" spans="1:6" x14ac:dyDescent="0.25">
      <c r="A859">
        <v>157.185</v>
      </c>
      <c r="B859">
        <v>167.88</v>
      </c>
      <c r="C859">
        <v>179.88</v>
      </c>
      <c r="D859">
        <v>179.88</v>
      </c>
      <c r="E859">
        <f t="shared" si="13"/>
        <v>157.185</v>
      </c>
      <c r="F859" t="str" cm="1">
        <f t="array" ref="F859">INDEX({"Pay as you go","Prediction_PACK","Prediction_Payasyougo","Competitor"},MATCH(MIN(A859:D859), A859:D859, 0))</f>
        <v>Pay as you go</v>
      </c>
    </row>
    <row r="860" spans="1:6" x14ac:dyDescent="0.25">
      <c r="A860">
        <v>93.39500000000001</v>
      </c>
      <c r="B860">
        <v>167.88</v>
      </c>
      <c r="C860">
        <v>179.88</v>
      </c>
      <c r="D860">
        <v>179.88</v>
      </c>
      <c r="E860">
        <f t="shared" si="13"/>
        <v>93.39500000000001</v>
      </c>
      <c r="F860" t="str" cm="1">
        <f t="array" ref="F860">INDEX({"Pay as you go","Prediction_PACK","Prediction_Payasyougo","Competitor"},MATCH(MIN(A860:D860), A860:D860, 0))</f>
        <v>Pay as you go</v>
      </c>
    </row>
    <row r="861" spans="1:6" x14ac:dyDescent="0.25">
      <c r="A861">
        <v>146.06</v>
      </c>
      <c r="B861">
        <v>207.88</v>
      </c>
      <c r="C861">
        <v>200.05418389789321</v>
      </c>
      <c r="D861">
        <v>219.88</v>
      </c>
      <c r="E861">
        <f t="shared" si="13"/>
        <v>146.06</v>
      </c>
      <c r="F861" t="str" cm="1">
        <f t="array" ref="F861">INDEX({"Pay as you go","Prediction_PACK","Prediction_Payasyougo","Competitor"},MATCH(MIN(A861:D861), A861:D861, 0))</f>
        <v>Pay as you go</v>
      </c>
    </row>
    <row r="862" spans="1:6" x14ac:dyDescent="0.25">
      <c r="A862">
        <v>152.71100000000001</v>
      </c>
      <c r="B862">
        <v>187.88</v>
      </c>
      <c r="C862">
        <v>190.1334565644411</v>
      </c>
      <c r="D862">
        <v>199.88</v>
      </c>
      <c r="E862">
        <f t="shared" si="13"/>
        <v>152.71100000000001</v>
      </c>
      <c r="F862" t="str" cm="1">
        <f t="array" ref="F862">INDEX({"Pay as you go","Prediction_PACK","Prediction_Payasyougo","Competitor"},MATCH(MIN(A862:D862), A862:D862, 0))</f>
        <v>Pay as you go</v>
      </c>
    </row>
    <row r="863" spans="1:6" x14ac:dyDescent="0.25">
      <c r="A863">
        <v>101.687</v>
      </c>
      <c r="B863">
        <v>167.88</v>
      </c>
      <c r="C863">
        <v>179.88</v>
      </c>
      <c r="D863">
        <v>179.88</v>
      </c>
      <c r="E863">
        <f t="shared" si="13"/>
        <v>101.687</v>
      </c>
      <c r="F863" t="str" cm="1">
        <f t="array" ref="F863">INDEX({"Pay as you go","Prediction_PACK","Prediction_Payasyougo","Competitor"},MATCH(MIN(A863:D863), A863:D863, 0))</f>
        <v>Pay as you go</v>
      </c>
    </row>
    <row r="864" spans="1:6" x14ac:dyDescent="0.25">
      <c r="A864">
        <v>143.09399999999999</v>
      </c>
      <c r="B864">
        <v>177.88</v>
      </c>
      <c r="C864">
        <v>179.88</v>
      </c>
      <c r="D864">
        <v>189.88</v>
      </c>
      <c r="E864">
        <f t="shared" si="13"/>
        <v>143.09399999999999</v>
      </c>
      <c r="F864" t="str" cm="1">
        <f t="array" ref="F864">INDEX({"Pay as you go","Prediction_PACK","Prediction_Payasyougo","Competitor"},MATCH(MIN(A864:D864), A864:D864, 0))</f>
        <v>Pay as you go</v>
      </c>
    </row>
    <row r="865" spans="1:6" x14ac:dyDescent="0.25">
      <c r="A865">
        <v>149.01900000000001</v>
      </c>
      <c r="B865">
        <v>177.88</v>
      </c>
      <c r="C865">
        <v>179.88</v>
      </c>
      <c r="D865">
        <v>189.88</v>
      </c>
      <c r="E865">
        <f t="shared" si="13"/>
        <v>149.01900000000001</v>
      </c>
      <c r="F865" t="str" cm="1">
        <f t="array" ref="F865">INDEX({"Pay as you go","Prediction_PACK","Prediction_Payasyougo","Competitor"},MATCH(MIN(A865:D865), A865:D865, 0))</f>
        <v>Pay as you go</v>
      </c>
    </row>
    <row r="866" spans="1:6" x14ac:dyDescent="0.25">
      <c r="A866">
        <v>92.284000000000006</v>
      </c>
      <c r="B866">
        <v>167.88</v>
      </c>
      <c r="C866">
        <v>179.88</v>
      </c>
      <c r="D866">
        <v>179.88</v>
      </c>
      <c r="E866">
        <f t="shared" si="13"/>
        <v>92.284000000000006</v>
      </c>
      <c r="F866" t="str" cm="1">
        <f t="array" ref="F866">INDEX({"Pay as you go","Prediction_PACK","Prediction_Payasyougo","Competitor"},MATCH(MIN(A866:D866), A866:D866, 0))</f>
        <v>Pay as you go</v>
      </c>
    </row>
    <row r="867" spans="1:6" x14ac:dyDescent="0.25">
      <c r="A867">
        <v>124.422</v>
      </c>
      <c r="B867">
        <v>177.88</v>
      </c>
      <c r="C867">
        <v>179.88</v>
      </c>
      <c r="D867">
        <v>189.88</v>
      </c>
      <c r="E867">
        <f t="shared" si="13"/>
        <v>124.422</v>
      </c>
      <c r="F867" t="str" cm="1">
        <f t="array" ref="F867">INDEX({"Pay as you go","Prediction_PACK","Prediction_Payasyougo","Competitor"},MATCH(MIN(A867:D867), A867:D867, 0))</f>
        <v>Pay as you go</v>
      </c>
    </row>
    <row r="868" spans="1:6" x14ac:dyDescent="0.25">
      <c r="A868">
        <v>134.185</v>
      </c>
      <c r="B868">
        <v>183.88</v>
      </c>
      <c r="C868">
        <v>179.88</v>
      </c>
      <c r="D868">
        <v>199.88</v>
      </c>
      <c r="E868">
        <f t="shared" si="13"/>
        <v>134.185</v>
      </c>
      <c r="F868" t="str" cm="1">
        <f t="array" ref="F868">INDEX({"Pay as you go","Prediction_PACK","Prediction_Payasyougo","Competitor"},MATCH(MIN(A868:D868), A868:D868, 0))</f>
        <v>Pay as you go</v>
      </c>
    </row>
    <row r="869" spans="1:6" x14ac:dyDescent="0.25">
      <c r="A869">
        <v>92.444000000000003</v>
      </c>
      <c r="B869">
        <v>167.88</v>
      </c>
      <c r="C869">
        <v>179.88</v>
      </c>
      <c r="D869">
        <v>179.88</v>
      </c>
      <c r="E869">
        <f t="shared" si="13"/>
        <v>92.444000000000003</v>
      </c>
      <c r="F869" t="str" cm="1">
        <f t="array" ref="F869">INDEX({"Pay as you go","Prediction_PACK","Prediction_Payasyougo","Competitor"},MATCH(MIN(A869:D869), A869:D869, 0))</f>
        <v>Pay as you go</v>
      </c>
    </row>
    <row r="870" spans="1:6" x14ac:dyDescent="0.25">
      <c r="A870">
        <v>77.762</v>
      </c>
      <c r="B870">
        <v>167.88</v>
      </c>
      <c r="C870">
        <v>179.88</v>
      </c>
      <c r="D870">
        <v>179.88</v>
      </c>
      <c r="E870">
        <f t="shared" si="13"/>
        <v>77.762</v>
      </c>
      <c r="F870" t="str" cm="1">
        <f t="array" ref="F870">INDEX({"Pay as you go","Prediction_PACK","Prediction_Payasyougo","Competitor"},MATCH(MIN(A870:D870), A870:D870, 0))</f>
        <v>Pay as you go</v>
      </c>
    </row>
    <row r="871" spans="1:6" x14ac:dyDescent="0.25">
      <c r="A871">
        <v>100.285</v>
      </c>
      <c r="B871">
        <v>167.88</v>
      </c>
      <c r="C871">
        <v>179.88</v>
      </c>
      <c r="D871">
        <v>179.88</v>
      </c>
      <c r="E871">
        <f t="shared" si="13"/>
        <v>100.285</v>
      </c>
      <c r="F871" t="str" cm="1">
        <f t="array" ref="F871">INDEX({"Pay as you go","Prediction_PACK","Prediction_Payasyougo","Competitor"},MATCH(MIN(A871:D871), A871:D871, 0))</f>
        <v>Pay as you go</v>
      </c>
    </row>
    <row r="872" spans="1:6" x14ac:dyDescent="0.25">
      <c r="A872">
        <v>106.581</v>
      </c>
      <c r="B872">
        <v>177.88</v>
      </c>
      <c r="C872">
        <v>179.88</v>
      </c>
      <c r="D872">
        <v>189.88</v>
      </c>
      <c r="E872">
        <f t="shared" si="13"/>
        <v>106.581</v>
      </c>
      <c r="F872" t="str" cm="1">
        <f t="array" ref="F872">INDEX({"Pay as you go","Prediction_PACK","Prediction_Payasyougo","Competitor"},MATCH(MIN(A872:D872), A872:D872, 0))</f>
        <v>Pay as you go</v>
      </c>
    </row>
    <row r="873" spans="1:6" x14ac:dyDescent="0.25">
      <c r="A873">
        <v>134.262</v>
      </c>
      <c r="B873">
        <v>167.88</v>
      </c>
      <c r="C873">
        <v>179.88</v>
      </c>
      <c r="D873">
        <v>179.88</v>
      </c>
      <c r="E873">
        <f t="shared" si="13"/>
        <v>134.262</v>
      </c>
      <c r="F873" t="str" cm="1">
        <f t="array" ref="F873">INDEX({"Pay as you go","Prediction_PACK","Prediction_Payasyougo","Competitor"},MATCH(MIN(A873:D873), A873:D873, 0))</f>
        <v>Pay as you go</v>
      </c>
    </row>
    <row r="874" spans="1:6" x14ac:dyDescent="0.25">
      <c r="A874">
        <v>143.78300000000002</v>
      </c>
      <c r="B874">
        <v>187.88</v>
      </c>
      <c r="C874">
        <v>179.88</v>
      </c>
      <c r="D874">
        <v>199.88</v>
      </c>
      <c r="E874">
        <f t="shared" si="13"/>
        <v>143.78300000000002</v>
      </c>
      <c r="F874" t="str" cm="1">
        <f t="array" ref="F874">INDEX({"Pay as you go","Prediction_PACK","Prediction_Payasyougo","Competitor"},MATCH(MIN(A874:D874), A874:D874, 0))</f>
        <v>Pay as you go</v>
      </c>
    </row>
    <row r="875" spans="1:6" x14ac:dyDescent="0.25">
      <c r="A875">
        <v>168.899</v>
      </c>
      <c r="B875">
        <v>187.88</v>
      </c>
      <c r="C875">
        <v>179.88</v>
      </c>
      <c r="D875">
        <v>199.88</v>
      </c>
      <c r="E875">
        <f t="shared" si="13"/>
        <v>168.899</v>
      </c>
      <c r="F875" t="str" cm="1">
        <f t="array" ref="F875">INDEX({"Pay as you go","Prediction_PACK","Prediction_Payasyougo","Competitor"},MATCH(MIN(A875:D875), A875:D875, 0))</f>
        <v>Pay as you go</v>
      </c>
    </row>
    <row r="876" spans="1:6" x14ac:dyDescent="0.25">
      <c r="A876">
        <v>102.104</v>
      </c>
      <c r="B876">
        <v>171.88</v>
      </c>
      <c r="C876">
        <v>179.88</v>
      </c>
      <c r="D876">
        <v>184.88</v>
      </c>
      <c r="E876">
        <f t="shared" si="13"/>
        <v>102.104</v>
      </c>
      <c r="F876" t="str" cm="1">
        <f t="array" ref="F876">INDEX({"Pay as you go","Prediction_PACK","Prediction_Payasyougo","Competitor"},MATCH(MIN(A876:D876), A876:D876, 0))</f>
        <v>Pay as you go</v>
      </c>
    </row>
    <row r="877" spans="1:6" x14ac:dyDescent="0.25">
      <c r="A877">
        <v>97.244</v>
      </c>
      <c r="B877">
        <v>167.88</v>
      </c>
      <c r="C877">
        <v>179.88</v>
      </c>
      <c r="D877">
        <v>179.88</v>
      </c>
      <c r="E877">
        <f t="shared" si="13"/>
        <v>97.244</v>
      </c>
      <c r="F877" t="str" cm="1">
        <f t="array" ref="F877">INDEX({"Pay as you go","Prediction_PACK","Prediction_Payasyougo","Competitor"},MATCH(MIN(A877:D877), A877:D877, 0))</f>
        <v>Pay as you go</v>
      </c>
    </row>
    <row r="878" spans="1:6" x14ac:dyDescent="0.25">
      <c r="A878">
        <v>100.702</v>
      </c>
      <c r="B878">
        <v>167.88</v>
      </c>
      <c r="C878">
        <v>179.88</v>
      </c>
      <c r="D878">
        <v>179.88</v>
      </c>
      <c r="E878">
        <f t="shared" si="13"/>
        <v>100.702</v>
      </c>
      <c r="F878" t="str" cm="1">
        <f t="array" ref="F878">INDEX({"Pay as you go","Prediction_PACK","Prediction_Payasyougo","Competitor"},MATCH(MIN(A878:D878), A878:D878, 0))</f>
        <v>Pay as you go</v>
      </c>
    </row>
    <row r="879" spans="1:6" x14ac:dyDescent="0.25">
      <c r="A879">
        <v>133.36600000000001</v>
      </c>
      <c r="B879">
        <v>167.88</v>
      </c>
      <c r="C879">
        <v>179.88</v>
      </c>
      <c r="D879">
        <v>179.88</v>
      </c>
      <c r="E879">
        <f t="shared" si="13"/>
        <v>133.36600000000001</v>
      </c>
      <c r="F879" t="str" cm="1">
        <f t="array" ref="F879">INDEX({"Pay as you go","Prediction_PACK","Prediction_Payasyougo","Competitor"},MATCH(MIN(A879:D879), A879:D879, 0))</f>
        <v>Pay as you go</v>
      </c>
    </row>
    <row r="880" spans="1:6" x14ac:dyDescent="0.25">
      <c r="A880">
        <v>153.04500000000002</v>
      </c>
      <c r="B880">
        <v>177.88</v>
      </c>
      <c r="C880">
        <v>179.88</v>
      </c>
      <c r="D880">
        <v>189.88</v>
      </c>
      <c r="E880">
        <f t="shared" si="13"/>
        <v>153.04500000000002</v>
      </c>
      <c r="F880" t="str" cm="1">
        <f t="array" ref="F880">INDEX({"Pay as you go","Prediction_PACK","Prediction_Payasyougo","Competitor"},MATCH(MIN(A880:D880), A880:D880, 0))</f>
        <v>Pay as you go</v>
      </c>
    </row>
    <row r="881" spans="1:6" x14ac:dyDescent="0.25">
      <c r="A881">
        <v>145.70500000000001</v>
      </c>
      <c r="B881">
        <v>197.88</v>
      </c>
      <c r="C881">
        <v>181.5335033650623</v>
      </c>
      <c r="D881">
        <v>209.88</v>
      </c>
      <c r="E881">
        <f t="shared" si="13"/>
        <v>145.70500000000001</v>
      </c>
      <c r="F881" t="str" cm="1">
        <f t="array" ref="F881">INDEX({"Pay as you go","Prediction_PACK","Prediction_Payasyougo","Competitor"},MATCH(MIN(A881:D881), A881:D881, 0))</f>
        <v>Pay as you go</v>
      </c>
    </row>
    <row r="882" spans="1:6" x14ac:dyDescent="0.25">
      <c r="A882">
        <v>153.61100000000002</v>
      </c>
      <c r="B882">
        <v>197.88</v>
      </c>
      <c r="C882">
        <v>188.8939363939545</v>
      </c>
      <c r="D882">
        <v>209.88</v>
      </c>
      <c r="E882">
        <f t="shared" si="13"/>
        <v>153.61100000000002</v>
      </c>
      <c r="F882" t="str" cm="1">
        <f t="array" ref="F882">INDEX({"Pay as you go","Prediction_PACK","Prediction_Payasyougo","Competitor"},MATCH(MIN(A882:D882), A882:D882, 0))</f>
        <v>Pay as you go</v>
      </c>
    </row>
    <row r="883" spans="1:6" x14ac:dyDescent="0.25">
      <c r="A883">
        <v>135.03</v>
      </c>
      <c r="B883">
        <v>177.88</v>
      </c>
      <c r="C883">
        <v>179.88</v>
      </c>
      <c r="D883">
        <v>189.88</v>
      </c>
      <c r="E883">
        <f t="shared" si="13"/>
        <v>135.03</v>
      </c>
      <c r="F883" t="str" cm="1">
        <f t="array" ref="F883">INDEX({"Pay as you go","Prediction_PACK","Prediction_Payasyougo","Competitor"},MATCH(MIN(A883:D883), A883:D883, 0))</f>
        <v>Pay as you go</v>
      </c>
    </row>
    <row r="884" spans="1:6" x14ac:dyDescent="0.25">
      <c r="A884">
        <v>74.554000000000002</v>
      </c>
      <c r="B884">
        <v>167.88</v>
      </c>
      <c r="C884">
        <v>179.88</v>
      </c>
      <c r="D884">
        <v>179.88</v>
      </c>
      <c r="E884">
        <f t="shared" si="13"/>
        <v>74.554000000000002</v>
      </c>
      <c r="F884" t="str" cm="1">
        <f t="array" ref="F884">INDEX({"Pay as you go","Prediction_PACK","Prediction_Payasyougo","Competitor"},MATCH(MIN(A884:D884), A884:D884, 0))</f>
        <v>Pay as you go</v>
      </c>
    </row>
    <row r="885" spans="1:6" x14ac:dyDescent="0.25">
      <c r="A885">
        <v>79.786999999999992</v>
      </c>
      <c r="B885">
        <v>167.88</v>
      </c>
      <c r="C885">
        <v>179.88</v>
      </c>
      <c r="D885">
        <v>179.88</v>
      </c>
      <c r="E885">
        <f t="shared" si="13"/>
        <v>79.786999999999992</v>
      </c>
      <c r="F885" t="str" cm="1">
        <f t="array" ref="F885">INDEX({"Pay as you go","Prediction_PACK","Prediction_Payasyougo","Competitor"},MATCH(MIN(A885:D885), A885:D885, 0))</f>
        <v>Pay as you go</v>
      </c>
    </row>
    <row r="886" spans="1:6" x14ac:dyDescent="0.25">
      <c r="A886">
        <v>112.45</v>
      </c>
      <c r="B886">
        <v>167.88</v>
      </c>
      <c r="C886">
        <v>179.88</v>
      </c>
      <c r="D886">
        <v>179.88</v>
      </c>
      <c r="E886">
        <f t="shared" si="13"/>
        <v>112.45</v>
      </c>
      <c r="F886" t="str" cm="1">
        <f t="array" ref="F886">INDEX({"Pay as you go","Prediction_PACK","Prediction_Payasyougo","Competitor"},MATCH(MIN(A886:D886), A886:D886, 0))</f>
        <v>Pay as you go</v>
      </c>
    </row>
    <row r="887" spans="1:6" x14ac:dyDescent="0.25">
      <c r="A887">
        <v>90.83</v>
      </c>
      <c r="B887">
        <v>167.88</v>
      </c>
      <c r="C887">
        <v>179.88</v>
      </c>
      <c r="D887">
        <v>179.88</v>
      </c>
      <c r="E887">
        <f t="shared" si="13"/>
        <v>90.83</v>
      </c>
      <c r="F887" t="str" cm="1">
        <f t="array" ref="F887">INDEX({"Pay as you go","Prediction_PACK","Prediction_Payasyougo","Competitor"},MATCH(MIN(A887:D887), A887:D887, 0))</f>
        <v>Pay as you go</v>
      </c>
    </row>
    <row r="888" spans="1:6" x14ac:dyDescent="0.25">
      <c r="A888">
        <v>50.46</v>
      </c>
      <c r="B888">
        <v>167.88</v>
      </c>
      <c r="C888">
        <v>179.88</v>
      </c>
      <c r="D888">
        <v>179.88</v>
      </c>
      <c r="E888">
        <f t="shared" si="13"/>
        <v>50.46</v>
      </c>
      <c r="F888" t="str" cm="1">
        <f t="array" ref="F888">INDEX({"Pay as you go","Prediction_PACK","Prediction_Payasyougo","Competitor"},MATCH(MIN(A888:D888), A888:D888, 0))</f>
        <v>Pay as you go</v>
      </c>
    </row>
    <row r="889" spans="1:6" x14ac:dyDescent="0.25">
      <c r="A889">
        <v>151.30500000000001</v>
      </c>
      <c r="B889">
        <v>187.88</v>
      </c>
      <c r="C889">
        <v>179.88</v>
      </c>
      <c r="D889">
        <v>199.88</v>
      </c>
      <c r="E889">
        <f t="shared" si="13"/>
        <v>151.30500000000001</v>
      </c>
      <c r="F889" t="str" cm="1">
        <f t="array" ref="F889">INDEX({"Pay as you go","Prediction_PACK","Prediction_Payasyougo","Competitor"},MATCH(MIN(A889:D889), A889:D889, 0))</f>
        <v>Pay as you go</v>
      </c>
    </row>
    <row r="890" spans="1:6" x14ac:dyDescent="0.25">
      <c r="A890">
        <v>192.851</v>
      </c>
      <c r="B890">
        <v>207.88</v>
      </c>
      <c r="C890">
        <v>209.51401762654831</v>
      </c>
      <c r="D890">
        <v>219.88</v>
      </c>
      <c r="E890">
        <f t="shared" si="13"/>
        <v>192.851</v>
      </c>
      <c r="F890" t="str" cm="1">
        <f t="array" ref="F890">INDEX({"Pay as you go","Prediction_PACK","Prediction_Payasyougo","Competitor"},MATCH(MIN(A890:D890), A890:D890, 0))</f>
        <v>Pay as you go</v>
      </c>
    </row>
    <row r="891" spans="1:6" x14ac:dyDescent="0.25">
      <c r="A891">
        <v>149.88400000000001</v>
      </c>
      <c r="B891">
        <v>197.88</v>
      </c>
      <c r="C891">
        <v>187.88906570063008</v>
      </c>
      <c r="D891">
        <v>209.88</v>
      </c>
      <c r="E891">
        <f t="shared" si="13"/>
        <v>149.88400000000001</v>
      </c>
      <c r="F891" t="str" cm="1">
        <f t="array" ref="F891">INDEX({"Pay as you go","Prediction_PACK","Prediction_Payasyougo","Competitor"},MATCH(MIN(A891:D891), A891:D891, 0))</f>
        <v>Pay as you go</v>
      </c>
    </row>
    <row r="892" spans="1:6" x14ac:dyDescent="0.25">
      <c r="A892">
        <v>133.97000000000003</v>
      </c>
      <c r="B892">
        <v>177.88</v>
      </c>
      <c r="C892">
        <v>179.88</v>
      </c>
      <c r="D892">
        <v>189.88</v>
      </c>
      <c r="E892">
        <f t="shared" si="13"/>
        <v>133.97000000000003</v>
      </c>
      <c r="F892" t="str" cm="1">
        <f t="array" ref="F892">INDEX({"Pay as you go","Prediction_PACK","Prediction_Payasyougo","Competitor"},MATCH(MIN(A892:D892), A892:D892, 0))</f>
        <v>Pay as you go</v>
      </c>
    </row>
    <row r="893" spans="1:6" x14ac:dyDescent="0.25">
      <c r="A893">
        <v>116.00399999999999</v>
      </c>
      <c r="B893">
        <v>177.88</v>
      </c>
      <c r="C893">
        <v>179.88</v>
      </c>
      <c r="D893">
        <v>189.88</v>
      </c>
      <c r="E893">
        <f t="shared" si="13"/>
        <v>116.00399999999999</v>
      </c>
      <c r="F893" t="str" cm="1">
        <f t="array" ref="F893">INDEX({"Pay as you go","Prediction_PACK","Prediction_Payasyougo","Competitor"},MATCH(MIN(A893:D893), A893:D893, 0))</f>
        <v>Pay as you go</v>
      </c>
    </row>
    <row r="894" spans="1:6" x14ac:dyDescent="0.25">
      <c r="A894">
        <v>125.55799999999999</v>
      </c>
      <c r="B894">
        <v>167.88</v>
      </c>
      <c r="C894">
        <v>179.88</v>
      </c>
      <c r="D894">
        <v>179.88</v>
      </c>
      <c r="E894">
        <f t="shared" si="13"/>
        <v>125.55799999999999</v>
      </c>
      <c r="F894" t="str" cm="1">
        <f t="array" ref="F894">INDEX({"Pay as you go","Prediction_PACK","Prediction_Payasyougo","Competitor"},MATCH(MIN(A894:D894), A894:D894, 0))</f>
        <v>Pay as you go</v>
      </c>
    </row>
    <row r="895" spans="1:6" x14ac:dyDescent="0.25">
      <c r="A895">
        <v>79.384</v>
      </c>
      <c r="B895">
        <v>167.88</v>
      </c>
      <c r="C895">
        <v>179.88</v>
      </c>
      <c r="D895">
        <v>179.88</v>
      </c>
      <c r="E895">
        <f t="shared" si="13"/>
        <v>79.384</v>
      </c>
      <c r="F895" t="str" cm="1">
        <f t="array" ref="F895">INDEX({"Pay as you go","Prediction_PACK","Prediction_Payasyougo","Competitor"},MATCH(MIN(A895:D895), A895:D895, 0))</f>
        <v>Pay as you go</v>
      </c>
    </row>
    <row r="896" spans="1:6" x14ac:dyDescent="0.25">
      <c r="A896">
        <v>142.58800000000002</v>
      </c>
      <c r="B896">
        <v>177.88</v>
      </c>
      <c r="C896">
        <v>179.88</v>
      </c>
      <c r="D896">
        <v>189.88</v>
      </c>
      <c r="E896">
        <f t="shared" si="13"/>
        <v>142.58800000000002</v>
      </c>
      <c r="F896" t="str" cm="1">
        <f t="array" ref="F896">INDEX({"Pay as you go","Prediction_PACK","Prediction_Payasyougo","Competitor"},MATCH(MIN(A896:D896), A896:D896, 0))</f>
        <v>Pay as you go</v>
      </c>
    </row>
    <row r="897" spans="1:6" x14ac:dyDescent="0.25">
      <c r="A897">
        <v>102.444</v>
      </c>
      <c r="B897">
        <v>167.88</v>
      </c>
      <c r="C897">
        <v>179.88</v>
      </c>
      <c r="D897">
        <v>179.88</v>
      </c>
      <c r="E897">
        <f t="shared" si="13"/>
        <v>102.444</v>
      </c>
      <c r="F897" t="str" cm="1">
        <f t="array" ref="F897">INDEX({"Pay as you go","Prediction_PACK","Prediction_Payasyougo","Competitor"},MATCH(MIN(A897:D897), A897:D897, 0))</f>
        <v>Pay as you go</v>
      </c>
    </row>
    <row r="898" spans="1:6" x14ac:dyDescent="0.25">
      <c r="A898">
        <v>201.87199999999999</v>
      </c>
      <c r="B898">
        <v>217.88</v>
      </c>
      <c r="C898">
        <v>219.6809562349062</v>
      </c>
      <c r="D898">
        <v>229.88</v>
      </c>
      <c r="E898">
        <f t="shared" si="13"/>
        <v>201.87199999999999</v>
      </c>
      <c r="F898" t="str" cm="1">
        <f t="array" ref="F898">INDEX({"Pay as you go","Prediction_PACK","Prediction_Payasyougo","Competitor"},MATCH(MIN(A898:D898), A898:D898, 0))</f>
        <v>Pay as you go</v>
      </c>
    </row>
    <row r="899" spans="1:6" x14ac:dyDescent="0.25">
      <c r="A899">
        <v>203.87200000000001</v>
      </c>
      <c r="B899">
        <v>197.88</v>
      </c>
      <c r="C899">
        <v>185.50708985590981</v>
      </c>
      <c r="D899">
        <v>209.88</v>
      </c>
      <c r="E899">
        <f t="shared" si="13"/>
        <v>185.50708985590981</v>
      </c>
      <c r="F899" t="str" cm="1">
        <f t="array" ref="F899">INDEX({"Pay as you go","Prediction_PACK","Prediction_Payasyougo","Competitor"},MATCH(MIN(A899:D899), A899:D899, 0))</f>
        <v>Prediction_Payasyougo</v>
      </c>
    </row>
    <row r="900" spans="1:6" x14ac:dyDescent="0.25">
      <c r="A900">
        <v>109.75700000000001</v>
      </c>
      <c r="B900">
        <v>167.88</v>
      </c>
      <c r="C900">
        <v>179.88</v>
      </c>
      <c r="D900">
        <v>179.88</v>
      </c>
      <c r="E900">
        <f t="shared" si="13"/>
        <v>109.75700000000001</v>
      </c>
      <c r="F900" t="str" cm="1">
        <f t="array" ref="F900">INDEX({"Pay as you go","Prediction_PACK","Prediction_Payasyougo","Competitor"},MATCH(MIN(A900:D900), A900:D900, 0))</f>
        <v>Pay as you go</v>
      </c>
    </row>
    <row r="901" spans="1:6" x14ac:dyDescent="0.25">
      <c r="A901">
        <v>114.786</v>
      </c>
      <c r="B901">
        <v>167.88</v>
      </c>
      <c r="C901">
        <v>179.88</v>
      </c>
      <c r="D901">
        <v>179.88</v>
      </c>
      <c r="E901">
        <f t="shared" si="13"/>
        <v>114.786</v>
      </c>
      <c r="F901" t="str" cm="1">
        <f t="array" ref="F901">INDEX({"Pay as you go","Prediction_PACK","Prediction_Payasyougo","Competitor"},MATCH(MIN(A901:D901), A901:D901, 0))</f>
        <v>Pay as you go</v>
      </c>
    </row>
    <row r="902" spans="1:6" x14ac:dyDescent="0.25">
      <c r="A902">
        <v>96.453999999999994</v>
      </c>
      <c r="B902">
        <v>175.88</v>
      </c>
      <c r="C902">
        <v>179.88</v>
      </c>
      <c r="D902">
        <v>189.88</v>
      </c>
      <c r="E902">
        <f t="shared" si="13"/>
        <v>96.453999999999994</v>
      </c>
      <c r="F902" t="str" cm="1">
        <f t="array" ref="F902">INDEX({"Pay as you go","Prediction_PACK","Prediction_Payasyougo","Competitor"},MATCH(MIN(A902:D902), A902:D902, 0))</f>
        <v>Pay as you go</v>
      </c>
    </row>
    <row r="903" spans="1:6" x14ac:dyDescent="0.25">
      <c r="A903">
        <v>98.808999999999997</v>
      </c>
      <c r="B903">
        <v>167.88</v>
      </c>
      <c r="C903">
        <v>179.88</v>
      </c>
      <c r="D903">
        <v>179.88</v>
      </c>
      <c r="E903">
        <f t="shared" si="13"/>
        <v>98.808999999999997</v>
      </c>
      <c r="F903" t="str" cm="1">
        <f t="array" ref="F903">INDEX({"Pay as you go","Prediction_PACK","Prediction_Payasyougo","Competitor"},MATCH(MIN(A903:D903), A903:D903, 0))</f>
        <v>Pay as you go</v>
      </c>
    </row>
    <row r="904" spans="1:6" x14ac:dyDescent="0.25">
      <c r="A904">
        <v>102.982</v>
      </c>
      <c r="B904">
        <v>167.88</v>
      </c>
      <c r="C904">
        <v>179.88</v>
      </c>
      <c r="D904">
        <v>179.88</v>
      </c>
      <c r="E904">
        <f t="shared" ref="E904:E967" si="14">MIN(A904:D904)</f>
        <v>102.982</v>
      </c>
      <c r="F904" t="str" cm="1">
        <f t="array" ref="F904">INDEX({"Pay as you go","Prediction_PACK","Prediction_Payasyougo","Competitor"},MATCH(MIN(A904:D904), A904:D904, 0))</f>
        <v>Pay as you go</v>
      </c>
    </row>
    <row r="905" spans="1:6" x14ac:dyDescent="0.25">
      <c r="A905">
        <v>93.993000000000009</v>
      </c>
      <c r="B905">
        <v>167.88</v>
      </c>
      <c r="C905">
        <v>179.88</v>
      </c>
      <c r="D905">
        <v>179.88</v>
      </c>
      <c r="E905">
        <f t="shared" si="14"/>
        <v>93.993000000000009</v>
      </c>
      <c r="F905" t="str" cm="1">
        <f t="array" ref="F905">INDEX({"Pay as you go","Prediction_PACK","Prediction_Payasyougo","Competitor"},MATCH(MIN(A905:D905), A905:D905, 0))</f>
        <v>Pay as you go</v>
      </c>
    </row>
    <row r="906" spans="1:6" x14ac:dyDescent="0.25">
      <c r="A906">
        <v>105.209</v>
      </c>
      <c r="B906">
        <v>167.88</v>
      </c>
      <c r="C906">
        <v>179.88</v>
      </c>
      <c r="D906">
        <v>179.88</v>
      </c>
      <c r="E906">
        <f t="shared" si="14"/>
        <v>105.209</v>
      </c>
      <c r="F906" t="str" cm="1">
        <f t="array" ref="F906">INDEX({"Pay as you go","Prediction_PACK","Prediction_Payasyougo","Competitor"},MATCH(MIN(A906:D906), A906:D906, 0))</f>
        <v>Pay as you go</v>
      </c>
    </row>
    <row r="907" spans="1:6" x14ac:dyDescent="0.25">
      <c r="A907">
        <v>105.43900000000001</v>
      </c>
      <c r="B907">
        <v>167.88</v>
      </c>
      <c r="C907">
        <v>179.88</v>
      </c>
      <c r="D907">
        <v>179.88</v>
      </c>
      <c r="E907">
        <f t="shared" si="14"/>
        <v>105.43900000000001</v>
      </c>
      <c r="F907" t="str" cm="1">
        <f t="array" ref="F907">INDEX({"Pay as you go","Prediction_PACK","Prediction_Payasyougo","Competitor"},MATCH(MIN(A907:D907), A907:D907, 0))</f>
        <v>Pay as you go</v>
      </c>
    </row>
    <row r="908" spans="1:6" x14ac:dyDescent="0.25">
      <c r="A908">
        <v>112.41900000000001</v>
      </c>
      <c r="B908">
        <v>175.88</v>
      </c>
      <c r="C908">
        <v>179.88</v>
      </c>
      <c r="D908">
        <v>189.88</v>
      </c>
      <c r="E908">
        <f t="shared" si="14"/>
        <v>112.41900000000001</v>
      </c>
      <c r="F908" t="str" cm="1">
        <f t="array" ref="F908">INDEX({"Pay as you go","Prediction_PACK","Prediction_Payasyougo","Competitor"},MATCH(MIN(A908:D908), A908:D908, 0))</f>
        <v>Pay as you go</v>
      </c>
    </row>
    <row r="909" spans="1:6" x14ac:dyDescent="0.25">
      <c r="A909">
        <v>95.233000000000004</v>
      </c>
      <c r="B909">
        <v>167.88</v>
      </c>
      <c r="C909">
        <v>179.88</v>
      </c>
      <c r="D909">
        <v>179.88</v>
      </c>
      <c r="E909">
        <f t="shared" si="14"/>
        <v>95.233000000000004</v>
      </c>
      <c r="F909" t="str" cm="1">
        <f t="array" ref="F909">INDEX({"Pay as you go","Prediction_PACK","Prediction_Payasyougo","Competitor"},MATCH(MIN(A909:D909), A909:D909, 0))</f>
        <v>Pay as you go</v>
      </c>
    </row>
    <row r="910" spans="1:6" x14ac:dyDescent="0.25">
      <c r="A910">
        <v>116.578</v>
      </c>
      <c r="B910">
        <v>167.88</v>
      </c>
      <c r="C910">
        <v>179.88</v>
      </c>
      <c r="D910">
        <v>179.88</v>
      </c>
      <c r="E910">
        <f t="shared" si="14"/>
        <v>116.578</v>
      </c>
      <c r="F910" t="str" cm="1">
        <f t="array" ref="F910">INDEX({"Pay as you go","Prediction_PACK","Prediction_Payasyougo","Competitor"},MATCH(MIN(A910:D910), A910:D910, 0))</f>
        <v>Pay as you go</v>
      </c>
    </row>
    <row r="911" spans="1:6" x14ac:dyDescent="0.25">
      <c r="A911">
        <v>107.045</v>
      </c>
      <c r="B911">
        <v>167.88</v>
      </c>
      <c r="C911">
        <v>179.88</v>
      </c>
      <c r="D911">
        <v>179.88</v>
      </c>
      <c r="E911">
        <f t="shared" si="14"/>
        <v>107.045</v>
      </c>
      <c r="F911" t="str" cm="1">
        <f t="array" ref="F911">INDEX({"Pay as you go","Prediction_PACK","Prediction_Payasyougo","Competitor"},MATCH(MIN(A911:D911), A911:D911, 0))</f>
        <v>Pay as you go</v>
      </c>
    </row>
    <row r="912" spans="1:6" x14ac:dyDescent="0.25">
      <c r="A912">
        <v>93.613</v>
      </c>
      <c r="B912">
        <v>167.88</v>
      </c>
      <c r="C912">
        <v>179.88</v>
      </c>
      <c r="D912">
        <v>179.88</v>
      </c>
      <c r="E912">
        <f t="shared" si="14"/>
        <v>93.613</v>
      </c>
      <c r="F912" t="str" cm="1">
        <f t="array" ref="F912">INDEX({"Pay as you go","Prediction_PACK","Prediction_Payasyougo","Competitor"},MATCH(MIN(A912:D912), A912:D912, 0))</f>
        <v>Pay as you go</v>
      </c>
    </row>
    <row r="913" spans="1:6" x14ac:dyDescent="0.25">
      <c r="A913">
        <v>66.623000000000005</v>
      </c>
      <c r="B913">
        <v>167.88</v>
      </c>
      <c r="C913">
        <v>179.88</v>
      </c>
      <c r="D913">
        <v>179.88</v>
      </c>
      <c r="E913">
        <f t="shared" si="14"/>
        <v>66.623000000000005</v>
      </c>
      <c r="F913" t="str" cm="1">
        <f t="array" ref="F913">INDEX({"Pay as you go","Prediction_PACK","Prediction_Payasyougo","Competitor"},MATCH(MIN(A913:D913), A913:D913, 0))</f>
        <v>Pay as you go</v>
      </c>
    </row>
    <row r="914" spans="1:6" x14ac:dyDescent="0.25">
      <c r="A914">
        <v>94.055000000000007</v>
      </c>
      <c r="B914">
        <v>167.88</v>
      </c>
      <c r="C914">
        <v>179.88</v>
      </c>
      <c r="D914">
        <v>179.88</v>
      </c>
      <c r="E914">
        <f t="shared" si="14"/>
        <v>94.055000000000007</v>
      </c>
      <c r="F914" t="str" cm="1">
        <f t="array" ref="F914">INDEX({"Pay as you go","Prediction_PACK","Prediction_Payasyougo","Competitor"},MATCH(MIN(A914:D914), A914:D914, 0))</f>
        <v>Pay as you go</v>
      </c>
    </row>
    <row r="915" spans="1:6" x14ac:dyDescent="0.25">
      <c r="A915">
        <v>82.42</v>
      </c>
      <c r="B915">
        <v>167.88</v>
      </c>
      <c r="C915">
        <v>179.88</v>
      </c>
      <c r="D915">
        <v>179.88</v>
      </c>
      <c r="E915">
        <f t="shared" si="14"/>
        <v>82.42</v>
      </c>
      <c r="F915" t="str" cm="1">
        <f t="array" ref="F915">INDEX({"Pay as you go","Prediction_PACK","Prediction_Payasyougo","Competitor"},MATCH(MIN(A915:D915), A915:D915, 0))</f>
        <v>Pay as you go</v>
      </c>
    </row>
    <row r="916" spans="1:6" x14ac:dyDescent="0.25">
      <c r="A916">
        <v>110.03500000000001</v>
      </c>
      <c r="B916">
        <v>167.88</v>
      </c>
      <c r="C916">
        <v>179.88</v>
      </c>
      <c r="D916">
        <v>179.88</v>
      </c>
      <c r="E916">
        <f t="shared" si="14"/>
        <v>110.03500000000001</v>
      </c>
      <c r="F916" t="str" cm="1">
        <f t="array" ref="F916">INDEX({"Pay as you go","Prediction_PACK","Prediction_Payasyougo","Competitor"},MATCH(MIN(A916:D916), A916:D916, 0))</f>
        <v>Pay as you go</v>
      </c>
    </row>
    <row r="917" spans="1:6" x14ac:dyDescent="0.25">
      <c r="A917">
        <v>98.177000000000007</v>
      </c>
      <c r="B917">
        <v>167.88</v>
      </c>
      <c r="C917">
        <v>179.88</v>
      </c>
      <c r="D917">
        <v>179.88</v>
      </c>
      <c r="E917">
        <f t="shared" si="14"/>
        <v>98.177000000000007</v>
      </c>
      <c r="F917" t="str" cm="1">
        <f t="array" ref="F917">INDEX({"Pay as you go","Prediction_PACK","Prediction_Payasyougo","Competitor"},MATCH(MIN(A917:D917), A917:D917, 0))</f>
        <v>Pay as you go</v>
      </c>
    </row>
    <row r="918" spans="1:6" x14ac:dyDescent="0.25">
      <c r="A918">
        <v>107.12100000000001</v>
      </c>
      <c r="B918">
        <v>175.88</v>
      </c>
      <c r="C918">
        <v>179.88</v>
      </c>
      <c r="D918">
        <v>189.88</v>
      </c>
      <c r="E918">
        <f t="shared" si="14"/>
        <v>107.12100000000001</v>
      </c>
      <c r="F918" t="str" cm="1">
        <f t="array" ref="F918">INDEX({"Pay as you go","Prediction_PACK","Prediction_Payasyougo","Competitor"},MATCH(MIN(A918:D918), A918:D918, 0))</f>
        <v>Pay as you go</v>
      </c>
    </row>
    <row r="919" spans="1:6" x14ac:dyDescent="0.25">
      <c r="A919">
        <v>103.94600000000001</v>
      </c>
      <c r="B919">
        <v>167.88</v>
      </c>
      <c r="C919">
        <v>179.88</v>
      </c>
      <c r="D919">
        <v>179.88</v>
      </c>
      <c r="E919">
        <f t="shared" si="14"/>
        <v>103.94600000000001</v>
      </c>
      <c r="F919" t="str" cm="1">
        <f t="array" ref="F919">INDEX({"Pay as you go","Prediction_PACK","Prediction_Payasyougo","Competitor"},MATCH(MIN(A919:D919), A919:D919, 0))</f>
        <v>Pay as you go</v>
      </c>
    </row>
    <row r="920" spans="1:6" x14ac:dyDescent="0.25">
      <c r="A920">
        <v>84.672000000000011</v>
      </c>
      <c r="B920">
        <v>167.88</v>
      </c>
      <c r="C920">
        <v>179.88</v>
      </c>
      <c r="D920">
        <v>179.88</v>
      </c>
      <c r="E920">
        <f t="shared" si="14"/>
        <v>84.672000000000011</v>
      </c>
      <c r="F920" t="str" cm="1">
        <f t="array" ref="F920">INDEX({"Pay as you go","Prediction_PACK","Prediction_Payasyougo","Competitor"},MATCH(MIN(A920:D920), A920:D920, 0))</f>
        <v>Pay as you go</v>
      </c>
    </row>
    <row r="921" spans="1:6" x14ac:dyDescent="0.25">
      <c r="A921">
        <v>144.40900000000002</v>
      </c>
      <c r="B921">
        <v>171.88</v>
      </c>
      <c r="C921">
        <v>179.88</v>
      </c>
      <c r="D921">
        <v>184.88</v>
      </c>
      <c r="E921">
        <f t="shared" si="14"/>
        <v>144.40900000000002</v>
      </c>
      <c r="F921" t="str" cm="1">
        <f t="array" ref="F921">INDEX({"Pay as you go","Prediction_PACK","Prediction_Payasyougo","Competitor"},MATCH(MIN(A921:D921), A921:D921, 0))</f>
        <v>Pay as you go</v>
      </c>
    </row>
    <row r="922" spans="1:6" x14ac:dyDescent="0.25">
      <c r="A922">
        <v>182.57000000000002</v>
      </c>
      <c r="B922">
        <v>167.88</v>
      </c>
      <c r="C922">
        <v>179.88</v>
      </c>
      <c r="D922">
        <v>179.88</v>
      </c>
      <c r="E922">
        <f t="shared" si="14"/>
        <v>167.88</v>
      </c>
      <c r="F922" t="str" cm="1">
        <f t="array" ref="F922">INDEX({"Pay as you go","Prediction_PACK","Prediction_Payasyougo","Competitor"},MATCH(MIN(A922:D922), A922:D922, 0))</f>
        <v>Prediction_PACK</v>
      </c>
    </row>
    <row r="923" spans="1:6" x14ac:dyDescent="0.25">
      <c r="A923">
        <v>111.41500000000001</v>
      </c>
      <c r="B923">
        <v>167.88</v>
      </c>
      <c r="C923">
        <v>179.88</v>
      </c>
      <c r="D923">
        <v>179.88</v>
      </c>
      <c r="E923">
        <f t="shared" si="14"/>
        <v>111.41500000000001</v>
      </c>
      <c r="F923" t="str" cm="1">
        <f t="array" ref="F923">INDEX({"Pay as you go","Prediction_PACK","Prediction_Payasyougo","Competitor"},MATCH(MIN(A923:D923), A923:D923, 0))</f>
        <v>Pay as you go</v>
      </c>
    </row>
    <row r="924" spans="1:6" x14ac:dyDescent="0.25">
      <c r="A924">
        <v>105.791</v>
      </c>
      <c r="B924">
        <v>187.88</v>
      </c>
      <c r="C924">
        <v>189.0765062668473</v>
      </c>
      <c r="D924">
        <v>199.88</v>
      </c>
      <c r="E924">
        <f t="shared" si="14"/>
        <v>105.791</v>
      </c>
      <c r="F924" t="str" cm="1">
        <f t="array" ref="F924">INDEX({"Pay as you go","Prediction_PACK","Prediction_Payasyougo","Competitor"},MATCH(MIN(A924:D924), A924:D924, 0))</f>
        <v>Pay as you go</v>
      </c>
    </row>
    <row r="925" spans="1:6" x14ac:dyDescent="0.25">
      <c r="A925">
        <v>87.599000000000004</v>
      </c>
      <c r="B925">
        <v>167.88</v>
      </c>
      <c r="C925">
        <v>179.88</v>
      </c>
      <c r="D925">
        <v>179.88</v>
      </c>
      <c r="E925">
        <f t="shared" si="14"/>
        <v>87.599000000000004</v>
      </c>
      <c r="F925" t="str" cm="1">
        <f t="array" ref="F925">INDEX({"Pay as you go","Prediction_PACK","Prediction_Payasyougo","Competitor"},MATCH(MIN(A925:D925), A925:D925, 0))</f>
        <v>Pay as you go</v>
      </c>
    </row>
    <row r="926" spans="1:6" x14ac:dyDescent="0.25">
      <c r="A926">
        <v>82.795000000000002</v>
      </c>
      <c r="B926">
        <v>167.88</v>
      </c>
      <c r="C926">
        <v>179.88</v>
      </c>
      <c r="D926">
        <v>179.88</v>
      </c>
      <c r="E926">
        <f t="shared" si="14"/>
        <v>82.795000000000002</v>
      </c>
      <c r="F926" t="str" cm="1">
        <f t="array" ref="F926">INDEX({"Pay as you go","Prediction_PACK","Prediction_Payasyougo","Competitor"},MATCH(MIN(A926:D926), A926:D926, 0))</f>
        <v>Pay as you go</v>
      </c>
    </row>
    <row r="927" spans="1:6" x14ac:dyDescent="0.25">
      <c r="A927">
        <v>73.576999999999998</v>
      </c>
      <c r="B927">
        <v>167.88</v>
      </c>
      <c r="C927">
        <v>179.88</v>
      </c>
      <c r="D927">
        <v>179.88</v>
      </c>
      <c r="E927">
        <f t="shared" si="14"/>
        <v>73.576999999999998</v>
      </c>
      <c r="F927" t="str" cm="1">
        <f t="array" ref="F927">INDEX({"Pay as you go","Prediction_PACK","Prediction_Payasyougo","Competitor"},MATCH(MIN(A927:D927), A927:D927, 0))</f>
        <v>Pay as you go</v>
      </c>
    </row>
    <row r="928" spans="1:6" x14ac:dyDescent="0.25">
      <c r="A928">
        <v>98.734999999999999</v>
      </c>
      <c r="B928">
        <v>175.88</v>
      </c>
      <c r="C928">
        <v>179.88</v>
      </c>
      <c r="D928">
        <v>189.88</v>
      </c>
      <c r="E928">
        <f t="shared" si="14"/>
        <v>98.734999999999999</v>
      </c>
      <c r="F928" t="str" cm="1">
        <f t="array" ref="F928">INDEX({"Pay as you go","Prediction_PACK","Prediction_Payasyougo","Competitor"},MATCH(MIN(A928:D928), A928:D928, 0))</f>
        <v>Pay as you go</v>
      </c>
    </row>
    <row r="929" spans="1:6" x14ac:dyDescent="0.25">
      <c r="A929">
        <v>94.676000000000002</v>
      </c>
      <c r="B929">
        <v>175.88</v>
      </c>
      <c r="C929">
        <v>179.88</v>
      </c>
      <c r="D929">
        <v>189.88</v>
      </c>
      <c r="E929">
        <f t="shared" si="14"/>
        <v>94.676000000000002</v>
      </c>
      <c r="F929" t="str" cm="1">
        <f t="array" ref="F929">INDEX({"Pay as you go","Prediction_PACK","Prediction_Payasyougo","Competitor"},MATCH(MIN(A929:D929), A929:D929, 0))</f>
        <v>Pay as you go</v>
      </c>
    </row>
    <row r="930" spans="1:6" x14ac:dyDescent="0.25">
      <c r="A930">
        <v>144.71299999999999</v>
      </c>
      <c r="B930">
        <v>175.88</v>
      </c>
      <c r="C930">
        <v>179.88</v>
      </c>
      <c r="D930">
        <v>189.88</v>
      </c>
      <c r="E930">
        <f t="shared" si="14"/>
        <v>144.71299999999999</v>
      </c>
      <c r="F930" t="str" cm="1">
        <f t="array" ref="F930">INDEX({"Pay as you go","Prediction_PACK","Prediction_Payasyougo","Competitor"},MATCH(MIN(A930:D930), A930:D930, 0))</f>
        <v>Pay as you go</v>
      </c>
    </row>
    <row r="931" spans="1:6" x14ac:dyDescent="0.25">
      <c r="A931">
        <v>119.645</v>
      </c>
      <c r="B931">
        <v>171.88</v>
      </c>
      <c r="C931">
        <v>179.88</v>
      </c>
      <c r="D931">
        <v>184.88</v>
      </c>
      <c r="E931">
        <f t="shared" si="14"/>
        <v>119.645</v>
      </c>
      <c r="F931" t="str" cm="1">
        <f t="array" ref="F931">INDEX({"Pay as you go","Prediction_PACK","Prediction_Payasyougo","Competitor"},MATCH(MIN(A931:D931), A931:D931, 0))</f>
        <v>Pay as you go</v>
      </c>
    </row>
    <row r="932" spans="1:6" x14ac:dyDescent="0.25">
      <c r="A932">
        <v>70.225999999999999</v>
      </c>
      <c r="B932">
        <v>167.88</v>
      </c>
      <c r="C932">
        <v>179.88</v>
      </c>
      <c r="D932">
        <v>179.88</v>
      </c>
      <c r="E932">
        <f t="shared" si="14"/>
        <v>70.225999999999999</v>
      </c>
      <c r="F932" t="str" cm="1">
        <f t="array" ref="F932">INDEX({"Pay as you go","Prediction_PACK","Prediction_Payasyougo","Competitor"},MATCH(MIN(A932:D932), A932:D932, 0))</f>
        <v>Pay as you go</v>
      </c>
    </row>
    <row r="933" spans="1:6" x14ac:dyDescent="0.25">
      <c r="A933">
        <v>117.99000000000001</v>
      </c>
      <c r="B933">
        <v>171.88</v>
      </c>
      <c r="C933">
        <v>179.88</v>
      </c>
      <c r="D933">
        <v>184.88</v>
      </c>
      <c r="E933">
        <f t="shared" si="14"/>
        <v>117.99000000000001</v>
      </c>
      <c r="F933" t="str" cm="1">
        <f t="array" ref="F933">INDEX({"Pay as you go","Prediction_PACK","Prediction_Payasyougo","Competitor"},MATCH(MIN(A933:D933), A933:D933, 0))</f>
        <v>Pay as you go</v>
      </c>
    </row>
    <row r="934" spans="1:6" x14ac:dyDescent="0.25">
      <c r="A934">
        <v>117.628</v>
      </c>
      <c r="B934">
        <v>171.88</v>
      </c>
      <c r="C934">
        <v>179.88</v>
      </c>
      <c r="D934">
        <v>184.88</v>
      </c>
      <c r="E934">
        <f t="shared" si="14"/>
        <v>117.628</v>
      </c>
      <c r="F934" t="str" cm="1">
        <f t="array" ref="F934">INDEX({"Pay as you go","Prediction_PACK","Prediction_Payasyougo","Competitor"},MATCH(MIN(A934:D934), A934:D934, 0))</f>
        <v>Pay as you go</v>
      </c>
    </row>
    <row r="935" spans="1:6" x14ac:dyDescent="0.25">
      <c r="A935">
        <v>139.15900000000002</v>
      </c>
      <c r="B935">
        <v>167.88</v>
      </c>
      <c r="C935">
        <v>179.88</v>
      </c>
      <c r="D935">
        <v>179.88</v>
      </c>
      <c r="E935">
        <f t="shared" si="14"/>
        <v>139.15900000000002</v>
      </c>
      <c r="F935" t="str" cm="1">
        <f t="array" ref="F935">INDEX({"Pay as you go","Prediction_PACK","Prediction_Payasyougo","Competitor"},MATCH(MIN(A935:D935), A935:D935, 0))</f>
        <v>Pay as you go</v>
      </c>
    </row>
    <row r="936" spans="1:6" x14ac:dyDescent="0.25">
      <c r="A936">
        <v>118.99199999999999</v>
      </c>
      <c r="B936">
        <v>177.88</v>
      </c>
      <c r="C936">
        <v>179.88</v>
      </c>
      <c r="D936">
        <v>189.88</v>
      </c>
      <c r="E936">
        <f t="shared" si="14"/>
        <v>118.99199999999999</v>
      </c>
      <c r="F936" t="str" cm="1">
        <f t="array" ref="F936">INDEX({"Pay as you go","Prediction_PACK","Prediction_Payasyougo","Competitor"},MATCH(MIN(A936:D936), A936:D936, 0))</f>
        <v>Pay as you go</v>
      </c>
    </row>
    <row r="937" spans="1:6" x14ac:dyDescent="0.25">
      <c r="A937">
        <v>144.37900000000002</v>
      </c>
      <c r="B937">
        <v>183.88</v>
      </c>
      <c r="C937">
        <v>179.88</v>
      </c>
      <c r="D937">
        <v>199.88</v>
      </c>
      <c r="E937">
        <f t="shared" si="14"/>
        <v>144.37900000000002</v>
      </c>
      <c r="F937" t="str" cm="1">
        <f t="array" ref="F937">INDEX({"Pay as you go","Prediction_PACK","Prediction_Payasyougo","Competitor"},MATCH(MIN(A937:D937), A937:D937, 0))</f>
        <v>Pay as you go</v>
      </c>
    </row>
    <row r="938" spans="1:6" x14ac:dyDescent="0.25">
      <c r="A938">
        <v>133.31100000000001</v>
      </c>
      <c r="B938">
        <v>167.88</v>
      </c>
      <c r="C938">
        <v>179.88</v>
      </c>
      <c r="D938">
        <v>179.88</v>
      </c>
      <c r="E938">
        <f t="shared" si="14"/>
        <v>133.31100000000001</v>
      </c>
      <c r="F938" t="str" cm="1">
        <f t="array" ref="F938">INDEX({"Pay as you go","Prediction_PACK","Prediction_Payasyougo","Competitor"},MATCH(MIN(A938:D938), A938:D938, 0))</f>
        <v>Pay as you go</v>
      </c>
    </row>
    <row r="939" spans="1:6" x14ac:dyDescent="0.25">
      <c r="A939">
        <v>117.512</v>
      </c>
      <c r="B939">
        <v>167.88</v>
      </c>
      <c r="C939">
        <v>179.88</v>
      </c>
      <c r="D939">
        <v>179.88</v>
      </c>
      <c r="E939">
        <f t="shared" si="14"/>
        <v>117.512</v>
      </c>
      <c r="F939" t="str" cm="1">
        <f t="array" ref="F939">INDEX({"Pay as you go","Prediction_PACK","Prediction_Payasyougo","Competitor"},MATCH(MIN(A939:D939), A939:D939, 0))</f>
        <v>Pay as you go</v>
      </c>
    </row>
    <row r="940" spans="1:6" x14ac:dyDescent="0.25">
      <c r="A940">
        <v>97.367000000000004</v>
      </c>
      <c r="B940">
        <v>171.88</v>
      </c>
      <c r="C940">
        <v>179.88</v>
      </c>
      <c r="D940">
        <v>184.88</v>
      </c>
      <c r="E940">
        <f t="shared" si="14"/>
        <v>97.367000000000004</v>
      </c>
      <c r="F940" t="str" cm="1">
        <f t="array" ref="F940">INDEX({"Pay as you go","Prediction_PACK","Prediction_Payasyougo","Competitor"},MATCH(MIN(A940:D940), A940:D940, 0))</f>
        <v>Pay as you go</v>
      </c>
    </row>
    <row r="941" spans="1:6" x14ac:dyDescent="0.25">
      <c r="A941">
        <v>125.871</v>
      </c>
      <c r="B941">
        <v>167.88</v>
      </c>
      <c r="C941">
        <v>179.88</v>
      </c>
      <c r="D941">
        <v>179.88</v>
      </c>
      <c r="E941">
        <f t="shared" si="14"/>
        <v>125.871</v>
      </c>
      <c r="F941" t="str" cm="1">
        <f t="array" ref="F941">INDEX({"Pay as you go","Prediction_PACK","Prediction_Payasyougo","Competitor"},MATCH(MIN(A941:D941), A941:D941, 0))</f>
        <v>Pay as you go</v>
      </c>
    </row>
    <row r="942" spans="1:6" x14ac:dyDescent="0.25">
      <c r="A942">
        <v>127.899</v>
      </c>
      <c r="B942">
        <v>167.88</v>
      </c>
      <c r="C942">
        <v>179.88</v>
      </c>
      <c r="D942">
        <v>179.88</v>
      </c>
      <c r="E942">
        <f t="shared" si="14"/>
        <v>127.899</v>
      </c>
      <c r="F942" t="str" cm="1">
        <f t="array" ref="F942">INDEX({"Pay as you go","Prediction_PACK","Prediction_Payasyougo","Competitor"},MATCH(MIN(A942:D942), A942:D942, 0))</f>
        <v>Pay as you go</v>
      </c>
    </row>
    <row r="943" spans="1:6" x14ac:dyDescent="0.25">
      <c r="A943">
        <v>148.233</v>
      </c>
      <c r="B943">
        <v>187.88</v>
      </c>
      <c r="C943">
        <v>194.02304850654659</v>
      </c>
      <c r="D943">
        <v>199.88</v>
      </c>
      <c r="E943">
        <f t="shared" si="14"/>
        <v>148.233</v>
      </c>
      <c r="F943" t="str" cm="1">
        <f t="array" ref="F943">INDEX({"Pay as you go","Prediction_PACK","Prediction_Payasyougo","Competitor"},MATCH(MIN(A943:D943), A943:D943, 0))</f>
        <v>Pay as you go</v>
      </c>
    </row>
    <row r="944" spans="1:6" x14ac:dyDescent="0.25">
      <c r="A944">
        <v>216.887</v>
      </c>
      <c r="B944">
        <v>207.88</v>
      </c>
      <c r="C944">
        <v>204.5492962381812</v>
      </c>
      <c r="D944">
        <v>219.88</v>
      </c>
      <c r="E944">
        <f t="shared" si="14"/>
        <v>204.5492962381812</v>
      </c>
      <c r="F944" t="str" cm="1">
        <f t="array" ref="F944">INDEX({"Pay as you go","Prediction_PACK","Prediction_Payasyougo","Competitor"},MATCH(MIN(A944:D944), A944:D944, 0))</f>
        <v>Prediction_Payasyougo</v>
      </c>
    </row>
    <row r="945" spans="1:6" x14ac:dyDescent="0.25">
      <c r="A945">
        <v>141.80199999999999</v>
      </c>
      <c r="B945">
        <v>171.88</v>
      </c>
      <c r="C945">
        <v>179.88</v>
      </c>
      <c r="D945">
        <v>184.88</v>
      </c>
      <c r="E945">
        <f t="shared" si="14"/>
        <v>141.80199999999999</v>
      </c>
      <c r="F945" t="str" cm="1">
        <f t="array" ref="F945">INDEX({"Pay as you go","Prediction_PACK","Prediction_Payasyougo","Competitor"},MATCH(MIN(A945:D945), A945:D945, 0))</f>
        <v>Pay as you go</v>
      </c>
    </row>
    <row r="946" spans="1:6" x14ac:dyDescent="0.25">
      <c r="A946">
        <v>184.84799999999998</v>
      </c>
      <c r="B946">
        <v>197.88</v>
      </c>
      <c r="C946">
        <v>188.39936467588501</v>
      </c>
      <c r="D946">
        <v>209.88</v>
      </c>
      <c r="E946">
        <f t="shared" si="14"/>
        <v>184.84799999999998</v>
      </c>
      <c r="F946" t="str" cm="1">
        <f t="array" ref="F946">INDEX({"Pay as you go","Prediction_PACK","Prediction_Payasyougo","Competitor"},MATCH(MIN(A946:D946), A946:D946, 0))</f>
        <v>Pay as you go</v>
      </c>
    </row>
    <row r="947" spans="1:6" x14ac:dyDescent="0.25">
      <c r="A947">
        <v>173.47300000000001</v>
      </c>
      <c r="B947">
        <v>171.88</v>
      </c>
      <c r="C947">
        <v>179.88</v>
      </c>
      <c r="D947">
        <v>184.88</v>
      </c>
      <c r="E947">
        <f t="shared" si="14"/>
        <v>171.88</v>
      </c>
      <c r="F947" t="str" cm="1">
        <f t="array" ref="F947">INDEX({"Pay as you go","Prediction_PACK","Prediction_Payasyougo","Competitor"},MATCH(MIN(A947:D947), A947:D947, 0))</f>
        <v>Prediction_PACK</v>
      </c>
    </row>
    <row r="948" spans="1:6" x14ac:dyDescent="0.25">
      <c r="A948">
        <v>117.36199999999999</v>
      </c>
      <c r="B948">
        <v>171.88</v>
      </c>
      <c r="C948">
        <v>179.88</v>
      </c>
      <c r="D948">
        <v>184.88</v>
      </c>
      <c r="E948">
        <f t="shared" si="14"/>
        <v>117.36199999999999</v>
      </c>
      <c r="F948" t="str" cm="1">
        <f t="array" ref="F948">INDEX({"Pay as you go","Prediction_PACK","Prediction_Payasyougo","Competitor"},MATCH(MIN(A948:D948), A948:D948, 0))</f>
        <v>Pay as you go</v>
      </c>
    </row>
    <row r="949" spans="1:6" x14ac:dyDescent="0.25">
      <c r="A949">
        <v>143.61600000000001</v>
      </c>
      <c r="B949">
        <v>167.88</v>
      </c>
      <c r="C949">
        <v>179.88</v>
      </c>
      <c r="D949">
        <v>179.88</v>
      </c>
      <c r="E949">
        <f t="shared" si="14"/>
        <v>143.61600000000001</v>
      </c>
      <c r="F949" t="str" cm="1">
        <f t="array" ref="F949">INDEX({"Pay as you go","Prediction_PACK","Prediction_Payasyougo","Competitor"},MATCH(MIN(A949:D949), A949:D949, 0))</f>
        <v>Pay as you go</v>
      </c>
    </row>
    <row r="950" spans="1:6" x14ac:dyDescent="0.25">
      <c r="A950">
        <v>138.21799999999999</v>
      </c>
      <c r="B950">
        <v>177.88</v>
      </c>
      <c r="C950">
        <v>179.88</v>
      </c>
      <c r="D950">
        <v>189.88</v>
      </c>
      <c r="E950">
        <f t="shared" si="14"/>
        <v>138.21799999999999</v>
      </c>
      <c r="F950" t="str" cm="1">
        <f t="array" ref="F950">INDEX({"Pay as you go","Prediction_PACK","Prediction_Payasyougo","Competitor"},MATCH(MIN(A950:D950), A950:D950, 0))</f>
        <v>Pay as you go</v>
      </c>
    </row>
    <row r="951" spans="1:6" x14ac:dyDescent="0.25">
      <c r="A951">
        <v>196.155</v>
      </c>
      <c r="B951">
        <v>217.88</v>
      </c>
      <c r="C951">
        <v>215.0897958636267</v>
      </c>
      <c r="D951">
        <v>229.88</v>
      </c>
      <c r="E951">
        <f t="shared" si="14"/>
        <v>196.155</v>
      </c>
      <c r="F951" t="str" cm="1">
        <f t="array" ref="F951">INDEX({"Pay as you go","Prediction_PACK","Prediction_Payasyougo","Competitor"},MATCH(MIN(A951:D951), A951:D951, 0))</f>
        <v>Pay as you go</v>
      </c>
    </row>
    <row r="952" spans="1:6" x14ac:dyDescent="0.25">
      <c r="A952">
        <v>144.45500000000001</v>
      </c>
      <c r="B952">
        <v>187.88</v>
      </c>
      <c r="C952">
        <v>179.88</v>
      </c>
      <c r="D952">
        <v>199.88</v>
      </c>
      <c r="E952">
        <f t="shared" si="14"/>
        <v>144.45500000000001</v>
      </c>
      <c r="F952" t="str" cm="1">
        <f t="array" ref="F952">INDEX({"Pay as you go","Prediction_PACK","Prediction_Payasyougo","Competitor"},MATCH(MIN(A952:D952), A952:D952, 0))</f>
        <v>Pay as you go</v>
      </c>
    </row>
    <row r="953" spans="1:6" x14ac:dyDescent="0.25">
      <c r="A953">
        <v>121.227</v>
      </c>
      <c r="B953">
        <v>167.88</v>
      </c>
      <c r="C953">
        <v>179.88</v>
      </c>
      <c r="D953">
        <v>179.88</v>
      </c>
      <c r="E953">
        <f t="shared" si="14"/>
        <v>121.227</v>
      </c>
      <c r="F953" t="str" cm="1">
        <f t="array" ref="F953">INDEX({"Pay as you go","Prediction_PACK","Prediction_Payasyougo","Competitor"},MATCH(MIN(A953:D953), A953:D953, 0))</f>
        <v>Pay as you go</v>
      </c>
    </row>
    <row r="954" spans="1:6" x14ac:dyDescent="0.25">
      <c r="A954">
        <v>105.27818037435893</v>
      </c>
      <c r="B954">
        <v>167.88</v>
      </c>
      <c r="C954">
        <v>179.88</v>
      </c>
      <c r="D954">
        <v>179.88</v>
      </c>
      <c r="E954">
        <f t="shared" si="14"/>
        <v>105.27818037435893</v>
      </c>
      <c r="F954" t="str" cm="1">
        <f t="array" ref="F954">INDEX({"Pay as you go","Prediction_PACK","Prediction_Payasyougo","Competitor"},MATCH(MIN(A954:D954), A954:D954, 0))</f>
        <v>Pay as you go</v>
      </c>
    </row>
    <row r="955" spans="1:6" x14ac:dyDescent="0.25">
      <c r="A955">
        <v>87.402274186321989</v>
      </c>
      <c r="B955">
        <v>167.88</v>
      </c>
      <c r="C955">
        <v>179.88</v>
      </c>
      <c r="D955">
        <v>179.88</v>
      </c>
      <c r="E955">
        <f t="shared" si="14"/>
        <v>87.402274186321989</v>
      </c>
      <c r="F955" t="str" cm="1">
        <f t="array" ref="F955">INDEX({"Pay as you go","Prediction_PACK","Prediction_Payasyougo","Competitor"},MATCH(MIN(A955:D955), A955:D955, 0))</f>
        <v>Pay as you go</v>
      </c>
    </row>
    <row r="956" spans="1:6" x14ac:dyDescent="0.25">
      <c r="A956">
        <v>81.159001163172732</v>
      </c>
      <c r="B956">
        <v>167.88</v>
      </c>
      <c r="C956">
        <v>179.88</v>
      </c>
      <c r="D956">
        <v>179.88</v>
      </c>
      <c r="E956">
        <f t="shared" si="14"/>
        <v>81.159001163172732</v>
      </c>
      <c r="F956" t="str" cm="1">
        <f t="array" ref="F956">INDEX({"Pay as you go","Prediction_PACK","Prediction_Payasyougo","Competitor"},MATCH(MIN(A956:D956), A956:D956, 0))</f>
        <v>Pay as you go</v>
      </c>
    </row>
    <row r="957" spans="1:6" x14ac:dyDescent="0.25">
      <c r="A957">
        <v>86.175315377680036</v>
      </c>
      <c r="B957">
        <v>167.88</v>
      </c>
      <c r="C957">
        <v>179.88</v>
      </c>
      <c r="D957">
        <v>179.88</v>
      </c>
      <c r="E957">
        <f t="shared" si="14"/>
        <v>86.175315377680036</v>
      </c>
      <c r="F957" t="str" cm="1">
        <f t="array" ref="F957">INDEX({"Pay as you go","Prediction_PACK","Prediction_Payasyougo","Competitor"},MATCH(MIN(A957:D957), A957:D957, 0))</f>
        <v>Pay as you go</v>
      </c>
    </row>
    <row r="958" spans="1:6" x14ac:dyDescent="0.25">
      <c r="A958">
        <v>99.929411371348053</v>
      </c>
      <c r="B958">
        <v>167.88</v>
      </c>
      <c r="C958">
        <v>179.88</v>
      </c>
      <c r="D958">
        <v>179.88</v>
      </c>
      <c r="E958">
        <f t="shared" si="14"/>
        <v>99.929411371348053</v>
      </c>
      <c r="F958" t="str" cm="1">
        <f t="array" ref="F958">INDEX({"Pay as you go","Prediction_PACK","Prediction_Payasyougo","Competitor"},MATCH(MIN(A958:D958), A958:D958, 0))</f>
        <v>Pay as you go</v>
      </c>
    </row>
    <row r="959" spans="1:6" x14ac:dyDescent="0.25">
      <c r="A959">
        <v>110.83752384707455</v>
      </c>
      <c r="B959">
        <v>177.88</v>
      </c>
      <c r="C959">
        <v>179.88</v>
      </c>
      <c r="D959">
        <v>189.88</v>
      </c>
      <c r="E959">
        <f t="shared" si="14"/>
        <v>110.83752384707455</v>
      </c>
      <c r="F959" t="str" cm="1">
        <f t="array" ref="F959">INDEX({"Pay as you go","Prediction_PACK","Prediction_Payasyougo","Competitor"},MATCH(MIN(A959:D959), A959:D959, 0))</f>
        <v>Pay as you go</v>
      </c>
    </row>
    <row r="960" spans="1:6" x14ac:dyDescent="0.25">
      <c r="A960">
        <v>106.32651801127558</v>
      </c>
      <c r="B960">
        <v>167.88</v>
      </c>
      <c r="C960">
        <v>179.88</v>
      </c>
      <c r="D960">
        <v>179.88</v>
      </c>
      <c r="E960">
        <f t="shared" si="14"/>
        <v>106.32651801127558</v>
      </c>
      <c r="F960" t="str" cm="1">
        <f t="array" ref="F960">INDEX({"Pay as you go","Prediction_PACK","Prediction_Payasyougo","Competitor"},MATCH(MIN(A960:D960), A960:D960, 0))</f>
        <v>Pay as you go</v>
      </c>
    </row>
    <row r="961" spans="1:6" x14ac:dyDescent="0.25">
      <c r="A961">
        <v>83.904118525160257</v>
      </c>
      <c r="B961">
        <v>167.88</v>
      </c>
      <c r="C961">
        <v>179.88</v>
      </c>
      <c r="D961">
        <v>179.88</v>
      </c>
      <c r="E961">
        <f t="shared" si="14"/>
        <v>83.904118525160257</v>
      </c>
      <c r="F961" t="str" cm="1">
        <f t="array" ref="F961">INDEX({"Pay as you go","Prediction_PACK","Prediction_Payasyougo","Competitor"},MATCH(MIN(A961:D961), A961:D961, 0))</f>
        <v>Pay as you go</v>
      </c>
    </row>
    <row r="962" spans="1:6" x14ac:dyDescent="0.25">
      <c r="A962">
        <v>103.09057786825868</v>
      </c>
      <c r="B962">
        <v>167.88</v>
      </c>
      <c r="C962">
        <v>179.88</v>
      </c>
      <c r="D962">
        <v>179.88</v>
      </c>
      <c r="E962">
        <f t="shared" si="14"/>
        <v>103.09057786825868</v>
      </c>
      <c r="F962" t="str" cm="1">
        <f t="array" ref="F962">INDEX({"Pay as you go","Prediction_PACK","Prediction_Payasyougo","Competitor"},MATCH(MIN(A962:D962), A962:D962, 0))</f>
        <v>Pay as you go</v>
      </c>
    </row>
    <row r="963" spans="1:6" x14ac:dyDescent="0.25">
      <c r="A963">
        <v>74.291219821491012</v>
      </c>
      <c r="B963">
        <v>167.88</v>
      </c>
      <c r="C963">
        <v>179.88</v>
      </c>
      <c r="D963">
        <v>179.88</v>
      </c>
      <c r="E963">
        <f t="shared" si="14"/>
        <v>74.291219821491012</v>
      </c>
      <c r="F963" t="str" cm="1">
        <f t="array" ref="F963">INDEX({"Pay as you go","Prediction_PACK","Prediction_Payasyougo","Competitor"},MATCH(MIN(A963:D963), A963:D963, 0))</f>
        <v>Pay as you go</v>
      </c>
    </row>
    <row r="964" spans="1:6" x14ac:dyDescent="0.25">
      <c r="A964">
        <v>177.55583116015069</v>
      </c>
      <c r="B964">
        <v>182.88</v>
      </c>
      <c r="C964">
        <v>185.50248646564711</v>
      </c>
      <c r="D964">
        <v>194.88</v>
      </c>
      <c r="E964">
        <f t="shared" si="14"/>
        <v>177.55583116015069</v>
      </c>
      <c r="F964" t="str" cm="1">
        <f t="array" ref="F964">INDEX({"Pay as you go","Prediction_PACK","Prediction_Payasyougo","Competitor"},MATCH(MIN(A964:D964), A964:D964, 0))</f>
        <v>Pay as you go</v>
      </c>
    </row>
    <row r="965" spans="1:6" x14ac:dyDescent="0.25">
      <c r="A965">
        <v>95.568337192384362</v>
      </c>
      <c r="B965">
        <v>175.88</v>
      </c>
      <c r="C965">
        <v>179.88</v>
      </c>
      <c r="D965">
        <v>189.88</v>
      </c>
      <c r="E965">
        <f t="shared" si="14"/>
        <v>95.568337192384362</v>
      </c>
      <c r="F965" t="str" cm="1">
        <f t="array" ref="F965">INDEX({"Pay as you go","Prediction_PACK","Prediction_Payasyougo","Competitor"},MATCH(MIN(A965:D965), A965:D965, 0))</f>
        <v>Pay as you go</v>
      </c>
    </row>
    <row r="966" spans="1:6" x14ac:dyDescent="0.25">
      <c r="A966">
        <v>115.89845361229538</v>
      </c>
      <c r="B966">
        <v>177.88</v>
      </c>
      <c r="C966">
        <v>179.88</v>
      </c>
      <c r="D966">
        <v>189.88</v>
      </c>
      <c r="E966">
        <f t="shared" si="14"/>
        <v>115.89845361229538</v>
      </c>
      <c r="F966" t="str" cm="1">
        <f t="array" ref="F966">INDEX({"Pay as you go","Prediction_PACK","Prediction_Payasyougo","Competitor"},MATCH(MIN(A966:D966), A966:D966, 0))</f>
        <v>Pay as you go</v>
      </c>
    </row>
    <row r="967" spans="1:6" x14ac:dyDescent="0.25">
      <c r="A967">
        <v>63.946743540678376</v>
      </c>
      <c r="B967">
        <v>167.88</v>
      </c>
      <c r="C967">
        <v>179.88</v>
      </c>
      <c r="D967">
        <v>179.88</v>
      </c>
      <c r="E967">
        <f t="shared" si="14"/>
        <v>63.946743540678376</v>
      </c>
      <c r="F967" t="str" cm="1">
        <f t="array" ref="F967">INDEX({"Pay as you go","Prediction_PACK","Prediction_Payasyougo","Competitor"},MATCH(MIN(A967:D967), A967:D967, 0))</f>
        <v>Pay as you go</v>
      </c>
    </row>
    <row r="968" spans="1:6" x14ac:dyDescent="0.25">
      <c r="A968">
        <v>98.293001020800233</v>
      </c>
      <c r="B968">
        <v>167.88</v>
      </c>
      <c r="C968">
        <v>179.88</v>
      </c>
      <c r="D968">
        <v>179.88</v>
      </c>
      <c r="E968">
        <f t="shared" ref="E968:E1006" si="15">MIN(A968:D968)</f>
        <v>98.293001020800233</v>
      </c>
      <c r="F968" t="str" cm="1">
        <f t="array" ref="F968">INDEX({"Pay as you go","Prediction_PACK","Prediction_Payasyougo","Competitor"},MATCH(MIN(A968:D968), A968:D968, 0))</f>
        <v>Pay as you go</v>
      </c>
    </row>
    <row r="969" spans="1:6" x14ac:dyDescent="0.25">
      <c r="A969">
        <v>146.74853374627537</v>
      </c>
      <c r="B969">
        <v>167.88</v>
      </c>
      <c r="C969">
        <v>179.88</v>
      </c>
      <c r="D969">
        <v>179.88</v>
      </c>
      <c r="E969">
        <f t="shared" si="15"/>
        <v>146.74853374627537</v>
      </c>
      <c r="F969" t="str" cm="1">
        <f t="array" ref="F969">INDEX({"Pay as you go","Prediction_PACK","Prediction_Payasyougo","Competitor"},MATCH(MIN(A969:D969), A969:D969, 0))</f>
        <v>Pay as you go</v>
      </c>
    </row>
    <row r="970" spans="1:6" x14ac:dyDescent="0.25">
      <c r="A970">
        <v>99.191801117255451</v>
      </c>
      <c r="B970">
        <v>167.88</v>
      </c>
      <c r="C970">
        <v>179.88</v>
      </c>
      <c r="D970">
        <v>179.88</v>
      </c>
      <c r="E970">
        <f t="shared" si="15"/>
        <v>99.191801117255451</v>
      </c>
      <c r="F970" t="str" cm="1">
        <f t="array" ref="F970">INDEX({"Pay as you go","Prediction_PACK","Prediction_Payasyougo","Competitor"},MATCH(MIN(A970:D970), A970:D970, 0))</f>
        <v>Pay as you go</v>
      </c>
    </row>
    <row r="971" spans="1:6" x14ac:dyDescent="0.25">
      <c r="A971">
        <v>115.5442190813985</v>
      </c>
      <c r="B971">
        <v>177.88</v>
      </c>
      <c r="C971">
        <v>179.88</v>
      </c>
      <c r="D971">
        <v>189.88</v>
      </c>
      <c r="E971">
        <f t="shared" si="15"/>
        <v>115.5442190813985</v>
      </c>
      <c r="F971" t="str" cm="1">
        <f t="array" ref="F971">INDEX({"Pay as you go","Prediction_PACK","Prediction_Payasyougo","Competitor"},MATCH(MIN(A971:D971), A971:D971, 0))</f>
        <v>Pay as you go</v>
      </c>
    </row>
    <row r="972" spans="1:6" x14ac:dyDescent="0.25">
      <c r="A972">
        <v>145.10545792760135</v>
      </c>
      <c r="B972">
        <v>171.88</v>
      </c>
      <c r="C972">
        <v>179.88</v>
      </c>
      <c r="D972">
        <v>184.88</v>
      </c>
      <c r="E972">
        <f t="shared" si="15"/>
        <v>145.10545792760135</v>
      </c>
      <c r="F972" t="str" cm="1">
        <f t="array" ref="F972">INDEX({"Pay as you go","Prediction_PACK","Prediction_Payasyougo","Competitor"},MATCH(MIN(A972:D972), A972:D972, 0))</f>
        <v>Pay as you go</v>
      </c>
    </row>
    <row r="973" spans="1:6" x14ac:dyDescent="0.25">
      <c r="A973">
        <v>125.10157969609742</v>
      </c>
      <c r="B973">
        <v>175.88</v>
      </c>
      <c r="C973">
        <v>179.88</v>
      </c>
      <c r="D973">
        <v>189.88</v>
      </c>
      <c r="E973">
        <f t="shared" si="15"/>
        <v>125.10157969609742</v>
      </c>
      <c r="F973" t="str" cm="1">
        <f t="array" ref="F973">INDEX({"Pay as you go","Prediction_PACK","Prediction_Payasyougo","Competitor"},MATCH(MIN(A973:D973), A973:D973, 0))</f>
        <v>Pay as you go</v>
      </c>
    </row>
    <row r="974" spans="1:6" x14ac:dyDescent="0.25">
      <c r="A974">
        <v>133.14038571747321</v>
      </c>
      <c r="B974">
        <v>177.88</v>
      </c>
      <c r="C974">
        <v>179.88</v>
      </c>
      <c r="D974">
        <v>189.88</v>
      </c>
      <c r="E974">
        <f t="shared" si="15"/>
        <v>133.14038571747321</v>
      </c>
      <c r="F974" t="str" cm="1">
        <f t="array" ref="F974">INDEX({"Pay as you go","Prediction_PACK","Prediction_Payasyougo","Competitor"},MATCH(MIN(A974:D974), A974:D974, 0))</f>
        <v>Pay as you go</v>
      </c>
    </row>
    <row r="975" spans="1:6" x14ac:dyDescent="0.25">
      <c r="A975">
        <v>119.79945719433931</v>
      </c>
      <c r="B975">
        <v>177.88</v>
      </c>
      <c r="C975">
        <v>179.88</v>
      </c>
      <c r="D975">
        <v>189.88</v>
      </c>
      <c r="E975">
        <f t="shared" si="15"/>
        <v>119.79945719433931</v>
      </c>
      <c r="F975" t="str" cm="1">
        <f t="array" ref="F975">INDEX({"Pay as you go","Prediction_PACK","Prediction_Payasyougo","Competitor"},MATCH(MIN(A975:D975), A975:D975, 0))</f>
        <v>Pay as you go</v>
      </c>
    </row>
    <row r="976" spans="1:6" x14ac:dyDescent="0.25">
      <c r="A976">
        <v>139.8805379048143</v>
      </c>
      <c r="B976">
        <v>175.88</v>
      </c>
      <c r="C976">
        <v>179.88</v>
      </c>
      <c r="D976">
        <v>189.88</v>
      </c>
      <c r="E976">
        <f t="shared" si="15"/>
        <v>139.8805379048143</v>
      </c>
      <c r="F976" t="str" cm="1">
        <f t="array" ref="F976">INDEX({"Pay as you go","Prediction_PACK","Prediction_Payasyougo","Competitor"},MATCH(MIN(A976:D976), A976:D976, 0))</f>
        <v>Pay as you go</v>
      </c>
    </row>
    <row r="977" spans="1:6" x14ac:dyDescent="0.25">
      <c r="A977">
        <v>163.88510635522385</v>
      </c>
      <c r="B977">
        <v>177.88</v>
      </c>
      <c r="C977">
        <v>179.88</v>
      </c>
      <c r="D977">
        <v>189.88</v>
      </c>
      <c r="E977">
        <f t="shared" si="15"/>
        <v>163.88510635522385</v>
      </c>
      <c r="F977" t="str" cm="1">
        <f t="array" ref="F977">INDEX({"Pay as you go","Prediction_PACK","Prediction_Payasyougo","Competitor"},MATCH(MIN(A977:D977), A977:D977, 0))</f>
        <v>Pay as you go</v>
      </c>
    </row>
    <row r="978" spans="1:6" x14ac:dyDescent="0.25">
      <c r="A978">
        <v>71.904754485193891</v>
      </c>
      <c r="B978">
        <v>167.88</v>
      </c>
      <c r="C978">
        <v>179.88</v>
      </c>
      <c r="D978">
        <v>179.88</v>
      </c>
      <c r="E978">
        <f t="shared" si="15"/>
        <v>71.904754485193891</v>
      </c>
      <c r="F978" t="str" cm="1">
        <f t="array" ref="F978">INDEX({"Pay as you go","Prediction_PACK","Prediction_Payasyougo","Competitor"},MATCH(MIN(A978:D978), A978:D978, 0))</f>
        <v>Pay as you go</v>
      </c>
    </row>
    <row r="979" spans="1:6" x14ac:dyDescent="0.25">
      <c r="A979">
        <v>51.201158201492873</v>
      </c>
      <c r="B979">
        <v>167.88</v>
      </c>
      <c r="C979">
        <v>179.88</v>
      </c>
      <c r="D979">
        <v>179.88</v>
      </c>
      <c r="E979">
        <f t="shared" si="15"/>
        <v>51.201158201492873</v>
      </c>
      <c r="F979" t="str" cm="1">
        <f t="array" ref="F979">INDEX({"Pay as you go","Prediction_PACK","Prediction_Payasyougo","Competitor"},MATCH(MIN(A979:D979), A979:D979, 0))</f>
        <v>Pay as you go</v>
      </c>
    </row>
    <row r="980" spans="1:6" x14ac:dyDescent="0.25">
      <c r="A980">
        <v>158.47916794379771</v>
      </c>
      <c r="B980">
        <v>177.88</v>
      </c>
      <c r="C980">
        <v>179.88</v>
      </c>
      <c r="D980">
        <v>189.88</v>
      </c>
      <c r="E980">
        <f t="shared" si="15"/>
        <v>158.47916794379771</v>
      </c>
      <c r="F980" t="str" cm="1">
        <f t="array" ref="F980">INDEX({"Pay as you go","Prediction_PACK","Prediction_Payasyougo","Competitor"},MATCH(MIN(A980:D980), A980:D980, 0))</f>
        <v>Pay as you go</v>
      </c>
    </row>
    <row r="981" spans="1:6" x14ac:dyDescent="0.25">
      <c r="A981">
        <v>96.323920045871631</v>
      </c>
      <c r="B981">
        <v>167.88</v>
      </c>
      <c r="C981">
        <v>179.88</v>
      </c>
      <c r="D981">
        <v>179.88</v>
      </c>
      <c r="E981">
        <f t="shared" si="15"/>
        <v>96.323920045871631</v>
      </c>
      <c r="F981" t="str" cm="1">
        <f t="array" ref="F981">INDEX({"Pay as you go","Prediction_PACK","Prediction_Payasyougo","Competitor"},MATCH(MIN(A981:D981), A981:D981, 0))</f>
        <v>Pay as you go</v>
      </c>
    </row>
    <row r="982" spans="1:6" x14ac:dyDescent="0.25">
      <c r="A982">
        <v>137.717176646963</v>
      </c>
      <c r="B982">
        <v>175.88</v>
      </c>
      <c r="C982">
        <v>179.88</v>
      </c>
      <c r="D982">
        <v>189.88</v>
      </c>
      <c r="E982">
        <f t="shared" si="15"/>
        <v>137.717176646963</v>
      </c>
      <c r="F982" t="str" cm="1">
        <f t="array" ref="F982">INDEX({"Pay as you go","Prediction_PACK","Prediction_Payasyougo","Competitor"},MATCH(MIN(A982:D982), A982:D982, 0))</f>
        <v>Pay as you go</v>
      </c>
    </row>
    <row r="983" spans="1:6" x14ac:dyDescent="0.25">
      <c r="A983">
        <v>69.246628592599336</v>
      </c>
      <c r="B983">
        <v>167.88</v>
      </c>
      <c r="C983">
        <v>179.88</v>
      </c>
      <c r="D983">
        <v>179.88</v>
      </c>
      <c r="E983">
        <f t="shared" si="15"/>
        <v>69.246628592599336</v>
      </c>
      <c r="F983" t="str" cm="1">
        <f t="array" ref="F983">INDEX({"Pay as you go","Prediction_PACK","Prediction_Payasyougo","Competitor"},MATCH(MIN(A983:D983), A983:D983, 0))</f>
        <v>Pay as you go</v>
      </c>
    </row>
    <row r="984" spans="1:6" x14ac:dyDescent="0.25">
      <c r="A984">
        <v>122.63023902625484</v>
      </c>
      <c r="B984">
        <v>167.88</v>
      </c>
      <c r="C984">
        <v>179.88</v>
      </c>
      <c r="D984">
        <v>179.88</v>
      </c>
      <c r="E984">
        <f t="shared" si="15"/>
        <v>122.63023902625484</v>
      </c>
      <c r="F984" t="str" cm="1">
        <f t="array" ref="F984">INDEX({"Pay as you go","Prediction_PACK","Prediction_Payasyougo","Competitor"},MATCH(MIN(A984:D984), A984:D984, 0))</f>
        <v>Pay as you go</v>
      </c>
    </row>
    <row r="985" spans="1:6" x14ac:dyDescent="0.25">
      <c r="A985">
        <v>78.814857709582526</v>
      </c>
      <c r="B985">
        <v>167.88</v>
      </c>
      <c r="C985">
        <v>179.88</v>
      </c>
      <c r="D985">
        <v>179.88</v>
      </c>
      <c r="E985">
        <f t="shared" si="15"/>
        <v>78.814857709582526</v>
      </c>
      <c r="F985" t="str" cm="1">
        <f t="array" ref="F985">INDEX({"Pay as you go","Prediction_PACK","Prediction_Payasyougo","Competitor"},MATCH(MIN(A985:D985), A985:D985, 0))</f>
        <v>Pay as you go</v>
      </c>
    </row>
    <row r="986" spans="1:6" x14ac:dyDescent="0.25">
      <c r="A986">
        <v>158.65865638149589</v>
      </c>
      <c r="B986">
        <v>187.88</v>
      </c>
      <c r="C986">
        <v>179.88</v>
      </c>
      <c r="D986">
        <v>199.88</v>
      </c>
      <c r="E986">
        <f t="shared" si="15"/>
        <v>158.65865638149589</v>
      </c>
      <c r="F986" t="str" cm="1">
        <f t="array" ref="F986">INDEX({"Pay as you go","Prediction_PACK","Prediction_Payasyougo","Competitor"},MATCH(MIN(A986:D986), A986:D986, 0))</f>
        <v>Pay as you go</v>
      </c>
    </row>
    <row r="987" spans="1:6" x14ac:dyDescent="0.25">
      <c r="A987">
        <v>212.25900159713439</v>
      </c>
      <c r="B987">
        <v>183.88</v>
      </c>
      <c r="C987">
        <v>179.88</v>
      </c>
      <c r="D987">
        <v>199.88</v>
      </c>
      <c r="E987">
        <f t="shared" si="15"/>
        <v>179.88</v>
      </c>
      <c r="F987" t="str" cm="1">
        <f t="array" ref="F987">INDEX({"Pay as you go","Prediction_PACK","Prediction_Payasyougo","Competitor"},MATCH(MIN(A987:D987), A987:D987, 0))</f>
        <v>Prediction_Payasyougo</v>
      </c>
    </row>
    <row r="988" spans="1:6" x14ac:dyDescent="0.25">
      <c r="A988">
        <v>101.30275485008508</v>
      </c>
      <c r="B988">
        <v>175.88</v>
      </c>
      <c r="C988">
        <v>179.88</v>
      </c>
      <c r="D988">
        <v>189.88</v>
      </c>
      <c r="E988">
        <f t="shared" si="15"/>
        <v>101.30275485008508</v>
      </c>
      <c r="F988" t="str" cm="1">
        <f t="array" ref="F988">INDEX({"Pay as you go","Prediction_PACK","Prediction_Payasyougo","Competitor"},MATCH(MIN(A988:D988), A988:D988, 0))</f>
        <v>Pay as you go</v>
      </c>
    </row>
    <row r="989" spans="1:6" x14ac:dyDescent="0.25">
      <c r="A989">
        <v>145.67500857291185</v>
      </c>
      <c r="B989">
        <v>167.88</v>
      </c>
      <c r="C989">
        <v>179.88</v>
      </c>
      <c r="D989">
        <v>179.88</v>
      </c>
      <c r="E989">
        <f t="shared" si="15"/>
        <v>145.67500857291185</v>
      </c>
      <c r="F989" t="str" cm="1">
        <f t="array" ref="F989">INDEX({"Pay as you go","Prediction_PACK","Prediction_Payasyougo","Competitor"},MATCH(MIN(A989:D989), A989:D989, 0))</f>
        <v>Pay as you go</v>
      </c>
    </row>
    <row r="990" spans="1:6" x14ac:dyDescent="0.25">
      <c r="A990">
        <v>101.83647419263306</v>
      </c>
      <c r="B990">
        <v>167.88</v>
      </c>
      <c r="C990">
        <v>179.88</v>
      </c>
      <c r="D990">
        <v>179.88</v>
      </c>
      <c r="E990">
        <f t="shared" si="15"/>
        <v>101.83647419263306</v>
      </c>
      <c r="F990" t="str" cm="1">
        <f t="array" ref="F990">INDEX({"Pay as you go","Prediction_PACK","Prediction_Payasyougo","Competitor"},MATCH(MIN(A990:D990), A990:D990, 0))</f>
        <v>Pay as you go</v>
      </c>
    </row>
    <row r="991" spans="1:6" x14ac:dyDescent="0.25">
      <c r="A991">
        <v>96.963765260425134</v>
      </c>
      <c r="B991">
        <v>167.88</v>
      </c>
      <c r="C991">
        <v>179.88</v>
      </c>
      <c r="D991">
        <v>179.88</v>
      </c>
      <c r="E991">
        <f t="shared" si="15"/>
        <v>96.963765260425134</v>
      </c>
      <c r="F991" t="str" cm="1">
        <f t="array" ref="F991">INDEX({"Pay as you go","Prediction_PACK","Prediction_Payasyougo","Competitor"},MATCH(MIN(A991:D991), A991:D991, 0))</f>
        <v>Pay as you go</v>
      </c>
    </row>
    <row r="992" spans="1:6" x14ac:dyDescent="0.25">
      <c r="A992">
        <v>70.43329669543742</v>
      </c>
      <c r="B992">
        <v>167.88</v>
      </c>
      <c r="C992">
        <v>179.88</v>
      </c>
      <c r="D992">
        <v>179.88</v>
      </c>
      <c r="E992">
        <f t="shared" si="15"/>
        <v>70.43329669543742</v>
      </c>
      <c r="F992" t="str" cm="1">
        <f t="array" ref="F992">INDEX({"Pay as you go","Prediction_PACK","Prediction_Payasyougo","Competitor"},MATCH(MIN(A992:D992), A992:D992, 0))</f>
        <v>Pay as you go</v>
      </c>
    </row>
    <row r="993" spans="1:6" x14ac:dyDescent="0.25">
      <c r="A993">
        <v>141.83445985979631</v>
      </c>
      <c r="B993">
        <v>167.88</v>
      </c>
      <c r="C993">
        <v>179.88</v>
      </c>
      <c r="D993">
        <v>179.88</v>
      </c>
      <c r="E993">
        <f t="shared" si="15"/>
        <v>141.83445985979631</v>
      </c>
      <c r="F993" t="str" cm="1">
        <f t="array" ref="F993">INDEX({"Pay as you go","Prediction_PACK","Prediction_Payasyougo","Competitor"},MATCH(MIN(A993:D993), A993:D993, 0))</f>
        <v>Pay as you go</v>
      </c>
    </row>
    <row r="994" spans="1:6" x14ac:dyDescent="0.25">
      <c r="A994">
        <v>125.92393103833318</v>
      </c>
      <c r="B994">
        <v>175.88</v>
      </c>
      <c r="C994">
        <v>179.88</v>
      </c>
      <c r="D994">
        <v>189.88</v>
      </c>
      <c r="E994">
        <f t="shared" si="15"/>
        <v>125.92393103833318</v>
      </c>
      <c r="F994" t="str" cm="1">
        <f t="array" ref="F994">INDEX({"Pay as you go","Prediction_PACK","Prediction_Payasyougo","Competitor"},MATCH(MIN(A994:D994), A994:D994, 0))</f>
        <v>Pay as you go</v>
      </c>
    </row>
    <row r="995" spans="1:6" x14ac:dyDescent="0.25">
      <c r="A995">
        <v>80.550972384490805</v>
      </c>
      <c r="B995">
        <v>167.88</v>
      </c>
      <c r="C995">
        <v>179.88</v>
      </c>
      <c r="D995">
        <v>179.88</v>
      </c>
      <c r="E995">
        <f t="shared" si="15"/>
        <v>80.550972384490805</v>
      </c>
      <c r="F995" t="str" cm="1">
        <f t="array" ref="F995">INDEX({"Pay as you go","Prediction_PACK","Prediction_Payasyougo","Competitor"},MATCH(MIN(A995:D995), A995:D995, 0))</f>
        <v>Pay as you go</v>
      </c>
    </row>
    <row r="996" spans="1:6" x14ac:dyDescent="0.25">
      <c r="A996">
        <v>137.3921552475272</v>
      </c>
      <c r="B996">
        <v>177.88</v>
      </c>
      <c r="C996">
        <v>179.88</v>
      </c>
      <c r="D996">
        <v>189.88</v>
      </c>
      <c r="E996">
        <f t="shared" si="15"/>
        <v>137.3921552475272</v>
      </c>
      <c r="F996" t="str" cm="1">
        <f t="array" ref="F996">INDEX({"Pay as you go","Prediction_PACK","Prediction_Payasyougo","Competitor"},MATCH(MIN(A996:D996), A996:D996, 0))</f>
        <v>Pay as you go</v>
      </c>
    </row>
    <row r="997" spans="1:6" x14ac:dyDescent="0.25">
      <c r="A997">
        <v>124.74785537019383</v>
      </c>
      <c r="B997">
        <v>175.88</v>
      </c>
      <c r="C997">
        <v>179.88</v>
      </c>
      <c r="D997">
        <v>189.88</v>
      </c>
      <c r="E997">
        <f t="shared" si="15"/>
        <v>124.74785537019383</v>
      </c>
      <c r="F997" t="str" cm="1">
        <f t="array" ref="F997">INDEX({"Pay as you go","Prediction_PACK","Prediction_Payasyougo","Competitor"},MATCH(MIN(A997:D997), A997:D997, 0))</f>
        <v>Pay as you go</v>
      </c>
    </row>
    <row r="998" spans="1:6" x14ac:dyDescent="0.25">
      <c r="A998">
        <v>143.33805693171891</v>
      </c>
      <c r="B998">
        <v>167.88</v>
      </c>
      <c r="C998">
        <v>179.88</v>
      </c>
      <c r="D998">
        <v>179.88</v>
      </c>
      <c r="E998">
        <f t="shared" si="15"/>
        <v>143.33805693171891</v>
      </c>
      <c r="F998" t="str" cm="1">
        <f t="array" ref="F998">INDEX({"Pay as you go","Prediction_PACK","Prediction_Payasyougo","Competitor"},MATCH(MIN(A998:D998), A998:D998, 0))</f>
        <v>Pay as you go</v>
      </c>
    </row>
    <row r="999" spans="1:6" x14ac:dyDescent="0.25">
      <c r="A999">
        <v>77.969486938452292</v>
      </c>
      <c r="B999">
        <v>175.88</v>
      </c>
      <c r="C999">
        <v>179.88</v>
      </c>
      <c r="D999">
        <v>189.88</v>
      </c>
      <c r="E999">
        <f t="shared" si="15"/>
        <v>77.969486938452292</v>
      </c>
      <c r="F999" t="str" cm="1">
        <f t="array" ref="F999">INDEX({"Pay as you go","Prediction_PACK","Prediction_Payasyougo","Competitor"},MATCH(MIN(A999:D999), A999:D999, 0))</f>
        <v>Pay as you go</v>
      </c>
    </row>
    <row r="1000" spans="1:6" x14ac:dyDescent="0.25">
      <c r="A1000">
        <v>159.25602275416458</v>
      </c>
      <c r="B1000">
        <v>207.88</v>
      </c>
      <c r="C1000">
        <v>196.235566096626</v>
      </c>
      <c r="D1000">
        <v>219.88</v>
      </c>
      <c r="E1000">
        <f t="shared" si="15"/>
        <v>159.25602275416458</v>
      </c>
      <c r="F1000" t="str" cm="1">
        <f t="array" ref="F1000">INDEX({"Pay as you go","Prediction_PACK","Prediction_Payasyougo","Competitor"},MATCH(MIN(A1000:D1000), A1000:D1000, 0))</f>
        <v>Pay as you go</v>
      </c>
    </row>
    <row r="1001" spans="1:6" x14ac:dyDescent="0.25">
      <c r="A1001">
        <v>81.951180441557582</v>
      </c>
      <c r="B1001">
        <v>171.88</v>
      </c>
      <c r="C1001">
        <v>179.88</v>
      </c>
      <c r="D1001">
        <v>184.88</v>
      </c>
      <c r="E1001">
        <f t="shared" si="15"/>
        <v>81.951180441557582</v>
      </c>
      <c r="F1001" t="str" cm="1">
        <f t="array" ref="F1001">INDEX({"Pay as you go","Prediction_PACK","Prediction_Payasyougo","Competitor"},MATCH(MIN(A1001:D1001), A1001:D1001, 0))</f>
        <v>Pay as you go</v>
      </c>
    </row>
    <row r="1002" spans="1:6" x14ac:dyDescent="0.25">
      <c r="A1002">
        <v>103.44807317018282</v>
      </c>
      <c r="B1002">
        <v>182.88</v>
      </c>
      <c r="C1002">
        <v>180.59859531919111</v>
      </c>
      <c r="D1002">
        <v>194.88</v>
      </c>
      <c r="E1002">
        <f t="shared" si="15"/>
        <v>103.44807317018282</v>
      </c>
      <c r="F1002" t="str" cm="1">
        <f t="array" ref="F1002">INDEX({"Pay as you go","Prediction_PACK","Prediction_Payasyougo","Competitor"},MATCH(MIN(A1002:D1002), A1002:D1002, 0))</f>
        <v>Pay as you go</v>
      </c>
    </row>
    <row r="1003" spans="1:6" x14ac:dyDescent="0.25">
      <c r="A1003">
        <v>141.6909517385223</v>
      </c>
      <c r="B1003">
        <v>167.88</v>
      </c>
      <c r="C1003">
        <v>179.88</v>
      </c>
      <c r="D1003">
        <v>179.88</v>
      </c>
      <c r="E1003">
        <f t="shared" si="15"/>
        <v>141.6909517385223</v>
      </c>
      <c r="F1003" t="str" cm="1">
        <f t="array" ref="F1003">INDEX({"Pay as you go","Prediction_PACK","Prediction_Payasyougo","Competitor"},MATCH(MIN(A1003:D1003), A1003:D1003, 0))</f>
        <v>Pay as you go</v>
      </c>
    </row>
    <row r="1004" spans="1:6" x14ac:dyDescent="0.25">
      <c r="A1004">
        <v>144.44928633791727</v>
      </c>
      <c r="B1004">
        <v>171.88</v>
      </c>
      <c r="C1004">
        <v>179.88</v>
      </c>
      <c r="D1004">
        <v>184.88</v>
      </c>
      <c r="E1004">
        <f t="shared" si="15"/>
        <v>144.44928633791727</v>
      </c>
      <c r="F1004" t="str" cm="1">
        <f t="array" ref="F1004">INDEX({"Pay as you go","Prediction_PACK","Prediction_Payasyougo","Competitor"},MATCH(MIN(A1004:D1004), A1004:D1004, 0))</f>
        <v>Pay as you go</v>
      </c>
    </row>
    <row r="1005" spans="1:6" x14ac:dyDescent="0.25">
      <c r="A1005">
        <v>95.494493855775346</v>
      </c>
      <c r="B1005">
        <v>175.88</v>
      </c>
      <c r="C1005">
        <v>179.88</v>
      </c>
      <c r="D1005">
        <v>189.88</v>
      </c>
      <c r="E1005">
        <f t="shared" si="15"/>
        <v>95.494493855775346</v>
      </c>
      <c r="F1005" t="str" cm="1">
        <f t="array" ref="F1005">INDEX({"Pay as you go","Prediction_PACK","Prediction_Payasyougo","Competitor"},MATCH(MIN(A1005:D1005), A1005:D1005, 0))</f>
        <v>Pay as you go</v>
      </c>
    </row>
    <row r="1006" spans="1:6" x14ac:dyDescent="0.25">
      <c r="A1006">
        <v>95.459171675085997</v>
      </c>
      <c r="B1006">
        <v>182.88</v>
      </c>
      <c r="C1006">
        <v>179.88</v>
      </c>
      <c r="D1006">
        <v>194.88</v>
      </c>
      <c r="E1006">
        <f t="shared" si="15"/>
        <v>95.459171675085997</v>
      </c>
      <c r="F1006" t="str" cm="1">
        <f t="array" ref="F1006">INDEX({"Pay as you go","Prediction_PACK","Prediction_Payasyougo","Competitor"},MATCH(MIN(A1006:D1006), A1006:D1006, 0))</f>
        <v>Pay as you go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Switch S Pack</vt:lpstr>
      <vt:lpstr>Switch M pack</vt:lpstr>
      <vt:lpstr>Switch L 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Chinmaya M</dc:creator>
  <cp:lastModifiedBy>Chinmaya Murthy</cp:lastModifiedBy>
  <dcterms:created xsi:type="dcterms:W3CDTF">2025-03-13T11:51:31Z</dcterms:created>
  <dcterms:modified xsi:type="dcterms:W3CDTF">2025-03-21T12:04:40Z</dcterms:modified>
</cp:coreProperties>
</file>