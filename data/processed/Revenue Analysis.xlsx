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22B2CF71-F8CD-47BD-923A-916CF1F31D48}" xr6:coauthVersionLast="47" xr6:coauthVersionMax="47" xr10:uidLastSave="{00000000-0000-0000-0000-000000000000}"/>
  <bookViews>
    <workbookView xWindow="-120" yWindow="-120" windowWidth="29040" windowHeight="15720" activeTab="4" xr2:uid="{40CA53AF-CC2B-41DE-9817-51D6455EF7EE}"/>
  </bookViews>
  <sheets>
    <sheet name="Combined_Data" sheetId="1" r:id="rId1"/>
    <sheet name="Pay as you go" sheetId="3" r:id="rId2"/>
    <sheet name="Reduced Tarrif" sheetId="6" r:id="rId3"/>
    <sheet name="Revenue Analysis" sheetId="2" r:id="rId4"/>
    <sheet name="Statistical Analysis" sheetId="10" r:id="rId5"/>
  </sheets>
  <definedNames>
    <definedName name="_xlnm._FilterDatabase" localSheetId="0" hidden="1">Combined_Data!$A$2:$AO$1002</definedName>
    <definedName name="_xlnm._FilterDatabase" localSheetId="2" hidden="1">'Reduced Tarrif'!$A$2:$AO$595</definedName>
    <definedName name="_xlchart.v1.0" hidden="1">'Statistical Analysis'!$A$2:$A$1001</definedName>
    <definedName name="_xlchart.v1.1" hidden="1">'Statistical Analysis'!$N$1</definedName>
    <definedName name="_xlchart.v1.2" hidden="1">'Statistical Analysis'!$N$2:$N$1001</definedName>
    <definedName name="_xlchart.v1.3" hidden="1">'Statistical Analysis'!$AE$1</definedName>
    <definedName name="_xlchart.v1.4" hidden="1">'Statistical Analysis'!$AE$2:$AE$12001</definedName>
    <definedName name="_xlchart.v1.5" hidden="1">'Statistical Analysis'!$N$1</definedName>
    <definedName name="_xlchart.v1.6" hidden="1">'Statistical Analysis'!$N$2:$N$1001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3" i="10" l="1"/>
  <c r="S72" i="10"/>
  <c r="N1001" i="10" l="1"/>
  <c r="N1000" i="10"/>
  <c r="N999" i="10"/>
  <c r="N998" i="10"/>
  <c r="N997" i="10"/>
  <c r="N996" i="10"/>
  <c r="N995" i="10"/>
  <c r="N994" i="10"/>
  <c r="N993" i="10"/>
  <c r="N992" i="10"/>
  <c r="N991" i="10"/>
  <c r="N990" i="10"/>
  <c r="N989" i="10"/>
  <c r="N988" i="10"/>
  <c r="N987" i="10"/>
  <c r="N986" i="10"/>
  <c r="N985" i="10"/>
  <c r="N984" i="10"/>
  <c r="N983" i="10"/>
  <c r="N982" i="10"/>
  <c r="N981" i="10"/>
  <c r="N980" i="10"/>
  <c r="N979" i="10"/>
  <c r="N978" i="10"/>
  <c r="N977" i="10"/>
  <c r="N976" i="10"/>
  <c r="N975" i="10"/>
  <c r="N974" i="10"/>
  <c r="N973" i="10"/>
  <c r="N972" i="10"/>
  <c r="N971" i="10"/>
  <c r="N970" i="10"/>
  <c r="N969" i="10"/>
  <c r="N968" i="10"/>
  <c r="N967" i="10"/>
  <c r="N966" i="10"/>
  <c r="N965" i="10"/>
  <c r="N964" i="10"/>
  <c r="N963" i="10"/>
  <c r="N962" i="10"/>
  <c r="N961" i="10"/>
  <c r="N960" i="10"/>
  <c r="N959" i="10"/>
  <c r="N958" i="10"/>
  <c r="N957" i="10"/>
  <c r="N956" i="10"/>
  <c r="N955" i="10"/>
  <c r="N954" i="10"/>
  <c r="N953" i="10"/>
  <c r="N952" i="10"/>
  <c r="N951" i="10"/>
  <c r="N950" i="10"/>
  <c r="N949" i="10"/>
  <c r="N948" i="10"/>
  <c r="N947" i="10"/>
  <c r="N946" i="10"/>
  <c r="N945" i="10"/>
  <c r="N944" i="10"/>
  <c r="N943" i="10"/>
  <c r="N942" i="10"/>
  <c r="N941" i="10"/>
  <c r="N940" i="10"/>
  <c r="N939" i="10"/>
  <c r="N938" i="10"/>
  <c r="N937" i="10"/>
  <c r="N936" i="10"/>
  <c r="N935" i="10"/>
  <c r="N934" i="10"/>
  <c r="N933" i="10"/>
  <c r="N932" i="10"/>
  <c r="N931" i="10"/>
  <c r="N930" i="10"/>
  <c r="N929" i="10"/>
  <c r="N928" i="10"/>
  <c r="N927" i="10"/>
  <c r="N926" i="10"/>
  <c r="N925" i="10"/>
  <c r="N924" i="10"/>
  <c r="N923" i="10"/>
  <c r="N922" i="10"/>
  <c r="N921" i="10"/>
  <c r="N920" i="10"/>
  <c r="N919" i="10"/>
  <c r="N918" i="10"/>
  <c r="N917" i="10"/>
  <c r="N916" i="10"/>
  <c r="N915" i="10"/>
  <c r="N914" i="10"/>
  <c r="N913" i="10"/>
  <c r="N912" i="10"/>
  <c r="N911" i="10"/>
  <c r="N910" i="10"/>
  <c r="N909" i="10"/>
  <c r="N908" i="10"/>
  <c r="N907" i="10"/>
  <c r="N906" i="10"/>
  <c r="N905" i="10"/>
  <c r="N904" i="10"/>
  <c r="N903" i="10"/>
  <c r="N902" i="10"/>
  <c r="N901" i="10"/>
  <c r="N900" i="10"/>
  <c r="N899" i="10"/>
  <c r="N898" i="10"/>
  <c r="N897" i="10"/>
  <c r="N896" i="10"/>
  <c r="N895" i="10"/>
  <c r="N894" i="10"/>
  <c r="N893" i="10"/>
  <c r="N892" i="10"/>
  <c r="N891" i="10"/>
  <c r="N890" i="10"/>
  <c r="N889" i="10"/>
  <c r="N888" i="10"/>
  <c r="N887" i="10"/>
  <c r="N886" i="10"/>
  <c r="N885" i="10"/>
  <c r="N884" i="10"/>
  <c r="N883" i="10"/>
  <c r="N882" i="10"/>
  <c r="N881" i="10"/>
  <c r="N880" i="10"/>
  <c r="N879" i="10"/>
  <c r="N878" i="10"/>
  <c r="N877" i="10"/>
  <c r="N876" i="10"/>
  <c r="N875" i="10"/>
  <c r="N874" i="10"/>
  <c r="N873" i="10"/>
  <c r="N872" i="10"/>
  <c r="N871" i="10"/>
  <c r="N870" i="10"/>
  <c r="N869" i="10"/>
  <c r="N868" i="10"/>
  <c r="N867" i="10"/>
  <c r="N866" i="10"/>
  <c r="N865" i="10"/>
  <c r="N864" i="10"/>
  <c r="N863" i="10"/>
  <c r="N862" i="10"/>
  <c r="N861" i="10"/>
  <c r="N860" i="10"/>
  <c r="N859" i="10"/>
  <c r="N858" i="10"/>
  <c r="N857" i="10"/>
  <c r="N856" i="10"/>
  <c r="N855" i="10"/>
  <c r="N854" i="10"/>
  <c r="N853" i="10"/>
  <c r="N852" i="10"/>
  <c r="N851" i="10"/>
  <c r="N850" i="10"/>
  <c r="N849" i="10"/>
  <c r="N848" i="10"/>
  <c r="N847" i="10"/>
  <c r="N846" i="10"/>
  <c r="N845" i="10"/>
  <c r="N844" i="10"/>
  <c r="N843" i="10"/>
  <c r="N842" i="10"/>
  <c r="N841" i="10"/>
  <c r="N840" i="10"/>
  <c r="N839" i="10"/>
  <c r="N838" i="10"/>
  <c r="N837" i="10"/>
  <c r="N836" i="10"/>
  <c r="N835" i="10"/>
  <c r="N834" i="10"/>
  <c r="N833" i="10"/>
  <c r="N832" i="10"/>
  <c r="N831" i="10"/>
  <c r="N830" i="10"/>
  <c r="N829" i="10"/>
  <c r="N828" i="10"/>
  <c r="N827" i="10"/>
  <c r="N826" i="10"/>
  <c r="N825" i="10"/>
  <c r="N824" i="10"/>
  <c r="N823" i="10"/>
  <c r="N822" i="10"/>
  <c r="N821" i="10"/>
  <c r="N820" i="10"/>
  <c r="N819" i="10"/>
  <c r="N818" i="10"/>
  <c r="N817" i="10"/>
  <c r="N816" i="10"/>
  <c r="N815" i="10"/>
  <c r="N814" i="10"/>
  <c r="N813" i="10"/>
  <c r="N812" i="10"/>
  <c r="N811" i="10"/>
  <c r="N810" i="10"/>
  <c r="N809" i="10"/>
  <c r="N808" i="10"/>
  <c r="N807" i="10"/>
  <c r="N806" i="10"/>
  <c r="N805" i="10"/>
  <c r="N804" i="10"/>
  <c r="N803" i="10"/>
  <c r="N802" i="10"/>
  <c r="N801" i="10"/>
  <c r="N800" i="10"/>
  <c r="N799" i="10"/>
  <c r="N798" i="10"/>
  <c r="N797" i="10"/>
  <c r="N796" i="10"/>
  <c r="N795" i="10"/>
  <c r="N794" i="10"/>
  <c r="N793" i="10"/>
  <c r="N792" i="10"/>
  <c r="N791" i="10"/>
  <c r="N790" i="10"/>
  <c r="N789" i="10"/>
  <c r="N788" i="10"/>
  <c r="N787" i="10"/>
  <c r="N786" i="10"/>
  <c r="N785" i="10"/>
  <c r="N784" i="10"/>
  <c r="N783" i="10"/>
  <c r="N782" i="10"/>
  <c r="N781" i="10"/>
  <c r="N780" i="10"/>
  <c r="N779" i="10"/>
  <c r="N778" i="10"/>
  <c r="N777" i="10"/>
  <c r="N776" i="10"/>
  <c r="N775" i="10"/>
  <c r="N774" i="10"/>
  <c r="N773" i="10"/>
  <c r="N772" i="10"/>
  <c r="N771" i="10"/>
  <c r="N770" i="10"/>
  <c r="N769" i="10"/>
  <c r="N768" i="10"/>
  <c r="N767" i="10"/>
  <c r="N766" i="10"/>
  <c r="N765" i="10"/>
  <c r="N764" i="10"/>
  <c r="N763" i="10"/>
  <c r="N762" i="10"/>
  <c r="N761" i="10"/>
  <c r="N760" i="10"/>
  <c r="N759" i="10"/>
  <c r="N758" i="10"/>
  <c r="N757" i="10"/>
  <c r="N756" i="10"/>
  <c r="N755" i="10"/>
  <c r="N754" i="10"/>
  <c r="N753" i="10"/>
  <c r="N752" i="10"/>
  <c r="N751" i="10"/>
  <c r="N750" i="10"/>
  <c r="N749" i="10"/>
  <c r="N748" i="10"/>
  <c r="N747" i="10"/>
  <c r="N746" i="10"/>
  <c r="N745" i="10"/>
  <c r="N744" i="10"/>
  <c r="N743" i="10"/>
  <c r="N742" i="10"/>
  <c r="N741" i="10"/>
  <c r="N740" i="10"/>
  <c r="N739" i="10"/>
  <c r="N738" i="10"/>
  <c r="N737" i="10"/>
  <c r="N736" i="10"/>
  <c r="N735" i="10"/>
  <c r="N734" i="10"/>
  <c r="N733" i="10"/>
  <c r="N732" i="10"/>
  <c r="N731" i="10"/>
  <c r="N730" i="10"/>
  <c r="N729" i="10"/>
  <c r="N728" i="10"/>
  <c r="N727" i="10"/>
  <c r="N726" i="10"/>
  <c r="N725" i="10"/>
  <c r="N724" i="10"/>
  <c r="N723" i="10"/>
  <c r="N722" i="10"/>
  <c r="N721" i="10"/>
  <c r="N720" i="10"/>
  <c r="N719" i="10"/>
  <c r="N718" i="10"/>
  <c r="N717" i="10"/>
  <c r="N716" i="10"/>
  <c r="N715" i="10"/>
  <c r="N714" i="10"/>
  <c r="N713" i="10"/>
  <c r="N712" i="10"/>
  <c r="N711" i="10"/>
  <c r="N710" i="10"/>
  <c r="N709" i="10"/>
  <c r="N708" i="10"/>
  <c r="N707" i="10"/>
  <c r="N706" i="10"/>
  <c r="N705" i="10"/>
  <c r="N704" i="10"/>
  <c r="N703" i="10"/>
  <c r="N702" i="10"/>
  <c r="N701" i="10"/>
  <c r="N700" i="10"/>
  <c r="N699" i="10"/>
  <c r="N698" i="10"/>
  <c r="N697" i="10"/>
  <c r="N696" i="10"/>
  <c r="N695" i="10"/>
  <c r="N694" i="10"/>
  <c r="N693" i="10"/>
  <c r="N692" i="10"/>
  <c r="N691" i="10"/>
  <c r="N690" i="10"/>
  <c r="N689" i="10"/>
  <c r="N688" i="10"/>
  <c r="N687" i="10"/>
  <c r="N686" i="10"/>
  <c r="N685" i="10"/>
  <c r="N684" i="10"/>
  <c r="N683" i="10"/>
  <c r="N682" i="10"/>
  <c r="N681" i="10"/>
  <c r="N680" i="10"/>
  <c r="N679" i="10"/>
  <c r="N678" i="10"/>
  <c r="N677" i="10"/>
  <c r="N676" i="10"/>
  <c r="N675" i="10"/>
  <c r="N674" i="10"/>
  <c r="N673" i="10"/>
  <c r="N672" i="10"/>
  <c r="N671" i="10"/>
  <c r="N670" i="10"/>
  <c r="N669" i="10"/>
  <c r="N668" i="10"/>
  <c r="N667" i="10"/>
  <c r="N666" i="10"/>
  <c r="N665" i="10"/>
  <c r="N664" i="10"/>
  <c r="N663" i="10"/>
  <c r="N662" i="10"/>
  <c r="N661" i="10"/>
  <c r="N660" i="10"/>
  <c r="N659" i="10"/>
  <c r="N658" i="10"/>
  <c r="N657" i="10"/>
  <c r="N656" i="10"/>
  <c r="N655" i="10"/>
  <c r="N654" i="10"/>
  <c r="N653" i="10"/>
  <c r="N652" i="10"/>
  <c r="N651" i="10"/>
  <c r="N650" i="10"/>
  <c r="N649" i="10"/>
  <c r="N648" i="10"/>
  <c r="N647" i="10"/>
  <c r="N646" i="10"/>
  <c r="N645" i="10"/>
  <c r="N644" i="10"/>
  <c r="N643" i="10"/>
  <c r="N642" i="10"/>
  <c r="N641" i="10"/>
  <c r="N640" i="10"/>
  <c r="N639" i="10"/>
  <c r="N638" i="10"/>
  <c r="N637" i="10"/>
  <c r="N636" i="10"/>
  <c r="N635" i="10"/>
  <c r="N634" i="10"/>
  <c r="N633" i="10"/>
  <c r="N632" i="10"/>
  <c r="N631" i="10"/>
  <c r="N630" i="10"/>
  <c r="N629" i="10"/>
  <c r="N628" i="10"/>
  <c r="N627" i="10"/>
  <c r="N626" i="10"/>
  <c r="N625" i="10"/>
  <c r="N624" i="10"/>
  <c r="N623" i="10"/>
  <c r="N622" i="10"/>
  <c r="N621" i="10"/>
  <c r="N620" i="10"/>
  <c r="N619" i="10"/>
  <c r="N618" i="10"/>
  <c r="N617" i="10"/>
  <c r="N616" i="10"/>
  <c r="N615" i="10"/>
  <c r="N614" i="10"/>
  <c r="N613" i="10"/>
  <c r="N612" i="10"/>
  <c r="N611" i="10"/>
  <c r="N610" i="10"/>
  <c r="N609" i="10"/>
  <c r="N608" i="10"/>
  <c r="N607" i="10"/>
  <c r="N606" i="10"/>
  <c r="N605" i="10"/>
  <c r="N604" i="10"/>
  <c r="N603" i="10"/>
  <c r="N602" i="10"/>
  <c r="N601" i="10"/>
  <c r="N600" i="10"/>
  <c r="N599" i="10"/>
  <c r="N598" i="10"/>
  <c r="N597" i="10"/>
  <c r="N596" i="10"/>
  <c r="N595" i="10"/>
  <c r="N594" i="10"/>
  <c r="N593" i="10"/>
  <c r="N592" i="10"/>
  <c r="N591" i="10"/>
  <c r="N590" i="10"/>
  <c r="N589" i="10"/>
  <c r="N588" i="10"/>
  <c r="N587" i="10"/>
  <c r="N586" i="10"/>
  <c r="N585" i="10"/>
  <c r="N584" i="10"/>
  <c r="N583" i="10"/>
  <c r="N582" i="10"/>
  <c r="N581" i="10"/>
  <c r="N580" i="10"/>
  <c r="N579" i="10"/>
  <c r="N578" i="10"/>
  <c r="N577" i="10"/>
  <c r="N576" i="10"/>
  <c r="N575" i="10"/>
  <c r="N574" i="10"/>
  <c r="N573" i="10"/>
  <c r="N572" i="10"/>
  <c r="N571" i="10"/>
  <c r="N570" i="10"/>
  <c r="N569" i="10"/>
  <c r="N568" i="10"/>
  <c r="N567" i="10"/>
  <c r="N566" i="10"/>
  <c r="N565" i="10"/>
  <c r="N564" i="10"/>
  <c r="N563" i="10"/>
  <c r="N562" i="10"/>
  <c r="N561" i="10"/>
  <c r="N560" i="10"/>
  <c r="N559" i="10"/>
  <c r="N558" i="10"/>
  <c r="N557" i="10"/>
  <c r="N556" i="10"/>
  <c r="N555" i="10"/>
  <c r="N554" i="10"/>
  <c r="N553" i="10"/>
  <c r="N552" i="10"/>
  <c r="N551" i="10"/>
  <c r="N550" i="10"/>
  <c r="N549" i="10"/>
  <c r="N548" i="10"/>
  <c r="N547" i="10"/>
  <c r="N546" i="10"/>
  <c r="N545" i="10"/>
  <c r="N544" i="10"/>
  <c r="N543" i="10"/>
  <c r="N542" i="10"/>
  <c r="N541" i="10"/>
  <c r="N540" i="10"/>
  <c r="N539" i="10"/>
  <c r="N538" i="10"/>
  <c r="N537" i="10"/>
  <c r="N536" i="10"/>
  <c r="N535" i="10"/>
  <c r="N534" i="10"/>
  <c r="N533" i="10"/>
  <c r="N532" i="10"/>
  <c r="N531" i="10"/>
  <c r="N530" i="10"/>
  <c r="N529" i="10"/>
  <c r="N528" i="10"/>
  <c r="N527" i="10"/>
  <c r="N526" i="10"/>
  <c r="N525" i="10"/>
  <c r="N524" i="10"/>
  <c r="N523" i="10"/>
  <c r="N522" i="10"/>
  <c r="N521" i="10"/>
  <c r="N520" i="10"/>
  <c r="N519" i="10"/>
  <c r="N518" i="10"/>
  <c r="N517" i="10"/>
  <c r="N516" i="10"/>
  <c r="N515" i="10"/>
  <c r="N514" i="10"/>
  <c r="N513" i="10"/>
  <c r="N512" i="10"/>
  <c r="N511" i="10"/>
  <c r="N510" i="10"/>
  <c r="N509" i="10"/>
  <c r="N508" i="10"/>
  <c r="N507" i="10"/>
  <c r="N506" i="10"/>
  <c r="N505" i="10"/>
  <c r="N504" i="10"/>
  <c r="N503" i="10"/>
  <c r="N502" i="10"/>
  <c r="N501" i="10"/>
  <c r="N500" i="10"/>
  <c r="N499" i="10"/>
  <c r="N498" i="10"/>
  <c r="N497" i="10"/>
  <c r="N496" i="10"/>
  <c r="N495" i="10"/>
  <c r="N494" i="10"/>
  <c r="N493" i="10"/>
  <c r="N492" i="10"/>
  <c r="N491" i="10"/>
  <c r="N490" i="10"/>
  <c r="N489" i="10"/>
  <c r="N488" i="10"/>
  <c r="N487" i="10"/>
  <c r="N486" i="10"/>
  <c r="N485" i="10"/>
  <c r="N484" i="10"/>
  <c r="N483" i="10"/>
  <c r="N482" i="10"/>
  <c r="N481" i="10"/>
  <c r="N480" i="10"/>
  <c r="N479" i="10"/>
  <c r="N478" i="10"/>
  <c r="N477" i="10"/>
  <c r="N476" i="10"/>
  <c r="N475" i="10"/>
  <c r="N474" i="10"/>
  <c r="N473" i="10"/>
  <c r="N472" i="10"/>
  <c r="N471" i="10"/>
  <c r="N470" i="10"/>
  <c r="N469" i="10"/>
  <c r="N468" i="10"/>
  <c r="N467" i="10"/>
  <c r="N466" i="10"/>
  <c r="N465" i="10"/>
  <c r="N464" i="10"/>
  <c r="N463" i="10"/>
  <c r="N462" i="10"/>
  <c r="N461" i="10"/>
  <c r="N460" i="10"/>
  <c r="N459" i="10"/>
  <c r="N458" i="10"/>
  <c r="N457" i="10"/>
  <c r="N456" i="10"/>
  <c r="N455" i="10"/>
  <c r="N454" i="10"/>
  <c r="N453" i="10"/>
  <c r="N452" i="10"/>
  <c r="N451" i="10"/>
  <c r="N450" i="10"/>
  <c r="N449" i="10"/>
  <c r="N448" i="10"/>
  <c r="N447" i="10"/>
  <c r="N446" i="10"/>
  <c r="N445" i="10"/>
  <c r="N444" i="10"/>
  <c r="N443" i="10"/>
  <c r="N442" i="10"/>
  <c r="N441" i="10"/>
  <c r="N440" i="10"/>
  <c r="N439" i="10"/>
  <c r="N438" i="10"/>
  <c r="N437" i="10"/>
  <c r="N436" i="10"/>
  <c r="N435" i="10"/>
  <c r="N434" i="10"/>
  <c r="N433" i="10"/>
  <c r="N432" i="10"/>
  <c r="N431" i="10"/>
  <c r="N430" i="10"/>
  <c r="N429" i="10"/>
  <c r="N428" i="10"/>
  <c r="N427" i="10"/>
  <c r="N426" i="10"/>
  <c r="N425" i="10"/>
  <c r="N424" i="10"/>
  <c r="N423" i="10"/>
  <c r="N422" i="10"/>
  <c r="N421" i="10"/>
  <c r="N420" i="10"/>
  <c r="N419" i="10"/>
  <c r="N418" i="10"/>
  <c r="N417" i="10"/>
  <c r="N416" i="10"/>
  <c r="N415" i="10"/>
  <c r="N414" i="10"/>
  <c r="N413" i="10"/>
  <c r="N412" i="10"/>
  <c r="N411" i="10"/>
  <c r="N410" i="10"/>
  <c r="N409" i="10"/>
  <c r="N408" i="10"/>
  <c r="N407" i="10"/>
  <c r="N406" i="10"/>
  <c r="N405" i="10"/>
  <c r="N404" i="10"/>
  <c r="N403" i="10"/>
  <c r="N402" i="10"/>
  <c r="N401" i="10"/>
  <c r="N400" i="10"/>
  <c r="N399" i="10"/>
  <c r="N398" i="10"/>
  <c r="N397" i="10"/>
  <c r="N396" i="10"/>
  <c r="N395" i="10"/>
  <c r="N394" i="10"/>
  <c r="N393" i="10"/>
  <c r="N392" i="10"/>
  <c r="N391" i="10"/>
  <c r="N390" i="10"/>
  <c r="N389" i="10"/>
  <c r="N388" i="10"/>
  <c r="N387" i="10"/>
  <c r="N386" i="10"/>
  <c r="N385" i="10"/>
  <c r="N384" i="10"/>
  <c r="N383" i="10"/>
  <c r="N382" i="10"/>
  <c r="N381" i="10"/>
  <c r="N380" i="10"/>
  <c r="N379" i="10"/>
  <c r="N378" i="10"/>
  <c r="N377" i="10"/>
  <c r="N376" i="10"/>
  <c r="N375" i="10"/>
  <c r="N374" i="10"/>
  <c r="N373" i="10"/>
  <c r="N372" i="10"/>
  <c r="N371" i="10"/>
  <c r="N370" i="10"/>
  <c r="N369" i="10"/>
  <c r="N368" i="10"/>
  <c r="N367" i="10"/>
  <c r="N366" i="10"/>
  <c r="N365" i="10"/>
  <c r="N364" i="10"/>
  <c r="N363" i="10"/>
  <c r="N362" i="10"/>
  <c r="N361" i="10"/>
  <c r="N360" i="10"/>
  <c r="N359" i="10"/>
  <c r="N358" i="10"/>
  <c r="N357" i="10"/>
  <c r="N356" i="10"/>
  <c r="N355" i="10"/>
  <c r="N354" i="10"/>
  <c r="N353" i="10"/>
  <c r="N352" i="10"/>
  <c r="N351" i="10"/>
  <c r="N350" i="10"/>
  <c r="N349" i="10"/>
  <c r="N348" i="10"/>
  <c r="N347" i="10"/>
  <c r="N346" i="10"/>
  <c r="N345" i="10"/>
  <c r="N344" i="10"/>
  <c r="N343" i="10"/>
  <c r="N342" i="10"/>
  <c r="N341" i="10"/>
  <c r="N340" i="10"/>
  <c r="N339" i="10"/>
  <c r="N338" i="10"/>
  <c r="N337" i="10"/>
  <c r="N336" i="10"/>
  <c r="N335" i="10"/>
  <c r="N334" i="10"/>
  <c r="N333" i="10"/>
  <c r="N332" i="10"/>
  <c r="N331" i="10"/>
  <c r="N330" i="10"/>
  <c r="N329" i="10"/>
  <c r="N328" i="10"/>
  <c r="N327" i="10"/>
  <c r="N326" i="10"/>
  <c r="N325" i="10"/>
  <c r="N324" i="10"/>
  <c r="N323" i="10"/>
  <c r="N322" i="10"/>
  <c r="N321" i="10"/>
  <c r="N320" i="10"/>
  <c r="N319" i="10"/>
  <c r="N318" i="10"/>
  <c r="N317" i="10"/>
  <c r="N316" i="10"/>
  <c r="N315" i="10"/>
  <c r="N314" i="10"/>
  <c r="N313" i="10"/>
  <c r="N312" i="10"/>
  <c r="N311" i="10"/>
  <c r="N310" i="10"/>
  <c r="N309" i="10"/>
  <c r="N308" i="10"/>
  <c r="N307" i="10"/>
  <c r="N306" i="10"/>
  <c r="N305" i="10"/>
  <c r="N304" i="10"/>
  <c r="N303" i="10"/>
  <c r="N302" i="10"/>
  <c r="N301" i="10"/>
  <c r="N300" i="10"/>
  <c r="N299" i="10"/>
  <c r="N298" i="10"/>
  <c r="N297" i="10"/>
  <c r="N296" i="10"/>
  <c r="N295" i="10"/>
  <c r="N294" i="10"/>
  <c r="N293" i="10"/>
  <c r="N292" i="10"/>
  <c r="N291" i="10"/>
  <c r="N290" i="10"/>
  <c r="N289" i="10"/>
  <c r="N288" i="10"/>
  <c r="N287" i="10"/>
  <c r="N286" i="10"/>
  <c r="N285" i="10"/>
  <c r="N284" i="10"/>
  <c r="N283" i="10"/>
  <c r="N282" i="10"/>
  <c r="N281" i="10"/>
  <c r="N280" i="10"/>
  <c r="N279" i="10"/>
  <c r="N278" i="10"/>
  <c r="N277" i="10"/>
  <c r="N276" i="10"/>
  <c r="N275" i="10"/>
  <c r="N274" i="10"/>
  <c r="N273" i="10"/>
  <c r="N272" i="10"/>
  <c r="N271" i="10"/>
  <c r="N270" i="10"/>
  <c r="N269" i="10"/>
  <c r="N268" i="10"/>
  <c r="N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N243" i="10"/>
  <c r="N242" i="10"/>
  <c r="N241" i="10"/>
  <c r="N240" i="10"/>
  <c r="N239" i="10"/>
  <c r="N238" i="10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N219" i="10"/>
  <c r="N218" i="10"/>
  <c r="N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3" i="6"/>
  <c r="N3" i="6"/>
  <c r="B11" i="2"/>
  <c r="B3" i="2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3" i="3"/>
  <c r="B8" i="2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3" i="3"/>
  <c r="B7" i="2" s="1"/>
  <c r="B6" i="2"/>
  <c r="B2" i="2"/>
  <c r="AO1002" i="1"/>
  <c r="AA1002" i="1"/>
  <c r="N1002" i="1"/>
  <c r="AO1001" i="1"/>
  <c r="AA1001" i="1"/>
  <c r="N1001" i="1"/>
  <c r="AO1000" i="1"/>
  <c r="AA1000" i="1"/>
  <c r="N1000" i="1"/>
  <c r="AO999" i="1"/>
  <c r="AA999" i="1"/>
  <c r="N999" i="1"/>
  <c r="AO998" i="1"/>
  <c r="AA998" i="1"/>
  <c r="N998" i="1"/>
  <c r="AO997" i="1"/>
  <c r="AA997" i="1"/>
  <c r="N997" i="1"/>
  <c r="AO996" i="1"/>
  <c r="AA996" i="1"/>
  <c r="N996" i="1"/>
  <c r="AO995" i="1"/>
  <c r="AA995" i="1"/>
  <c r="N995" i="1"/>
  <c r="AO994" i="1"/>
  <c r="AA994" i="1"/>
  <c r="N994" i="1"/>
  <c r="AO993" i="1"/>
  <c r="AA993" i="1"/>
  <c r="N993" i="1"/>
  <c r="AO992" i="1"/>
  <c r="AA992" i="1"/>
  <c r="N992" i="1"/>
  <c r="AO991" i="1"/>
  <c r="AA991" i="1"/>
  <c r="N991" i="1"/>
  <c r="AO990" i="1"/>
  <c r="AA990" i="1"/>
  <c r="N990" i="1"/>
  <c r="AO989" i="1"/>
  <c r="AA989" i="1"/>
  <c r="N989" i="1"/>
  <c r="AO988" i="1"/>
  <c r="AA988" i="1"/>
  <c r="N988" i="1"/>
  <c r="AO987" i="1"/>
  <c r="AA987" i="1"/>
  <c r="N987" i="1"/>
  <c r="AO986" i="1"/>
  <c r="AA986" i="1"/>
  <c r="N986" i="1"/>
  <c r="AO985" i="1"/>
  <c r="AA985" i="1"/>
  <c r="N985" i="1"/>
  <c r="AO984" i="1"/>
  <c r="AA984" i="1"/>
  <c r="N984" i="1"/>
  <c r="AO983" i="1"/>
  <c r="AA983" i="1"/>
  <c r="N983" i="1"/>
  <c r="AO982" i="1"/>
  <c r="AA982" i="1"/>
  <c r="N982" i="1"/>
  <c r="AO981" i="1"/>
  <c r="AA981" i="1"/>
  <c r="N981" i="1"/>
  <c r="AO980" i="1"/>
  <c r="AA980" i="1"/>
  <c r="N980" i="1"/>
  <c r="AO979" i="1"/>
  <c r="AA979" i="1"/>
  <c r="N979" i="1"/>
  <c r="AO978" i="1"/>
  <c r="AA978" i="1"/>
  <c r="N978" i="1"/>
  <c r="AO977" i="1"/>
  <c r="AA977" i="1"/>
  <c r="N977" i="1"/>
  <c r="AO976" i="1"/>
  <c r="AA976" i="1"/>
  <c r="N976" i="1"/>
  <c r="AO975" i="1"/>
  <c r="AA975" i="1"/>
  <c r="N975" i="1"/>
  <c r="AO974" i="1"/>
  <c r="AA974" i="1"/>
  <c r="N974" i="1"/>
  <c r="AO973" i="1"/>
  <c r="AA973" i="1"/>
  <c r="N973" i="1"/>
  <c r="AO972" i="1"/>
  <c r="AA972" i="1"/>
  <c r="N972" i="1"/>
  <c r="AO971" i="1"/>
  <c r="AA971" i="1"/>
  <c r="N971" i="1"/>
  <c r="AO970" i="1"/>
  <c r="AA970" i="1"/>
  <c r="N970" i="1"/>
  <c r="AO969" i="1"/>
  <c r="AA969" i="1"/>
  <c r="N969" i="1"/>
  <c r="AO968" i="1"/>
  <c r="AA968" i="1"/>
  <c r="N968" i="1"/>
  <c r="AO967" i="1"/>
  <c r="AA967" i="1"/>
  <c r="N967" i="1"/>
  <c r="AO966" i="1"/>
  <c r="AA966" i="1"/>
  <c r="N966" i="1"/>
  <c r="AO965" i="1"/>
  <c r="AA965" i="1"/>
  <c r="N965" i="1"/>
  <c r="AO964" i="1"/>
  <c r="AA964" i="1"/>
  <c r="N964" i="1"/>
  <c r="AO963" i="1"/>
  <c r="AA963" i="1"/>
  <c r="N963" i="1"/>
  <c r="AO962" i="1"/>
  <c r="AA962" i="1"/>
  <c r="N962" i="1"/>
  <c r="AO961" i="1"/>
  <c r="AA961" i="1"/>
  <c r="N961" i="1"/>
  <c r="AO960" i="1"/>
  <c r="AA960" i="1"/>
  <c r="N960" i="1"/>
  <c r="AO959" i="1"/>
  <c r="AA959" i="1"/>
  <c r="N959" i="1"/>
  <c r="AO958" i="1"/>
  <c r="AA958" i="1"/>
  <c r="N958" i="1"/>
  <c r="AO957" i="1"/>
  <c r="AA957" i="1"/>
  <c r="N957" i="1"/>
  <c r="AO956" i="1"/>
  <c r="AA956" i="1"/>
  <c r="N956" i="1"/>
  <c r="AO955" i="1"/>
  <c r="AA955" i="1"/>
  <c r="N955" i="1"/>
  <c r="AO954" i="1"/>
  <c r="AA954" i="1"/>
  <c r="N954" i="1"/>
  <c r="AO953" i="1"/>
  <c r="AA953" i="1"/>
  <c r="N953" i="1"/>
  <c r="AO952" i="1"/>
  <c r="AA952" i="1"/>
  <c r="N952" i="1"/>
  <c r="AO951" i="1"/>
  <c r="AA951" i="1"/>
  <c r="N951" i="1"/>
  <c r="AO950" i="1"/>
  <c r="AA950" i="1"/>
  <c r="N950" i="1"/>
  <c r="AO949" i="1"/>
  <c r="AA949" i="1"/>
  <c r="N949" i="1"/>
  <c r="AO948" i="1"/>
  <c r="AA948" i="1"/>
  <c r="N948" i="1"/>
  <c r="AO947" i="1"/>
  <c r="AA947" i="1"/>
  <c r="N947" i="1"/>
  <c r="AO946" i="1"/>
  <c r="AA946" i="1"/>
  <c r="N946" i="1"/>
  <c r="AO945" i="1"/>
  <c r="AA945" i="1"/>
  <c r="N945" i="1"/>
  <c r="AO944" i="1"/>
  <c r="AA944" i="1"/>
  <c r="N944" i="1"/>
  <c r="AO943" i="1"/>
  <c r="AA943" i="1"/>
  <c r="N943" i="1"/>
  <c r="AO942" i="1"/>
  <c r="AA942" i="1"/>
  <c r="N942" i="1"/>
  <c r="AO941" i="1"/>
  <c r="AA941" i="1"/>
  <c r="N941" i="1"/>
  <c r="AO940" i="1"/>
  <c r="AA940" i="1"/>
  <c r="N940" i="1"/>
  <c r="AO939" i="1"/>
  <c r="AA939" i="1"/>
  <c r="N939" i="1"/>
  <c r="AO938" i="1"/>
  <c r="AA938" i="1"/>
  <c r="N938" i="1"/>
  <c r="AO937" i="1"/>
  <c r="AA937" i="1"/>
  <c r="N937" i="1"/>
  <c r="AO936" i="1"/>
  <c r="AA936" i="1"/>
  <c r="N936" i="1"/>
  <c r="AO935" i="1"/>
  <c r="AA935" i="1"/>
  <c r="N935" i="1"/>
  <c r="AO934" i="1"/>
  <c r="AA934" i="1"/>
  <c r="N934" i="1"/>
  <c r="AO933" i="1"/>
  <c r="AA933" i="1"/>
  <c r="N933" i="1"/>
  <c r="AO932" i="1"/>
  <c r="AA932" i="1"/>
  <c r="N932" i="1"/>
  <c r="AO931" i="1"/>
  <c r="AA931" i="1"/>
  <c r="N931" i="1"/>
  <c r="AO930" i="1"/>
  <c r="AA930" i="1"/>
  <c r="N930" i="1"/>
  <c r="AO929" i="1"/>
  <c r="AA929" i="1"/>
  <c r="N929" i="1"/>
  <c r="AO928" i="1"/>
  <c r="AA928" i="1"/>
  <c r="N928" i="1"/>
  <c r="AO927" i="1"/>
  <c r="AA927" i="1"/>
  <c r="N927" i="1"/>
  <c r="AO926" i="1"/>
  <c r="AA926" i="1"/>
  <c r="N926" i="1"/>
  <c r="AO925" i="1"/>
  <c r="AA925" i="1"/>
  <c r="N925" i="1"/>
  <c r="AO924" i="1"/>
  <c r="AA924" i="1"/>
  <c r="N924" i="1"/>
  <c r="AO923" i="1"/>
  <c r="AA923" i="1"/>
  <c r="N923" i="1"/>
  <c r="AO922" i="1"/>
  <c r="AA922" i="1"/>
  <c r="N922" i="1"/>
  <c r="AO921" i="1"/>
  <c r="AA921" i="1"/>
  <c r="N921" i="1"/>
  <c r="AO920" i="1"/>
  <c r="AA920" i="1"/>
  <c r="N920" i="1"/>
  <c r="AO919" i="1"/>
  <c r="AA919" i="1"/>
  <c r="N919" i="1"/>
  <c r="AO918" i="1"/>
  <c r="AA918" i="1"/>
  <c r="N918" i="1"/>
  <c r="AO917" i="1"/>
  <c r="AA917" i="1"/>
  <c r="N917" i="1"/>
  <c r="AO916" i="1"/>
  <c r="AA916" i="1"/>
  <c r="N916" i="1"/>
  <c r="AO915" i="1"/>
  <c r="AA915" i="1"/>
  <c r="N915" i="1"/>
  <c r="AO914" i="1"/>
  <c r="AA914" i="1"/>
  <c r="N914" i="1"/>
  <c r="AO913" i="1"/>
  <c r="AA913" i="1"/>
  <c r="N913" i="1"/>
  <c r="AO912" i="1"/>
  <c r="AA912" i="1"/>
  <c r="N912" i="1"/>
  <c r="AO911" i="1"/>
  <c r="AA911" i="1"/>
  <c r="N911" i="1"/>
  <c r="AO910" i="1"/>
  <c r="AA910" i="1"/>
  <c r="N910" i="1"/>
  <c r="AO909" i="1"/>
  <c r="AA909" i="1"/>
  <c r="N909" i="1"/>
  <c r="AO908" i="1"/>
  <c r="AA908" i="1"/>
  <c r="N908" i="1"/>
  <c r="AO907" i="1"/>
  <c r="AA907" i="1"/>
  <c r="N907" i="1"/>
  <c r="AO906" i="1"/>
  <c r="AA906" i="1"/>
  <c r="N906" i="1"/>
  <c r="AO905" i="1"/>
  <c r="AA905" i="1"/>
  <c r="N905" i="1"/>
  <c r="AO904" i="1"/>
  <c r="AA904" i="1"/>
  <c r="N904" i="1"/>
  <c r="AO903" i="1"/>
  <c r="AA903" i="1"/>
  <c r="N903" i="1"/>
  <c r="AO902" i="1"/>
  <c r="AA902" i="1"/>
  <c r="N902" i="1"/>
  <c r="AO901" i="1"/>
  <c r="AA901" i="1"/>
  <c r="N901" i="1"/>
  <c r="AO900" i="1"/>
  <c r="AA900" i="1"/>
  <c r="N900" i="1"/>
  <c r="AO899" i="1"/>
  <c r="AA899" i="1"/>
  <c r="N899" i="1"/>
  <c r="AO898" i="1"/>
  <c r="AA898" i="1"/>
  <c r="N898" i="1"/>
  <c r="AO897" i="1"/>
  <c r="AA897" i="1"/>
  <c r="N897" i="1"/>
  <c r="AO896" i="1"/>
  <c r="AA896" i="1"/>
  <c r="N896" i="1"/>
  <c r="AO895" i="1"/>
  <c r="AA895" i="1"/>
  <c r="N895" i="1"/>
  <c r="AO894" i="1"/>
  <c r="AA894" i="1"/>
  <c r="N894" i="1"/>
  <c r="AO893" i="1"/>
  <c r="AA893" i="1"/>
  <c r="N893" i="1"/>
  <c r="AO892" i="1"/>
  <c r="AA892" i="1"/>
  <c r="N892" i="1"/>
  <c r="AO891" i="1"/>
  <c r="AA891" i="1"/>
  <c r="N891" i="1"/>
  <c r="AO890" i="1"/>
  <c r="AA890" i="1"/>
  <c r="N890" i="1"/>
  <c r="AO889" i="1"/>
  <c r="AA889" i="1"/>
  <c r="N889" i="1"/>
  <c r="AO888" i="1"/>
  <c r="AA888" i="1"/>
  <c r="N888" i="1"/>
  <c r="AO887" i="1"/>
  <c r="AA887" i="1"/>
  <c r="N887" i="1"/>
  <c r="AO886" i="1"/>
  <c r="AA886" i="1"/>
  <c r="N886" i="1"/>
  <c r="AO885" i="1"/>
  <c r="AA885" i="1"/>
  <c r="N885" i="1"/>
  <c r="AO884" i="1"/>
  <c r="AA884" i="1"/>
  <c r="N884" i="1"/>
  <c r="AO883" i="1"/>
  <c r="AA883" i="1"/>
  <c r="N883" i="1"/>
  <c r="AO882" i="1"/>
  <c r="AA882" i="1"/>
  <c r="N882" i="1"/>
  <c r="AO881" i="1"/>
  <c r="AA881" i="1"/>
  <c r="N881" i="1"/>
  <c r="AO880" i="1"/>
  <c r="AA880" i="1"/>
  <c r="N880" i="1"/>
  <c r="AO879" i="1"/>
  <c r="AA879" i="1"/>
  <c r="N879" i="1"/>
  <c r="AO878" i="1"/>
  <c r="AA878" i="1"/>
  <c r="N878" i="1"/>
  <c r="AO877" i="1"/>
  <c r="AA877" i="1"/>
  <c r="N877" i="1"/>
  <c r="AO876" i="1"/>
  <c r="AA876" i="1"/>
  <c r="N876" i="1"/>
  <c r="AO875" i="1"/>
  <c r="AA875" i="1"/>
  <c r="N875" i="1"/>
  <c r="AO874" i="1"/>
  <c r="AA874" i="1"/>
  <c r="N874" i="1"/>
  <c r="AO873" i="1"/>
  <c r="AA873" i="1"/>
  <c r="N873" i="1"/>
  <c r="AO872" i="1"/>
  <c r="AA872" i="1"/>
  <c r="N872" i="1"/>
  <c r="AO871" i="1"/>
  <c r="AA871" i="1"/>
  <c r="N871" i="1"/>
  <c r="AO870" i="1"/>
  <c r="AA870" i="1"/>
  <c r="N870" i="1"/>
  <c r="AO869" i="1"/>
  <c r="AA869" i="1"/>
  <c r="N869" i="1"/>
  <c r="AO868" i="1"/>
  <c r="AA868" i="1"/>
  <c r="N868" i="1"/>
  <c r="AO867" i="1"/>
  <c r="AA867" i="1"/>
  <c r="N867" i="1"/>
  <c r="AO866" i="1"/>
  <c r="AA866" i="1"/>
  <c r="N866" i="1"/>
  <c r="AO865" i="1"/>
  <c r="AA865" i="1"/>
  <c r="N865" i="1"/>
  <c r="AO864" i="1"/>
  <c r="AA864" i="1"/>
  <c r="N864" i="1"/>
  <c r="AO863" i="1"/>
  <c r="AA863" i="1"/>
  <c r="N863" i="1"/>
  <c r="AO862" i="1"/>
  <c r="AA862" i="1"/>
  <c r="N862" i="1"/>
  <c r="AO861" i="1"/>
  <c r="AA861" i="1"/>
  <c r="N861" i="1"/>
  <c r="AO860" i="1"/>
  <c r="AA860" i="1"/>
  <c r="N860" i="1"/>
  <c r="AO859" i="1"/>
  <c r="AA859" i="1"/>
  <c r="N859" i="1"/>
  <c r="AO858" i="1"/>
  <c r="AA858" i="1"/>
  <c r="N858" i="1"/>
  <c r="AO857" i="1"/>
  <c r="AA857" i="1"/>
  <c r="N857" i="1"/>
  <c r="AO856" i="1"/>
  <c r="AA856" i="1"/>
  <c r="N856" i="1"/>
  <c r="AO855" i="1"/>
  <c r="AA855" i="1"/>
  <c r="N855" i="1"/>
  <c r="AO854" i="1"/>
  <c r="AA854" i="1"/>
  <c r="N854" i="1"/>
  <c r="AO853" i="1"/>
  <c r="AA853" i="1"/>
  <c r="N853" i="1"/>
  <c r="AO852" i="1"/>
  <c r="AA852" i="1"/>
  <c r="N852" i="1"/>
  <c r="AO851" i="1"/>
  <c r="AA851" i="1"/>
  <c r="N851" i="1"/>
  <c r="AO850" i="1"/>
  <c r="AA850" i="1"/>
  <c r="N850" i="1"/>
  <c r="AO849" i="1"/>
  <c r="AA849" i="1"/>
  <c r="N849" i="1"/>
  <c r="AO848" i="1"/>
  <c r="AA848" i="1"/>
  <c r="N848" i="1"/>
  <c r="AO847" i="1"/>
  <c r="AA847" i="1"/>
  <c r="N847" i="1"/>
  <c r="AO846" i="1"/>
  <c r="AA846" i="1"/>
  <c r="N846" i="1"/>
  <c r="AO845" i="1"/>
  <c r="AA845" i="1"/>
  <c r="N845" i="1"/>
  <c r="AO844" i="1"/>
  <c r="AA844" i="1"/>
  <c r="N844" i="1"/>
  <c r="AO843" i="1"/>
  <c r="AA843" i="1"/>
  <c r="N843" i="1"/>
  <c r="AO842" i="1"/>
  <c r="AA842" i="1"/>
  <c r="N842" i="1"/>
  <c r="AO841" i="1"/>
  <c r="AA841" i="1"/>
  <c r="N841" i="1"/>
  <c r="AO840" i="1"/>
  <c r="AA840" i="1"/>
  <c r="N840" i="1"/>
  <c r="AO839" i="1"/>
  <c r="AA839" i="1"/>
  <c r="N839" i="1"/>
  <c r="AO838" i="1"/>
  <c r="AA838" i="1"/>
  <c r="N838" i="1"/>
  <c r="AO837" i="1"/>
  <c r="AA837" i="1"/>
  <c r="N837" i="1"/>
  <c r="AO836" i="1"/>
  <c r="AA836" i="1"/>
  <c r="N836" i="1"/>
  <c r="AO835" i="1"/>
  <c r="AA835" i="1"/>
  <c r="N835" i="1"/>
  <c r="AO834" i="1"/>
  <c r="AA834" i="1"/>
  <c r="N834" i="1"/>
  <c r="AO833" i="1"/>
  <c r="AA833" i="1"/>
  <c r="N833" i="1"/>
  <c r="AO832" i="1"/>
  <c r="AA832" i="1"/>
  <c r="N832" i="1"/>
  <c r="AO831" i="1"/>
  <c r="AA831" i="1"/>
  <c r="N831" i="1"/>
  <c r="AO830" i="1"/>
  <c r="AA830" i="1"/>
  <c r="N830" i="1"/>
  <c r="AO829" i="1"/>
  <c r="AA829" i="1"/>
  <c r="N829" i="1"/>
  <c r="AO828" i="1"/>
  <c r="AA828" i="1"/>
  <c r="N828" i="1"/>
  <c r="AO827" i="1"/>
  <c r="AA827" i="1"/>
  <c r="N827" i="1"/>
  <c r="AO826" i="1"/>
  <c r="AA826" i="1"/>
  <c r="N826" i="1"/>
  <c r="AO825" i="1"/>
  <c r="AA825" i="1"/>
  <c r="N825" i="1"/>
  <c r="AO824" i="1"/>
  <c r="AA824" i="1"/>
  <c r="N824" i="1"/>
  <c r="AO823" i="1"/>
  <c r="AA823" i="1"/>
  <c r="N823" i="1"/>
  <c r="AO822" i="1"/>
  <c r="AA822" i="1"/>
  <c r="N822" i="1"/>
  <c r="AO821" i="1"/>
  <c r="AA821" i="1"/>
  <c r="N821" i="1"/>
  <c r="AO820" i="1"/>
  <c r="AA820" i="1"/>
  <c r="N820" i="1"/>
  <c r="AO819" i="1"/>
  <c r="AA819" i="1"/>
  <c r="N819" i="1"/>
  <c r="AO818" i="1"/>
  <c r="AA818" i="1"/>
  <c r="N818" i="1"/>
  <c r="AO817" i="1"/>
  <c r="AA817" i="1"/>
  <c r="N817" i="1"/>
  <c r="AO816" i="1"/>
  <c r="AA816" i="1"/>
  <c r="N816" i="1"/>
  <c r="AO815" i="1"/>
  <c r="AA815" i="1"/>
  <c r="N815" i="1"/>
  <c r="AO814" i="1"/>
  <c r="AA814" i="1"/>
  <c r="N814" i="1"/>
  <c r="AO813" i="1"/>
  <c r="AA813" i="1"/>
  <c r="N813" i="1"/>
  <c r="AO812" i="1"/>
  <c r="AA812" i="1"/>
  <c r="N812" i="1"/>
  <c r="AO811" i="1"/>
  <c r="AA811" i="1"/>
  <c r="N811" i="1"/>
  <c r="AO810" i="1"/>
  <c r="AA810" i="1"/>
  <c r="N810" i="1"/>
  <c r="AO809" i="1"/>
  <c r="AA809" i="1"/>
  <c r="N809" i="1"/>
  <c r="AO808" i="1"/>
  <c r="AA808" i="1"/>
  <c r="N808" i="1"/>
  <c r="AO807" i="1"/>
  <c r="AA807" i="1"/>
  <c r="N807" i="1"/>
  <c r="AO806" i="1"/>
  <c r="AA806" i="1"/>
  <c r="N806" i="1"/>
  <c r="AO805" i="1"/>
  <c r="AA805" i="1"/>
  <c r="N805" i="1"/>
  <c r="AO804" i="1"/>
  <c r="AA804" i="1"/>
  <c r="N804" i="1"/>
  <c r="AO803" i="1"/>
  <c r="AA803" i="1"/>
  <c r="N803" i="1"/>
  <c r="AO802" i="1"/>
  <c r="AA802" i="1"/>
  <c r="N802" i="1"/>
  <c r="AO801" i="1"/>
  <c r="AA801" i="1"/>
  <c r="N801" i="1"/>
  <c r="AO800" i="1"/>
  <c r="AA800" i="1"/>
  <c r="N800" i="1"/>
  <c r="AO799" i="1"/>
  <c r="AA799" i="1"/>
  <c r="N799" i="1"/>
  <c r="AO798" i="1"/>
  <c r="AA798" i="1"/>
  <c r="N798" i="1"/>
  <c r="AO797" i="1"/>
  <c r="AA797" i="1"/>
  <c r="N797" i="1"/>
  <c r="AO796" i="1"/>
  <c r="AA796" i="1"/>
  <c r="N796" i="1"/>
  <c r="AO795" i="1"/>
  <c r="AA795" i="1"/>
  <c r="N795" i="1"/>
  <c r="AO794" i="1"/>
  <c r="AA794" i="1"/>
  <c r="N794" i="1"/>
  <c r="AO793" i="1"/>
  <c r="AA793" i="1"/>
  <c r="N793" i="1"/>
  <c r="AO792" i="1"/>
  <c r="AA792" i="1"/>
  <c r="N792" i="1"/>
  <c r="AO791" i="1"/>
  <c r="AA791" i="1"/>
  <c r="N791" i="1"/>
  <c r="AO790" i="1"/>
  <c r="AA790" i="1"/>
  <c r="N790" i="1"/>
  <c r="AO789" i="1"/>
  <c r="AA789" i="1"/>
  <c r="N789" i="1"/>
  <c r="AO788" i="1"/>
  <c r="AA788" i="1"/>
  <c r="N788" i="1"/>
  <c r="AO787" i="1"/>
  <c r="AA787" i="1"/>
  <c r="N787" i="1"/>
  <c r="AO786" i="1"/>
  <c r="AA786" i="1"/>
  <c r="N786" i="1"/>
  <c r="AO785" i="1"/>
  <c r="AA785" i="1"/>
  <c r="N785" i="1"/>
  <c r="AO784" i="1"/>
  <c r="AA784" i="1"/>
  <c r="N784" i="1"/>
  <c r="AO783" i="1"/>
  <c r="AA783" i="1"/>
  <c r="N783" i="1"/>
  <c r="AO782" i="1"/>
  <c r="AA782" i="1"/>
  <c r="N782" i="1"/>
  <c r="AO781" i="1"/>
  <c r="AA781" i="1"/>
  <c r="N781" i="1"/>
  <c r="AO780" i="1"/>
  <c r="AA780" i="1"/>
  <c r="N780" i="1"/>
  <c r="AO779" i="1"/>
  <c r="AA779" i="1"/>
  <c r="N779" i="1"/>
  <c r="AO778" i="1"/>
  <c r="AA778" i="1"/>
  <c r="N778" i="1"/>
  <c r="AO777" i="1"/>
  <c r="AA777" i="1"/>
  <c r="N777" i="1"/>
  <c r="AO776" i="1"/>
  <c r="AA776" i="1"/>
  <c r="N776" i="1"/>
  <c r="AO775" i="1"/>
  <c r="AA775" i="1"/>
  <c r="N775" i="1"/>
  <c r="AO774" i="1"/>
  <c r="AA774" i="1"/>
  <c r="N774" i="1"/>
  <c r="AO773" i="1"/>
  <c r="AA773" i="1"/>
  <c r="N773" i="1"/>
  <c r="AO772" i="1"/>
  <c r="AA772" i="1"/>
  <c r="N772" i="1"/>
  <c r="AO771" i="1"/>
  <c r="AA771" i="1"/>
  <c r="N771" i="1"/>
  <c r="AO770" i="1"/>
  <c r="AA770" i="1"/>
  <c r="N770" i="1"/>
  <c r="AO769" i="1"/>
  <c r="AA769" i="1"/>
  <c r="N769" i="1"/>
  <c r="AO768" i="1"/>
  <c r="AA768" i="1"/>
  <c r="N768" i="1"/>
  <c r="AO767" i="1"/>
  <c r="AA767" i="1"/>
  <c r="N767" i="1"/>
  <c r="AO766" i="1"/>
  <c r="AA766" i="1"/>
  <c r="N766" i="1"/>
  <c r="AO765" i="1"/>
  <c r="AA765" i="1"/>
  <c r="N765" i="1"/>
  <c r="AO764" i="1"/>
  <c r="AA764" i="1"/>
  <c r="N764" i="1"/>
  <c r="AO763" i="1"/>
  <c r="AA763" i="1"/>
  <c r="N763" i="1"/>
  <c r="AO762" i="1"/>
  <c r="AA762" i="1"/>
  <c r="N762" i="1"/>
  <c r="AO761" i="1"/>
  <c r="AA761" i="1"/>
  <c r="N761" i="1"/>
  <c r="AO760" i="1"/>
  <c r="AA760" i="1"/>
  <c r="N760" i="1"/>
  <c r="AO759" i="1"/>
  <c r="AA759" i="1"/>
  <c r="N759" i="1"/>
  <c r="AO758" i="1"/>
  <c r="AA758" i="1"/>
  <c r="N758" i="1"/>
  <c r="AO757" i="1"/>
  <c r="AA757" i="1"/>
  <c r="N757" i="1"/>
  <c r="AO756" i="1"/>
  <c r="AA756" i="1"/>
  <c r="N756" i="1"/>
  <c r="AO755" i="1"/>
  <c r="AA755" i="1"/>
  <c r="N755" i="1"/>
  <c r="AO754" i="1"/>
  <c r="AA754" i="1"/>
  <c r="N754" i="1"/>
  <c r="AO753" i="1"/>
  <c r="AA753" i="1"/>
  <c r="N753" i="1"/>
  <c r="AO752" i="1"/>
  <c r="AA752" i="1"/>
  <c r="N752" i="1"/>
  <c r="AO751" i="1"/>
  <c r="AA751" i="1"/>
  <c r="N751" i="1"/>
  <c r="AO750" i="1"/>
  <c r="AA750" i="1"/>
  <c r="N750" i="1"/>
  <c r="AO749" i="1"/>
  <c r="AA749" i="1"/>
  <c r="N749" i="1"/>
  <c r="AO748" i="1"/>
  <c r="AA748" i="1"/>
  <c r="N748" i="1"/>
  <c r="AO747" i="1"/>
  <c r="AA747" i="1"/>
  <c r="N747" i="1"/>
  <c r="AO746" i="1"/>
  <c r="AA746" i="1"/>
  <c r="N746" i="1"/>
  <c r="AO745" i="1"/>
  <c r="AA745" i="1"/>
  <c r="N745" i="1"/>
  <c r="AO744" i="1"/>
  <c r="AA744" i="1"/>
  <c r="N744" i="1"/>
  <c r="AO743" i="1"/>
  <c r="AA743" i="1"/>
  <c r="N743" i="1"/>
  <c r="AO742" i="1"/>
  <c r="AA742" i="1"/>
  <c r="N742" i="1"/>
  <c r="AO741" i="1"/>
  <c r="AA741" i="1"/>
  <c r="N741" i="1"/>
  <c r="AO740" i="1"/>
  <c r="AA740" i="1"/>
  <c r="N740" i="1"/>
  <c r="AO739" i="1"/>
  <c r="AA739" i="1"/>
  <c r="N739" i="1"/>
  <c r="AO738" i="1"/>
  <c r="AA738" i="1"/>
  <c r="N738" i="1"/>
  <c r="AO737" i="1"/>
  <c r="AA737" i="1"/>
  <c r="N737" i="1"/>
  <c r="AO736" i="1"/>
  <c r="AA736" i="1"/>
  <c r="N736" i="1"/>
  <c r="AO735" i="1"/>
  <c r="AA735" i="1"/>
  <c r="N735" i="1"/>
  <c r="AO734" i="1"/>
  <c r="AA734" i="1"/>
  <c r="N734" i="1"/>
  <c r="AO733" i="1"/>
  <c r="AA733" i="1"/>
  <c r="N733" i="1"/>
  <c r="AO732" i="1"/>
  <c r="AA732" i="1"/>
  <c r="N732" i="1"/>
  <c r="AO731" i="1"/>
  <c r="AA731" i="1"/>
  <c r="N731" i="1"/>
  <c r="AO730" i="1"/>
  <c r="AA730" i="1"/>
  <c r="N730" i="1"/>
  <c r="AO729" i="1"/>
  <c r="AA729" i="1"/>
  <c r="N729" i="1"/>
  <c r="AO728" i="1"/>
  <c r="AA728" i="1"/>
  <c r="N728" i="1"/>
  <c r="AO727" i="1"/>
  <c r="AA727" i="1"/>
  <c r="N727" i="1"/>
  <c r="AO726" i="1"/>
  <c r="AA726" i="1"/>
  <c r="N726" i="1"/>
  <c r="AO725" i="1"/>
  <c r="AA725" i="1"/>
  <c r="N725" i="1"/>
  <c r="AO724" i="1"/>
  <c r="AA724" i="1"/>
  <c r="N724" i="1"/>
  <c r="AO723" i="1"/>
  <c r="AA723" i="1"/>
  <c r="N723" i="1"/>
  <c r="AO722" i="1"/>
  <c r="AA722" i="1"/>
  <c r="N722" i="1"/>
  <c r="AO721" i="1"/>
  <c r="AA721" i="1"/>
  <c r="N721" i="1"/>
  <c r="AO720" i="1"/>
  <c r="AA720" i="1"/>
  <c r="N720" i="1"/>
  <c r="AO719" i="1"/>
  <c r="AA719" i="1"/>
  <c r="N719" i="1"/>
  <c r="AO718" i="1"/>
  <c r="AA718" i="1"/>
  <c r="N718" i="1"/>
  <c r="AO717" i="1"/>
  <c r="AA717" i="1"/>
  <c r="N717" i="1"/>
  <c r="AO716" i="1"/>
  <c r="AA716" i="1"/>
  <c r="N716" i="1"/>
  <c r="AO715" i="1"/>
  <c r="AA715" i="1"/>
  <c r="N715" i="1"/>
  <c r="AO714" i="1"/>
  <c r="AA714" i="1"/>
  <c r="N714" i="1"/>
  <c r="AO713" i="1"/>
  <c r="AA713" i="1"/>
  <c r="N713" i="1"/>
  <c r="AO712" i="1"/>
  <c r="AA712" i="1"/>
  <c r="N712" i="1"/>
  <c r="AO711" i="1"/>
  <c r="AA711" i="1"/>
  <c r="N711" i="1"/>
  <c r="AO710" i="1"/>
  <c r="AA710" i="1"/>
  <c r="N710" i="1"/>
  <c r="AO709" i="1"/>
  <c r="AA709" i="1"/>
  <c r="N709" i="1"/>
  <c r="AO708" i="1"/>
  <c r="AA708" i="1"/>
  <c r="N708" i="1"/>
  <c r="AO707" i="1"/>
  <c r="AA707" i="1"/>
  <c r="N707" i="1"/>
  <c r="AO706" i="1"/>
  <c r="AA706" i="1"/>
  <c r="N706" i="1"/>
  <c r="AO705" i="1"/>
  <c r="AA705" i="1"/>
  <c r="N705" i="1"/>
  <c r="AO704" i="1"/>
  <c r="AA704" i="1"/>
  <c r="N704" i="1"/>
  <c r="AO703" i="1"/>
  <c r="AA703" i="1"/>
  <c r="N703" i="1"/>
  <c r="AO702" i="1"/>
  <c r="AA702" i="1"/>
  <c r="N702" i="1"/>
  <c r="AO701" i="1"/>
  <c r="AA701" i="1"/>
  <c r="N701" i="1"/>
  <c r="AO700" i="1"/>
  <c r="AA700" i="1"/>
  <c r="N700" i="1"/>
  <c r="AO699" i="1"/>
  <c r="AA699" i="1"/>
  <c r="N699" i="1"/>
  <c r="AO698" i="1"/>
  <c r="AA698" i="1"/>
  <c r="N698" i="1"/>
  <c r="AO697" i="1"/>
  <c r="AA697" i="1"/>
  <c r="N697" i="1"/>
  <c r="AO696" i="1"/>
  <c r="AA696" i="1"/>
  <c r="N696" i="1"/>
  <c r="AO695" i="1"/>
  <c r="AA695" i="1"/>
  <c r="N695" i="1"/>
  <c r="AO694" i="1"/>
  <c r="AA694" i="1"/>
  <c r="N694" i="1"/>
  <c r="AO693" i="1"/>
  <c r="AA693" i="1"/>
  <c r="N693" i="1"/>
  <c r="AO692" i="1"/>
  <c r="AA692" i="1"/>
  <c r="N692" i="1"/>
  <c r="AO691" i="1"/>
  <c r="AA691" i="1"/>
  <c r="N691" i="1"/>
  <c r="AO690" i="1"/>
  <c r="AA690" i="1"/>
  <c r="N690" i="1"/>
  <c r="AO689" i="1"/>
  <c r="AA689" i="1"/>
  <c r="N689" i="1"/>
  <c r="AO688" i="1"/>
  <c r="AA688" i="1"/>
  <c r="N688" i="1"/>
  <c r="AO687" i="1"/>
  <c r="AA687" i="1"/>
  <c r="N687" i="1"/>
  <c r="AO686" i="1"/>
  <c r="AA686" i="1"/>
  <c r="N686" i="1"/>
  <c r="AO685" i="1"/>
  <c r="AA685" i="1"/>
  <c r="N685" i="1"/>
  <c r="AO684" i="1"/>
  <c r="AA684" i="1"/>
  <c r="N684" i="1"/>
  <c r="AO683" i="1"/>
  <c r="AA683" i="1"/>
  <c r="N683" i="1"/>
  <c r="AO682" i="1"/>
  <c r="AA682" i="1"/>
  <c r="N682" i="1"/>
  <c r="AO681" i="1"/>
  <c r="AA681" i="1"/>
  <c r="N681" i="1"/>
  <c r="AO680" i="1"/>
  <c r="AA680" i="1"/>
  <c r="N680" i="1"/>
  <c r="AO679" i="1"/>
  <c r="AA679" i="1"/>
  <c r="N679" i="1"/>
  <c r="AO678" i="1"/>
  <c r="AA678" i="1"/>
  <c r="N678" i="1"/>
  <c r="AO677" i="1"/>
  <c r="AA677" i="1"/>
  <c r="N677" i="1"/>
  <c r="AO676" i="1"/>
  <c r="AA676" i="1"/>
  <c r="N676" i="1"/>
  <c r="AO675" i="1"/>
  <c r="AA675" i="1"/>
  <c r="N675" i="1"/>
  <c r="AO674" i="1"/>
  <c r="AA674" i="1"/>
  <c r="N674" i="1"/>
  <c r="AO673" i="1"/>
  <c r="AA673" i="1"/>
  <c r="N673" i="1"/>
  <c r="AO672" i="1"/>
  <c r="AA672" i="1"/>
  <c r="N672" i="1"/>
  <c r="AO671" i="1"/>
  <c r="AA671" i="1"/>
  <c r="N671" i="1"/>
  <c r="AO670" i="1"/>
  <c r="AA670" i="1"/>
  <c r="N670" i="1"/>
  <c r="AO669" i="1"/>
  <c r="AA669" i="1"/>
  <c r="N669" i="1"/>
  <c r="AO668" i="1"/>
  <c r="AA668" i="1"/>
  <c r="N668" i="1"/>
  <c r="AO667" i="1"/>
  <c r="AA667" i="1"/>
  <c r="N667" i="1"/>
  <c r="AO666" i="1"/>
  <c r="AA666" i="1"/>
  <c r="N666" i="1"/>
  <c r="AO665" i="1"/>
  <c r="AA665" i="1"/>
  <c r="N665" i="1"/>
  <c r="AO664" i="1"/>
  <c r="AA664" i="1"/>
  <c r="N664" i="1"/>
  <c r="AO663" i="1"/>
  <c r="AA663" i="1"/>
  <c r="N663" i="1"/>
  <c r="AO662" i="1"/>
  <c r="AA662" i="1"/>
  <c r="N662" i="1"/>
  <c r="AO661" i="1"/>
  <c r="AA661" i="1"/>
  <c r="N661" i="1"/>
  <c r="AO660" i="1"/>
  <c r="AA660" i="1"/>
  <c r="N660" i="1"/>
  <c r="AO659" i="1"/>
  <c r="AA659" i="1"/>
  <c r="N659" i="1"/>
  <c r="AO658" i="1"/>
  <c r="AA658" i="1"/>
  <c r="N658" i="1"/>
  <c r="AO657" i="1"/>
  <c r="AA657" i="1"/>
  <c r="N657" i="1"/>
  <c r="AO656" i="1"/>
  <c r="AA656" i="1"/>
  <c r="N656" i="1"/>
  <c r="AO655" i="1"/>
  <c r="AA655" i="1"/>
  <c r="N655" i="1"/>
  <c r="AO654" i="1"/>
  <c r="AA654" i="1"/>
  <c r="N654" i="1"/>
  <c r="AO653" i="1"/>
  <c r="AA653" i="1"/>
  <c r="N653" i="1"/>
  <c r="AO652" i="1"/>
  <c r="AA652" i="1"/>
  <c r="N652" i="1"/>
  <c r="AO651" i="1"/>
  <c r="AA651" i="1"/>
  <c r="N651" i="1"/>
  <c r="AO650" i="1"/>
  <c r="AA650" i="1"/>
  <c r="N650" i="1"/>
  <c r="AO649" i="1"/>
  <c r="AA649" i="1"/>
  <c r="N649" i="1"/>
  <c r="AO648" i="1"/>
  <c r="AA648" i="1"/>
  <c r="N648" i="1"/>
  <c r="AO647" i="1"/>
  <c r="AA647" i="1"/>
  <c r="N647" i="1"/>
  <c r="AO646" i="1"/>
  <c r="AA646" i="1"/>
  <c r="N646" i="1"/>
  <c r="AO645" i="1"/>
  <c r="AA645" i="1"/>
  <c r="N645" i="1"/>
  <c r="AO644" i="1"/>
  <c r="AA644" i="1"/>
  <c r="N644" i="1"/>
  <c r="AO643" i="1"/>
  <c r="AA643" i="1"/>
  <c r="N643" i="1"/>
  <c r="AO642" i="1"/>
  <c r="AA642" i="1"/>
  <c r="N642" i="1"/>
  <c r="AO641" i="1"/>
  <c r="AA641" i="1"/>
  <c r="N641" i="1"/>
  <c r="AO640" i="1"/>
  <c r="AA640" i="1"/>
  <c r="N640" i="1"/>
  <c r="AO639" i="1"/>
  <c r="AA639" i="1"/>
  <c r="N639" i="1"/>
  <c r="AO638" i="1"/>
  <c r="AA638" i="1"/>
  <c r="N638" i="1"/>
  <c r="AO637" i="1"/>
  <c r="AA637" i="1"/>
  <c r="N637" i="1"/>
  <c r="AO636" i="1"/>
  <c r="AA636" i="1"/>
  <c r="N636" i="1"/>
  <c r="AO635" i="1"/>
  <c r="AA635" i="1"/>
  <c r="N635" i="1"/>
  <c r="AO634" i="1"/>
  <c r="AA634" i="1"/>
  <c r="N634" i="1"/>
  <c r="AO633" i="1"/>
  <c r="AA633" i="1"/>
  <c r="N633" i="1"/>
  <c r="AO632" i="1"/>
  <c r="AA632" i="1"/>
  <c r="N632" i="1"/>
  <c r="AO631" i="1"/>
  <c r="AA631" i="1"/>
  <c r="N631" i="1"/>
  <c r="AO630" i="1"/>
  <c r="AA630" i="1"/>
  <c r="N630" i="1"/>
  <c r="AO629" i="1"/>
  <c r="AA629" i="1"/>
  <c r="N629" i="1"/>
  <c r="AO628" i="1"/>
  <c r="AA628" i="1"/>
  <c r="N628" i="1"/>
  <c r="AO627" i="1"/>
  <c r="AA627" i="1"/>
  <c r="N627" i="1"/>
  <c r="AO626" i="1"/>
  <c r="AA626" i="1"/>
  <c r="N626" i="1"/>
  <c r="AO625" i="1"/>
  <c r="AA625" i="1"/>
  <c r="N625" i="1"/>
  <c r="AO624" i="1"/>
  <c r="AA624" i="1"/>
  <c r="N624" i="1"/>
  <c r="AO623" i="1"/>
  <c r="AA623" i="1"/>
  <c r="N623" i="1"/>
  <c r="AO622" i="1"/>
  <c r="AA622" i="1"/>
  <c r="N622" i="1"/>
  <c r="AO621" i="1"/>
  <c r="AA621" i="1"/>
  <c r="N621" i="1"/>
  <c r="AO620" i="1"/>
  <c r="AA620" i="1"/>
  <c r="N620" i="1"/>
  <c r="AO619" i="1"/>
  <c r="AA619" i="1"/>
  <c r="N619" i="1"/>
  <c r="AO618" i="1"/>
  <c r="AA618" i="1"/>
  <c r="N618" i="1"/>
  <c r="AO617" i="1"/>
  <c r="AA617" i="1"/>
  <c r="N617" i="1"/>
  <c r="AO616" i="1"/>
  <c r="AA616" i="1"/>
  <c r="N616" i="1"/>
  <c r="AO615" i="1"/>
  <c r="AA615" i="1"/>
  <c r="N615" i="1"/>
  <c r="AO614" i="1"/>
  <c r="AA614" i="1"/>
  <c r="N614" i="1"/>
  <c r="AO613" i="1"/>
  <c r="AA613" i="1"/>
  <c r="N613" i="1"/>
  <c r="AO612" i="1"/>
  <c r="AA612" i="1"/>
  <c r="N612" i="1"/>
  <c r="AO611" i="1"/>
  <c r="AA611" i="1"/>
  <c r="N611" i="1"/>
  <c r="AO610" i="1"/>
  <c r="AA610" i="1"/>
  <c r="N610" i="1"/>
  <c r="AO609" i="1"/>
  <c r="AA609" i="1"/>
  <c r="N609" i="1"/>
  <c r="AO608" i="1"/>
  <c r="AA608" i="1"/>
  <c r="N608" i="1"/>
  <c r="AO607" i="1"/>
  <c r="AA607" i="1"/>
  <c r="N607" i="1"/>
  <c r="AO606" i="1"/>
  <c r="AA606" i="1"/>
  <c r="N606" i="1"/>
  <c r="AO605" i="1"/>
  <c r="AA605" i="1"/>
  <c r="N605" i="1"/>
  <c r="AO604" i="1"/>
  <c r="AA604" i="1"/>
  <c r="N604" i="1"/>
  <c r="AO603" i="1"/>
  <c r="AA603" i="1"/>
  <c r="N603" i="1"/>
  <c r="AO602" i="1"/>
  <c r="AA602" i="1"/>
  <c r="N602" i="1"/>
  <c r="AO601" i="1"/>
  <c r="AA601" i="1"/>
  <c r="N601" i="1"/>
  <c r="AO600" i="1"/>
  <c r="AA600" i="1"/>
  <c r="N600" i="1"/>
  <c r="AO599" i="1"/>
  <c r="AA599" i="1"/>
  <c r="N599" i="1"/>
  <c r="AO598" i="1"/>
  <c r="AA598" i="1"/>
  <c r="N598" i="1"/>
  <c r="AO597" i="1"/>
  <c r="AA597" i="1"/>
  <c r="N597" i="1"/>
  <c r="AO596" i="1"/>
  <c r="AA596" i="1"/>
  <c r="N596" i="1"/>
  <c r="AO595" i="1"/>
  <c r="AA595" i="1"/>
  <c r="N595" i="1"/>
  <c r="AO594" i="1"/>
  <c r="AA594" i="1"/>
  <c r="N594" i="1"/>
  <c r="AO593" i="1"/>
  <c r="AA593" i="1"/>
  <c r="N593" i="1"/>
  <c r="AO592" i="1"/>
  <c r="AA592" i="1"/>
  <c r="N592" i="1"/>
  <c r="AO591" i="1"/>
  <c r="AA591" i="1"/>
  <c r="N591" i="1"/>
  <c r="AO590" i="1"/>
  <c r="AA590" i="1"/>
  <c r="N590" i="1"/>
  <c r="AO589" i="1"/>
  <c r="AA589" i="1"/>
  <c r="N589" i="1"/>
  <c r="AO588" i="1"/>
  <c r="AA588" i="1"/>
  <c r="N588" i="1"/>
  <c r="AO587" i="1"/>
  <c r="AA587" i="1"/>
  <c r="N587" i="1"/>
  <c r="AO586" i="1"/>
  <c r="AA586" i="1"/>
  <c r="N586" i="1"/>
  <c r="AO585" i="1"/>
  <c r="AA585" i="1"/>
  <c r="N585" i="1"/>
  <c r="AO584" i="1"/>
  <c r="AA584" i="1"/>
  <c r="N584" i="1"/>
  <c r="AO583" i="1"/>
  <c r="AA583" i="1"/>
  <c r="N583" i="1"/>
  <c r="AO582" i="1"/>
  <c r="AA582" i="1"/>
  <c r="N582" i="1"/>
  <c r="AO581" i="1"/>
  <c r="AA581" i="1"/>
  <c r="N581" i="1"/>
  <c r="AO580" i="1"/>
  <c r="AA580" i="1"/>
  <c r="N580" i="1"/>
  <c r="AO579" i="1"/>
  <c r="AA579" i="1"/>
  <c r="N579" i="1"/>
  <c r="AO578" i="1"/>
  <c r="AA578" i="1"/>
  <c r="N578" i="1"/>
  <c r="AO577" i="1"/>
  <c r="AA577" i="1"/>
  <c r="N577" i="1"/>
  <c r="AO576" i="1"/>
  <c r="AA576" i="1"/>
  <c r="N576" i="1"/>
  <c r="AO575" i="1"/>
  <c r="AA575" i="1"/>
  <c r="N575" i="1"/>
  <c r="AO574" i="1"/>
  <c r="AA574" i="1"/>
  <c r="N574" i="1"/>
  <c r="AO573" i="1"/>
  <c r="AA573" i="1"/>
  <c r="N573" i="1"/>
  <c r="AO572" i="1"/>
  <c r="AA572" i="1"/>
  <c r="N572" i="1"/>
  <c r="AO571" i="1"/>
  <c r="AA571" i="1"/>
  <c r="N571" i="1"/>
  <c r="AO570" i="1"/>
  <c r="AA570" i="1"/>
  <c r="N570" i="1"/>
  <c r="AO569" i="1"/>
  <c r="AA569" i="1"/>
  <c r="N569" i="1"/>
  <c r="AO568" i="1"/>
  <c r="AA568" i="1"/>
  <c r="N568" i="1"/>
  <c r="AO567" i="1"/>
  <c r="AA567" i="1"/>
  <c r="N567" i="1"/>
  <c r="AO566" i="1"/>
  <c r="AA566" i="1"/>
  <c r="N566" i="1"/>
  <c r="AO565" i="1"/>
  <c r="AA565" i="1"/>
  <c r="N565" i="1"/>
  <c r="AO564" i="1"/>
  <c r="AA564" i="1"/>
  <c r="N564" i="1"/>
  <c r="AO563" i="1"/>
  <c r="AA563" i="1"/>
  <c r="N563" i="1"/>
  <c r="AO562" i="1"/>
  <c r="AA562" i="1"/>
  <c r="N562" i="1"/>
  <c r="AO561" i="1"/>
  <c r="AA561" i="1"/>
  <c r="N561" i="1"/>
  <c r="AO560" i="1"/>
  <c r="AA560" i="1"/>
  <c r="N560" i="1"/>
  <c r="AO559" i="1"/>
  <c r="AA559" i="1"/>
  <c r="N559" i="1"/>
  <c r="AO558" i="1"/>
  <c r="AA558" i="1"/>
  <c r="N558" i="1"/>
  <c r="AO557" i="1"/>
  <c r="AA557" i="1"/>
  <c r="N557" i="1"/>
  <c r="AO556" i="1"/>
  <c r="AA556" i="1"/>
  <c r="N556" i="1"/>
  <c r="AO555" i="1"/>
  <c r="AA555" i="1"/>
  <c r="N555" i="1"/>
  <c r="AO554" i="1"/>
  <c r="AA554" i="1"/>
  <c r="N554" i="1"/>
  <c r="AO553" i="1"/>
  <c r="AA553" i="1"/>
  <c r="N553" i="1"/>
  <c r="AO552" i="1"/>
  <c r="AA552" i="1"/>
  <c r="N552" i="1"/>
  <c r="AO551" i="1"/>
  <c r="AA551" i="1"/>
  <c r="N551" i="1"/>
  <c r="AO550" i="1"/>
  <c r="AA550" i="1"/>
  <c r="N550" i="1"/>
  <c r="AO549" i="1"/>
  <c r="AA549" i="1"/>
  <c r="N549" i="1"/>
  <c r="AO548" i="1"/>
  <c r="AA548" i="1"/>
  <c r="N548" i="1"/>
  <c r="AO547" i="1"/>
  <c r="AA547" i="1"/>
  <c r="N547" i="1"/>
  <c r="AO546" i="1"/>
  <c r="AA546" i="1"/>
  <c r="N546" i="1"/>
  <c r="AO545" i="1"/>
  <c r="AA545" i="1"/>
  <c r="N545" i="1"/>
  <c r="AO544" i="1"/>
  <c r="AA544" i="1"/>
  <c r="N544" i="1"/>
  <c r="AO543" i="1"/>
  <c r="AA543" i="1"/>
  <c r="N543" i="1"/>
  <c r="AO542" i="1"/>
  <c r="AA542" i="1"/>
  <c r="N542" i="1"/>
  <c r="AO541" i="1"/>
  <c r="AA541" i="1"/>
  <c r="N541" i="1"/>
  <c r="AO540" i="1"/>
  <c r="AA540" i="1"/>
  <c r="N540" i="1"/>
  <c r="AO539" i="1"/>
  <c r="AA539" i="1"/>
  <c r="N539" i="1"/>
  <c r="AO538" i="1"/>
  <c r="AA538" i="1"/>
  <c r="N538" i="1"/>
  <c r="AO537" i="1"/>
  <c r="AA537" i="1"/>
  <c r="N537" i="1"/>
  <c r="AO536" i="1"/>
  <c r="AA536" i="1"/>
  <c r="N536" i="1"/>
  <c r="AO535" i="1"/>
  <c r="AA535" i="1"/>
  <c r="N535" i="1"/>
  <c r="AO534" i="1"/>
  <c r="AA534" i="1"/>
  <c r="N534" i="1"/>
  <c r="AO533" i="1"/>
  <c r="AA533" i="1"/>
  <c r="N533" i="1"/>
  <c r="AO532" i="1"/>
  <c r="AA532" i="1"/>
  <c r="N532" i="1"/>
  <c r="AO531" i="1"/>
  <c r="AA531" i="1"/>
  <c r="N531" i="1"/>
  <c r="AO530" i="1"/>
  <c r="AA530" i="1"/>
  <c r="N530" i="1"/>
  <c r="AO529" i="1"/>
  <c r="AA529" i="1"/>
  <c r="N529" i="1"/>
  <c r="AO528" i="1"/>
  <c r="AA528" i="1"/>
  <c r="N528" i="1"/>
  <c r="AO527" i="1"/>
  <c r="AA527" i="1"/>
  <c r="N527" i="1"/>
  <c r="AO526" i="1"/>
  <c r="AA526" i="1"/>
  <c r="N526" i="1"/>
  <c r="AO525" i="1"/>
  <c r="AA525" i="1"/>
  <c r="N525" i="1"/>
  <c r="AO524" i="1"/>
  <c r="AA524" i="1"/>
  <c r="N524" i="1"/>
  <c r="AO523" i="1"/>
  <c r="AA523" i="1"/>
  <c r="N523" i="1"/>
  <c r="AO522" i="1"/>
  <c r="AA522" i="1"/>
  <c r="N522" i="1"/>
  <c r="AO521" i="1"/>
  <c r="AA521" i="1"/>
  <c r="N521" i="1"/>
  <c r="AO520" i="1"/>
  <c r="AA520" i="1"/>
  <c r="N520" i="1"/>
  <c r="AO519" i="1"/>
  <c r="AA519" i="1"/>
  <c r="N519" i="1"/>
  <c r="AO518" i="1"/>
  <c r="AA518" i="1"/>
  <c r="N518" i="1"/>
  <c r="AO517" i="1"/>
  <c r="AA517" i="1"/>
  <c r="N517" i="1"/>
  <c r="AO516" i="1"/>
  <c r="AA516" i="1"/>
  <c r="N516" i="1"/>
  <c r="AO515" i="1"/>
  <c r="AA515" i="1"/>
  <c r="N515" i="1"/>
  <c r="AO514" i="1"/>
  <c r="AA514" i="1"/>
  <c r="N514" i="1"/>
  <c r="AO513" i="1"/>
  <c r="AA513" i="1"/>
  <c r="N513" i="1"/>
  <c r="AO512" i="1"/>
  <c r="AA512" i="1"/>
  <c r="N512" i="1"/>
  <c r="AO511" i="1"/>
  <c r="AA511" i="1"/>
  <c r="N511" i="1"/>
  <c r="AO510" i="1"/>
  <c r="AA510" i="1"/>
  <c r="N510" i="1"/>
  <c r="AO509" i="1"/>
  <c r="AA509" i="1"/>
  <c r="N509" i="1"/>
  <c r="AO508" i="1"/>
  <c r="AA508" i="1"/>
  <c r="N508" i="1"/>
  <c r="AO507" i="1"/>
  <c r="AA507" i="1"/>
  <c r="N507" i="1"/>
  <c r="AO506" i="1"/>
  <c r="AA506" i="1"/>
  <c r="N506" i="1"/>
  <c r="AO505" i="1"/>
  <c r="AA505" i="1"/>
  <c r="N505" i="1"/>
  <c r="AO504" i="1"/>
  <c r="AA504" i="1"/>
  <c r="N504" i="1"/>
  <c r="AO503" i="1"/>
  <c r="AA503" i="1"/>
  <c r="N503" i="1"/>
  <c r="AO502" i="1"/>
  <c r="AA502" i="1"/>
  <c r="N502" i="1"/>
  <c r="AO501" i="1"/>
  <c r="AA501" i="1"/>
  <c r="N501" i="1"/>
  <c r="AO500" i="1"/>
  <c r="AA500" i="1"/>
  <c r="N500" i="1"/>
  <c r="AO499" i="1"/>
  <c r="AA499" i="1"/>
  <c r="N499" i="1"/>
  <c r="AO498" i="1"/>
  <c r="AA498" i="1"/>
  <c r="N498" i="1"/>
  <c r="AO497" i="1"/>
  <c r="AA497" i="1"/>
  <c r="N497" i="1"/>
  <c r="AO496" i="1"/>
  <c r="AA496" i="1"/>
  <c r="N496" i="1"/>
  <c r="AO495" i="1"/>
  <c r="AA495" i="1"/>
  <c r="N495" i="1"/>
  <c r="AO494" i="1"/>
  <c r="AA494" i="1"/>
  <c r="N494" i="1"/>
  <c r="AO493" i="1"/>
  <c r="AA493" i="1"/>
  <c r="N493" i="1"/>
  <c r="AO492" i="1"/>
  <c r="AA492" i="1"/>
  <c r="N492" i="1"/>
  <c r="AO491" i="1"/>
  <c r="AA491" i="1"/>
  <c r="N491" i="1"/>
  <c r="AO490" i="1"/>
  <c r="AA490" i="1"/>
  <c r="N490" i="1"/>
  <c r="AO489" i="1"/>
  <c r="AA489" i="1"/>
  <c r="N489" i="1"/>
  <c r="AO488" i="1"/>
  <c r="AA488" i="1"/>
  <c r="N488" i="1"/>
  <c r="AO487" i="1"/>
  <c r="AA487" i="1"/>
  <c r="N487" i="1"/>
  <c r="AO486" i="1"/>
  <c r="AA486" i="1"/>
  <c r="N486" i="1"/>
  <c r="AO485" i="1"/>
  <c r="AA485" i="1"/>
  <c r="N485" i="1"/>
  <c r="AO484" i="1"/>
  <c r="AA484" i="1"/>
  <c r="N484" i="1"/>
  <c r="AO483" i="1"/>
  <c r="AA483" i="1"/>
  <c r="N483" i="1"/>
  <c r="AO482" i="1"/>
  <c r="AA482" i="1"/>
  <c r="N482" i="1"/>
  <c r="AO481" i="1"/>
  <c r="AA481" i="1"/>
  <c r="N481" i="1"/>
  <c r="AO480" i="1"/>
  <c r="AA480" i="1"/>
  <c r="N480" i="1"/>
  <c r="AO479" i="1"/>
  <c r="AA479" i="1"/>
  <c r="N479" i="1"/>
  <c r="AO478" i="1"/>
  <c r="AA478" i="1"/>
  <c r="N478" i="1"/>
  <c r="AO477" i="1"/>
  <c r="AA477" i="1"/>
  <c r="N477" i="1"/>
  <c r="AO476" i="1"/>
  <c r="AA476" i="1"/>
  <c r="N476" i="1"/>
  <c r="AO475" i="1"/>
  <c r="AA475" i="1"/>
  <c r="N475" i="1"/>
  <c r="AO474" i="1"/>
  <c r="AA474" i="1"/>
  <c r="N474" i="1"/>
  <c r="AO473" i="1"/>
  <c r="AA473" i="1"/>
  <c r="N473" i="1"/>
  <c r="AO472" i="1"/>
  <c r="AA472" i="1"/>
  <c r="N472" i="1"/>
  <c r="AO471" i="1"/>
  <c r="AA471" i="1"/>
  <c r="N471" i="1"/>
  <c r="AO470" i="1"/>
  <c r="AA470" i="1"/>
  <c r="N470" i="1"/>
  <c r="AO469" i="1"/>
  <c r="AA469" i="1"/>
  <c r="N469" i="1"/>
  <c r="AO468" i="1"/>
  <c r="AA468" i="1"/>
  <c r="N468" i="1"/>
  <c r="AO467" i="1"/>
  <c r="AA467" i="1"/>
  <c r="N467" i="1"/>
  <c r="AO466" i="1"/>
  <c r="AA466" i="1"/>
  <c r="N466" i="1"/>
  <c r="AO465" i="1"/>
  <c r="AA465" i="1"/>
  <c r="N465" i="1"/>
  <c r="AO464" i="1"/>
  <c r="AA464" i="1"/>
  <c r="N464" i="1"/>
  <c r="AO463" i="1"/>
  <c r="AA463" i="1"/>
  <c r="N463" i="1"/>
  <c r="AO462" i="1"/>
  <c r="AA462" i="1"/>
  <c r="N462" i="1"/>
  <c r="AO461" i="1"/>
  <c r="AA461" i="1"/>
  <c r="N461" i="1"/>
  <c r="AO460" i="1"/>
  <c r="AA460" i="1"/>
  <c r="N460" i="1"/>
  <c r="AO459" i="1"/>
  <c r="AA459" i="1"/>
  <c r="N459" i="1"/>
  <c r="AO458" i="1"/>
  <c r="AA458" i="1"/>
  <c r="N458" i="1"/>
  <c r="AO457" i="1"/>
  <c r="AA457" i="1"/>
  <c r="N457" i="1"/>
  <c r="AO456" i="1"/>
  <c r="AA456" i="1"/>
  <c r="N456" i="1"/>
  <c r="AO455" i="1"/>
  <c r="AA455" i="1"/>
  <c r="N455" i="1"/>
  <c r="AO454" i="1"/>
  <c r="AA454" i="1"/>
  <c r="N454" i="1"/>
  <c r="AO453" i="1"/>
  <c r="AA453" i="1"/>
  <c r="N453" i="1"/>
  <c r="AO452" i="1"/>
  <c r="AA452" i="1"/>
  <c r="N452" i="1"/>
  <c r="AO451" i="1"/>
  <c r="AA451" i="1"/>
  <c r="N451" i="1"/>
  <c r="AO450" i="1"/>
  <c r="AA450" i="1"/>
  <c r="N450" i="1"/>
  <c r="AO449" i="1"/>
  <c r="AA449" i="1"/>
  <c r="N449" i="1"/>
  <c r="AO448" i="1"/>
  <c r="AA448" i="1"/>
  <c r="N448" i="1"/>
  <c r="AO447" i="1"/>
  <c r="AA447" i="1"/>
  <c r="N447" i="1"/>
  <c r="AO446" i="1"/>
  <c r="AA446" i="1"/>
  <c r="N446" i="1"/>
  <c r="AO445" i="1"/>
  <c r="AA445" i="1"/>
  <c r="N445" i="1"/>
  <c r="AO444" i="1"/>
  <c r="AA444" i="1"/>
  <c r="N444" i="1"/>
  <c r="AO443" i="1"/>
  <c r="AA443" i="1"/>
  <c r="N443" i="1"/>
  <c r="AO442" i="1"/>
  <c r="AA442" i="1"/>
  <c r="N442" i="1"/>
  <c r="AO441" i="1"/>
  <c r="AA441" i="1"/>
  <c r="N441" i="1"/>
  <c r="AO440" i="1"/>
  <c r="AA440" i="1"/>
  <c r="N440" i="1"/>
  <c r="AO439" i="1"/>
  <c r="AA439" i="1"/>
  <c r="N439" i="1"/>
  <c r="AO438" i="1"/>
  <c r="AA438" i="1"/>
  <c r="N438" i="1"/>
  <c r="AO437" i="1"/>
  <c r="AA437" i="1"/>
  <c r="N437" i="1"/>
  <c r="AO436" i="1"/>
  <c r="AA436" i="1"/>
  <c r="N436" i="1"/>
  <c r="AO435" i="1"/>
  <c r="AA435" i="1"/>
  <c r="N435" i="1"/>
  <c r="AO434" i="1"/>
  <c r="AA434" i="1"/>
  <c r="N434" i="1"/>
  <c r="AO433" i="1"/>
  <c r="AA433" i="1"/>
  <c r="N433" i="1"/>
  <c r="AO432" i="1"/>
  <c r="AA432" i="1"/>
  <c r="N432" i="1"/>
  <c r="AO431" i="1"/>
  <c r="AA431" i="1"/>
  <c r="N431" i="1"/>
  <c r="AO430" i="1"/>
  <c r="AA430" i="1"/>
  <c r="N430" i="1"/>
  <c r="AO429" i="1"/>
  <c r="AA429" i="1"/>
  <c r="N429" i="1"/>
  <c r="AO428" i="1"/>
  <c r="AA428" i="1"/>
  <c r="N428" i="1"/>
  <c r="AO427" i="1"/>
  <c r="AA427" i="1"/>
  <c r="N427" i="1"/>
  <c r="AO426" i="1"/>
  <c r="AA426" i="1"/>
  <c r="N426" i="1"/>
  <c r="AO425" i="1"/>
  <c r="AA425" i="1"/>
  <c r="N425" i="1"/>
  <c r="AO424" i="1"/>
  <c r="AA424" i="1"/>
  <c r="N424" i="1"/>
  <c r="AO423" i="1"/>
  <c r="AA423" i="1"/>
  <c r="N423" i="1"/>
  <c r="AO422" i="1"/>
  <c r="AA422" i="1"/>
  <c r="N422" i="1"/>
  <c r="AO421" i="1"/>
  <c r="AA421" i="1"/>
  <c r="N421" i="1"/>
  <c r="AO420" i="1"/>
  <c r="AA420" i="1"/>
  <c r="N420" i="1"/>
  <c r="AO419" i="1"/>
  <c r="AA419" i="1"/>
  <c r="N419" i="1"/>
  <c r="AO418" i="1"/>
  <c r="AA418" i="1"/>
  <c r="N418" i="1"/>
  <c r="AO417" i="1"/>
  <c r="AA417" i="1"/>
  <c r="N417" i="1"/>
  <c r="AO416" i="1"/>
  <c r="AA416" i="1"/>
  <c r="N416" i="1"/>
  <c r="AO415" i="1"/>
  <c r="AA415" i="1"/>
  <c r="N415" i="1"/>
  <c r="AO414" i="1"/>
  <c r="AA414" i="1"/>
  <c r="N414" i="1"/>
  <c r="AO413" i="1"/>
  <c r="AA413" i="1"/>
  <c r="N413" i="1"/>
  <c r="AO412" i="1"/>
  <c r="AA412" i="1"/>
  <c r="N412" i="1"/>
  <c r="AO411" i="1"/>
  <c r="AA411" i="1"/>
  <c r="N411" i="1"/>
  <c r="AO410" i="1"/>
  <c r="AA410" i="1"/>
  <c r="N410" i="1"/>
  <c r="AO409" i="1"/>
  <c r="AA409" i="1"/>
  <c r="N409" i="1"/>
  <c r="AO408" i="1"/>
  <c r="AA408" i="1"/>
  <c r="N408" i="1"/>
  <c r="AO407" i="1"/>
  <c r="AA407" i="1"/>
  <c r="N407" i="1"/>
  <c r="AO406" i="1"/>
  <c r="AA406" i="1"/>
  <c r="N406" i="1"/>
  <c r="AO405" i="1"/>
  <c r="AA405" i="1"/>
  <c r="N405" i="1"/>
  <c r="AO404" i="1"/>
  <c r="AA404" i="1"/>
  <c r="N404" i="1"/>
  <c r="AO403" i="1"/>
  <c r="AA403" i="1"/>
  <c r="N403" i="1"/>
  <c r="AO402" i="1"/>
  <c r="AA402" i="1"/>
  <c r="N402" i="1"/>
  <c r="AO401" i="1"/>
  <c r="AA401" i="1"/>
  <c r="N401" i="1"/>
  <c r="AO400" i="1"/>
  <c r="AA400" i="1"/>
  <c r="N400" i="1"/>
  <c r="AO399" i="1"/>
  <c r="AA399" i="1"/>
  <c r="N399" i="1"/>
  <c r="AO398" i="1"/>
  <c r="AA398" i="1"/>
  <c r="N398" i="1"/>
  <c r="AO397" i="1"/>
  <c r="AA397" i="1"/>
  <c r="N397" i="1"/>
  <c r="AO396" i="1"/>
  <c r="AA396" i="1"/>
  <c r="N396" i="1"/>
  <c r="AO395" i="1"/>
  <c r="AA395" i="1"/>
  <c r="N395" i="1"/>
  <c r="AO394" i="1"/>
  <c r="AA394" i="1"/>
  <c r="N394" i="1"/>
  <c r="AO393" i="1"/>
  <c r="AA393" i="1"/>
  <c r="N393" i="1"/>
  <c r="AO392" i="1"/>
  <c r="AA392" i="1"/>
  <c r="N392" i="1"/>
  <c r="AO391" i="1"/>
  <c r="AA391" i="1"/>
  <c r="N391" i="1"/>
  <c r="AO390" i="1"/>
  <c r="AA390" i="1"/>
  <c r="N390" i="1"/>
  <c r="AO389" i="1"/>
  <c r="AA389" i="1"/>
  <c r="N389" i="1"/>
  <c r="AO388" i="1"/>
  <c r="AA388" i="1"/>
  <c r="N388" i="1"/>
  <c r="AO387" i="1"/>
  <c r="AA387" i="1"/>
  <c r="N387" i="1"/>
  <c r="AO386" i="1"/>
  <c r="AA386" i="1"/>
  <c r="N386" i="1"/>
  <c r="AO385" i="1"/>
  <c r="AA385" i="1"/>
  <c r="N385" i="1"/>
  <c r="AO384" i="1"/>
  <c r="AA384" i="1"/>
  <c r="N384" i="1"/>
  <c r="AO383" i="1"/>
  <c r="AA383" i="1"/>
  <c r="N383" i="1"/>
  <c r="AO382" i="1"/>
  <c r="AA382" i="1"/>
  <c r="N382" i="1"/>
  <c r="AO381" i="1"/>
  <c r="AA381" i="1"/>
  <c r="N381" i="1"/>
  <c r="AO380" i="1"/>
  <c r="AA380" i="1"/>
  <c r="N380" i="1"/>
  <c r="AO379" i="1"/>
  <c r="AA379" i="1"/>
  <c r="N379" i="1"/>
  <c r="AO378" i="1"/>
  <c r="AA378" i="1"/>
  <c r="N378" i="1"/>
  <c r="AO377" i="1"/>
  <c r="AA377" i="1"/>
  <c r="N377" i="1"/>
  <c r="AO376" i="1"/>
  <c r="AA376" i="1"/>
  <c r="N376" i="1"/>
  <c r="AO375" i="1"/>
  <c r="AA375" i="1"/>
  <c r="N375" i="1"/>
  <c r="AO374" i="1"/>
  <c r="AA374" i="1"/>
  <c r="N374" i="1"/>
  <c r="AO373" i="1"/>
  <c r="AA373" i="1"/>
  <c r="N373" i="1"/>
  <c r="AO372" i="1"/>
  <c r="AA372" i="1"/>
  <c r="N372" i="1"/>
  <c r="AO371" i="1"/>
  <c r="AA371" i="1"/>
  <c r="N371" i="1"/>
  <c r="AO370" i="1"/>
  <c r="AA370" i="1"/>
  <c r="N370" i="1"/>
  <c r="AO369" i="1"/>
  <c r="AA369" i="1"/>
  <c r="N369" i="1"/>
  <c r="AO368" i="1"/>
  <c r="AA368" i="1"/>
  <c r="N368" i="1"/>
  <c r="AO367" i="1"/>
  <c r="AA367" i="1"/>
  <c r="N367" i="1"/>
  <c r="AO366" i="1"/>
  <c r="AA366" i="1"/>
  <c r="N366" i="1"/>
  <c r="AO365" i="1"/>
  <c r="AA365" i="1"/>
  <c r="N365" i="1"/>
  <c r="AO364" i="1"/>
  <c r="AA364" i="1"/>
  <c r="N364" i="1"/>
  <c r="AO363" i="1"/>
  <c r="AA363" i="1"/>
  <c r="N363" i="1"/>
  <c r="AO362" i="1"/>
  <c r="AA362" i="1"/>
  <c r="N362" i="1"/>
  <c r="AO361" i="1"/>
  <c r="AA361" i="1"/>
  <c r="N361" i="1"/>
  <c r="AO360" i="1"/>
  <c r="AA360" i="1"/>
  <c r="N360" i="1"/>
  <c r="AO359" i="1"/>
  <c r="AA359" i="1"/>
  <c r="N359" i="1"/>
  <c r="AO358" i="1"/>
  <c r="AA358" i="1"/>
  <c r="N358" i="1"/>
  <c r="AO357" i="1"/>
  <c r="AA357" i="1"/>
  <c r="N357" i="1"/>
  <c r="AO356" i="1"/>
  <c r="AA356" i="1"/>
  <c r="N356" i="1"/>
  <c r="AO355" i="1"/>
  <c r="AA355" i="1"/>
  <c r="N355" i="1"/>
  <c r="AO354" i="1"/>
  <c r="AA354" i="1"/>
  <c r="N354" i="1"/>
  <c r="AO353" i="1"/>
  <c r="AA353" i="1"/>
  <c r="N353" i="1"/>
  <c r="AO352" i="1"/>
  <c r="AA352" i="1"/>
  <c r="N352" i="1"/>
  <c r="AO351" i="1"/>
  <c r="AA351" i="1"/>
  <c r="N351" i="1"/>
  <c r="AO350" i="1"/>
  <c r="AA350" i="1"/>
  <c r="N350" i="1"/>
  <c r="AO349" i="1"/>
  <c r="AA349" i="1"/>
  <c r="N349" i="1"/>
  <c r="AO348" i="1"/>
  <c r="AA348" i="1"/>
  <c r="N348" i="1"/>
  <c r="AO347" i="1"/>
  <c r="AA347" i="1"/>
  <c r="N347" i="1"/>
  <c r="AO346" i="1"/>
  <c r="AA346" i="1"/>
  <c r="N346" i="1"/>
  <c r="AO345" i="1"/>
  <c r="AA345" i="1"/>
  <c r="N345" i="1"/>
  <c r="AO344" i="1"/>
  <c r="AA344" i="1"/>
  <c r="N344" i="1"/>
  <c r="AO343" i="1"/>
  <c r="AA343" i="1"/>
  <c r="N343" i="1"/>
  <c r="AO342" i="1"/>
  <c r="AA342" i="1"/>
  <c r="N342" i="1"/>
  <c r="AO341" i="1"/>
  <c r="AA341" i="1"/>
  <c r="N341" i="1"/>
  <c r="AO340" i="1"/>
  <c r="AA340" i="1"/>
  <c r="N340" i="1"/>
  <c r="AO339" i="1"/>
  <c r="AA339" i="1"/>
  <c r="N339" i="1"/>
  <c r="AO338" i="1"/>
  <c r="AA338" i="1"/>
  <c r="N338" i="1"/>
  <c r="AO337" i="1"/>
  <c r="AA337" i="1"/>
  <c r="N337" i="1"/>
  <c r="AO336" i="1"/>
  <c r="AA336" i="1"/>
  <c r="N336" i="1"/>
  <c r="AO335" i="1"/>
  <c r="AA335" i="1"/>
  <c r="N335" i="1"/>
  <c r="AO334" i="1"/>
  <c r="AA334" i="1"/>
  <c r="N334" i="1"/>
  <c r="AO333" i="1"/>
  <c r="AA333" i="1"/>
  <c r="N333" i="1"/>
  <c r="AO332" i="1"/>
  <c r="AA332" i="1"/>
  <c r="N332" i="1"/>
  <c r="AO331" i="1"/>
  <c r="AA331" i="1"/>
  <c r="N331" i="1"/>
  <c r="AO330" i="1"/>
  <c r="AA330" i="1"/>
  <c r="N330" i="1"/>
  <c r="AO329" i="1"/>
  <c r="AA329" i="1"/>
  <c r="N329" i="1"/>
  <c r="AO328" i="1"/>
  <c r="AA328" i="1"/>
  <c r="N328" i="1"/>
  <c r="AO327" i="1"/>
  <c r="AA327" i="1"/>
  <c r="N327" i="1"/>
  <c r="AO326" i="1"/>
  <c r="AA326" i="1"/>
  <c r="N326" i="1"/>
  <c r="AO325" i="1"/>
  <c r="AA325" i="1"/>
  <c r="N325" i="1"/>
  <c r="AO324" i="1"/>
  <c r="AA324" i="1"/>
  <c r="N324" i="1"/>
  <c r="AO323" i="1"/>
  <c r="AA323" i="1"/>
  <c r="N323" i="1"/>
  <c r="AO322" i="1"/>
  <c r="AA322" i="1"/>
  <c r="N322" i="1"/>
  <c r="AO321" i="1"/>
  <c r="AA321" i="1"/>
  <c r="N321" i="1"/>
  <c r="AO320" i="1"/>
  <c r="AA320" i="1"/>
  <c r="N320" i="1"/>
  <c r="AO319" i="1"/>
  <c r="AA319" i="1"/>
  <c r="N319" i="1"/>
  <c r="AO318" i="1"/>
  <c r="AA318" i="1"/>
  <c r="N318" i="1"/>
  <c r="AO317" i="1"/>
  <c r="AA317" i="1"/>
  <c r="N317" i="1"/>
  <c r="AO316" i="1"/>
  <c r="AA316" i="1"/>
  <c r="N316" i="1"/>
  <c r="AO315" i="1"/>
  <c r="AA315" i="1"/>
  <c r="N315" i="1"/>
  <c r="AO314" i="1"/>
  <c r="AA314" i="1"/>
  <c r="N314" i="1"/>
  <c r="AO313" i="1"/>
  <c r="AA313" i="1"/>
  <c r="N313" i="1"/>
  <c r="AO312" i="1"/>
  <c r="AA312" i="1"/>
  <c r="N312" i="1"/>
  <c r="AO311" i="1"/>
  <c r="AA311" i="1"/>
  <c r="N311" i="1"/>
  <c r="AO310" i="1"/>
  <c r="AA310" i="1"/>
  <c r="N310" i="1"/>
  <c r="AO309" i="1"/>
  <c r="AA309" i="1"/>
  <c r="N309" i="1"/>
  <c r="AO308" i="1"/>
  <c r="AA308" i="1"/>
  <c r="N308" i="1"/>
  <c r="AO307" i="1"/>
  <c r="AA307" i="1"/>
  <c r="N307" i="1"/>
  <c r="AO306" i="1"/>
  <c r="AA306" i="1"/>
  <c r="N306" i="1"/>
  <c r="AO305" i="1"/>
  <c r="AA305" i="1"/>
  <c r="N305" i="1"/>
  <c r="AO304" i="1"/>
  <c r="AA304" i="1"/>
  <c r="N304" i="1"/>
  <c r="AO303" i="1"/>
  <c r="AA303" i="1"/>
  <c r="N303" i="1"/>
  <c r="AO302" i="1"/>
  <c r="AA302" i="1"/>
  <c r="N302" i="1"/>
  <c r="AO301" i="1"/>
  <c r="AA301" i="1"/>
  <c r="N301" i="1"/>
  <c r="AO300" i="1"/>
  <c r="AA300" i="1"/>
  <c r="N300" i="1"/>
  <c r="AO299" i="1"/>
  <c r="AA299" i="1"/>
  <c r="N299" i="1"/>
  <c r="AO298" i="1"/>
  <c r="AA298" i="1"/>
  <c r="N298" i="1"/>
  <c r="AO297" i="1"/>
  <c r="AA297" i="1"/>
  <c r="N297" i="1"/>
  <c r="AO296" i="1"/>
  <c r="AA296" i="1"/>
  <c r="N296" i="1"/>
  <c r="AO295" i="1"/>
  <c r="AA295" i="1"/>
  <c r="N295" i="1"/>
  <c r="AO294" i="1"/>
  <c r="AA294" i="1"/>
  <c r="N294" i="1"/>
  <c r="AO293" i="1"/>
  <c r="AA293" i="1"/>
  <c r="N293" i="1"/>
  <c r="AO292" i="1"/>
  <c r="AA292" i="1"/>
  <c r="N292" i="1"/>
  <c r="AO291" i="1"/>
  <c r="AA291" i="1"/>
  <c r="N291" i="1"/>
  <c r="AO290" i="1"/>
  <c r="AA290" i="1"/>
  <c r="N290" i="1"/>
  <c r="AO289" i="1"/>
  <c r="AA289" i="1"/>
  <c r="N289" i="1"/>
  <c r="AO288" i="1"/>
  <c r="AA288" i="1"/>
  <c r="N288" i="1"/>
  <c r="AO287" i="1"/>
  <c r="AA287" i="1"/>
  <c r="N287" i="1"/>
  <c r="AO286" i="1"/>
  <c r="AA286" i="1"/>
  <c r="N286" i="1"/>
  <c r="AO285" i="1"/>
  <c r="AA285" i="1"/>
  <c r="N285" i="1"/>
  <c r="AO284" i="1"/>
  <c r="AA284" i="1"/>
  <c r="N284" i="1"/>
  <c r="AO283" i="1"/>
  <c r="AA283" i="1"/>
  <c r="N283" i="1"/>
  <c r="AO282" i="1"/>
  <c r="AA282" i="1"/>
  <c r="N282" i="1"/>
  <c r="AO281" i="1"/>
  <c r="AA281" i="1"/>
  <c r="N281" i="1"/>
  <c r="AO280" i="1"/>
  <c r="AA280" i="1"/>
  <c r="N280" i="1"/>
  <c r="AO279" i="1"/>
  <c r="AA279" i="1"/>
  <c r="N279" i="1"/>
  <c r="AO278" i="1"/>
  <c r="AA278" i="1"/>
  <c r="N278" i="1"/>
  <c r="AO277" i="1"/>
  <c r="AA277" i="1"/>
  <c r="N277" i="1"/>
  <c r="AO276" i="1"/>
  <c r="AA276" i="1"/>
  <c r="N276" i="1"/>
  <c r="AO275" i="1"/>
  <c r="AA275" i="1"/>
  <c r="N275" i="1"/>
  <c r="AO274" i="1"/>
  <c r="AA274" i="1"/>
  <c r="N274" i="1"/>
  <c r="AO273" i="1"/>
  <c r="AA273" i="1"/>
  <c r="N273" i="1"/>
  <c r="AO272" i="1"/>
  <c r="AA272" i="1"/>
  <c r="N272" i="1"/>
  <c r="AO271" i="1"/>
  <c r="AA271" i="1"/>
  <c r="N271" i="1"/>
  <c r="AO270" i="1"/>
  <c r="AA270" i="1"/>
  <c r="N270" i="1"/>
  <c r="AO269" i="1"/>
  <c r="AA269" i="1"/>
  <c r="N269" i="1"/>
  <c r="AO268" i="1"/>
  <c r="AA268" i="1"/>
  <c r="N268" i="1"/>
  <c r="AO267" i="1"/>
  <c r="AA267" i="1"/>
  <c r="N267" i="1"/>
  <c r="AO266" i="1"/>
  <c r="AA266" i="1"/>
  <c r="N266" i="1"/>
  <c r="AO265" i="1"/>
  <c r="AA265" i="1"/>
  <c r="N265" i="1"/>
  <c r="AO264" i="1"/>
  <c r="AA264" i="1"/>
  <c r="N264" i="1"/>
  <c r="AO263" i="1"/>
  <c r="AA263" i="1"/>
  <c r="N263" i="1"/>
  <c r="AO262" i="1"/>
  <c r="AA262" i="1"/>
  <c r="N262" i="1"/>
  <c r="AO261" i="1"/>
  <c r="AA261" i="1"/>
  <c r="N261" i="1"/>
  <c r="AO260" i="1"/>
  <c r="AA260" i="1"/>
  <c r="N260" i="1"/>
  <c r="AO259" i="1"/>
  <c r="AA259" i="1"/>
  <c r="N259" i="1"/>
  <c r="AO258" i="1"/>
  <c r="AA258" i="1"/>
  <c r="N258" i="1"/>
  <c r="AO257" i="1"/>
  <c r="AA257" i="1"/>
  <c r="N257" i="1"/>
  <c r="AO256" i="1"/>
  <c r="AA256" i="1"/>
  <c r="N256" i="1"/>
  <c r="AO255" i="1"/>
  <c r="AA255" i="1"/>
  <c r="N255" i="1"/>
  <c r="AO254" i="1"/>
  <c r="AA254" i="1"/>
  <c r="N254" i="1"/>
  <c r="AO253" i="1"/>
  <c r="AA253" i="1"/>
  <c r="N253" i="1"/>
  <c r="AO252" i="1"/>
  <c r="AA252" i="1"/>
  <c r="N252" i="1"/>
  <c r="AO251" i="1"/>
  <c r="AA251" i="1"/>
  <c r="N251" i="1"/>
  <c r="AO250" i="1"/>
  <c r="AA250" i="1"/>
  <c r="N250" i="1"/>
  <c r="AO249" i="1"/>
  <c r="AA249" i="1"/>
  <c r="N249" i="1"/>
  <c r="AO248" i="1"/>
  <c r="AA248" i="1"/>
  <c r="N248" i="1"/>
  <c r="AO247" i="1"/>
  <c r="AA247" i="1"/>
  <c r="N247" i="1"/>
  <c r="AO246" i="1"/>
  <c r="AA246" i="1"/>
  <c r="N246" i="1"/>
  <c r="AO245" i="1"/>
  <c r="AA245" i="1"/>
  <c r="N245" i="1"/>
  <c r="AO244" i="1"/>
  <c r="AA244" i="1"/>
  <c r="N244" i="1"/>
  <c r="AO243" i="1"/>
  <c r="AA243" i="1"/>
  <c r="N243" i="1"/>
  <c r="AO242" i="1"/>
  <c r="AA242" i="1"/>
  <c r="N242" i="1"/>
  <c r="AO241" i="1"/>
  <c r="AA241" i="1"/>
  <c r="N241" i="1"/>
  <c r="AO240" i="1"/>
  <c r="AA240" i="1"/>
  <c r="N240" i="1"/>
  <c r="AO239" i="1"/>
  <c r="AA239" i="1"/>
  <c r="N239" i="1"/>
  <c r="AO238" i="1"/>
  <c r="AA238" i="1"/>
  <c r="N238" i="1"/>
  <c r="AO237" i="1"/>
  <c r="AA237" i="1"/>
  <c r="N237" i="1"/>
  <c r="AO236" i="1"/>
  <c r="AA236" i="1"/>
  <c r="N236" i="1"/>
  <c r="AO235" i="1"/>
  <c r="AA235" i="1"/>
  <c r="N235" i="1"/>
  <c r="AO234" i="1"/>
  <c r="AA234" i="1"/>
  <c r="N234" i="1"/>
  <c r="AO233" i="1"/>
  <c r="AA233" i="1"/>
  <c r="N233" i="1"/>
  <c r="AO232" i="1"/>
  <c r="AA232" i="1"/>
  <c r="N232" i="1"/>
  <c r="AO231" i="1"/>
  <c r="AA231" i="1"/>
  <c r="N231" i="1"/>
  <c r="AO230" i="1"/>
  <c r="AA230" i="1"/>
  <c r="N230" i="1"/>
  <c r="AO229" i="1"/>
  <c r="AA229" i="1"/>
  <c r="N229" i="1"/>
  <c r="AO228" i="1"/>
  <c r="AA228" i="1"/>
  <c r="N228" i="1"/>
  <c r="AO227" i="1"/>
  <c r="AA227" i="1"/>
  <c r="N227" i="1"/>
  <c r="AO226" i="1"/>
  <c r="AA226" i="1"/>
  <c r="N226" i="1"/>
  <c r="AO225" i="1"/>
  <c r="AA225" i="1"/>
  <c r="N225" i="1"/>
  <c r="AO224" i="1"/>
  <c r="AA224" i="1"/>
  <c r="N224" i="1"/>
  <c r="AO223" i="1"/>
  <c r="AA223" i="1"/>
  <c r="N223" i="1"/>
  <c r="AO222" i="1"/>
  <c r="AA222" i="1"/>
  <c r="N222" i="1"/>
  <c r="AO221" i="1"/>
  <c r="AA221" i="1"/>
  <c r="N221" i="1"/>
  <c r="AO220" i="1"/>
  <c r="AA220" i="1"/>
  <c r="N220" i="1"/>
  <c r="AO219" i="1"/>
  <c r="AA219" i="1"/>
  <c r="N219" i="1"/>
  <c r="AO218" i="1"/>
  <c r="AA218" i="1"/>
  <c r="N218" i="1"/>
  <c r="AO217" i="1"/>
  <c r="AA217" i="1"/>
  <c r="N217" i="1"/>
  <c r="AO216" i="1"/>
  <c r="AA216" i="1"/>
  <c r="N216" i="1"/>
  <c r="AO215" i="1"/>
  <c r="AA215" i="1"/>
  <c r="N215" i="1"/>
  <c r="AO214" i="1"/>
  <c r="AA214" i="1"/>
  <c r="N214" i="1"/>
  <c r="AO213" i="1"/>
  <c r="AA213" i="1"/>
  <c r="N213" i="1"/>
  <c r="AO212" i="1"/>
  <c r="AA212" i="1"/>
  <c r="N212" i="1"/>
  <c r="AO211" i="1"/>
  <c r="AA211" i="1"/>
  <c r="N211" i="1"/>
  <c r="AO210" i="1"/>
  <c r="AA210" i="1"/>
  <c r="N210" i="1"/>
  <c r="AO209" i="1"/>
  <c r="AA209" i="1"/>
  <c r="N209" i="1"/>
  <c r="AO208" i="1"/>
  <c r="AA208" i="1"/>
  <c r="N208" i="1"/>
  <c r="AO207" i="1"/>
  <c r="AA207" i="1"/>
  <c r="N207" i="1"/>
  <c r="AO206" i="1"/>
  <c r="AA206" i="1"/>
  <c r="N206" i="1"/>
  <c r="AO205" i="1"/>
  <c r="AA205" i="1"/>
  <c r="N205" i="1"/>
  <c r="AO204" i="1"/>
  <c r="AA204" i="1"/>
  <c r="N204" i="1"/>
  <c r="AO203" i="1"/>
  <c r="AA203" i="1"/>
  <c r="N203" i="1"/>
  <c r="AO202" i="1"/>
  <c r="AA202" i="1"/>
  <c r="N202" i="1"/>
  <c r="AO201" i="1"/>
  <c r="AA201" i="1"/>
  <c r="N201" i="1"/>
  <c r="AO200" i="1"/>
  <c r="AA200" i="1"/>
  <c r="N200" i="1"/>
  <c r="AO199" i="1"/>
  <c r="AA199" i="1"/>
  <c r="N199" i="1"/>
  <c r="AO198" i="1"/>
  <c r="AA198" i="1"/>
  <c r="N198" i="1"/>
  <c r="AO197" i="1"/>
  <c r="AA197" i="1"/>
  <c r="N197" i="1"/>
  <c r="AO196" i="1"/>
  <c r="AA196" i="1"/>
  <c r="N196" i="1"/>
  <c r="AO195" i="1"/>
  <c r="AA195" i="1"/>
  <c r="N195" i="1"/>
  <c r="AO194" i="1"/>
  <c r="AA194" i="1"/>
  <c r="N194" i="1"/>
  <c r="AO193" i="1"/>
  <c r="AA193" i="1"/>
  <c r="N193" i="1"/>
  <c r="AO192" i="1"/>
  <c r="AA192" i="1"/>
  <c r="N192" i="1"/>
  <c r="AO191" i="1"/>
  <c r="AA191" i="1"/>
  <c r="N191" i="1"/>
  <c r="AO190" i="1"/>
  <c r="AA190" i="1"/>
  <c r="N190" i="1"/>
  <c r="AO189" i="1"/>
  <c r="AA189" i="1"/>
  <c r="N189" i="1"/>
  <c r="AO188" i="1"/>
  <c r="AA188" i="1"/>
  <c r="N188" i="1"/>
  <c r="AO187" i="1"/>
  <c r="AA187" i="1"/>
  <c r="N187" i="1"/>
  <c r="AO186" i="1"/>
  <c r="AA186" i="1"/>
  <c r="N186" i="1"/>
  <c r="AO185" i="1"/>
  <c r="AA185" i="1"/>
  <c r="N185" i="1"/>
  <c r="AO184" i="1"/>
  <c r="AA184" i="1"/>
  <c r="N184" i="1"/>
  <c r="AO183" i="1"/>
  <c r="AA183" i="1"/>
  <c r="N183" i="1"/>
  <c r="AO182" i="1"/>
  <c r="AA182" i="1"/>
  <c r="N182" i="1"/>
  <c r="AO181" i="1"/>
  <c r="AA181" i="1"/>
  <c r="N181" i="1"/>
  <c r="AO180" i="1"/>
  <c r="AA180" i="1"/>
  <c r="N180" i="1"/>
  <c r="AO179" i="1"/>
  <c r="AA179" i="1"/>
  <c r="N179" i="1"/>
  <c r="AO178" i="1"/>
  <c r="AA178" i="1"/>
  <c r="N178" i="1"/>
  <c r="AO177" i="1"/>
  <c r="AA177" i="1"/>
  <c r="N177" i="1"/>
  <c r="AO176" i="1"/>
  <c r="AA176" i="1"/>
  <c r="N176" i="1"/>
  <c r="AO175" i="1"/>
  <c r="AA175" i="1"/>
  <c r="N175" i="1"/>
  <c r="AO174" i="1"/>
  <c r="AA174" i="1"/>
  <c r="N174" i="1"/>
  <c r="AO173" i="1"/>
  <c r="AA173" i="1"/>
  <c r="N173" i="1"/>
  <c r="AO172" i="1"/>
  <c r="AA172" i="1"/>
  <c r="N172" i="1"/>
  <c r="AO171" i="1"/>
  <c r="AA171" i="1"/>
  <c r="N171" i="1"/>
  <c r="AO170" i="1"/>
  <c r="AA170" i="1"/>
  <c r="N170" i="1"/>
  <c r="AO169" i="1"/>
  <c r="AA169" i="1"/>
  <c r="N169" i="1"/>
  <c r="AO168" i="1"/>
  <c r="AA168" i="1"/>
  <c r="N168" i="1"/>
  <c r="AO167" i="1"/>
  <c r="AA167" i="1"/>
  <c r="N167" i="1"/>
  <c r="AO166" i="1"/>
  <c r="AA166" i="1"/>
  <c r="N166" i="1"/>
  <c r="AO165" i="1"/>
  <c r="AA165" i="1"/>
  <c r="N165" i="1"/>
  <c r="AO164" i="1"/>
  <c r="AA164" i="1"/>
  <c r="N164" i="1"/>
  <c r="AO163" i="1"/>
  <c r="AA163" i="1"/>
  <c r="N163" i="1"/>
  <c r="AO162" i="1"/>
  <c r="AA162" i="1"/>
  <c r="N162" i="1"/>
  <c r="AO161" i="1"/>
  <c r="AA161" i="1"/>
  <c r="N161" i="1"/>
  <c r="AO160" i="1"/>
  <c r="AA160" i="1"/>
  <c r="N160" i="1"/>
  <c r="AO159" i="1"/>
  <c r="AA159" i="1"/>
  <c r="N159" i="1"/>
  <c r="AO158" i="1"/>
  <c r="AA158" i="1"/>
  <c r="N158" i="1"/>
  <c r="AO157" i="1"/>
  <c r="AA157" i="1"/>
  <c r="N157" i="1"/>
  <c r="AO156" i="1"/>
  <c r="AA156" i="1"/>
  <c r="N156" i="1"/>
  <c r="AO155" i="1"/>
  <c r="AA155" i="1"/>
  <c r="N155" i="1"/>
  <c r="AO154" i="1"/>
  <c r="AA154" i="1"/>
  <c r="N154" i="1"/>
  <c r="AO153" i="1"/>
  <c r="AA153" i="1"/>
  <c r="N153" i="1"/>
  <c r="AO152" i="1"/>
  <c r="AA152" i="1"/>
  <c r="N152" i="1"/>
  <c r="AO151" i="1"/>
  <c r="AA151" i="1"/>
  <c r="N151" i="1"/>
  <c r="AO150" i="1"/>
  <c r="AA150" i="1"/>
  <c r="N150" i="1"/>
  <c r="AO149" i="1"/>
  <c r="AA149" i="1"/>
  <c r="N149" i="1"/>
  <c r="AO148" i="1"/>
  <c r="AA148" i="1"/>
  <c r="N148" i="1"/>
  <c r="AO147" i="1"/>
  <c r="AA147" i="1"/>
  <c r="N147" i="1"/>
  <c r="AO146" i="1"/>
  <c r="AA146" i="1"/>
  <c r="N146" i="1"/>
  <c r="AO145" i="1"/>
  <c r="AA145" i="1"/>
  <c r="N145" i="1"/>
  <c r="AO144" i="1"/>
  <c r="AA144" i="1"/>
  <c r="N144" i="1"/>
  <c r="AO143" i="1"/>
  <c r="AA143" i="1"/>
  <c r="N143" i="1"/>
  <c r="AO142" i="1"/>
  <c r="AA142" i="1"/>
  <c r="N142" i="1"/>
  <c r="AO141" i="1"/>
  <c r="AA141" i="1"/>
  <c r="N141" i="1"/>
  <c r="AO140" i="1"/>
  <c r="AA140" i="1"/>
  <c r="N140" i="1"/>
  <c r="AO139" i="1"/>
  <c r="AA139" i="1"/>
  <c r="N139" i="1"/>
  <c r="AO138" i="1"/>
  <c r="AA138" i="1"/>
  <c r="N138" i="1"/>
  <c r="AO137" i="1"/>
  <c r="AA137" i="1"/>
  <c r="N137" i="1"/>
  <c r="AO136" i="1"/>
  <c r="AA136" i="1"/>
  <c r="N136" i="1"/>
  <c r="AO135" i="1"/>
  <c r="AA135" i="1"/>
  <c r="N135" i="1"/>
  <c r="AO134" i="1"/>
  <c r="AA134" i="1"/>
  <c r="N134" i="1"/>
  <c r="AO133" i="1"/>
  <c r="AA133" i="1"/>
  <c r="N133" i="1"/>
  <c r="AO132" i="1"/>
  <c r="AA132" i="1"/>
  <c r="N132" i="1"/>
  <c r="AO131" i="1"/>
  <c r="AA131" i="1"/>
  <c r="N131" i="1"/>
  <c r="AO130" i="1"/>
  <c r="AA130" i="1"/>
  <c r="N130" i="1"/>
  <c r="AO129" i="1"/>
  <c r="AA129" i="1"/>
  <c r="N129" i="1"/>
  <c r="AO128" i="1"/>
  <c r="AA128" i="1"/>
  <c r="N128" i="1"/>
  <c r="AO127" i="1"/>
  <c r="AA127" i="1"/>
  <c r="N127" i="1"/>
  <c r="AO126" i="1"/>
  <c r="AA126" i="1"/>
  <c r="N126" i="1"/>
  <c r="AO125" i="1"/>
  <c r="AA125" i="1"/>
  <c r="N125" i="1"/>
  <c r="AO124" i="1"/>
  <c r="AA124" i="1"/>
  <c r="N124" i="1"/>
  <c r="AO123" i="1"/>
  <c r="AA123" i="1"/>
  <c r="N123" i="1"/>
  <c r="AO122" i="1"/>
  <c r="AA122" i="1"/>
  <c r="N122" i="1"/>
  <c r="AO121" i="1"/>
  <c r="AA121" i="1"/>
  <c r="N121" i="1"/>
  <c r="AO120" i="1"/>
  <c r="AA120" i="1"/>
  <c r="N120" i="1"/>
  <c r="AO119" i="1"/>
  <c r="AA119" i="1"/>
  <c r="N119" i="1"/>
  <c r="AO118" i="1"/>
  <c r="AA118" i="1"/>
  <c r="N118" i="1"/>
  <c r="AO117" i="1"/>
  <c r="AA117" i="1"/>
  <c r="N117" i="1"/>
  <c r="AO116" i="1"/>
  <c r="AA116" i="1"/>
  <c r="N116" i="1"/>
  <c r="AO115" i="1"/>
  <c r="AA115" i="1"/>
  <c r="N115" i="1"/>
  <c r="AO114" i="1"/>
  <c r="AA114" i="1"/>
  <c r="N114" i="1"/>
  <c r="AO113" i="1"/>
  <c r="AA113" i="1"/>
  <c r="N113" i="1"/>
  <c r="AO112" i="1"/>
  <c r="AA112" i="1"/>
  <c r="N112" i="1"/>
  <c r="AO111" i="1"/>
  <c r="AA111" i="1"/>
  <c r="N111" i="1"/>
  <c r="AO110" i="1"/>
  <c r="AA110" i="1"/>
  <c r="N110" i="1"/>
  <c r="AO109" i="1"/>
  <c r="AA109" i="1"/>
  <c r="N109" i="1"/>
  <c r="AO108" i="1"/>
  <c r="AA108" i="1"/>
  <c r="N108" i="1"/>
  <c r="AO107" i="1"/>
  <c r="AA107" i="1"/>
  <c r="N107" i="1"/>
  <c r="AO106" i="1"/>
  <c r="AA106" i="1"/>
  <c r="N106" i="1"/>
  <c r="AO105" i="1"/>
  <c r="AA105" i="1"/>
  <c r="N105" i="1"/>
  <c r="AO104" i="1"/>
  <c r="AA104" i="1"/>
  <c r="N104" i="1"/>
  <c r="AO103" i="1"/>
  <c r="AA103" i="1"/>
  <c r="N103" i="1"/>
  <c r="AO102" i="1"/>
  <c r="AA102" i="1"/>
  <c r="N102" i="1"/>
  <c r="AO101" i="1"/>
  <c r="AA101" i="1"/>
  <c r="N101" i="1"/>
  <c r="AO100" i="1"/>
  <c r="AA100" i="1"/>
  <c r="N100" i="1"/>
  <c r="AO99" i="1"/>
  <c r="AA99" i="1"/>
  <c r="N99" i="1"/>
  <c r="AO98" i="1"/>
  <c r="AA98" i="1"/>
  <c r="N98" i="1"/>
  <c r="AO97" i="1"/>
  <c r="AA97" i="1"/>
  <c r="N97" i="1"/>
  <c r="AO96" i="1"/>
  <c r="AA96" i="1"/>
  <c r="N96" i="1"/>
  <c r="AO95" i="1"/>
  <c r="AA95" i="1"/>
  <c r="N95" i="1"/>
  <c r="AO94" i="1"/>
  <c r="AA94" i="1"/>
  <c r="N94" i="1"/>
  <c r="AO93" i="1"/>
  <c r="AA93" i="1"/>
  <c r="N93" i="1"/>
  <c r="AO92" i="1"/>
  <c r="AA92" i="1"/>
  <c r="N92" i="1"/>
  <c r="AO91" i="1"/>
  <c r="AA91" i="1"/>
  <c r="N91" i="1"/>
  <c r="AO90" i="1"/>
  <c r="AA90" i="1"/>
  <c r="N90" i="1"/>
  <c r="AO89" i="1"/>
  <c r="AA89" i="1"/>
  <c r="N89" i="1"/>
  <c r="AO88" i="1"/>
  <c r="AA88" i="1"/>
  <c r="N88" i="1"/>
  <c r="AO87" i="1"/>
  <c r="AA87" i="1"/>
  <c r="N87" i="1"/>
  <c r="AO86" i="1"/>
  <c r="AA86" i="1"/>
  <c r="N86" i="1"/>
  <c r="AO85" i="1"/>
  <c r="AA85" i="1"/>
  <c r="N85" i="1"/>
  <c r="AO84" i="1"/>
  <c r="AA84" i="1"/>
  <c r="N84" i="1"/>
  <c r="AO83" i="1"/>
  <c r="AA83" i="1"/>
  <c r="N83" i="1"/>
  <c r="AO82" i="1"/>
  <c r="AA82" i="1"/>
  <c r="N82" i="1"/>
  <c r="AO81" i="1"/>
  <c r="AA81" i="1"/>
  <c r="N81" i="1"/>
  <c r="AO80" i="1"/>
  <c r="AA80" i="1"/>
  <c r="N80" i="1"/>
  <c r="AO79" i="1"/>
  <c r="AA79" i="1"/>
  <c r="N79" i="1"/>
  <c r="AO78" i="1"/>
  <c r="AA78" i="1"/>
  <c r="N78" i="1"/>
  <c r="AO77" i="1"/>
  <c r="AA77" i="1"/>
  <c r="N77" i="1"/>
  <c r="AO76" i="1"/>
  <c r="AA76" i="1"/>
  <c r="N76" i="1"/>
  <c r="AO75" i="1"/>
  <c r="AA75" i="1"/>
  <c r="N75" i="1"/>
  <c r="AO74" i="1"/>
  <c r="AA74" i="1"/>
  <c r="N74" i="1"/>
  <c r="AO73" i="1"/>
  <c r="AA73" i="1"/>
  <c r="N73" i="1"/>
  <c r="AO72" i="1"/>
  <c r="AA72" i="1"/>
  <c r="N72" i="1"/>
  <c r="AO71" i="1"/>
  <c r="AA71" i="1"/>
  <c r="N71" i="1"/>
  <c r="AO70" i="1"/>
  <c r="AA70" i="1"/>
  <c r="N70" i="1"/>
  <c r="AO69" i="1"/>
  <c r="AA69" i="1"/>
  <c r="N69" i="1"/>
  <c r="AO68" i="1"/>
  <c r="AA68" i="1"/>
  <c r="N68" i="1"/>
  <c r="AO67" i="1"/>
  <c r="AA67" i="1"/>
  <c r="N67" i="1"/>
  <c r="AO66" i="1"/>
  <c r="AA66" i="1"/>
  <c r="N66" i="1"/>
  <c r="AO65" i="1"/>
  <c r="AA65" i="1"/>
  <c r="N65" i="1"/>
  <c r="AO64" i="1"/>
  <c r="AA64" i="1"/>
  <c r="N64" i="1"/>
  <c r="AO63" i="1"/>
  <c r="AA63" i="1"/>
  <c r="N63" i="1"/>
  <c r="AO62" i="1"/>
  <c r="AA62" i="1"/>
  <c r="N62" i="1"/>
  <c r="AO61" i="1"/>
  <c r="AA61" i="1"/>
  <c r="N61" i="1"/>
  <c r="AO60" i="1"/>
  <c r="AA60" i="1"/>
  <c r="N60" i="1"/>
  <c r="AO59" i="1"/>
  <c r="AA59" i="1"/>
  <c r="N59" i="1"/>
  <c r="AO58" i="1"/>
  <c r="AA58" i="1"/>
  <c r="N58" i="1"/>
  <c r="AO57" i="1"/>
  <c r="AA57" i="1"/>
  <c r="N57" i="1"/>
  <c r="AO56" i="1"/>
  <c r="AA56" i="1"/>
  <c r="N56" i="1"/>
  <c r="AO55" i="1"/>
  <c r="AA55" i="1"/>
  <c r="N55" i="1"/>
  <c r="AO54" i="1"/>
  <c r="AA54" i="1"/>
  <c r="N54" i="1"/>
  <c r="AO53" i="1"/>
  <c r="AA53" i="1"/>
  <c r="N53" i="1"/>
  <c r="AO52" i="1"/>
  <c r="AA52" i="1"/>
  <c r="N52" i="1"/>
  <c r="AO51" i="1"/>
  <c r="AA51" i="1"/>
  <c r="N51" i="1"/>
  <c r="AO50" i="1"/>
  <c r="AA50" i="1"/>
  <c r="N50" i="1"/>
  <c r="AO49" i="1"/>
  <c r="AA49" i="1"/>
  <c r="N49" i="1"/>
  <c r="AO48" i="1"/>
  <c r="AA48" i="1"/>
  <c r="N48" i="1"/>
  <c r="AO47" i="1"/>
  <c r="AA47" i="1"/>
  <c r="N47" i="1"/>
  <c r="AO46" i="1"/>
  <c r="AA46" i="1"/>
  <c r="N46" i="1"/>
  <c r="AO45" i="1"/>
  <c r="AA45" i="1"/>
  <c r="N45" i="1"/>
  <c r="AO44" i="1"/>
  <c r="AA44" i="1"/>
  <c r="N44" i="1"/>
  <c r="AO43" i="1"/>
  <c r="AA43" i="1"/>
  <c r="N43" i="1"/>
  <c r="AO42" i="1"/>
  <c r="AA42" i="1"/>
  <c r="N42" i="1"/>
  <c r="AO41" i="1"/>
  <c r="AA41" i="1"/>
  <c r="N41" i="1"/>
  <c r="AO40" i="1"/>
  <c r="AA40" i="1"/>
  <c r="N40" i="1"/>
  <c r="AO39" i="1"/>
  <c r="AA39" i="1"/>
  <c r="N39" i="1"/>
  <c r="AO38" i="1"/>
  <c r="AA38" i="1"/>
  <c r="N38" i="1"/>
  <c r="AO37" i="1"/>
  <c r="AA37" i="1"/>
  <c r="N37" i="1"/>
  <c r="AO36" i="1"/>
  <c r="AA36" i="1"/>
  <c r="N36" i="1"/>
  <c r="AO35" i="1"/>
  <c r="AA35" i="1"/>
  <c r="N35" i="1"/>
  <c r="AO34" i="1"/>
  <c r="AA34" i="1"/>
  <c r="N34" i="1"/>
  <c r="AO33" i="1"/>
  <c r="AA33" i="1"/>
  <c r="N33" i="1"/>
  <c r="AO32" i="1"/>
  <c r="AA32" i="1"/>
  <c r="N32" i="1"/>
  <c r="AO31" i="1"/>
  <c r="AA31" i="1"/>
  <c r="N31" i="1"/>
  <c r="AO30" i="1"/>
  <c r="AA30" i="1"/>
  <c r="N30" i="1"/>
  <c r="AO29" i="1"/>
  <c r="AA29" i="1"/>
  <c r="N29" i="1"/>
  <c r="AO28" i="1"/>
  <c r="AA28" i="1"/>
  <c r="N28" i="1"/>
  <c r="AO27" i="1"/>
  <c r="AA27" i="1"/>
  <c r="N27" i="1"/>
  <c r="AO26" i="1"/>
  <c r="AA26" i="1"/>
  <c r="N26" i="1"/>
  <c r="AO25" i="1"/>
  <c r="AA25" i="1"/>
  <c r="N25" i="1"/>
  <c r="AO24" i="1"/>
  <c r="AA24" i="1"/>
  <c r="N24" i="1"/>
  <c r="AO23" i="1"/>
  <c r="AA23" i="1"/>
  <c r="N23" i="1"/>
  <c r="AO22" i="1"/>
  <c r="AA22" i="1"/>
  <c r="N22" i="1"/>
  <c r="AO21" i="1"/>
  <c r="AA21" i="1"/>
  <c r="N21" i="1"/>
  <c r="AO20" i="1"/>
  <c r="AA20" i="1"/>
  <c r="N20" i="1"/>
  <c r="AO19" i="1"/>
  <c r="AA19" i="1"/>
  <c r="N19" i="1"/>
  <c r="AO18" i="1"/>
  <c r="AA18" i="1"/>
  <c r="N18" i="1"/>
  <c r="AO17" i="1"/>
  <c r="AA17" i="1"/>
  <c r="N17" i="1"/>
  <c r="AO16" i="1"/>
  <c r="AA16" i="1"/>
  <c r="N16" i="1"/>
  <c r="AO15" i="1"/>
  <c r="AA15" i="1"/>
  <c r="N15" i="1"/>
  <c r="AO14" i="1"/>
  <c r="AA14" i="1"/>
  <c r="N14" i="1"/>
  <c r="AO13" i="1"/>
  <c r="AA13" i="1"/>
  <c r="N13" i="1"/>
  <c r="AO12" i="1"/>
  <c r="AA12" i="1"/>
  <c r="N12" i="1"/>
  <c r="AO11" i="1"/>
  <c r="AA11" i="1"/>
  <c r="N11" i="1"/>
  <c r="AO10" i="1"/>
  <c r="AA10" i="1"/>
  <c r="N10" i="1"/>
  <c r="AO9" i="1"/>
  <c r="AA9" i="1"/>
  <c r="N9" i="1"/>
  <c r="AO8" i="1"/>
  <c r="AA8" i="1"/>
  <c r="N8" i="1"/>
  <c r="AO7" i="1"/>
  <c r="AA7" i="1"/>
  <c r="N7" i="1"/>
  <c r="AO6" i="1"/>
  <c r="AA6" i="1"/>
  <c r="N6" i="1"/>
  <c r="AO5" i="1"/>
  <c r="AA5" i="1"/>
  <c r="N5" i="1"/>
  <c r="AO4" i="1"/>
  <c r="AA4" i="1"/>
  <c r="N4" i="1"/>
  <c r="AO3" i="1"/>
  <c r="AA3" i="1"/>
  <c r="N3" i="1"/>
  <c r="B12" i="2" l="1"/>
  <c r="B15" i="2" s="1"/>
  <c r="B13" i="2"/>
  <c r="B16" i="2" s="1"/>
  <c r="B1" i="2"/>
  <c r="C16" i="2" l="1"/>
  <c r="D18" i="2"/>
  <c r="E18" i="2" s="1"/>
  <c r="C15" i="2"/>
</calcChain>
</file>

<file path=xl/sharedStrings.xml><?xml version="1.0" encoding="utf-8"?>
<sst xmlns="http://schemas.openxmlformats.org/spreadsheetml/2006/main" count="5172" uniqueCount="1068">
  <si>
    <t>Data (in Megabytes)</t>
  </si>
  <si>
    <t>Talktime (in Minutes)</t>
  </si>
  <si>
    <t>Plan</t>
  </si>
  <si>
    <t>Billing (in Euros)</t>
  </si>
  <si>
    <t>Customer_ID</t>
  </si>
  <si>
    <t>January_Data</t>
  </si>
  <si>
    <t>February_Data</t>
  </si>
  <si>
    <t>March_Data</t>
  </si>
  <si>
    <t>April_Data</t>
  </si>
  <si>
    <t>May_Data</t>
  </si>
  <si>
    <t>June_Data</t>
  </si>
  <si>
    <t>July_Data</t>
  </si>
  <si>
    <t>August_Data</t>
  </si>
  <si>
    <t>September_Data</t>
  </si>
  <si>
    <t>October_Data</t>
  </si>
  <si>
    <t>November_Data</t>
  </si>
  <si>
    <t>December_Data</t>
  </si>
  <si>
    <t>Total_Data_Usage</t>
  </si>
  <si>
    <t>January_Talktime</t>
  </si>
  <si>
    <t>February_Talktime</t>
  </si>
  <si>
    <t>March_Talktime</t>
  </si>
  <si>
    <t>April_Talktime</t>
  </si>
  <si>
    <t>May_Talktime</t>
  </si>
  <si>
    <t>June_Talktime</t>
  </si>
  <si>
    <t>July_Talktime</t>
  </si>
  <si>
    <t>August_Talktime</t>
  </si>
  <si>
    <t>September_Talktime</t>
  </si>
  <si>
    <t>October_Talktime</t>
  </si>
  <si>
    <t>November_Talktime</t>
  </si>
  <si>
    <t>December_Talktime</t>
  </si>
  <si>
    <t>Total_Talktime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</si>
  <si>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</si>
  <si>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</si>
  <si>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</si>
  <si>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</si>
  <si>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</si>
  <si>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</si>
  <si>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</si>
  <si>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</si>
  <si>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</si>
  <si>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</si>
  <si>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</si>
  <si>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</si>
  <si>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billing amount</t>
  </si>
  <si>
    <t>SUB-729143503</t>
  </si>
  <si>
    <t>Reduced rate</t>
  </si>
  <si>
    <t>SUB-327259441</t>
  </si>
  <si>
    <t>SUB-720199369</t>
  </si>
  <si>
    <t>SUB-115774364</t>
  </si>
  <si>
    <t>SUB-687511952</t>
  </si>
  <si>
    <t>SUB-884111294</t>
  </si>
  <si>
    <t>SUB-754009185</t>
  </si>
  <si>
    <t>SUB-907933772</t>
  </si>
  <si>
    <t>SUB-219686190</t>
  </si>
  <si>
    <t>SUB-275406642</t>
  </si>
  <si>
    <t>SUB-475178203</t>
  </si>
  <si>
    <t>SUB-384428935</t>
  </si>
  <si>
    <t>SUB-521321411</t>
  </si>
  <si>
    <t>SUB-898408300</t>
  </si>
  <si>
    <t>SUB-924761319</t>
  </si>
  <si>
    <t>SUB-837792243</t>
  </si>
  <si>
    <t>SUB-391629132</t>
  </si>
  <si>
    <t>SUB-650580748</t>
  </si>
  <si>
    <t>Pay-as-you-go</t>
  </si>
  <si>
    <t>SUB-351850519</t>
  </si>
  <si>
    <t>SUB-316698812</t>
  </si>
  <si>
    <t>SUB-175614581</t>
  </si>
  <si>
    <t>SUB-899028258</t>
  </si>
  <si>
    <t>SUB-294859069</t>
  </si>
  <si>
    <t>SUB-706740153</t>
  </si>
  <si>
    <t>SUB-280254393</t>
  </si>
  <si>
    <t>SUB-271242242</t>
  </si>
  <si>
    <t>SUB-494068818</t>
  </si>
  <si>
    <t>SUB-370666838</t>
  </si>
  <si>
    <t>SUB-317961017</t>
  </si>
  <si>
    <t>SUB-587875037</t>
  </si>
  <si>
    <t>SUB-199254755</t>
  </si>
  <si>
    <t>SUB-299496586</t>
  </si>
  <si>
    <t>SUB-546490543</t>
  </si>
  <si>
    <t>SUB-522380396</t>
  </si>
  <si>
    <t>SUB-624779756</t>
  </si>
  <si>
    <t>SUB-859230726</t>
  </si>
  <si>
    <t>SUB-876237466</t>
  </si>
  <si>
    <t>SUB-332277195</t>
  </si>
  <si>
    <t>SUB-740468970</t>
  </si>
  <si>
    <t>SUB-140130734</t>
  </si>
  <si>
    <t>SUB-300776769</t>
  </si>
  <si>
    <t>SUB-482672608</t>
  </si>
  <si>
    <t>SUB-240238594</t>
  </si>
  <si>
    <t>SUB-417958675</t>
  </si>
  <si>
    <t>SUB-489079307</t>
  </si>
  <si>
    <t>SUB-764112687</t>
  </si>
  <si>
    <t>SUB-560808878</t>
  </si>
  <si>
    <t>SUB-402704839</t>
  </si>
  <si>
    <t>SUB-799918531</t>
  </si>
  <si>
    <t>SUB-775709787</t>
  </si>
  <si>
    <t>SUB-775872351</t>
  </si>
  <si>
    <t>SUB-912424593</t>
  </si>
  <si>
    <t>SUB-895786132</t>
  </si>
  <si>
    <t>SUB-242460300</t>
  </si>
  <si>
    <t>SUB-289127631</t>
  </si>
  <si>
    <t>SUB-765445306</t>
  </si>
  <si>
    <t>SUB-877246071</t>
  </si>
  <si>
    <t>SUB-934336547</t>
  </si>
  <si>
    <t>SUB-657328973</t>
  </si>
  <si>
    <t>SUB-973360324</t>
  </si>
  <si>
    <t>SUB-163559604</t>
  </si>
  <si>
    <t>SUB-614797073</t>
  </si>
  <si>
    <t>SUB-705491398</t>
  </si>
  <si>
    <t>SUB-553824883</t>
  </si>
  <si>
    <t>SUB-875092628</t>
  </si>
  <si>
    <t>SUB-163726216</t>
  </si>
  <si>
    <t>SUB-325289139</t>
  </si>
  <si>
    <t>SUB-516897124</t>
  </si>
  <si>
    <t>SUB-366345085</t>
  </si>
  <si>
    <t>SUB-745978885</t>
  </si>
  <si>
    <t>SUB-894591608</t>
  </si>
  <si>
    <t>SUB-440630499</t>
  </si>
  <si>
    <t>SUB-646702929</t>
  </si>
  <si>
    <t>SUB-774198671</t>
  </si>
  <si>
    <t>SUB-178252773</t>
  </si>
  <si>
    <t>SUB-661631925</t>
  </si>
  <si>
    <t>SUB-294881232</t>
  </si>
  <si>
    <t>SUB-594724438</t>
  </si>
  <si>
    <t>SUB-767619642</t>
  </si>
  <si>
    <t>SUB-225496767</t>
  </si>
  <si>
    <t>SUB-919749227</t>
  </si>
  <si>
    <t>SUB-701278298</t>
  </si>
  <si>
    <t>SUB-191427278</t>
  </si>
  <si>
    <t>SUB-229501772</t>
  </si>
  <si>
    <t>SUB-911944137</t>
  </si>
  <si>
    <t>SUB-758908462</t>
  </si>
  <si>
    <t>SUB-228220181</t>
  </si>
  <si>
    <t>SUB-989555279</t>
  </si>
  <si>
    <t>SUB-921029467</t>
  </si>
  <si>
    <t>SUB-810164543</t>
  </si>
  <si>
    <t>SUB-166479353</t>
  </si>
  <si>
    <t>SUB-722124401</t>
  </si>
  <si>
    <t>SUB-455005212</t>
  </si>
  <si>
    <t>SUB-971920820</t>
  </si>
  <si>
    <t>SUB-600513628</t>
  </si>
  <si>
    <t>SUB-108880090</t>
  </si>
  <si>
    <t>SUB-722121093</t>
  </si>
  <si>
    <t>SUB-575879069</t>
  </si>
  <si>
    <t>SUB-376808909</t>
  </si>
  <si>
    <t>SUB-225086980</t>
  </si>
  <si>
    <t>SUB-751972336</t>
  </si>
  <si>
    <t>SUB-125947742</t>
  </si>
  <si>
    <t>SUB-998218459</t>
  </si>
  <si>
    <t>SUB-125853271</t>
  </si>
  <si>
    <t>SUB-567205507</t>
  </si>
  <si>
    <t>SUB-219938302</t>
  </si>
  <si>
    <t>SUB-854767317</t>
  </si>
  <si>
    <t>SUB-136927625</t>
  </si>
  <si>
    <t>SUB-640409018</t>
  </si>
  <si>
    <t>SUB-949068467</t>
  </si>
  <si>
    <t>SUB-208225819</t>
  </si>
  <si>
    <t>SUB-739952735</t>
  </si>
  <si>
    <t>SUB-339269488</t>
  </si>
  <si>
    <t>SUB-218602985</t>
  </si>
  <si>
    <t>SUB-399899189</t>
  </si>
  <si>
    <t>SUB-500229881</t>
  </si>
  <si>
    <t>SUB-802315183</t>
  </si>
  <si>
    <t>SUB-228650226</t>
  </si>
  <si>
    <t>SUB-270288096</t>
  </si>
  <si>
    <t>SUB-182229260</t>
  </si>
  <si>
    <t>SUB-475645336</t>
  </si>
  <si>
    <t>SUB-909456725</t>
  </si>
  <si>
    <t>SUB-518709102</t>
  </si>
  <si>
    <t>SUB-780906514</t>
  </si>
  <si>
    <t>SUB-400178402</t>
  </si>
  <si>
    <t>SUB-184107923</t>
  </si>
  <si>
    <t>SUB-393652004</t>
  </si>
  <si>
    <t>SUB-141752642</t>
  </si>
  <si>
    <t>SUB-342430878</t>
  </si>
  <si>
    <t>SUB-747017710</t>
  </si>
  <si>
    <t>SUB-873553053</t>
  </si>
  <si>
    <t>SUB-434190092</t>
  </si>
  <si>
    <t>SUB-396904869</t>
  </si>
  <si>
    <t>SUB-609799155</t>
  </si>
  <si>
    <t>SUB-305581564</t>
  </si>
  <si>
    <t>SUB-680024972</t>
  </si>
  <si>
    <t>SUB-604974453</t>
  </si>
  <si>
    <t>SUB-442019541</t>
  </si>
  <si>
    <t>SUB-946305398</t>
  </si>
  <si>
    <t>SUB-894590129</t>
  </si>
  <si>
    <t>SUB-204203706</t>
  </si>
  <si>
    <t>SUB-649416692</t>
  </si>
  <si>
    <t>SUB-516055456</t>
  </si>
  <si>
    <t>SUB-567411882</t>
  </si>
  <si>
    <t>SUB-592522805</t>
  </si>
  <si>
    <t>SUB-318504688</t>
  </si>
  <si>
    <t>SUB-409131512</t>
  </si>
  <si>
    <t>SUB-825600304</t>
  </si>
  <si>
    <t>SUB-503817529</t>
  </si>
  <si>
    <t>SUB-589408412</t>
  </si>
  <si>
    <t>SUB-377059302</t>
  </si>
  <si>
    <t>SUB-840616719</t>
  </si>
  <si>
    <t>SUB-354672872</t>
  </si>
  <si>
    <t>SUB-425076361</t>
  </si>
  <si>
    <t>SUB-617610270</t>
  </si>
  <si>
    <t>SUB-267071852</t>
  </si>
  <si>
    <t>SUB-717636784</t>
  </si>
  <si>
    <t>SUB-770701171</t>
  </si>
  <si>
    <t>SUB-206701024</t>
  </si>
  <si>
    <t>SUB-282064203</t>
  </si>
  <si>
    <t>SUB-603715729</t>
  </si>
  <si>
    <t>SUB-785053716</t>
  </si>
  <si>
    <t>SUB-933706548</t>
  </si>
  <si>
    <t>SUB-869533833</t>
  </si>
  <si>
    <t>SUB-202373977</t>
  </si>
  <si>
    <t>SUB-483500594</t>
  </si>
  <si>
    <t>SUB-634011315</t>
  </si>
  <si>
    <t>SUB-217901839</t>
  </si>
  <si>
    <t>SUB-420343521</t>
  </si>
  <si>
    <t>SUB-138765605</t>
  </si>
  <si>
    <t>SUB-719146525</t>
  </si>
  <si>
    <t>SUB-632008623</t>
  </si>
  <si>
    <t>SUB-474017666</t>
  </si>
  <si>
    <t>SUB-808991904</t>
  </si>
  <si>
    <t>SUB-987094700</t>
  </si>
  <si>
    <t>SUB-572851833</t>
  </si>
  <si>
    <t>SUB-676473867</t>
  </si>
  <si>
    <t>SUB-811441705</t>
  </si>
  <si>
    <t>SUB-832706441</t>
  </si>
  <si>
    <t>SUB-596528392</t>
  </si>
  <si>
    <t>SUB-509441380</t>
  </si>
  <si>
    <t>SUB-481846870</t>
  </si>
  <si>
    <t>SUB-349792514</t>
  </si>
  <si>
    <t>SUB-328765738</t>
  </si>
  <si>
    <t>SUB-906960619</t>
  </si>
  <si>
    <t>SUB-453535445</t>
  </si>
  <si>
    <t>SUB-799168019</t>
  </si>
  <si>
    <t>SUB-477202880</t>
  </si>
  <si>
    <t>SUB-966443270</t>
  </si>
  <si>
    <t>SUB-599318185</t>
  </si>
  <si>
    <t>SUB-802149063</t>
  </si>
  <si>
    <t>SUB-133156503</t>
  </si>
  <si>
    <t>SUB-496839023</t>
  </si>
  <si>
    <t>SUB-433027906</t>
  </si>
  <si>
    <t>SUB-351734553</t>
  </si>
  <si>
    <t>SUB-520337413</t>
  </si>
  <si>
    <t>SUB-128686285</t>
  </si>
  <si>
    <t>SUB-600812073</t>
  </si>
  <si>
    <t>SUB-749697415</t>
  </si>
  <si>
    <t>SUB-894321734</t>
  </si>
  <si>
    <t>SUB-672451681</t>
  </si>
  <si>
    <t>SUB-710934053</t>
  </si>
  <si>
    <t>SUB-230563938</t>
  </si>
  <si>
    <t>SUB-746014018</t>
  </si>
  <si>
    <t>SUB-905139100</t>
  </si>
  <si>
    <t>SUB-349437087</t>
  </si>
  <si>
    <t>SUB-919542786</t>
  </si>
  <si>
    <t>SUB-117347433</t>
  </si>
  <si>
    <t>SUB-840740107</t>
  </si>
  <si>
    <t>SUB-755766137</t>
  </si>
  <si>
    <t>SUB-666982155</t>
  </si>
  <si>
    <t>SUB-436350881</t>
  </si>
  <si>
    <t>SUB-801415014</t>
  </si>
  <si>
    <t>SUB-211525379</t>
  </si>
  <si>
    <t>SUB-996000086</t>
  </si>
  <si>
    <t>SUB-426328153</t>
  </si>
  <si>
    <t>SUB-202062368</t>
  </si>
  <si>
    <t>SUB-551425603</t>
  </si>
  <si>
    <t>SUB-971172605</t>
  </si>
  <si>
    <t>SUB-559395406</t>
  </si>
  <si>
    <t>SUB-671342528</t>
  </si>
  <si>
    <t>SUB-299657173</t>
  </si>
  <si>
    <t>SUB-606224209</t>
  </si>
  <si>
    <t>SUB-281716581</t>
  </si>
  <si>
    <t>SUB-980066648</t>
  </si>
  <si>
    <t>SUB-303795801</t>
  </si>
  <si>
    <t>SUB-513092668</t>
  </si>
  <si>
    <t>SUB-488650282</t>
  </si>
  <si>
    <t>SUB-299979974</t>
  </si>
  <si>
    <t>SUB-800883710</t>
  </si>
  <si>
    <t>SUB-770614628</t>
  </si>
  <si>
    <t>SUB-779990233</t>
  </si>
  <si>
    <t>SUB-881291444</t>
  </si>
  <si>
    <t>SUB-473973371</t>
  </si>
  <si>
    <t>SUB-317315009</t>
  </si>
  <si>
    <t>SUB-170596371</t>
  </si>
  <si>
    <t>SUB-534179138</t>
  </si>
  <si>
    <t>SUB-266848804</t>
  </si>
  <si>
    <t>SUB-618569945</t>
  </si>
  <si>
    <t>SUB-592638226</t>
  </si>
  <si>
    <t>SUB-509627993</t>
  </si>
  <si>
    <t>SUB-402340183</t>
  </si>
  <si>
    <t>SUB-279367285</t>
  </si>
  <si>
    <t>SUB-119238810</t>
  </si>
  <si>
    <t>SUB-595489343</t>
  </si>
  <si>
    <t>SUB-990558104</t>
  </si>
  <si>
    <t>SUB-706284944</t>
  </si>
  <si>
    <t>SUB-200802321</t>
  </si>
  <si>
    <t>SUB-314616771</t>
  </si>
  <si>
    <t>SUB-472605395</t>
  </si>
  <si>
    <t>SUB-901678291</t>
  </si>
  <si>
    <t>SUB-777973821</t>
  </si>
  <si>
    <t>SUB-998702037</t>
  </si>
  <si>
    <t>SUB-421938177</t>
  </si>
  <si>
    <t>SUB-522523441</t>
  </si>
  <si>
    <t>SUB-979460145</t>
  </si>
  <si>
    <t>SUB-136181771</t>
  </si>
  <si>
    <t>SUB-698213033</t>
  </si>
  <si>
    <t>SUB-997894279</t>
  </si>
  <si>
    <t>SUB-868291326</t>
  </si>
  <si>
    <t>SUB-441430236</t>
  </si>
  <si>
    <t>SUB-517258009</t>
  </si>
  <si>
    <t>SUB-963700790</t>
  </si>
  <si>
    <t>SUB-609489867</t>
  </si>
  <si>
    <t>SUB-149944814</t>
  </si>
  <si>
    <t>SUB-885967979</t>
  </si>
  <si>
    <t>SUB-608291457</t>
  </si>
  <si>
    <t>SUB-732058627</t>
  </si>
  <si>
    <t>SUB-941274767</t>
  </si>
  <si>
    <t>SUB-466144132</t>
  </si>
  <si>
    <t>SUB-459676307</t>
  </si>
  <si>
    <t>SUB-684911847</t>
  </si>
  <si>
    <t>SUB-522709910</t>
  </si>
  <si>
    <t>SUB-869136672</t>
  </si>
  <si>
    <t>SUB-202400714</t>
  </si>
  <si>
    <t>SUB-865612108</t>
  </si>
  <si>
    <t>SUB-822337568</t>
  </si>
  <si>
    <t>SUB-715195435</t>
  </si>
  <si>
    <t>SUB-845354324</t>
  </si>
  <si>
    <t>SUB-528930627</t>
  </si>
  <si>
    <t>SUB-861842207</t>
  </si>
  <si>
    <t>SUB-710324666</t>
  </si>
  <si>
    <t>SUB-131768269</t>
  </si>
  <si>
    <t>SUB-215634383</t>
  </si>
  <si>
    <t>SUB-746081973</t>
  </si>
  <si>
    <t>SUB-104899978</t>
  </si>
  <si>
    <t>SUB-874700950</t>
  </si>
  <si>
    <t>SUB-511743673</t>
  </si>
  <si>
    <t>SUB-217130068</t>
  </si>
  <si>
    <t>SUB-438173731</t>
  </si>
  <si>
    <t>SUB-990641907</t>
  </si>
  <si>
    <t>SUB-529642764</t>
  </si>
  <si>
    <t>SUB-680651750</t>
  </si>
  <si>
    <t>SUB-747179630</t>
  </si>
  <si>
    <t>SUB-604169794</t>
  </si>
  <si>
    <t>SUB-541778579</t>
  </si>
  <si>
    <t>SUB-849575509</t>
  </si>
  <si>
    <t>SUB-592358144</t>
  </si>
  <si>
    <t>SUB-755169091</t>
  </si>
  <si>
    <t>SUB-358463339</t>
  </si>
  <si>
    <t>SUB-871459043</t>
  </si>
  <si>
    <t>SUB-839396283</t>
  </si>
  <si>
    <t>SUB-398216069</t>
  </si>
  <si>
    <t>SUB-712166328</t>
  </si>
  <si>
    <t>SUB-977395885</t>
  </si>
  <si>
    <t>SUB-964998357</t>
  </si>
  <si>
    <t>SUB-706003009</t>
  </si>
  <si>
    <t>SUB-421465545</t>
  </si>
  <si>
    <t>SUB-513817677</t>
  </si>
  <si>
    <t>SUB-104250558</t>
  </si>
  <si>
    <t>SUB-656338848</t>
  </si>
  <si>
    <t>SUB-814669645</t>
  </si>
  <si>
    <t>SUB-708460914</t>
  </si>
  <si>
    <t>SUB-992333816</t>
  </si>
  <si>
    <t>SUB-700423127</t>
  </si>
  <si>
    <t>SUB-180755363</t>
  </si>
  <si>
    <t>SUB-318287098</t>
  </si>
  <si>
    <t>SUB-703223955</t>
  </si>
  <si>
    <t>SUB-561203582</t>
  </si>
  <si>
    <t>SUB-889152002</t>
  </si>
  <si>
    <t>SUB-208757677</t>
  </si>
  <si>
    <t>SUB-275007520</t>
  </si>
  <si>
    <t>SUB-580321085</t>
  </si>
  <si>
    <t>SUB-850881249</t>
  </si>
  <si>
    <t>SUB-460861811</t>
  </si>
  <si>
    <t>SUB-645426620</t>
  </si>
  <si>
    <t>SUB-541532292</t>
  </si>
  <si>
    <t>SUB-827850815</t>
  </si>
  <si>
    <t>SUB-216583109</t>
  </si>
  <si>
    <t>SUB-617489014</t>
  </si>
  <si>
    <t>SUB-641828394</t>
  </si>
  <si>
    <t>SUB-930980944</t>
  </si>
  <si>
    <t>SUB-825223704</t>
  </si>
  <si>
    <t>SUB-761628594</t>
  </si>
  <si>
    <t>SUB-537834271</t>
  </si>
  <si>
    <t>SUB-130985941</t>
  </si>
  <si>
    <t>SUB-434340682</t>
  </si>
  <si>
    <t>SUB-459024696</t>
  </si>
  <si>
    <t>SUB-510644427</t>
  </si>
  <si>
    <t>SUB-978970500</t>
  </si>
  <si>
    <t>SUB-939200880</t>
  </si>
  <si>
    <t>SUB-463410899</t>
  </si>
  <si>
    <t>SUB-760931851</t>
  </si>
  <si>
    <t>SUB-930014482</t>
  </si>
  <si>
    <t>SUB-556702976</t>
  </si>
  <si>
    <t>SUB-240394725</t>
  </si>
  <si>
    <t>SUB-443168735</t>
  </si>
  <si>
    <t>SUB-623079155</t>
  </si>
  <si>
    <t>SUB-322723550</t>
  </si>
  <si>
    <t>SUB-164266931</t>
  </si>
  <si>
    <t>SUB-389090823</t>
  </si>
  <si>
    <t>SUB-988917336</t>
  </si>
  <si>
    <t>SUB-868776430</t>
  </si>
  <si>
    <t>SUB-108305604</t>
  </si>
  <si>
    <t>SUB-607001906</t>
  </si>
  <si>
    <t>SUB-661003595</t>
  </si>
  <si>
    <t>SUB-849608011</t>
  </si>
  <si>
    <t>SUB-134758655</t>
  </si>
  <si>
    <t>SUB-973053349</t>
  </si>
  <si>
    <t>SUB-157801885</t>
  </si>
  <si>
    <t>SUB-402724460</t>
  </si>
  <si>
    <t>SUB-848108324</t>
  </si>
  <si>
    <t>SUB-505596950</t>
  </si>
  <si>
    <t>SUB-910090002</t>
  </si>
  <si>
    <t>SUB-447898544</t>
  </si>
  <si>
    <t>SUB-494201721</t>
  </si>
  <si>
    <t>SUB-945782039</t>
  </si>
  <si>
    <t>SUB-743493369</t>
  </si>
  <si>
    <t>SUB-431226390</t>
  </si>
  <si>
    <t>SUB-156593807</t>
  </si>
  <si>
    <t>SUB-842487308</t>
  </si>
  <si>
    <t>SUB-501322148</t>
  </si>
  <si>
    <t>SUB-492955131</t>
  </si>
  <si>
    <t>SUB-765777725</t>
  </si>
  <si>
    <t>SUB-129211068</t>
  </si>
  <si>
    <t>SUB-413704181</t>
  </si>
  <si>
    <t>SUB-222461062</t>
  </si>
  <si>
    <t>SUB-738597809</t>
  </si>
  <si>
    <t>SUB-327629905</t>
  </si>
  <si>
    <t>SUB-791209511</t>
  </si>
  <si>
    <t>SUB-748089421</t>
  </si>
  <si>
    <t>SUB-324830159</t>
  </si>
  <si>
    <t>SUB-587855760</t>
  </si>
  <si>
    <t>SUB-534492024</t>
  </si>
  <si>
    <t>SUB-608114729</t>
  </si>
  <si>
    <t>SUB-711383865</t>
  </si>
  <si>
    <t>SUB-866171993</t>
  </si>
  <si>
    <t>SUB-950224565</t>
  </si>
  <si>
    <t>SUB-495586423</t>
  </si>
  <si>
    <t>SUB-791307193</t>
  </si>
  <si>
    <t>SUB-567237651</t>
  </si>
  <si>
    <t>SUB-663046011</t>
  </si>
  <si>
    <t>SUB-140543044</t>
  </si>
  <si>
    <t>SUB-180004486</t>
  </si>
  <si>
    <t>SUB-983152592</t>
  </si>
  <si>
    <t>SUB-765246294</t>
  </si>
  <si>
    <t>SUB-204591161</t>
  </si>
  <si>
    <t>SUB-407300704</t>
  </si>
  <si>
    <t>SUB-154443930</t>
  </si>
  <si>
    <t>SUB-630983051</t>
  </si>
  <si>
    <t>SUB-607361846</t>
  </si>
  <si>
    <t>SUB-778256394</t>
  </si>
  <si>
    <t>SUB-917561098</t>
  </si>
  <si>
    <t>SUB-582636505</t>
  </si>
  <si>
    <t>SUB-882918458</t>
  </si>
  <si>
    <t>SUB-316843248</t>
  </si>
  <si>
    <t>SUB-958098162</t>
  </si>
  <si>
    <t>SUB-795978608</t>
  </si>
  <si>
    <t>SUB-445079670</t>
  </si>
  <si>
    <t>SUB-271793838</t>
  </si>
  <si>
    <t>SUB-516202229</t>
  </si>
  <si>
    <t>SUB-724172057</t>
  </si>
  <si>
    <t>SUB-228242118</t>
  </si>
  <si>
    <t>SUB-192200774</t>
  </si>
  <si>
    <t>SUB-992753429</t>
  </si>
  <si>
    <t>SUB-943975737</t>
  </si>
  <si>
    <t>SUB-203534896</t>
  </si>
  <si>
    <t>SUB-803903694</t>
  </si>
  <si>
    <t>SUB-174157347</t>
  </si>
  <si>
    <t>SUB-218872152</t>
  </si>
  <si>
    <t>SUB-753181738</t>
  </si>
  <si>
    <t>SUB-268838191</t>
  </si>
  <si>
    <t>SUB-461192198</t>
  </si>
  <si>
    <t>SUB-704706660</t>
  </si>
  <si>
    <t>SUB-285728161</t>
  </si>
  <si>
    <t>SUB-178331796</t>
  </si>
  <si>
    <t>SUB-133802335</t>
  </si>
  <si>
    <t>SUB-299557135</t>
  </si>
  <si>
    <t>SUB-285568742</t>
  </si>
  <si>
    <t>SUB-994908635</t>
  </si>
  <si>
    <t>SUB-770910535</t>
  </si>
  <si>
    <t>SUB-510071354</t>
  </si>
  <si>
    <t>SUB-885011781</t>
  </si>
  <si>
    <t>SUB-783994708</t>
  </si>
  <si>
    <t>SUB-677998220</t>
  </si>
  <si>
    <t>SUB-856401191</t>
  </si>
  <si>
    <t>SUB-328961830</t>
  </si>
  <si>
    <t>SUB-847988630</t>
  </si>
  <si>
    <t>SUB-875529826</t>
  </si>
  <si>
    <t>SUB-793775754</t>
  </si>
  <si>
    <t>SUB-412270559</t>
  </si>
  <si>
    <t>SUB-986340943</t>
  </si>
  <si>
    <t>SUB-968497246</t>
  </si>
  <si>
    <t>SUB-920546731</t>
  </si>
  <si>
    <t>SUB-980701697</t>
  </si>
  <si>
    <t>SUB-602861869</t>
  </si>
  <si>
    <t>SUB-750558199</t>
  </si>
  <si>
    <t>SUB-467104235</t>
  </si>
  <si>
    <t>SUB-218668664</t>
  </si>
  <si>
    <t>SUB-139535508</t>
  </si>
  <si>
    <t>SUB-597457337</t>
  </si>
  <si>
    <t>SUB-479666822</t>
  </si>
  <si>
    <t>SUB-779263532</t>
  </si>
  <si>
    <t>SUB-778119201</t>
  </si>
  <si>
    <t>SUB-581909213</t>
  </si>
  <si>
    <t>SUB-835805988</t>
  </si>
  <si>
    <t>SUB-664602488</t>
  </si>
  <si>
    <t>SUB-305375874</t>
  </si>
  <si>
    <t>SUB-151074186</t>
  </si>
  <si>
    <t>SUB-911630428</t>
  </si>
  <si>
    <t>SUB-999991055</t>
  </si>
  <si>
    <t>SUB-203031103</t>
  </si>
  <si>
    <t>SUB-873486707</t>
  </si>
  <si>
    <t>SUB-697463730</t>
  </si>
  <si>
    <t>SUB-647391790</t>
  </si>
  <si>
    <t>SUB-686053062</t>
  </si>
  <si>
    <t>SUB-680130631</t>
  </si>
  <si>
    <t>SUB-610304281</t>
  </si>
  <si>
    <t>SUB-866072453</t>
  </si>
  <si>
    <t>SUB-628420446</t>
  </si>
  <si>
    <t>SUB-340441776</t>
  </si>
  <si>
    <t>SUB-928437959</t>
  </si>
  <si>
    <t>SUB-769551422</t>
  </si>
  <si>
    <t>SUB-190242475</t>
  </si>
  <si>
    <t>SUB-304251046</t>
  </si>
  <si>
    <t>SUB-275599312</t>
  </si>
  <si>
    <t>SUB-444437421</t>
  </si>
  <si>
    <t>SUB-690771108</t>
  </si>
  <si>
    <t>SUB-709941553</t>
  </si>
  <si>
    <t>SUB-667809149</t>
  </si>
  <si>
    <t>SUB-636739580</t>
  </si>
  <si>
    <t>SUB-551223683</t>
  </si>
  <si>
    <t>SUB-573734959</t>
  </si>
  <si>
    <t>SUB-415448540</t>
  </si>
  <si>
    <t>SUB-707420217</t>
  </si>
  <si>
    <t>SUB-923707615</t>
  </si>
  <si>
    <t>SUB-288241000</t>
  </si>
  <si>
    <t>SUB-814138787</t>
  </si>
  <si>
    <t>SUB-174115462</t>
  </si>
  <si>
    <t>SUB-823138569</t>
  </si>
  <si>
    <t>SUB-148106862</t>
  </si>
  <si>
    <t>SUB-158158096</t>
  </si>
  <si>
    <t>SUB-782101246</t>
  </si>
  <si>
    <t>SUB-564580889</t>
  </si>
  <si>
    <t>SUB-386129133</t>
  </si>
  <si>
    <t>SUB-350741197</t>
  </si>
  <si>
    <t>SUB-956937261</t>
  </si>
  <si>
    <t>SUB-812276239</t>
  </si>
  <si>
    <t>SUB-336353138</t>
  </si>
  <si>
    <t>SUB-323045240</t>
  </si>
  <si>
    <t>SUB-164426713</t>
  </si>
  <si>
    <t>SUB-416079609</t>
  </si>
  <si>
    <t>SUB-317457117</t>
  </si>
  <si>
    <t>SUB-604900317</t>
  </si>
  <si>
    <t>SUB-107447811</t>
  </si>
  <si>
    <t>SUB-173204380</t>
  </si>
  <si>
    <t>SUB-277326592</t>
  </si>
  <si>
    <t>SUB-447155226</t>
  </si>
  <si>
    <t>SUB-132311524</t>
  </si>
  <si>
    <t>SUB-865154331</t>
  </si>
  <si>
    <t>SUB-859315619</t>
  </si>
  <si>
    <t>SUB-688463722</t>
  </si>
  <si>
    <t>SUB-368610366</t>
  </si>
  <si>
    <t>SUB-957821475</t>
  </si>
  <si>
    <t>SUB-473325999</t>
  </si>
  <si>
    <t>SUB-835040749</t>
  </si>
  <si>
    <t>SUB-625514301</t>
  </si>
  <si>
    <t>SUB-972504960</t>
  </si>
  <si>
    <t>SUB-414448259</t>
  </si>
  <si>
    <t>SUB-297116772</t>
  </si>
  <si>
    <t>SUB-355907481</t>
  </si>
  <si>
    <t>SUB-890123387</t>
  </si>
  <si>
    <t>SUB-170799987</t>
  </si>
  <si>
    <t>SUB-378333797</t>
  </si>
  <si>
    <t>SUB-450303786</t>
  </si>
  <si>
    <t>SUB-725408165</t>
  </si>
  <si>
    <t>SUB-206963193</t>
  </si>
  <si>
    <t>SUB-406455661</t>
  </si>
  <si>
    <t>SUB-763424102</t>
  </si>
  <si>
    <t>SUB-398165710</t>
  </si>
  <si>
    <t>SUB-876323963</t>
  </si>
  <si>
    <t>SUB-677242762</t>
  </si>
  <si>
    <t>SUB-291015517</t>
  </si>
  <si>
    <t>SUB-739588667</t>
  </si>
  <si>
    <t>SUB-193154668</t>
  </si>
  <si>
    <t>SUB-615394294</t>
  </si>
  <si>
    <t>SUB-527906456</t>
  </si>
  <si>
    <t>SUB-475665050</t>
  </si>
  <si>
    <t>SUB-132948010</t>
  </si>
  <si>
    <t>SUB-600133555</t>
  </si>
  <si>
    <t>SUB-158668755</t>
  </si>
  <si>
    <t>SUB-228207247</t>
  </si>
  <si>
    <t>SUB-518704321</t>
  </si>
  <si>
    <t>SUB-556001735</t>
  </si>
  <si>
    <t>SUB-991565045</t>
  </si>
  <si>
    <t>SUB-488621688</t>
  </si>
  <si>
    <t>SUB-298853617</t>
  </si>
  <si>
    <t>SUB-894385299</t>
  </si>
  <si>
    <t>SUB-391733824</t>
  </si>
  <si>
    <t>SUB-381117118</t>
  </si>
  <si>
    <t>SUB-183248249</t>
  </si>
  <si>
    <t>SUB-856929126</t>
  </si>
  <si>
    <t>SUB-942202245</t>
  </si>
  <si>
    <t>SUB-824971439</t>
  </si>
  <si>
    <t>SUB-364277756</t>
  </si>
  <si>
    <t>SUB-799149647</t>
  </si>
  <si>
    <t>SUB-570327291</t>
  </si>
  <si>
    <t>SUB-176247445</t>
  </si>
  <si>
    <t>SUB-653661786</t>
  </si>
  <si>
    <t>SUB-642468027</t>
  </si>
  <si>
    <t>SUB-766968716</t>
  </si>
  <si>
    <t>SUB-801867082</t>
  </si>
  <si>
    <t>SUB-356580869</t>
  </si>
  <si>
    <t>SUB-859037253</t>
  </si>
  <si>
    <t>SUB-149935018</t>
  </si>
  <si>
    <t>SUB-941217493</t>
  </si>
  <si>
    <t>SUB-693347899</t>
  </si>
  <si>
    <t>SUB-786222061</t>
  </si>
  <si>
    <t>SUB-605619209</t>
  </si>
  <si>
    <t>SUB-405826209</t>
  </si>
  <si>
    <t>SUB-296219261</t>
  </si>
  <si>
    <t>SUB-329709858</t>
  </si>
  <si>
    <t>SUB-231928275</t>
  </si>
  <si>
    <t>SUB-799236676</t>
  </si>
  <si>
    <t>SUB-338735129</t>
  </si>
  <si>
    <t>SUB-130906141</t>
  </si>
  <si>
    <t>SUB-917315109</t>
  </si>
  <si>
    <t>SUB-396587826</t>
  </si>
  <si>
    <t>SUB-105344122</t>
  </si>
  <si>
    <t>SUB-974115478</t>
  </si>
  <si>
    <t>SUB-389921696</t>
  </si>
  <si>
    <t>SUB-995306572</t>
  </si>
  <si>
    <t>SUB-306524359</t>
  </si>
  <si>
    <t>SUB-489750991</t>
  </si>
  <si>
    <t>SUB-511055333</t>
  </si>
  <si>
    <t>SUB-841055180</t>
  </si>
  <si>
    <t>SUB-560246731</t>
  </si>
  <si>
    <t>SUB-923813626</t>
  </si>
  <si>
    <t>SUB-595109473</t>
  </si>
  <si>
    <t>SUB-825387149</t>
  </si>
  <si>
    <t>SUB-323602023</t>
  </si>
  <si>
    <t>SUB-615990413</t>
  </si>
  <si>
    <t>SUB-832705754</t>
  </si>
  <si>
    <t>SUB-534799404</t>
  </si>
  <si>
    <t>SUB-499534925</t>
  </si>
  <si>
    <t>SUB-270674621</t>
  </si>
  <si>
    <t>SUB-237001014</t>
  </si>
  <si>
    <t>SUB-536122081</t>
  </si>
  <si>
    <t>SUB-122543180</t>
  </si>
  <si>
    <t>SUB-834234698</t>
  </si>
  <si>
    <t>SUB-537734623</t>
  </si>
  <si>
    <t>SUB-895639782</t>
  </si>
  <si>
    <t>SUB-433972158</t>
  </si>
  <si>
    <t>SUB-769652287</t>
  </si>
  <si>
    <t>SUB-856272146</t>
  </si>
  <si>
    <t>SUB-328238031</t>
  </si>
  <si>
    <t>SUB-246678534</t>
  </si>
  <si>
    <t>SUB-225852197</t>
  </si>
  <si>
    <t>SUB-109824201</t>
  </si>
  <si>
    <t>SUB-610360500</t>
  </si>
  <si>
    <t>SUB-624599790</t>
  </si>
  <si>
    <t>SUB-866851772</t>
  </si>
  <si>
    <t>SUB-556045737</t>
  </si>
  <si>
    <t>SUB-289264001</t>
  </si>
  <si>
    <t>SUB-912940327</t>
  </si>
  <si>
    <t>SUB-272886164</t>
  </si>
  <si>
    <t>SUB-398226688</t>
  </si>
  <si>
    <t>SUB-393521707</t>
  </si>
  <si>
    <t>SUB-508620134</t>
  </si>
  <si>
    <t>SUB-841564927</t>
  </si>
  <si>
    <t>SUB-611926672</t>
  </si>
  <si>
    <t>SUB-668410812</t>
  </si>
  <si>
    <t>SUB-563571445</t>
  </si>
  <si>
    <t>SUB-782393904</t>
  </si>
  <si>
    <t>SUB-993654074</t>
  </si>
  <si>
    <t>SUB-485948895</t>
  </si>
  <si>
    <t>SUB-991151695</t>
  </si>
  <si>
    <t>SUB-953816794</t>
  </si>
  <si>
    <t>SUB-227878469</t>
  </si>
  <si>
    <t>SUB-235796799</t>
  </si>
  <si>
    <t>SUB-909383560</t>
  </si>
  <si>
    <t>SUB-155033877</t>
  </si>
  <si>
    <t>SUB-931737597</t>
  </si>
  <si>
    <t>SUB-385904284</t>
  </si>
  <si>
    <t>SUB-526570802</t>
  </si>
  <si>
    <t>SUB-105878049</t>
  </si>
  <si>
    <t>SUB-608785744</t>
  </si>
  <si>
    <t>SUB-597596892</t>
  </si>
  <si>
    <t>SUB-832430759</t>
  </si>
  <si>
    <t>SUB-678817841</t>
  </si>
  <si>
    <t>SUB-475845220</t>
  </si>
  <si>
    <t>SUB-816084618</t>
  </si>
  <si>
    <t>SUB-584347583</t>
  </si>
  <si>
    <t>SUB-875273171</t>
  </si>
  <si>
    <t>SUB-791933392</t>
  </si>
  <si>
    <t>SUB-731753741</t>
  </si>
  <si>
    <t>SUB-752725767</t>
  </si>
  <si>
    <t>SUB-330475978</t>
  </si>
  <si>
    <t>SUB-827899522</t>
  </si>
  <si>
    <t>SUB-467824339</t>
  </si>
  <si>
    <t>SUB-397184274</t>
  </si>
  <si>
    <t>SUB-460442042</t>
  </si>
  <si>
    <t>SUB-358430392</t>
  </si>
  <si>
    <t>SUB-918298142</t>
  </si>
  <si>
    <t>SUB-532328450</t>
  </si>
  <si>
    <t>SUB-727474085</t>
  </si>
  <si>
    <t>SUB-848597885</t>
  </si>
  <si>
    <t>SUB-653323083</t>
  </si>
  <si>
    <t>SUB-389454224</t>
  </si>
  <si>
    <t>SUB-816383622</t>
  </si>
  <si>
    <t>SUB-830865219</t>
  </si>
  <si>
    <t>SUB-876857731</t>
  </si>
  <si>
    <t>SUB-811115316</t>
  </si>
  <si>
    <t>SUB-939869822</t>
  </si>
  <si>
    <t>SUB-721244837</t>
  </si>
  <si>
    <t>SUB-484309889</t>
  </si>
  <si>
    <t>SUB-105708050</t>
  </si>
  <si>
    <t>SUB-981922389</t>
  </si>
  <si>
    <t>SUB-650402114</t>
  </si>
  <si>
    <t>SUB-555691975</t>
  </si>
  <si>
    <t>SUB-575197844</t>
  </si>
  <si>
    <t>SUB-167014852</t>
  </si>
  <si>
    <t>SUB-133885595</t>
  </si>
  <si>
    <t>SUB-784937997</t>
  </si>
  <si>
    <t>SUB-532632857</t>
  </si>
  <si>
    <t>SUB-480054298</t>
  </si>
  <si>
    <t>SUB-330754748</t>
  </si>
  <si>
    <t>SUB-220251965</t>
  </si>
  <si>
    <t>SUB-911126820</t>
  </si>
  <si>
    <t>SUB-781868260</t>
  </si>
  <si>
    <t>SUB-161595340</t>
  </si>
  <si>
    <t>SUB-916411533</t>
  </si>
  <si>
    <t>SUB-197921646</t>
  </si>
  <si>
    <t>SUB-900812435</t>
  </si>
  <si>
    <t>SUB-544165523</t>
  </si>
  <si>
    <t>SUB-627189273</t>
  </si>
  <si>
    <t>SUB-918671461</t>
  </si>
  <si>
    <t>SUB-118054916</t>
  </si>
  <si>
    <t>SUB-892531988</t>
  </si>
  <si>
    <t>SUB-288107691</t>
  </si>
  <si>
    <t>SUB-140274840</t>
  </si>
  <si>
    <t>SUB-859715999</t>
  </si>
  <si>
    <t>SUB-669622103</t>
  </si>
  <si>
    <t>SUB-115928656</t>
  </si>
  <si>
    <t>SUB-114978551</t>
  </si>
  <si>
    <t>SUB-533645978</t>
  </si>
  <si>
    <t>SUB-819457206</t>
  </si>
  <si>
    <t>SUB-336775953</t>
  </si>
  <si>
    <t>SUB-403529765</t>
  </si>
  <si>
    <t>SUB-753665482</t>
  </si>
  <si>
    <t>SUB-340709565</t>
  </si>
  <si>
    <t>SUB-595351008</t>
  </si>
  <si>
    <t>SUB-630324503</t>
  </si>
  <si>
    <t>SUB-162773632</t>
  </si>
  <si>
    <t>SUB-398146050</t>
  </si>
  <si>
    <t>SUB-272113604</t>
  </si>
  <si>
    <t>SUB-521977517</t>
  </si>
  <si>
    <t>SUB-779906916</t>
  </si>
  <si>
    <t>SUB-209487968</t>
  </si>
  <si>
    <t>SUB-189021712</t>
  </si>
  <si>
    <t>SUB-196964363</t>
  </si>
  <si>
    <t>SUB-311415386</t>
  </si>
  <si>
    <t>SUB-847022694</t>
  </si>
  <si>
    <t>SUB-975535404</t>
  </si>
  <si>
    <t>SUB-793177324</t>
  </si>
  <si>
    <t>SUB-895669716</t>
  </si>
  <si>
    <t>SUB-361684083</t>
  </si>
  <si>
    <t>SUB-628098081</t>
  </si>
  <si>
    <t>SUB-701889516</t>
  </si>
  <si>
    <t>SUB-366762189</t>
  </si>
  <si>
    <t>SUB-621505985</t>
  </si>
  <si>
    <t>SUB-704293099</t>
  </si>
  <si>
    <t>SUB-869966616</t>
  </si>
  <si>
    <t>SUB-286031574</t>
  </si>
  <si>
    <t>SUB-912634219</t>
  </si>
  <si>
    <t>SUB-656339373</t>
  </si>
  <si>
    <t>SUB-924870502</t>
  </si>
  <si>
    <t>SUB-479883432</t>
  </si>
  <si>
    <t>SUB-205518393</t>
  </si>
  <si>
    <t>SUB-333371847</t>
  </si>
  <si>
    <t>SUB-322141261</t>
  </si>
  <si>
    <t>SUB-289861162</t>
  </si>
  <si>
    <t>SUB-261250969</t>
  </si>
  <si>
    <t>SUB-623976023</t>
  </si>
  <si>
    <t>SUB-502838987</t>
  </si>
  <si>
    <t>SUB-648171139</t>
  </si>
  <si>
    <t>SUB-899275285</t>
  </si>
  <si>
    <t>SUB-665151085</t>
  </si>
  <si>
    <t>SUB-340892251</t>
  </si>
  <si>
    <t>SUB-342306778</t>
  </si>
  <si>
    <t>SUB-950738824</t>
  </si>
  <si>
    <t>SUB-794232215</t>
  </si>
  <si>
    <t>SUB-454422022</t>
  </si>
  <si>
    <t>SUB-485321180</t>
  </si>
  <si>
    <t>SUB-465227725</t>
  </si>
  <si>
    <t>SUB-339293065</t>
  </si>
  <si>
    <t>SUB-371614234</t>
  </si>
  <si>
    <t>SUB-679120919</t>
  </si>
  <si>
    <t>SUB-791346237</t>
  </si>
  <si>
    <t>SUB-914894134</t>
  </si>
  <si>
    <t>SUB-575217937</t>
  </si>
  <si>
    <t>SUB-523709658</t>
  </si>
  <si>
    <t>SUB-744910217</t>
  </si>
  <si>
    <t>SUB-489858448</t>
  </si>
  <si>
    <t>SUB-599079530</t>
  </si>
  <si>
    <t>SUB-496325643</t>
  </si>
  <si>
    <t>SUB-958044776</t>
  </si>
  <si>
    <t>SUB-734498547</t>
  </si>
  <si>
    <t>SUB-885085541</t>
  </si>
  <si>
    <t>SUB-563494478</t>
  </si>
  <si>
    <t>SUB-507170513</t>
  </si>
  <si>
    <t>SUB-299074795</t>
  </si>
  <si>
    <t>SUB-111544536</t>
  </si>
  <si>
    <t>SUB-235349480</t>
  </si>
  <si>
    <t>SUB-164625338</t>
  </si>
  <si>
    <t>SUB-994732999</t>
  </si>
  <si>
    <t>SUB-661397457</t>
  </si>
  <si>
    <t>SUB-534561318</t>
  </si>
  <si>
    <t>SUB-958888781</t>
  </si>
  <si>
    <t>SUB-637733932</t>
  </si>
  <si>
    <t>SUB-923100047</t>
  </si>
  <si>
    <t>SUB-262027892</t>
  </si>
  <si>
    <t>SUB-108383012</t>
  </si>
  <si>
    <t>SUB-245634478</t>
  </si>
  <si>
    <t>SUB-457526024</t>
  </si>
  <si>
    <t>SUB-750549444</t>
  </si>
  <si>
    <t>SUB-689290732</t>
  </si>
  <si>
    <t>SUB-966553162</t>
  </si>
  <si>
    <t>SUB-246860497</t>
  </si>
  <si>
    <t>SUB-115857885</t>
  </si>
  <si>
    <t>SUB-412447043</t>
  </si>
  <si>
    <t>SUB-219606936</t>
  </si>
  <si>
    <t>SUB-913334085</t>
  </si>
  <si>
    <t>SUB-496861422</t>
  </si>
  <si>
    <t>SUB-654014718</t>
  </si>
  <si>
    <t>SUB-277070219</t>
  </si>
  <si>
    <t>SUB-188933333</t>
  </si>
  <si>
    <t>SUB-339133739</t>
  </si>
  <si>
    <t>SUB-810432659</t>
  </si>
  <si>
    <t>SUB-753554579</t>
  </si>
  <si>
    <t>SUB-155193745</t>
  </si>
  <si>
    <t>SUB-351593874</t>
  </si>
  <si>
    <t>SUB-756909905</t>
  </si>
  <si>
    <t>SUB-915343883</t>
  </si>
  <si>
    <t>SUB-555622338</t>
  </si>
  <si>
    <t>SUB-887776074</t>
  </si>
  <si>
    <t>SUB-655754232</t>
  </si>
  <si>
    <t>SUB-228214782</t>
  </si>
  <si>
    <t>SUB-100962022</t>
  </si>
  <si>
    <t>SUB-141812009</t>
  </si>
  <si>
    <t>SUB-218744914</t>
  </si>
  <si>
    <t>SUB-342532843</t>
  </si>
  <si>
    <t>SUB-298748911</t>
  </si>
  <si>
    <t>SUB-356990844</t>
  </si>
  <si>
    <t>SUB-973856857</t>
  </si>
  <si>
    <t>SUB-777208118</t>
  </si>
  <si>
    <t>SUB-744375671</t>
  </si>
  <si>
    <t>SUB-532543280</t>
  </si>
  <si>
    <t>SUB-393954791</t>
  </si>
  <si>
    <t>SUB-282958758</t>
  </si>
  <si>
    <t>SUB-688309066</t>
  </si>
  <si>
    <t>SUB-663114666</t>
  </si>
  <si>
    <t>SUB-920306636</t>
  </si>
  <si>
    <t>SUB-528516155</t>
  </si>
  <si>
    <t>SUB-711126990</t>
  </si>
  <si>
    <t>SUB-906644271</t>
  </si>
  <si>
    <t>SUB-813216404</t>
  </si>
  <si>
    <t>SUB-267386378</t>
  </si>
  <si>
    <t>SUB-734557782</t>
  </si>
  <si>
    <t>SUB-532540881</t>
  </si>
  <si>
    <t>SUB-272928408</t>
  </si>
  <si>
    <t>SUB-508570722</t>
  </si>
  <si>
    <t>SUB-346596292</t>
  </si>
  <si>
    <t>SUB-969739879</t>
  </si>
  <si>
    <t>SUB-179882837</t>
  </si>
  <si>
    <t>SUB-307176606</t>
  </si>
  <si>
    <t>SUB-819811945</t>
  </si>
  <si>
    <t>SUB-482188273</t>
  </si>
  <si>
    <t>SUB-847150617</t>
  </si>
  <si>
    <t>SUB-568678778</t>
  </si>
  <si>
    <t>SUB-935339332</t>
  </si>
  <si>
    <t>SUB-654349890</t>
  </si>
  <si>
    <t>SUB-903470522</t>
  </si>
  <si>
    <t>SUB-856058258</t>
  </si>
  <si>
    <t>SUB-271475571</t>
  </si>
  <si>
    <t>SUB-308983041</t>
  </si>
  <si>
    <t>SUB-765021846</t>
  </si>
  <si>
    <t>SUB-846327060</t>
  </si>
  <si>
    <t>SUB-316894757</t>
  </si>
  <si>
    <t>SUB-201971686</t>
  </si>
  <si>
    <t>SUB-573109892</t>
  </si>
  <si>
    <t>SUB-454222904</t>
  </si>
  <si>
    <t>SUB-852383367</t>
  </si>
  <si>
    <t>SUB-891462144</t>
  </si>
  <si>
    <t>SUB-614583545</t>
  </si>
  <si>
    <t>SUB-153605049</t>
  </si>
  <si>
    <t>SUB-180855761</t>
  </si>
  <si>
    <t>SUB-437419855</t>
  </si>
  <si>
    <t>SUB-768053409</t>
  </si>
  <si>
    <t>SUB-981453924</t>
  </si>
  <si>
    <t>SUB-183864962</t>
  </si>
  <si>
    <t>SUB-617205618</t>
  </si>
  <si>
    <t>SUB-979376822</t>
  </si>
  <si>
    <t>SUB-966316153</t>
  </si>
  <si>
    <t>SUB-309329577</t>
  </si>
  <si>
    <t>SUB-601386319</t>
  </si>
  <si>
    <t>SUB-983913227</t>
  </si>
  <si>
    <t>SUB-362296268</t>
  </si>
  <si>
    <t>SUB-937660787</t>
  </si>
  <si>
    <t>SUB-524488595</t>
  </si>
  <si>
    <t>SUB-101759923</t>
  </si>
  <si>
    <t>SUB-470088303</t>
  </si>
  <si>
    <t>SUB-795522905</t>
  </si>
  <si>
    <t>SUB-254788818</t>
  </si>
  <si>
    <t>SUB-363977113</t>
  </si>
  <si>
    <t>SUB-539060688</t>
  </si>
  <si>
    <t>SUB-610685591</t>
  </si>
  <si>
    <t>SUB-829978632</t>
  </si>
  <si>
    <t>SUB-903513124</t>
  </si>
  <si>
    <t>SUB-569682721</t>
  </si>
  <si>
    <t>SUB-982554713</t>
  </si>
  <si>
    <t>SUB-493510728</t>
  </si>
  <si>
    <t>SUB-467170926</t>
  </si>
  <si>
    <t>SUB-826665003</t>
  </si>
  <si>
    <t>SUB-616886801</t>
  </si>
  <si>
    <t>SUB-115048431</t>
  </si>
  <si>
    <t>SUB-739467733</t>
  </si>
  <si>
    <t>SUB-430892864</t>
  </si>
  <si>
    <t>SUB-632125612</t>
  </si>
  <si>
    <t>SUB-390554238</t>
  </si>
  <si>
    <t>SUB-273405904</t>
  </si>
  <si>
    <t>SUB-484544594</t>
  </si>
  <si>
    <t>SUB-978402958</t>
  </si>
  <si>
    <t>SUB-201456416</t>
  </si>
  <si>
    <t>SUB-840528252</t>
  </si>
  <si>
    <t>SUB-396285737</t>
  </si>
  <si>
    <t>SUB-975141507</t>
  </si>
  <si>
    <t>SUB-125085998</t>
  </si>
  <si>
    <t>SUB-591165247</t>
  </si>
  <si>
    <t>SUB-658875298</t>
  </si>
  <si>
    <t>SUB-794177654</t>
  </si>
  <si>
    <t>SUB-928511911</t>
  </si>
  <si>
    <t>SUB-414114481</t>
  </si>
  <si>
    <t>SUB-996400695</t>
  </si>
  <si>
    <t>SUB-137805061</t>
  </si>
  <si>
    <t>SUB-474945743</t>
  </si>
  <si>
    <t>SUB-320112847</t>
  </si>
  <si>
    <t>SUB-309284306</t>
  </si>
  <si>
    <t>SUB-314510883</t>
  </si>
  <si>
    <t>SUB-890910481</t>
  </si>
  <si>
    <t>SUB-122771504</t>
  </si>
  <si>
    <t>SUB-907081959</t>
  </si>
  <si>
    <t>SUB-207733458</t>
  </si>
  <si>
    <t>SUB-742447206</t>
  </si>
  <si>
    <t>SUB-425606111</t>
  </si>
  <si>
    <t>SUB-545952317</t>
  </si>
  <si>
    <t>SUB-921245657</t>
  </si>
  <si>
    <t>SUB-212418653</t>
  </si>
  <si>
    <t>SUB-633729308</t>
  </si>
  <si>
    <t>SUB-987678584</t>
  </si>
  <si>
    <t>SUB-872220461</t>
  </si>
  <si>
    <t>SUB-503724926</t>
  </si>
  <si>
    <t>SUB-340064591</t>
  </si>
  <si>
    <t>SUB-723787775</t>
  </si>
  <si>
    <t>SUB-107236587</t>
  </si>
  <si>
    <t>SUB-990310765</t>
  </si>
  <si>
    <t>SUB-728645547</t>
  </si>
  <si>
    <t>SUB-662301007</t>
  </si>
  <si>
    <t>SUB-961751703</t>
  </si>
  <si>
    <t>SUB-548780093</t>
  </si>
  <si>
    <t>SUB-124374053</t>
  </si>
  <si>
    <t>SUB-993552212</t>
  </si>
  <si>
    <t>SUB-691717439</t>
  </si>
  <si>
    <t>SUB-138372880</t>
  </si>
  <si>
    <t>SUB-176025871</t>
  </si>
  <si>
    <t>SUB-694780844</t>
  </si>
  <si>
    <t>SUB-225566086</t>
  </si>
  <si>
    <t>SUB-229743300</t>
  </si>
  <si>
    <t>SUB-287045108</t>
  </si>
  <si>
    <t>SUB-463600975</t>
  </si>
  <si>
    <t>SUB-563054477</t>
  </si>
  <si>
    <t>SUB-566132819</t>
  </si>
  <si>
    <t>SUB-615650567</t>
  </si>
  <si>
    <t>SUB-940875053</t>
  </si>
  <si>
    <t>SUB-627046657</t>
  </si>
  <si>
    <t>SUB-661604596</t>
  </si>
  <si>
    <t>SUB-709434690</t>
  </si>
  <si>
    <t>SUB-720274066</t>
  </si>
  <si>
    <t>SUB-737513046</t>
  </si>
  <si>
    <t>SUB-779694242</t>
  </si>
  <si>
    <t>SUB-876288012</t>
  </si>
  <si>
    <t>SUB-917453265</t>
  </si>
  <si>
    <t>SUB-930813984</t>
  </si>
  <si>
    <t>SUB-937188021</t>
  </si>
  <si>
    <t>SUB-958575791</t>
  </si>
  <si>
    <t>SUB-958992674</t>
  </si>
  <si>
    <t>SUB-984807958</t>
  </si>
  <si>
    <t>SUB-538425944</t>
  </si>
  <si>
    <t>SUB-460053662</t>
  </si>
  <si>
    <t>SUB-719844185</t>
  </si>
  <si>
    <t>SUB-571036263</t>
  </si>
  <si>
    <t>SUB-720331552</t>
  </si>
  <si>
    <t>SUB-653039003</t>
  </si>
  <si>
    <t>SUB-975460557</t>
  </si>
  <si>
    <t>SUB-212766319</t>
  </si>
  <si>
    <t>SUB-870929960</t>
  </si>
  <si>
    <t>SUB-605140762</t>
  </si>
  <si>
    <t>SUB-162918606</t>
  </si>
  <si>
    <t>SUB-376230082</t>
  </si>
  <si>
    <t>SUB-699098544</t>
  </si>
  <si>
    <t>SUB-369268820</t>
  </si>
  <si>
    <t>SUB-638705243</t>
  </si>
  <si>
    <t>SUB-173504200</t>
  </si>
  <si>
    <t>SUB-993528494</t>
  </si>
  <si>
    <t>SUB-237756053</t>
  </si>
  <si>
    <t>SUB-311733132</t>
  </si>
  <si>
    <t>SUB-345750604</t>
  </si>
  <si>
    <t>SUB-144997740</t>
  </si>
  <si>
    <t>SUB-373082538</t>
  </si>
  <si>
    <t>SUB-385309023</t>
  </si>
  <si>
    <t>SUB-402214203</t>
  </si>
  <si>
    <t>SUB-202670917</t>
  </si>
  <si>
    <t>SUB-249687352</t>
  </si>
  <si>
    <t>SUB-460252473</t>
  </si>
  <si>
    <t>SUB-378062748</t>
  </si>
  <si>
    <t>SUB-472333112</t>
  </si>
  <si>
    <t>SUB-426183240</t>
  </si>
  <si>
    <t>SUB-602653752</t>
  </si>
  <si>
    <t>SUB-438453562</t>
  </si>
  <si>
    <t>SUB-606554691</t>
  </si>
  <si>
    <t>SUB-623596001</t>
  </si>
  <si>
    <t>SUB-508589057</t>
  </si>
  <si>
    <t>SUB-638553771</t>
  </si>
  <si>
    <t>SUB-607872431</t>
  </si>
  <si>
    <t>SUB-610186341</t>
  </si>
  <si>
    <t>SUB-631958192</t>
  </si>
  <si>
    <t>SUB-653128956</t>
  </si>
  <si>
    <t>SUB-680490196</t>
  </si>
  <si>
    <t>SUB-733191758</t>
  </si>
  <si>
    <t>SUB-791237831</t>
  </si>
  <si>
    <t>SUB-736720302</t>
  </si>
  <si>
    <t>SUB-773089586</t>
  </si>
  <si>
    <t>SUB-801402119</t>
  </si>
  <si>
    <t>SUB-847298568</t>
  </si>
  <si>
    <t>SUB-865366877</t>
  </si>
  <si>
    <t>SUB-912241823</t>
  </si>
  <si>
    <t>SUB-926962600</t>
  </si>
  <si>
    <t>SUB-954126260</t>
  </si>
  <si>
    <t>SUB-927638913</t>
  </si>
  <si>
    <t>SUB-961271099</t>
  </si>
  <si>
    <t>Sum of the data usage of each customer for 12 months</t>
  </si>
  <si>
    <t>Sum of the talktime (number of minutes) usage of each customer for 12 months</t>
  </si>
  <si>
    <t>Sum of the bill of each customer for 12 months</t>
  </si>
  <si>
    <t>Which plan is the customer currently using?</t>
  </si>
  <si>
    <t>Total Revenue</t>
  </si>
  <si>
    <t>Total Revenue Pay as you go</t>
  </si>
  <si>
    <t>Total Revenue Reduced rate</t>
  </si>
  <si>
    <t>Pay as you go Revenue</t>
  </si>
  <si>
    <t>Total Revenue from data</t>
  </si>
  <si>
    <t>Total Revenue from talktime</t>
  </si>
  <si>
    <t>Reduced Tarrif Revenue</t>
  </si>
  <si>
    <t>Total revenue from data</t>
  </si>
  <si>
    <t>of total revenue</t>
  </si>
  <si>
    <t>Total Revenue from calling</t>
  </si>
  <si>
    <t>Impact of 9.99 monthly rate for the reduced tarrif on revenue</t>
  </si>
  <si>
    <t>Data (rounded up to MB)</t>
  </si>
  <si>
    <t>Talktime (rounded up to mins)</t>
  </si>
  <si>
    <t>Billing (in euros)</t>
  </si>
  <si>
    <t>Total cost Median</t>
  </si>
  <si>
    <t>Alle Einnahmen</t>
  </si>
  <si>
    <t>Maximum monthly bill</t>
  </si>
  <si>
    <t>Start point for top 10% of all monthly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</si>
</sst>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0" fillId="2" borderId="0" xfId="0" applyFill="1"/>
    <xf numFmtId="43" fontId="0" fillId="0" borderId="0" xfId="1" applyFont="1"/>
    <xf numFmtId="43" fontId="0" fillId="2" borderId="0" xfId="1" applyFont="1" applyFill="1"/>
    <xf numFmtId="164" fontId="0" fillId="0" borderId="0" xfId="1" applyNumberFormat="1" applyFont="1"/>
    <xf numFmtId="43" fontId="0" fillId="0" borderId="0" xfId="0" applyNumberFormat="1"/>
    <xf numFmtId="164" fontId="0" fillId="0" borderId="0" xfId="0" applyNumberFormat="1"/>
    <xf numFmtId="10" fontId="0" fillId="0" borderId="0" xfId="2" applyNumberFormat="1" applyFont="1"/>
    <xf numFmtId="0" fontId="2" fillId="0" borderId="0" xfId="0" applyFont="1"/>
    <xf numFmtId="0" fontId="1" fillId="3" borderId="0" xfId="3"/>
    <xf numFmtId="0" fontId="1" fillId="3" borderId="0" xfId="3" applyAlignment="1">
      <alignment horizontal="center"/>
    </xf>
  </cellXfs>
  <cellStyles count="4">
    <cellStyle name="20% - Accent4" xfId="3" builtinId="42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573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50% of monthly bills range on average (based on median) from 33,10 – 46,76 Euro.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430F223A-E16E-4461-BF37-E80821C4FE70}">
          <cx:tx>
            <cx:txData>
              <cx:f>_xlchart.v1.1</cx:f>
              <cx:v>Total cost Median</cx:v>
            </cx:txData>
          </cx:tx>
          <cx:spPr>
            <a:solidFill>
              <a:srgbClr val="15734E"/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bill amounts in Euros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Range of bill amounts in Euros</a:t>
              </a:r>
            </a:p>
          </cx:txPr>
        </cx:title>
        <cx:tickLabels/>
        <cx:numFmt formatCode="#,##0" sourceLinked="0"/>
      </cx:axis>
      <cx:axis id="1">
        <cx:valScaling/>
        <cx:title>
          <cx:tx>
            <cx:txData>
              <cx:v>Number fo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fo customers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On average (based on median) a customer’s billing is 39,39 Euro.</a:t>
            </a:r>
            <a:endParaRPr lang="en-IN">
              <a:effectLst/>
            </a:endParaRPr>
          </a:p>
        </cx:rich>
      </cx:tx>
    </cx:title>
    <cx:plotArea>
      <cx:plotAreaRegion>
        <cx:series layoutId="boxWhisker" uniqueId="{BA89F15B-346A-402D-9ADD-1C0C311CC958}">
          <cx:tx>
            <cx:txData>
              <cx:f>_xlchart.v1.5</cx:f>
              <cx:v>Total cost Median</cx:v>
            </cx:txData>
          </cx:tx>
          <cx:spPr>
            <a:solidFill>
              <a:srgbClr val="15734E"/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Bill Amount (in euros)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Bill Amount (in euros)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GB" sz="1800">
                <a:effectLst/>
              </a:rPr>
              <a:t>The top 10 % of all monthly bills account for 190.357,4 Euro, which is 30,24% of the total revenue</a:t>
            </a:r>
            <a:endParaRPr lang="en-IN" sz="1400">
              <a:effectLst/>
            </a:endParaRPr>
          </a:p>
        </cx:rich>
      </cx:tx>
    </cx:title>
    <cx:plotArea>
      <cx:plotAreaRegion>
        <cx:series layoutId="clusteredColumn" uniqueId="{3D939CA6-7157-4A9C-854B-0E37599F7D1B}">
          <cx:tx>
            <cx:txData>
              <cx:f>_xlchart.v1.3</cx:f>
              <cx:v>Alle Einnahmen</cx:v>
            </cx:txData>
          </cx:tx>
          <cx:spPr>
            <a:solidFill>
              <a:schemeClr val="accent3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Range of Monthly bill amount in Euros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Range of Monthly bill amount in Euros</a:t>
              </a:r>
            </a:p>
          </cx:txPr>
        </cx:title>
        <cx:tickLabels/>
      </cx:axis>
      <cx:axis id="1">
        <cx:valScaling/>
        <cx:title>
          <cx:tx>
            <cx:txData>
              <cx:v>No. of months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No. of months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407276</xdr:colOff>
      <xdr:row>0</xdr:row>
      <xdr:rowOff>67219</xdr:rowOff>
    </xdr:from>
    <xdr:to>
      <xdr:col>27</xdr:col>
      <xdr:colOff>533128</xdr:colOff>
      <xdr:row>18</xdr:row>
      <xdr:rowOff>179614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4B057A-61F1-404C-AC03-F624FFEF54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2751" y="67219"/>
              <a:ext cx="9146027" cy="3541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385080</xdr:colOff>
      <xdr:row>19</xdr:row>
      <xdr:rowOff>115615</xdr:rowOff>
    </xdr:from>
    <xdr:to>
      <xdr:col>27</xdr:col>
      <xdr:colOff>543093</xdr:colOff>
      <xdr:row>41</xdr:row>
      <xdr:rowOff>30208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3D83B46-1712-4D5C-BD4C-F0B6BB1310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0555" y="3735115"/>
              <a:ext cx="9178188" cy="4105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413844</xdr:colOff>
      <xdr:row>43</xdr:row>
      <xdr:rowOff>91966</xdr:rowOff>
    </xdr:from>
    <xdr:to>
      <xdr:col>28</xdr:col>
      <xdr:colOff>262758</xdr:colOff>
      <xdr:row>69</xdr:row>
      <xdr:rowOff>157656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C7ADC46-F3AB-FC08-9650-438B83534D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9319" y="8283466"/>
              <a:ext cx="9478689" cy="501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0B05-46CB-4910-AE81-BDD42B018A32}">
  <dimension ref="A1:AO1008"/>
  <sheetViews>
    <sheetView workbookViewId="0">
      <selection activeCell="C6" sqref="C6"/>
    </sheetView>
  </sheetViews>
  <sheetFormatPr defaultRowHeight="15" x14ac:dyDescent="0.25"/>
  <cols>
    <col min="1" max="1" width="19.42578125" customWidth="1"/>
    <col min="2" max="2" width="15.140625" bestFit="1" customWidth="1"/>
    <col min="3" max="3" width="16.42578125" bestFit="1" customWidth="1"/>
    <col min="4" max="14" width="10.140625" bestFit="1" customWidth="1"/>
    <col min="15" max="27" width="9.28515625" bestFit="1" customWidth="1"/>
    <col min="28" max="28" width="13.7109375" bestFit="1" customWidth="1"/>
  </cols>
  <sheetData>
    <row r="1" spans="1:41" s="8" customFormat="1" x14ac:dyDescent="0.25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 t="s">
        <v>1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9" t="s">
        <v>2</v>
      </c>
      <c r="AC1" s="10" t="s">
        <v>3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s="1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s="1" t="s">
        <v>30</v>
      </c>
      <c r="AB2" t="s">
        <v>2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s="1" t="s">
        <v>43</v>
      </c>
    </row>
    <row r="3" spans="1:41" x14ac:dyDescent="0.25">
      <c r="A3" t="s">
        <v>44</v>
      </c>
      <c r="B3" s="2">
        <v>28053.560117533001</v>
      </c>
      <c r="C3" s="2">
        <v>2895.5485476522899</v>
      </c>
      <c r="D3" s="2">
        <v>1351.6936748809901</v>
      </c>
      <c r="E3" s="2">
        <v>3756.5218657147602</v>
      </c>
      <c r="F3" s="2">
        <v>223.77361051113601</v>
      </c>
      <c r="G3" s="2">
        <v>4012.2030238451498</v>
      </c>
      <c r="H3" s="2">
        <v>9166.6329477020299</v>
      </c>
      <c r="I3" s="2">
        <v>5241.1959479905599</v>
      </c>
      <c r="J3" s="2">
        <v>1596.47065125788</v>
      </c>
      <c r="K3" s="2">
        <v>961.44159819485003</v>
      </c>
      <c r="L3" s="2">
        <v>0</v>
      </c>
      <c r="M3" s="2">
        <v>456.79370836152299</v>
      </c>
      <c r="N3" s="3">
        <f t="shared" ref="N3:N66" si="0">SUM(B3:M3)</f>
        <v>57715.835693644171</v>
      </c>
      <c r="O3" s="2">
        <v>0</v>
      </c>
      <c r="P3" s="2">
        <v>6.82434429925868</v>
      </c>
      <c r="Q3" s="2">
        <v>1.8348293678976699</v>
      </c>
      <c r="R3" s="2">
        <v>0.13054242395822099</v>
      </c>
      <c r="S3" s="2">
        <v>1.2363394706667501</v>
      </c>
      <c r="T3" s="2">
        <v>5.2688932933690902</v>
      </c>
      <c r="U3" s="2">
        <v>12.0718989238212</v>
      </c>
      <c r="V3" s="2">
        <v>0</v>
      </c>
      <c r="W3" s="2">
        <v>9.5262239651868601</v>
      </c>
      <c r="X3" s="2">
        <v>9.9057136579566798</v>
      </c>
      <c r="Y3" s="2">
        <v>10.5531804849807</v>
      </c>
      <c r="Z3" s="2">
        <v>3.53352486429486</v>
      </c>
      <c r="AA3" s="3">
        <f>SUM(O3:Z3)</f>
        <v>60.885490751390712</v>
      </c>
      <c r="AB3" t="s">
        <v>45</v>
      </c>
      <c r="AC3">
        <v>290.52999999999997</v>
      </c>
      <c r="AD3">
        <v>39.299999999999997</v>
      </c>
      <c r="AE3">
        <v>23.61</v>
      </c>
      <c r="AF3">
        <v>47.61</v>
      </c>
      <c r="AG3">
        <v>12.33</v>
      </c>
      <c r="AH3">
        <v>50.42</v>
      </c>
      <c r="AI3">
        <v>102.31</v>
      </c>
      <c r="AJ3">
        <v>62.41</v>
      </c>
      <c r="AK3">
        <v>26.46</v>
      </c>
      <c r="AL3">
        <v>20.11</v>
      </c>
      <c r="AM3">
        <v>10.54</v>
      </c>
      <c r="AN3">
        <v>14.76</v>
      </c>
      <c r="AO3" s="1">
        <f>SUM(AC3:AN3)</f>
        <v>700.39</v>
      </c>
    </row>
    <row r="4" spans="1:41" x14ac:dyDescent="0.25">
      <c r="A4" t="s">
        <v>46</v>
      </c>
      <c r="B4" s="2">
        <v>27981.652357667099</v>
      </c>
      <c r="C4" s="2">
        <v>417.81517089771802</v>
      </c>
      <c r="D4" s="2">
        <v>852.48705227530104</v>
      </c>
      <c r="E4" s="2">
        <v>635.07388016857499</v>
      </c>
      <c r="F4" s="2">
        <v>663.31519936003394</v>
      </c>
      <c r="G4" s="2">
        <v>4986.30740753805</v>
      </c>
      <c r="H4" s="2">
        <v>1854.4870348582499</v>
      </c>
      <c r="I4" s="2">
        <v>6695.5890536430297</v>
      </c>
      <c r="J4" s="2">
        <v>1891.9994972639599</v>
      </c>
      <c r="K4" s="2">
        <v>887.89299888482503</v>
      </c>
      <c r="L4" s="2">
        <v>743.67273902505895</v>
      </c>
      <c r="M4" s="2">
        <v>2697.4340290274799</v>
      </c>
      <c r="N4" s="3">
        <f t="shared" si="0"/>
        <v>50307.726420609375</v>
      </c>
      <c r="O4" s="2">
        <v>3.0272902425484101</v>
      </c>
      <c r="P4" s="2">
        <v>0</v>
      </c>
      <c r="Q4" s="2">
        <v>3.1933095641143998</v>
      </c>
      <c r="R4" s="2">
        <v>13.7264781509326</v>
      </c>
      <c r="S4" s="2">
        <v>2.71973238211605</v>
      </c>
      <c r="T4" s="2">
        <v>0.56202084162180299</v>
      </c>
      <c r="U4" s="2">
        <v>1.6899206137634699</v>
      </c>
      <c r="V4" s="2">
        <v>0.95496647957722003</v>
      </c>
      <c r="W4" s="2">
        <v>2.2011678939614399</v>
      </c>
      <c r="X4" s="2">
        <v>0.22231460949152301</v>
      </c>
      <c r="Y4" s="2">
        <v>6.2190387515546801</v>
      </c>
      <c r="Z4" s="2">
        <v>1.11869080932256</v>
      </c>
      <c r="AA4" s="3">
        <f t="shared" ref="AA4:AA67" si="1">SUM(O4:Z4)</f>
        <v>35.63493033900415</v>
      </c>
      <c r="AB4" t="s">
        <v>45</v>
      </c>
      <c r="AC4">
        <v>290.01</v>
      </c>
      <c r="AD4">
        <v>14.17</v>
      </c>
      <c r="AE4">
        <v>18.72</v>
      </c>
      <c r="AF4">
        <v>17.05</v>
      </c>
      <c r="AG4">
        <v>16.78</v>
      </c>
      <c r="AH4">
        <v>59.91</v>
      </c>
      <c r="AI4">
        <v>28.64</v>
      </c>
      <c r="AJ4">
        <v>77</v>
      </c>
      <c r="AK4">
        <v>29.06</v>
      </c>
      <c r="AL4">
        <v>18.920000000000002</v>
      </c>
      <c r="AM4">
        <v>17.78</v>
      </c>
      <c r="AN4">
        <v>37.07</v>
      </c>
      <c r="AO4" s="1">
        <f>SUM(AC4:AN4)</f>
        <v>625.1099999999999</v>
      </c>
    </row>
    <row r="5" spans="1:41" x14ac:dyDescent="0.25">
      <c r="A5" t="s">
        <v>47</v>
      </c>
      <c r="B5" s="2">
        <v>24077.595170701999</v>
      </c>
      <c r="C5" s="2">
        <v>2040.37070525389</v>
      </c>
      <c r="D5" s="2">
        <v>697.99084824828503</v>
      </c>
      <c r="E5" s="2">
        <v>2976.9147863266498</v>
      </c>
      <c r="F5" s="2">
        <v>3284.5485432166201</v>
      </c>
      <c r="G5" s="2">
        <v>0</v>
      </c>
      <c r="H5" s="2">
        <v>882.75571241305204</v>
      </c>
      <c r="I5" s="2">
        <v>5062.1182302428897</v>
      </c>
      <c r="J5" s="2">
        <v>1429.71813098294</v>
      </c>
      <c r="K5" s="2">
        <v>471.10911244673798</v>
      </c>
      <c r="L5" s="2">
        <v>2549.1186483996598</v>
      </c>
      <c r="M5" s="2">
        <v>347.76244010424</v>
      </c>
      <c r="N5" s="3">
        <f t="shared" si="0"/>
        <v>43820.002328336959</v>
      </c>
      <c r="O5" s="2">
        <v>3.6953248475065301</v>
      </c>
      <c r="P5" s="2">
        <v>5.7223518240506497</v>
      </c>
      <c r="Q5" s="2">
        <v>1.9044144875333799</v>
      </c>
      <c r="R5" s="2">
        <v>3.6303551359917501</v>
      </c>
      <c r="S5" s="2">
        <v>2.69199523613911</v>
      </c>
      <c r="T5" s="2">
        <v>2.7536809021733699</v>
      </c>
      <c r="U5" s="2">
        <v>7.5746850667271097</v>
      </c>
      <c r="V5" s="2">
        <v>0</v>
      </c>
      <c r="W5" s="2">
        <v>1.6038990868752501</v>
      </c>
      <c r="X5" s="2">
        <v>8.9788220677048205</v>
      </c>
      <c r="Y5" s="2">
        <v>0.68691511745405598</v>
      </c>
      <c r="Z5" s="2">
        <v>4.94134380561316</v>
      </c>
      <c r="AA5" s="3">
        <f t="shared" si="1"/>
        <v>44.183787577769181</v>
      </c>
      <c r="AB5" t="s">
        <v>45</v>
      </c>
      <c r="AC5">
        <v>250.97</v>
      </c>
      <c r="AD5">
        <v>30.7</v>
      </c>
      <c r="AE5">
        <v>17.07</v>
      </c>
      <c r="AF5">
        <v>39.96</v>
      </c>
      <c r="AG5">
        <v>42.99</v>
      </c>
      <c r="AH5">
        <v>10.14</v>
      </c>
      <c r="AI5">
        <v>19.22</v>
      </c>
      <c r="AJ5">
        <v>60.62</v>
      </c>
      <c r="AK5">
        <v>24.39</v>
      </c>
      <c r="AL5">
        <v>15.16</v>
      </c>
      <c r="AM5">
        <v>35.54</v>
      </c>
      <c r="AN5">
        <v>13.72</v>
      </c>
      <c r="AO5" s="1">
        <f t="shared" ref="AO5:AO68" si="2">SUM(AC5:AN5)</f>
        <v>560.48</v>
      </c>
    </row>
    <row r="6" spans="1:41" x14ac:dyDescent="0.25">
      <c r="A6" t="s">
        <v>48</v>
      </c>
      <c r="B6" s="2">
        <v>23074.755996573</v>
      </c>
      <c r="C6" s="2">
        <v>2785.5024245119798</v>
      </c>
      <c r="D6" s="2">
        <v>284.71384851652402</v>
      </c>
      <c r="E6" s="2">
        <v>3283.7711096343201</v>
      </c>
      <c r="F6" s="2">
        <v>7459.8082640359999</v>
      </c>
      <c r="G6" s="2">
        <v>3168.5675347277202</v>
      </c>
      <c r="H6" s="2">
        <v>1907.4737226939501</v>
      </c>
      <c r="I6" s="2">
        <v>339.31373398120701</v>
      </c>
      <c r="J6" s="2">
        <v>2228.1185654053102</v>
      </c>
      <c r="K6" s="2">
        <v>2686.79703355217</v>
      </c>
      <c r="L6" s="2">
        <v>1170.1683013005299</v>
      </c>
      <c r="M6" s="2">
        <v>7622.4986486027901</v>
      </c>
      <c r="N6" s="3">
        <f t="shared" si="0"/>
        <v>56011.489183535501</v>
      </c>
      <c r="O6" s="2">
        <v>1.01598559895102</v>
      </c>
      <c r="P6" s="2">
        <v>0.15372141576467999</v>
      </c>
      <c r="Q6" s="2">
        <v>4.6900201843491303</v>
      </c>
      <c r="R6" s="2">
        <v>4.5204292164253204</v>
      </c>
      <c r="S6" s="2">
        <v>2.07916376300824</v>
      </c>
      <c r="T6" s="2">
        <v>6.61811372466323</v>
      </c>
      <c r="U6" s="2">
        <v>7.6565991610073301</v>
      </c>
      <c r="V6" s="2">
        <v>5.3556575108839102</v>
      </c>
      <c r="W6" s="2">
        <v>0</v>
      </c>
      <c r="X6" s="2">
        <v>3.38470814696865</v>
      </c>
      <c r="Y6" s="2">
        <v>3.4338633835546699</v>
      </c>
      <c r="Z6" s="2">
        <v>4.6570531934573296</v>
      </c>
      <c r="AA6" s="3">
        <f t="shared" si="1"/>
        <v>43.565315299033507</v>
      </c>
      <c r="AB6" t="s">
        <v>45</v>
      </c>
      <c r="AC6">
        <v>240.84</v>
      </c>
      <c r="AD6">
        <v>37.9</v>
      </c>
      <c r="AE6">
        <v>13.09</v>
      </c>
      <c r="AF6">
        <v>43.08</v>
      </c>
      <c r="AG6">
        <v>84.74</v>
      </c>
      <c r="AH6">
        <v>42.03</v>
      </c>
      <c r="AI6">
        <v>29.47</v>
      </c>
      <c r="AJ6">
        <v>13.69</v>
      </c>
      <c r="AK6">
        <v>32.28</v>
      </c>
      <c r="AL6">
        <v>37.06</v>
      </c>
      <c r="AM6">
        <v>21.9</v>
      </c>
      <c r="AN6">
        <v>86.47</v>
      </c>
      <c r="AO6" s="1">
        <f t="shared" si="2"/>
        <v>682.55000000000007</v>
      </c>
    </row>
    <row r="7" spans="1:41" x14ac:dyDescent="0.25">
      <c r="A7" t="s">
        <v>49</v>
      </c>
      <c r="B7" s="2">
        <v>22979.492793943398</v>
      </c>
      <c r="C7" s="2">
        <v>2122.3149894051198</v>
      </c>
      <c r="D7" s="2">
        <v>876.83084597295795</v>
      </c>
      <c r="E7" s="2">
        <v>5628.9232806136197</v>
      </c>
      <c r="F7" s="2">
        <v>0</v>
      </c>
      <c r="G7" s="2">
        <v>1865.49224266029</v>
      </c>
      <c r="H7" s="2">
        <v>757.83590345181301</v>
      </c>
      <c r="I7" s="2">
        <v>9671.7791736822492</v>
      </c>
      <c r="J7" s="2">
        <v>2997.99543686273</v>
      </c>
      <c r="K7" s="2">
        <v>7828.6764260428999</v>
      </c>
      <c r="L7" s="2">
        <v>1929.73646134003</v>
      </c>
      <c r="M7" s="2">
        <v>1642.51216646077</v>
      </c>
      <c r="N7" s="3">
        <f t="shared" si="0"/>
        <v>58301.589720435877</v>
      </c>
      <c r="O7" s="2">
        <v>0</v>
      </c>
      <c r="P7" s="2">
        <v>0.28491235699169298</v>
      </c>
      <c r="Q7" s="2">
        <v>2.3988806298790499</v>
      </c>
      <c r="R7" s="2">
        <v>1.1966898747485399</v>
      </c>
      <c r="S7" s="2">
        <v>1.26302930638411</v>
      </c>
      <c r="T7" s="2">
        <v>3.6460267566664002</v>
      </c>
      <c r="U7" s="2">
        <v>1.5113668805373499</v>
      </c>
      <c r="V7" s="2">
        <v>1.78269234501865</v>
      </c>
      <c r="W7" s="2">
        <v>6.1010391486181303</v>
      </c>
      <c r="X7" s="2">
        <v>6.4017514930566497</v>
      </c>
      <c r="Y7" s="2">
        <v>3.06867476966511</v>
      </c>
      <c r="Z7" s="2">
        <v>8.3819531640305307</v>
      </c>
      <c r="AA7" s="3">
        <f t="shared" si="1"/>
        <v>36.037016725596217</v>
      </c>
      <c r="AB7" t="s">
        <v>45</v>
      </c>
      <c r="AC7">
        <v>239.79</v>
      </c>
      <c r="AD7">
        <v>31.27</v>
      </c>
      <c r="AE7">
        <v>18.91</v>
      </c>
      <c r="AF7">
        <v>66.38</v>
      </c>
      <c r="AG7">
        <v>10.09</v>
      </c>
      <c r="AH7">
        <v>28.85</v>
      </c>
      <c r="AI7">
        <v>17.670000000000002</v>
      </c>
      <c r="AJ7">
        <v>106.81</v>
      </c>
      <c r="AK7">
        <v>40.32</v>
      </c>
      <c r="AL7">
        <v>88.63</v>
      </c>
      <c r="AM7">
        <v>29.49</v>
      </c>
      <c r="AN7">
        <v>26.87</v>
      </c>
      <c r="AO7" s="1">
        <f t="shared" si="2"/>
        <v>705.08</v>
      </c>
    </row>
    <row r="8" spans="1:41" x14ac:dyDescent="0.25">
      <c r="A8" t="s">
        <v>50</v>
      </c>
      <c r="B8" s="2">
        <v>21172.886390735599</v>
      </c>
      <c r="C8" s="2">
        <v>1523.6876498799099</v>
      </c>
      <c r="D8" s="2">
        <v>1485.3057878582699</v>
      </c>
      <c r="E8" s="2">
        <v>4193.1236257516503</v>
      </c>
      <c r="F8" s="2">
        <v>1956.6123125368199</v>
      </c>
      <c r="G8" s="2">
        <v>1901.25346633035</v>
      </c>
      <c r="H8" s="2">
        <v>3119.82692549389</v>
      </c>
      <c r="I8" s="2">
        <v>2239.82375396208</v>
      </c>
      <c r="J8" s="2">
        <v>5877.3904459068499</v>
      </c>
      <c r="K8" s="2">
        <v>1648.9665637092501</v>
      </c>
      <c r="L8" s="2">
        <v>9274.7754003744394</v>
      </c>
      <c r="M8" s="2">
        <v>6059.3035200945596</v>
      </c>
      <c r="N8" s="3">
        <f t="shared" si="0"/>
        <v>60452.955842633673</v>
      </c>
      <c r="O8" s="2">
        <v>3.4804020472899602</v>
      </c>
      <c r="P8" s="2">
        <v>2.7555623226492401</v>
      </c>
      <c r="Q8" s="2">
        <v>8.5123220410215001</v>
      </c>
      <c r="R8" s="2">
        <v>8.4869033209261602</v>
      </c>
      <c r="S8" s="2">
        <v>0</v>
      </c>
      <c r="T8" s="2">
        <v>7.35236778958763</v>
      </c>
      <c r="U8" s="2">
        <v>2.5343937096796298</v>
      </c>
      <c r="V8" s="2">
        <v>18.001428970233398</v>
      </c>
      <c r="W8" s="2">
        <v>1.1814808788543401</v>
      </c>
      <c r="X8" s="2">
        <v>18.746402303273701</v>
      </c>
      <c r="Y8" s="2">
        <v>4.5426855037401097</v>
      </c>
      <c r="Z8" s="2">
        <v>1.2377768976412999</v>
      </c>
      <c r="AA8" s="3">
        <f t="shared" si="1"/>
        <v>76.83172578489696</v>
      </c>
      <c r="AB8" t="s">
        <v>45</v>
      </c>
      <c r="AC8">
        <v>221.92</v>
      </c>
      <c r="AD8">
        <v>25.38</v>
      </c>
      <c r="AE8">
        <v>25.3</v>
      </c>
      <c r="AF8">
        <v>52.38</v>
      </c>
      <c r="AG8">
        <v>29.56</v>
      </c>
      <c r="AH8">
        <v>29.41</v>
      </c>
      <c r="AI8">
        <v>41.34</v>
      </c>
      <c r="AJ8">
        <v>33.340000000000003</v>
      </c>
      <c r="AK8">
        <v>68.87</v>
      </c>
      <c r="AL8">
        <v>27.43</v>
      </c>
      <c r="AM8">
        <v>102.99</v>
      </c>
      <c r="AN8">
        <v>70.69</v>
      </c>
      <c r="AO8" s="1">
        <f t="shared" si="2"/>
        <v>728.6099999999999</v>
      </c>
    </row>
    <row r="9" spans="1:41" x14ac:dyDescent="0.25">
      <c r="A9" t="s">
        <v>51</v>
      </c>
      <c r="B9" s="2">
        <v>17677.832160661299</v>
      </c>
      <c r="C9" s="2">
        <v>4761.3302283661396</v>
      </c>
      <c r="D9" s="2">
        <v>3058.49810427487</v>
      </c>
      <c r="E9" s="2">
        <v>9399.8110024047601</v>
      </c>
      <c r="F9" s="2">
        <v>8675.8789730303506</v>
      </c>
      <c r="G9" s="2">
        <v>5734.8376479413701</v>
      </c>
      <c r="H9" s="2">
        <v>3587.22155360226</v>
      </c>
      <c r="I9" s="2">
        <v>3564.41662638449</v>
      </c>
      <c r="J9" s="2">
        <v>1240.74738400196</v>
      </c>
      <c r="K9" s="2">
        <v>155.306306816675</v>
      </c>
      <c r="L9" s="2">
        <v>2065.3096297336201</v>
      </c>
      <c r="M9" s="2">
        <v>2312.6221064338101</v>
      </c>
      <c r="N9" s="3">
        <f t="shared" si="0"/>
        <v>62233.811723651612</v>
      </c>
      <c r="O9" s="2">
        <v>4.6764257661096904</v>
      </c>
      <c r="P9" s="2">
        <v>3.7891881537854801</v>
      </c>
      <c r="Q9" s="2">
        <v>4.3049763477617997</v>
      </c>
      <c r="R9" s="2">
        <v>5.2743849169779597</v>
      </c>
      <c r="S9" s="2">
        <v>3.8110392275846898</v>
      </c>
      <c r="T9" s="2">
        <v>0.29090471419548902</v>
      </c>
      <c r="U9" s="2">
        <v>2.0522613775427501</v>
      </c>
      <c r="V9" s="2">
        <v>4.2704144796829997</v>
      </c>
      <c r="W9" s="2">
        <v>0.457282924007611</v>
      </c>
      <c r="X9" s="2">
        <v>1.6975735556973699</v>
      </c>
      <c r="Y9" s="2">
        <v>1.5591213388610901</v>
      </c>
      <c r="Z9" s="2">
        <v>2.8046566087448501</v>
      </c>
      <c r="AA9" s="3">
        <f t="shared" si="1"/>
        <v>34.988229410951774</v>
      </c>
      <c r="AB9" t="s">
        <v>45</v>
      </c>
      <c r="AC9">
        <v>187.02</v>
      </c>
      <c r="AD9">
        <v>57.81</v>
      </c>
      <c r="AE9">
        <v>40.83</v>
      </c>
      <c r="AF9">
        <v>104.29</v>
      </c>
      <c r="AG9">
        <v>96.95</v>
      </c>
      <c r="AH9">
        <v>67.39</v>
      </c>
      <c r="AI9">
        <v>46.02</v>
      </c>
      <c r="AJ9">
        <v>45.89</v>
      </c>
      <c r="AK9">
        <v>22.45</v>
      </c>
      <c r="AL9">
        <v>11.65</v>
      </c>
      <c r="AM9">
        <v>30.75</v>
      </c>
      <c r="AN9">
        <v>33.270000000000003</v>
      </c>
      <c r="AO9" s="1">
        <f t="shared" si="2"/>
        <v>744.32</v>
      </c>
    </row>
    <row r="10" spans="1:41" x14ac:dyDescent="0.25">
      <c r="A10" t="s">
        <v>52</v>
      </c>
      <c r="B10" s="2">
        <v>17562.335615501499</v>
      </c>
      <c r="C10" s="2">
        <v>1588.6694584141501</v>
      </c>
      <c r="D10" s="2">
        <v>1873.92560713797</v>
      </c>
      <c r="E10" s="2">
        <v>12191.940346638101</v>
      </c>
      <c r="F10" s="2">
        <v>3104.8012837020701</v>
      </c>
      <c r="G10" s="2">
        <v>1559.3143627785601</v>
      </c>
      <c r="H10" s="2">
        <v>4198.56725851601</v>
      </c>
      <c r="I10" s="2">
        <v>255.283642900281</v>
      </c>
      <c r="J10" s="2">
        <v>1706.0694241696699</v>
      </c>
      <c r="K10" s="2">
        <v>506.10294915938402</v>
      </c>
      <c r="L10" s="2">
        <v>317.99445997045399</v>
      </c>
      <c r="M10" s="2">
        <v>0</v>
      </c>
      <c r="N10" s="3">
        <f t="shared" si="0"/>
        <v>44865.004408888162</v>
      </c>
      <c r="O10" s="2">
        <v>0</v>
      </c>
      <c r="P10" s="2">
        <v>0.62814976802584299</v>
      </c>
      <c r="Q10" s="2">
        <v>3.5003327261244599</v>
      </c>
      <c r="R10" s="2">
        <v>3.3931231242187101</v>
      </c>
      <c r="S10" s="2">
        <v>9.6599001609999</v>
      </c>
      <c r="T10" s="2">
        <v>2.2831001132406099</v>
      </c>
      <c r="U10" s="2">
        <v>11.3239039889546</v>
      </c>
      <c r="V10" s="2">
        <v>0.77391993261231795</v>
      </c>
      <c r="W10" s="2">
        <v>0</v>
      </c>
      <c r="X10" s="2">
        <v>0</v>
      </c>
      <c r="Y10" s="2">
        <v>0</v>
      </c>
      <c r="Z10" s="2">
        <v>2.4815974572797499</v>
      </c>
      <c r="AA10" s="3">
        <f t="shared" si="1"/>
        <v>34.044027271456194</v>
      </c>
      <c r="AB10" t="s">
        <v>45</v>
      </c>
      <c r="AC10">
        <v>185.62</v>
      </c>
      <c r="AD10">
        <v>25.93</v>
      </c>
      <c r="AE10">
        <v>28.93</v>
      </c>
      <c r="AF10">
        <v>132.11000000000001</v>
      </c>
      <c r="AG10">
        <v>41.54</v>
      </c>
      <c r="AH10">
        <v>25.74</v>
      </c>
      <c r="AI10">
        <v>52.58</v>
      </c>
      <c r="AJ10">
        <v>12.6</v>
      </c>
      <c r="AK10">
        <v>27.06</v>
      </c>
      <c r="AL10">
        <v>15.06</v>
      </c>
      <c r="AM10">
        <v>13.17</v>
      </c>
      <c r="AN10">
        <v>10.14</v>
      </c>
      <c r="AO10" s="1">
        <f t="shared" si="2"/>
        <v>570.4799999999999</v>
      </c>
    </row>
    <row r="11" spans="1:41" x14ac:dyDescent="0.25">
      <c r="A11" t="s">
        <v>53</v>
      </c>
      <c r="B11" s="2">
        <v>17310.818875481498</v>
      </c>
      <c r="C11" s="2">
        <v>1600.9241985517101</v>
      </c>
      <c r="D11" s="2">
        <v>4071.80532053462</v>
      </c>
      <c r="E11" s="2">
        <v>808.60021820505006</v>
      </c>
      <c r="F11" s="2">
        <v>208.477695433836</v>
      </c>
      <c r="G11" s="2">
        <v>6817.1881777897697</v>
      </c>
      <c r="H11" s="2">
        <v>1511.49084869171</v>
      </c>
      <c r="I11" s="2">
        <v>1614.10887946613</v>
      </c>
      <c r="J11" s="2">
        <v>1723.23357463766</v>
      </c>
      <c r="K11" s="2">
        <v>11608.7210001191</v>
      </c>
      <c r="L11" s="2">
        <v>0</v>
      </c>
      <c r="M11" s="2">
        <v>5663.6196206488603</v>
      </c>
      <c r="N11" s="3">
        <f t="shared" si="0"/>
        <v>52938.988409559948</v>
      </c>
      <c r="O11" s="2">
        <v>0.16695996785752701</v>
      </c>
      <c r="P11" s="2">
        <v>1.3625016136739201</v>
      </c>
      <c r="Q11" s="2">
        <v>5.6891728291147503</v>
      </c>
      <c r="R11" s="2">
        <v>5.6100635113012096</v>
      </c>
      <c r="S11" s="2">
        <v>1.8632850680412101</v>
      </c>
      <c r="T11" s="2">
        <v>0</v>
      </c>
      <c r="U11" s="2">
        <v>2.73447410410831</v>
      </c>
      <c r="V11" s="2">
        <v>2.7288638805101799</v>
      </c>
      <c r="W11" s="2">
        <v>10.096708065609899</v>
      </c>
      <c r="X11" s="2">
        <v>4.5703159511172702</v>
      </c>
      <c r="Y11" s="2">
        <v>0.73125341454803305</v>
      </c>
      <c r="Z11" s="2">
        <v>3.9632104584441601</v>
      </c>
      <c r="AA11" s="3">
        <f t="shared" si="1"/>
        <v>39.516808864326471</v>
      </c>
      <c r="AB11" t="s">
        <v>45</v>
      </c>
      <c r="AC11">
        <v>183.15</v>
      </c>
      <c r="AD11">
        <v>26.1</v>
      </c>
      <c r="AE11">
        <v>51.01</v>
      </c>
      <c r="AF11">
        <v>18.38</v>
      </c>
      <c r="AG11">
        <v>12.18</v>
      </c>
      <c r="AH11">
        <v>78.17</v>
      </c>
      <c r="AI11">
        <v>25.26</v>
      </c>
      <c r="AJ11">
        <v>26.29</v>
      </c>
      <c r="AK11">
        <v>27.78</v>
      </c>
      <c r="AL11">
        <v>126.33</v>
      </c>
      <c r="AM11">
        <v>10.039999999999999</v>
      </c>
      <c r="AN11">
        <v>66.83</v>
      </c>
      <c r="AO11" s="1">
        <f t="shared" si="2"/>
        <v>651.5200000000001</v>
      </c>
    </row>
    <row r="12" spans="1:41" x14ac:dyDescent="0.25">
      <c r="A12" t="s">
        <v>54</v>
      </c>
      <c r="B12" s="2">
        <v>16752.502842047801</v>
      </c>
      <c r="C12" s="2">
        <v>6126.3628416342299</v>
      </c>
      <c r="D12" s="2">
        <v>2972.61523979206</v>
      </c>
      <c r="E12" s="2">
        <v>4473.5262729992801</v>
      </c>
      <c r="F12" s="2">
        <v>5774.8251141938499</v>
      </c>
      <c r="G12" s="2">
        <v>2388.7041987880598</v>
      </c>
      <c r="H12" s="2">
        <v>6406.1824615248397</v>
      </c>
      <c r="I12" s="2">
        <v>1414.0145485806199</v>
      </c>
      <c r="J12" s="2">
        <v>1243.72081600869</v>
      </c>
      <c r="K12" s="2">
        <v>2317.0721879764401</v>
      </c>
      <c r="L12" s="2">
        <v>4556.8202443708997</v>
      </c>
      <c r="M12" s="2">
        <v>4306.3376906591502</v>
      </c>
      <c r="N12" s="3">
        <f t="shared" si="0"/>
        <v>58732.684458575917</v>
      </c>
      <c r="O12" s="2">
        <v>6.9119753363182497</v>
      </c>
      <c r="P12" s="2">
        <v>0.183254760085764</v>
      </c>
      <c r="Q12" s="2">
        <v>5.0499692536980598</v>
      </c>
      <c r="R12" s="2">
        <v>3.0189490297661399</v>
      </c>
      <c r="S12" s="2">
        <v>11.8305315307129</v>
      </c>
      <c r="T12" s="2">
        <v>0.15985780072007699</v>
      </c>
      <c r="U12" s="2">
        <v>2.7107987875530601</v>
      </c>
      <c r="V12" s="2">
        <v>9.7117940071482902</v>
      </c>
      <c r="W12" s="2">
        <v>0.44653472512124098</v>
      </c>
      <c r="X12" s="2">
        <v>12.2368044945588</v>
      </c>
      <c r="Y12" s="2">
        <v>3.7763513075641599</v>
      </c>
      <c r="Z12" s="2">
        <v>1.73153063698702</v>
      </c>
      <c r="AA12" s="3">
        <f t="shared" si="1"/>
        <v>57.768351670233763</v>
      </c>
      <c r="AB12" t="s">
        <v>45</v>
      </c>
      <c r="AC12">
        <v>177.87</v>
      </c>
      <c r="AD12">
        <v>71.31</v>
      </c>
      <c r="AE12">
        <v>40.020000000000003</v>
      </c>
      <c r="AF12">
        <v>54.93</v>
      </c>
      <c r="AG12">
        <v>68.34</v>
      </c>
      <c r="AH12">
        <v>33.93</v>
      </c>
      <c r="AI12">
        <v>74.209999999999994</v>
      </c>
      <c r="AJ12">
        <v>24.64</v>
      </c>
      <c r="AK12">
        <v>22.48</v>
      </c>
      <c r="AL12">
        <v>33.82</v>
      </c>
      <c r="AM12">
        <v>55.76</v>
      </c>
      <c r="AN12">
        <v>53.16</v>
      </c>
      <c r="AO12" s="1">
        <f t="shared" si="2"/>
        <v>710.47</v>
      </c>
    </row>
    <row r="13" spans="1:41" x14ac:dyDescent="0.25">
      <c r="A13" t="s">
        <v>55</v>
      </c>
      <c r="B13" s="2">
        <v>16234.9742305541</v>
      </c>
      <c r="C13" s="2">
        <v>3934.76168550171</v>
      </c>
      <c r="D13" s="2">
        <v>5727.4150867531598</v>
      </c>
      <c r="E13" s="2">
        <v>0</v>
      </c>
      <c r="F13" s="2">
        <v>7942.5962457538999</v>
      </c>
      <c r="G13" s="2">
        <v>11273.9779678099</v>
      </c>
      <c r="H13" s="2">
        <v>2245.1035896814601</v>
      </c>
      <c r="I13" s="2">
        <v>5506.88135017676</v>
      </c>
      <c r="J13" s="2">
        <v>2619.9451827959901</v>
      </c>
      <c r="K13" s="2">
        <v>631.707764955671</v>
      </c>
      <c r="L13" s="2">
        <v>6969.3265165614002</v>
      </c>
      <c r="M13" s="2">
        <v>3442.1968172146499</v>
      </c>
      <c r="N13" s="3">
        <f t="shared" si="0"/>
        <v>66528.886437758702</v>
      </c>
      <c r="O13" s="2">
        <v>0.103386625377031</v>
      </c>
      <c r="P13" s="2">
        <v>3.6698164239590199</v>
      </c>
      <c r="Q13" s="2">
        <v>0</v>
      </c>
      <c r="R13" s="2">
        <v>10.179630398200199</v>
      </c>
      <c r="S13" s="2">
        <v>6.6749882654616099</v>
      </c>
      <c r="T13" s="2">
        <v>5.0695154210752298</v>
      </c>
      <c r="U13" s="2">
        <v>1.0149742107439099</v>
      </c>
      <c r="V13" s="2">
        <v>7.4529844080149799</v>
      </c>
      <c r="W13" s="2">
        <v>7.3979380485169699</v>
      </c>
      <c r="X13" s="2">
        <v>5.9770250928560102</v>
      </c>
      <c r="Y13" s="2">
        <v>1.92605603188307</v>
      </c>
      <c r="Z13" s="2">
        <v>4.0583869294108199</v>
      </c>
      <c r="AA13" s="3">
        <f t="shared" si="1"/>
        <v>53.524701855498854</v>
      </c>
      <c r="AB13" t="s">
        <v>45</v>
      </c>
      <c r="AC13">
        <v>172.39</v>
      </c>
      <c r="AD13">
        <v>49.54</v>
      </c>
      <c r="AE13">
        <v>67.27</v>
      </c>
      <c r="AF13">
        <v>10.54</v>
      </c>
      <c r="AG13">
        <v>89.77</v>
      </c>
      <c r="AH13">
        <v>123.03</v>
      </c>
      <c r="AI13">
        <v>32.549999999999997</v>
      </c>
      <c r="AJ13">
        <v>65.459999999999994</v>
      </c>
      <c r="AK13">
        <v>36.590000000000003</v>
      </c>
      <c r="AL13">
        <v>16.61</v>
      </c>
      <c r="AM13">
        <v>79.790000000000006</v>
      </c>
      <c r="AN13">
        <v>44.67</v>
      </c>
      <c r="AO13" s="1">
        <f t="shared" si="2"/>
        <v>788.20999999999992</v>
      </c>
    </row>
    <row r="14" spans="1:41" x14ac:dyDescent="0.25">
      <c r="A14" t="s">
        <v>56</v>
      </c>
      <c r="B14" s="2">
        <v>16201.2788772688</v>
      </c>
      <c r="C14" s="2">
        <v>1976.36773344671</v>
      </c>
      <c r="D14" s="2">
        <v>1334.0698261935199</v>
      </c>
      <c r="E14" s="2">
        <v>6880.8346411284201</v>
      </c>
      <c r="F14" s="2">
        <v>2098.55116893492</v>
      </c>
      <c r="G14" s="2">
        <v>1613.6046967796599</v>
      </c>
      <c r="H14" s="2">
        <v>1941.8693914452001</v>
      </c>
      <c r="I14" s="2">
        <v>3510.1076392367099</v>
      </c>
      <c r="J14" s="2">
        <v>0</v>
      </c>
      <c r="K14" s="2">
        <v>1530.73557245502</v>
      </c>
      <c r="L14" s="2">
        <v>2422.2141311728301</v>
      </c>
      <c r="M14" s="2">
        <v>1134.3007253589601</v>
      </c>
      <c r="N14" s="3">
        <f t="shared" si="0"/>
        <v>40643.934403420761</v>
      </c>
      <c r="O14" s="2">
        <v>2.24380255708386</v>
      </c>
      <c r="P14" s="2">
        <v>20.086245255259701</v>
      </c>
      <c r="Q14" s="2">
        <v>0</v>
      </c>
      <c r="R14" s="2">
        <v>2.9771222966417099</v>
      </c>
      <c r="S14" s="2">
        <v>11.892829889792599</v>
      </c>
      <c r="T14" s="2">
        <v>0.27558811944781397</v>
      </c>
      <c r="U14" s="2">
        <v>14.229139798704701</v>
      </c>
      <c r="V14" s="2">
        <v>11.303510494630199</v>
      </c>
      <c r="W14" s="2">
        <v>8.9568707920439206</v>
      </c>
      <c r="X14" s="2">
        <v>2.55988337107441</v>
      </c>
      <c r="Y14" s="2">
        <v>5.6794312108924601</v>
      </c>
      <c r="Z14" s="2">
        <v>6.6390675617270798</v>
      </c>
      <c r="AA14" s="3">
        <f t="shared" si="1"/>
        <v>86.843491347298439</v>
      </c>
      <c r="AB14" t="s">
        <v>45</v>
      </c>
      <c r="AC14">
        <v>172.16</v>
      </c>
      <c r="AD14">
        <v>30.81</v>
      </c>
      <c r="AE14">
        <v>23.34</v>
      </c>
      <c r="AF14">
        <v>78.95</v>
      </c>
      <c r="AG14">
        <v>31.58</v>
      </c>
      <c r="AH14">
        <v>26.18</v>
      </c>
      <c r="AI14">
        <v>30.16</v>
      </c>
      <c r="AJ14">
        <v>45.7</v>
      </c>
      <c r="AK14">
        <v>10.44</v>
      </c>
      <c r="AL14">
        <v>25.45</v>
      </c>
      <c r="AM14">
        <v>34.520000000000003</v>
      </c>
      <c r="AN14">
        <v>21.69</v>
      </c>
      <c r="AO14" s="1">
        <f t="shared" si="2"/>
        <v>530.98</v>
      </c>
    </row>
    <row r="15" spans="1:41" x14ac:dyDescent="0.25">
      <c r="A15" t="s">
        <v>57</v>
      </c>
      <c r="B15" s="2">
        <v>15958.532017879599</v>
      </c>
      <c r="C15" s="2">
        <v>1233.65131247616</v>
      </c>
      <c r="D15" s="2">
        <v>4138.0251921988702</v>
      </c>
      <c r="E15" s="2">
        <v>3580.3453057265701</v>
      </c>
      <c r="F15" s="2">
        <v>1395.63364046581</v>
      </c>
      <c r="G15" s="2">
        <v>412.99528857723101</v>
      </c>
      <c r="H15" s="2">
        <v>543.74186736027605</v>
      </c>
      <c r="I15" s="2">
        <v>6708.5443640199501</v>
      </c>
      <c r="J15" s="2">
        <v>6702.4352350613199</v>
      </c>
      <c r="K15" s="2">
        <v>1399.93760315791</v>
      </c>
      <c r="L15" s="2">
        <v>43.974165166042198</v>
      </c>
      <c r="M15" s="2">
        <v>7644.9497159170996</v>
      </c>
      <c r="N15" s="3">
        <f t="shared" si="0"/>
        <v>49762.765708006838</v>
      </c>
      <c r="O15" s="2">
        <v>1.40991669812803</v>
      </c>
      <c r="P15" s="2">
        <v>3.8550317939957601</v>
      </c>
      <c r="Q15" s="2">
        <v>1.9035976822440499</v>
      </c>
      <c r="R15" s="2">
        <v>1.0267970878930099</v>
      </c>
      <c r="S15" s="2">
        <v>2.2315235028757399</v>
      </c>
      <c r="T15" s="2">
        <v>2.75991979552991</v>
      </c>
      <c r="U15" s="2">
        <v>5.5512557078868801</v>
      </c>
      <c r="V15" s="2">
        <v>1.0306231261624501</v>
      </c>
      <c r="W15" s="2">
        <v>11.879213840394099</v>
      </c>
      <c r="X15" s="2">
        <v>0</v>
      </c>
      <c r="Y15" s="2">
        <v>2.2717438579487599</v>
      </c>
      <c r="Z15" s="2">
        <v>0.69838050820900899</v>
      </c>
      <c r="AA15" s="3">
        <f t="shared" si="1"/>
        <v>34.618003601267695</v>
      </c>
      <c r="AB15" t="s">
        <v>45</v>
      </c>
      <c r="AC15">
        <v>169.68</v>
      </c>
      <c r="AD15">
        <v>22.53</v>
      </c>
      <c r="AE15">
        <v>51.48</v>
      </c>
      <c r="AF15">
        <v>45.9</v>
      </c>
      <c r="AG15">
        <v>24.1</v>
      </c>
      <c r="AH15">
        <v>14.27</v>
      </c>
      <c r="AI15">
        <v>15.73</v>
      </c>
      <c r="AJ15">
        <v>77.180000000000007</v>
      </c>
      <c r="AK15">
        <v>77.62</v>
      </c>
      <c r="AL15">
        <v>23.99</v>
      </c>
      <c r="AM15">
        <v>10.58</v>
      </c>
      <c r="AN15">
        <v>86.49</v>
      </c>
      <c r="AO15" s="1">
        <f t="shared" si="2"/>
        <v>619.55000000000007</v>
      </c>
    </row>
    <row r="16" spans="1:41" x14ac:dyDescent="0.25">
      <c r="A16" t="s">
        <v>58</v>
      </c>
      <c r="B16" s="2">
        <v>15744.7875209207</v>
      </c>
      <c r="C16" s="2">
        <v>409.60515369947302</v>
      </c>
      <c r="D16" s="2">
        <v>3493.8496917961602</v>
      </c>
      <c r="E16" s="2">
        <v>3606.3363673848598</v>
      </c>
      <c r="F16" s="2">
        <v>991.07410928659999</v>
      </c>
      <c r="G16" s="2">
        <v>11161.1250184613</v>
      </c>
      <c r="H16" s="2">
        <v>7364.2872537963203</v>
      </c>
      <c r="I16" s="2">
        <v>6001.9178662771801</v>
      </c>
      <c r="J16" s="2">
        <v>12281.710794823501</v>
      </c>
      <c r="K16" s="2">
        <v>1265.97115902012</v>
      </c>
      <c r="L16" s="2">
        <v>0</v>
      </c>
      <c r="M16" s="2">
        <v>4228.8527291827304</v>
      </c>
      <c r="N16" s="3">
        <f t="shared" si="0"/>
        <v>66549.517664648942</v>
      </c>
      <c r="O16" s="2">
        <v>11.7452405415276</v>
      </c>
      <c r="P16" s="2">
        <v>3.6800219806075001</v>
      </c>
      <c r="Q16" s="2">
        <v>2.9935886645741001</v>
      </c>
      <c r="R16" s="2">
        <v>0.50116531897403804</v>
      </c>
      <c r="S16" s="2">
        <v>0</v>
      </c>
      <c r="T16" s="2">
        <v>6.43595544761612</v>
      </c>
      <c r="U16" s="2">
        <v>9.5699583404605503E-3</v>
      </c>
      <c r="V16" s="2">
        <v>4.0178154699646402</v>
      </c>
      <c r="W16" s="2">
        <v>9.9374580608281207</v>
      </c>
      <c r="X16" s="2">
        <v>1.5757437754546499</v>
      </c>
      <c r="Y16" s="2">
        <v>5.0817819311885097</v>
      </c>
      <c r="Z16" s="2">
        <v>0</v>
      </c>
      <c r="AA16" s="3">
        <f t="shared" si="1"/>
        <v>45.978341149075739</v>
      </c>
      <c r="AB16" t="s">
        <v>45</v>
      </c>
      <c r="AC16">
        <v>168.04</v>
      </c>
      <c r="AD16">
        <v>14.29</v>
      </c>
      <c r="AE16">
        <v>45.08</v>
      </c>
      <c r="AF16">
        <v>46.11</v>
      </c>
      <c r="AG16">
        <v>19.91</v>
      </c>
      <c r="AH16">
        <v>121.96</v>
      </c>
      <c r="AI16">
        <v>83.69</v>
      </c>
      <c r="AJ16">
        <v>70.260000000000005</v>
      </c>
      <c r="AK16">
        <v>133.31</v>
      </c>
      <c r="AL16">
        <v>22.75</v>
      </c>
      <c r="AM16">
        <v>10.29</v>
      </c>
      <c r="AN16">
        <v>52.28</v>
      </c>
      <c r="AO16" s="1">
        <f t="shared" si="2"/>
        <v>787.97</v>
      </c>
    </row>
    <row r="17" spans="1:41" x14ac:dyDescent="0.25">
      <c r="A17" t="s">
        <v>59</v>
      </c>
      <c r="B17" s="2">
        <v>15030.276350132801</v>
      </c>
      <c r="C17" s="2">
        <v>5616.9327502741298</v>
      </c>
      <c r="D17" s="2">
        <v>0</v>
      </c>
      <c r="E17" s="2">
        <v>523.40138517716298</v>
      </c>
      <c r="F17" s="2">
        <v>836.441880899019</v>
      </c>
      <c r="G17" s="2">
        <v>3108.03690353196</v>
      </c>
      <c r="H17" s="2">
        <v>14044.187518230099</v>
      </c>
      <c r="I17" s="2">
        <v>4095.8253143625998</v>
      </c>
      <c r="J17" s="2">
        <v>1717.3955341503899</v>
      </c>
      <c r="K17" s="2">
        <v>402.11871977278201</v>
      </c>
      <c r="L17" s="2">
        <v>0</v>
      </c>
      <c r="M17" s="2">
        <v>2329.1783842475802</v>
      </c>
      <c r="N17" s="3">
        <f t="shared" si="0"/>
        <v>47703.794740778525</v>
      </c>
      <c r="O17" s="2">
        <v>0.119490431234614</v>
      </c>
      <c r="P17" s="2">
        <v>4.1017569179321303</v>
      </c>
      <c r="Q17" s="2">
        <v>0</v>
      </c>
      <c r="R17" s="2">
        <v>7.4991855555093698</v>
      </c>
      <c r="S17" s="2">
        <v>4.9061626191852898</v>
      </c>
      <c r="T17" s="2">
        <v>11.271488596613899</v>
      </c>
      <c r="U17" s="2">
        <v>3.3803430586353702</v>
      </c>
      <c r="V17" s="2">
        <v>9.6603635759563904</v>
      </c>
      <c r="W17" s="2">
        <v>14.1453460638902</v>
      </c>
      <c r="X17" s="2">
        <v>6.64540414938892</v>
      </c>
      <c r="Y17" s="2">
        <v>1.2641716500190401</v>
      </c>
      <c r="Z17" s="2">
        <v>0</v>
      </c>
      <c r="AA17" s="3">
        <f t="shared" si="1"/>
        <v>62.993712618365223</v>
      </c>
      <c r="AB17" t="s">
        <v>45</v>
      </c>
      <c r="AC17">
        <v>160.35</v>
      </c>
      <c r="AD17">
        <v>66.41</v>
      </c>
      <c r="AE17">
        <v>9.99</v>
      </c>
      <c r="AF17">
        <v>15.63</v>
      </c>
      <c r="AG17">
        <v>18.61</v>
      </c>
      <c r="AH17">
        <v>41.68</v>
      </c>
      <c r="AI17">
        <v>150.63999999999999</v>
      </c>
      <c r="AJ17">
        <v>51.45</v>
      </c>
      <c r="AK17">
        <v>27.92</v>
      </c>
      <c r="AL17">
        <v>14.37</v>
      </c>
      <c r="AM17">
        <v>10.09</v>
      </c>
      <c r="AN17">
        <v>33.29</v>
      </c>
      <c r="AO17" s="1">
        <f t="shared" si="2"/>
        <v>600.42999999999995</v>
      </c>
    </row>
    <row r="18" spans="1:41" x14ac:dyDescent="0.25">
      <c r="A18" t="s">
        <v>60</v>
      </c>
      <c r="B18" s="2">
        <v>14983.9104907786</v>
      </c>
      <c r="C18" s="2">
        <v>0</v>
      </c>
      <c r="D18" s="2">
        <v>4446.9471632927798</v>
      </c>
      <c r="E18" s="2">
        <v>1543.84048782883</v>
      </c>
      <c r="F18" s="2">
        <v>5645.3332195394796</v>
      </c>
      <c r="G18" s="2">
        <v>5647.9815869362001</v>
      </c>
      <c r="H18" s="2">
        <v>5360.2796818578099</v>
      </c>
      <c r="I18" s="2">
        <v>672.33712276206495</v>
      </c>
      <c r="J18" s="2">
        <v>7083.4422742268598</v>
      </c>
      <c r="K18" s="2">
        <v>177.447470989587</v>
      </c>
      <c r="L18" s="2">
        <v>230.95694608670101</v>
      </c>
      <c r="M18" s="2">
        <v>1706.86646682786</v>
      </c>
      <c r="N18" s="3">
        <f t="shared" si="0"/>
        <v>47499.342911126769</v>
      </c>
      <c r="O18" s="2">
        <v>5.0159831913224897</v>
      </c>
      <c r="P18" s="2">
        <v>0</v>
      </c>
      <c r="Q18" s="2">
        <v>3.2011410259441999</v>
      </c>
      <c r="R18" s="2">
        <v>0</v>
      </c>
      <c r="S18" s="2">
        <v>12.0406077348062</v>
      </c>
      <c r="T18" s="2">
        <v>6.2370638446336999</v>
      </c>
      <c r="U18" s="2">
        <v>4.6630577439512599</v>
      </c>
      <c r="V18" s="2">
        <v>4.6581508277191501</v>
      </c>
      <c r="W18" s="2">
        <v>2.2889733680659199</v>
      </c>
      <c r="X18" s="2">
        <v>2.1135159314687102</v>
      </c>
      <c r="Y18" s="2">
        <v>8.9477497582967107</v>
      </c>
      <c r="Z18" s="2">
        <v>12.9811998273259</v>
      </c>
      <c r="AA18" s="3">
        <f t="shared" si="1"/>
        <v>62.147443253534234</v>
      </c>
      <c r="AB18" t="s">
        <v>45</v>
      </c>
      <c r="AC18">
        <v>160.13</v>
      </c>
      <c r="AD18">
        <v>9.99</v>
      </c>
      <c r="AE18">
        <v>54.66</v>
      </c>
      <c r="AF18">
        <v>25.43</v>
      </c>
      <c r="AG18">
        <v>67.099999999999994</v>
      </c>
      <c r="AH18">
        <v>66.819999999999993</v>
      </c>
      <c r="AI18">
        <v>63.85</v>
      </c>
      <c r="AJ18">
        <v>16.97</v>
      </c>
      <c r="AK18">
        <v>80.98</v>
      </c>
      <c r="AL18">
        <v>11.92</v>
      </c>
      <c r="AM18">
        <v>12.75</v>
      </c>
      <c r="AN18">
        <v>27.71</v>
      </c>
      <c r="AO18" s="1">
        <f t="shared" si="2"/>
        <v>598.31000000000006</v>
      </c>
    </row>
    <row r="19" spans="1:41" x14ac:dyDescent="0.25">
      <c r="A19" t="s">
        <v>61</v>
      </c>
      <c r="B19" s="2">
        <v>14973.9023235492</v>
      </c>
      <c r="C19" s="2">
        <v>3883.3427990219898</v>
      </c>
      <c r="D19" s="2">
        <v>1060.93466705332</v>
      </c>
      <c r="E19" s="2">
        <v>0</v>
      </c>
      <c r="F19" s="2">
        <v>2948.9081512252801</v>
      </c>
      <c r="G19" s="2">
        <v>831.13408488626499</v>
      </c>
      <c r="H19" s="2">
        <v>4422.43069378975</v>
      </c>
      <c r="I19" s="2">
        <v>3386.3326952695302</v>
      </c>
      <c r="J19" s="2">
        <v>1356.3008015610301</v>
      </c>
      <c r="K19" s="2">
        <v>0</v>
      </c>
      <c r="L19" s="2">
        <v>5528.8037645821396</v>
      </c>
      <c r="M19" s="2">
        <v>4089.3879965102601</v>
      </c>
      <c r="N19" s="3">
        <f t="shared" si="0"/>
        <v>42481.477977448769</v>
      </c>
      <c r="O19" s="2">
        <v>15.887437860004701</v>
      </c>
      <c r="P19" s="2">
        <v>1.81594308970605</v>
      </c>
      <c r="Q19" s="2">
        <v>11.6546550320893</v>
      </c>
      <c r="R19" s="2">
        <v>2.8578425128143401</v>
      </c>
      <c r="S19" s="2">
        <v>3.2352948283918299</v>
      </c>
      <c r="T19" s="2">
        <v>8.7491802297195793</v>
      </c>
      <c r="U19" s="2">
        <v>2.3907670232356102</v>
      </c>
      <c r="V19" s="2">
        <v>1.9462264504021201</v>
      </c>
      <c r="W19" s="2">
        <v>2.3067237687868598</v>
      </c>
      <c r="X19" s="2">
        <v>1.59774026575857</v>
      </c>
      <c r="Y19" s="2">
        <v>11.6837497485442</v>
      </c>
      <c r="Z19" s="2">
        <v>7.0043918368071401</v>
      </c>
      <c r="AA19" s="3">
        <f t="shared" si="1"/>
        <v>71.129952646260293</v>
      </c>
      <c r="AB19" t="s">
        <v>45</v>
      </c>
      <c r="AC19">
        <v>160.53</v>
      </c>
      <c r="AD19">
        <v>48.93</v>
      </c>
      <c r="AE19">
        <v>21.2</v>
      </c>
      <c r="AF19">
        <v>10.14</v>
      </c>
      <c r="AG19">
        <v>39.68</v>
      </c>
      <c r="AH19">
        <v>18.760000000000002</v>
      </c>
      <c r="AI19">
        <v>54.37</v>
      </c>
      <c r="AJ19">
        <v>43.96</v>
      </c>
      <c r="AK19">
        <v>23.71</v>
      </c>
      <c r="AL19">
        <v>10.09</v>
      </c>
      <c r="AM19">
        <v>65.88</v>
      </c>
      <c r="AN19">
        <v>51.29</v>
      </c>
      <c r="AO19" s="1">
        <f t="shared" si="2"/>
        <v>548.54</v>
      </c>
    </row>
    <row r="20" spans="1:41" x14ac:dyDescent="0.25">
      <c r="A20" t="s">
        <v>62</v>
      </c>
      <c r="B20" s="2">
        <v>14823.9235941553</v>
      </c>
      <c r="C20" s="2">
        <v>658.34821888444503</v>
      </c>
      <c r="D20" s="2">
        <v>2247.8651509297702</v>
      </c>
      <c r="E20" s="2">
        <v>27.322682142934301</v>
      </c>
      <c r="F20" s="2">
        <v>896.22722119540902</v>
      </c>
      <c r="G20" s="2">
        <v>4225.9760933212201</v>
      </c>
      <c r="H20" s="2">
        <v>824.47712909237805</v>
      </c>
      <c r="I20" s="2">
        <v>4669.4355155359899</v>
      </c>
      <c r="J20" s="2">
        <v>3358.3618847471398</v>
      </c>
      <c r="K20" s="2">
        <v>1239.81471092369</v>
      </c>
      <c r="L20" s="2">
        <v>2221.8012752955701</v>
      </c>
      <c r="M20" s="2">
        <v>0</v>
      </c>
      <c r="N20" s="3">
        <f t="shared" si="0"/>
        <v>35193.553476223846</v>
      </c>
      <c r="O20" s="2">
        <v>1.0911541952653301</v>
      </c>
      <c r="P20" s="2">
        <v>2.1271456841124801</v>
      </c>
      <c r="Q20" s="2">
        <v>0.67521663623102102</v>
      </c>
      <c r="R20" s="2">
        <v>1.0296774960878901</v>
      </c>
      <c r="S20" s="2">
        <v>0.63354681141783697</v>
      </c>
      <c r="T20" s="2">
        <v>9.5658269019279203</v>
      </c>
      <c r="U20" s="2">
        <v>4.9689555375949901</v>
      </c>
      <c r="V20" s="2">
        <v>2.1455479105038102</v>
      </c>
      <c r="W20" s="2">
        <v>0.90599890256331705</v>
      </c>
      <c r="X20" s="2">
        <v>16.173573740778799</v>
      </c>
      <c r="Y20" s="2">
        <v>3.2988649150271199</v>
      </c>
      <c r="Z20" s="2">
        <v>0.69931249386277605</v>
      </c>
      <c r="AA20" s="3">
        <f t="shared" si="1"/>
        <v>43.314821225373294</v>
      </c>
      <c r="AB20" t="s">
        <v>63</v>
      </c>
      <c r="AC20">
        <v>296.66000000000003</v>
      </c>
      <c r="AD20">
        <v>13.45</v>
      </c>
      <c r="AE20">
        <v>45.05</v>
      </c>
      <c r="AF20">
        <v>0.74</v>
      </c>
      <c r="AG20">
        <v>18.03</v>
      </c>
      <c r="AH20">
        <v>85.42</v>
      </c>
      <c r="AI20">
        <v>16.95</v>
      </c>
      <c r="AJ20">
        <v>93.67</v>
      </c>
      <c r="AK20">
        <v>67.27</v>
      </c>
      <c r="AL20">
        <v>26.33</v>
      </c>
      <c r="AM20">
        <v>44.8</v>
      </c>
      <c r="AN20">
        <v>0.09</v>
      </c>
      <c r="AO20" s="1">
        <f t="shared" si="2"/>
        <v>708.46</v>
      </c>
    </row>
    <row r="21" spans="1:41" x14ac:dyDescent="0.25">
      <c r="A21" t="s">
        <v>64</v>
      </c>
      <c r="B21" s="2">
        <v>14258.5548748254</v>
      </c>
      <c r="C21" s="2">
        <v>0</v>
      </c>
      <c r="D21" s="2">
        <v>3544.3166744867999</v>
      </c>
      <c r="E21" s="2">
        <v>863.76125630630395</v>
      </c>
      <c r="F21" s="2">
        <v>3501.7529231338399</v>
      </c>
      <c r="G21" s="2">
        <v>265.542994671477</v>
      </c>
      <c r="H21" s="2">
        <v>379.34427088151102</v>
      </c>
      <c r="I21" s="2">
        <v>1596.25137916163</v>
      </c>
      <c r="J21" s="2">
        <v>6095.9387304434304</v>
      </c>
      <c r="K21" s="2">
        <v>1169.4415386885501</v>
      </c>
      <c r="L21" s="2">
        <v>1203.8923421453701</v>
      </c>
      <c r="M21" s="2">
        <v>0</v>
      </c>
      <c r="N21" s="3">
        <f t="shared" si="0"/>
        <v>32878.796984744316</v>
      </c>
      <c r="O21" s="2">
        <v>5.4455914049892797</v>
      </c>
      <c r="P21" s="2">
        <v>4.8569502063644396</v>
      </c>
      <c r="Q21" s="2">
        <v>0.26492512720843803</v>
      </c>
      <c r="R21" s="2">
        <v>2.1496994587720201E-2</v>
      </c>
      <c r="S21" s="2">
        <v>1.90152314952419</v>
      </c>
      <c r="T21" s="2">
        <v>5.4701654723250099</v>
      </c>
      <c r="U21" s="2">
        <v>0.25621481189335699</v>
      </c>
      <c r="V21" s="2">
        <v>0.40161476968829601</v>
      </c>
      <c r="W21" s="2">
        <v>5.1492009862782497</v>
      </c>
      <c r="X21" s="2">
        <v>0</v>
      </c>
      <c r="Y21" s="2">
        <v>3.69601250756073</v>
      </c>
      <c r="Z21" s="2">
        <v>0.45768167389395797</v>
      </c>
      <c r="AA21" s="3">
        <f t="shared" si="1"/>
        <v>27.92137710431367</v>
      </c>
      <c r="AB21" t="s">
        <v>63</v>
      </c>
      <c r="AC21">
        <v>285.72000000000003</v>
      </c>
      <c r="AD21">
        <v>0.45</v>
      </c>
      <c r="AE21">
        <v>70.989999999999995</v>
      </c>
      <c r="AF21">
        <v>17.37</v>
      </c>
      <c r="AG21">
        <v>70.22</v>
      </c>
      <c r="AH21">
        <v>5.86</v>
      </c>
      <c r="AI21">
        <v>7.69</v>
      </c>
      <c r="AJ21">
        <v>32.03</v>
      </c>
      <c r="AK21">
        <v>122.46</v>
      </c>
      <c r="AL21">
        <v>23.4</v>
      </c>
      <c r="AM21">
        <v>24.44</v>
      </c>
      <c r="AN21">
        <v>0.09</v>
      </c>
      <c r="AO21" s="1">
        <f t="shared" si="2"/>
        <v>660.72000000000014</v>
      </c>
    </row>
    <row r="22" spans="1:41" x14ac:dyDescent="0.25">
      <c r="A22" t="s">
        <v>65</v>
      </c>
      <c r="B22" s="2">
        <v>14212.623640563101</v>
      </c>
      <c r="C22" s="2">
        <v>7091.3936045761902</v>
      </c>
      <c r="D22" s="2">
        <v>5629.8631534926599</v>
      </c>
      <c r="E22" s="2">
        <v>380.96036344778202</v>
      </c>
      <c r="F22" s="2">
        <v>684.38972173746799</v>
      </c>
      <c r="G22" s="2">
        <v>1253.2656355551501</v>
      </c>
      <c r="H22" s="2">
        <v>3976.97475816323</v>
      </c>
      <c r="I22" s="2">
        <v>6047.02954404509</v>
      </c>
      <c r="J22" s="2">
        <v>499.399627582383</v>
      </c>
      <c r="K22" s="2">
        <v>2893.47600485061</v>
      </c>
      <c r="L22" s="2">
        <v>2860.58655036556</v>
      </c>
      <c r="M22" s="2">
        <v>2426.94287466676</v>
      </c>
      <c r="N22" s="3">
        <f t="shared" si="0"/>
        <v>47956.905479045978</v>
      </c>
      <c r="O22" s="2">
        <v>1.59883511913734</v>
      </c>
      <c r="P22" s="2">
        <v>7.1466619113401304</v>
      </c>
      <c r="Q22" s="2">
        <v>1.5084827770190701</v>
      </c>
      <c r="R22" s="2">
        <v>0</v>
      </c>
      <c r="S22" s="2">
        <v>2.7386171733898301</v>
      </c>
      <c r="T22" s="2">
        <v>7.07308270694078</v>
      </c>
      <c r="U22" s="2">
        <v>6.6898810447064498</v>
      </c>
      <c r="V22" s="2">
        <v>3.7696852882910998</v>
      </c>
      <c r="W22" s="2">
        <v>0.29589982351620597</v>
      </c>
      <c r="X22" s="2">
        <v>5.0047021198688899</v>
      </c>
      <c r="Y22" s="2">
        <v>5.4793564776739201</v>
      </c>
      <c r="Z22" s="2">
        <v>2.5153106134416401</v>
      </c>
      <c r="AA22" s="3">
        <f t="shared" si="1"/>
        <v>43.820515055325352</v>
      </c>
      <c r="AB22" t="s">
        <v>45</v>
      </c>
      <c r="AC22">
        <v>152.22</v>
      </c>
      <c r="AD22">
        <v>81.31</v>
      </c>
      <c r="AE22">
        <v>66.39</v>
      </c>
      <c r="AF22">
        <v>13.8</v>
      </c>
      <c r="AG22">
        <v>16.989999999999998</v>
      </c>
      <c r="AH22">
        <v>22.93</v>
      </c>
      <c r="AI22">
        <v>50.11</v>
      </c>
      <c r="AJ22">
        <v>70.67</v>
      </c>
      <c r="AK22">
        <v>15.04</v>
      </c>
      <c r="AL22">
        <v>39.229999999999997</v>
      </c>
      <c r="AM22">
        <v>38.9</v>
      </c>
      <c r="AN22">
        <v>34.409999999999997</v>
      </c>
      <c r="AO22" s="1">
        <f t="shared" si="2"/>
        <v>602</v>
      </c>
    </row>
    <row r="23" spans="1:41" x14ac:dyDescent="0.25">
      <c r="A23" t="s">
        <v>66</v>
      </c>
      <c r="B23" s="2">
        <v>14148.2993292745</v>
      </c>
      <c r="C23" s="2">
        <v>481.96630908249699</v>
      </c>
      <c r="D23" s="2">
        <v>3839.54759865715</v>
      </c>
      <c r="E23" s="2">
        <v>2773.86649823788</v>
      </c>
      <c r="F23" s="2">
        <v>4716.0977696231002</v>
      </c>
      <c r="G23" s="2">
        <v>8013.5297374042102</v>
      </c>
      <c r="H23" s="2">
        <v>2242.1996989836998</v>
      </c>
      <c r="I23" s="2">
        <v>2971.7156010624799</v>
      </c>
      <c r="J23" s="2">
        <v>3185.6992422527401</v>
      </c>
      <c r="K23" s="2">
        <v>789.31283789245799</v>
      </c>
      <c r="L23" s="2">
        <v>1478.5048287950101</v>
      </c>
      <c r="M23" s="2">
        <v>3580.1655811481701</v>
      </c>
      <c r="N23" s="3">
        <f t="shared" si="0"/>
        <v>48220.905032413903</v>
      </c>
      <c r="O23" s="2">
        <v>2.2408194095333198</v>
      </c>
      <c r="P23" s="2">
        <v>3.7508073465849701</v>
      </c>
      <c r="Q23" s="2">
        <v>0.36361874831226598</v>
      </c>
      <c r="R23" s="2">
        <v>0.88742135151083601</v>
      </c>
      <c r="S23" s="2">
        <v>5.7188034232413996</v>
      </c>
      <c r="T23" s="2">
        <v>4.7788535267412504</v>
      </c>
      <c r="U23" s="2">
        <v>8.8333281912954895</v>
      </c>
      <c r="V23" s="2">
        <v>3.4411123541228199</v>
      </c>
      <c r="W23" s="2">
        <v>4.5023172010421701</v>
      </c>
      <c r="X23" s="2">
        <v>3.0225977925601502</v>
      </c>
      <c r="Y23" s="2">
        <v>5.0792566056362602</v>
      </c>
      <c r="Z23" s="2">
        <v>3.38710047897658</v>
      </c>
      <c r="AA23" s="3">
        <f t="shared" si="1"/>
        <v>46.006036429557504</v>
      </c>
      <c r="AB23" t="s">
        <v>45</v>
      </c>
      <c r="AC23">
        <v>151.63</v>
      </c>
      <c r="AD23">
        <v>15.01</v>
      </c>
      <c r="AE23">
        <v>48.44</v>
      </c>
      <c r="AF23">
        <v>37.78</v>
      </c>
      <c r="AG23">
        <v>57.46</v>
      </c>
      <c r="AH23">
        <v>90.38</v>
      </c>
      <c r="AI23">
        <v>32.869999999999997</v>
      </c>
      <c r="AJ23">
        <v>39.909999999999997</v>
      </c>
      <c r="AK23">
        <v>42.1</v>
      </c>
      <c r="AL23">
        <v>18.09</v>
      </c>
      <c r="AM23">
        <v>25.08</v>
      </c>
      <c r="AN23">
        <v>46</v>
      </c>
      <c r="AO23" s="1">
        <f t="shared" si="2"/>
        <v>604.75000000000011</v>
      </c>
    </row>
    <row r="24" spans="1:41" x14ac:dyDescent="0.25">
      <c r="A24" t="s">
        <v>67</v>
      </c>
      <c r="B24" s="2">
        <v>13890.764020348</v>
      </c>
      <c r="C24" s="2">
        <v>6501.8046715566097</v>
      </c>
      <c r="D24" s="2">
        <v>4424.6366354545098</v>
      </c>
      <c r="E24" s="2">
        <v>0</v>
      </c>
      <c r="F24" s="2">
        <v>4323.3299516261204</v>
      </c>
      <c r="G24" s="2">
        <v>1390.36485202993</v>
      </c>
      <c r="H24" s="2">
        <v>2673.3817336564798</v>
      </c>
      <c r="I24" s="2">
        <v>3997.2560396426202</v>
      </c>
      <c r="J24" s="2">
        <v>3201.7176974467702</v>
      </c>
      <c r="K24" s="2">
        <v>4219.3753814170404</v>
      </c>
      <c r="L24" s="2">
        <v>3810.41061029</v>
      </c>
      <c r="M24" s="2">
        <v>0</v>
      </c>
      <c r="N24" s="3">
        <f t="shared" si="0"/>
        <v>48433.041593468079</v>
      </c>
      <c r="O24" s="2">
        <v>3.2969485115911001</v>
      </c>
      <c r="P24" s="2">
        <v>8.6219816546355901</v>
      </c>
      <c r="Q24" s="2">
        <v>4.9528893952384596</v>
      </c>
      <c r="R24" s="2">
        <v>1.68102353770671</v>
      </c>
      <c r="S24" s="2">
        <v>3.6232887594194301</v>
      </c>
      <c r="T24" s="2">
        <v>2.3266135596303701</v>
      </c>
      <c r="U24" s="2">
        <v>1.98680000183039</v>
      </c>
      <c r="V24" s="2">
        <v>4.8332823123679702</v>
      </c>
      <c r="W24" s="2">
        <v>4.6224022510434004</v>
      </c>
      <c r="X24" s="2">
        <v>8.1517570676149198</v>
      </c>
      <c r="Y24" s="2">
        <v>4.5608912868042797</v>
      </c>
      <c r="Z24" s="2">
        <v>4.4055265303206603</v>
      </c>
      <c r="AA24" s="3">
        <f t="shared" si="1"/>
        <v>53.063404868203278</v>
      </c>
      <c r="AB24" t="s">
        <v>45</v>
      </c>
      <c r="AC24">
        <v>149.1</v>
      </c>
      <c r="AD24">
        <v>75.459999999999994</v>
      </c>
      <c r="AE24">
        <v>54.49</v>
      </c>
      <c r="AF24">
        <v>10.09</v>
      </c>
      <c r="AG24">
        <v>53.43</v>
      </c>
      <c r="AH24">
        <v>24.05</v>
      </c>
      <c r="AI24">
        <v>36.83</v>
      </c>
      <c r="AJ24">
        <v>50.22</v>
      </c>
      <c r="AK24">
        <v>42.26</v>
      </c>
      <c r="AL24">
        <v>52.64</v>
      </c>
      <c r="AM24">
        <v>48.35</v>
      </c>
      <c r="AN24">
        <v>10.24</v>
      </c>
      <c r="AO24" s="1">
        <f t="shared" si="2"/>
        <v>607.16</v>
      </c>
    </row>
    <row r="25" spans="1:41" x14ac:dyDescent="0.25">
      <c r="A25" t="s">
        <v>68</v>
      </c>
      <c r="B25" s="2">
        <v>13846.6403147564</v>
      </c>
      <c r="C25" s="2">
        <v>784.68969538222302</v>
      </c>
      <c r="D25" s="2">
        <v>2400.07682580868</v>
      </c>
      <c r="E25" s="2">
        <v>4825.3113580523304</v>
      </c>
      <c r="F25" s="2">
        <v>0</v>
      </c>
      <c r="G25" s="2">
        <v>5637.6765916872</v>
      </c>
      <c r="H25" s="2">
        <v>13353.4068721232</v>
      </c>
      <c r="I25" s="2">
        <v>104.314091293779</v>
      </c>
      <c r="J25" s="2">
        <v>6020.0376272462599</v>
      </c>
      <c r="K25" s="2">
        <v>1604.9584425518599</v>
      </c>
      <c r="L25" s="2">
        <v>25.393652113241899</v>
      </c>
      <c r="M25" s="2">
        <v>3119.5865782446099</v>
      </c>
      <c r="N25" s="3">
        <f t="shared" si="0"/>
        <v>51722.092049259794</v>
      </c>
      <c r="O25" s="2">
        <v>1.3337388878604599</v>
      </c>
      <c r="P25" s="2">
        <v>3.3895871752447602</v>
      </c>
      <c r="Q25" s="2">
        <v>6.4133665333230603</v>
      </c>
      <c r="R25" s="2">
        <v>12.5997582652871</v>
      </c>
      <c r="S25" s="2">
        <v>3.8914138582393001</v>
      </c>
      <c r="T25" s="2">
        <v>6.0447820007987696</v>
      </c>
      <c r="U25" s="2">
        <v>0.67604373852334398</v>
      </c>
      <c r="V25" s="2">
        <v>1.07873048014721</v>
      </c>
      <c r="W25" s="2">
        <v>3.4798426541316698</v>
      </c>
      <c r="X25" s="2">
        <v>0</v>
      </c>
      <c r="Y25" s="2">
        <v>1.72999724780843</v>
      </c>
      <c r="Z25" s="2">
        <v>1.6529862436702301</v>
      </c>
      <c r="AA25" s="3">
        <f t="shared" si="1"/>
        <v>42.290247085034331</v>
      </c>
      <c r="AB25" t="s">
        <v>63</v>
      </c>
      <c r="AC25">
        <v>277.12</v>
      </c>
      <c r="AD25">
        <v>16.059999999999999</v>
      </c>
      <c r="AE25">
        <v>48.65</v>
      </c>
      <c r="AF25">
        <v>97.69</v>
      </c>
      <c r="AG25">
        <v>0.36</v>
      </c>
      <c r="AH25">
        <v>113.39</v>
      </c>
      <c r="AI25">
        <v>267.17</v>
      </c>
      <c r="AJ25">
        <v>2.2799999999999998</v>
      </c>
      <c r="AK25">
        <v>120.78</v>
      </c>
      <c r="AL25">
        <v>32.1</v>
      </c>
      <c r="AM25">
        <v>0.7</v>
      </c>
      <c r="AN25">
        <v>62.58</v>
      </c>
      <c r="AO25" s="1">
        <f t="shared" si="2"/>
        <v>1038.8800000000001</v>
      </c>
    </row>
    <row r="26" spans="1:41" x14ac:dyDescent="0.25">
      <c r="A26" t="s">
        <v>69</v>
      </c>
      <c r="B26" s="2">
        <v>13529.337015581001</v>
      </c>
      <c r="C26" s="2">
        <v>108.958845872061</v>
      </c>
      <c r="D26" s="2">
        <v>2249.17059597964</v>
      </c>
      <c r="E26" s="2">
        <v>1213.77774463009</v>
      </c>
      <c r="F26" s="2">
        <v>9448.6415234385804</v>
      </c>
      <c r="G26" s="2">
        <v>917.96319302559596</v>
      </c>
      <c r="H26" s="2">
        <v>1583.87770668849</v>
      </c>
      <c r="I26" s="2">
        <v>1638.2599827911199</v>
      </c>
      <c r="J26" s="2">
        <v>3486.5346903291702</v>
      </c>
      <c r="K26" s="2">
        <v>6169.3916442842001</v>
      </c>
      <c r="L26" s="2">
        <v>1938.4504051608601</v>
      </c>
      <c r="M26" s="2">
        <v>5944.3252063896498</v>
      </c>
      <c r="N26" s="3">
        <f t="shared" si="0"/>
        <v>48228.688554170461</v>
      </c>
      <c r="O26" s="2">
        <v>16.937956087601901</v>
      </c>
      <c r="P26" s="2">
        <v>1.3688353378310201</v>
      </c>
      <c r="Q26" s="2">
        <v>2.5491814082649999</v>
      </c>
      <c r="R26" s="2">
        <v>5.5143469243615604</v>
      </c>
      <c r="S26" s="2">
        <v>4.0908835456778503</v>
      </c>
      <c r="T26" s="2">
        <v>7.3540895817152105E-2</v>
      </c>
      <c r="U26" s="2">
        <v>9.6205842039689902</v>
      </c>
      <c r="V26" s="2">
        <v>0.22250931568319501</v>
      </c>
      <c r="W26" s="2">
        <v>5.1939704195536898</v>
      </c>
      <c r="X26" s="2">
        <v>0</v>
      </c>
      <c r="Y26" s="2">
        <v>1.15590871804475</v>
      </c>
      <c r="Z26" s="2">
        <v>1.60067314662156</v>
      </c>
      <c r="AA26" s="3">
        <f t="shared" si="1"/>
        <v>48.328390003426669</v>
      </c>
      <c r="AB26" t="s">
        <v>45</v>
      </c>
      <c r="AC26">
        <v>146.13999999999999</v>
      </c>
      <c r="AD26">
        <v>11.18</v>
      </c>
      <c r="AE26">
        <v>32.64</v>
      </c>
      <c r="AF26">
        <v>22.43</v>
      </c>
      <c r="AG26">
        <v>104.73</v>
      </c>
      <c r="AH26">
        <v>19.22</v>
      </c>
      <c r="AI26">
        <v>26.33</v>
      </c>
      <c r="AJ26">
        <v>26.43</v>
      </c>
      <c r="AK26">
        <v>45.16</v>
      </c>
      <c r="AL26">
        <v>71.69</v>
      </c>
      <c r="AM26">
        <v>29.48</v>
      </c>
      <c r="AN26">
        <v>69.540000000000006</v>
      </c>
      <c r="AO26" s="1">
        <f t="shared" si="2"/>
        <v>604.96999999999991</v>
      </c>
    </row>
    <row r="27" spans="1:41" x14ac:dyDescent="0.25">
      <c r="A27" t="s">
        <v>70</v>
      </c>
      <c r="B27" s="2">
        <v>13397.2477241615</v>
      </c>
      <c r="C27" s="2">
        <v>2242.7793318603499</v>
      </c>
      <c r="D27" s="2">
        <v>1793.7190547489899</v>
      </c>
      <c r="E27" s="2">
        <v>643.49525976841301</v>
      </c>
      <c r="F27" s="2">
        <v>7263.4086892847299</v>
      </c>
      <c r="G27" s="2">
        <v>4958.3266475471601</v>
      </c>
      <c r="H27" s="2">
        <v>256.45709272105802</v>
      </c>
      <c r="I27" s="2">
        <v>8840.5988592008998</v>
      </c>
      <c r="J27" s="2">
        <v>2321.2523355306998</v>
      </c>
      <c r="K27" s="2">
        <v>4945.2863432064696</v>
      </c>
      <c r="L27" s="2">
        <v>6166.6375997854302</v>
      </c>
      <c r="M27" s="2">
        <v>5260.6630662513198</v>
      </c>
      <c r="N27" s="3">
        <f t="shared" si="0"/>
        <v>58089.872004067016</v>
      </c>
      <c r="O27" s="2">
        <v>0.74624251174829503</v>
      </c>
      <c r="P27" s="2">
        <v>3.2225254412497502</v>
      </c>
      <c r="Q27" s="2">
        <v>6.3957170524788802</v>
      </c>
      <c r="R27" s="2">
        <v>3.55126969484781</v>
      </c>
      <c r="S27" s="2">
        <v>4.1144531042251602</v>
      </c>
      <c r="T27" s="2">
        <v>6.9471839316294899</v>
      </c>
      <c r="U27" s="2">
        <v>0.81522080665324803</v>
      </c>
      <c r="V27" s="2">
        <v>8.0282980890440498</v>
      </c>
      <c r="W27" s="2">
        <v>0.79140411554995704</v>
      </c>
      <c r="X27" s="2">
        <v>0.88754593945295002</v>
      </c>
      <c r="Y27" s="2">
        <v>1.44676482055066</v>
      </c>
      <c r="Z27" s="2">
        <v>5.4046697835116202</v>
      </c>
      <c r="AA27" s="3">
        <f t="shared" si="1"/>
        <v>42.351295290941877</v>
      </c>
      <c r="AB27" t="s">
        <v>45</v>
      </c>
      <c r="AC27">
        <v>144.02000000000001</v>
      </c>
      <c r="AD27">
        <v>32.619999999999997</v>
      </c>
      <c r="AE27">
        <v>28.28</v>
      </c>
      <c r="AF27">
        <v>16.63</v>
      </c>
      <c r="AG27">
        <v>82.88</v>
      </c>
      <c r="AH27">
        <v>59.93</v>
      </c>
      <c r="AI27">
        <v>12.61</v>
      </c>
      <c r="AJ27">
        <v>98.85</v>
      </c>
      <c r="AK27">
        <v>33.26</v>
      </c>
      <c r="AL27">
        <v>59.5</v>
      </c>
      <c r="AM27">
        <v>71.760000000000005</v>
      </c>
      <c r="AN27">
        <v>62.9</v>
      </c>
      <c r="AO27" s="1">
        <f t="shared" si="2"/>
        <v>703.24</v>
      </c>
    </row>
    <row r="28" spans="1:41" x14ac:dyDescent="0.25">
      <c r="A28" t="s">
        <v>71</v>
      </c>
      <c r="B28" s="2">
        <v>13266.004950784099</v>
      </c>
      <c r="C28" s="2">
        <v>8102.1371274167604</v>
      </c>
      <c r="D28" s="2">
        <v>3635.8660278730899</v>
      </c>
      <c r="E28" s="2">
        <v>1376.2274520585299</v>
      </c>
      <c r="F28" s="2">
        <v>305.22392780638802</v>
      </c>
      <c r="G28" s="2">
        <v>4097.0686379051003</v>
      </c>
      <c r="H28" s="2">
        <v>2623.6095453241301</v>
      </c>
      <c r="I28" s="2">
        <v>10912.676096134001</v>
      </c>
      <c r="J28" s="2">
        <v>2697.6023440621998</v>
      </c>
      <c r="K28" s="2">
        <v>17129.382785575501</v>
      </c>
      <c r="L28" s="2">
        <v>7066.1969587347203</v>
      </c>
      <c r="M28" s="2">
        <v>11474.573746476301</v>
      </c>
      <c r="N28" s="3">
        <f t="shared" si="0"/>
        <v>82686.569600150833</v>
      </c>
      <c r="O28" s="2">
        <v>6.5360281165209901</v>
      </c>
      <c r="P28" s="2">
        <v>2.6759844215662101</v>
      </c>
      <c r="Q28" s="2">
        <v>0</v>
      </c>
      <c r="R28" s="2">
        <v>0</v>
      </c>
      <c r="S28" s="2">
        <v>6.9641379891782096</v>
      </c>
      <c r="T28" s="2">
        <v>15.441273070048201</v>
      </c>
      <c r="U28" s="2">
        <v>7.6461241082594302</v>
      </c>
      <c r="V28" s="2">
        <v>1.5781783489285599</v>
      </c>
      <c r="W28" s="2">
        <v>9.2587091127532606</v>
      </c>
      <c r="X28" s="2">
        <v>3.4960203618858001</v>
      </c>
      <c r="Y28" s="2">
        <v>3.2636642905373301</v>
      </c>
      <c r="Z28" s="2">
        <v>1.62741348845385</v>
      </c>
      <c r="AA28" s="3">
        <f t="shared" si="1"/>
        <v>58.48753330813183</v>
      </c>
      <c r="AB28" t="s">
        <v>45</v>
      </c>
      <c r="AC28">
        <v>143.01</v>
      </c>
      <c r="AD28">
        <v>91.17</v>
      </c>
      <c r="AE28">
        <v>46.35</v>
      </c>
      <c r="AF28">
        <v>23.76</v>
      </c>
      <c r="AG28">
        <v>13.4</v>
      </c>
      <c r="AH28">
        <v>51.77</v>
      </c>
      <c r="AI28">
        <v>36.630000000000003</v>
      </c>
      <c r="AJ28">
        <v>119.22</v>
      </c>
      <c r="AK28">
        <v>37.47</v>
      </c>
      <c r="AL28">
        <v>181.49</v>
      </c>
      <c r="AM28">
        <v>80.86</v>
      </c>
      <c r="AN28">
        <v>124.84</v>
      </c>
      <c r="AO28" s="1">
        <f t="shared" si="2"/>
        <v>949.97</v>
      </c>
    </row>
    <row r="29" spans="1:41" x14ac:dyDescent="0.25">
      <c r="A29" t="s">
        <v>72</v>
      </c>
      <c r="B29" s="2">
        <v>13098.2122349205</v>
      </c>
      <c r="C29" s="2">
        <v>1461.22630595023</v>
      </c>
      <c r="D29" s="2">
        <v>1689.0318842517499</v>
      </c>
      <c r="E29" s="2">
        <v>1955.8979858441601</v>
      </c>
      <c r="F29" s="2">
        <v>2952.0104170356799</v>
      </c>
      <c r="G29" s="2">
        <v>5751.6651781544097</v>
      </c>
      <c r="H29" s="2">
        <v>1772.8223834113001</v>
      </c>
      <c r="I29" s="2">
        <v>2723.60431339972</v>
      </c>
      <c r="J29" s="2">
        <v>2023.8602537434299</v>
      </c>
      <c r="K29" s="2">
        <v>2254.2587358383998</v>
      </c>
      <c r="L29" s="2">
        <v>9681.1275788102394</v>
      </c>
      <c r="M29" s="2">
        <v>6500.9643285959601</v>
      </c>
      <c r="N29" s="3">
        <f t="shared" si="0"/>
        <v>51864.681599955773</v>
      </c>
      <c r="O29" s="2">
        <v>8.8226277662844197</v>
      </c>
      <c r="P29" s="2">
        <v>2.9729494531987601</v>
      </c>
      <c r="Q29" s="2">
        <v>0.14620598182772099</v>
      </c>
      <c r="R29" s="2">
        <v>7.0481762019659602</v>
      </c>
      <c r="S29" s="2">
        <v>9.5204861162302699</v>
      </c>
      <c r="T29" s="2">
        <v>6.1507611227167196</v>
      </c>
      <c r="U29" s="2">
        <v>9.3353696016495302</v>
      </c>
      <c r="V29" s="2">
        <v>2.3942286781180799</v>
      </c>
      <c r="W29" s="2">
        <v>4.2009129241430099</v>
      </c>
      <c r="X29" s="2">
        <v>3.72169523596496</v>
      </c>
      <c r="Y29" s="2">
        <v>7.4615576262096397</v>
      </c>
      <c r="Z29" s="2">
        <v>4.9092577874937797</v>
      </c>
      <c r="AA29" s="3">
        <f t="shared" si="1"/>
        <v>66.684228495802856</v>
      </c>
      <c r="AB29" t="s">
        <v>45</v>
      </c>
      <c r="AC29">
        <v>141.43</v>
      </c>
      <c r="AD29">
        <v>24.76</v>
      </c>
      <c r="AE29">
        <v>26.94</v>
      </c>
      <c r="AF29">
        <v>29.95</v>
      </c>
      <c r="AG29">
        <v>40.020000000000003</v>
      </c>
      <c r="AH29">
        <v>67.86</v>
      </c>
      <c r="AI29">
        <v>28.22</v>
      </c>
      <c r="AJ29">
        <v>37.380000000000003</v>
      </c>
      <c r="AK29">
        <v>30.48</v>
      </c>
      <c r="AL29">
        <v>32.74</v>
      </c>
      <c r="AM29">
        <v>107.21</v>
      </c>
      <c r="AN29">
        <v>75.25</v>
      </c>
      <c r="AO29" s="1">
        <f t="shared" si="2"/>
        <v>642.24</v>
      </c>
    </row>
    <row r="30" spans="1:41" x14ac:dyDescent="0.25">
      <c r="A30" t="s">
        <v>73</v>
      </c>
      <c r="B30" s="2">
        <v>12945.793069781599</v>
      </c>
      <c r="C30" s="2">
        <v>607.939610821521</v>
      </c>
      <c r="D30" s="2">
        <v>0</v>
      </c>
      <c r="E30" s="2">
        <v>4033.2538630785002</v>
      </c>
      <c r="F30" s="2">
        <v>1065.9140557364699</v>
      </c>
      <c r="G30" s="2">
        <v>5430.0222492578696</v>
      </c>
      <c r="H30" s="2">
        <v>1170.77597508236</v>
      </c>
      <c r="I30" s="2">
        <v>2907.6462159805201</v>
      </c>
      <c r="J30" s="2">
        <v>411.00387991151803</v>
      </c>
      <c r="K30" s="2">
        <v>1319.1985023208199</v>
      </c>
      <c r="L30" s="2">
        <v>4299.2331375594804</v>
      </c>
      <c r="M30" s="2">
        <v>6034.8919306527796</v>
      </c>
      <c r="N30" s="3">
        <f t="shared" si="0"/>
        <v>40225.672490183439</v>
      </c>
      <c r="O30" s="2">
        <v>7.1056309486681998E-2</v>
      </c>
      <c r="P30" s="2">
        <v>0.86963790541589803</v>
      </c>
      <c r="Q30" s="2">
        <v>5.6562998281047996</v>
      </c>
      <c r="R30" s="2">
        <v>4.2801773834286596</v>
      </c>
      <c r="S30" s="2">
        <v>9.1028403883173592</v>
      </c>
      <c r="T30" s="2">
        <v>2.7204354380982201</v>
      </c>
      <c r="U30" s="2">
        <v>0</v>
      </c>
      <c r="V30" s="2">
        <v>4.14486370174781</v>
      </c>
      <c r="W30" s="2">
        <v>4.5117699574293901</v>
      </c>
      <c r="X30" s="2">
        <v>4.4591195625549496</v>
      </c>
      <c r="Y30" s="2">
        <v>6.2838243953562696</v>
      </c>
      <c r="Z30" s="2">
        <v>1.67829563438797</v>
      </c>
      <c r="AA30" s="3">
        <f t="shared" si="1"/>
        <v>43.778320504328008</v>
      </c>
      <c r="AB30" t="s">
        <v>45</v>
      </c>
      <c r="AC30">
        <v>139.5</v>
      </c>
      <c r="AD30">
        <v>16.12</v>
      </c>
      <c r="AE30">
        <v>10.29</v>
      </c>
      <c r="AF30">
        <v>50.58</v>
      </c>
      <c r="AG30">
        <v>21.15</v>
      </c>
      <c r="AH30">
        <v>64.45</v>
      </c>
      <c r="AI30">
        <v>21.7</v>
      </c>
      <c r="AJ30">
        <v>39.32</v>
      </c>
      <c r="AK30">
        <v>14.36</v>
      </c>
      <c r="AL30">
        <v>23.44</v>
      </c>
      <c r="AM30">
        <v>53.34</v>
      </c>
      <c r="AN30">
        <v>70.44</v>
      </c>
      <c r="AO30" s="1">
        <f t="shared" si="2"/>
        <v>524.69000000000005</v>
      </c>
    </row>
    <row r="31" spans="1:41" x14ac:dyDescent="0.25">
      <c r="A31" t="s">
        <v>74</v>
      </c>
      <c r="B31" s="2">
        <v>12936.262392955899</v>
      </c>
      <c r="C31" s="2">
        <v>2633.5343318507398</v>
      </c>
      <c r="D31" s="2">
        <v>5469.5642535208199</v>
      </c>
      <c r="E31" s="2">
        <v>2811.5978130459898</v>
      </c>
      <c r="F31" s="2">
        <v>695.05510967267605</v>
      </c>
      <c r="G31" s="2">
        <v>2435.0205808341998</v>
      </c>
      <c r="H31" s="2">
        <v>324.481932356333</v>
      </c>
      <c r="I31" s="2">
        <v>2101.7344787586999</v>
      </c>
      <c r="J31" s="2">
        <v>3386.4665548708899</v>
      </c>
      <c r="K31" s="2">
        <v>3491.0449031324201</v>
      </c>
      <c r="L31" s="2">
        <v>636.66377499287705</v>
      </c>
      <c r="M31" s="2">
        <v>0</v>
      </c>
      <c r="N31" s="3">
        <f t="shared" si="0"/>
        <v>36921.426125991544</v>
      </c>
      <c r="O31" s="2">
        <v>1.93114830381705</v>
      </c>
      <c r="P31" s="2">
        <v>2.0598872071238801</v>
      </c>
      <c r="Q31" s="2">
        <v>5.6574602365849902</v>
      </c>
      <c r="R31" s="2">
        <v>7.8021723132077296</v>
      </c>
      <c r="S31" s="2">
        <v>5.9842291023244201</v>
      </c>
      <c r="T31" s="2">
        <v>3.61942553184796</v>
      </c>
      <c r="U31" s="2">
        <v>3.99497610775241</v>
      </c>
      <c r="V31" s="2">
        <v>0</v>
      </c>
      <c r="W31" s="2">
        <v>1.3670640068358799</v>
      </c>
      <c r="X31" s="2">
        <v>10.313054553233799</v>
      </c>
      <c r="Y31" s="2">
        <v>1.3433187595095699</v>
      </c>
      <c r="Z31" s="2">
        <v>0</v>
      </c>
      <c r="AA31" s="3">
        <f t="shared" si="1"/>
        <v>44.072736122237693</v>
      </c>
      <c r="AB31" t="s">
        <v>45</v>
      </c>
      <c r="AC31">
        <v>139.46</v>
      </c>
      <c r="AD31">
        <v>36.479999999999997</v>
      </c>
      <c r="AE31">
        <v>64.989999999999995</v>
      </c>
      <c r="AF31">
        <v>38.51</v>
      </c>
      <c r="AG31">
        <v>17.25</v>
      </c>
      <c r="AH31">
        <v>34.549999999999997</v>
      </c>
      <c r="AI31">
        <v>13.44</v>
      </c>
      <c r="AJ31">
        <v>31.01</v>
      </c>
      <c r="AK31">
        <v>43.96</v>
      </c>
      <c r="AL31">
        <v>45.46</v>
      </c>
      <c r="AM31">
        <v>16.46</v>
      </c>
      <c r="AN31">
        <v>9.99</v>
      </c>
      <c r="AO31" s="1">
        <f t="shared" si="2"/>
        <v>491.55999999999995</v>
      </c>
    </row>
    <row r="32" spans="1:41" x14ac:dyDescent="0.25">
      <c r="A32" t="s">
        <v>75</v>
      </c>
      <c r="B32" s="2">
        <v>12850.4902008605</v>
      </c>
      <c r="C32" s="2">
        <v>3157.01048334909</v>
      </c>
      <c r="D32" s="2">
        <v>2084.5495736146399</v>
      </c>
      <c r="E32" s="2">
        <v>2385.0988646022302</v>
      </c>
      <c r="F32" s="2">
        <v>2695.0823509606998</v>
      </c>
      <c r="G32" s="2">
        <v>2702.57866751745</v>
      </c>
      <c r="H32" s="2">
        <v>3224.6871827253999</v>
      </c>
      <c r="I32" s="2">
        <v>9890.7466473624499</v>
      </c>
      <c r="J32" s="2">
        <v>2752.48604487592</v>
      </c>
      <c r="K32" s="2">
        <v>7189.9588084861998</v>
      </c>
      <c r="L32" s="2">
        <v>7892.1933181051099</v>
      </c>
      <c r="M32" s="2">
        <v>2732.9275842458301</v>
      </c>
      <c r="N32" s="3">
        <f t="shared" si="0"/>
        <v>59557.809726705513</v>
      </c>
      <c r="O32" s="2">
        <v>0.34451912862209699</v>
      </c>
      <c r="P32" s="2">
        <v>3.1160902794332799</v>
      </c>
      <c r="Q32" s="2">
        <v>4.0775778622087397</v>
      </c>
      <c r="R32" s="2">
        <v>1.3316321577818599</v>
      </c>
      <c r="S32" s="2">
        <v>1.3346675916664399</v>
      </c>
      <c r="T32" s="2">
        <v>2.6539054029540301</v>
      </c>
      <c r="U32" s="2">
        <v>4.6924154023626397</v>
      </c>
      <c r="V32" s="2">
        <v>1.37020922039783</v>
      </c>
      <c r="W32" s="2">
        <v>3.1568429012866801</v>
      </c>
      <c r="X32" s="2">
        <v>2.3075990535619799</v>
      </c>
      <c r="Y32" s="2">
        <v>10.990635471518701</v>
      </c>
      <c r="Z32" s="2">
        <v>0</v>
      </c>
      <c r="AA32" s="3">
        <f t="shared" si="1"/>
        <v>35.376094471794275</v>
      </c>
      <c r="AB32" t="s">
        <v>63</v>
      </c>
      <c r="AC32">
        <v>257.11</v>
      </c>
      <c r="AD32">
        <v>63.52</v>
      </c>
      <c r="AE32">
        <v>42.15</v>
      </c>
      <c r="AF32">
        <v>47.9</v>
      </c>
      <c r="AG32">
        <v>54.1</v>
      </c>
      <c r="AH32">
        <v>54.33</v>
      </c>
      <c r="AI32">
        <v>64.95</v>
      </c>
      <c r="AJ32">
        <v>198</v>
      </c>
      <c r="AK32">
        <v>55.42</v>
      </c>
      <c r="AL32">
        <v>144.07</v>
      </c>
      <c r="AM32">
        <v>158.85</v>
      </c>
      <c r="AN32">
        <v>54.66</v>
      </c>
      <c r="AO32" s="1">
        <f t="shared" si="2"/>
        <v>1195.06</v>
      </c>
    </row>
    <row r="33" spans="1:41" x14ac:dyDescent="0.25">
      <c r="A33" t="s">
        <v>76</v>
      </c>
      <c r="B33" s="2">
        <v>12696.3119261672</v>
      </c>
      <c r="C33" s="2">
        <v>1247.03514669369</v>
      </c>
      <c r="D33" s="2">
        <v>0</v>
      </c>
      <c r="E33" s="2">
        <v>2338.2811236064599</v>
      </c>
      <c r="F33" s="2">
        <v>7270.5187079984298</v>
      </c>
      <c r="G33" s="2">
        <v>0</v>
      </c>
      <c r="H33" s="2">
        <v>879.06731766502105</v>
      </c>
      <c r="I33" s="2">
        <v>2239.1967137637898</v>
      </c>
      <c r="J33" s="2">
        <v>18598.608936491401</v>
      </c>
      <c r="K33" s="2">
        <v>15057.2464788754</v>
      </c>
      <c r="L33" s="2">
        <v>418.72134995814201</v>
      </c>
      <c r="M33" s="2">
        <v>3844.37845153748</v>
      </c>
      <c r="N33" s="3">
        <f t="shared" si="0"/>
        <v>64589.366152757015</v>
      </c>
      <c r="O33" s="2">
        <v>0</v>
      </c>
      <c r="P33" s="2">
        <v>7.2591943563762804</v>
      </c>
      <c r="Q33" s="2">
        <v>0</v>
      </c>
      <c r="R33" s="2">
        <v>2.3914822976018999</v>
      </c>
      <c r="S33" s="2">
        <v>4.5072894217997996</v>
      </c>
      <c r="T33" s="2">
        <v>2.36418020843813</v>
      </c>
      <c r="U33" s="2">
        <v>4.9890895363038901</v>
      </c>
      <c r="V33" s="2">
        <v>1.4230919672003199</v>
      </c>
      <c r="W33" s="2">
        <v>2.26791736555754</v>
      </c>
      <c r="X33" s="2">
        <v>10.7176157960404</v>
      </c>
      <c r="Y33" s="2">
        <v>0.78913028394546203</v>
      </c>
      <c r="Z33" s="2">
        <v>1.0885913503052</v>
      </c>
      <c r="AA33" s="3">
        <f t="shared" si="1"/>
        <v>37.797582583568925</v>
      </c>
      <c r="AB33" t="s">
        <v>45</v>
      </c>
      <c r="AC33">
        <v>136.96</v>
      </c>
      <c r="AD33">
        <v>22.87</v>
      </c>
      <c r="AE33">
        <v>9.99</v>
      </c>
      <c r="AF33">
        <v>33.53</v>
      </c>
      <c r="AG33">
        <v>82.95</v>
      </c>
      <c r="AH33">
        <v>10.14</v>
      </c>
      <c r="AI33">
        <v>19.04</v>
      </c>
      <c r="AJ33">
        <v>32.49</v>
      </c>
      <c r="AK33">
        <v>196.13</v>
      </c>
      <c r="AL33">
        <v>161.12</v>
      </c>
      <c r="AM33">
        <v>14.23</v>
      </c>
      <c r="AN33">
        <v>48.54</v>
      </c>
      <c r="AO33" s="1">
        <f t="shared" si="2"/>
        <v>767.99</v>
      </c>
    </row>
    <row r="34" spans="1:41" x14ac:dyDescent="0.25">
      <c r="A34" t="s">
        <v>77</v>
      </c>
      <c r="B34" s="2">
        <v>12632.4056475952</v>
      </c>
      <c r="C34" s="2">
        <v>3237.4293232998298</v>
      </c>
      <c r="D34" s="2">
        <v>7090.0499840242301</v>
      </c>
      <c r="E34" s="2">
        <v>747.48191573442796</v>
      </c>
      <c r="F34" s="2">
        <v>9981.9223544629294</v>
      </c>
      <c r="G34" s="2">
        <v>6521.0242940432699</v>
      </c>
      <c r="H34" s="2">
        <v>6364.3148036845896</v>
      </c>
      <c r="I34" s="2">
        <v>1076.4552561512401</v>
      </c>
      <c r="J34" s="2">
        <v>2259.6313319249198</v>
      </c>
      <c r="K34" s="2">
        <v>2811.5944529724502</v>
      </c>
      <c r="L34" s="2">
        <v>6540.2775936494199</v>
      </c>
      <c r="M34" s="2">
        <v>6611.5684926079603</v>
      </c>
      <c r="N34" s="3">
        <f t="shared" si="0"/>
        <v>65874.155450150472</v>
      </c>
      <c r="O34" s="2">
        <v>1.61029106675347</v>
      </c>
      <c r="P34" s="2">
        <v>6.7407240925959302</v>
      </c>
      <c r="Q34" s="2">
        <v>8.2457682459611696</v>
      </c>
      <c r="R34" s="2">
        <v>2.2531662638738998</v>
      </c>
      <c r="S34" s="2">
        <v>3.8628380721096298</v>
      </c>
      <c r="T34" s="2">
        <v>5.4729487568051303</v>
      </c>
      <c r="U34" s="2">
        <v>1.8335697035216001</v>
      </c>
      <c r="V34" s="2">
        <v>0.113263005440621</v>
      </c>
      <c r="W34" s="2">
        <v>12.7620878547931</v>
      </c>
      <c r="X34" s="2">
        <v>4.8800164378525697</v>
      </c>
      <c r="Y34" s="2">
        <v>14.704774108555799</v>
      </c>
      <c r="Z34" s="2">
        <v>2.3878838898875099</v>
      </c>
      <c r="AA34" s="3">
        <f t="shared" si="1"/>
        <v>64.867331498150421</v>
      </c>
      <c r="AB34" t="s">
        <v>45</v>
      </c>
      <c r="AC34">
        <v>136.41999999999999</v>
      </c>
      <c r="AD34">
        <v>42.72</v>
      </c>
      <c r="AE34">
        <v>81.349999999999994</v>
      </c>
      <c r="AF34">
        <v>17.62</v>
      </c>
      <c r="AG34">
        <v>110.01</v>
      </c>
      <c r="AH34">
        <v>75.510000000000005</v>
      </c>
      <c r="AI34">
        <v>73.739999999999995</v>
      </c>
      <c r="AJ34">
        <v>20.81</v>
      </c>
      <c r="AK34">
        <v>33.24</v>
      </c>
      <c r="AL34">
        <v>38.36</v>
      </c>
      <c r="AM34">
        <v>76.150000000000006</v>
      </c>
      <c r="AN34">
        <v>76.260000000000005</v>
      </c>
      <c r="AO34" s="1">
        <f t="shared" si="2"/>
        <v>782.18999999999994</v>
      </c>
    </row>
    <row r="35" spans="1:41" x14ac:dyDescent="0.25">
      <c r="A35" t="s">
        <v>78</v>
      </c>
      <c r="B35" s="2">
        <v>12409.556490376101</v>
      </c>
      <c r="C35" s="2">
        <v>4397.2551515266996</v>
      </c>
      <c r="D35" s="2">
        <v>6821.1304664422696</v>
      </c>
      <c r="E35" s="2">
        <v>384.79291060875897</v>
      </c>
      <c r="F35" s="2">
        <v>3615.4050865803902</v>
      </c>
      <c r="G35" s="2">
        <v>122.823324361861</v>
      </c>
      <c r="H35" s="2">
        <v>157.64928380399601</v>
      </c>
      <c r="I35" s="2">
        <v>2181.8675690013902</v>
      </c>
      <c r="J35" s="2">
        <v>4379.44495798957</v>
      </c>
      <c r="K35" s="2">
        <v>1160.69873958733</v>
      </c>
      <c r="L35" s="2">
        <v>4266.7061575456901</v>
      </c>
      <c r="M35" s="2">
        <v>2892.4341596536801</v>
      </c>
      <c r="N35" s="3">
        <f t="shared" si="0"/>
        <v>42789.764297477741</v>
      </c>
      <c r="O35" s="2">
        <v>1.69300596522052</v>
      </c>
      <c r="P35" s="2">
        <v>3.3299870430868301</v>
      </c>
      <c r="Q35" s="2">
        <v>2.5933146212538398</v>
      </c>
      <c r="R35" s="2">
        <v>4.4770403949237698</v>
      </c>
      <c r="S35" s="2">
        <v>6.5478792169271198</v>
      </c>
      <c r="T35" s="2">
        <v>14.140863369708599</v>
      </c>
      <c r="U35" s="2">
        <v>2.9222202051570001</v>
      </c>
      <c r="V35" s="2">
        <v>3.0890477027964298</v>
      </c>
      <c r="W35" s="2">
        <v>5.2506030632589198</v>
      </c>
      <c r="X35" s="2">
        <v>1.9956189470669199</v>
      </c>
      <c r="Y35" s="2">
        <v>2.69353708576981</v>
      </c>
      <c r="Z35" s="2">
        <v>0.92573777813679503</v>
      </c>
      <c r="AA35" s="3">
        <f t="shared" si="1"/>
        <v>49.65885539330656</v>
      </c>
      <c r="AB35" t="s">
        <v>45</v>
      </c>
      <c r="AC35">
        <v>134.19</v>
      </c>
      <c r="AD35">
        <v>54.17</v>
      </c>
      <c r="AE35">
        <v>78.36</v>
      </c>
      <c r="AF35">
        <v>14.09</v>
      </c>
      <c r="AG35">
        <v>46.5</v>
      </c>
      <c r="AH35">
        <v>11.97</v>
      </c>
      <c r="AI35">
        <v>11.72</v>
      </c>
      <c r="AJ35">
        <v>32.01</v>
      </c>
      <c r="AK35">
        <v>54.09</v>
      </c>
      <c r="AL35">
        <v>21.7</v>
      </c>
      <c r="AM35">
        <v>52.81</v>
      </c>
      <c r="AN35">
        <v>38.97</v>
      </c>
      <c r="AO35" s="1">
        <f t="shared" si="2"/>
        <v>550.58000000000004</v>
      </c>
    </row>
    <row r="36" spans="1:41" x14ac:dyDescent="0.25">
      <c r="A36" t="s">
        <v>79</v>
      </c>
      <c r="B36" s="2">
        <v>12256.6219532836</v>
      </c>
      <c r="C36" s="2">
        <v>3332.7421421967201</v>
      </c>
      <c r="D36" s="2">
        <v>1768.2955229045899</v>
      </c>
      <c r="E36" s="2">
        <v>226.21387944948</v>
      </c>
      <c r="F36" s="2">
        <v>4833.5675655479799</v>
      </c>
      <c r="G36" s="2">
        <v>3640.15530940693</v>
      </c>
      <c r="H36" s="2">
        <v>2612.1967854497302</v>
      </c>
      <c r="I36" s="2">
        <v>5977.6975264311995</v>
      </c>
      <c r="J36" s="2">
        <v>3710.9328495557702</v>
      </c>
      <c r="K36" s="2">
        <v>202.17979558856399</v>
      </c>
      <c r="L36" s="2">
        <v>6349.5604618084499</v>
      </c>
      <c r="M36" s="2">
        <v>3293.9365269846398</v>
      </c>
      <c r="N36" s="3">
        <f t="shared" si="0"/>
        <v>48204.100318607649</v>
      </c>
      <c r="O36" s="2">
        <v>2.9111305887304901</v>
      </c>
      <c r="P36" s="2">
        <v>0</v>
      </c>
      <c r="Q36" s="2">
        <v>2.2707631536027599</v>
      </c>
      <c r="R36" s="2">
        <v>0</v>
      </c>
      <c r="S36" s="2">
        <v>1.59416151152846</v>
      </c>
      <c r="T36" s="2">
        <v>0</v>
      </c>
      <c r="U36" s="2">
        <v>12.288028998832999</v>
      </c>
      <c r="V36" s="2">
        <v>1.9536390797869401</v>
      </c>
      <c r="W36" s="2">
        <v>14.9913853053332</v>
      </c>
      <c r="X36" s="2">
        <v>2.97238897217068</v>
      </c>
      <c r="Y36" s="2">
        <v>2.3003332090497701</v>
      </c>
      <c r="Z36" s="2">
        <v>2.82004310371001</v>
      </c>
      <c r="AA36" s="3">
        <f t="shared" si="1"/>
        <v>44.101873922745305</v>
      </c>
      <c r="AB36" t="s">
        <v>45</v>
      </c>
      <c r="AC36">
        <v>132.71</v>
      </c>
      <c r="AD36">
        <v>43.32</v>
      </c>
      <c r="AE36">
        <v>27.83</v>
      </c>
      <c r="AF36">
        <v>12.26</v>
      </c>
      <c r="AG36">
        <v>58.43</v>
      </c>
      <c r="AH36">
        <v>46.4</v>
      </c>
      <c r="AI36">
        <v>36.770000000000003</v>
      </c>
      <c r="AJ36">
        <v>69.87</v>
      </c>
      <c r="AK36">
        <v>47.85</v>
      </c>
      <c r="AL36">
        <v>12.17</v>
      </c>
      <c r="AM36">
        <v>73.64</v>
      </c>
      <c r="AN36">
        <v>43.08</v>
      </c>
      <c r="AO36" s="1">
        <f t="shared" si="2"/>
        <v>604.33000000000004</v>
      </c>
    </row>
    <row r="37" spans="1:41" x14ac:dyDescent="0.25">
      <c r="A37" t="s">
        <v>80</v>
      </c>
      <c r="B37" s="2">
        <v>12182.7672147918</v>
      </c>
      <c r="C37" s="2">
        <v>3285.3887044704602</v>
      </c>
      <c r="D37" s="2">
        <v>1769.1637731097101</v>
      </c>
      <c r="E37" s="2">
        <v>4221.7502477759899</v>
      </c>
      <c r="F37" s="2">
        <v>4682.9716140316496</v>
      </c>
      <c r="G37" s="2">
        <v>0</v>
      </c>
      <c r="H37" s="2">
        <v>1391.1854078096201</v>
      </c>
      <c r="I37" s="2">
        <v>5681.3989027845</v>
      </c>
      <c r="J37" s="2">
        <v>1924.7730094971</v>
      </c>
      <c r="K37" s="2">
        <v>5184.19357375449</v>
      </c>
      <c r="L37" s="2">
        <v>2208.7461332133198</v>
      </c>
      <c r="M37" s="2">
        <v>15601.062199039299</v>
      </c>
      <c r="N37" s="3">
        <f t="shared" si="0"/>
        <v>58133.400780277931</v>
      </c>
      <c r="O37" s="2">
        <v>17.530494720071498</v>
      </c>
      <c r="P37" s="2">
        <v>4.43888438078117</v>
      </c>
      <c r="Q37" s="2">
        <v>14.391953637596201</v>
      </c>
      <c r="R37" s="2">
        <v>0</v>
      </c>
      <c r="S37" s="2">
        <v>3.1243136550202202</v>
      </c>
      <c r="T37" s="2">
        <v>1.3337875655873701</v>
      </c>
      <c r="U37" s="2">
        <v>1.8914791882722299</v>
      </c>
      <c r="V37" s="2">
        <v>0.365131520018387</v>
      </c>
      <c r="W37" s="2">
        <v>2.60715164738428</v>
      </c>
      <c r="X37" s="2">
        <v>5.8597073733126903</v>
      </c>
      <c r="Y37" s="2">
        <v>3.3114952841063001</v>
      </c>
      <c r="Z37" s="2">
        <v>0.80562204213997701</v>
      </c>
      <c r="AA37" s="3">
        <f t="shared" si="1"/>
        <v>55.660021014290329</v>
      </c>
      <c r="AB37" t="s">
        <v>45</v>
      </c>
      <c r="AC37">
        <v>132.72</v>
      </c>
      <c r="AD37">
        <v>43.1</v>
      </c>
      <c r="AE37">
        <v>28.44</v>
      </c>
      <c r="AF37">
        <v>52.21</v>
      </c>
      <c r="AG37">
        <v>57.02</v>
      </c>
      <c r="AH37">
        <v>10.09</v>
      </c>
      <c r="AI37">
        <v>24.01</v>
      </c>
      <c r="AJ37">
        <v>66.86</v>
      </c>
      <c r="AK37">
        <v>29.39</v>
      </c>
      <c r="AL37">
        <v>62.14</v>
      </c>
      <c r="AM37">
        <v>32.28</v>
      </c>
      <c r="AN37">
        <v>166.06</v>
      </c>
      <c r="AO37" s="1">
        <f t="shared" si="2"/>
        <v>704.31999999999994</v>
      </c>
    </row>
    <row r="38" spans="1:41" x14ac:dyDescent="0.25">
      <c r="A38" t="s">
        <v>81</v>
      </c>
      <c r="B38" s="2">
        <v>12110.7434664625</v>
      </c>
      <c r="C38" s="2">
        <v>0</v>
      </c>
      <c r="D38" s="2">
        <v>0</v>
      </c>
      <c r="E38" s="2">
        <v>0</v>
      </c>
      <c r="F38" s="2">
        <v>2335.5487262852898</v>
      </c>
      <c r="G38" s="2">
        <v>1089.42748704049</v>
      </c>
      <c r="H38" s="2">
        <v>2940.1682359433598</v>
      </c>
      <c r="I38" s="2">
        <v>710.63567703609499</v>
      </c>
      <c r="J38" s="2">
        <v>715.72553764956797</v>
      </c>
      <c r="K38" s="2">
        <v>4421.76056090763</v>
      </c>
      <c r="L38" s="2">
        <v>613.92503630267095</v>
      </c>
      <c r="M38" s="2">
        <v>6041.4959449132402</v>
      </c>
      <c r="N38" s="3">
        <f t="shared" si="0"/>
        <v>30979.430672540842</v>
      </c>
      <c r="O38" s="2">
        <v>4.8864364577104604</v>
      </c>
      <c r="P38" s="2">
        <v>8.9459093434877008</v>
      </c>
      <c r="Q38" s="2">
        <v>1.33245721140188</v>
      </c>
      <c r="R38" s="2">
        <v>8.5983084650002795</v>
      </c>
      <c r="S38" s="2">
        <v>3.7584763404673298</v>
      </c>
      <c r="T38" s="2">
        <v>1.8159450314608701</v>
      </c>
      <c r="U38" s="2">
        <v>2.0610183216630502</v>
      </c>
      <c r="V38" s="2">
        <v>0</v>
      </c>
      <c r="W38" s="2">
        <v>5.9690536794609601</v>
      </c>
      <c r="X38" s="2">
        <v>6.2695829145384501</v>
      </c>
      <c r="Y38" s="2">
        <v>1.61148311665785</v>
      </c>
      <c r="Z38" s="2">
        <v>1.6171697594665699</v>
      </c>
      <c r="AA38" s="3">
        <f t="shared" si="1"/>
        <v>46.865840641315408</v>
      </c>
      <c r="AB38" t="s">
        <v>63</v>
      </c>
      <c r="AC38">
        <v>242.67</v>
      </c>
      <c r="AD38">
        <v>0.81</v>
      </c>
      <c r="AE38">
        <v>0.18</v>
      </c>
      <c r="AF38">
        <v>0.81</v>
      </c>
      <c r="AG38">
        <v>47.08</v>
      </c>
      <c r="AH38">
        <v>21.98</v>
      </c>
      <c r="AI38">
        <v>59.09</v>
      </c>
      <c r="AJ38">
        <v>14.22</v>
      </c>
      <c r="AK38">
        <v>14.86</v>
      </c>
      <c r="AL38">
        <v>89.07</v>
      </c>
      <c r="AM38">
        <v>12.46</v>
      </c>
      <c r="AN38">
        <v>121.02</v>
      </c>
      <c r="AO38" s="1">
        <f t="shared" si="2"/>
        <v>624.25</v>
      </c>
    </row>
    <row r="39" spans="1:41" x14ac:dyDescent="0.25">
      <c r="A39" t="s">
        <v>82</v>
      </c>
      <c r="B39" s="2">
        <v>11821.255016774199</v>
      </c>
      <c r="C39" s="2">
        <v>0</v>
      </c>
      <c r="D39" s="2">
        <v>14233.332777811</v>
      </c>
      <c r="E39" s="2">
        <v>6197.2605973156196</v>
      </c>
      <c r="F39" s="2">
        <v>1022.48965205051</v>
      </c>
      <c r="G39" s="2">
        <v>4580.2924509132899</v>
      </c>
      <c r="H39" s="2">
        <v>3136.30546897563</v>
      </c>
      <c r="I39" s="2">
        <v>0</v>
      </c>
      <c r="J39" s="2">
        <v>1814.9842263799801</v>
      </c>
      <c r="K39" s="2">
        <v>3374.1702914206599</v>
      </c>
      <c r="L39" s="2">
        <v>3463.22036192825</v>
      </c>
      <c r="M39" s="2">
        <v>3463.46088461722</v>
      </c>
      <c r="N39" s="3">
        <f t="shared" si="0"/>
        <v>53106.771728186359</v>
      </c>
      <c r="O39" s="2">
        <v>4.4444561147840904</v>
      </c>
      <c r="P39" s="2">
        <v>4.01110523196387</v>
      </c>
      <c r="Q39" s="2">
        <v>0.239003250690353</v>
      </c>
      <c r="R39" s="2">
        <v>1.84224049884673</v>
      </c>
      <c r="S39" s="2">
        <v>0.87696771270358498</v>
      </c>
      <c r="T39" s="2">
        <v>1.05122557341362</v>
      </c>
      <c r="U39" s="2">
        <v>8.8462129182818892</v>
      </c>
      <c r="V39" s="2">
        <v>1.7868068344502599</v>
      </c>
      <c r="W39" s="2">
        <v>2.0934941651267098</v>
      </c>
      <c r="X39" s="2">
        <v>0</v>
      </c>
      <c r="Y39" s="2">
        <v>5.0631344475116702</v>
      </c>
      <c r="Z39" s="2">
        <v>2.5591748598783002</v>
      </c>
      <c r="AA39" s="3">
        <f t="shared" si="1"/>
        <v>32.813821607651072</v>
      </c>
      <c r="AB39" t="s">
        <v>45</v>
      </c>
      <c r="AC39">
        <v>128.46</v>
      </c>
      <c r="AD39">
        <v>10.24</v>
      </c>
      <c r="AE39">
        <v>152.38</v>
      </c>
      <c r="AF39">
        <v>72.069999999999993</v>
      </c>
      <c r="AG39">
        <v>20.27</v>
      </c>
      <c r="AH39">
        <v>55.9</v>
      </c>
      <c r="AI39">
        <v>41.81</v>
      </c>
      <c r="AJ39">
        <v>10.09</v>
      </c>
      <c r="AK39">
        <v>28.29</v>
      </c>
      <c r="AL39">
        <v>43.74</v>
      </c>
      <c r="AM39">
        <v>44.93</v>
      </c>
      <c r="AN39">
        <v>44.78</v>
      </c>
      <c r="AO39" s="1">
        <f t="shared" si="2"/>
        <v>652.95999999999992</v>
      </c>
    </row>
    <row r="40" spans="1:41" x14ac:dyDescent="0.25">
      <c r="A40" t="s">
        <v>83</v>
      </c>
      <c r="B40" s="2">
        <v>11595.694318534701</v>
      </c>
      <c r="C40" s="2">
        <v>1733.0167782757701</v>
      </c>
      <c r="D40" s="2">
        <v>0</v>
      </c>
      <c r="E40" s="2">
        <v>5106.2332588908303</v>
      </c>
      <c r="F40" s="2">
        <v>0</v>
      </c>
      <c r="G40" s="2">
        <v>7807.1550295036504</v>
      </c>
      <c r="H40" s="2">
        <v>0</v>
      </c>
      <c r="I40" s="2">
        <v>3724.2819403491799</v>
      </c>
      <c r="J40" s="2">
        <v>1045.2041167719799</v>
      </c>
      <c r="K40" s="2">
        <v>1064.44906449525</v>
      </c>
      <c r="L40" s="2">
        <v>7873.3326136596497</v>
      </c>
      <c r="M40" s="2">
        <v>4687.2764242879502</v>
      </c>
      <c r="N40" s="3">
        <f t="shared" si="0"/>
        <v>44636.643544768958</v>
      </c>
      <c r="O40" s="2">
        <v>0.425522499558662</v>
      </c>
      <c r="P40" s="2">
        <v>10.345492018671299</v>
      </c>
      <c r="Q40" s="2">
        <v>4.3118828393675797</v>
      </c>
      <c r="R40" s="2">
        <v>18.398201222114</v>
      </c>
      <c r="S40" s="2">
        <v>5.0293395038641098</v>
      </c>
      <c r="T40" s="2">
        <v>11.0315586911876</v>
      </c>
      <c r="U40" s="2">
        <v>0.99083980447048403</v>
      </c>
      <c r="V40" s="2">
        <v>7.2133292902055102</v>
      </c>
      <c r="W40" s="2">
        <v>1.3108902038380199</v>
      </c>
      <c r="X40" s="2">
        <v>4.6917237416346396</v>
      </c>
      <c r="Y40" s="2">
        <v>1.60668501780838</v>
      </c>
      <c r="Z40" s="2">
        <v>1.3810997439438399</v>
      </c>
      <c r="AA40" s="3">
        <f t="shared" si="1"/>
        <v>66.736564576664108</v>
      </c>
      <c r="AB40" t="s">
        <v>45</v>
      </c>
      <c r="AC40">
        <v>126</v>
      </c>
      <c r="AD40">
        <v>27.88</v>
      </c>
      <c r="AE40">
        <v>10.24</v>
      </c>
      <c r="AF40">
        <v>62.01</v>
      </c>
      <c r="AG40">
        <v>10.29</v>
      </c>
      <c r="AH40">
        <v>88.67</v>
      </c>
      <c r="AI40">
        <v>10.039999999999999</v>
      </c>
      <c r="AJ40">
        <v>47.64</v>
      </c>
      <c r="AK40">
        <v>20.55</v>
      </c>
      <c r="AL40">
        <v>20.89</v>
      </c>
      <c r="AM40">
        <v>88.83</v>
      </c>
      <c r="AN40">
        <v>56.97</v>
      </c>
      <c r="AO40" s="1">
        <f t="shared" si="2"/>
        <v>570.01</v>
      </c>
    </row>
    <row r="41" spans="1:41" x14ac:dyDescent="0.25">
      <c r="A41" t="s">
        <v>84</v>
      </c>
      <c r="B41" s="2">
        <v>11484.9282615884</v>
      </c>
      <c r="C41" s="2">
        <v>690.40558227638303</v>
      </c>
      <c r="D41" s="2">
        <v>1601.33098058467</v>
      </c>
      <c r="E41" s="2">
        <v>7561.7640549676298</v>
      </c>
      <c r="F41" s="2">
        <v>11402.269886096499</v>
      </c>
      <c r="G41" s="2">
        <v>3658.8102412783401</v>
      </c>
      <c r="H41" s="2">
        <v>894.86184851671601</v>
      </c>
      <c r="I41" s="2">
        <v>2561.71829989462</v>
      </c>
      <c r="J41" s="2">
        <v>6961.16530548225</v>
      </c>
      <c r="K41" s="2">
        <v>3425.2515409153698</v>
      </c>
      <c r="L41" s="2">
        <v>0</v>
      </c>
      <c r="M41" s="2">
        <v>0</v>
      </c>
      <c r="N41" s="3">
        <f t="shared" si="0"/>
        <v>50242.506001600887</v>
      </c>
      <c r="O41" s="2">
        <v>2.0310383765776399</v>
      </c>
      <c r="P41" s="2">
        <v>10.1162874302431</v>
      </c>
      <c r="Q41" s="2">
        <v>4.0119289053090998</v>
      </c>
      <c r="R41" s="2">
        <v>2.05967176189086</v>
      </c>
      <c r="S41" s="2">
        <v>2.6983201811508302</v>
      </c>
      <c r="T41" s="2">
        <v>1.6922295654209401</v>
      </c>
      <c r="U41" s="2">
        <v>4.4926625051983002</v>
      </c>
      <c r="V41" s="2">
        <v>5.8301275861990902</v>
      </c>
      <c r="W41" s="2">
        <v>3.3382921712617502</v>
      </c>
      <c r="X41" s="2">
        <v>4.39452580485972</v>
      </c>
      <c r="Y41" s="2">
        <v>9.4465747404079004</v>
      </c>
      <c r="Z41" s="2">
        <v>1.3033192573055801</v>
      </c>
      <c r="AA41" s="3">
        <f t="shared" si="1"/>
        <v>51.414978285824809</v>
      </c>
      <c r="AB41" t="s">
        <v>45</v>
      </c>
      <c r="AC41">
        <v>124.99</v>
      </c>
      <c r="AD41">
        <v>17.45</v>
      </c>
      <c r="AE41">
        <v>26.26</v>
      </c>
      <c r="AF41">
        <v>85.76</v>
      </c>
      <c r="AG41">
        <v>124.17</v>
      </c>
      <c r="AH41">
        <v>46.68</v>
      </c>
      <c r="AI41">
        <v>19.190000000000001</v>
      </c>
      <c r="AJ41">
        <v>35.909999999999997</v>
      </c>
      <c r="AK41">
        <v>79.81</v>
      </c>
      <c r="AL41">
        <v>44.5</v>
      </c>
      <c r="AM41">
        <v>10.49</v>
      </c>
      <c r="AN41">
        <v>10.09</v>
      </c>
      <c r="AO41" s="1">
        <f t="shared" si="2"/>
        <v>625.30000000000007</v>
      </c>
    </row>
    <row r="42" spans="1:41" x14ac:dyDescent="0.25">
      <c r="A42" t="s">
        <v>85</v>
      </c>
      <c r="B42" s="2">
        <v>11372.848781098101</v>
      </c>
      <c r="C42" s="2">
        <v>2948.5270341627102</v>
      </c>
      <c r="D42" s="2">
        <v>4335.8962839976502</v>
      </c>
      <c r="E42" s="2">
        <v>6516.8221654936697</v>
      </c>
      <c r="F42" s="2">
        <v>969.93876252771099</v>
      </c>
      <c r="G42" s="2">
        <v>18438.146994907402</v>
      </c>
      <c r="H42" s="2">
        <v>4350.9563896258796</v>
      </c>
      <c r="I42" s="2">
        <v>1119.0174608075699</v>
      </c>
      <c r="J42" s="2">
        <v>4954.5326227854703</v>
      </c>
      <c r="K42" s="2">
        <v>3020.19868895626</v>
      </c>
      <c r="L42" s="2">
        <v>0</v>
      </c>
      <c r="M42" s="2">
        <v>6611.1654193670402</v>
      </c>
      <c r="N42" s="3">
        <f t="shared" si="0"/>
        <v>64638.050603729454</v>
      </c>
      <c r="O42" s="2">
        <v>4.7756375246569496</v>
      </c>
      <c r="P42" s="2">
        <v>0.90446448834221405</v>
      </c>
      <c r="Q42" s="2">
        <v>0.83079104672235304</v>
      </c>
      <c r="R42" s="2">
        <v>0.63109796686158803</v>
      </c>
      <c r="S42" s="2">
        <v>5.3207035414505404</v>
      </c>
      <c r="T42" s="2">
        <v>2.0611508287170501</v>
      </c>
      <c r="U42" s="2">
        <v>0</v>
      </c>
      <c r="V42" s="2">
        <v>3.9913703353229599</v>
      </c>
      <c r="W42" s="2">
        <v>0.66931135439027201</v>
      </c>
      <c r="X42" s="2">
        <v>0</v>
      </c>
      <c r="Y42" s="2">
        <v>1.7556256703794</v>
      </c>
      <c r="Z42" s="2">
        <v>1.97269568479354</v>
      </c>
      <c r="AA42" s="3">
        <f t="shared" si="1"/>
        <v>22.912848441636861</v>
      </c>
      <c r="AB42" t="s">
        <v>45</v>
      </c>
      <c r="AC42">
        <v>123.97</v>
      </c>
      <c r="AD42">
        <v>39.53</v>
      </c>
      <c r="AE42">
        <v>53.4</v>
      </c>
      <c r="AF42">
        <v>75.209999999999994</v>
      </c>
      <c r="AG42">
        <v>19.989999999999998</v>
      </c>
      <c r="AH42">
        <v>194.53</v>
      </c>
      <c r="AI42">
        <v>53.5</v>
      </c>
      <c r="AJ42">
        <v>21.39</v>
      </c>
      <c r="AK42">
        <v>59.59</v>
      </c>
      <c r="AL42">
        <v>40.200000000000003</v>
      </c>
      <c r="AM42">
        <v>10.09</v>
      </c>
      <c r="AN42">
        <v>76.209999999999994</v>
      </c>
      <c r="AO42" s="1">
        <f t="shared" si="2"/>
        <v>767.61000000000013</v>
      </c>
    </row>
    <row r="43" spans="1:41" x14ac:dyDescent="0.25">
      <c r="A43" t="s">
        <v>86</v>
      </c>
      <c r="B43" s="2">
        <v>11340.1922270376</v>
      </c>
      <c r="C43" s="2">
        <v>12851.191443797899</v>
      </c>
      <c r="D43" s="2">
        <v>5015.1468943622804</v>
      </c>
      <c r="E43" s="2">
        <v>5517.5669658602801</v>
      </c>
      <c r="F43" s="2">
        <v>3183.3934386627998</v>
      </c>
      <c r="G43" s="2">
        <v>4542.1383721890797</v>
      </c>
      <c r="H43" s="2">
        <v>6400.0006191277298</v>
      </c>
      <c r="I43" s="2">
        <v>1507.55017460351</v>
      </c>
      <c r="J43" s="2">
        <v>2579.04473185801</v>
      </c>
      <c r="K43" s="2">
        <v>2151.1712509140798</v>
      </c>
      <c r="L43" s="2">
        <v>2182.3653825984202</v>
      </c>
      <c r="M43" s="2">
        <v>8022.0199183895302</v>
      </c>
      <c r="N43" s="3">
        <f t="shared" si="0"/>
        <v>65291.781419401224</v>
      </c>
      <c r="O43" s="2">
        <v>5.4166435526114602</v>
      </c>
      <c r="P43" s="2">
        <v>0</v>
      </c>
      <c r="Q43" s="2">
        <v>2.1088949305753499</v>
      </c>
      <c r="R43" s="2">
        <v>9.1246465966441299</v>
      </c>
      <c r="S43" s="2">
        <v>10.6728839230907</v>
      </c>
      <c r="T43" s="2">
        <v>0.86695460717279205</v>
      </c>
      <c r="U43" s="2">
        <v>3.2780270764280899</v>
      </c>
      <c r="V43" s="2">
        <v>2.2939140085864902</v>
      </c>
      <c r="W43" s="2">
        <v>19.567670279723998</v>
      </c>
      <c r="X43" s="2">
        <v>0.72523747320814602</v>
      </c>
      <c r="Y43" s="2">
        <v>10.4152909837983</v>
      </c>
      <c r="Z43" s="2">
        <v>3.71555115039006</v>
      </c>
      <c r="AA43" s="3">
        <f t="shared" si="1"/>
        <v>68.185714582229522</v>
      </c>
      <c r="AB43" t="s">
        <v>45</v>
      </c>
      <c r="AC43">
        <v>123.7</v>
      </c>
      <c r="AD43">
        <v>138.51</v>
      </c>
      <c r="AE43">
        <v>60.3</v>
      </c>
      <c r="AF43">
        <v>65.67</v>
      </c>
      <c r="AG43">
        <v>42.38</v>
      </c>
      <c r="AH43">
        <v>55.47</v>
      </c>
      <c r="AI43">
        <v>74.2</v>
      </c>
      <c r="AJ43">
        <v>25.22</v>
      </c>
      <c r="AK43">
        <v>36.79</v>
      </c>
      <c r="AL43">
        <v>31.56</v>
      </c>
      <c r="AM43">
        <v>32.369999999999997</v>
      </c>
      <c r="AN43">
        <v>90.42</v>
      </c>
      <c r="AO43" s="1">
        <f t="shared" si="2"/>
        <v>776.58999999999992</v>
      </c>
    </row>
    <row r="44" spans="1:41" x14ac:dyDescent="0.25">
      <c r="A44" t="s">
        <v>87</v>
      </c>
      <c r="B44" s="2">
        <v>11054.2821992885</v>
      </c>
      <c r="C44" s="2">
        <v>767.79671573412202</v>
      </c>
      <c r="D44" s="2">
        <v>7888.2196048865999</v>
      </c>
      <c r="E44" s="2">
        <v>11900.412437036</v>
      </c>
      <c r="F44" s="2">
        <v>9722.8297839836596</v>
      </c>
      <c r="G44" s="2">
        <v>7543.9405253331897</v>
      </c>
      <c r="H44" s="2">
        <v>8224.6057213065105</v>
      </c>
      <c r="I44" s="2">
        <v>577.66524449192502</v>
      </c>
      <c r="J44" s="2">
        <v>1008.42257189757</v>
      </c>
      <c r="K44" s="2">
        <v>4025.1287054978502</v>
      </c>
      <c r="L44" s="2">
        <v>3156.0853481026602</v>
      </c>
      <c r="M44" s="2">
        <v>0</v>
      </c>
      <c r="N44" s="3">
        <f t="shared" si="0"/>
        <v>65869.388857558588</v>
      </c>
      <c r="O44" s="2">
        <v>10.401483475158001</v>
      </c>
      <c r="P44" s="2">
        <v>0</v>
      </c>
      <c r="Q44" s="2">
        <v>1.54436148296091</v>
      </c>
      <c r="R44" s="2">
        <v>4.0525025196407096</v>
      </c>
      <c r="S44" s="2">
        <v>4.9592488190127701</v>
      </c>
      <c r="T44" s="2">
        <v>4.2652434551563001</v>
      </c>
      <c r="U44" s="2">
        <v>0</v>
      </c>
      <c r="V44" s="2">
        <v>6.5886820843143203</v>
      </c>
      <c r="W44" s="2">
        <v>3.8264064010698502</v>
      </c>
      <c r="X44" s="2">
        <v>0</v>
      </c>
      <c r="Y44" s="2">
        <v>1.40036059636317</v>
      </c>
      <c r="Z44" s="2">
        <v>0</v>
      </c>
      <c r="AA44" s="3">
        <f t="shared" si="1"/>
        <v>37.038288833676035</v>
      </c>
      <c r="AB44" t="s">
        <v>45</v>
      </c>
      <c r="AC44">
        <v>121.09</v>
      </c>
      <c r="AD44">
        <v>17.670000000000002</v>
      </c>
      <c r="AE44">
        <v>88.98</v>
      </c>
      <c r="AF44">
        <v>129.25</v>
      </c>
      <c r="AG44">
        <v>107.47</v>
      </c>
      <c r="AH44">
        <v>85.68</v>
      </c>
      <c r="AI44">
        <v>92.24</v>
      </c>
      <c r="AJ44">
        <v>16.12</v>
      </c>
      <c r="AK44">
        <v>20.28</v>
      </c>
      <c r="AL44">
        <v>50.25</v>
      </c>
      <c r="AM44">
        <v>41.66</v>
      </c>
      <c r="AN44">
        <v>9.99</v>
      </c>
      <c r="AO44" s="1">
        <f t="shared" si="2"/>
        <v>780.68000000000006</v>
      </c>
    </row>
    <row r="45" spans="1:41" x14ac:dyDescent="0.25">
      <c r="A45" t="s">
        <v>88</v>
      </c>
      <c r="B45" s="2">
        <v>11040.3187223725</v>
      </c>
      <c r="C45" s="2">
        <v>2860.3212108477801</v>
      </c>
      <c r="D45" s="2">
        <v>2260.8544461484498</v>
      </c>
      <c r="E45" s="2">
        <v>8054.8299706274502</v>
      </c>
      <c r="F45" s="2">
        <v>417.77903345035497</v>
      </c>
      <c r="G45" s="2">
        <v>3138.15492649201</v>
      </c>
      <c r="H45" s="2">
        <v>4652.7307232216399</v>
      </c>
      <c r="I45" s="2">
        <v>2114.7088519123299</v>
      </c>
      <c r="J45" s="2">
        <v>941.30628237413396</v>
      </c>
      <c r="K45" s="2">
        <v>2399.33751590669</v>
      </c>
      <c r="L45" s="2">
        <v>1461.7024113560999</v>
      </c>
      <c r="M45" s="2">
        <v>1044.2956378853901</v>
      </c>
      <c r="N45" s="3">
        <f t="shared" si="0"/>
        <v>40386.339732594839</v>
      </c>
      <c r="O45" s="2">
        <v>4.8587388399640403</v>
      </c>
      <c r="P45" s="2">
        <v>3.6461066050535398</v>
      </c>
      <c r="Q45" s="2">
        <v>4.3570420959861504</v>
      </c>
      <c r="R45" s="2">
        <v>2.1675635176027601</v>
      </c>
      <c r="S45" s="2">
        <v>0</v>
      </c>
      <c r="T45" s="2">
        <v>4.2037383513597701</v>
      </c>
      <c r="U45" s="2">
        <v>4.8605544180116098</v>
      </c>
      <c r="V45" s="2">
        <v>3.5249377297455302</v>
      </c>
      <c r="W45" s="2">
        <v>5.6357727415644803</v>
      </c>
      <c r="X45" s="2">
        <v>1.06922803420256</v>
      </c>
      <c r="Y45" s="2">
        <v>0.72280835829933099</v>
      </c>
      <c r="Z45" s="2">
        <v>1.6683767965719101</v>
      </c>
      <c r="AA45" s="3">
        <f t="shared" si="1"/>
        <v>36.714867488361691</v>
      </c>
      <c r="AB45" t="s">
        <v>45</v>
      </c>
      <c r="AC45">
        <v>120.65</v>
      </c>
      <c r="AD45">
        <v>38.799999999999997</v>
      </c>
      <c r="AE45">
        <v>32.85</v>
      </c>
      <c r="AF45">
        <v>90.69</v>
      </c>
      <c r="AG45">
        <v>14.17</v>
      </c>
      <c r="AH45">
        <v>41.63</v>
      </c>
      <c r="AI45">
        <v>56.77</v>
      </c>
      <c r="AJ45">
        <v>31.34</v>
      </c>
      <c r="AK45">
        <v>19.71</v>
      </c>
      <c r="AL45">
        <v>34.090000000000003</v>
      </c>
      <c r="AM45">
        <v>24.66</v>
      </c>
      <c r="AN45">
        <v>20.54</v>
      </c>
      <c r="AO45" s="1">
        <f t="shared" si="2"/>
        <v>525.9</v>
      </c>
    </row>
    <row r="46" spans="1:41" x14ac:dyDescent="0.25">
      <c r="A46" t="s">
        <v>89</v>
      </c>
      <c r="B46" s="2">
        <v>11017.1217338268</v>
      </c>
      <c r="C46" s="2">
        <v>1981.7096672550499</v>
      </c>
      <c r="D46" s="2">
        <v>811.70139401550398</v>
      </c>
      <c r="E46" s="2">
        <v>7729.4857507823499</v>
      </c>
      <c r="F46" s="2">
        <v>1108.57936847305</v>
      </c>
      <c r="G46" s="2">
        <v>3198.3216771840898</v>
      </c>
      <c r="H46" s="2">
        <v>2106.6045823586201</v>
      </c>
      <c r="I46" s="2">
        <v>3720.8071758060501</v>
      </c>
      <c r="J46" s="2">
        <v>3519.9054998310198</v>
      </c>
      <c r="K46" s="2">
        <v>1501.67118649954</v>
      </c>
      <c r="L46" s="2">
        <v>12303.5147049608</v>
      </c>
      <c r="M46" s="2">
        <v>1482.8932884650701</v>
      </c>
      <c r="N46" s="3">
        <f t="shared" si="0"/>
        <v>50482.316029457943</v>
      </c>
      <c r="O46" s="2">
        <v>1.7604626333856499</v>
      </c>
      <c r="P46" s="2">
        <v>3.1844669536076098</v>
      </c>
      <c r="Q46" s="2">
        <v>1.93770237780554</v>
      </c>
      <c r="R46" s="2">
        <v>6.6556058621725898</v>
      </c>
      <c r="S46" s="2">
        <v>1.2068153701757101</v>
      </c>
      <c r="T46" s="2">
        <v>0</v>
      </c>
      <c r="U46" s="2">
        <v>10.3675457189675</v>
      </c>
      <c r="V46" s="2">
        <v>5.9979037809184899</v>
      </c>
      <c r="W46" s="2">
        <v>1.1962952011038099</v>
      </c>
      <c r="X46" s="2">
        <v>5.4893792994075703</v>
      </c>
      <c r="Y46" s="2">
        <v>1.82581600775896</v>
      </c>
      <c r="Z46" s="2">
        <v>9.0444731735145201</v>
      </c>
      <c r="AA46" s="3">
        <f t="shared" si="1"/>
        <v>48.666466378817944</v>
      </c>
      <c r="AB46" t="s">
        <v>45</v>
      </c>
      <c r="AC46">
        <v>120.27</v>
      </c>
      <c r="AD46">
        <v>30.01</v>
      </c>
      <c r="AE46">
        <v>18.21</v>
      </c>
      <c r="AF46">
        <v>87.64</v>
      </c>
      <c r="AG46">
        <v>21.18</v>
      </c>
      <c r="AH46">
        <v>41.98</v>
      </c>
      <c r="AI46">
        <v>31.61</v>
      </c>
      <c r="AJ46">
        <v>47.5</v>
      </c>
      <c r="AK46">
        <v>45.29</v>
      </c>
      <c r="AL46">
        <v>25.31</v>
      </c>
      <c r="AM46">
        <v>133.13</v>
      </c>
      <c r="AN46">
        <v>25.32</v>
      </c>
      <c r="AO46" s="1">
        <f t="shared" si="2"/>
        <v>627.45000000000016</v>
      </c>
    </row>
    <row r="47" spans="1:41" x14ac:dyDescent="0.25">
      <c r="A47" t="s">
        <v>90</v>
      </c>
      <c r="B47" s="2">
        <v>11012.101874403899</v>
      </c>
      <c r="C47" s="2">
        <v>0</v>
      </c>
      <c r="D47" s="2">
        <v>5111.05105944556</v>
      </c>
      <c r="E47" s="2">
        <v>801.99990336841597</v>
      </c>
      <c r="F47" s="2">
        <v>7753.4497931176902</v>
      </c>
      <c r="G47" s="2">
        <v>800.81820953139595</v>
      </c>
      <c r="H47" s="2">
        <v>0</v>
      </c>
      <c r="I47" s="2">
        <v>3678.53944077809</v>
      </c>
      <c r="J47" s="2">
        <v>1272.4590387306901</v>
      </c>
      <c r="K47" s="2">
        <v>1030.97825560409</v>
      </c>
      <c r="L47" s="2">
        <v>3553.2181512484899</v>
      </c>
      <c r="M47" s="2">
        <v>6802.2104388906801</v>
      </c>
      <c r="N47" s="3">
        <f t="shared" si="0"/>
        <v>41816.826165118997</v>
      </c>
      <c r="O47" s="2">
        <v>1.69671268791151</v>
      </c>
      <c r="P47" s="2">
        <v>0</v>
      </c>
      <c r="Q47" s="2">
        <v>10.460328952580999</v>
      </c>
      <c r="R47" s="2">
        <v>6.5991424801131799</v>
      </c>
      <c r="S47" s="2">
        <v>20.1659660273613</v>
      </c>
      <c r="T47" s="2">
        <v>4.3326686639272003</v>
      </c>
      <c r="U47" s="2">
        <v>9.57096314537357</v>
      </c>
      <c r="V47" s="2">
        <v>6.9239549895532999</v>
      </c>
      <c r="W47" s="2">
        <v>7.4984124511899202</v>
      </c>
      <c r="X47" s="2">
        <v>4.5501802105810301</v>
      </c>
      <c r="Y47" s="2">
        <v>2.70192473837978</v>
      </c>
      <c r="Z47" s="2">
        <v>9.5040434491273995</v>
      </c>
      <c r="AA47" s="3">
        <f t="shared" si="1"/>
        <v>84.004297796099181</v>
      </c>
      <c r="AB47" t="s">
        <v>63</v>
      </c>
      <c r="AC47">
        <v>220.44</v>
      </c>
      <c r="AD47">
        <v>0</v>
      </c>
      <c r="AE47">
        <v>103.23</v>
      </c>
      <c r="AF47">
        <v>16.670000000000002</v>
      </c>
      <c r="AG47">
        <v>156.97</v>
      </c>
      <c r="AH47">
        <v>16.47</v>
      </c>
      <c r="AI47">
        <v>0.9</v>
      </c>
      <c r="AJ47">
        <v>74.209999999999994</v>
      </c>
      <c r="AK47">
        <v>26.18</v>
      </c>
      <c r="AL47">
        <v>21.07</v>
      </c>
      <c r="AM47">
        <v>71.349999999999994</v>
      </c>
      <c r="AN47">
        <v>136.96</v>
      </c>
      <c r="AO47" s="1">
        <f t="shared" si="2"/>
        <v>844.45000000000016</v>
      </c>
    </row>
    <row r="48" spans="1:41" x14ac:dyDescent="0.25">
      <c r="A48" t="s">
        <v>91</v>
      </c>
      <c r="B48" s="2">
        <v>10985.791287945</v>
      </c>
      <c r="C48" s="2">
        <v>7878.1899853571804</v>
      </c>
      <c r="D48" s="2">
        <v>4114.7740073035502</v>
      </c>
      <c r="E48" s="2">
        <v>4010.0788593458901</v>
      </c>
      <c r="F48" s="2">
        <v>1310.7788460716599</v>
      </c>
      <c r="G48" s="2">
        <v>851.70920421623396</v>
      </c>
      <c r="H48" s="2">
        <v>923.72019146965704</v>
      </c>
      <c r="I48" s="2">
        <v>5051.2436519256498</v>
      </c>
      <c r="J48" s="2">
        <v>1505.60963946178</v>
      </c>
      <c r="K48" s="2">
        <v>3968.9325929974102</v>
      </c>
      <c r="L48" s="2">
        <v>1074.4842136651801</v>
      </c>
      <c r="M48" s="2">
        <v>1486.82108887611</v>
      </c>
      <c r="N48" s="3">
        <f t="shared" si="0"/>
        <v>43162.13356863529</v>
      </c>
      <c r="O48" s="2">
        <v>3.99706306987233</v>
      </c>
      <c r="P48" s="2">
        <v>0.61146918197040401</v>
      </c>
      <c r="Q48" s="2">
        <v>1.8760934628955599</v>
      </c>
      <c r="R48" s="2">
        <v>3.9126163197758701</v>
      </c>
      <c r="S48" s="2">
        <v>1.9680549471929301</v>
      </c>
      <c r="T48" s="2">
        <v>18.277673048511701</v>
      </c>
      <c r="U48" s="2">
        <v>1.4964149905404001</v>
      </c>
      <c r="V48" s="2">
        <v>2.1317192857520899</v>
      </c>
      <c r="W48" s="2">
        <v>2.0185477381216299</v>
      </c>
      <c r="X48" s="2">
        <v>5.0985161312596903</v>
      </c>
      <c r="Y48" s="2">
        <v>1.9751790285828801</v>
      </c>
      <c r="Z48" s="2">
        <v>2.4614383619668101</v>
      </c>
      <c r="AA48" s="3">
        <f t="shared" si="1"/>
        <v>45.824785566442308</v>
      </c>
      <c r="AB48" t="s">
        <v>45</v>
      </c>
      <c r="AC48">
        <v>120.05</v>
      </c>
      <c r="AD48">
        <v>88.83</v>
      </c>
      <c r="AE48">
        <v>51.24</v>
      </c>
      <c r="AF48">
        <v>50.3</v>
      </c>
      <c r="AG48">
        <v>23.2</v>
      </c>
      <c r="AH48">
        <v>19.46</v>
      </c>
      <c r="AI48">
        <v>19.329999999999998</v>
      </c>
      <c r="AJ48">
        <v>60.66</v>
      </c>
      <c r="AK48">
        <v>25.2</v>
      </c>
      <c r="AL48">
        <v>49.98</v>
      </c>
      <c r="AM48">
        <v>20.84</v>
      </c>
      <c r="AN48">
        <v>25.01</v>
      </c>
      <c r="AO48" s="1">
        <f t="shared" si="2"/>
        <v>554.09999999999991</v>
      </c>
    </row>
    <row r="49" spans="1:41" x14ac:dyDescent="0.25">
      <c r="A49" t="s">
        <v>92</v>
      </c>
      <c r="B49" s="2">
        <v>10957.744777109499</v>
      </c>
      <c r="C49" s="2">
        <v>393.780627036125</v>
      </c>
      <c r="D49" s="2">
        <v>2489.3329027362302</v>
      </c>
      <c r="E49" s="2">
        <v>819.39442858664995</v>
      </c>
      <c r="F49" s="2">
        <v>0</v>
      </c>
      <c r="G49" s="2">
        <v>4803.7621731810304</v>
      </c>
      <c r="H49" s="2">
        <v>765.05253041807305</v>
      </c>
      <c r="I49" s="2">
        <v>4819.9076519396103</v>
      </c>
      <c r="J49" s="2">
        <v>1625.0517705843899</v>
      </c>
      <c r="K49" s="2">
        <v>1682.4707158971601</v>
      </c>
      <c r="L49" s="2">
        <v>1152.3359196732499</v>
      </c>
      <c r="M49" s="2">
        <v>1295.4588035531999</v>
      </c>
      <c r="N49" s="3">
        <f t="shared" si="0"/>
        <v>30804.29230071522</v>
      </c>
      <c r="O49" s="2">
        <v>3.2549910429851301</v>
      </c>
      <c r="P49" s="2">
        <v>1.3766762927618199</v>
      </c>
      <c r="Q49" s="2">
        <v>1.9928346161827299</v>
      </c>
      <c r="R49" s="2">
        <v>16.000557481104401</v>
      </c>
      <c r="S49" s="2">
        <v>0</v>
      </c>
      <c r="T49" s="2">
        <v>0.552853402340577</v>
      </c>
      <c r="U49" s="2">
        <v>0.64706295718051998</v>
      </c>
      <c r="V49" s="2">
        <v>0</v>
      </c>
      <c r="W49" s="2">
        <v>0.41836829110070101</v>
      </c>
      <c r="X49" s="2">
        <v>3.90178585521328</v>
      </c>
      <c r="Y49" s="2">
        <v>11.729452023469999</v>
      </c>
      <c r="Z49" s="2">
        <v>1.84618592578211</v>
      </c>
      <c r="AA49" s="3">
        <f t="shared" si="1"/>
        <v>41.720767888121273</v>
      </c>
      <c r="AB49" t="s">
        <v>63</v>
      </c>
      <c r="AC49">
        <v>219.52</v>
      </c>
      <c r="AD49">
        <v>8.06</v>
      </c>
      <c r="AE49">
        <v>49.98</v>
      </c>
      <c r="AF49">
        <v>17.93</v>
      </c>
      <c r="AG49">
        <v>0</v>
      </c>
      <c r="AH49">
        <v>96.17</v>
      </c>
      <c r="AI49">
        <v>15.41</v>
      </c>
      <c r="AJ49">
        <v>96.4</v>
      </c>
      <c r="AK49">
        <v>32.61</v>
      </c>
      <c r="AL49">
        <v>34.020000000000003</v>
      </c>
      <c r="AM49">
        <v>24.14</v>
      </c>
      <c r="AN49">
        <v>26.1</v>
      </c>
      <c r="AO49" s="1">
        <f t="shared" si="2"/>
        <v>620.34</v>
      </c>
    </row>
    <row r="50" spans="1:41" x14ac:dyDescent="0.25">
      <c r="A50" t="s">
        <v>93</v>
      </c>
      <c r="B50" s="2">
        <v>10837.3921901795</v>
      </c>
      <c r="C50" s="2">
        <v>482.28826623781498</v>
      </c>
      <c r="D50" s="2">
        <v>3127.5511070753801</v>
      </c>
      <c r="E50" s="2">
        <v>1360.04173841632</v>
      </c>
      <c r="F50" s="2">
        <v>4475.6464804326797</v>
      </c>
      <c r="G50" s="2">
        <v>0</v>
      </c>
      <c r="H50" s="2">
        <v>1651.4505865015899</v>
      </c>
      <c r="I50" s="2">
        <v>5232.4927820201801</v>
      </c>
      <c r="J50" s="2">
        <v>2782.47223552282</v>
      </c>
      <c r="K50" s="2">
        <v>856.13514574646604</v>
      </c>
      <c r="L50" s="2">
        <v>3854.19026346083</v>
      </c>
      <c r="M50" s="2">
        <v>2393.18042653258</v>
      </c>
      <c r="N50" s="3">
        <f t="shared" si="0"/>
        <v>37052.841222126153</v>
      </c>
      <c r="O50" s="2">
        <v>11.494443040932101</v>
      </c>
      <c r="P50" s="2">
        <v>0.72583518868726005</v>
      </c>
      <c r="Q50" s="2">
        <v>0.91228626433401105</v>
      </c>
      <c r="R50" s="2">
        <v>2.41360568163469</v>
      </c>
      <c r="S50" s="2">
        <v>12.3894363670726</v>
      </c>
      <c r="T50" s="2">
        <v>9.7364080767857697</v>
      </c>
      <c r="U50" s="2">
        <v>0</v>
      </c>
      <c r="V50" s="2">
        <v>2.13829846076323</v>
      </c>
      <c r="W50" s="2">
        <v>3.6804396330909599</v>
      </c>
      <c r="X50" s="2">
        <v>2.87048557901575</v>
      </c>
      <c r="Y50" s="2">
        <v>0.64226128735577404</v>
      </c>
      <c r="Z50" s="2">
        <v>6.8040386340208698</v>
      </c>
      <c r="AA50" s="3">
        <f t="shared" si="1"/>
        <v>53.807538213693014</v>
      </c>
      <c r="AB50" t="s">
        <v>45</v>
      </c>
      <c r="AC50">
        <v>118.97</v>
      </c>
      <c r="AD50">
        <v>14.87</v>
      </c>
      <c r="AE50">
        <v>41.32</v>
      </c>
      <c r="AF50">
        <v>23.75</v>
      </c>
      <c r="AG50">
        <v>55.4</v>
      </c>
      <c r="AH50">
        <v>10.49</v>
      </c>
      <c r="AI50">
        <v>26.51</v>
      </c>
      <c r="AJ50">
        <v>62.47</v>
      </c>
      <c r="AK50">
        <v>38.020000000000003</v>
      </c>
      <c r="AL50">
        <v>18.71</v>
      </c>
      <c r="AM50">
        <v>48.59</v>
      </c>
      <c r="AN50">
        <v>34.28</v>
      </c>
      <c r="AO50" s="1">
        <f t="shared" si="2"/>
        <v>493.37999999999988</v>
      </c>
    </row>
    <row r="51" spans="1:41" x14ac:dyDescent="0.25">
      <c r="A51" t="s">
        <v>94</v>
      </c>
      <c r="B51" s="2">
        <v>10828.835993950799</v>
      </c>
      <c r="C51" s="2">
        <v>6168.3331962074999</v>
      </c>
      <c r="D51" s="2">
        <v>4422.1370039740996</v>
      </c>
      <c r="E51" s="2">
        <v>4849.1259186419102</v>
      </c>
      <c r="F51" s="2">
        <v>4238.9282166658104</v>
      </c>
      <c r="G51" s="2">
        <v>53.628569610513203</v>
      </c>
      <c r="H51" s="2">
        <v>1107.26286442326</v>
      </c>
      <c r="I51" s="2">
        <v>7955.1368650204704</v>
      </c>
      <c r="J51" s="2">
        <v>3701.2836442961102</v>
      </c>
      <c r="K51" s="2">
        <v>1299.1899589443899</v>
      </c>
      <c r="L51" s="2">
        <v>4396.1325690532803</v>
      </c>
      <c r="M51" s="2">
        <v>2399.4345429670502</v>
      </c>
      <c r="N51" s="3">
        <f t="shared" si="0"/>
        <v>51419.429343755197</v>
      </c>
      <c r="O51" s="2">
        <v>7.8657682908383499</v>
      </c>
      <c r="P51" s="2">
        <v>6.0167245877893896</v>
      </c>
      <c r="Q51" s="2">
        <v>0</v>
      </c>
      <c r="R51" s="2">
        <v>2.6147542135805399</v>
      </c>
      <c r="S51" s="2">
        <v>0.83391737720308401</v>
      </c>
      <c r="T51" s="2">
        <v>4.2972645311294997</v>
      </c>
      <c r="U51" s="2">
        <v>2.1927820664711102</v>
      </c>
      <c r="V51" s="2">
        <v>9.0584974103804292</v>
      </c>
      <c r="W51" s="2">
        <v>0.95324885173438401</v>
      </c>
      <c r="X51" s="2">
        <v>0.98441233156151597</v>
      </c>
      <c r="Y51" s="2">
        <v>2.2371370980029499</v>
      </c>
      <c r="Z51" s="2">
        <v>4.2305674302756797</v>
      </c>
      <c r="AA51" s="3">
        <f t="shared" si="1"/>
        <v>41.285074188966924</v>
      </c>
      <c r="AB51" t="s">
        <v>45</v>
      </c>
      <c r="AC51">
        <v>118.68</v>
      </c>
      <c r="AD51">
        <v>72.03</v>
      </c>
      <c r="AE51">
        <v>54.22</v>
      </c>
      <c r="AF51">
        <v>58.64</v>
      </c>
      <c r="AG51">
        <v>52.43</v>
      </c>
      <c r="AH51">
        <v>10.78</v>
      </c>
      <c r="AI51">
        <v>21.22</v>
      </c>
      <c r="AJ51">
        <v>90.05</v>
      </c>
      <c r="AK51">
        <v>47.06</v>
      </c>
      <c r="AL51">
        <v>23.04</v>
      </c>
      <c r="AM51">
        <v>54.11</v>
      </c>
      <c r="AN51">
        <v>34.24</v>
      </c>
      <c r="AO51" s="1">
        <f t="shared" si="2"/>
        <v>636.5</v>
      </c>
    </row>
    <row r="52" spans="1:41" x14ac:dyDescent="0.25">
      <c r="A52" t="s">
        <v>95</v>
      </c>
      <c r="B52" s="2">
        <v>10774.9415438092</v>
      </c>
      <c r="C52" s="2">
        <v>1329.89016578727</v>
      </c>
      <c r="D52" s="2">
        <v>3529.9207429776502</v>
      </c>
      <c r="E52" s="2">
        <v>0</v>
      </c>
      <c r="F52" s="2">
        <v>867.55184546462999</v>
      </c>
      <c r="G52" s="2">
        <v>2287.928453944</v>
      </c>
      <c r="H52" s="2">
        <v>5008.8981952658196</v>
      </c>
      <c r="I52" s="2">
        <v>1565.8421775085601</v>
      </c>
      <c r="J52" s="2">
        <v>3626.2020251150402</v>
      </c>
      <c r="K52" s="2">
        <v>1879.4045030867501</v>
      </c>
      <c r="L52" s="2">
        <v>1129.39687482929</v>
      </c>
      <c r="M52" s="2">
        <v>7899.5573268136604</v>
      </c>
      <c r="N52" s="3">
        <f t="shared" si="0"/>
        <v>39899.533854601868</v>
      </c>
      <c r="O52" s="2">
        <v>5.0786766887111501</v>
      </c>
      <c r="P52" s="2">
        <v>0.497800417278079</v>
      </c>
      <c r="Q52" s="2">
        <v>3.6842602327896401</v>
      </c>
      <c r="R52" s="2">
        <v>3.2025637537816398</v>
      </c>
      <c r="S52" s="2">
        <v>9.2641514362845498</v>
      </c>
      <c r="T52" s="2">
        <v>15.8556467572181</v>
      </c>
      <c r="U52" s="2">
        <v>4.8298762876028096</v>
      </c>
      <c r="V52" s="2">
        <v>3.7433220213793201</v>
      </c>
      <c r="W52" s="2">
        <v>1.72709606245949</v>
      </c>
      <c r="X52" s="2">
        <v>5.68919180870519</v>
      </c>
      <c r="Y52" s="2">
        <v>1.4579214562866101</v>
      </c>
      <c r="Z52" s="2">
        <v>0.66984495223431795</v>
      </c>
      <c r="AA52" s="3">
        <f t="shared" si="1"/>
        <v>55.700351874730899</v>
      </c>
      <c r="AB52" t="s">
        <v>45</v>
      </c>
      <c r="AC52">
        <v>118.04</v>
      </c>
      <c r="AD52">
        <v>23.34</v>
      </c>
      <c r="AE52">
        <v>45.49</v>
      </c>
      <c r="AF52">
        <v>10.19</v>
      </c>
      <c r="AG52">
        <v>19.170000000000002</v>
      </c>
      <c r="AH52">
        <v>33.67</v>
      </c>
      <c r="AI52">
        <v>60.33</v>
      </c>
      <c r="AJ52">
        <v>25.85</v>
      </c>
      <c r="AK52">
        <v>46.36</v>
      </c>
      <c r="AL52">
        <v>29.09</v>
      </c>
      <c r="AM52">
        <v>21.39</v>
      </c>
      <c r="AN52">
        <v>89.04</v>
      </c>
      <c r="AO52" s="1">
        <f t="shared" si="2"/>
        <v>521.96</v>
      </c>
    </row>
    <row r="53" spans="1:41" x14ac:dyDescent="0.25">
      <c r="A53" t="s">
        <v>96</v>
      </c>
      <c r="B53" s="2">
        <v>10739.9569519383</v>
      </c>
      <c r="C53" s="2">
        <v>0</v>
      </c>
      <c r="D53" s="2">
        <v>42.847261087234301</v>
      </c>
      <c r="E53" s="2">
        <v>6179.0660255703697</v>
      </c>
      <c r="F53" s="2">
        <v>7205.7253462492599</v>
      </c>
      <c r="G53" s="2">
        <v>3986.88998348519</v>
      </c>
      <c r="H53" s="2">
        <v>1072.21714143138</v>
      </c>
      <c r="I53" s="2">
        <v>3524.37512230321</v>
      </c>
      <c r="J53" s="2">
        <v>975.12182899632501</v>
      </c>
      <c r="K53" s="2">
        <v>460.28094963279</v>
      </c>
      <c r="L53" s="2">
        <v>3363.48023303945</v>
      </c>
      <c r="M53" s="2">
        <v>652.59366529162799</v>
      </c>
      <c r="N53" s="3">
        <f t="shared" si="0"/>
        <v>38202.55450902514</v>
      </c>
      <c r="O53" s="2">
        <v>4.2031828272751302</v>
      </c>
      <c r="P53" s="2">
        <v>2.3181701199389702</v>
      </c>
      <c r="Q53" s="2">
        <v>10.224553676790601</v>
      </c>
      <c r="R53" s="2">
        <v>8.4378077412330992</v>
      </c>
      <c r="S53" s="2">
        <v>10.971775705619701</v>
      </c>
      <c r="T53" s="2">
        <v>6.38760611050128</v>
      </c>
      <c r="U53" s="2">
        <v>3.2061237644162399</v>
      </c>
      <c r="V53" s="2">
        <v>3.7986927204984702</v>
      </c>
      <c r="W53" s="2">
        <v>9.6550356864322904</v>
      </c>
      <c r="X53" s="2">
        <v>8.0960355829821005</v>
      </c>
      <c r="Y53" s="2">
        <v>1.1612402007362299</v>
      </c>
      <c r="Z53" s="2">
        <v>0</v>
      </c>
      <c r="AA53" s="3">
        <f t="shared" si="1"/>
        <v>68.460224136424117</v>
      </c>
      <c r="AB53" t="s">
        <v>45</v>
      </c>
      <c r="AC53">
        <v>117.64</v>
      </c>
      <c r="AD53">
        <v>10.14</v>
      </c>
      <c r="AE53">
        <v>10.97</v>
      </c>
      <c r="AF53">
        <v>72.239999999999995</v>
      </c>
      <c r="AG53">
        <v>82.6</v>
      </c>
      <c r="AH53">
        <v>50.21</v>
      </c>
      <c r="AI53">
        <v>20.92</v>
      </c>
      <c r="AJ53">
        <v>45.44</v>
      </c>
      <c r="AK53">
        <v>20.25</v>
      </c>
      <c r="AL53">
        <v>15.05</v>
      </c>
      <c r="AM53">
        <v>43.73</v>
      </c>
      <c r="AN53">
        <v>16.52</v>
      </c>
      <c r="AO53" s="1">
        <f t="shared" si="2"/>
        <v>505.71000000000004</v>
      </c>
    </row>
    <row r="54" spans="1:41" x14ac:dyDescent="0.25">
      <c r="A54" t="s">
        <v>97</v>
      </c>
      <c r="B54" s="2">
        <v>10731.5371568837</v>
      </c>
      <c r="C54" s="2">
        <v>15506.7390118166</v>
      </c>
      <c r="D54" s="2">
        <v>5559.9279508872596</v>
      </c>
      <c r="E54" s="2">
        <v>0</v>
      </c>
      <c r="F54" s="2">
        <v>2215.3530560344402</v>
      </c>
      <c r="G54" s="2">
        <v>1556.7498204145099</v>
      </c>
      <c r="H54" s="2">
        <v>5865.0834931599602</v>
      </c>
      <c r="I54" s="2">
        <v>127.858328076257</v>
      </c>
      <c r="J54" s="2">
        <v>312.39212709801001</v>
      </c>
      <c r="K54" s="2">
        <v>2645.85616146237</v>
      </c>
      <c r="L54" s="2">
        <v>298.988113524933</v>
      </c>
      <c r="M54" s="2">
        <v>3967.4919702087</v>
      </c>
      <c r="N54" s="3">
        <f t="shared" si="0"/>
        <v>48787.977189566736</v>
      </c>
      <c r="O54" s="2">
        <v>5.46872358957466</v>
      </c>
      <c r="P54" s="2">
        <v>0</v>
      </c>
      <c r="Q54" s="2">
        <v>0.35251793963047001</v>
      </c>
      <c r="R54" s="2">
        <v>0</v>
      </c>
      <c r="S54" s="2">
        <v>0.97086214409239902</v>
      </c>
      <c r="T54" s="2">
        <v>4.9135072423134902</v>
      </c>
      <c r="U54" s="2">
        <v>4.9971986282474097</v>
      </c>
      <c r="V54" s="2">
        <v>12.448920348223201</v>
      </c>
      <c r="W54" s="2">
        <v>4.7101954767166596</v>
      </c>
      <c r="X54" s="2">
        <v>1.42303697542618</v>
      </c>
      <c r="Y54" s="2">
        <v>8.9482317307175396</v>
      </c>
      <c r="Z54" s="2">
        <v>7.2725140837257696</v>
      </c>
      <c r="AA54" s="3">
        <f t="shared" si="1"/>
        <v>51.505708158667773</v>
      </c>
      <c r="AB54" t="s">
        <v>45</v>
      </c>
      <c r="AC54">
        <v>117.61</v>
      </c>
      <c r="AD54">
        <v>165.06</v>
      </c>
      <c r="AE54">
        <v>65.64</v>
      </c>
      <c r="AF54">
        <v>9.99</v>
      </c>
      <c r="AG54">
        <v>32.200000000000003</v>
      </c>
      <c r="AH54">
        <v>25.81</v>
      </c>
      <c r="AI54">
        <v>68.900000000000006</v>
      </c>
      <c r="AJ54">
        <v>11.92</v>
      </c>
      <c r="AK54">
        <v>13.37</v>
      </c>
      <c r="AL54">
        <v>36.549999999999997</v>
      </c>
      <c r="AM54">
        <v>13.43</v>
      </c>
      <c r="AN54">
        <v>50.07</v>
      </c>
      <c r="AO54" s="1">
        <f t="shared" si="2"/>
        <v>610.55000000000007</v>
      </c>
    </row>
    <row r="55" spans="1:41" x14ac:dyDescent="0.25">
      <c r="A55" t="s">
        <v>98</v>
      </c>
      <c r="B55" s="2">
        <v>10540.824196536099</v>
      </c>
      <c r="C55" s="2">
        <v>1558.00693323018</v>
      </c>
      <c r="D55" s="2">
        <v>495.94972710112</v>
      </c>
      <c r="E55" s="2">
        <v>1649.03565360575</v>
      </c>
      <c r="F55" s="2">
        <v>1814.5463599795</v>
      </c>
      <c r="G55" s="2">
        <v>2458.5404839031198</v>
      </c>
      <c r="H55" s="2">
        <v>1884.9617033033201</v>
      </c>
      <c r="I55" s="2">
        <v>3054.2722916528201</v>
      </c>
      <c r="J55" s="2">
        <v>3635.0796259246399</v>
      </c>
      <c r="K55" s="2">
        <v>5553.4313137613899</v>
      </c>
      <c r="L55" s="2">
        <v>4764.3040466612501</v>
      </c>
      <c r="M55" s="2">
        <v>0</v>
      </c>
      <c r="N55" s="3">
        <f t="shared" si="0"/>
        <v>37408.952335659189</v>
      </c>
      <c r="O55" s="2">
        <v>0.80085919255166005</v>
      </c>
      <c r="P55" s="2">
        <v>3.8986319013805901</v>
      </c>
      <c r="Q55" s="2">
        <v>4.4406480232862204</v>
      </c>
      <c r="R55" s="2">
        <v>2.2491593816457698</v>
      </c>
      <c r="S55" s="2">
        <v>2.8833064306135698</v>
      </c>
      <c r="T55" s="2">
        <v>10.4909576924625</v>
      </c>
      <c r="U55" s="2">
        <v>1.6063871513467001</v>
      </c>
      <c r="V55" s="2">
        <v>0</v>
      </c>
      <c r="W55" s="2">
        <v>6.83798620055979</v>
      </c>
      <c r="X55" s="2">
        <v>4.3997159248564097</v>
      </c>
      <c r="Y55" s="2">
        <v>9.9726198423451997</v>
      </c>
      <c r="Z55" s="2">
        <v>3.785367313849</v>
      </c>
      <c r="AA55" s="3">
        <f t="shared" si="1"/>
        <v>51.365639054897407</v>
      </c>
      <c r="AB55" t="s">
        <v>45</v>
      </c>
      <c r="AC55">
        <v>115.45</v>
      </c>
      <c r="AD55">
        <v>25.78</v>
      </c>
      <c r="AE55">
        <v>15.2</v>
      </c>
      <c r="AF55">
        <v>26.64</v>
      </c>
      <c r="AG55">
        <v>28.29</v>
      </c>
      <c r="AH55">
        <v>35.130000000000003</v>
      </c>
      <c r="AI55">
        <v>28.94</v>
      </c>
      <c r="AJ55">
        <v>40.54</v>
      </c>
      <c r="AK55">
        <v>46.7</v>
      </c>
      <c r="AL55">
        <v>65.78</v>
      </c>
      <c r="AM55">
        <v>58.14</v>
      </c>
      <c r="AN55">
        <v>10.19</v>
      </c>
      <c r="AO55" s="1">
        <f t="shared" si="2"/>
        <v>496.78000000000003</v>
      </c>
    </row>
    <row r="56" spans="1:41" x14ac:dyDescent="0.25">
      <c r="A56" t="s">
        <v>99</v>
      </c>
      <c r="B56" s="2">
        <v>10395.293901667101</v>
      </c>
      <c r="C56" s="2">
        <v>4177.2386684745697</v>
      </c>
      <c r="D56" s="2">
        <v>2501.60509311035</v>
      </c>
      <c r="E56" s="2">
        <v>5324.7898695025497</v>
      </c>
      <c r="F56" s="2">
        <v>194.55511789567399</v>
      </c>
      <c r="G56" s="2">
        <v>396.84345315848702</v>
      </c>
      <c r="H56" s="2">
        <v>3016.3834106270101</v>
      </c>
      <c r="I56" s="2">
        <v>428.63571042530498</v>
      </c>
      <c r="J56" s="2">
        <v>10606.9396496396</v>
      </c>
      <c r="K56" s="2">
        <v>1338.41680093734</v>
      </c>
      <c r="L56" s="2">
        <v>1967.8142835516401</v>
      </c>
      <c r="M56" s="2">
        <v>4274.9608772271004</v>
      </c>
      <c r="N56" s="3">
        <f t="shared" si="0"/>
        <v>44623.476836216731</v>
      </c>
      <c r="O56" s="2">
        <v>16.521095004783501</v>
      </c>
      <c r="P56" s="2">
        <v>3.6067101233389001</v>
      </c>
      <c r="Q56" s="2">
        <v>1.45438365161987</v>
      </c>
      <c r="R56" s="2">
        <v>6.8549765890400796</v>
      </c>
      <c r="S56" s="2">
        <v>0.65438658054813703</v>
      </c>
      <c r="T56" s="2">
        <v>4.4643400753898401</v>
      </c>
      <c r="U56" s="2">
        <v>2.5935738492132301</v>
      </c>
      <c r="V56" s="2">
        <v>0</v>
      </c>
      <c r="W56" s="2">
        <v>2.0849498440713399</v>
      </c>
      <c r="X56" s="2">
        <v>6.9098399225376799</v>
      </c>
      <c r="Y56" s="2">
        <v>8.4734684390024508</v>
      </c>
      <c r="Z56" s="2">
        <v>1.94174385037915</v>
      </c>
      <c r="AA56" s="3">
        <f t="shared" si="1"/>
        <v>55.559467929924175</v>
      </c>
      <c r="AB56" t="s">
        <v>45</v>
      </c>
      <c r="AC56">
        <v>114.8</v>
      </c>
      <c r="AD56">
        <v>51.97</v>
      </c>
      <c r="AE56">
        <v>35.11</v>
      </c>
      <c r="AF56">
        <v>63.59</v>
      </c>
      <c r="AG56">
        <v>11.99</v>
      </c>
      <c r="AH56">
        <v>14.21</v>
      </c>
      <c r="AI56">
        <v>40.31</v>
      </c>
      <c r="AJ56">
        <v>14.28</v>
      </c>
      <c r="AK56">
        <v>116.21</v>
      </c>
      <c r="AL56">
        <v>23.73</v>
      </c>
      <c r="AM56">
        <v>30.12</v>
      </c>
      <c r="AN56">
        <v>52.84</v>
      </c>
      <c r="AO56" s="1">
        <f t="shared" si="2"/>
        <v>569.16</v>
      </c>
    </row>
    <row r="57" spans="1:41" x14ac:dyDescent="0.25">
      <c r="A57" t="s">
        <v>100</v>
      </c>
      <c r="B57" s="2">
        <v>10376.3563495777</v>
      </c>
      <c r="C57" s="2">
        <v>261.40302899150902</v>
      </c>
      <c r="D57" s="2">
        <v>0</v>
      </c>
      <c r="E57" s="2">
        <v>2860.9639084064402</v>
      </c>
      <c r="F57" s="2">
        <v>6782.9814220624603</v>
      </c>
      <c r="G57" s="2">
        <v>11636.546506105</v>
      </c>
      <c r="H57" s="2">
        <v>4362.2089307752103</v>
      </c>
      <c r="I57" s="2">
        <v>880.84690428429099</v>
      </c>
      <c r="J57" s="2">
        <v>13918.500975421201</v>
      </c>
      <c r="K57" s="2">
        <v>9207.6165700409802</v>
      </c>
      <c r="L57" s="2">
        <v>1375.96773987918</v>
      </c>
      <c r="M57" s="2">
        <v>3648.13429512843</v>
      </c>
      <c r="N57" s="3">
        <f t="shared" si="0"/>
        <v>65311.526630672408</v>
      </c>
      <c r="O57" s="2">
        <v>5.5435512599652599</v>
      </c>
      <c r="P57" s="2">
        <v>1.1934794454931399</v>
      </c>
      <c r="Q57" s="2">
        <v>5.8168520375059396</v>
      </c>
      <c r="R57" s="2">
        <v>2.2075875536912899</v>
      </c>
      <c r="S57" s="2">
        <v>2.9197240524531098</v>
      </c>
      <c r="T57" s="2">
        <v>6.6288728506195804</v>
      </c>
      <c r="U57" s="2">
        <v>1.3317085322998099</v>
      </c>
      <c r="V57" s="2">
        <v>2.1156954382109601</v>
      </c>
      <c r="W57" s="2">
        <v>0.94359980734550297</v>
      </c>
      <c r="X57" s="2">
        <v>6.4327350597801196</v>
      </c>
      <c r="Y57" s="2">
        <v>10.110005883408499</v>
      </c>
      <c r="Z57" s="2">
        <v>4.2061606048026201</v>
      </c>
      <c r="AA57" s="3">
        <f t="shared" si="1"/>
        <v>49.449972525575831</v>
      </c>
      <c r="AB57" t="s">
        <v>45</v>
      </c>
      <c r="AC57">
        <v>114.06</v>
      </c>
      <c r="AD57">
        <v>12.71</v>
      </c>
      <c r="AE57">
        <v>10.29</v>
      </c>
      <c r="AF57">
        <v>38.75</v>
      </c>
      <c r="AG57">
        <v>77.97</v>
      </c>
      <c r="AH57">
        <v>126.71</v>
      </c>
      <c r="AI57">
        <v>53.72</v>
      </c>
      <c r="AJ57">
        <v>18.95</v>
      </c>
      <c r="AK57">
        <v>149.22999999999999</v>
      </c>
      <c r="AL57">
        <v>102.42</v>
      </c>
      <c r="AM57">
        <v>24.3</v>
      </c>
      <c r="AN57">
        <v>46.73</v>
      </c>
      <c r="AO57" s="1">
        <f t="shared" si="2"/>
        <v>775.83999999999992</v>
      </c>
    </row>
    <row r="58" spans="1:41" x14ac:dyDescent="0.25">
      <c r="A58" t="s">
        <v>101</v>
      </c>
      <c r="B58" s="2">
        <v>10354.550591815099</v>
      </c>
      <c r="C58" s="2">
        <v>3211.9443593937999</v>
      </c>
      <c r="D58" s="2">
        <v>281.12199580170602</v>
      </c>
      <c r="E58" s="2">
        <v>2948.0483625895799</v>
      </c>
      <c r="F58" s="2">
        <v>3372.7329649205799</v>
      </c>
      <c r="G58" s="2">
        <v>7318.95864727157</v>
      </c>
      <c r="H58" s="2">
        <v>1531.67164366524</v>
      </c>
      <c r="I58" s="2">
        <v>1835.5652928269701</v>
      </c>
      <c r="J58" s="2">
        <v>2741.8917794122099</v>
      </c>
      <c r="K58" s="2">
        <v>3490.0527020550498</v>
      </c>
      <c r="L58" s="2">
        <v>4193.8862319862901</v>
      </c>
      <c r="M58" s="2">
        <v>279.52742409282399</v>
      </c>
      <c r="N58" s="3">
        <f t="shared" si="0"/>
        <v>41559.951995830917</v>
      </c>
      <c r="O58" s="2">
        <v>6.4864713250034498</v>
      </c>
      <c r="P58" s="2">
        <v>2.5096201344870099</v>
      </c>
      <c r="Q58" s="2">
        <v>4.2830750758159999</v>
      </c>
      <c r="R58" s="2">
        <v>3.0634843942618901</v>
      </c>
      <c r="S58" s="2">
        <v>0</v>
      </c>
      <c r="T58" s="2">
        <v>0</v>
      </c>
      <c r="U58" s="2">
        <v>2.2913881448009201</v>
      </c>
      <c r="V58" s="2">
        <v>2.1351416533148999</v>
      </c>
      <c r="W58" s="2">
        <v>1.5245338004450399</v>
      </c>
      <c r="X58" s="2">
        <v>8.9433781758035593</v>
      </c>
      <c r="Y58" s="2">
        <v>17.1592152048235</v>
      </c>
      <c r="Z58" s="2">
        <v>6.5697195972646298</v>
      </c>
      <c r="AA58" s="3">
        <f t="shared" si="1"/>
        <v>54.9660275060209</v>
      </c>
      <c r="AB58" t="s">
        <v>45</v>
      </c>
      <c r="AC58">
        <v>113.89</v>
      </c>
      <c r="AD58">
        <v>42.26</v>
      </c>
      <c r="AE58">
        <v>13.06</v>
      </c>
      <c r="AF58">
        <v>39.68</v>
      </c>
      <c r="AG58">
        <v>43.72</v>
      </c>
      <c r="AH58">
        <v>83.18</v>
      </c>
      <c r="AI58">
        <v>25.46</v>
      </c>
      <c r="AJ58">
        <v>28.5</v>
      </c>
      <c r="AK58">
        <v>37.51</v>
      </c>
      <c r="AL58">
        <v>45.35</v>
      </c>
      <c r="AM58">
        <v>52.83</v>
      </c>
      <c r="AN58">
        <v>13.14</v>
      </c>
      <c r="AO58" s="1">
        <f t="shared" si="2"/>
        <v>538.58000000000004</v>
      </c>
    </row>
    <row r="59" spans="1:41" x14ac:dyDescent="0.25">
      <c r="A59" t="s">
        <v>102</v>
      </c>
      <c r="B59" s="2">
        <v>10284.499442578701</v>
      </c>
      <c r="C59" s="2">
        <v>0</v>
      </c>
      <c r="D59" s="2">
        <v>2395.1288059840199</v>
      </c>
      <c r="E59" s="2">
        <v>6229.2814289751504</v>
      </c>
      <c r="F59" s="2">
        <v>3941.8537791028202</v>
      </c>
      <c r="G59" s="2">
        <v>5395.4733147323004</v>
      </c>
      <c r="H59" s="2">
        <v>7137.9369922081596</v>
      </c>
      <c r="I59" s="2">
        <v>5685.1549700115002</v>
      </c>
      <c r="J59" s="2">
        <v>4689.1962723094402</v>
      </c>
      <c r="K59" s="2">
        <v>11346.851431433801</v>
      </c>
      <c r="L59" s="2">
        <v>7855.5115473125597</v>
      </c>
      <c r="M59" s="2">
        <v>5573.6901849385904</v>
      </c>
      <c r="N59" s="3">
        <f t="shared" si="0"/>
        <v>70534.578169587039</v>
      </c>
      <c r="O59" s="2">
        <v>1.6806562619199801</v>
      </c>
      <c r="P59" s="2">
        <v>5.2818781335829801</v>
      </c>
      <c r="Q59" s="2">
        <v>3.2721134711842601</v>
      </c>
      <c r="R59" s="2">
        <v>6.5925094666249304</v>
      </c>
      <c r="S59" s="2">
        <v>3.1913991626227398</v>
      </c>
      <c r="T59" s="2">
        <v>1.1535698838403601</v>
      </c>
      <c r="U59" s="2">
        <v>1.6930011225983399</v>
      </c>
      <c r="V59" s="2">
        <v>6.1827806356682498</v>
      </c>
      <c r="W59" s="2">
        <v>4.0434034114163104</v>
      </c>
      <c r="X59" s="2">
        <v>7.5757411677401301</v>
      </c>
      <c r="Y59" s="2">
        <v>0</v>
      </c>
      <c r="Z59" s="2">
        <v>18.422395258948001</v>
      </c>
      <c r="AA59" s="3">
        <f t="shared" si="1"/>
        <v>59.089447976146289</v>
      </c>
      <c r="AB59" t="s">
        <v>45</v>
      </c>
      <c r="AC59">
        <v>112.94</v>
      </c>
      <c r="AD59">
        <v>10.29</v>
      </c>
      <c r="AE59">
        <v>34.15</v>
      </c>
      <c r="AF59">
        <v>72.64</v>
      </c>
      <c r="AG59">
        <v>49.61</v>
      </c>
      <c r="AH59">
        <v>64.05</v>
      </c>
      <c r="AI59">
        <v>81.47</v>
      </c>
      <c r="AJ59">
        <v>67.2</v>
      </c>
      <c r="AK59">
        <v>57.14</v>
      </c>
      <c r="AL59">
        <v>123.86</v>
      </c>
      <c r="AM59">
        <v>88.55</v>
      </c>
      <c r="AN59">
        <v>66.680000000000007</v>
      </c>
      <c r="AO59" s="1">
        <f t="shared" si="2"/>
        <v>828.57999999999993</v>
      </c>
    </row>
    <row r="60" spans="1:41" x14ac:dyDescent="0.25">
      <c r="A60" t="s">
        <v>103</v>
      </c>
      <c r="B60" s="2">
        <v>10166.908588734301</v>
      </c>
      <c r="C60" s="2">
        <v>1083.59662568517</v>
      </c>
      <c r="D60" s="2">
        <v>10990.979061112101</v>
      </c>
      <c r="E60" s="2">
        <v>5568.9965186996997</v>
      </c>
      <c r="F60" s="2">
        <v>3680.1311877159501</v>
      </c>
      <c r="G60" s="2">
        <v>9483.3097780520602</v>
      </c>
      <c r="H60" s="2">
        <v>22.957246922609102</v>
      </c>
      <c r="I60" s="2">
        <v>1663.8593511843801</v>
      </c>
      <c r="J60" s="2">
        <v>566.43236507642098</v>
      </c>
      <c r="K60" s="2">
        <v>1473.36201146541</v>
      </c>
      <c r="L60" s="2">
        <v>1172.30723439297</v>
      </c>
      <c r="M60" s="2">
        <v>2361.57176002097</v>
      </c>
      <c r="N60" s="3">
        <f t="shared" si="0"/>
        <v>48234.411729062034</v>
      </c>
      <c r="O60" s="2">
        <v>2.3691648514114299</v>
      </c>
      <c r="P60" s="2">
        <v>3.8104691129773798</v>
      </c>
      <c r="Q60" s="2">
        <v>1.3744507607577801</v>
      </c>
      <c r="R60" s="2">
        <v>5.5834738099199104</v>
      </c>
      <c r="S60" s="2">
        <v>7.70128010377028</v>
      </c>
      <c r="T60" s="2">
        <v>5.7889987276656401</v>
      </c>
      <c r="U60" s="2">
        <v>1.9845617989422999</v>
      </c>
      <c r="V60" s="2">
        <v>7.1162313232779404</v>
      </c>
      <c r="W60" s="2">
        <v>2.2433797985289701</v>
      </c>
      <c r="X60" s="2">
        <v>2.1131681903786301</v>
      </c>
      <c r="Y60" s="2">
        <v>1.1909381082525401</v>
      </c>
      <c r="Z60" s="2">
        <v>8.2323987797574691</v>
      </c>
      <c r="AA60" s="3">
        <f t="shared" si="1"/>
        <v>49.508515365640264</v>
      </c>
      <c r="AB60" t="s">
        <v>45</v>
      </c>
      <c r="AC60">
        <v>111.81</v>
      </c>
      <c r="AD60">
        <v>21.03</v>
      </c>
      <c r="AE60">
        <v>120</v>
      </c>
      <c r="AF60">
        <v>65.98</v>
      </c>
      <c r="AG60">
        <v>47.2</v>
      </c>
      <c r="AH60">
        <v>105.13</v>
      </c>
      <c r="AI60">
        <v>10.32</v>
      </c>
      <c r="AJ60">
        <v>27.03</v>
      </c>
      <c r="AK60">
        <v>15.81</v>
      </c>
      <c r="AL60">
        <v>24.88</v>
      </c>
      <c r="AM60">
        <v>21.82</v>
      </c>
      <c r="AN60">
        <v>34.06</v>
      </c>
      <c r="AO60" s="1">
        <f t="shared" si="2"/>
        <v>605.06999999999994</v>
      </c>
    </row>
    <row r="61" spans="1:41" x14ac:dyDescent="0.25">
      <c r="A61" t="s">
        <v>104</v>
      </c>
      <c r="B61" s="2">
        <v>10166.8325421176</v>
      </c>
      <c r="C61" s="2">
        <v>734.54819252187099</v>
      </c>
      <c r="D61" s="2">
        <v>972.50829849839999</v>
      </c>
      <c r="E61" s="2">
        <v>3148.1609734661101</v>
      </c>
      <c r="F61" s="2">
        <v>431.59122012364497</v>
      </c>
      <c r="G61" s="2">
        <v>0</v>
      </c>
      <c r="H61" s="2">
        <v>3275.7122570224801</v>
      </c>
      <c r="I61" s="2">
        <v>1522.79239279336</v>
      </c>
      <c r="J61" s="2">
        <v>780.62141841865503</v>
      </c>
      <c r="K61" s="2">
        <v>2045.67545013156</v>
      </c>
      <c r="L61" s="2">
        <v>2118.17539290688</v>
      </c>
      <c r="M61" s="2">
        <v>2499.2648288819601</v>
      </c>
      <c r="N61" s="3">
        <f t="shared" si="0"/>
        <v>27695.88296688252</v>
      </c>
      <c r="O61" s="2">
        <v>3.9228478740765</v>
      </c>
      <c r="P61" s="2">
        <v>4.9498717179274703</v>
      </c>
      <c r="Q61" s="2">
        <v>2.8098453491142599</v>
      </c>
      <c r="R61" s="2">
        <v>1.0848084542055401</v>
      </c>
      <c r="S61" s="2">
        <v>0.28486508992211901</v>
      </c>
      <c r="T61" s="2">
        <v>0.75832285964603396</v>
      </c>
      <c r="U61" s="2">
        <v>0</v>
      </c>
      <c r="V61" s="2">
        <v>9.9983069338561599</v>
      </c>
      <c r="W61" s="2">
        <v>0.75778787246903301</v>
      </c>
      <c r="X61" s="2">
        <v>0</v>
      </c>
      <c r="Y61" s="2">
        <v>2.0121495994256899</v>
      </c>
      <c r="Z61" s="2">
        <v>1.8279147244938601</v>
      </c>
      <c r="AA61" s="3">
        <f t="shared" si="1"/>
        <v>28.40672047513667</v>
      </c>
      <c r="AB61" t="s">
        <v>63</v>
      </c>
      <c r="AC61">
        <v>203.7</v>
      </c>
      <c r="AD61">
        <v>15.15</v>
      </c>
      <c r="AE61">
        <v>19.73</v>
      </c>
      <c r="AF61">
        <v>63.16</v>
      </c>
      <c r="AG61">
        <v>8.73</v>
      </c>
      <c r="AH61">
        <v>0.09</v>
      </c>
      <c r="AI61">
        <v>65.52</v>
      </c>
      <c r="AJ61">
        <v>31.36</v>
      </c>
      <c r="AK61">
        <v>15.71</v>
      </c>
      <c r="AL61">
        <v>40.92</v>
      </c>
      <c r="AM61">
        <v>42.65</v>
      </c>
      <c r="AN61">
        <v>50.18</v>
      </c>
      <c r="AO61" s="1">
        <f t="shared" si="2"/>
        <v>556.9</v>
      </c>
    </row>
    <row r="62" spans="1:41" x14ac:dyDescent="0.25">
      <c r="A62" t="s">
        <v>105</v>
      </c>
      <c r="B62" s="2">
        <v>10055.9627452143</v>
      </c>
      <c r="C62" s="2">
        <v>1589.5056133619701</v>
      </c>
      <c r="D62" s="2">
        <v>5029.4660233006698</v>
      </c>
      <c r="E62" s="2">
        <v>1220.29943574085</v>
      </c>
      <c r="F62" s="2">
        <v>1771.9767595027799</v>
      </c>
      <c r="G62" s="2">
        <v>1208.8437157512601</v>
      </c>
      <c r="H62" s="2">
        <v>6010.3883857720002</v>
      </c>
      <c r="I62" s="2">
        <v>261.75003074375797</v>
      </c>
      <c r="J62" s="2">
        <v>239.14656855313001</v>
      </c>
      <c r="K62" s="2">
        <v>24395.382600339599</v>
      </c>
      <c r="L62" s="2">
        <v>604.68144854442198</v>
      </c>
      <c r="M62" s="2">
        <v>2519.53550226171</v>
      </c>
      <c r="N62" s="3">
        <f t="shared" si="0"/>
        <v>54906.938829086437</v>
      </c>
      <c r="O62" s="2">
        <v>0.542717862334542</v>
      </c>
      <c r="P62" s="2">
        <v>6.2720638922758898</v>
      </c>
      <c r="Q62" s="2">
        <v>5.5954777782174503</v>
      </c>
      <c r="R62" s="2">
        <v>1.2689651911191</v>
      </c>
      <c r="S62" s="2">
        <v>0</v>
      </c>
      <c r="T62" s="2">
        <v>10.0011741184514</v>
      </c>
      <c r="U62" s="2">
        <v>0.188019039280963</v>
      </c>
      <c r="V62" s="2">
        <v>0.64871624811904705</v>
      </c>
      <c r="W62" s="2">
        <v>3.5448507645538099</v>
      </c>
      <c r="X62" s="2">
        <v>4.8378445952360503</v>
      </c>
      <c r="Y62" s="2">
        <v>0.56200526369336301</v>
      </c>
      <c r="Z62" s="2">
        <v>0</v>
      </c>
      <c r="AA62" s="3">
        <f t="shared" si="1"/>
        <v>33.461834753281622</v>
      </c>
      <c r="AB62" t="s">
        <v>45</v>
      </c>
      <c r="AC62">
        <v>110.6</v>
      </c>
      <c r="AD62">
        <v>26.24</v>
      </c>
      <c r="AE62">
        <v>60.59</v>
      </c>
      <c r="AF62">
        <v>22.3</v>
      </c>
      <c r="AG62">
        <v>27.71</v>
      </c>
      <c r="AH62">
        <v>22.63</v>
      </c>
      <c r="AI62">
        <v>70.150000000000006</v>
      </c>
      <c r="AJ62">
        <v>12.66</v>
      </c>
      <c r="AK62">
        <v>12.59</v>
      </c>
      <c r="AL62">
        <v>254.2</v>
      </c>
      <c r="AM62">
        <v>16.09</v>
      </c>
      <c r="AN62">
        <v>35.19</v>
      </c>
      <c r="AO62" s="1">
        <f t="shared" si="2"/>
        <v>670.95</v>
      </c>
    </row>
    <row r="63" spans="1:41" x14ac:dyDescent="0.25">
      <c r="A63" t="s">
        <v>106</v>
      </c>
      <c r="B63" s="2">
        <v>10020.057891942</v>
      </c>
      <c r="C63" s="2">
        <v>5708.9021188603201</v>
      </c>
      <c r="D63" s="2">
        <v>403.83707798573698</v>
      </c>
      <c r="E63" s="2">
        <v>2027.33332543808</v>
      </c>
      <c r="F63" s="2">
        <v>1354.8357479541301</v>
      </c>
      <c r="G63" s="2">
        <v>14450.701863191</v>
      </c>
      <c r="H63" s="2">
        <v>14621.2874247331</v>
      </c>
      <c r="I63" s="2">
        <v>2300.1424488970201</v>
      </c>
      <c r="J63" s="2">
        <v>1027.65789724415</v>
      </c>
      <c r="K63" s="2">
        <v>3272.67737159948</v>
      </c>
      <c r="L63" s="2">
        <v>1869.1220752112599</v>
      </c>
      <c r="M63" s="2">
        <v>601.07815086259802</v>
      </c>
      <c r="N63" s="3">
        <f t="shared" si="0"/>
        <v>57657.63339391887</v>
      </c>
      <c r="O63" s="2">
        <v>14.663182977736099</v>
      </c>
      <c r="P63" s="2">
        <v>4.1171571515366097</v>
      </c>
      <c r="Q63" s="2">
        <v>0</v>
      </c>
      <c r="R63" s="2">
        <v>0</v>
      </c>
      <c r="S63" s="2">
        <v>2.6021703518050598</v>
      </c>
      <c r="T63" s="2">
        <v>2.1427962244763199</v>
      </c>
      <c r="U63" s="2">
        <v>0</v>
      </c>
      <c r="V63" s="2">
        <v>11.4962271319297</v>
      </c>
      <c r="W63" s="2">
        <v>2.9186383265162701</v>
      </c>
      <c r="X63" s="2">
        <v>8.57326434117536</v>
      </c>
      <c r="Y63" s="2">
        <v>6.2249036373993398</v>
      </c>
      <c r="Z63" s="2">
        <v>6.3372691013821596</v>
      </c>
      <c r="AA63" s="3">
        <f t="shared" si="1"/>
        <v>59.075609243956919</v>
      </c>
      <c r="AB63" t="s">
        <v>45</v>
      </c>
      <c r="AC63">
        <v>110.95</v>
      </c>
      <c r="AD63">
        <v>67.33</v>
      </c>
      <c r="AE63">
        <v>14.03</v>
      </c>
      <c r="AF63">
        <v>30.27</v>
      </c>
      <c r="AG63">
        <v>23.69</v>
      </c>
      <c r="AH63">
        <v>154.65</v>
      </c>
      <c r="AI63">
        <v>156.21</v>
      </c>
      <c r="AJ63">
        <v>33.6</v>
      </c>
      <c r="AK63">
        <v>20.420000000000002</v>
      </c>
      <c r="AL63">
        <v>43.17</v>
      </c>
      <c r="AM63">
        <v>29.04</v>
      </c>
      <c r="AN63">
        <v>16.36</v>
      </c>
      <c r="AO63" s="1">
        <f t="shared" si="2"/>
        <v>699.71999999999991</v>
      </c>
    </row>
    <row r="64" spans="1:41" x14ac:dyDescent="0.25">
      <c r="A64" t="s">
        <v>107</v>
      </c>
      <c r="B64" s="2">
        <v>9797.3700560632806</v>
      </c>
      <c r="C64" s="2">
        <v>8941.9303208031706</v>
      </c>
      <c r="D64" s="2">
        <v>2576.7833419559602</v>
      </c>
      <c r="E64" s="2">
        <v>1927.8379449287099</v>
      </c>
      <c r="F64" s="2">
        <v>3655.9048349954701</v>
      </c>
      <c r="G64" s="2">
        <v>0</v>
      </c>
      <c r="H64" s="2">
        <v>1881.18804377577</v>
      </c>
      <c r="I64" s="2">
        <v>1552.73215710254</v>
      </c>
      <c r="J64" s="2">
        <v>225.40885266241901</v>
      </c>
      <c r="K64" s="2">
        <v>2985.4305875329601</v>
      </c>
      <c r="L64" s="2">
        <v>1339.0073478052</v>
      </c>
      <c r="M64" s="2">
        <v>119.68707627248</v>
      </c>
      <c r="N64" s="3">
        <f t="shared" si="0"/>
        <v>35003.280563897955</v>
      </c>
      <c r="O64" s="2">
        <v>11.780985278766099</v>
      </c>
      <c r="P64" s="2">
        <v>0.55573122903177496</v>
      </c>
      <c r="Q64" s="2">
        <v>0</v>
      </c>
      <c r="R64" s="2">
        <v>2.16842857635663</v>
      </c>
      <c r="S64" s="2">
        <v>0</v>
      </c>
      <c r="T64" s="2">
        <v>14.119957761093501</v>
      </c>
      <c r="U64" s="2">
        <v>1.03664116666745</v>
      </c>
      <c r="V64" s="2">
        <v>5.8531927426476598</v>
      </c>
      <c r="W64" s="2">
        <v>4.0662621760182498</v>
      </c>
      <c r="X64" s="2">
        <v>0.59795547385032399</v>
      </c>
      <c r="Y64" s="2">
        <v>5.7812324533496301E-2</v>
      </c>
      <c r="Z64" s="2">
        <v>4.2579281291484197</v>
      </c>
      <c r="AA64" s="3">
        <f t="shared" si="1"/>
        <v>44.494894858113604</v>
      </c>
      <c r="AB64" t="s">
        <v>63</v>
      </c>
      <c r="AC64">
        <v>197.04</v>
      </c>
      <c r="AD64">
        <v>178.93</v>
      </c>
      <c r="AE64">
        <v>51.54</v>
      </c>
      <c r="AF64">
        <v>38.83</v>
      </c>
      <c r="AG64">
        <v>73.12</v>
      </c>
      <c r="AH64">
        <v>1.35</v>
      </c>
      <c r="AI64">
        <v>37.82</v>
      </c>
      <c r="AJ64">
        <v>31.6</v>
      </c>
      <c r="AK64">
        <v>4.97</v>
      </c>
      <c r="AL64">
        <v>59.81</v>
      </c>
      <c r="AM64">
        <v>26.89</v>
      </c>
      <c r="AN64">
        <v>2.85</v>
      </c>
      <c r="AO64" s="1">
        <f t="shared" si="2"/>
        <v>704.75000000000023</v>
      </c>
    </row>
    <row r="65" spans="1:41" x14ac:dyDescent="0.25">
      <c r="A65" t="s">
        <v>108</v>
      </c>
      <c r="B65" s="2">
        <v>9694.8864478280593</v>
      </c>
      <c r="C65" s="2">
        <v>590.41816587276799</v>
      </c>
      <c r="D65" s="2">
        <v>1143.2009322521999</v>
      </c>
      <c r="E65" s="2">
        <v>1530.4215789812999</v>
      </c>
      <c r="F65" s="2">
        <v>7585.9444403909501</v>
      </c>
      <c r="G65" s="2">
        <v>9154.3633649741805</v>
      </c>
      <c r="H65" s="2">
        <v>1139.0824159835699</v>
      </c>
      <c r="I65" s="2">
        <v>7656.1345758541902</v>
      </c>
      <c r="J65" s="2">
        <v>1016.06311184298</v>
      </c>
      <c r="K65" s="2">
        <v>11874.028834832699</v>
      </c>
      <c r="L65" s="2">
        <v>2762.4079166881702</v>
      </c>
      <c r="M65" s="2">
        <v>376.41091529463199</v>
      </c>
      <c r="N65" s="3">
        <f t="shared" si="0"/>
        <v>54523.362700795704</v>
      </c>
      <c r="O65" s="2">
        <v>5.0709761691135897</v>
      </c>
      <c r="P65" s="2">
        <v>5.9366429163238799</v>
      </c>
      <c r="Q65" s="2">
        <v>1.4903453565974001</v>
      </c>
      <c r="R65" s="2">
        <v>2.4999373571160901</v>
      </c>
      <c r="S65" s="2">
        <v>4.3073949050602804</v>
      </c>
      <c r="T65" s="2">
        <v>8.2953598308086303</v>
      </c>
      <c r="U65" s="2">
        <v>0</v>
      </c>
      <c r="V65" s="2">
        <v>0</v>
      </c>
      <c r="W65" s="2">
        <v>11.1035493059718</v>
      </c>
      <c r="X65" s="2">
        <v>9.8150442415793897</v>
      </c>
      <c r="Y65" s="2">
        <v>3.4473558708891501</v>
      </c>
      <c r="Z65" s="2">
        <v>2.8953481979149398</v>
      </c>
      <c r="AA65" s="3">
        <f t="shared" si="1"/>
        <v>54.861954151375151</v>
      </c>
      <c r="AB65" t="s">
        <v>45</v>
      </c>
      <c r="AC65">
        <v>107.24</v>
      </c>
      <c r="AD65">
        <v>16.2</v>
      </c>
      <c r="AE65">
        <v>21.53</v>
      </c>
      <c r="AF65">
        <v>25.45</v>
      </c>
      <c r="AG65">
        <v>86.1</v>
      </c>
      <c r="AH65">
        <v>101.99</v>
      </c>
      <c r="AI65">
        <v>21.39</v>
      </c>
      <c r="AJ65">
        <v>86.56</v>
      </c>
      <c r="AK65">
        <v>20.76</v>
      </c>
      <c r="AL65">
        <v>129.24</v>
      </c>
      <c r="AM65">
        <v>37.82</v>
      </c>
      <c r="AN65">
        <v>13.91</v>
      </c>
      <c r="AO65" s="1">
        <f t="shared" si="2"/>
        <v>668.19</v>
      </c>
    </row>
    <row r="66" spans="1:41" x14ac:dyDescent="0.25">
      <c r="A66" t="s">
        <v>109</v>
      </c>
      <c r="B66" s="2">
        <v>9678.3453021330497</v>
      </c>
      <c r="C66" s="2">
        <v>791.88015661802604</v>
      </c>
      <c r="D66" s="2">
        <v>4947.8739842923696</v>
      </c>
      <c r="E66" s="2">
        <v>0</v>
      </c>
      <c r="F66" s="2">
        <v>7627.1589005977403</v>
      </c>
      <c r="G66" s="2">
        <v>3711.7392694845398</v>
      </c>
      <c r="H66" s="2">
        <v>1541.64368107627</v>
      </c>
      <c r="I66" s="2">
        <v>680.78053509603001</v>
      </c>
      <c r="J66" s="2">
        <v>5374.4875919463602</v>
      </c>
      <c r="K66" s="2">
        <v>2690.47968616049</v>
      </c>
      <c r="L66" s="2">
        <v>2281.8330433814199</v>
      </c>
      <c r="M66" s="2">
        <v>1443.95066914106</v>
      </c>
      <c r="N66" s="3">
        <f t="shared" si="0"/>
        <v>40770.172819927357</v>
      </c>
      <c r="O66" s="2">
        <v>0</v>
      </c>
      <c r="P66" s="2">
        <v>0.219222849894707</v>
      </c>
      <c r="Q66" s="2">
        <v>13.873667832194901</v>
      </c>
      <c r="R66" s="2">
        <v>6.7177982673642003</v>
      </c>
      <c r="S66" s="2">
        <v>12.2604017869043</v>
      </c>
      <c r="T66" s="2">
        <v>3.7443992132697699</v>
      </c>
      <c r="U66" s="2">
        <v>0</v>
      </c>
      <c r="V66" s="2">
        <v>3.0580241442352598</v>
      </c>
      <c r="W66" s="2">
        <v>0.80216997910131405</v>
      </c>
      <c r="X66" s="2">
        <v>7.3797046244498699</v>
      </c>
      <c r="Y66" s="2">
        <v>0</v>
      </c>
      <c r="Z66" s="2">
        <v>4.2720186487615299</v>
      </c>
      <c r="AA66" s="3">
        <f t="shared" si="1"/>
        <v>52.32740734617586</v>
      </c>
      <c r="AB66" t="s">
        <v>45</v>
      </c>
      <c r="AC66">
        <v>106.78</v>
      </c>
      <c r="AD66">
        <v>17.96</v>
      </c>
      <c r="AE66">
        <v>60.17</v>
      </c>
      <c r="AF66">
        <v>10.34</v>
      </c>
      <c r="AG66">
        <v>86.92</v>
      </c>
      <c r="AH66">
        <v>47.31</v>
      </c>
      <c r="AI66">
        <v>25.41</v>
      </c>
      <c r="AJ66">
        <v>17</v>
      </c>
      <c r="AK66">
        <v>63.79</v>
      </c>
      <c r="AL66">
        <v>37.299999999999997</v>
      </c>
      <c r="AM66">
        <v>32.81</v>
      </c>
      <c r="AN66">
        <v>24.68</v>
      </c>
      <c r="AO66" s="1">
        <f t="shared" si="2"/>
        <v>530.47</v>
      </c>
    </row>
    <row r="67" spans="1:41" x14ac:dyDescent="0.25">
      <c r="A67" t="s">
        <v>110</v>
      </c>
      <c r="B67" s="2">
        <v>9652.3628449993503</v>
      </c>
      <c r="C67" s="2">
        <v>560.55817126056104</v>
      </c>
      <c r="D67" s="2">
        <v>9301.5760429724996</v>
      </c>
      <c r="E67" s="2">
        <v>587.42087228281605</v>
      </c>
      <c r="F67" s="2">
        <v>8486.8395258766996</v>
      </c>
      <c r="G67" s="2">
        <v>7518.0091147451203</v>
      </c>
      <c r="H67" s="2">
        <v>10183.6613356651</v>
      </c>
      <c r="I67" s="2">
        <v>2354.4703782625202</v>
      </c>
      <c r="J67" s="2">
        <v>8176.9249192412899</v>
      </c>
      <c r="K67" s="2">
        <v>10568.737466176301</v>
      </c>
      <c r="L67" s="2">
        <v>1109.46833935018</v>
      </c>
      <c r="M67" s="2">
        <v>2755.0651191995598</v>
      </c>
      <c r="N67" s="3">
        <f t="shared" ref="N67:N130" si="3">SUM(B67:M67)</f>
        <v>71255.094130031983</v>
      </c>
      <c r="O67" s="2">
        <v>2.8041939844333399</v>
      </c>
      <c r="P67" s="2">
        <v>0.33801622670680298</v>
      </c>
      <c r="Q67" s="2">
        <v>0</v>
      </c>
      <c r="R67" s="2">
        <v>1.2610651641044599</v>
      </c>
      <c r="S67" s="2">
        <v>3.36148692990766</v>
      </c>
      <c r="T67" s="2">
        <v>12.100069042924799</v>
      </c>
      <c r="U67" s="2">
        <v>3.15017633880161</v>
      </c>
      <c r="V67" s="2">
        <v>7.7941344934318302</v>
      </c>
      <c r="W67" s="2">
        <v>1.98408213558058</v>
      </c>
      <c r="X67" s="2">
        <v>1.15993389287561</v>
      </c>
      <c r="Y67" s="2">
        <v>1.21480590666765</v>
      </c>
      <c r="Z67" s="2">
        <v>7.6967226624577902</v>
      </c>
      <c r="AA67" s="3">
        <f t="shared" si="1"/>
        <v>42.864686777892125</v>
      </c>
      <c r="AB67" t="s">
        <v>45</v>
      </c>
      <c r="AC67">
        <v>106.67</v>
      </c>
      <c r="AD67">
        <v>15.65</v>
      </c>
      <c r="AE67">
        <v>103.01</v>
      </c>
      <c r="AF67">
        <v>15.97</v>
      </c>
      <c r="AG67">
        <v>95.06</v>
      </c>
      <c r="AH67">
        <v>85.83</v>
      </c>
      <c r="AI67">
        <v>112.03</v>
      </c>
      <c r="AJ67">
        <v>33.94</v>
      </c>
      <c r="AK67">
        <v>91.86</v>
      </c>
      <c r="AL67">
        <v>115.78</v>
      </c>
      <c r="AM67">
        <v>21.19</v>
      </c>
      <c r="AN67">
        <v>37.950000000000003</v>
      </c>
      <c r="AO67" s="1">
        <f t="shared" si="2"/>
        <v>834.94000000000017</v>
      </c>
    </row>
    <row r="68" spans="1:41" x14ac:dyDescent="0.25">
      <c r="A68" t="s">
        <v>111</v>
      </c>
      <c r="B68" s="2">
        <v>9628.2142319977993</v>
      </c>
      <c r="C68" s="2">
        <v>1461.0205273497299</v>
      </c>
      <c r="D68" s="2">
        <v>3876.29987320396</v>
      </c>
      <c r="E68" s="2">
        <v>75.706529876126297</v>
      </c>
      <c r="F68" s="2">
        <v>5156.9079955569096</v>
      </c>
      <c r="G68" s="2">
        <v>3052.91528898866</v>
      </c>
      <c r="H68" s="2">
        <v>4327.5084209537399</v>
      </c>
      <c r="I68" s="2">
        <v>8563.13342112787</v>
      </c>
      <c r="J68" s="2">
        <v>0</v>
      </c>
      <c r="K68" s="2">
        <v>878.85618183337601</v>
      </c>
      <c r="L68" s="2">
        <v>19961.391953000901</v>
      </c>
      <c r="M68" s="2">
        <v>436.81384036073501</v>
      </c>
      <c r="N68" s="3">
        <f t="shared" si="3"/>
        <v>57418.768264249811</v>
      </c>
      <c r="O68" s="2">
        <v>1.4491824199968499</v>
      </c>
      <c r="P68" s="2">
        <v>7.4923845891036498</v>
      </c>
      <c r="Q68" s="2">
        <v>6.9996041843338199</v>
      </c>
      <c r="R68" s="2">
        <v>1.4105279836084701</v>
      </c>
      <c r="S68" s="2">
        <v>0.14452492381766399</v>
      </c>
      <c r="T68" s="2">
        <v>2.5737399372859699</v>
      </c>
      <c r="U68" s="2">
        <v>6.3495610110184399</v>
      </c>
      <c r="V68" s="2">
        <v>1.7462379652283799</v>
      </c>
      <c r="W68" s="2">
        <v>0</v>
      </c>
      <c r="X68" s="2">
        <v>4.9197098033355804</v>
      </c>
      <c r="Y68" s="2">
        <v>2.5686224630152101</v>
      </c>
      <c r="Z68" s="2">
        <v>0</v>
      </c>
      <c r="AA68" s="3">
        <f t="shared" ref="AA68:AA131" si="4">SUM(O68:Z68)</f>
        <v>35.654095280744038</v>
      </c>
      <c r="AB68" t="s">
        <v>45</v>
      </c>
      <c r="AC68">
        <v>106.38</v>
      </c>
      <c r="AD68">
        <v>25.01</v>
      </c>
      <c r="AE68">
        <v>49.11</v>
      </c>
      <c r="AF68">
        <v>10.85</v>
      </c>
      <c r="AG68">
        <v>61.61</v>
      </c>
      <c r="AH68">
        <v>40.67</v>
      </c>
      <c r="AI68">
        <v>53.62</v>
      </c>
      <c r="AJ68">
        <v>95.73</v>
      </c>
      <c r="AK68">
        <v>9.99</v>
      </c>
      <c r="AL68">
        <v>19.03</v>
      </c>
      <c r="AM68">
        <v>209.76</v>
      </c>
      <c r="AN68">
        <v>14.36</v>
      </c>
      <c r="AO68" s="1">
        <f t="shared" si="2"/>
        <v>696.12</v>
      </c>
    </row>
    <row r="69" spans="1:41" x14ac:dyDescent="0.25">
      <c r="A69" t="s">
        <v>112</v>
      </c>
      <c r="B69" s="2">
        <v>9568.2017319800998</v>
      </c>
      <c r="C69" s="2">
        <v>4726.0285733402698</v>
      </c>
      <c r="D69" s="2">
        <v>983.13002118464794</v>
      </c>
      <c r="E69" s="2">
        <v>1555.0722608128201</v>
      </c>
      <c r="F69" s="2">
        <v>0</v>
      </c>
      <c r="G69" s="2">
        <v>710.97055696894404</v>
      </c>
      <c r="H69" s="2">
        <v>17845.675286296999</v>
      </c>
      <c r="I69" s="2">
        <v>2637.5247340831802</v>
      </c>
      <c r="J69" s="2">
        <v>7640.1436363990897</v>
      </c>
      <c r="K69" s="2">
        <v>1404.5264361382599</v>
      </c>
      <c r="L69" s="2">
        <v>2834.2033827172199</v>
      </c>
      <c r="M69" s="2">
        <v>10781.4267775795</v>
      </c>
      <c r="N69" s="3">
        <f t="shared" si="3"/>
        <v>60686.903397501024</v>
      </c>
      <c r="O69" s="2">
        <v>8.1353889394726995</v>
      </c>
      <c r="P69" s="2">
        <v>3.1247326789456502</v>
      </c>
      <c r="Q69" s="2">
        <v>0</v>
      </c>
      <c r="R69" s="2">
        <v>4.5704103881046798</v>
      </c>
      <c r="S69" s="2">
        <v>0</v>
      </c>
      <c r="T69" s="2">
        <v>1.5821348349244899</v>
      </c>
      <c r="U69" s="2">
        <v>2.1907996761934299</v>
      </c>
      <c r="V69" s="2">
        <v>3.9380405176433899</v>
      </c>
      <c r="W69" s="2">
        <v>16.395533940003599</v>
      </c>
      <c r="X69" s="2">
        <v>1.0454393856395601</v>
      </c>
      <c r="Y69" s="2">
        <v>6.5267372239676504</v>
      </c>
      <c r="Z69" s="2">
        <v>3.41615299257928</v>
      </c>
      <c r="AA69" s="3">
        <f t="shared" si="4"/>
        <v>50.925370577474425</v>
      </c>
      <c r="AB69" t="s">
        <v>45</v>
      </c>
      <c r="AC69">
        <v>106.13</v>
      </c>
      <c r="AD69">
        <v>57.46</v>
      </c>
      <c r="AE69">
        <v>19.829999999999998</v>
      </c>
      <c r="AF69">
        <v>25.8</v>
      </c>
      <c r="AG69">
        <v>9.99</v>
      </c>
      <c r="AH69">
        <v>17.2</v>
      </c>
      <c r="AI69">
        <v>188.6</v>
      </c>
      <c r="AJ69">
        <v>36.57</v>
      </c>
      <c r="AK69">
        <v>87.25</v>
      </c>
      <c r="AL69">
        <v>24.14</v>
      </c>
      <c r="AM69">
        <v>38.69</v>
      </c>
      <c r="AN69">
        <v>118.01</v>
      </c>
      <c r="AO69" s="1">
        <f t="shared" ref="AO69:AO132" si="5">SUM(AC69:AN69)</f>
        <v>729.66999999999985</v>
      </c>
    </row>
    <row r="70" spans="1:41" x14ac:dyDescent="0.25">
      <c r="A70" t="s">
        <v>113</v>
      </c>
      <c r="B70" s="2">
        <v>9492.7274930175408</v>
      </c>
      <c r="C70" s="2">
        <v>1261.6829711651501</v>
      </c>
      <c r="D70" s="2">
        <v>3298.2717123590501</v>
      </c>
      <c r="E70" s="2">
        <v>4873.7526647273698</v>
      </c>
      <c r="F70" s="2">
        <v>4636.5322931091696</v>
      </c>
      <c r="G70" s="2">
        <v>2976.43457630282</v>
      </c>
      <c r="H70" s="2">
        <v>731.51944791073299</v>
      </c>
      <c r="I70" s="2">
        <v>5327.7256520905003</v>
      </c>
      <c r="J70" s="2">
        <v>4896.1211691203298</v>
      </c>
      <c r="K70" s="2">
        <v>3821.7647505708501</v>
      </c>
      <c r="L70" s="2">
        <v>4626.8248582366796</v>
      </c>
      <c r="M70" s="2">
        <v>1388.6890667672999</v>
      </c>
      <c r="N70" s="3">
        <f t="shared" si="3"/>
        <v>47332.046655377497</v>
      </c>
      <c r="O70" s="2">
        <v>1.0043328240231899</v>
      </c>
      <c r="P70" s="2">
        <v>3.7581664623087598</v>
      </c>
      <c r="Q70" s="2">
        <v>1.7241122481819</v>
      </c>
      <c r="R70" s="2">
        <v>3.12720382171219</v>
      </c>
      <c r="S70" s="2">
        <v>4.79357060104401</v>
      </c>
      <c r="T70" s="2">
        <v>9.1106961922775298</v>
      </c>
      <c r="U70" s="2">
        <v>3.1466929294578501</v>
      </c>
      <c r="V70" s="2">
        <v>7.1199164165372997</v>
      </c>
      <c r="W70" s="2">
        <v>2.41176244511374</v>
      </c>
      <c r="X70" s="2">
        <v>1.76457737789248</v>
      </c>
      <c r="Y70" s="2">
        <v>3.8816782141877599</v>
      </c>
      <c r="Z70" s="2">
        <v>7.1767444942330602E-2</v>
      </c>
      <c r="AA70" s="3">
        <f t="shared" si="4"/>
        <v>41.914476977679037</v>
      </c>
      <c r="AB70" t="s">
        <v>45</v>
      </c>
      <c r="AC70">
        <v>105.02</v>
      </c>
      <c r="AD70">
        <v>22.81</v>
      </c>
      <c r="AE70">
        <v>43.08</v>
      </c>
      <c r="AF70">
        <v>58.93</v>
      </c>
      <c r="AG70">
        <v>56.61</v>
      </c>
      <c r="AH70">
        <v>40.26</v>
      </c>
      <c r="AI70">
        <v>17.510000000000002</v>
      </c>
      <c r="AJ70">
        <v>63.67</v>
      </c>
      <c r="AK70">
        <v>59.11</v>
      </c>
      <c r="AL70">
        <v>48.31</v>
      </c>
      <c r="AM70">
        <v>56.46</v>
      </c>
      <c r="AN70">
        <v>23.93</v>
      </c>
      <c r="AO70" s="1">
        <f t="shared" si="5"/>
        <v>595.69999999999993</v>
      </c>
    </row>
    <row r="71" spans="1:41" x14ac:dyDescent="0.25">
      <c r="A71" t="s">
        <v>114</v>
      </c>
      <c r="B71" s="2">
        <v>9454.0987387797995</v>
      </c>
      <c r="C71" s="2">
        <v>1443.9858126551401</v>
      </c>
      <c r="D71" s="2">
        <v>4689.5338497144403</v>
      </c>
      <c r="E71" s="2">
        <v>3854.0163532031802</v>
      </c>
      <c r="F71" s="2">
        <v>7306.1425551215198</v>
      </c>
      <c r="G71" s="2">
        <v>4792.9342935266304</v>
      </c>
      <c r="H71" s="2">
        <v>2810.6775671237801</v>
      </c>
      <c r="I71" s="2">
        <v>3470.7344880001301</v>
      </c>
      <c r="J71" s="2">
        <v>5837.8374013010898</v>
      </c>
      <c r="K71" s="2">
        <v>0</v>
      </c>
      <c r="L71" s="2">
        <v>733.28202330013698</v>
      </c>
      <c r="M71" s="2">
        <v>0</v>
      </c>
      <c r="N71" s="3">
        <f t="shared" si="3"/>
        <v>44393.243082725858</v>
      </c>
      <c r="O71" s="2">
        <v>6.2132287073430899</v>
      </c>
      <c r="P71" s="2">
        <v>12.051257340808901</v>
      </c>
      <c r="Q71" s="2">
        <v>10.8022643235385</v>
      </c>
      <c r="R71" s="2">
        <v>1.08612978030562</v>
      </c>
      <c r="S71" s="2">
        <v>7.2117166516709501</v>
      </c>
      <c r="T71" s="2">
        <v>4.7202266784915601</v>
      </c>
      <c r="U71" s="2">
        <v>0</v>
      </c>
      <c r="V71" s="2">
        <v>1.17287386347273</v>
      </c>
      <c r="W71" s="2">
        <v>0.91791685762969599</v>
      </c>
      <c r="X71" s="2">
        <v>10.7849022951526</v>
      </c>
      <c r="Y71" s="2">
        <v>4.7060982616322802</v>
      </c>
      <c r="Z71" s="2">
        <v>6.20277195330182</v>
      </c>
      <c r="AA71" s="3">
        <f t="shared" si="4"/>
        <v>65.869386713347737</v>
      </c>
      <c r="AB71" t="s">
        <v>45</v>
      </c>
      <c r="AC71">
        <v>104.89</v>
      </c>
      <c r="AD71">
        <v>25.08</v>
      </c>
      <c r="AE71">
        <v>57.44</v>
      </c>
      <c r="AF71">
        <v>48.64</v>
      </c>
      <c r="AG71">
        <v>83.46</v>
      </c>
      <c r="AH71">
        <v>58.17</v>
      </c>
      <c r="AI71">
        <v>38.1</v>
      </c>
      <c r="AJ71">
        <v>44.8</v>
      </c>
      <c r="AK71">
        <v>68.42</v>
      </c>
      <c r="AL71">
        <v>10.54</v>
      </c>
      <c r="AM71">
        <v>17.579999999999998</v>
      </c>
      <c r="AN71">
        <v>10.34</v>
      </c>
      <c r="AO71" s="1">
        <f t="shared" si="5"/>
        <v>567.46</v>
      </c>
    </row>
    <row r="72" spans="1:41" x14ac:dyDescent="0.25">
      <c r="A72" t="s">
        <v>115</v>
      </c>
      <c r="B72" s="2">
        <v>9402.3902322663507</v>
      </c>
      <c r="C72" s="2">
        <v>3885.8242218833502</v>
      </c>
      <c r="D72" s="2">
        <v>7235.6798579449896</v>
      </c>
      <c r="E72" s="2">
        <v>1820.73603836963</v>
      </c>
      <c r="F72" s="2">
        <v>7074.8987375439401</v>
      </c>
      <c r="G72" s="2">
        <v>2234.0402960331398</v>
      </c>
      <c r="H72" s="2">
        <v>1322.8554791849001</v>
      </c>
      <c r="I72" s="2">
        <v>8720.3551790723304</v>
      </c>
      <c r="J72" s="2">
        <v>0</v>
      </c>
      <c r="K72" s="2">
        <v>10172.118024478999</v>
      </c>
      <c r="L72" s="2">
        <v>1794.1811602590301</v>
      </c>
      <c r="M72" s="2">
        <v>18444.1512279503</v>
      </c>
      <c r="N72" s="3">
        <f t="shared" si="3"/>
        <v>72107.230454986959</v>
      </c>
      <c r="O72" s="2">
        <v>1.76853543953625</v>
      </c>
      <c r="P72" s="2">
        <v>8.0822016097448</v>
      </c>
      <c r="Q72" s="2">
        <v>13.6799858693294</v>
      </c>
      <c r="R72" s="2">
        <v>1.63729164210186</v>
      </c>
      <c r="S72" s="2">
        <v>2.1809966800881702</v>
      </c>
      <c r="T72" s="2">
        <v>0.95413798269081396</v>
      </c>
      <c r="U72" s="2">
        <v>3.15402627352141</v>
      </c>
      <c r="V72" s="2">
        <v>2.5870930174725002</v>
      </c>
      <c r="W72" s="2">
        <v>1.80887154086251</v>
      </c>
      <c r="X72" s="2">
        <v>0.83462275223663795</v>
      </c>
      <c r="Y72" s="2">
        <v>2.8996991169884798</v>
      </c>
      <c r="Z72" s="2">
        <v>4.1247292929596604</v>
      </c>
      <c r="AA72" s="3">
        <f t="shared" si="4"/>
        <v>43.712191217532492</v>
      </c>
      <c r="AB72" t="s">
        <v>45</v>
      </c>
      <c r="AC72">
        <v>104.12</v>
      </c>
      <c r="AD72">
        <v>49.3</v>
      </c>
      <c r="AE72">
        <v>83.05</v>
      </c>
      <c r="AF72">
        <v>28.3</v>
      </c>
      <c r="AG72">
        <v>80.89</v>
      </c>
      <c r="AH72">
        <v>32.39</v>
      </c>
      <c r="AI72">
        <v>23.42</v>
      </c>
      <c r="AJ72">
        <v>97.35</v>
      </c>
      <c r="AK72">
        <v>10.09</v>
      </c>
      <c r="AL72">
        <v>111.77</v>
      </c>
      <c r="AM72">
        <v>28.09</v>
      </c>
      <c r="AN72">
        <v>194.69</v>
      </c>
      <c r="AO72" s="1">
        <f t="shared" si="5"/>
        <v>843.46</v>
      </c>
    </row>
    <row r="73" spans="1:41" x14ac:dyDescent="0.25">
      <c r="A73" t="s">
        <v>116</v>
      </c>
      <c r="B73" s="2">
        <v>9304.2289200004398</v>
      </c>
      <c r="C73" s="2">
        <v>3791.4566732837902</v>
      </c>
      <c r="D73" s="2">
        <v>4374.0638303534997</v>
      </c>
      <c r="E73" s="2">
        <v>1856.5888548196399</v>
      </c>
      <c r="F73" s="2">
        <v>3752.18127549571</v>
      </c>
      <c r="G73" s="2">
        <v>2463.0874794464298</v>
      </c>
      <c r="H73" s="2">
        <v>7175.4875190081502</v>
      </c>
      <c r="I73" s="2">
        <v>1701.3763038903701</v>
      </c>
      <c r="J73" s="2">
        <v>2026.1277099440799</v>
      </c>
      <c r="K73" s="2">
        <v>1702.0361487999201</v>
      </c>
      <c r="L73" s="2">
        <v>5015.6364144940399</v>
      </c>
      <c r="M73" s="2">
        <v>10366.790519508701</v>
      </c>
      <c r="N73" s="3">
        <f t="shared" si="3"/>
        <v>53529.061649044765</v>
      </c>
      <c r="O73" s="2">
        <v>5.8127849529449298</v>
      </c>
      <c r="P73" s="2">
        <v>7.1379724004716696</v>
      </c>
      <c r="Q73" s="2">
        <v>3.0885575329485899</v>
      </c>
      <c r="R73" s="2">
        <v>6.2790143507413596</v>
      </c>
      <c r="S73" s="2">
        <v>1.5181264669029799</v>
      </c>
      <c r="T73" s="2">
        <v>4.7561276671497399E-2</v>
      </c>
      <c r="U73" s="2">
        <v>1.9909870423762199</v>
      </c>
      <c r="V73" s="2">
        <v>1.9814396819842699</v>
      </c>
      <c r="W73" s="2">
        <v>11.834312019958301</v>
      </c>
      <c r="X73" s="2">
        <v>7.1383373419605904</v>
      </c>
      <c r="Y73" s="2">
        <v>1.1327635997648799</v>
      </c>
      <c r="Z73" s="2">
        <v>0</v>
      </c>
      <c r="AA73" s="3">
        <f t="shared" si="4"/>
        <v>47.961856666725289</v>
      </c>
      <c r="AB73" t="s">
        <v>45</v>
      </c>
      <c r="AC73">
        <v>103.34</v>
      </c>
      <c r="AD73">
        <v>48.31</v>
      </c>
      <c r="AE73">
        <v>53.94</v>
      </c>
      <c r="AF73">
        <v>28.91</v>
      </c>
      <c r="AG73">
        <v>47.62</v>
      </c>
      <c r="AH73">
        <v>34.68</v>
      </c>
      <c r="AI73">
        <v>81.849999999999994</v>
      </c>
      <c r="AJ73">
        <v>27.11</v>
      </c>
      <c r="AK73">
        <v>30.86</v>
      </c>
      <c r="AL73">
        <v>27.42</v>
      </c>
      <c r="AM73">
        <v>60.25</v>
      </c>
      <c r="AN73">
        <v>113.66</v>
      </c>
      <c r="AO73" s="1">
        <f t="shared" si="5"/>
        <v>657.94999999999993</v>
      </c>
    </row>
    <row r="74" spans="1:41" x14ac:dyDescent="0.25">
      <c r="A74" t="s">
        <v>117</v>
      </c>
      <c r="B74" s="2">
        <v>9217.3318944892508</v>
      </c>
      <c r="C74" s="2">
        <v>0</v>
      </c>
      <c r="D74" s="2">
        <v>4343.5706690873303</v>
      </c>
      <c r="E74" s="2">
        <v>1819.8766874979899</v>
      </c>
      <c r="F74" s="2">
        <v>1467.8757864904601</v>
      </c>
      <c r="G74" s="2">
        <v>3227.4789442640199</v>
      </c>
      <c r="H74" s="2">
        <v>5105.5684557334598</v>
      </c>
      <c r="I74" s="2">
        <v>2126.7087579567201</v>
      </c>
      <c r="J74" s="2">
        <v>0</v>
      </c>
      <c r="K74" s="2">
        <v>8244.7823979798504</v>
      </c>
      <c r="L74" s="2">
        <v>3991.75994546216</v>
      </c>
      <c r="M74" s="2">
        <v>1671.17199607364</v>
      </c>
      <c r="N74" s="3">
        <f t="shared" si="3"/>
        <v>41216.12553503488</v>
      </c>
      <c r="O74" s="2">
        <v>1.7293443981207099</v>
      </c>
      <c r="P74" s="2">
        <v>0</v>
      </c>
      <c r="Q74" s="2">
        <v>0</v>
      </c>
      <c r="R74" s="2">
        <v>3.4247958003227299</v>
      </c>
      <c r="S74" s="2">
        <v>5.4502668709012196</v>
      </c>
      <c r="T74" s="2">
        <v>8.3757370095455297</v>
      </c>
      <c r="U74" s="2">
        <v>0.64930776636692999</v>
      </c>
      <c r="V74" s="2">
        <v>0.80461393830861005</v>
      </c>
      <c r="W74" s="2">
        <v>0</v>
      </c>
      <c r="X74" s="2">
        <v>0.221086602960094</v>
      </c>
      <c r="Y74" s="2">
        <v>3.4605865253547798</v>
      </c>
      <c r="Z74" s="2">
        <v>4.2868251098211196</v>
      </c>
      <c r="AA74" s="3">
        <f t="shared" si="4"/>
        <v>28.402564021701728</v>
      </c>
      <c r="AB74" t="s">
        <v>45</v>
      </c>
      <c r="AC74">
        <v>102.27</v>
      </c>
      <c r="AD74">
        <v>9.99</v>
      </c>
      <c r="AE74">
        <v>53.43</v>
      </c>
      <c r="AF74">
        <v>28.39</v>
      </c>
      <c r="AG74">
        <v>24.97</v>
      </c>
      <c r="AH74">
        <v>42.72</v>
      </c>
      <c r="AI74">
        <v>61.1</v>
      </c>
      <c r="AJ74">
        <v>31.31</v>
      </c>
      <c r="AK74">
        <v>9.99</v>
      </c>
      <c r="AL74">
        <v>92.49</v>
      </c>
      <c r="AM74">
        <v>50.11</v>
      </c>
      <c r="AN74">
        <v>26.96</v>
      </c>
      <c r="AO74" s="1">
        <f t="shared" si="5"/>
        <v>533.73</v>
      </c>
    </row>
    <row r="75" spans="1:41" x14ac:dyDescent="0.25">
      <c r="A75" t="s">
        <v>118</v>
      </c>
      <c r="B75" s="2">
        <v>9161.5119802680292</v>
      </c>
      <c r="C75" s="2">
        <v>1628.5456315235499</v>
      </c>
      <c r="D75" s="2">
        <v>15154.143251128</v>
      </c>
      <c r="E75" s="2">
        <v>3645.41118022925</v>
      </c>
      <c r="F75" s="2">
        <v>725.83058655002606</v>
      </c>
      <c r="G75" s="2">
        <v>866.99559753166</v>
      </c>
      <c r="H75" s="2">
        <v>5006.0667532851503</v>
      </c>
      <c r="I75" s="2">
        <v>878.63854261906704</v>
      </c>
      <c r="J75" s="2">
        <v>1836.19134955085</v>
      </c>
      <c r="K75" s="2">
        <v>683.44230491191797</v>
      </c>
      <c r="L75" s="2">
        <v>2677.4190990645898</v>
      </c>
      <c r="M75" s="2">
        <v>5695.4089641636901</v>
      </c>
      <c r="N75" s="3">
        <f t="shared" si="3"/>
        <v>47959.605240825775</v>
      </c>
      <c r="O75" s="2">
        <v>9.3172057830974708</v>
      </c>
      <c r="P75" s="2">
        <v>4.9715267000587797</v>
      </c>
      <c r="Q75" s="2">
        <v>3.24093157750564</v>
      </c>
      <c r="R75" s="2">
        <v>4.3933041534385504</v>
      </c>
      <c r="S75" s="2">
        <v>2.15077853899861</v>
      </c>
      <c r="T75" s="2">
        <v>0.121082229339935</v>
      </c>
      <c r="U75" s="2">
        <v>8.0429463371396892</v>
      </c>
      <c r="V75" s="2">
        <v>5.2375541739242397</v>
      </c>
      <c r="W75" s="2">
        <v>9.5051559222488802</v>
      </c>
      <c r="X75" s="2">
        <v>10.468922240465499</v>
      </c>
      <c r="Y75" s="2">
        <v>2.2967468657789598</v>
      </c>
      <c r="Z75" s="2">
        <v>2.4205720025684401</v>
      </c>
      <c r="AA75" s="3">
        <f t="shared" si="4"/>
        <v>62.166726524564687</v>
      </c>
      <c r="AB75" t="s">
        <v>45</v>
      </c>
      <c r="AC75">
        <v>102.11</v>
      </c>
      <c r="AD75">
        <v>26.53</v>
      </c>
      <c r="AE75">
        <v>161.74</v>
      </c>
      <c r="AF75">
        <v>46.7</v>
      </c>
      <c r="AG75">
        <v>17.399999999999999</v>
      </c>
      <c r="AH75">
        <v>18.71</v>
      </c>
      <c r="AI75">
        <v>60.51</v>
      </c>
      <c r="AJ75">
        <v>19.079999999999998</v>
      </c>
      <c r="AK75">
        <v>28.86</v>
      </c>
      <c r="AL75">
        <v>17.38</v>
      </c>
      <c r="AM75">
        <v>36.92</v>
      </c>
      <c r="AN75">
        <v>67.099999999999994</v>
      </c>
      <c r="AO75" s="1">
        <f t="shared" si="5"/>
        <v>603.04</v>
      </c>
    </row>
    <row r="76" spans="1:41" x14ac:dyDescent="0.25">
      <c r="A76" t="s">
        <v>119</v>
      </c>
      <c r="B76" s="2">
        <v>9138.3773456419094</v>
      </c>
      <c r="C76" s="2">
        <v>3364.60223148257</v>
      </c>
      <c r="D76" s="2">
        <v>0</v>
      </c>
      <c r="E76" s="2">
        <v>2287.58097234139</v>
      </c>
      <c r="F76" s="2">
        <v>1551.85681572779</v>
      </c>
      <c r="G76" s="2">
        <v>5729.2305719531396</v>
      </c>
      <c r="H76" s="2">
        <v>13093.0656725974</v>
      </c>
      <c r="I76" s="2">
        <v>2247.9530071231902</v>
      </c>
      <c r="J76" s="2">
        <v>1854.51480133666</v>
      </c>
      <c r="K76" s="2">
        <v>1223.0996329063701</v>
      </c>
      <c r="L76" s="2">
        <v>1456.86631636022</v>
      </c>
      <c r="M76" s="2">
        <v>5376.3391823039201</v>
      </c>
      <c r="N76" s="3">
        <f t="shared" si="3"/>
        <v>47323.486549774563</v>
      </c>
      <c r="O76" s="2">
        <v>1.6568616088719901</v>
      </c>
      <c r="P76" s="2">
        <v>6.6825105418470301</v>
      </c>
      <c r="Q76" s="2">
        <v>1.3193474212282099</v>
      </c>
      <c r="R76" s="2">
        <v>3.7442331065344399</v>
      </c>
      <c r="S76" s="2">
        <v>5.5904791996244603</v>
      </c>
      <c r="T76" s="2">
        <v>0.52572601340288305</v>
      </c>
      <c r="U76" s="2">
        <v>2.93146261677798</v>
      </c>
      <c r="V76" s="2">
        <v>5.1731199750821499</v>
      </c>
      <c r="W76" s="2">
        <v>2.4583276352777199</v>
      </c>
      <c r="X76" s="2">
        <v>1.1950579015553899</v>
      </c>
      <c r="Y76" s="2">
        <v>0</v>
      </c>
      <c r="Z76" s="2">
        <v>11.2639813195734</v>
      </c>
      <c r="AA76" s="3">
        <f t="shared" si="4"/>
        <v>42.541107339775657</v>
      </c>
      <c r="AB76" t="s">
        <v>45</v>
      </c>
      <c r="AC76">
        <v>101.48</v>
      </c>
      <c r="AD76">
        <v>43.99</v>
      </c>
      <c r="AE76">
        <v>10.09</v>
      </c>
      <c r="AF76">
        <v>33.07</v>
      </c>
      <c r="AG76">
        <v>25.81</v>
      </c>
      <c r="AH76">
        <v>67.34</v>
      </c>
      <c r="AI76">
        <v>141.08000000000001</v>
      </c>
      <c r="AJ76">
        <v>32.770000000000003</v>
      </c>
      <c r="AK76">
        <v>28.69</v>
      </c>
      <c r="AL76">
        <v>22.33</v>
      </c>
      <c r="AM76">
        <v>24.56</v>
      </c>
      <c r="AN76">
        <v>64.36</v>
      </c>
      <c r="AO76" s="1">
        <f t="shared" si="5"/>
        <v>595.56999999999994</v>
      </c>
    </row>
    <row r="77" spans="1:41" x14ac:dyDescent="0.25">
      <c r="A77" t="s">
        <v>120</v>
      </c>
      <c r="B77" s="2">
        <v>9089.9052192105901</v>
      </c>
      <c r="C77" s="2">
        <v>9077.5227032711191</v>
      </c>
      <c r="D77" s="2">
        <v>8356.6696758640301</v>
      </c>
      <c r="E77" s="2">
        <v>3728.1830292087402</v>
      </c>
      <c r="F77" s="2">
        <v>1708.1792049431999</v>
      </c>
      <c r="G77" s="2">
        <v>801.96417915720895</v>
      </c>
      <c r="H77" s="2">
        <v>1034.8364311232499</v>
      </c>
      <c r="I77" s="2">
        <v>986.97505582633403</v>
      </c>
      <c r="J77" s="2">
        <v>2065.5301253385601</v>
      </c>
      <c r="K77" s="2">
        <v>18032.5466932005</v>
      </c>
      <c r="L77" s="2">
        <v>1888.72302488382</v>
      </c>
      <c r="M77" s="2">
        <v>2683.1019729767299</v>
      </c>
      <c r="N77" s="3">
        <f t="shared" si="3"/>
        <v>59454.137315004082</v>
      </c>
      <c r="O77" s="2">
        <v>2.3325465919061901</v>
      </c>
      <c r="P77" s="2">
        <v>2.32988591748498</v>
      </c>
      <c r="Q77" s="2">
        <v>2.0212160545586801</v>
      </c>
      <c r="R77" s="2">
        <v>3.8639434149182401</v>
      </c>
      <c r="S77" s="2">
        <v>6.3846709050368098</v>
      </c>
      <c r="T77" s="2">
        <v>1.25596386948026</v>
      </c>
      <c r="U77" s="2">
        <v>0.91746139877933797</v>
      </c>
      <c r="V77" s="2">
        <v>0</v>
      </c>
      <c r="W77" s="2">
        <v>2.0451374600827599</v>
      </c>
      <c r="X77" s="2">
        <v>2.88527190812525</v>
      </c>
      <c r="Y77" s="2">
        <v>1.7405797426091001</v>
      </c>
      <c r="Z77" s="2">
        <v>3.0574771931007998</v>
      </c>
      <c r="AA77" s="3">
        <f t="shared" si="4"/>
        <v>28.834154456082409</v>
      </c>
      <c r="AB77" t="s">
        <v>63</v>
      </c>
      <c r="AC77">
        <v>182.07</v>
      </c>
      <c r="AD77">
        <v>181.83</v>
      </c>
      <c r="AE77">
        <v>167.41</v>
      </c>
      <c r="AF77">
        <v>74.94</v>
      </c>
      <c r="AG77">
        <v>34.81</v>
      </c>
      <c r="AH77">
        <v>16.22</v>
      </c>
      <c r="AI77">
        <v>20.79</v>
      </c>
      <c r="AJ77">
        <v>19.739999999999998</v>
      </c>
      <c r="AK77">
        <v>41.59</v>
      </c>
      <c r="AL77">
        <v>360.93</v>
      </c>
      <c r="AM77">
        <v>37.96</v>
      </c>
      <c r="AN77">
        <v>54.04</v>
      </c>
      <c r="AO77" s="1">
        <f t="shared" si="5"/>
        <v>1192.33</v>
      </c>
    </row>
    <row r="78" spans="1:41" x14ac:dyDescent="0.25">
      <c r="A78" t="s">
        <v>121</v>
      </c>
      <c r="B78" s="2">
        <v>9056.0617992621192</v>
      </c>
      <c r="C78" s="2">
        <v>7766.24050246145</v>
      </c>
      <c r="D78" s="2">
        <v>19394.360689109799</v>
      </c>
      <c r="E78" s="2">
        <v>200.78646624922601</v>
      </c>
      <c r="F78" s="2">
        <v>1224.1690887089501</v>
      </c>
      <c r="G78" s="2">
        <v>3887.5945548566001</v>
      </c>
      <c r="H78" s="2">
        <v>5667.78391807144</v>
      </c>
      <c r="I78" s="2">
        <v>3098.1052911593902</v>
      </c>
      <c r="J78" s="2">
        <v>1051.89529669797</v>
      </c>
      <c r="K78" s="2">
        <v>7279.8844713161097</v>
      </c>
      <c r="L78" s="2">
        <v>11775.941601168801</v>
      </c>
      <c r="M78" s="2">
        <v>2632.7635444337802</v>
      </c>
      <c r="N78" s="3">
        <f t="shared" si="3"/>
        <v>73035.587223495633</v>
      </c>
      <c r="O78" s="2">
        <v>0</v>
      </c>
      <c r="P78" s="2">
        <v>0</v>
      </c>
      <c r="Q78" s="2">
        <v>12.6228647318543</v>
      </c>
      <c r="R78" s="2">
        <v>1.13936852330323</v>
      </c>
      <c r="S78" s="2">
        <v>4.0493245122890897</v>
      </c>
      <c r="T78" s="2">
        <v>3.9981001719640599</v>
      </c>
      <c r="U78" s="2">
        <v>1.4047495050660701</v>
      </c>
      <c r="V78" s="2">
        <v>3.44327682014272</v>
      </c>
      <c r="W78" s="2">
        <v>0</v>
      </c>
      <c r="X78" s="2">
        <v>4.3610070064936703</v>
      </c>
      <c r="Y78" s="2">
        <v>2.68497632343073</v>
      </c>
      <c r="Z78" s="2">
        <v>3.3399917248254001</v>
      </c>
      <c r="AA78" s="3">
        <f t="shared" si="4"/>
        <v>37.043659319369276</v>
      </c>
      <c r="AB78" t="s">
        <v>45</v>
      </c>
      <c r="AC78">
        <v>100.56</v>
      </c>
      <c r="AD78">
        <v>87.66</v>
      </c>
      <c r="AE78">
        <v>204.59</v>
      </c>
      <c r="AF78">
        <v>12.1</v>
      </c>
      <c r="AG78">
        <v>22.49</v>
      </c>
      <c r="AH78">
        <v>49.07</v>
      </c>
      <c r="AI78">
        <v>66.77</v>
      </c>
      <c r="AJ78">
        <v>41.18</v>
      </c>
      <c r="AK78">
        <v>20.51</v>
      </c>
      <c r="AL78">
        <v>83.04</v>
      </c>
      <c r="AM78">
        <v>127.9</v>
      </c>
      <c r="AN78">
        <v>36.520000000000003</v>
      </c>
      <c r="AO78" s="1">
        <f t="shared" si="5"/>
        <v>852.38999999999987</v>
      </c>
    </row>
    <row r="79" spans="1:41" x14ac:dyDescent="0.25">
      <c r="A79" t="s">
        <v>122</v>
      </c>
      <c r="B79" s="2">
        <v>9017.9293474895894</v>
      </c>
      <c r="C79" s="2">
        <v>2904.0635586380399</v>
      </c>
      <c r="D79" s="2">
        <v>656.31706415609301</v>
      </c>
      <c r="E79" s="2">
        <v>4269.9030230889703</v>
      </c>
      <c r="F79" s="2">
        <v>2647.4449585631</v>
      </c>
      <c r="G79" s="2">
        <v>12208.1297965949</v>
      </c>
      <c r="H79" s="2">
        <v>6937.1465585635597</v>
      </c>
      <c r="I79" s="2">
        <v>0</v>
      </c>
      <c r="J79" s="2">
        <v>5286.4600395239404</v>
      </c>
      <c r="K79" s="2">
        <v>2093.9201644145301</v>
      </c>
      <c r="L79" s="2">
        <v>0</v>
      </c>
      <c r="M79" s="2">
        <v>3883.5492769884299</v>
      </c>
      <c r="N79" s="3">
        <f t="shared" si="3"/>
        <v>49904.863788021154</v>
      </c>
      <c r="O79" s="2">
        <v>14.2020911723338</v>
      </c>
      <c r="P79" s="2">
        <v>5.1006850366317904</v>
      </c>
      <c r="Q79" s="2">
        <v>11.230790666456301</v>
      </c>
      <c r="R79" s="2">
        <v>1.22101786860964</v>
      </c>
      <c r="S79" s="2">
        <v>3.1104204077613602</v>
      </c>
      <c r="T79" s="2">
        <v>3.2698469177892302</v>
      </c>
      <c r="U79" s="2">
        <v>1.2251824170796399</v>
      </c>
      <c r="V79" s="2">
        <v>5.9667696513370903</v>
      </c>
      <c r="W79" s="2">
        <v>10.7989109049488</v>
      </c>
      <c r="X79" s="2">
        <v>8.4212009759917592</v>
      </c>
      <c r="Y79" s="2">
        <v>5.1026500217784001</v>
      </c>
      <c r="Z79" s="2">
        <v>0</v>
      </c>
      <c r="AA79" s="3">
        <f t="shared" si="4"/>
        <v>69.649566040717801</v>
      </c>
      <c r="AB79" t="s">
        <v>45</v>
      </c>
      <c r="AC79">
        <v>100.92</v>
      </c>
      <c r="AD79">
        <v>39.340000000000003</v>
      </c>
      <c r="AE79">
        <v>17.16</v>
      </c>
      <c r="AF79">
        <v>52.79</v>
      </c>
      <c r="AG79">
        <v>36.67</v>
      </c>
      <c r="AH79">
        <v>132.28</v>
      </c>
      <c r="AI79">
        <v>79.47</v>
      </c>
      <c r="AJ79">
        <v>10.29</v>
      </c>
      <c r="AK79">
        <v>63.41</v>
      </c>
      <c r="AL79">
        <v>31.38</v>
      </c>
      <c r="AM79">
        <v>10.29</v>
      </c>
      <c r="AN79">
        <v>48.83</v>
      </c>
      <c r="AO79" s="1">
        <f t="shared" si="5"/>
        <v>622.83000000000004</v>
      </c>
    </row>
    <row r="80" spans="1:41" x14ac:dyDescent="0.25">
      <c r="A80" t="s">
        <v>123</v>
      </c>
      <c r="B80" s="2">
        <v>9007.7045290551305</v>
      </c>
      <c r="C80" s="2">
        <v>1315.16136980686</v>
      </c>
      <c r="D80" s="2">
        <v>1851.8386561725899</v>
      </c>
      <c r="E80" s="2">
        <v>12945.885904167</v>
      </c>
      <c r="F80" s="2">
        <v>6653.5708623566197</v>
      </c>
      <c r="G80" s="2">
        <v>1141.6247785364901</v>
      </c>
      <c r="H80" s="2">
        <v>3304.7636728852199</v>
      </c>
      <c r="I80" s="2">
        <v>5535.4370639804001</v>
      </c>
      <c r="J80" s="2">
        <v>4902.7465341070301</v>
      </c>
      <c r="K80" s="2">
        <v>4437.53100044651</v>
      </c>
      <c r="L80" s="2">
        <v>2675.2282276220899</v>
      </c>
      <c r="M80" s="2">
        <v>1307.91076596774</v>
      </c>
      <c r="N80" s="3">
        <f t="shared" si="3"/>
        <v>55079.403365103666</v>
      </c>
      <c r="O80" s="2">
        <v>3.5829388647849001</v>
      </c>
      <c r="P80" s="2">
        <v>0.57824128885262005</v>
      </c>
      <c r="Q80" s="2">
        <v>0.50922267923148101</v>
      </c>
      <c r="R80" s="2">
        <v>0</v>
      </c>
      <c r="S80" s="2">
        <v>12.690009535297101</v>
      </c>
      <c r="T80" s="2">
        <v>7.5930121873269396</v>
      </c>
      <c r="U80" s="2">
        <v>8.9773368203972002</v>
      </c>
      <c r="V80" s="2">
        <v>19.311007698752899</v>
      </c>
      <c r="W80" s="2">
        <v>0.21759633666820999</v>
      </c>
      <c r="X80" s="2">
        <v>1.3500390705794001</v>
      </c>
      <c r="Y80" s="2">
        <v>5.4772679480025603</v>
      </c>
      <c r="Z80" s="2">
        <v>1.5757631465895101</v>
      </c>
      <c r="AA80" s="3">
        <f t="shared" si="4"/>
        <v>61.862435576482824</v>
      </c>
      <c r="AB80" t="s">
        <v>45</v>
      </c>
      <c r="AC80">
        <v>100.27</v>
      </c>
      <c r="AD80">
        <v>23.2</v>
      </c>
      <c r="AE80">
        <v>28.56</v>
      </c>
      <c r="AF80">
        <v>139.44999999999999</v>
      </c>
      <c r="AG80">
        <v>77.180000000000007</v>
      </c>
      <c r="AH80">
        <v>21.81</v>
      </c>
      <c r="AI80">
        <v>43.49</v>
      </c>
      <c r="AJ80">
        <v>66.349999999999994</v>
      </c>
      <c r="AK80">
        <v>59.07</v>
      </c>
      <c r="AL80">
        <v>54.47</v>
      </c>
      <c r="AM80">
        <v>37.049999999999997</v>
      </c>
      <c r="AN80">
        <v>23.17</v>
      </c>
      <c r="AO80" s="1">
        <f t="shared" si="5"/>
        <v>674.07</v>
      </c>
    </row>
    <row r="81" spans="1:41" x14ac:dyDescent="0.25">
      <c r="A81" t="s">
        <v>124</v>
      </c>
      <c r="B81" s="2">
        <v>8970.5909792190705</v>
      </c>
      <c r="C81" s="2">
        <v>4332.5260182730899</v>
      </c>
      <c r="D81" s="2">
        <v>9908.71300755005</v>
      </c>
      <c r="E81" s="2">
        <v>1173.19660819304</v>
      </c>
      <c r="F81" s="2">
        <v>3010.1892280732</v>
      </c>
      <c r="G81" s="2">
        <v>18340.804777588601</v>
      </c>
      <c r="H81" s="2">
        <v>3549.4362681195198</v>
      </c>
      <c r="I81" s="2">
        <v>8392.0438518588908</v>
      </c>
      <c r="J81" s="2">
        <v>645.03011887892399</v>
      </c>
      <c r="K81" s="2">
        <v>6913.0717990925004</v>
      </c>
      <c r="L81" s="2">
        <v>4896.8325056723497</v>
      </c>
      <c r="M81" s="2">
        <v>373.92544952999702</v>
      </c>
      <c r="N81" s="3">
        <f t="shared" si="3"/>
        <v>70506.360612049233</v>
      </c>
      <c r="O81" s="2">
        <v>1.5339713650306399</v>
      </c>
      <c r="P81" s="2">
        <v>3.4329089208215802</v>
      </c>
      <c r="Q81" s="2">
        <v>0</v>
      </c>
      <c r="R81" s="2">
        <v>0</v>
      </c>
      <c r="S81" s="2">
        <v>1.41899056975339</v>
      </c>
      <c r="T81" s="2">
        <v>12.158433852774101</v>
      </c>
      <c r="U81" s="2">
        <v>5.4677382836637003</v>
      </c>
      <c r="V81" s="2">
        <v>1.5215584772702899</v>
      </c>
      <c r="W81" s="2">
        <v>6.8103412250066899</v>
      </c>
      <c r="X81" s="2">
        <v>6.6451250279716296</v>
      </c>
      <c r="Y81" s="2">
        <v>4.5885077882829197</v>
      </c>
      <c r="Z81" s="2">
        <v>6.5157481518245097</v>
      </c>
      <c r="AA81" s="3">
        <f t="shared" si="4"/>
        <v>50.093323662399449</v>
      </c>
      <c r="AB81" t="s">
        <v>45</v>
      </c>
      <c r="AC81">
        <v>99.8</v>
      </c>
      <c r="AD81">
        <v>53.52</v>
      </c>
      <c r="AE81">
        <v>109.08</v>
      </c>
      <c r="AF81">
        <v>21.73</v>
      </c>
      <c r="AG81">
        <v>40.200000000000003</v>
      </c>
      <c r="AH81">
        <v>194.05</v>
      </c>
      <c r="AI81">
        <v>45.79</v>
      </c>
      <c r="AJ81">
        <v>94.02</v>
      </c>
      <c r="AK81">
        <v>16.8</v>
      </c>
      <c r="AL81">
        <v>79.48</v>
      </c>
      <c r="AM81">
        <v>59.21</v>
      </c>
      <c r="AN81">
        <v>14.08</v>
      </c>
      <c r="AO81" s="1">
        <f t="shared" si="5"/>
        <v>827.76</v>
      </c>
    </row>
    <row r="82" spans="1:41" x14ac:dyDescent="0.25">
      <c r="A82" t="s">
        <v>125</v>
      </c>
      <c r="B82" s="2">
        <v>8800.7742122520704</v>
      </c>
      <c r="C82" s="2">
        <v>569.44704156431203</v>
      </c>
      <c r="D82" s="2">
        <v>6691.8449440049199</v>
      </c>
      <c r="E82" s="2">
        <v>479.90598926076399</v>
      </c>
      <c r="F82" s="2">
        <v>255.423692295552</v>
      </c>
      <c r="G82" s="2">
        <v>1479.3826360819701</v>
      </c>
      <c r="H82" s="2">
        <v>1779.9199452570999</v>
      </c>
      <c r="I82" s="2">
        <v>4423.1247802156004</v>
      </c>
      <c r="J82" s="2">
        <v>1381.1546181517001</v>
      </c>
      <c r="K82" s="2">
        <v>1908.5272373126299</v>
      </c>
      <c r="L82" s="2">
        <v>0</v>
      </c>
      <c r="M82" s="2">
        <v>5973.35424557428</v>
      </c>
      <c r="N82" s="3">
        <f t="shared" si="3"/>
        <v>33742.8593419709</v>
      </c>
      <c r="O82" s="2">
        <v>0</v>
      </c>
      <c r="P82" s="2">
        <v>0</v>
      </c>
      <c r="Q82" s="2">
        <v>2.0044448868982601</v>
      </c>
      <c r="R82" s="2">
        <v>7.29520853786941</v>
      </c>
      <c r="S82" s="2">
        <v>0.905640659646336</v>
      </c>
      <c r="T82" s="2">
        <v>0</v>
      </c>
      <c r="U82" s="2">
        <v>1.18050272965684</v>
      </c>
      <c r="V82" s="2">
        <v>7.3229364946377897</v>
      </c>
      <c r="W82" s="2">
        <v>0</v>
      </c>
      <c r="X82" s="2">
        <v>0</v>
      </c>
      <c r="Y82" s="2">
        <v>1.4944100230987001</v>
      </c>
      <c r="Z82" s="2">
        <v>4.2458345371084096</v>
      </c>
      <c r="AA82" s="3">
        <f t="shared" si="4"/>
        <v>24.44897786891574</v>
      </c>
      <c r="AB82" t="s">
        <v>63</v>
      </c>
      <c r="AC82">
        <v>176.02</v>
      </c>
      <c r="AD82">
        <v>11.4</v>
      </c>
      <c r="AE82">
        <v>134.11000000000001</v>
      </c>
      <c r="AF82">
        <v>10.32</v>
      </c>
      <c r="AG82">
        <v>5.21</v>
      </c>
      <c r="AH82">
        <v>29.6</v>
      </c>
      <c r="AI82">
        <v>35.78</v>
      </c>
      <c r="AJ82">
        <v>89.2</v>
      </c>
      <c r="AK82">
        <v>27.64</v>
      </c>
      <c r="AL82">
        <v>38.18</v>
      </c>
      <c r="AM82">
        <v>0.18</v>
      </c>
      <c r="AN82">
        <v>119.93</v>
      </c>
      <c r="AO82" s="1">
        <f t="shared" si="5"/>
        <v>677.56999999999994</v>
      </c>
    </row>
    <row r="83" spans="1:41" x14ac:dyDescent="0.25">
      <c r="A83" t="s">
        <v>126</v>
      </c>
      <c r="B83" s="2">
        <v>8686.0362029828193</v>
      </c>
      <c r="C83" s="2">
        <v>8956.7733935922297</v>
      </c>
      <c r="D83" s="2">
        <v>0</v>
      </c>
      <c r="E83" s="2">
        <v>3593.14142560965</v>
      </c>
      <c r="F83" s="2">
        <v>749.12374673345403</v>
      </c>
      <c r="G83" s="2">
        <v>2955.2961561668199</v>
      </c>
      <c r="H83" s="2">
        <v>5128.1328316839299</v>
      </c>
      <c r="I83" s="2">
        <v>2309.27079897358</v>
      </c>
      <c r="J83" s="2">
        <v>7816.2913182079501</v>
      </c>
      <c r="K83" s="2">
        <v>5822.5500362047696</v>
      </c>
      <c r="L83" s="2">
        <v>1034.3049850080799</v>
      </c>
      <c r="M83" s="2">
        <v>3200.4836260396901</v>
      </c>
      <c r="N83" s="3">
        <f t="shared" si="3"/>
        <v>50251.404521202967</v>
      </c>
      <c r="O83" s="2">
        <v>8.5014625280043905</v>
      </c>
      <c r="P83" s="2">
        <v>1.6377526656079699</v>
      </c>
      <c r="Q83" s="2">
        <v>4.3327747253526603</v>
      </c>
      <c r="R83" s="2">
        <v>10.009270650634299</v>
      </c>
      <c r="S83" s="2">
        <v>3.1048894168729002</v>
      </c>
      <c r="T83" s="2">
        <v>14.2108171190121</v>
      </c>
      <c r="U83" s="2">
        <v>1.61181149983848</v>
      </c>
      <c r="V83" s="2">
        <v>4.6541911423616096</v>
      </c>
      <c r="W83" s="2">
        <v>3.9893995708681702</v>
      </c>
      <c r="X83" s="2">
        <v>12.8253230944047</v>
      </c>
      <c r="Y83" s="2">
        <v>2.6167324044745399</v>
      </c>
      <c r="Z83" s="2">
        <v>3.8628933449165901</v>
      </c>
      <c r="AA83" s="3">
        <f t="shared" si="4"/>
        <v>71.357318162348406</v>
      </c>
      <c r="AB83" t="s">
        <v>45</v>
      </c>
      <c r="AC83">
        <v>97.31</v>
      </c>
      <c r="AD83">
        <v>99.66</v>
      </c>
      <c r="AE83">
        <v>10.24</v>
      </c>
      <c r="AF83">
        <v>46.48</v>
      </c>
      <c r="AG83">
        <v>17.690000000000001</v>
      </c>
      <c r="AH83">
        <v>40.299999999999997</v>
      </c>
      <c r="AI83">
        <v>61.38</v>
      </c>
      <c r="AJ83">
        <v>33.340000000000003</v>
      </c>
      <c r="AK83">
        <v>88.36</v>
      </c>
      <c r="AL83">
        <v>68.87</v>
      </c>
      <c r="AM83">
        <v>20.49</v>
      </c>
      <c r="AN83">
        <v>42.2</v>
      </c>
      <c r="AO83" s="1">
        <f t="shared" si="5"/>
        <v>626.32000000000005</v>
      </c>
    </row>
    <row r="84" spans="1:41" x14ac:dyDescent="0.25">
      <c r="A84" t="s">
        <v>127</v>
      </c>
      <c r="B84" s="2">
        <v>8603.2575322952598</v>
      </c>
      <c r="C84" s="2">
        <v>1054.75537501288</v>
      </c>
      <c r="D84" s="2">
        <v>0</v>
      </c>
      <c r="E84" s="2">
        <v>3091.7293162593101</v>
      </c>
      <c r="F84" s="2">
        <v>6440.0067900397698</v>
      </c>
      <c r="G84" s="2">
        <v>3090.4657067314301</v>
      </c>
      <c r="H84" s="2">
        <v>12128.784480295</v>
      </c>
      <c r="I84" s="2">
        <v>6200.2369719724702</v>
      </c>
      <c r="J84" s="2">
        <v>4286.6493241366597</v>
      </c>
      <c r="K84" s="2">
        <v>1173.8200833906899</v>
      </c>
      <c r="L84" s="2">
        <v>1218.4866951468</v>
      </c>
      <c r="M84" s="2">
        <v>4646.7667740997003</v>
      </c>
      <c r="N84" s="3">
        <f t="shared" si="3"/>
        <v>51934.95904937997</v>
      </c>
      <c r="O84" s="2">
        <v>18.054403599832899</v>
      </c>
      <c r="P84" s="2">
        <v>1.12125355596295</v>
      </c>
      <c r="Q84" s="2">
        <v>0.56467301308098605</v>
      </c>
      <c r="R84" s="2">
        <v>1.8386693597746999</v>
      </c>
      <c r="S84" s="2">
        <v>1.3590407632575701</v>
      </c>
      <c r="T84" s="2">
        <v>0.32973587793002102</v>
      </c>
      <c r="U84" s="2">
        <v>12.121078236920299</v>
      </c>
      <c r="V84" s="2">
        <v>5.4046265712677499</v>
      </c>
      <c r="W84" s="2">
        <v>0.83262782674826097</v>
      </c>
      <c r="X84" s="2">
        <v>2.3512047596866301</v>
      </c>
      <c r="Y84" s="2">
        <v>6.5817744496986599</v>
      </c>
      <c r="Z84" s="2">
        <v>12.174807898267</v>
      </c>
      <c r="AA84" s="3">
        <f t="shared" si="4"/>
        <v>62.73389591242772</v>
      </c>
      <c r="AB84" t="s">
        <v>45</v>
      </c>
      <c r="AC84">
        <v>96.98</v>
      </c>
      <c r="AD84">
        <v>20.64</v>
      </c>
      <c r="AE84">
        <v>10.039999999999999</v>
      </c>
      <c r="AF84">
        <v>41.01</v>
      </c>
      <c r="AG84">
        <v>74.5</v>
      </c>
      <c r="AH84">
        <v>40.950000000000003</v>
      </c>
      <c r="AI84">
        <v>131.93</v>
      </c>
      <c r="AJ84">
        <v>72.3</v>
      </c>
      <c r="AK84">
        <v>52.91</v>
      </c>
      <c r="AL84">
        <v>21.88</v>
      </c>
      <c r="AM84">
        <v>22.53</v>
      </c>
      <c r="AN84">
        <v>57.11</v>
      </c>
      <c r="AO84" s="1">
        <f t="shared" si="5"/>
        <v>642.78</v>
      </c>
    </row>
    <row r="85" spans="1:41" x14ac:dyDescent="0.25">
      <c r="A85" t="s">
        <v>128</v>
      </c>
      <c r="B85" s="2">
        <v>8584.9485286484196</v>
      </c>
      <c r="C85" s="2">
        <v>1543.7818727920201</v>
      </c>
      <c r="D85" s="2">
        <v>3090.9325677617499</v>
      </c>
      <c r="E85" s="2">
        <v>4063.6011603449401</v>
      </c>
      <c r="F85" s="2">
        <v>4504.14582585675</v>
      </c>
      <c r="G85" s="2">
        <v>3162.42923296648</v>
      </c>
      <c r="H85" s="2">
        <v>0</v>
      </c>
      <c r="I85" s="2">
        <v>1093.07895452613</v>
      </c>
      <c r="J85" s="2">
        <v>870.87578947960503</v>
      </c>
      <c r="K85" s="2">
        <v>7138.0922715938996</v>
      </c>
      <c r="L85" s="2">
        <v>7345.3736069732704</v>
      </c>
      <c r="M85" s="2">
        <v>63.317889563493601</v>
      </c>
      <c r="N85" s="3">
        <f t="shared" si="3"/>
        <v>41460.57770050675</v>
      </c>
      <c r="O85" s="2">
        <v>0.41101642956095802</v>
      </c>
      <c r="P85" s="2">
        <v>15.5352566596481</v>
      </c>
      <c r="Q85" s="2">
        <v>12.7315977372216</v>
      </c>
      <c r="R85" s="2">
        <v>1.62323576193056</v>
      </c>
      <c r="S85" s="2">
        <v>2.9949949378529301</v>
      </c>
      <c r="T85" s="2">
        <v>1.90022222059932</v>
      </c>
      <c r="U85" s="2">
        <v>0.48820736754545502</v>
      </c>
      <c r="V85" s="2">
        <v>5.8581113627270502</v>
      </c>
      <c r="W85" s="2">
        <v>3.4262593248796498</v>
      </c>
      <c r="X85" s="2">
        <v>0.23229757674478699</v>
      </c>
      <c r="Y85" s="2">
        <v>0.70323167387556895</v>
      </c>
      <c r="Z85" s="2">
        <v>16.624782242390701</v>
      </c>
      <c r="AA85" s="3">
        <f t="shared" si="4"/>
        <v>62.529213294976678</v>
      </c>
      <c r="AB85" t="s">
        <v>45</v>
      </c>
      <c r="AC85">
        <v>95.89</v>
      </c>
      <c r="AD85">
        <v>26.23</v>
      </c>
      <c r="AE85">
        <v>41.55</v>
      </c>
      <c r="AF85">
        <v>50.73</v>
      </c>
      <c r="AG85">
        <v>55.19</v>
      </c>
      <c r="AH85">
        <v>41.72</v>
      </c>
      <c r="AI85">
        <v>10.039999999999999</v>
      </c>
      <c r="AJ85">
        <v>21.23</v>
      </c>
      <c r="AK85">
        <v>18.899999999999999</v>
      </c>
      <c r="AL85">
        <v>81.430000000000007</v>
      </c>
      <c r="AM85">
        <v>83.5</v>
      </c>
      <c r="AN85">
        <v>11.48</v>
      </c>
      <c r="AO85" s="1">
        <f t="shared" si="5"/>
        <v>537.8900000000001</v>
      </c>
    </row>
    <row r="86" spans="1:41" x14ac:dyDescent="0.25">
      <c r="A86" t="s">
        <v>129</v>
      </c>
      <c r="B86" s="2">
        <v>8449.7885156812099</v>
      </c>
      <c r="C86" s="2">
        <v>3585.3234263080599</v>
      </c>
      <c r="D86" s="2">
        <v>2367.2426832395399</v>
      </c>
      <c r="E86" s="2">
        <v>4989.7109600078002</v>
      </c>
      <c r="F86" s="2">
        <v>2117.1517780673298</v>
      </c>
      <c r="G86" s="2">
        <v>0</v>
      </c>
      <c r="H86" s="2">
        <v>1749.8774273392301</v>
      </c>
      <c r="I86" s="2">
        <v>908.21520349405898</v>
      </c>
      <c r="J86" s="2">
        <v>2372.4338422126398</v>
      </c>
      <c r="K86" s="2">
        <v>10371.6176240565</v>
      </c>
      <c r="L86" s="2">
        <v>5338.7785537814798</v>
      </c>
      <c r="M86" s="2">
        <v>10776.595055711499</v>
      </c>
      <c r="N86" s="3">
        <f t="shared" si="3"/>
        <v>53026.735069899347</v>
      </c>
      <c r="O86" s="2">
        <v>1.59087738279834</v>
      </c>
      <c r="P86" s="2">
        <v>6.7423001875264799</v>
      </c>
      <c r="Q86" s="2">
        <v>11.856107842418</v>
      </c>
      <c r="R86" s="2">
        <v>3.3511161893254102</v>
      </c>
      <c r="S86" s="2">
        <v>2.4211218259315199</v>
      </c>
      <c r="T86" s="2">
        <v>0</v>
      </c>
      <c r="U86" s="2">
        <v>9.3075274804644508</v>
      </c>
      <c r="V86" s="2">
        <v>2.9115885891487299</v>
      </c>
      <c r="W86" s="2">
        <v>0</v>
      </c>
      <c r="X86" s="2">
        <v>6.2472857244045201</v>
      </c>
      <c r="Y86" s="2">
        <v>4.0254408570559699</v>
      </c>
      <c r="Z86" s="2">
        <v>0.13369242888234101</v>
      </c>
      <c r="AA86" s="3">
        <f t="shared" si="4"/>
        <v>48.58705850795576</v>
      </c>
      <c r="AB86" t="s">
        <v>45</v>
      </c>
      <c r="AC86">
        <v>94.59</v>
      </c>
      <c r="AD86">
        <v>46.2</v>
      </c>
      <c r="AE86">
        <v>34.270000000000003</v>
      </c>
      <c r="AF86">
        <v>60.09</v>
      </c>
      <c r="AG86">
        <v>31.32</v>
      </c>
      <c r="AH86">
        <v>9.99</v>
      </c>
      <c r="AI86">
        <v>27.99</v>
      </c>
      <c r="AJ86">
        <v>19.23</v>
      </c>
      <c r="AK86">
        <v>33.72</v>
      </c>
      <c r="AL86">
        <v>114.06</v>
      </c>
      <c r="AM86">
        <v>63.63</v>
      </c>
      <c r="AN86">
        <v>117.81</v>
      </c>
      <c r="AO86" s="1">
        <f t="shared" si="5"/>
        <v>652.90000000000009</v>
      </c>
    </row>
    <row r="87" spans="1:41" x14ac:dyDescent="0.25">
      <c r="A87" t="s">
        <v>130</v>
      </c>
      <c r="B87" s="2">
        <v>8383.0112002978203</v>
      </c>
      <c r="C87" s="2">
        <v>873.454583092696</v>
      </c>
      <c r="D87" s="2">
        <v>3185.1705405432799</v>
      </c>
      <c r="E87" s="2">
        <v>5811.3971450584704</v>
      </c>
      <c r="F87" s="2">
        <v>15776.220711268499</v>
      </c>
      <c r="G87" s="2">
        <v>4206.3514774129699</v>
      </c>
      <c r="H87" s="2">
        <v>266.01255857012302</v>
      </c>
      <c r="I87" s="2">
        <v>0</v>
      </c>
      <c r="J87" s="2">
        <v>4362.50246922733</v>
      </c>
      <c r="K87" s="2">
        <v>4828.3160527133005</v>
      </c>
      <c r="L87" s="2">
        <v>7616.7544935652504</v>
      </c>
      <c r="M87" s="2">
        <v>43.464544540342999</v>
      </c>
      <c r="N87" s="3">
        <f t="shared" si="3"/>
        <v>55352.655776290085</v>
      </c>
      <c r="O87" s="2">
        <v>10.003041918188</v>
      </c>
      <c r="P87" s="2">
        <v>2.5695914085751999</v>
      </c>
      <c r="Q87" s="2">
        <v>0</v>
      </c>
      <c r="R87" s="2">
        <v>9.50368928534796</v>
      </c>
      <c r="S87" s="2">
        <v>2.6320678925540499</v>
      </c>
      <c r="T87" s="2">
        <v>3.7594120931319299</v>
      </c>
      <c r="U87" s="2">
        <v>13.1957644649335</v>
      </c>
      <c r="V87" s="2">
        <v>0</v>
      </c>
      <c r="W87" s="2">
        <v>5.5146985090976601</v>
      </c>
      <c r="X87" s="2">
        <v>0</v>
      </c>
      <c r="Y87" s="2">
        <v>2.3013395759778201</v>
      </c>
      <c r="Z87" s="2">
        <v>6.1552289068311703</v>
      </c>
      <c r="AA87" s="3">
        <f t="shared" si="4"/>
        <v>55.634834054637288</v>
      </c>
      <c r="AB87" t="s">
        <v>45</v>
      </c>
      <c r="AC87">
        <v>94.38</v>
      </c>
      <c r="AD87">
        <v>18.88</v>
      </c>
      <c r="AE87">
        <v>41.85</v>
      </c>
      <c r="AF87">
        <v>68.61</v>
      </c>
      <c r="AG87">
        <v>167.91</v>
      </c>
      <c r="AH87">
        <v>52.26</v>
      </c>
      <c r="AI87">
        <v>13.36</v>
      </c>
      <c r="AJ87">
        <v>9.99</v>
      </c>
      <c r="AK87">
        <v>53.92</v>
      </c>
      <c r="AL87">
        <v>58.28</v>
      </c>
      <c r="AM87">
        <v>86.31</v>
      </c>
      <c r="AN87">
        <v>10.78</v>
      </c>
      <c r="AO87" s="1">
        <f t="shared" si="5"/>
        <v>676.53</v>
      </c>
    </row>
    <row r="88" spans="1:41" x14ac:dyDescent="0.25">
      <c r="A88" t="s">
        <v>131</v>
      </c>
      <c r="B88" s="2">
        <v>8373.8683637700597</v>
      </c>
      <c r="C88" s="2">
        <v>2751.3684393191602</v>
      </c>
      <c r="D88" s="2">
        <v>3816.6202472169398</v>
      </c>
      <c r="E88" s="2">
        <v>168.97400068066801</v>
      </c>
      <c r="F88" s="2">
        <v>5076.3059706580998</v>
      </c>
      <c r="G88" s="2">
        <v>1655.9093609850499</v>
      </c>
      <c r="H88" s="2">
        <v>3977.28336015385</v>
      </c>
      <c r="I88" s="2">
        <v>5205.8969352288595</v>
      </c>
      <c r="J88" s="2">
        <v>2687.4083741805698</v>
      </c>
      <c r="K88" s="2">
        <v>1635.24715407589</v>
      </c>
      <c r="L88" s="2">
        <v>1000.79061878662</v>
      </c>
      <c r="M88" s="2">
        <v>160.683808183894</v>
      </c>
      <c r="N88" s="3">
        <f t="shared" si="3"/>
        <v>36510.356633239666</v>
      </c>
      <c r="O88" s="2">
        <v>3.5116436515749898</v>
      </c>
      <c r="P88" s="2">
        <v>4.2060837668859703</v>
      </c>
      <c r="Q88" s="2">
        <v>12.9839929259972</v>
      </c>
      <c r="R88" s="2">
        <v>4.7269463394246101</v>
      </c>
      <c r="S88" s="2">
        <v>4.4984921112583003E-2</v>
      </c>
      <c r="T88" s="2">
        <v>2.9534501558716899</v>
      </c>
      <c r="U88" s="2">
        <v>1.6246723977306401</v>
      </c>
      <c r="V88" s="2">
        <v>0</v>
      </c>
      <c r="W88" s="2">
        <v>4.5964219228377399</v>
      </c>
      <c r="X88" s="2">
        <v>7.68243146474983</v>
      </c>
      <c r="Y88" s="2">
        <v>5.1055221083001996</v>
      </c>
      <c r="Z88" s="2">
        <v>18.029103598414199</v>
      </c>
      <c r="AA88" s="3">
        <f t="shared" si="4"/>
        <v>65.465253252899657</v>
      </c>
      <c r="AB88" t="s">
        <v>63</v>
      </c>
      <c r="AC88">
        <v>167.84</v>
      </c>
      <c r="AD88">
        <v>55.49</v>
      </c>
      <c r="AE88">
        <v>77.510000000000005</v>
      </c>
      <c r="AF88">
        <v>3.83</v>
      </c>
      <c r="AG88">
        <v>101.63</v>
      </c>
      <c r="AH88">
        <v>33.39</v>
      </c>
      <c r="AI88">
        <v>79.739999999999995</v>
      </c>
      <c r="AJ88">
        <v>104.12</v>
      </c>
      <c r="AK88">
        <v>54.21</v>
      </c>
      <c r="AL88">
        <v>33.44</v>
      </c>
      <c r="AM88">
        <v>20.56</v>
      </c>
      <c r="AN88">
        <v>4.93</v>
      </c>
      <c r="AO88" s="1">
        <f t="shared" si="5"/>
        <v>736.68999999999994</v>
      </c>
    </row>
    <row r="89" spans="1:41" x14ac:dyDescent="0.25">
      <c r="A89" t="s">
        <v>132</v>
      </c>
      <c r="B89" s="2">
        <v>8359.9051560935095</v>
      </c>
      <c r="C89" s="2">
        <v>4822.7731507698099</v>
      </c>
      <c r="D89" s="2">
        <v>4851.1721681752597</v>
      </c>
      <c r="E89" s="2">
        <v>0</v>
      </c>
      <c r="F89" s="2">
        <v>190.144527436197</v>
      </c>
      <c r="G89" s="2">
        <v>5670.2833853918601</v>
      </c>
      <c r="H89" s="2">
        <v>1077.3530153111799</v>
      </c>
      <c r="I89" s="2">
        <v>956.29627799359298</v>
      </c>
      <c r="J89" s="2">
        <v>686.48556481329797</v>
      </c>
      <c r="K89" s="2">
        <v>1079.5877066421799</v>
      </c>
      <c r="L89" s="2">
        <v>4634.6829765779103</v>
      </c>
      <c r="M89" s="2">
        <v>368.88308746615502</v>
      </c>
      <c r="N89" s="3">
        <f t="shared" si="3"/>
        <v>32697.56701667095</v>
      </c>
      <c r="O89" s="2">
        <v>3.4869408762201202</v>
      </c>
      <c r="P89" s="2">
        <v>0.84492205032343604</v>
      </c>
      <c r="Q89" s="2">
        <v>12.7896437992147</v>
      </c>
      <c r="R89" s="2">
        <v>3.0812702452620302</v>
      </c>
      <c r="S89" s="2">
        <v>1.1225530821546399</v>
      </c>
      <c r="T89" s="2">
        <v>0</v>
      </c>
      <c r="U89" s="2">
        <v>5.8014240721620096</v>
      </c>
      <c r="V89" s="2">
        <v>0.83842851830286602</v>
      </c>
      <c r="W89" s="2">
        <v>4.4420086790559701</v>
      </c>
      <c r="X89" s="2">
        <v>2.4842160552225798</v>
      </c>
      <c r="Y89" s="2">
        <v>0.892216998781861</v>
      </c>
      <c r="Z89" s="2">
        <v>2.8410209335694399</v>
      </c>
      <c r="AA89" s="3">
        <f t="shared" si="4"/>
        <v>38.624645310269649</v>
      </c>
      <c r="AB89" t="s">
        <v>63</v>
      </c>
      <c r="AC89">
        <v>167.56</v>
      </c>
      <c r="AD89">
        <v>96.55</v>
      </c>
      <c r="AE89">
        <v>98.21</v>
      </c>
      <c r="AF89">
        <v>0.36</v>
      </c>
      <c r="AG89">
        <v>4</v>
      </c>
      <c r="AH89">
        <v>113.42</v>
      </c>
      <c r="AI89">
        <v>22.1</v>
      </c>
      <c r="AJ89">
        <v>19.23</v>
      </c>
      <c r="AK89">
        <v>14.19</v>
      </c>
      <c r="AL89">
        <v>21.87</v>
      </c>
      <c r="AM89">
        <v>92.79</v>
      </c>
      <c r="AN89">
        <v>7.65</v>
      </c>
      <c r="AO89" s="1">
        <f t="shared" si="5"/>
        <v>657.93000000000006</v>
      </c>
    </row>
    <row r="90" spans="1:41" x14ac:dyDescent="0.25">
      <c r="A90" t="s">
        <v>133</v>
      </c>
      <c r="B90" s="2">
        <v>8268.3706907626402</v>
      </c>
      <c r="C90" s="2">
        <v>1906.8450625952501</v>
      </c>
      <c r="D90" s="2">
        <v>2647.2414315430601</v>
      </c>
      <c r="E90" s="2">
        <v>4318.6640574288704</v>
      </c>
      <c r="F90" s="2">
        <v>1303.0843875773101</v>
      </c>
      <c r="G90" s="2">
        <v>808.89953379532801</v>
      </c>
      <c r="H90" s="2">
        <v>8471.6144021576092</v>
      </c>
      <c r="I90" s="2">
        <v>0</v>
      </c>
      <c r="J90" s="2">
        <v>0</v>
      </c>
      <c r="K90" s="2">
        <v>2670.3093243691701</v>
      </c>
      <c r="L90" s="2">
        <v>0</v>
      </c>
      <c r="M90" s="2">
        <v>8892.1061617908199</v>
      </c>
      <c r="N90" s="3">
        <f t="shared" si="3"/>
        <v>39287.135052020058</v>
      </c>
      <c r="O90" s="2">
        <v>2.9602840388185898</v>
      </c>
      <c r="P90" s="2">
        <v>4.3564681781172396</v>
      </c>
      <c r="Q90" s="2">
        <v>4.0262220929951003</v>
      </c>
      <c r="R90" s="2">
        <v>1.01466082419457</v>
      </c>
      <c r="S90" s="2">
        <v>9.4197183227999801</v>
      </c>
      <c r="T90" s="2">
        <v>0.99396621564787402</v>
      </c>
      <c r="U90" s="2">
        <v>4.4468298072262096</v>
      </c>
      <c r="V90" s="2">
        <v>5.9787626386574102</v>
      </c>
      <c r="W90" s="2">
        <v>13.710379123039001</v>
      </c>
      <c r="X90" s="2">
        <v>0.591900102501415</v>
      </c>
      <c r="Y90" s="2">
        <v>4.00497554027314</v>
      </c>
      <c r="Z90" s="2">
        <v>3.02148255541081</v>
      </c>
      <c r="AA90" s="3">
        <f t="shared" si="4"/>
        <v>54.525649439681331</v>
      </c>
      <c r="AB90" t="s">
        <v>45</v>
      </c>
      <c r="AC90">
        <v>92.83</v>
      </c>
      <c r="AD90">
        <v>29.31</v>
      </c>
      <c r="AE90">
        <v>36.72</v>
      </c>
      <c r="AF90">
        <v>53.28</v>
      </c>
      <c r="AG90">
        <v>23.53</v>
      </c>
      <c r="AH90">
        <v>18.13</v>
      </c>
      <c r="AI90">
        <v>94.96</v>
      </c>
      <c r="AJ90">
        <v>10.29</v>
      </c>
      <c r="AK90">
        <v>10.69</v>
      </c>
      <c r="AL90">
        <v>36.75</v>
      </c>
      <c r="AM90">
        <v>10.24</v>
      </c>
      <c r="AN90">
        <v>99.12</v>
      </c>
      <c r="AO90" s="1">
        <f t="shared" si="5"/>
        <v>515.85</v>
      </c>
    </row>
    <row r="91" spans="1:41" x14ac:dyDescent="0.25">
      <c r="A91" t="s">
        <v>134</v>
      </c>
      <c r="B91" s="2">
        <v>8260.7680615444206</v>
      </c>
      <c r="C91" s="2">
        <v>0</v>
      </c>
      <c r="D91" s="2">
        <v>3902.6036506208802</v>
      </c>
      <c r="E91" s="2">
        <v>2777.4148145592399</v>
      </c>
      <c r="F91" s="2">
        <v>5876.07285160227</v>
      </c>
      <c r="G91" s="2">
        <v>2664.77914327903</v>
      </c>
      <c r="H91" s="2">
        <v>2719.6896015720499</v>
      </c>
      <c r="I91" s="2">
        <v>560.60655756364099</v>
      </c>
      <c r="J91" s="2">
        <v>4766.6016039467604</v>
      </c>
      <c r="K91" s="2">
        <v>558.439147650937</v>
      </c>
      <c r="L91" s="2">
        <v>698.59213241370105</v>
      </c>
      <c r="M91" s="2">
        <v>1123.8613644495199</v>
      </c>
      <c r="N91" s="3">
        <f t="shared" si="3"/>
        <v>33909.428929202448</v>
      </c>
      <c r="O91" s="2">
        <v>7.01785148828007</v>
      </c>
      <c r="P91" s="2">
        <v>1.07264096737151</v>
      </c>
      <c r="Q91" s="2">
        <v>2.4314648232795801</v>
      </c>
      <c r="R91" s="2">
        <v>9.9919093011483202</v>
      </c>
      <c r="S91" s="2">
        <v>4.0342551398976303</v>
      </c>
      <c r="T91" s="2">
        <v>0.16418844671026001</v>
      </c>
      <c r="U91" s="2">
        <v>0.58613701419584097</v>
      </c>
      <c r="V91" s="2">
        <v>8.1322183701775295</v>
      </c>
      <c r="W91" s="2">
        <v>3.4660184515600401</v>
      </c>
      <c r="X91" s="2">
        <v>3.0954515027039502</v>
      </c>
      <c r="Y91" s="2">
        <v>6.8900044460745802</v>
      </c>
      <c r="Z91" s="2">
        <v>8.3592799942290501</v>
      </c>
      <c r="AA91" s="3">
        <f t="shared" si="4"/>
        <v>55.241419945628358</v>
      </c>
      <c r="AB91" t="s">
        <v>63</v>
      </c>
      <c r="AC91">
        <v>165.94</v>
      </c>
      <c r="AD91">
        <v>0.18</v>
      </c>
      <c r="AE91">
        <v>78.33</v>
      </c>
      <c r="AF91">
        <v>56.46</v>
      </c>
      <c r="AG91">
        <v>117.99</v>
      </c>
      <c r="AH91">
        <v>53.39</v>
      </c>
      <c r="AI91">
        <v>54.49</v>
      </c>
      <c r="AJ91">
        <v>12.03</v>
      </c>
      <c r="AK91">
        <v>95.7</v>
      </c>
      <c r="AL91">
        <v>11.54</v>
      </c>
      <c r="AM91">
        <v>14.61</v>
      </c>
      <c r="AN91">
        <v>23.29</v>
      </c>
      <c r="AO91" s="1">
        <f t="shared" si="5"/>
        <v>683.94999999999993</v>
      </c>
    </row>
    <row r="92" spans="1:41" x14ac:dyDescent="0.25">
      <c r="A92" t="s">
        <v>135</v>
      </c>
      <c r="B92" s="2">
        <v>8252.8611454818001</v>
      </c>
      <c r="C92" s="2">
        <v>2234.51092980775</v>
      </c>
      <c r="D92" s="2">
        <v>6540.2457024221303</v>
      </c>
      <c r="E92" s="2">
        <v>286.50892693862897</v>
      </c>
      <c r="F92" s="2">
        <v>0</v>
      </c>
      <c r="G92" s="2">
        <v>2848.8961738567</v>
      </c>
      <c r="H92" s="2">
        <v>4211.65383028836</v>
      </c>
      <c r="I92" s="2">
        <v>0</v>
      </c>
      <c r="J92" s="2">
        <v>2808.4959145667299</v>
      </c>
      <c r="K92" s="2">
        <v>0</v>
      </c>
      <c r="L92" s="2">
        <v>3336.5924284183202</v>
      </c>
      <c r="M92" s="2">
        <v>7066.6154638317903</v>
      </c>
      <c r="N92" s="3">
        <f t="shared" si="3"/>
        <v>37586.380515612211</v>
      </c>
      <c r="O92" s="2">
        <v>2.5940975384463698</v>
      </c>
      <c r="P92" s="2">
        <v>9.6715199559680194</v>
      </c>
      <c r="Q92" s="2">
        <v>15.6235763048723</v>
      </c>
      <c r="R92" s="2">
        <v>5.1044158101637596</v>
      </c>
      <c r="S92" s="2">
        <v>0.87184964284348698</v>
      </c>
      <c r="T92" s="2">
        <v>10.681436205984999</v>
      </c>
      <c r="U92" s="2">
        <v>3.7823753144102201</v>
      </c>
      <c r="V92" s="2">
        <v>1.89634400764115</v>
      </c>
      <c r="W92" s="2">
        <v>8.5907313005072101</v>
      </c>
      <c r="X92" s="2">
        <v>4.81152467258456</v>
      </c>
      <c r="Y92" s="2">
        <v>3.8960364978260502</v>
      </c>
      <c r="Z92" s="2">
        <v>4.74715611036767</v>
      </c>
      <c r="AA92" s="3">
        <f t="shared" si="4"/>
        <v>72.271063361615788</v>
      </c>
      <c r="AB92" t="s">
        <v>45</v>
      </c>
      <c r="AC92">
        <v>92.67</v>
      </c>
      <c r="AD92">
        <v>32.840000000000003</v>
      </c>
      <c r="AE92">
        <v>76.2</v>
      </c>
      <c r="AF92">
        <v>13.16</v>
      </c>
      <c r="AG92">
        <v>10.039999999999999</v>
      </c>
      <c r="AH92">
        <v>39.03</v>
      </c>
      <c r="AI92">
        <v>52.31</v>
      </c>
      <c r="AJ92">
        <v>10.09</v>
      </c>
      <c r="AK92">
        <v>38.53</v>
      </c>
      <c r="AL92">
        <v>10.24</v>
      </c>
      <c r="AM92">
        <v>43.56</v>
      </c>
      <c r="AN92">
        <v>80.91</v>
      </c>
      <c r="AO92" s="1">
        <f t="shared" si="5"/>
        <v>499.58000000000004</v>
      </c>
    </row>
    <row r="93" spans="1:41" x14ac:dyDescent="0.25">
      <c r="A93" t="s">
        <v>136</v>
      </c>
      <c r="B93" s="2">
        <v>8112.2789259318197</v>
      </c>
      <c r="C93" s="2">
        <v>3805.6032943273299</v>
      </c>
      <c r="D93" s="2">
        <v>1865.66686445805</v>
      </c>
      <c r="E93" s="2">
        <v>1786.35178672243</v>
      </c>
      <c r="F93" s="2">
        <v>3484.21560498395</v>
      </c>
      <c r="G93" s="2">
        <v>2441.3882577023601</v>
      </c>
      <c r="H93" s="2">
        <v>1031.907845166</v>
      </c>
      <c r="I93" s="2">
        <v>0</v>
      </c>
      <c r="J93" s="2">
        <v>4093.59070777128</v>
      </c>
      <c r="K93" s="2">
        <v>985.49545809877395</v>
      </c>
      <c r="L93" s="2">
        <v>2836.8817067170698</v>
      </c>
      <c r="M93" s="2">
        <v>4586.1657848988898</v>
      </c>
      <c r="N93" s="3">
        <f t="shared" si="3"/>
        <v>35029.546236777955</v>
      </c>
      <c r="O93" s="2">
        <v>8.4985567508221198</v>
      </c>
      <c r="P93" s="2">
        <v>2.50664298497226</v>
      </c>
      <c r="Q93" s="2">
        <v>0.59748123776856199</v>
      </c>
      <c r="R93" s="2">
        <v>1.0658894524318301</v>
      </c>
      <c r="S93" s="2">
        <v>15.0216216762598</v>
      </c>
      <c r="T93" s="2">
        <v>5.8218180249593097</v>
      </c>
      <c r="U93" s="2">
        <v>6.2844781519768604</v>
      </c>
      <c r="V93" s="2">
        <v>0</v>
      </c>
      <c r="W93" s="2">
        <v>4.01261491117286</v>
      </c>
      <c r="X93" s="2">
        <v>4.26158824676273</v>
      </c>
      <c r="Y93" s="2">
        <v>6.3650228984814801</v>
      </c>
      <c r="Z93" s="2">
        <v>0</v>
      </c>
      <c r="AA93" s="3">
        <f t="shared" si="4"/>
        <v>54.435714335607813</v>
      </c>
      <c r="AB93" t="s">
        <v>63</v>
      </c>
      <c r="AC93">
        <v>163.07</v>
      </c>
      <c r="AD93">
        <v>76.39</v>
      </c>
      <c r="AE93">
        <v>37.409999999999997</v>
      </c>
      <c r="AF93">
        <v>35.92</v>
      </c>
      <c r="AG93">
        <v>71.14</v>
      </c>
      <c r="AH93">
        <v>49.38</v>
      </c>
      <c r="AI93">
        <v>21.27</v>
      </c>
      <c r="AJ93">
        <v>0</v>
      </c>
      <c r="AK93">
        <v>82.33</v>
      </c>
      <c r="AL93">
        <v>20.170000000000002</v>
      </c>
      <c r="AM93">
        <v>57.37</v>
      </c>
      <c r="AN93">
        <v>91.74</v>
      </c>
      <c r="AO93" s="1">
        <f t="shared" si="5"/>
        <v>706.18999999999994</v>
      </c>
    </row>
    <row r="94" spans="1:41" x14ac:dyDescent="0.25">
      <c r="A94" t="s">
        <v>137</v>
      </c>
      <c r="B94" s="2">
        <v>8108.9178455592501</v>
      </c>
      <c r="C94" s="2">
        <v>1213.9892286950801</v>
      </c>
      <c r="D94" s="2">
        <v>3076.7001195969701</v>
      </c>
      <c r="E94" s="2">
        <v>3739.2140541006602</v>
      </c>
      <c r="F94" s="2">
        <v>2136.0847829080999</v>
      </c>
      <c r="G94" s="2">
        <v>1033.4308256080999</v>
      </c>
      <c r="H94" s="2">
        <v>1931.39476993271</v>
      </c>
      <c r="I94" s="2">
        <v>507.86243030318201</v>
      </c>
      <c r="J94" s="2">
        <v>2783.02515071383</v>
      </c>
      <c r="K94" s="2">
        <v>2805.55548287084</v>
      </c>
      <c r="L94" s="2">
        <v>0</v>
      </c>
      <c r="M94" s="2">
        <v>3836.5830279095499</v>
      </c>
      <c r="N94" s="3">
        <f t="shared" si="3"/>
        <v>31172.757718198274</v>
      </c>
      <c r="O94" s="2">
        <v>3.0060183083851801</v>
      </c>
      <c r="P94" s="2">
        <v>1.6997719832648299</v>
      </c>
      <c r="Q94" s="2">
        <v>1.65315691060825</v>
      </c>
      <c r="R94" s="2">
        <v>4.3944457227047602</v>
      </c>
      <c r="S94" s="2">
        <v>1.91384492438995</v>
      </c>
      <c r="T94" s="2">
        <v>0.24995064664278599</v>
      </c>
      <c r="U94" s="2">
        <v>1.67705630534957</v>
      </c>
      <c r="V94" s="2">
        <v>4.1400442961129897</v>
      </c>
      <c r="W94" s="2">
        <v>0</v>
      </c>
      <c r="X94" s="2">
        <v>4.3663632265068699</v>
      </c>
      <c r="Y94" s="2">
        <v>4.2447573908931098</v>
      </c>
      <c r="Z94" s="2">
        <v>0.77887993723691495</v>
      </c>
      <c r="AA94" s="3">
        <f t="shared" si="4"/>
        <v>28.124289652095211</v>
      </c>
      <c r="AB94" t="s">
        <v>63</v>
      </c>
      <c r="AC94">
        <v>162.54</v>
      </c>
      <c r="AD94">
        <v>24.46</v>
      </c>
      <c r="AE94">
        <v>61.72</v>
      </c>
      <c r="AF94">
        <v>75.25</v>
      </c>
      <c r="AG94">
        <v>42.92</v>
      </c>
      <c r="AH94">
        <v>20.77</v>
      </c>
      <c r="AI94">
        <v>38.82</v>
      </c>
      <c r="AJ94">
        <v>10.61</v>
      </c>
      <c r="AK94">
        <v>55.68</v>
      </c>
      <c r="AL94">
        <v>56.57</v>
      </c>
      <c r="AM94">
        <v>0.45</v>
      </c>
      <c r="AN94">
        <v>76.83</v>
      </c>
      <c r="AO94" s="1">
        <f t="shared" si="5"/>
        <v>626.62000000000012</v>
      </c>
    </row>
    <row r="95" spans="1:41" x14ac:dyDescent="0.25">
      <c r="A95" t="s">
        <v>138</v>
      </c>
      <c r="B95" s="2">
        <v>8007.6647579451601</v>
      </c>
      <c r="C95" s="2">
        <v>0</v>
      </c>
      <c r="D95" s="2">
        <v>1389.0053535939801</v>
      </c>
      <c r="E95" s="2">
        <v>2407.2366721336498</v>
      </c>
      <c r="F95" s="2">
        <v>2239.1570741096002</v>
      </c>
      <c r="G95" s="2">
        <v>0</v>
      </c>
      <c r="H95" s="2">
        <v>1320.20919191081</v>
      </c>
      <c r="I95" s="2">
        <v>0</v>
      </c>
      <c r="J95" s="2">
        <v>2093.1631650609702</v>
      </c>
      <c r="K95" s="2">
        <v>3731.6109401406502</v>
      </c>
      <c r="L95" s="2">
        <v>694.22648624502597</v>
      </c>
      <c r="M95" s="2">
        <v>1312.17541619799</v>
      </c>
      <c r="N95" s="3">
        <f t="shared" si="3"/>
        <v>23194.449057337835</v>
      </c>
      <c r="O95" s="2">
        <v>0.84679895067286104</v>
      </c>
      <c r="P95" s="2">
        <v>2.8303172278717601</v>
      </c>
      <c r="Q95" s="2">
        <v>6.6426339485298396</v>
      </c>
      <c r="R95" s="2">
        <v>2.06632771711815</v>
      </c>
      <c r="S95" s="2">
        <v>2.3068635555513302</v>
      </c>
      <c r="T95" s="2">
        <v>3.5616784624376199</v>
      </c>
      <c r="U95" s="2">
        <v>3.22762124229688</v>
      </c>
      <c r="V95" s="2">
        <v>11.4289006877011</v>
      </c>
      <c r="W95" s="2">
        <v>0</v>
      </c>
      <c r="X95" s="2">
        <v>4.26380978198031</v>
      </c>
      <c r="Y95" s="2">
        <v>9.3918911764788504</v>
      </c>
      <c r="Z95" s="2">
        <v>7.1838250613528096</v>
      </c>
      <c r="AA95" s="3">
        <f t="shared" si="4"/>
        <v>53.750667811991505</v>
      </c>
      <c r="AB95" t="s">
        <v>63</v>
      </c>
      <c r="AC95">
        <v>160.25</v>
      </c>
      <c r="AD95">
        <v>0.27</v>
      </c>
      <c r="AE95">
        <v>28.43</v>
      </c>
      <c r="AF95">
        <v>48.43</v>
      </c>
      <c r="AG95">
        <v>45.07</v>
      </c>
      <c r="AH95">
        <v>0.36</v>
      </c>
      <c r="AI95">
        <v>26.78</v>
      </c>
      <c r="AJ95">
        <v>1.08</v>
      </c>
      <c r="AK95">
        <v>41.88</v>
      </c>
      <c r="AL95">
        <v>75.09</v>
      </c>
      <c r="AM95">
        <v>14.8</v>
      </c>
      <c r="AN95">
        <v>26.98</v>
      </c>
      <c r="AO95" s="1">
        <f t="shared" si="5"/>
        <v>469.42</v>
      </c>
    </row>
    <row r="96" spans="1:41" x14ac:dyDescent="0.25">
      <c r="A96" t="s">
        <v>139</v>
      </c>
      <c r="B96" s="2">
        <v>7915.2446333263397</v>
      </c>
      <c r="C96" s="2">
        <v>0</v>
      </c>
      <c r="D96" s="2">
        <v>986.70967030582995</v>
      </c>
      <c r="E96" s="2">
        <v>2140.4859488718798</v>
      </c>
      <c r="F96" s="2">
        <v>6689.8271392589004</v>
      </c>
      <c r="G96" s="2">
        <v>2734.2867678325601</v>
      </c>
      <c r="H96" s="2">
        <v>19254.210646250202</v>
      </c>
      <c r="I96" s="2">
        <v>3993.7931208968498</v>
      </c>
      <c r="J96" s="2">
        <v>7034.8680462401699</v>
      </c>
      <c r="K96" s="2">
        <v>0</v>
      </c>
      <c r="L96" s="2">
        <v>124.450292268524</v>
      </c>
      <c r="M96" s="2">
        <v>457.06447374445298</v>
      </c>
      <c r="N96" s="3">
        <f t="shared" si="3"/>
        <v>51330.940738995705</v>
      </c>
      <c r="O96" s="2">
        <v>1.83884391399578</v>
      </c>
      <c r="P96" s="2">
        <v>7.4987260492355796</v>
      </c>
      <c r="Q96" s="2">
        <v>6.6600273290536798</v>
      </c>
      <c r="R96" s="2">
        <v>0.64250064631260695</v>
      </c>
      <c r="S96" s="2">
        <v>4.9514111739452904</v>
      </c>
      <c r="T96" s="2">
        <v>0.95962559779177103</v>
      </c>
      <c r="U96" s="2">
        <v>7.32447888069954</v>
      </c>
      <c r="V96" s="2">
        <v>4.0117448311292296</v>
      </c>
      <c r="W96" s="2">
        <v>2.12183646872692</v>
      </c>
      <c r="X96" s="2">
        <v>3.7961870885884998</v>
      </c>
      <c r="Y96" s="2">
        <v>2.8456599853363</v>
      </c>
      <c r="Z96" s="2">
        <v>0</v>
      </c>
      <c r="AA96" s="3">
        <f t="shared" si="4"/>
        <v>42.651041964815192</v>
      </c>
      <c r="AB96" t="s">
        <v>45</v>
      </c>
      <c r="AC96">
        <v>89.25</v>
      </c>
      <c r="AD96">
        <v>10.39</v>
      </c>
      <c r="AE96">
        <v>20.21</v>
      </c>
      <c r="AF96">
        <v>31.45</v>
      </c>
      <c r="AG96">
        <v>77.14</v>
      </c>
      <c r="AH96">
        <v>37.39</v>
      </c>
      <c r="AI96">
        <v>202.94</v>
      </c>
      <c r="AJ96">
        <v>50.18</v>
      </c>
      <c r="AK96">
        <v>80.489999999999995</v>
      </c>
      <c r="AL96">
        <v>10.19</v>
      </c>
      <c r="AM96">
        <v>11.39</v>
      </c>
      <c r="AN96">
        <v>14.57</v>
      </c>
      <c r="AO96" s="1">
        <f t="shared" si="5"/>
        <v>635.59</v>
      </c>
    </row>
    <row r="97" spans="1:41" x14ac:dyDescent="0.25">
      <c r="A97" t="s">
        <v>140</v>
      </c>
      <c r="B97" s="2">
        <v>7872.3153678831904</v>
      </c>
      <c r="C97" s="2">
        <v>195.24418553759699</v>
      </c>
      <c r="D97" s="2">
        <v>3308.8333021296698</v>
      </c>
      <c r="E97" s="2">
        <v>7037.6446597465801</v>
      </c>
      <c r="F97" s="2">
        <v>8437.04953419712</v>
      </c>
      <c r="G97" s="2">
        <v>3413.6690914102301</v>
      </c>
      <c r="H97" s="2">
        <v>126.551238174483</v>
      </c>
      <c r="I97" s="2">
        <v>0</v>
      </c>
      <c r="J97" s="2">
        <v>2934.49156600066</v>
      </c>
      <c r="K97" s="2">
        <v>230.81691073541401</v>
      </c>
      <c r="L97" s="2">
        <v>999.38400073923799</v>
      </c>
      <c r="M97" s="2">
        <v>4902.2596551801298</v>
      </c>
      <c r="N97" s="3">
        <f t="shared" si="3"/>
        <v>39458.259511734308</v>
      </c>
      <c r="O97" s="2">
        <v>2.5259896742969099</v>
      </c>
      <c r="P97" s="2">
        <v>0.87771616870793201</v>
      </c>
      <c r="Q97" s="2">
        <v>1.5353645065648001</v>
      </c>
      <c r="R97" s="2">
        <v>4.77275341018633</v>
      </c>
      <c r="S97" s="2">
        <v>10.434787140319401</v>
      </c>
      <c r="T97" s="2">
        <v>0.17243430747562399</v>
      </c>
      <c r="U97" s="2">
        <v>3.7507326759945498</v>
      </c>
      <c r="V97" s="2">
        <v>0.13170859197385101</v>
      </c>
      <c r="W97" s="2">
        <v>3.5240918755210902</v>
      </c>
      <c r="X97" s="2">
        <v>1.1627755552135699</v>
      </c>
      <c r="Y97" s="2">
        <v>2.0379359038147302</v>
      </c>
      <c r="Z97" s="2">
        <v>5.2327210376257502</v>
      </c>
      <c r="AA97" s="3">
        <f t="shared" si="4"/>
        <v>36.159010847694539</v>
      </c>
      <c r="AB97" t="s">
        <v>45</v>
      </c>
      <c r="AC97">
        <v>88.87</v>
      </c>
      <c r="AD97">
        <v>12</v>
      </c>
      <c r="AE97">
        <v>43.18</v>
      </c>
      <c r="AF97">
        <v>80.62</v>
      </c>
      <c r="AG97">
        <v>94.92</v>
      </c>
      <c r="AH97">
        <v>44.18</v>
      </c>
      <c r="AI97">
        <v>11.46</v>
      </c>
      <c r="AJ97">
        <v>10.039999999999999</v>
      </c>
      <c r="AK97">
        <v>39.54</v>
      </c>
      <c r="AL97">
        <v>12.4</v>
      </c>
      <c r="AM97">
        <v>20.14</v>
      </c>
      <c r="AN97">
        <v>59.32</v>
      </c>
      <c r="AO97" s="1">
        <f t="shared" si="5"/>
        <v>516.67000000000007</v>
      </c>
    </row>
    <row r="98" spans="1:41" x14ac:dyDescent="0.25">
      <c r="A98" t="s">
        <v>141</v>
      </c>
      <c r="B98" s="2">
        <v>7854.8853702631704</v>
      </c>
      <c r="C98" s="2">
        <v>11093.464931348801</v>
      </c>
      <c r="D98" s="2">
        <v>4148.2921570929402</v>
      </c>
      <c r="E98" s="2">
        <v>4125.5777048999898</v>
      </c>
      <c r="F98" s="2">
        <v>700.620892387955</v>
      </c>
      <c r="G98" s="2">
        <v>0</v>
      </c>
      <c r="H98" s="2">
        <v>6398.6330299300498</v>
      </c>
      <c r="I98" s="2">
        <v>2936.1104239533902</v>
      </c>
      <c r="J98" s="2">
        <v>3669.6248042664301</v>
      </c>
      <c r="K98" s="2">
        <v>5055.7444217881302</v>
      </c>
      <c r="L98" s="2">
        <v>988.89956697615196</v>
      </c>
      <c r="M98" s="2">
        <v>0</v>
      </c>
      <c r="N98" s="3">
        <f t="shared" si="3"/>
        <v>46971.853302907002</v>
      </c>
      <c r="O98" s="2">
        <v>0</v>
      </c>
      <c r="P98" s="2">
        <v>4.1874062077952097</v>
      </c>
      <c r="Q98" s="2">
        <v>10.739132499158201</v>
      </c>
      <c r="R98" s="2">
        <v>7.6115547505091801</v>
      </c>
      <c r="S98" s="2">
        <v>2.4256368888730599</v>
      </c>
      <c r="T98" s="2">
        <v>2.3133713889791698</v>
      </c>
      <c r="U98" s="2">
        <v>3.8775095261003401</v>
      </c>
      <c r="V98" s="2">
        <v>1.8730836743110599</v>
      </c>
      <c r="W98" s="2">
        <v>3.7209585916043499</v>
      </c>
      <c r="X98" s="2">
        <v>5.9725970686390601</v>
      </c>
      <c r="Y98" s="2">
        <v>11.928665513024599</v>
      </c>
      <c r="Z98" s="2">
        <v>1.64405456899907</v>
      </c>
      <c r="AA98" s="3">
        <f t="shared" si="4"/>
        <v>56.2939706779933</v>
      </c>
      <c r="AB98" t="s">
        <v>45</v>
      </c>
      <c r="AC98">
        <v>88.54</v>
      </c>
      <c r="AD98">
        <v>121.18</v>
      </c>
      <c r="AE98">
        <v>52.03</v>
      </c>
      <c r="AF98">
        <v>51.65</v>
      </c>
      <c r="AG98">
        <v>17.149999999999999</v>
      </c>
      <c r="AH98">
        <v>10.14</v>
      </c>
      <c r="AI98">
        <v>74.180000000000007</v>
      </c>
      <c r="AJ98">
        <v>39.46</v>
      </c>
      <c r="AK98">
        <v>46.89</v>
      </c>
      <c r="AL98">
        <v>60.85</v>
      </c>
      <c r="AM98">
        <v>20.48</v>
      </c>
      <c r="AN98">
        <v>10.09</v>
      </c>
      <c r="AO98" s="1">
        <f t="shared" si="5"/>
        <v>592.64</v>
      </c>
    </row>
    <row r="99" spans="1:41" x14ac:dyDescent="0.25">
      <c r="A99" t="s">
        <v>142</v>
      </c>
      <c r="B99" s="2">
        <v>7793.7673350102596</v>
      </c>
      <c r="C99" s="2">
        <v>2825.4775213976</v>
      </c>
      <c r="D99" s="2">
        <v>4446.8350582359799</v>
      </c>
      <c r="E99" s="2">
        <v>704.25148424999895</v>
      </c>
      <c r="F99" s="2">
        <v>1694.9280627794001</v>
      </c>
      <c r="G99" s="2">
        <v>2033.9526137656601</v>
      </c>
      <c r="H99" s="2">
        <v>5342.5947175846404</v>
      </c>
      <c r="I99" s="2">
        <v>992.17795476688298</v>
      </c>
      <c r="J99" s="2">
        <v>1482.2216033115601</v>
      </c>
      <c r="K99" s="2">
        <v>961.60975262225497</v>
      </c>
      <c r="L99" s="2">
        <v>7558.2659205911896</v>
      </c>
      <c r="M99" s="2">
        <v>4368.8932415194804</v>
      </c>
      <c r="N99" s="3">
        <f t="shared" si="3"/>
        <v>40204.97526583491</v>
      </c>
      <c r="O99" s="2">
        <v>3.27004809230267</v>
      </c>
      <c r="P99" s="2">
        <v>2.0895475040854601</v>
      </c>
      <c r="Q99" s="2">
        <v>1.97467077221601</v>
      </c>
      <c r="R99" s="2">
        <v>1.88939180307456</v>
      </c>
      <c r="S99" s="2">
        <v>0</v>
      </c>
      <c r="T99" s="2">
        <v>2.79558723458269</v>
      </c>
      <c r="U99" s="2">
        <v>12.593968900307299</v>
      </c>
      <c r="V99" s="2">
        <v>13.212420367783499</v>
      </c>
      <c r="W99" s="2">
        <v>0</v>
      </c>
      <c r="X99" s="2">
        <v>2.59544302965443</v>
      </c>
      <c r="Y99" s="2">
        <v>8.6133744426377099</v>
      </c>
      <c r="Z99" s="2">
        <v>0</v>
      </c>
      <c r="AA99" s="3">
        <f t="shared" si="4"/>
        <v>49.034452146644327</v>
      </c>
      <c r="AB99" t="s">
        <v>45</v>
      </c>
      <c r="AC99">
        <v>88.13</v>
      </c>
      <c r="AD99">
        <v>38.4</v>
      </c>
      <c r="AE99">
        <v>54.56</v>
      </c>
      <c r="AF99">
        <v>17.14</v>
      </c>
      <c r="AG99">
        <v>26.94</v>
      </c>
      <c r="AH99">
        <v>30.48</v>
      </c>
      <c r="AI99">
        <v>64.069999999999993</v>
      </c>
      <c r="AJ99">
        <v>20.62</v>
      </c>
      <c r="AK99">
        <v>24.82</v>
      </c>
      <c r="AL99">
        <v>19.760000000000002</v>
      </c>
      <c r="AM99">
        <v>86.03</v>
      </c>
      <c r="AN99">
        <v>53.68</v>
      </c>
      <c r="AO99" s="1">
        <f t="shared" si="5"/>
        <v>524.63</v>
      </c>
    </row>
    <row r="100" spans="1:41" x14ac:dyDescent="0.25">
      <c r="A100" t="s">
        <v>143</v>
      </c>
      <c r="B100" s="2">
        <v>7618.0436384251998</v>
      </c>
      <c r="C100" s="2">
        <v>1973.9086241191301</v>
      </c>
      <c r="D100" s="2">
        <v>3028.2951957773898</v>
      </c>
      <c r="E100" s="2">
        <v>3576.3800143803301</v>
      </c>
      <c r="F100" s="2">
        <v>1797.63713237513</v>
      </c>
      <c r="G100" s="2">
        <v>4935.66375572169</v>
      </c>
      <c r="H100" s="2">
        <v>2484.1507901762102</v>
      </c>
      <c r="I100" s="2">
        <v>0</v>
      </c>
      <c r="J100" s="2">
        <v>321.42557839561903</v>
      </c>
      <c r="K100" s="2">
        <v>900.39827561375103</v>
      </c>
      <c r="L100" s="2">
        <v>7090.1832644289398</v>
      </c>
      <c r="M100" s="2">
        <v>16747.111789117302</v>
      </c>
      <c r="N100" s="3">
        <f t="shared" si="3"/>
        <v>50473.198058530688</v>
      </c>
      <c r="O100" s="2">
        <v>11.4191275902184</v>
      </c>
      <c r="P100" s="2">
        <v>11.2184410063581</v>
      </c>
      <c r="Q100" s="2">
        <v>0</v>
      </c>
      <c r="R100" s="2">
        <v>1.7909927910974199</v>
      </c>
      <c r="S100" s="2">
        <v>6.5116666678150699</v>
      </c>
      <c r="T100" s="2">
        <v>7.3285650686972703</v>
      </c>
      <c r="U100" s="2">
        <v>14.2924227208385</v>
      </c>
      <c r="V100" s="2">
        <v>9.3192410217793604</v>
      </c>
      <c r="W100" s="2">
        <v>2.1985016009934801</v>
      </c>
      <c r="X100" s="2">
        <v>2.0805907971279098</v>
      </c>
      <c r="Y100" s="2">
        <v>1.6511801232821</v>
      </c>
      <c r="Z100" s="2">
        <v>1.2474837335606599</v>
      </c>
      <c r="AA100" s="3">
        <f t="shared" si="4"/>
        <v>69.058213121768276</v>
      </c>
      <c r="AB100" t="s">
        <v>63</v>
      </c>
      <c r="AC100">
        <v>153.46</v>
      </c>
      <c r="AD100">
        <v>40.56</v>
      </c>
      <c r="AE100">
        <v>60.58</v>
      </c>
      <c r="AF100">
        <v>71.72</v>
      </c>
      <c r="AG100">
        <v>36.590000000000003</v>
      </c>
      <c r="AH100">
        <v>99.44</v>
      </c>
      <c r="AI100">
        <v>51.05</v>
      </c>
      <c r="AJ100">
        <v>0.9</v>
      </c>
      <c r="AK100">
        <v>6.71</v>
      </c>
      <c r="AL100">
        <v>18.29</v>
      </c>
      <c r="AM100">
        <v>142</v>
      </c>
      <c r="AN100">
        <v>335.14</v>
      </c>
      <c r="AO100" s="1">
        <f t="shared" si="5"/>
        <v>1016.44</v>
      </c>
    </row>
    <row r="101" spans="1:41" x14ac:dyDescent="0.25">
      <c r="A101" t="s">
        <v>144</v>
      </c>
      <c r="B101" s="2">
        <v>7566.2900156525802</v>
      </c>
      <c r="C101" s="2">
        <v>1426.7411688628099</v>
      </c>
      <c r="D101" s="2">
        <v>2614.4652487374601</v>
      </c>
      <c r="E101" s="2">
        <v>4694.8149624409798</v>
      </c>
      <c r="F101" s="2">
        <v>10853.280911239801</v>
      </c>
      <c r="G101" s="2">
        <v>9290.7284756119097</v>
      </c>
      <c r="H101" s="2">
        <v>0</v>
      </c>
      <c r="I101" s="2">
        <v>478.56322312122597</v>
      </c>
      <c r="J101" s="2">
        <v>0</v>
      </c>
      <c r="K101" s="2">
        <v>2815.1818701511202</v>
      </c>
      <c r="L101" s="2">
        <v>3852.59025809385</v>
      </c>
      <c r="M101" s="2">
        <v>767.93800895880997</v>
      </c>
      <c r="N101" s="3">
        <f t="shared" si="3"/>
        <v>44360.594142870548</v>
      </c>
      <c r="O101" s="2">
        <v>3.3019912115319201</v>
      </c>
      <c r="P101" s="2">
        <v>2.6037377482513202</v>
      </c>
      <c r="Q101" s="2">
        <v>7.1885468819193097</v>
      </c>
      <c r="R101" s="2">
        <v>0</v>
      </c>
      <c r="S101" s="2">
        <v>5.4288375302149401</v>
      </c>
      <c r="T101" s="2">
        <v>0</v>
      </c>
      <c r="U101" s="2">
        <v>7.0304765291005404</v>
      </c>
      <c r="V101" s="2">
        <v>0.82094289699106104</v>
      </c>
      <c r="W101" s="2">
        <v>2.8363852865305499</v>
      </c>
      <c r="X101" s="2">
        <v>0.399455903383443</v>
      </c>
      <c r="Y101" s="2">
        <v>3.99461079510175</v>
      </c>
      <c r="Z101" s="2">
        <v>7.2498069109259404</v>
      </c>
      <c r="AA101" s="3">
        <f t="shared" si="4"/>
        <v>40.854791693950773</v>
      </c>
      <c r="AB101" t="s">
        <v>45</v>
      </c>
      <c r="AC101">
        <v>85.86</v>
      </c>
      <c r="AD101">
        <v>24.41</v>
      </c>
      <c r="AE101">
        <v>36.54</v>
      </c>
      <c r="AF101">
        <v>56.94</v>
      </c>
      <c r="AG101">
        <v>118.83</v>
      </c>
      <c r="AH101">
        <v>102.9</v>
      </c>
      <c r="AI101">
        <v>10.39</v>
      </c>
      <c r="AJ101">
        <v>14.83</v>
      </c>
      <c r="AK101">
        <v>10.14</v>
      </c>
      <c r="AL101">
        <v>38.200000000000003</v>
      </c>
      <c r="AM101">
        <v>48.72</v>
      </c>
      <c r="AN101">
        <v>18.07</v>
      </c>
      <c r="AO101" s="1">
        <f t="shared" si="5"/>
        <v>565.83000000000004</v>
      </c>
    </row>
    <row r="102" spans="1:41" x14ac:dyDescent="0.25">
      <c r="A102" t="s">
        <v>145</v>
      </c>
      <c r="B102" s="2">
        <v>7463.3099781282799</v>
      </c>
      <c r="C102" s="2">
        <v>495.851775701615</v>
      </c>
      <c r="D102" s="2">
        <v>4622.1928619198898</v>
      </c>
      <c r="E102" s="2">
        <v>2821.4831296182401</v>
      </c>
      <c r="F102" s="2">
        <v>2705.3280736200099</v>
      </c>
      <c r="G102" s="2">
        <v>611.52529851787403</v>
      </c>
      <c r="H102" s="2">
        <v>2960.7707029103399</v>
      </c>
      <c r="I102" s="2">
        <v>2787.3592058249101</v>
      </c>
      <c r="J102" s="2">
        <v>286.594355637712</v>
      </c>
      <c r="K102" s="2">
        <v>836.93314309620496</v>
      </c>
      <c r="L102" s="2">
        <v>715.00724000840705</v>
      </c>
      <c r="M102" s="2">
        <v>491.89050278041901</v>
      </c>
      <c r="N102" s="3">
        <f t="shared" si="3"/>
        <v>26798.246267763898</v>
      </c>
      <c r="O102" s="2">
        <v>8.3582719881408494</v>
      </c>
      <c r="P102" s="2">
        <v>5.9182425042238203</v>
      </c>
      <c r="Q102" s="2">
        <v>0</v>
      </c>
      <c r="R102" s="2">
        <v>2.5265294975450101</v>
      </c>
      <c r="S102" s="2">
        <v>2.8237154390172901</v>
      </c>
      <c r="T102" s="2">
        <v>2.8743680088396699</v>
      </c>
      <c r="U102" s="2">
        <v>8.9970082927566004</v>
      </c>
      <c r="V102" s="2">
        <v>3.7823589231102401</v>
      </c>
      <c r="W102" s="2">
        <v>0</v>
      </c>
      <c r="X102" s="2">
        <v>9.8523741516015697</v>
      </c>
      <c r="Y102" s="2">
        <v>11.1869434518883</v>
      </c>
      <c r="Z102" s="2">
        <v>0</v>
      </c>
      <c r="AA102" s="3">
        <f t="shared" si="4"/>
        <v>56.319812257123345</v>
      </c>
      <c r="AB102" t="s">
        <v>63</v>
      </c>
      <c r="AC102">
        <v>150.09</v>
      </c>
      <c r="AD102">
        <v>10.46</v>
      </c>
      <c r="AE102">
        <v>92.46</v>
      </c>
      <c r="AF102">
        <v>56.71</v>
      </c>
      <c r="AG102">
        <v>54.39</v>
      </c>
      <c r="AH102">
        <v>12.51</v>
      </c>
      <c r="AI102">
        <v>60.03</v>
      </c>
      <c r="AJ102">
        <v>56.12</v>
      </c>
      <c r="AK102">
        <v>5.74</v>
      </c>
      <c r="AL102">
        <v>17.64</v>
      </c>
      <c r="AM102">
        <v>15.4</v>
      </c>
      <c r="AN102">
        <v>9.84</v>
      </c>
      <c r="AO102" s="1">
        <f t="shared" si="5"/>
        <v>541.39</v>
      </c>
    </row>
    <row r="103" spans="1:41" x14ac:dyDescent="0.25">
      <c r="A103" t="s">
        <v>146</v>
      </c>
      <c r="B103" s="2">
        <v>7418.1575325454096</v>
      </c>
      <c r="C103" s="2">
        <v>4646.0274890747796</v>
      </c>
      <c r="D103" s="2">
        <v>682.33004069292201</v>
      </c>
      <c r="E103" s="2">
        <v>2296.6022859283598</v>
      </c>
      <c r="F103" s="2">
        <v>1230.92476562856</v>
      </c>
      <c r="G103" s="2">
        <v>2521.0612996259201</v>
      </c>
      <c r="H103" s="2">
        <v>1116.71918188482</v>
      </c>
      <c r="I103" s="2">
        <v>3499.9745804933</v>
      </c>
      <c r="J103" s="2">
        <v>1116.2324361318799</v>
      </c>
      <c r="K103" s="2">
        <v>11521.227643247101</v>
      </c>
      <c r="L103" s="2">
        <v>10698.9621515666</v>
      </c>
      <c r="M103" s="2">
        <v>2244.5901132399499</v>
      </c>
      <c r="N103" s="3">
        <f t="shared" si="3"/>
        <v>48992.8095200596</v>
      </c>
      <c r="O103" s="2">
        <v>0.78821237038730896</v>
      </c>
      <c r="P103" s="2">
        <v>7.0175567967209203</v>
      </c>
      <c r="Q103" s="2">
        <v>2.5513585097126601</v>
      </c>
      <c r="R103" s="2">
        <v>2.8296259120750902</v>
      </c>
      <c r="S103" s="2">
        <v>1.77525362087451</v>
      </c>
      <c r="T103" s="2">
        <v>3.2137133363660402</v>
      </c>
      <c r="U103" s="2">
        <v>0</v>
      </c>
      <c r="V103" s="2">
        <v>1.1853068678583201</v>
      </c>
      <c r="W103" s="2">
        <v>7.1048502060387797</v>
      </c>
      <c r="X103" s="2">
        <v>0.99128443383351506</v>
      </c>
      <c r="Y103" s="2">
        <v>1.41630560349432</v>
      </c>
      <c r="Z103" s="2">
        <v>8.3713522420286104</v>
      </c>
      <c r="AA103" s="3">
        <f t="shared" si="4"/>
        <v>37.244819899390066</v>
      </c>
      <c r="AB103" t="s">
        <v>45</v>
      </c>
      <c r="AC103">
        <v>84.23</v>
      </c>
      <c r="AD103">
        <v>56.86</v>
      </c>
      <c r="AE103">
        <v>16.97</v>
      </c>
      <c r="AF103">
        <v>33.11</v>
      </c>
      <c r="AG103">
        <v>22.4</v>
      </c>
      <c r="AH103">
        <v>35.409999999999997</v>
      </c>
      <c r="AI103">
        <v>21.16</v>
      </c>
      <c r="AJ103">
        <v>45.09</v>
      </c>
      <c r="AK103">
        <v>21.56</v>
      </c>
      <c r="AL103">
        <v>125.26</v>
      </c>
      <c r="AM103">
        <v>117.08</v>
      </c>
      <c r="AN103">
        <v>32.89</v>
      </c>
      <c r="AO103" s="1">
        <f t="shared" si="5"/>
        <v>612.02</v>
      </c>
    </row>
    <row r="104" spans="1:41" x14ac:dyDescent="0.25">
      <c r="A104" t="s">
        <v>147</v>
      </c>
      <c r="B104" s="2">
        <v>7397.5314731930303</v>
      </c>
      <c r="C104" s="2">
        <v>3587.0390634996002</v>
      </c>
      <c r="D104" s="2">
        <v>275.55872361146902</v>
      </c>
      <c r="E104" s="2">
        <v>1754.73820291061</v>
      </c>
      <c r="F104" s="2">
        <v>644.48913945233005</v>
      </c>
      <c r="G104" s="2">
        <v>2167.72037181425</v>
      </c>
      <c r="H104" s="2">
        <v>2563.9639163348502</v>
      </c>
      <c r="I104" s="2">
        <v>1660.6216654812199</v>
      </c>
      <c r="J104" s="2">
        <v>4479.1606859084104</v>
      </c>
      <c r="K104" s="2">
        <v>1657.0996841671299</v>
      </c>
      <c r="L104" s="2">
        <v>2032.27766261643</v>
      </c>
      <c r="M104" s="2">
        <v>11001.5481190137</v>
      </c>
      <c r="N104" s="3">
        <f t="shared" si="3"/>
        <v>39221.748708003026</v>
      </c>
      <c r="O104" s="2">
        <v>8.46247023157329</v>
      </c>
      <c r="P104" s="2">
        <v>1.47789802729693</v>
      </c>
      <c r="Q104" s="2">
        <v>5.5212294868468899</v>
      </c>
      <c r="R104" s="2">
        <v>5.0340861061845503</v>
      </c>
      <c r="S104" s="2">
        <v>0</v>
      </c>
      <c r="T104" s="2">
        <v>2.5069675517120702</v>
      </c>
      <c r="U104" s="2">
        <v>3.1159494425004501</v>
      </c>
      <c r="V104" s="2">
        <v>0</v>
      </c>
      <c r="W104" s="2">
        <v>1.3225292808489499</v>
      </c>
      <c r="X104" s="2">
        <v>3.57211432672905</v>
      </c>
      <c r="Y104" s="2">
        <v>21.430204045915399</v>
      </c>
      <c r="Z104" s="2">
        <v>1.5194142973374001</v>
      </c>
      <c r="AA104" s="3">
        <f t="shared" si="4"/>
        <v>53.962862796944982</v>
      </c>
      <c r="AB104" t="s">
        <v>45</v>
      </c>
      <c r="AC104">
        <v>84.42</v>
      </c>
      <c r="AD104">
        <v>45.97</v>
      </c>
      <c r="AE104">
        <v>13.05</v>
      </c>
      <c r="AF104">
        <v>27.84</v>
      </c>
      <c r="AG104">
        <v>16.440000000000001</v>
      </c>
      <c r="AH104">
        <v>31.82</v>
      </c>
      <c r="AI104">
        <v>35.83</v>
      </c>
      <c r="AJ104">
        <v>26.6</v>
      </c>
      <c r="AK104">
        <v>54.89</v>
      </c>
      <c r="AL104">
        <v>26.77</v>
      </c>
      <c r="AM104">
        <v>31.42</v>
      </c>
      <c r="AN104">
        <v>120.11</v>
      </c>
      <c r="AO104" s="1">
        <f t="shared" si="5"/>
        <v>515.16</v>
      </c>
    </row>
    <row r="105" spans="1:41" x14ac:dyDescent="0.25">
      <c r="A105" t="s">
        <v>148</v>
      </c>
      <c r="B105" s="2">
        <v>7298.5497737339001</v>
      </c>
      <c r="C105" s="2">
        <v>801.73289219278297</v>
      </c>
      <c r="D105" s="2">
        <v>739.09418379246097</v>
      </c>
      <c r="E105" s="2">
        <v>948.81922864380499</v>
      </c>
      <c r="F105" s="2">
        <v>15170.7830326245</v>
      </c>
      <c r="G105" s="2">
        <v>19.562806231301099</v>
      </c>
      <c r="H105" s="2">
        <v>4659.7300393137302</v>
      </c>
      <c r="I105" s="2">
        <v>0</v>
      </c>
      <c r="J105" s="2">
        <v>3984.4899262552999</v>
      </c>
      <c r="K105" s="2">
        <v>1229.0007109416399</v>
      </c>
      <c r="L105" s="2">
        <v>1034.5172627348099</v>
      </c>
      <c r="M105" s="2">
        <v>2869.92056108015</v>
      </c>
      <c r="N105" s="3">
        <f t="shared" si="3"/>
        <v>38756.20041754438</v>
      </c>
      <c r="O105" s="2">
        <v>9.9196056843651803</v>
      </c>
      <c r="P105" s="2">
        <v>3.4779206474428399</v>
      </c>
      <c r="Q105" s="2">
        <v>1.44768042494524</v>
      </c>
      <c r="R105" s="2">
        <v>3.4994862074866702</v>
      </c>
      <c r="S105" s="2">
        <v>6.8168579350193896</v>
      </c>
      <c r="T105" s="2">
        <v>7.3335420406788296</v>
      </c>
      <c r="U105" s="2">
        <v>2.6898752675345401</v>
      </c>
      <c r="V105" s="2">
        <v>0</v>
      </c>
      <c r="W105" s="2">
        <v>2.3506752640661102</v>
      </c>
      <c r="X105" s="2">
        <v>2.08193018863743</v>
      </c>
      <c r="Y105" s="2">
        <v>8.3091782108701402</v>
      </c>
      <c r="Z105" s="2">
        <v>9.0878218772433392</v>
      </c>
      <c r="AA105" s="3">
        <f t="shared" si="4"/>
        <v>57.014573748289706</v>
      </c>
      <c r="AB105" t="s">
        <v>45</v>
      </c>
      <c r="AC105">
        <v>83.48</v>
      </c>
      <c r="AD105">
        <v>18.21</v>
      </c>
      <c r="AE105">
        <v>17.489999999999998</v>
      </c>
      <c r="AF105">
        <v>19.68</v>
      </c>
      <c r="AG105">
        <v>162.05000000000001</v>
      </c>
      <c r="AH105">
        <v>10.59</v>
      </c>
      <c r="AI105">
        <v>56.74</v>
      </c>
      <c r="AJ105">
        <v>9.99</v>
      </c>
      <c r="AK105">
        <v>49.99</v>
      </c>
      <c r="AL105">
        <v>22.44</v>
      </c>
      <c r="AM105">
        <v>20.79</v>
      </c>
      <c r="AN105">
        <v>39.19</v>
      </c>
      <c r="AO105" s="1">
        <f t="shared" si="5"/>
        <v>510.64</v>
      </c>
    </row>
    <row r="106" spans="1:41" x14ac:dyDescent="0.25">
      <c r="A106" t="s">
        <v>149</v>
      </c>
      <c r="B106" s="2">
        <v>7276.6989573281298</v>
      </c>
      <c r="C106" s="2">
        <v>35.563994949357202</v>
      </c>
      <c r="D106" s="2">
        <v>1783.3780206635199</v>
      </c>
      <c r="E106" s="2">
        <v>3912.4217755868099</v>
      </c>
      <c r="F106" s="2">
        <v>4521.5054708525804</v>
      </c>
      <c r="G106" s="2">
        <v>5726.7484575068402</v>
      </c>
      <c r="H106" s="2">
        <v>946.50799688095503</v>
      </c>
      <c r="I106" s="2">
        <v>685.36990300989896</v>
      </c>
      <c r="J106" s="2">
        <v>1243.8478124425401</v>
      </c>
      <c r="K106" s="2">
        <v>2290.9049048329898</v>
      </c>
      <c r="L106" s="2">
        <v>1572.70242958018</v>
      </c>
      <c r="M106" s="2">
        <v>4767.3040971404498</v>
      </c>
      <c r="N106" s="3">
        <f t="shared" si="3"/>
        <v>34762.953820774252</v>
      </c>
      <c r="O106" s="2">
        <v>4.0433211999666199</v>
      </c>
      <c r="P106" s="2">
        <v>0.37382563459057</v>
      </c>
      <c r="Q106" s="2">
        <v>0.61881224863732498</v>
      </c>
      <c r="R106" s="2">
        <v>2.2977707697877801</v>
      </c>
      <c r="S106" s="2">
        <v>1.6744477239772999</v>
      </c>
      <c r="T106" s="2">
        <v>17.032247877959598</v>
      </c>
      <c r="U106" s="2">
        <v>3.8459727548681499</v>
      </c>
      <c r="V106" s="2">
        <v>4.6637729386951898</v>
      </c>
      <c r="W106" s="2">
        <v>13.6837893857394</v>
      </c>
      <c r="X106" s="2">
        <v>1.97364949427423</v>
      </c>
      <c r="Y106" s="2">
        <v>6.5230659250684502</v>
      </c>
      <c r="Z106" s="2">
        <v>2.1740724366151301</v>
      </c>
      <c r="AA106" s="3">
        <f t="shared" si="4"/>
        <v>58.904748390179741</v>
      </c>
      <c r="AB106" t="s">
        <v>63</v>
      </c>
      <c r="AC106">
        <v>145.99</v>
      </c>
      <c r="AD106">
        <v>0.81</v>
      </c>
      <c r="AE106">
        <v>35.770000000000003</v>
      </c>
      <c r="AF106">
        <v>78.53</v>
      </c>
      <c r="AG106">
        <v>90.62</v>
      </c>
      <c r="AH106">
        <v>116.16</v>
      </c>
      <c r="AI106">
        <v>19.3</v>
      </c>
      <c r="AJ106">
        <v>14.17</v>
      </c>
      <c r="AK106">
        <v>26.14</v>
      </c>
      <c r="AL106">
        <v>46</v>
      </c>
      <c r="AM106">
        <v>32.090000000000003</v>
      </c>
      <c r="AN106">
        <v>95.63</v>
      </c>
      <c r="AO106" s="1">
        <f t="shared" si="5"/>
        <v>701.21</v>
      </c>
    </row>
    <row r="107" spans="1:41" x14ac:dyDescent="0.25">
      <c r="A107" t="s">
        <v>150</v>
      </c>
      <c r="B107" s="2">
        <v>7219.09800279308</v>
      </c>
      <c r="C107" s="2">
        <v>5394.0201328101602</v>
      </c>
      <c r="D107" s="2">
        <v>6439.7180721919804</v>
      </c>
      <c r="E107" s="2">
        <v>3442.0338235015001</v>
      </c>
      <c r="F107" s="2">
        <v>2809.0443768216001</v>
      </c>
      <c r="G107" s="2">
        <v>7366.3208669812902</v>
      </c>
      <c r="H107" s="2">
        <v>1253.6785254393401</v>
      </c>
      <c r="I107" s="2">
        <v>2731.7789826469598</v>
      </c>
      <c r="J107" s="2">
        <v>3242.9208739136202</v>
      </c>
      <c r="K107" s="2">
        <v>8649.3774063188303</v>
      </c>
      <c r="L107" s="2">
        <v>300.50541939802702</v>
      </c>
      <c r="M107" s="2">
        <v>657.70468479809006</v>
      </c>
      <c r="N107" s="3">
        <f t="shared" si="3"/>
        <v>49506.201167614476</v>
      </c>
      <c r="O107" s="2">
        <v>2.6266120604533501</v>
      </c>
      <c r="P107" s="2">
        <v>0.95762514819609601</v>
      </c>
      <c r="Q107" s="2">
        <v>8.2046620510534591</v>
      </c>
      <c r="R107" s="2">
        <v>6.45649013792438</v>
      </c>
      <c r="S107" s="2">
        <v>2.56624150984717</v>
      </c>
      <c r="T107" s="2">
        <v>4.5097993870388899</v>
      </c>
      <c r="U107" s="2">
        <v>0.66589407738732298</v>
      </c>
      <c r="V107" s="2">
        <v>2.2630455510776399</v>
      </c>
      <c r="W107" s="2">
        <v>1.5530562784086399</v>
      </c>
      <c r="X107" s="2">
        <v>0.781959140879254</v>
      </c>
      <c r="Y107" s="2">
        <v>8.3220998867621692</v>
      </c>
      <c r="Z107" s="2">
        <v>4.3022846889265596</v>
      </c>
      <c r="AA107" s="3">
        <f t="shared" si="4"/>
        <v>43.209769917954937</v>
      </c>
      <c r="AB107" t="s">
        <v>45</v>
      </c>
      <c r="AC107">
        <v>82.34</v>
      </c>
      <c r="AD107">
        <v>63.99</v>
      </c>
      <c r="AE107">
        <v>74.84</v>
      </c>
      <c r="AF107">
        <v>44.77</v>
      </c>
      <c r="AG107">
        <v>38.24</v>
      </c>
      <c r="AH107">
        <v>83.91</v>
      </c>
      <c r="AI107">
        <v>22.58</v>
      </c>
      <c r="AJ107">
        <v>37.46</v>
      </c>
      <c r="AK107">
        <v>42.52</v>
      </c>
      <c r="AL107">
        <v>96.54</v>
      </c>
      <c r="AM107">
        <v>13.45</v>
      </c>
      <c r="AN107">
        <v>16.82</v>
      </c>
      <c r="AO107" s="1">
        <f t="shared" si="5"/>
        <v>617.46</v>
      </c>
    </row>
    <row r="108" spans="1:41" x14ac:dyDescent="0.25">
      <c r="A108" t="s">
        <v>151</v>
      </c>
      <c r="B108" s="2">
        <v>7201.0294060718898</v>
      </c>
      <c r="C108" s="2">
        <v>1622.9473312033899</v>
      </c>
      <c r="D108" s="2">
        <v>0</v>
      </c>
      <c r="E108" s="2">
        <v>7904.0003817762699</v>
      </c>
      <c r="F108" s="2">
        <v>4228.1424643315104</v>
      </c>
      <c r="G108" s="2">
        <v>0</v>
      </c>
      <c r="H108" s="2">
        <v>4687.40921070472</v>
      </c>
      <c r="I108" s="2">
        <v>765.83588993389299</v>
      </c>
      <c r="J108" s="2">
        <v>0</v>
      </c>
      <c r="K108" s="2">
        <v>2483.1479651807999</v>
      </c>
      <c r="L108" s="2">
        <v>77.170291994658598</v>
      </c>
      <c r="M108" s="2">
        <v>12229.985195953401</v>
      </c>
      <c r="N108" s="3">
        <f t="shared" si="3"/>
        <v>41199.668137150533</v>
      </c>
      <c r="O108" s="2">
        <v>10.784477961371399</v>
      </c>
      <c r="P108" s="2">
        <v>8.6852509552817505</v>
      </c>
      <c r="Q108" s="2">
        <v>2.2694612753530601</v>
      </c>
      <c r="R108" s="2">
        <v>2.0462614291811199</v>
      </c>
      <c r="S108" s="2">
        <v>3.0391244076396</v>
      </c>
      <c r="T108" s="2">
        <v>1.5124990351713801</v>
      </c>
      <c r="U108" s="2">
        <v>4.1458074754865102</v>
      </c>
      <c r="V108" s="2">
        <v>0</v>
      </c>
      <c r="W108" s="2">
        <v>1.7104458775684199</v>
      </c>
      <c r="X108" s="2">
        <v>3.3284259880649198</v>
      </c>
      <c r="Y108" s="2">
        <v>3.96018078015214</v>
      </c>
      <c r="Z108" s="2">
        <v>7.6600531652902699</v>
      </c>
      <c r="AA108" s="3">
        <f t="shared" si="4"/>
        <v>49.141988350560574</v>
      </c>
      <c r="AB108" t="s">
        <v>45</v>
      </c>
      <c r="AC108">
        <v>82.56</v>
      </c>
      <c r="AD108">
        <v>26.67</v>
      </c>
      <c r="AE108">
        <v>10.14</v>
      </c>
      <c r="AF108">
        <v>89.19</v>
      </c>
      <c r="AG108">
        <v>52.48</v>
      </c>
      <c r="AH108">
        <v>10.09</v>
      </c>
      <c r="AI108">
        <v>57.12</v>
      </c>
      <c r="AJ108">
        <v>17.649999999999999</v>
      </c>
      <c r="AK108">
        <v>10.09</v>
      </c>
      <c r="AL108">
        <v>35.03</v>
      </c>
      <c r="AM108">
        <v>10.97</v>
      </c>
      <c r="AN108">
        <v>132.69</v>
      </c>
      <c r="AO108" s="1">
        <f t="shared" si="5"/>
        <v>534.68000000000006</v>
      </c>
    </row>
    <row r="109" spans="1:41" x14ac:dyDescent="0.25">
      <c r="A109" t="s">
        <v>152</v>
      </c>
      <c r="B109" s="2">
        <v>7194.7217665435501</v>
      </c>
      <c r="C109" s="2">
        <v>3006.1968139885398</v>
      </c>
      <c r="D109" s="2">
        <v>3732.4025342213499</v>
      </c>
      <c r="E109" s="2">
        <v>1872.0191036986801</v>
      </c>
      <c r="F109" s="2">
        <v>3437.95177821671</v>
      </c>
      <c r="G109" s="2">
        <v>13980.3623200533</v>
      </c>
      <c r="H109" s="2">
        <v>1754.40912486207</v>
      </c>
      <c r="I109" s="2">
        <v>4590.9338870582997</v>
      </c>
      <c r="J109" s="2">
        <v>0</v>
      </c>
      <c r="K109" s="2">
        <v>0</v>
      </c>
      <c r="L109" s="2">
        <v>4584.2811687854601</v>
      </c>
      <c r="M109" s="2">
        <v>5967.7954572706903</v>
      </c>
      <c r="N109" s="3">
        <f t="shared" si="3"/>
        <v>50121.073954698652</v>
      </c>
      <c r="O109" s="2">
        <v>2.0457486905201399</v>
      </c>
      <c r="P109" s="2">
        <v>2.76938005390492</v>
      </c>
      <c r="Q109" s="2">
        <v>3.0405618557154601</v>
      </c>
      <c r="R109" s="2">
        <v>0</v>
      </c>
      <c r="S109" s="2">
        <v>5.18834627792726</v>
      </c>
      <c r="T109" s="2">
        <v>8.8834711772576505</v>
      </c>
      <c r="U109" s="2">
        <v>1.71335956418404</v>
      </c>
      <c r="V109" s="2">
        <v>9.6794034503635604</v>
      </c>
      <c r="W109" s="2">
        <v>21.2925311301709</v>
      </c>
      <c r="X109" s="2">
        <v>0.88720359129319004</v>
      </c>
      <c r="Y109" s="2">
        <v>0.72184891512085203</v>
      </c>
      <c r="Z109" s="2">
        <v>10.7478473605606</v>
      </c>
      <c r="AA109" s="3">
        <f t="shared" si="4"/>
        <v>66.969702067018574</v>
      </c>
      <c r="AB109" t="s">
        <v>45</v>
      </c>
      <c r="AC109">
        <v>82.09</v>
      </c>
      <c r="AD109">
        <v>40.21</v>
      </c>
      <c r="AE109">
        <v>47.52</v>
      </c>
      <c r="AF109">
        <v>28.72</v>
      </c>
      <c r="AG109">
        <v>44.67</v>
      </c>
      <c r="AH109">
        <v>150.25</v>
      </c>
      <c r="AI109">
        <v>27.64</v>
      </c>
      <c r="AJ109">
        <v>56.4</v>
      </c>
      <c r="AK109">
        <v>11.09</v>
      </c>
      <c r="AL109">
        <v>10.039999999999999</v>
      </c>
      <c r="AM109">
        <v>55.89</v>
      </c>
      <c r="AN109">
        <v>70.22</v>
      </c>
      <c r="AO109" s="1">
        <f t="shared" si="5"/>
        <v>624.74</v>
      </c>
    </row>
    <row r="110" spans="1:41" x14ac:dyDescent="0.25">
      <c r="A110" t="s">
        <v>153</v>
      </c>
      <c r="B110" s="2">
        <v>7192.5090704285503</v>
      </c>
      <c r="C110" s="2">
        <v>10813.365491434801</v>
      </c>
      <c r="D110" s="2">
        <v>2579.5524115600601</v>
      </c>
      <c r="E110" s="2">
        <v>9796.2224711382005</v>
      </c>
      <c r="F110" s="2">
        <v>5084.4960620235797</v>
      </c>
      <c r="G110" s="2">
        <v>169.47498290264701</v>
      </c>
      <c r="H110" s="2">
        <v>8649.7778124075394</v>
      </c>
      <c r="I110" s="2">
        <v>3153.7645884703102</v>
      </c>
      <c r="J110" s="2">
        <v>1392.4367840471</v>
      </c>
      <c r="K110" s="2">
        <v>3943.8480452560898</v>
      </c>
      <c r="L110" s="2">
        <v>2431.7157946739499</v>
      </c>
      <c r="M110" s="2">
        <v>143.72261721470801</v>
      </c>
      <c r="N110" s="3">
        <f t="shared" si="3"/>
        <v>55350.886131557534</v>
      </c>
      <c r="O110" s="2">
        <v>3.1218944705518301</v>
      </c>
      <c r="P110" s="2">
        <v>4.06166144342885</v>
      </c>
      <c r="Q110" s="2">
        <v>2.99395977008614</v>
      </c>
      <c r="R110" s="2">
        <v>4.1299406500015401</v>
      </c>
      <c r="S110" s="2">
        <v>0</v>
      </c>
      <c r="T110" s="2">
        <v>7.25851493310177</v>
      </c>
      <c r="U110" s="2">
        <v>9.6009412239629697</v>
      </c>
      <c r="V110" s="2">
        <v>0</v>
      </c>
      <c r="W110" s="2">
        <v>7.11608438506018</v>
      </c>
      <c r="X110" s="2">
        <v>0.86220881332223698</v>
      </c>
      <c r="Y110" s="2">
        <v>1.7775527890660101</v>
      </c>
      <c r="Z110" s="2">
        <v>4.1061566600295896</v>
      </c>
      <c r="AA110" s="3">
        <f t="shared" si="4"/>
        <v>45.028915138611119</v>
      </c>
      <c r="AB110" t="s">
        <v>45</v>
      </c>
      <c r="AC110">
        <v>82.12</v>
      </c>
      <c r="AD110">
        <v>118.38</v>
      </c>
      <c r="AE110">
        <v>35.94</v>
      </c>
      <c r="AF110">
        <v>108.21</v>
      </c>
      <c r="AG110">
        <v>60.84</v>
      </c>
      <c r="AH110">
        <v>12.09</v>
      </c>
      <c r="AI110">
        <v>96.99</v>
      </c>
      <c r="AJ110">
        <v>41.53</v>
      </c>
      <c r="AK110">
        <v>24.32</v>
      </c>
      <c r="AL110">
        <v>49.48</v>
      </c>
      <c r="AM110">
        <v>34.409999999999997</v>
      </c>
      <c r="AN110">
        <v>11.68</v>
      </c>
      <c r="AO110" s="1">
        <f t="shared" si="5"/>
        <v>675.9899999999999</v>
      </c>
    </row>
    <row r="111" spans="1:41" x14ac:dyDescent="0.25">
      <c r="A111" t="s">
        <v>154</v>
      </c>
      <c r="B111" s="2">
        <v>7192.4247703843002</v>
      </c>
      <c r="C111" s="2">
        <v>9289.0966541485104</v>
      </c>
      <c r="D111" s="2">
        <v>7720.8932439410901</v>
      </c>
      <c r="E111" s="2">
        <v>5650.03283824544</v>
      </c>
      <c r="F111" s="2">
        <v>538.94962893092202</v>
      </c>
      <c r="G111" s="2">
        <v>629.88303910997399</v>
      </c>
      <c r="H111" s="2">
        <v>1618.76488901126</v>
      </c>
      <c r="I111" s="2">
        <v>4090.18889185426</v>
      </c>
      <c r="J111" s="2">
        <v>5977.42293486983</v>
      </c>
      <c r="K111" s="2">
        <v>1740.8733737948901</v>
      </c>
      <c r="L111" s="2">
        <v>880.37172830895304</v>
      </c>
      <c r="M111" s="2">
        <v>2053.9900956346801</v>
      </c>
      <c r="N111" s="3">
        <f t="shared" si="3"/>
        <v>47382.892088234104</v>
      </c>
      <c r="O111" s="2">
        <v>1.62319708953763</v>
      </c>
      <c r="P111" s="2">
        <v>4.4545789622480001</v>
      </c>
      <c r="Q111" s="2">
        <v>1.7618203674005299</v>
      </c>
      <c r="R111" s="2">
        <v>7.4997961029738303</v>
      </c>
      <c r="S111" s="2">
        <v>2.3447222116157498</v>
      </c>
      <c r="T111" s="2">
        <v>0</v>
      </c>
      <c r="U111" s="2">
        <v>3.5613567297570698</v>
      </c>
      <c r="V111" s="2">
        <v>1.7859603219929201</v>
      </c>
      <c r="W111" s="2">
        <v>0.25579024792522698</v>
      </c>
      <c r="X111" s="2">
        <v>1.2464345705466899</v>
      </c>
      <c r="Y111" s="2">
        <v>0.57634636765426595</v>
      </c>
      <c r="Z111" s="2">
        <v>5.1384925387690199</v>
      </c>
      <c r="AA111" s="3">
        <f t="shared" si="4"/>
        <v>30.248495510420931</v>
      </c>
      <c r="AB111" t="s">
        <v>45</v>
      </c>
      <c r="AC111">
        <v>82.02</v>
      </c>
      <c r="AD111">
        <v>103.14</v>
      </c>
      <c r="AE111">
        <v>87.3</v>
      </c>
      <c r="AF111">
        <v>66.900000000000006</v>
      </c>
      <c r="AG111">
        <v>15.53</v>
      </c>
      <c r="AH111">
        <v>16.29</v>
      </c>
      <c r="AI111">
        <v>26.38</v>
      </c>
      <c r="AJ111">
        <v>51</v>
      </c>
      <c r="AK111">
        <v>69.819999999999993</v>
      </c>
      <c r="AL111">
        <v>27.5</v>
      </c>
      <c r="AM111">
        <v>18.850000000000001</v>
      </c>
      <c r="AN111">
        <v>30.83</v>
      </c>
      <c r="AO111" s="1">
        <f t="shared" si="5"/>
        <v>595.56000000000006</v>
      </c>
    </row>
    <row r="112" spans="1:41" x14ac:dyDescent="0.25">
      <c r="A112" t="s">
        <v>155</v>
      </c>
      <c r="B112" s="2">
        <v>7150.7348902539097</v>
      </c>
      <c r="C112" s="2">
        <v>4121.8189131121699</v>
      </c>
      <c r="D112" s="2">
        <v>0</v>
      </c>
      <c r="E112" s="2">
        <v>4503.5874573785204</v>
      </c>
      <c r="F112" s="2">
        <v>474.56190198125302</v>
      </c>
      <c r="G112" s="2">
        <v>1658.41329252931</v>
      </c>
      <c r="H112" s="2">
        <v>4471.2596993943598</v>
      </c>
      <c r="I112" s="2">
        <v>7815.2470877105497</v>
      </c>
      <c r="J112" s="2">
        <v>2209.6794448863502</v>
      </c>
      <c r="K112" s="2">
        <v>6078.7289329064997</v>
      </c>
      <c r="L112" s="2">
        <v>5710.0074342172502</v>
      </c>
      <c r="M112" s="2">
        <v>990.14820099994404</v>
      </c>
      <c r="N112" s="3">
        <f t="shared" si="3"/>
        <v>45184.187255370125</v>
      </c>
      <c r="O112" s="2">
        <v>2.9526369207668899</v>
      </c>
      <c r="P112" s="2">
        <v>1.53530818095752</v>
      </c>
      <c r="Q112" s="2">
        <v>0.85154040258379404</v>
      </c>
      <c r="R112" s="2">
        <v>1.24959676493664</v>
      </c>
      <c r="S112" s="2">
        <v>7.0677965032371901</v>
      </c>
      <c r="T112" s="2">
        <v>3.45141478773263</v>
      </c>
      <c r="U112" s="2">
        <v>0.100420143560412</v>
      </c>
      <c r="V112" s="2">
        <v>1.39502041479699</v>
      </c>
      <c r="W112" s="2">
        <v>1.899888102459</v>
      </c>
      <c r="X112" s="2">
        <v>0.230177600081022</v>
      </c>
      <c r="Y112" s="2">
        <v>2.67464385028343</v>
      </c>
      <c r="Z112" s="2">
        <v>2.6172189207362502</v>
      </c>
      <c r="AA112" s="3">
        <f t="shared" si="4"/>
        <v>26.025662592131766</v>
      </c>
      <c r="AB112" t="s">
        <v>45</v>
      </c>
      <c r="AC112">
        <v>81.650000000000006</v>
      </c>
      <c r="AD112">
        <v>51.31</v>
      </c>
      <c r="AE112">
        <v>10.039999999999999</v>
      </c>
      <c r="AF112">
        <v>55.13</v>
      </c>
      <c r="AG112">
        <v>15.14</v>
      </c>
      <c r="AH112">
        <v>26.78</v>
      </c>
      <c r="AI112">
        <v>54.76</v>
      </c>
      <c r="AJ112">
        <v>88.25</v>
      </c>
      <c r="AK112">
        <v>32.19</v>
      </c>
      <c r="AL112">
        <v>70.83</v>
      </c>
      <c r="AM112">
        <v>67.25</v>
      </c>
      <c r="AN112">
        <v>20.05</v>
      </c>
      <c r="AO112" s="1">
        <f t="shared" si="5"/>
        <v>573.37999999999988</v>
      </c>
    </row>
    <row r="113" spans="1:41" x14ac:dyDescent="0.25">
      <c r="A113" t="s">
        <v>156</v>
      </c>
      <c r="B113" s="2">
        <v>7115.7603513166296</v>
      </c>
      <c r="C113" s="2">
        <v>1719.8736892018501</v>
      </c>
      <c r="D113" s="2">
        <v>983.91321020862404</v>
      </c>
      <c r="E113" s="2">
        <v>1032.65011221495</v>
      </c>
      <c r="F113" s="2">
        <v>2461.1780671511101</v>
      </c>
      <c r="G113" s="2">
        <v>18057.204193515601</v>
      </c>
      <c r="H113" s="2">
        <v>34.889208303630397</v>
      </c>
      <c r="I113" s="2">
        <v>615.87600604137299</v>
      </c>
      <c r="J113" s="2">
        <v>2823.5021982073699</v>
      </c>
      <c r="K113" s="2">
        <v>2072.9400889749199</v>
      </c>
      <c r="L113" s="2">
        <v>2197.37169828894</v>
      </c>
      <c r="M113" s="2">
        <v>1930.10294234243</v>
      </c>
      <c r="N113" s="3">
        <f t="shared" si="3"/>
        <v>41045.261765767427</v>
      </c>
      <c r="O113" s="2">
        <v>4.5384635299001497</v>
      </c>
      <c r="P113" s="2">
        <v>0</v>
      </c>
      <c r="Q113" s="2">
        <v>11.3831103627818</v>
      </c>
      <c r="R113" s="2">
        <v>7.3264147418296002</v>
      </c>
      <c r="S113" s="2">
        <v>1.27151385612214</v>
      </c>
      <c r="T113" s="2">
        <v>1.9011195147504101</v>
      </c>
      <c r="U113" s="2">
        <v>0</v>
      </c>
      <c r="V113" s="2">
        <v>2.0462514981540099</v>
      </c>
      <c r="W113" s="2">
        <v>0.799411720892513</v>
      </c>
      <c r="X113" s="2">
        <v>3.9096677444497501</v>
      </c>
      <c r="Y113" s="2">
        <v>0.89661779550575504</v>
      </c>
      <c r="Z113" s="2">
        <v>1.61966477473181</v>
      </c>
      <c r="AA113" s="3">
        <f t="shared" si="4"/>
        <v>35.692235539117938</v>
      </c>
      <c r="AB113" t="s">
        <v>45</v>
      </c>
      <c r="AC113">
        <v>81.400000000000006</v>
      </c>
      <c r="AD113">
        <v>27.19</v>
      </c>
      <c r="AE113">
        <v>20.43</v>
      </c>
      <c r="AF113">
        <v>20.72</v>
      </c>
      <c r="AG113">
        <v>34.71</v>
      </c>
      <c r="AH113">
        <v>190.67</v>
      </c>
      <c r="AI113">
        <v>10.34</v>
      </c>
      <c r="AJ113">
        <v>16.3</v>
      </c>
      <c r="AK113">
        <v>38.28</v>
      </c>
      <c r="AL113">
        <v>30.92</v>
      </c>
      <c r="AM113">
        <v>32.020000000000003</v>
      </c>
      <c r="AN113">
        <v>29.4</v>
      </c>
      <c r="AO113" s="1">
        <f t="shared" si="5"/>
        <v>532.38</v>
      </c>
    </row>
    <row r="114" spans="1:41" x14ac:dyDescent="0.25">
      <c r="A114" t="s">
        <v>157</v>
      </c>
      <c r="B114" s="2">
        <v>7102.5413625102901</v>
      </c>
      <c r="C114" s="2">
        <v>1547.4658606202399</v>
      </c>
      <c r="D114" s="2">
        <v>3726.48661285553</v>
      </c>
      <c r="E114" s="2">
        <v>10628.010423302199</v>
      </c>
      <c r="F114" s="2">
        <v>6087.1552372435199</v>
      </c>
      <c r="G114" s="2">
        <v>0</v>
      </c>
      <c r="H114" s="2">
        <v>556.14509491200999</v>
      </c>
      <c r="I114" s="2">
        <v>1360.9722277886999</v>
      </c>
      <c r="J114" s="2">
        <v>9894.5714501838793</v>
      </c>
      <c r="K114" s="2">
        <v>15253.507113797499</v>
      </c>
      <c r="L114" s="2">
        <v>1347.0038340082299</v>
      </c>
      <c r="M114" s="2">
        <v>4654.4664653651898</v>
      </c>
      <c r="N114" s="3">
        <f t="shared" si="3"/>
        <v>62158.325682587296</v>
      </c>
      <c r="O114" s="2">
        <v>3.47459225577497</v>
      </c>
      <c r="P114" s="2">
        <v>3.08297027584684</v>
      </c>
      <c r="Q114" s="2">
        <v>1.0200980717107799</v>
      </c>
      <c r="R114" s="2">
        <v>2.0250389715434198</v>
      </c>
      <c r="S114" s="2">
        <v>1.31159365527978</v>
      </c>
      <c r="T114" s="2">
        <v>0.90516109025978198</v>
      </c>
      <c r="U114" s="2">
        <v>0</v>
      </c>
      <c r="V114" s="2">
        <v>17.987150995619601</v>
      </c>
      <c r="W114" s="2">
        <v>3.5201143367488799</v>
      </c>
      <c r="X114" s="2">
        <v>4.5109115313860499</v>
      </c>
      <c r="Y114" s="2">
        <v>9.9315369566339502</v>
      </c>
      <c r="Z114" s="2">
        <v>20.950358936781502</v>
      </c>
      <c r="AA114" s="3">
        <f t="shared" si="4"/>
        <v>68.719527077585553</v>
      </c>
      <c r="AB114" t="s">
        <v>45</v>
      </c>
      <c r="AC114">
        <v>81.22</v>
      </c>
      <c r="AD114">
        <v>25.67</v>
      </c>
      <c r="AE114">
        <v>47.36</v>
      </c>
      <c r="AF114">
        <v>116.43</v>
      </c>
      <c r="AG114">
        <v>70.97</v>
      </c>
      <c r="AH114">
        <v>10.039999999999999</v>
      </c>
      <c r="AI114">
        <v>15.56</v>
      </c>
      <c r="AJ114">
        <v>24.5</v>
      </c>
      <c r="AK114">
        <v>109.14</v>
      </c>
      <c r="AL114">
        <v>162.78</v>
      </c>
      <c r="AM114">
        <v>23.97</v>
      </c>
      <c r="AN114">
        <v>57.59</v>
      </c>
      <c r="AO114" s="1">
        <f t="shared" si="5"/>
        <v>745.23</v>
      </c>
    </row>
    <row r="115" spans="1:41" x14ac:dyDescent="0.25">
      <c r="A115" t="s">
        <v>158</v>
      </c>
      <c r="B115" s="2">
        <v>7086.1643356594004</v>
      </c>
      <c r="C115" s="2">
        <v>4857.1293800131998</v>
      </c>
      <c r="D115" s="2">
        <v>10064.440224817199</v>
      </c>
      <c r="E115" s="2">
        <v>1626.77426770989</v>
      </c>
      <c r="F115" s="2">
        <v>3028.8586435556199</v>
      </c>
      <c r="G115" s="2">
        <v>8169.6484656362099</v>
      </c>
      <c r="H115" s="2">
        <v>3524.4949273541001</v>
      </c>
      <c r="I115" s="2">
        <v>13043.580192719</v>
      </c>
      <c r="J115" s="2">
        <v>413.82221938420503</v>
      </c>
      <c r="K115" s="2">
        <v>1231.9777639219899</v>
      </c>
      <c r="L115" s="2">
        <v>13278.3716830171</v>
      </c>
      <c r="M115" s="2">
        <v>1755.3861085026101</v>
      </c>
      <c r="N115" s="3">
        <f t="shared" si="3"/>
        <v>68080.648212290529</v>
      </c>
      <c r="O115" s="2">
        <v>1.0649325917846499</v>
      </c>
      <c r="P115" s="2">
        <v>7.4399579706230403</v>
      </c>
      <c r="Q115" s="2">
        <v>2.4465515876286901</v>
      </c>
      <c r="R115" s="2">
        <v>0.61214538310181299</v>
      </c>
      <c r="S115" s="2">
        <v>1.7155696864784</v>
      </c>
      <c r="T115" s="2">
        <v>0.63867976733864595</v>
      </c>
      <c r="U115" s="2">
        <v>5.8066014804175499</v>
      </c>
      <c r="V115" s="2">
        <v>1.8635892954601601</v>
      </c>
      <c r="W115" s="2">
        <v>0.40837987831614903</v>
      </c>
      <c r="X115" s="2">
        <v>9.8472308290834807</v>
      </c>
      <c r="Y115" s="2">
        <v>7.2874425368962896</v>
      </c>
      <c r="Z115" s="2">
        <v>8.6200570375270598</v>
      </c>
      <c r="AA115" s="3">
        <f t="shared" si="4"/>
        <v>47.751138044655931</v>
      </c>
      <c r="AB115" t="s">
        <v>63</v>
      </c>
      <c r="AC115">
        <v>141.91999999999999</v>
      </c>
      <c r="AD115">
        <v>97.88</v>
      </c>
      <c r="AE115">
        <v>201.57</v>
      </c>
      <c r="AF115">
        <v>32.630000000000003</v>
      </c>
      <c r="AG115">
        <v>60.76</v>
      </c>
      <c r="AH115">
        <v>163.49</v>
      </c>
      <c r="AI115">
        <v>71.040000000000006</v>
      </c>
      <c r="AJ115">
        <v>261.06</v>
      </c>
      <c r="AK115">
        <v>8.3699999999999992</v>
      </c>
      <c r="AL115">
        <v>25.54</v>
      </c>
      <c r="AM115">
        <v>266.3</v>
      </c>
      <c r="AN115">
        <v>35.93</v>
      </c>
      <c r="AO115" s="1">
        <f t="shared" si="5"/>
        <v>1366.4899999999998</v>
      </c>
    </row>
    <row r="116" spans="1:41" x14ac:dyDescent="0.25">
      <c r="A116" t="s">
        <v>159</v>
      </c>
      <c r="B116" s="2">
        <v>7075.0785916078903</v>
      </c>
      <c r="C116" s="2">
        <v>1128.1541474117901</v>
      </c>
      <c r="D116" s="2">
        <v>5623.8110369135602</v>
      </c>
      <c r="E116" s="2">
        <v>3330.1535049036002</v>
      </c>
      <c r="F116" s="2">
        <v>584.37224155466799</v>
      </c>
      <c r="G116" s="2">
        <v>3022.0801124108598</v>
      </c>
      <c r="H116" s="2">
        <v>2182.86749481589</v>
      </c>
      <c r="I116" s="2">
        <v>1168.46411136695</v>
      </c>
      <c r="J116" s="2">
        <v>8173.2343753868099</v>
      </c>
      <c r="K116" s="2">
        <v>2122.56465560471</v>
      </c>
      <c r="L116" s="2">
        <v>7457.1937748800801</v>
      </c>
      <c r="M116" s="2">
        <v>7139.2208587580399</v>
      </c>
      <c r="N116" s="3">
        <f t="shared" si="3"/>
        <v>49007.194905614844</v>
      </c>
      <c r="O116" s="2">
        <v>3.7765080201922401</v>
      </c>
      <c r="P116" s="2">
        <v>2.37196791083421</v>
      </c>
      <c r="Q116" s="2">
        <v>1.1537862688192699</v>
      </c>
      <c r="R116" s="2">
        <v>2.0905283272418802</v>
      </c>
      <c r="S116" s="2">
        <v>3.5280883050942999</v>
      </c>
      <c r="T116" s="2">
        <v>6.4008326547287204</v>
      </c>
      <c r="U116" s="2">
        <v>5.0730567005895999</v>
      </c>
      <c r="V116" s="2">
        <v>3.2104660257267099</v>
      </c>
      <c r="W116" s="2">
        <v>9.0675593271137203</v>
      </c>
      <c r="X116" s="2">
        <v>7.5108719006924698</v>
      </c>
      <c r="Y116" s="2">
        <v>7.0522195195225796</v>
      </c>
      <c r="Z116" s="2">
        <v>0.78469881988408496</v>
      </c>
      <c r="AA116" s="3">
        <f t="shared" si="4"/>
        <v>52.020583780439786</v>
      </c>
      <c r="AB116" t="s">
        <v>45</v>
      </c>
      <c r="AC116">
        <v>80.95</v>
      </c>
      <c r="AD116">
        <v>21.43</v>
      </c>
      <c r="AE116">
        <v>66.33</v>
      </c>
      <c r="AF116">
        <v>43.45</v>
      </c>
      <c r="AG116">
        <v>16.04</v>
      </c>
      <c r="AH116">
        <v>40.57</v>
      </c>
      <c r="AI116">
        <v>32.119999999999997</v>
      </c>
      <c r="AJ116">
        <v>21.88</v>
      </c>
      <c r="AK116">
        <v>92.23</v>
      </c>
      <c r="AL116">
        <v>31.62</v>
      </c>
      <c r="AM116">
        <v>84.97</v>
      </c>
      <c r="AN116">
        <v>81.44</v>
      </c>
      <c r="AO116" s="1">
        <f t="shared" si="5"/>
        <v>613.03</v>
      </c>
    </row>
    <row r="117" spans="1:41" x14ac:dyDescent="0.25">
      <c r="A117" t="s">
        <v>160</v>
      </c>
      <c r="B117" s="2">
        <v>6991.2705850125203</v>
      </c>
      <c r="C117" s="2">
        <v>4506.9012290336696</v>
      </c>
      <c r="D117" s="2">
        <v>6797.3168705628204</v>
      </c>
      <c r="E117" s="2">
        <v>376.28013149211603</v>
      </c>
      <c r="F117" s="2">
        <v>3321.73392978944</v>
      </c>
      <c r="G117" s="2">
        <v>921.96637950925799</v>
      </c>
      <c r="H117" s="2">
        <v>102.998460952036</v>
      </c>
      <c r="I117" s="2">
        <v>4658.0416860794403</v>
      </c>
      <c r="J117" s="2">
        <v>0</v>
      </c>
      <c r="K117" s="2">
        <v>2479.8305649745998</v>
      </c>
      <c r="L117" s="2">
        <v>5670.5883983471003</v>
      </c>
      <c r="M117" s="2">
        <v>1565.23068320008</v>
      </c>
      <c r="N117" s="3">
        <f t="shared" si="3"/>
        <v>37392.158918953079</v>
      </c>
      <c r="O117" s="2">
        <v>2.8812953244110302</v>
      </c>
      <c r="P117" s="2">
        <v>3.58107373505797</v>
      </c>
      <c r="Q117" s="2">
        <v>2.8955133052634698</v>
      </c>
      <c r="R117" s="2">
        <v>1.6559678471638499</v>
      </c>
      <c r="S117" s="2">
        <v>11.714804453363</v>
      </c>
      <c r="T117" s="2">
        <v>0.79388670940277095</v>
      </c>
      <c r="U117" s="2">
        <v>14.0983118630751</v>
      </c>
      <c r="V117" s="2">
        <v>8.9484696136812705</v>
      </c>
      <c r="W117" s="2">
        <v>0.14343125285578501</v>
      </c>
      <c r="X117" s="2">
        <v>1.4238332102509099</v>
      </c>
      <c r="Y117" s="2">
        <v>0</v>
      </c>
      <c r="Z117" s="2">
        <v>0</v>
      </c>
      <c r="AA117" s="3">
        <f t="shared" si="4"/>
        <v>48.136587314525158</v>
      </c>
      <c r="AB117" t="s">
        <v>45</v>
      </c>
      <c r="AC117">
        <v>80.06</v>
      </c>
      <c r="AD117">
        <v>55.26</v>
      </c>
      <c r="AE117">
        <v>78.12</v>
      </c>
      <c r="AF117">
        <v>13.86</v>
      </c>
      <c r="AG117">
        <v>43.81</v>
      </c>
      <c r="AH117">
        <v>19.260000000000002</v>
      </c>
      <c r="AI117">
        <v>11.77</v>
      </c>
      <c r="AJ117">
        <v>57.03</v>
      </c>
      <c r="AK117">
        <v>10.039999999999999</v>
      </c>
      <c r="AL117">
        <v>34.89</v>
      </c>
      <c r="AM117">
        <v>66.7</v>
      </c>
      <c r="AN117">
        <v>25.65</v>
      </c>
      <c r="AO117" s="1">
        <f t="shared" si="5"/>
        <v>496.44999999999993</v>
      </c>
    </row>
    <row r="118" spans="1:41" x14ac:dyDescent="0.25">
      <c r="A118" t="s">
        <v>161</v>
      </c>
      <c r="B118" s="2">
        <v>6987.2539871182498</v>
      </c>
      <c r="C118" s="2">
        <v>11766.911321411901</v>
      </c>
      <c r="D118" s="2">
        <v>2553.9838797656098</v>
      </c>
      <c r="E118" s="2">
        <v>12665.1122999254</v>
      </c>
      <c r="F118" s="2">
        <v>2723.06509289519</v>
      </c>
      <c r="G118" s="2">
        <v>1661.77353807184</v>
      </c>
      <c r="H118" s="2">
        <v>5011.0181455681104</v>
      </c>
      <c r="I118" s="2">
        <v>885.89338760530404</v>
      </c>
      <c r="J118" s="2">
        <v>636.23469905772595</v>
      </c>
      <c r="K118" s="2">
        <v>3612.5803598682401</v>
      </c>
      <c r="L118" s="2">
        <v>2433.1659530019401</v>
      </c>
      <c r="M118" s="2">
        <v>0</v>
      </c>
      <c r="N118" s="3">
        <f t="shared" si="3"/>
        <v>50936.992664289508</v>
      </c>
      <c r="O118" s="2">
        <v>2.0358004112221999</v>
      </c>
      <c r="P118" s="2">
        <v>5.2531551271223504</v>
      </c>
      <c r="Q118" s="2">
        <v>2.6960723966611599</v>
      </c>
      <c r="R118" s="2">
        <v>2.8195586953228799</v>
      </c>
      <c r="S118" s="2">
        <v>1.87492506461657</v>
      </c>
      <c r="T118" s="2">
        <v>8.1760426729728997E-2</v>
      </c>
      <c r="U118" s="2">
        <v>4.9049120543820699</v>
      </c>
      <c r="V118" s="2">
        <v>1.45929428928317</v>
      </c>
      <c r="W118" s="2">
        <v>1.5318546724012101</v>
      </c>
      <c r="X118" s="2">
        <v>6.8463108665049104</v>
      </c>
      <c r="Y118" s="2">
        <v>3.0170669121939202</v>
      </c>
      <c r="Z118" s="2">
        <v>12.9385921265383</v>
      </c>
      <c r="AA118" s="3">
        <f t="shared" si="4"/>
        <v>45.459303042978476</v>
      </c>
      <c r="AB118" t="s">
        <v>45</v>
      </c>
      <c r="AC118">
        <v>80.02</v>
      </c>
      <c r="AD118">
        <v>127.96</v>
      </c>
      <c r="AE118">
        <v>35.68</v>
      </c>
      <c r="AF118">
        <v>136.80000000000001</v>
      </c>
      <c r="AG118">
        <v>37.33</v>
      </c>
      <c r="AH118">
        <v>26.66</v>
      </c>
      <c r="AI118">
        <v>60.36</v>
      </c>
      <c r="AJ118">
        <v>18.95</v>
      </c>
      <c r="AK118">
        <v>16.46</v>
      </c>
      <c r="AL118">
        <v>46.47</v>
      </c>
      <c r="AM118">
        <v>34.53</v>
      </c>
      <c r="AN118">
        <v>10.64</v>
      </c>
      <c r="AO118" s="1">
        <f t="shared" si="5"/>
        <v>631.86000000000013</v>
      </c>
    </row>
    <row r="119" spans="1:41" x14ac:dyDescent="0.25">
      <c r="A119" t="s">
        <v>162</v>
      </c>
      <c r="B119" s="2">
        <v>6959.8239597111597</v>
      </c>
      <c r="C119" s="2">
        <v>7530.2579985724296</v>
      </c>
      <c r="D119" s="2">
        <v>1565.55229571884</v>
      </c>
      <c r="E119" s="2">
        <v>3798.89553150452</v>
      </c>
      <c r="F119" s="2">
        <v>206.801414876553</v>
      </c>
      <c r="G119" s="2">
        <v>1354.1802818476101</v>
      </c>
      <c r="H119" s="2">
        <v>0</v>
      </c>
      <c r="I119" s="2">
        <v>3946.0934533773798</v>
      </c>
      <c r="J119" s="2">
        <v>1501.7584571114201</v>
      </c>
      <c r="K119" s="2">
        <v>0</v>
      </c>
      <c r="L119" s="2">
        <v>1312.59769016521</v>
      </c>
      <c r="M119" s="2">
        <v>980.03266699448795</v>
      </c>
      <c r="N119" s="3">
        <f t="shared" si="3"/>
        <v>29155.993749879613</v>
      </c>
      <c r="O119" s="2">
        <v>4.9604198488132898</v>
      </c>
      <c r="P119" s="2">
        <v>3.87476087630511</v>
      </c>
      <c r="Q119" s="2">
        <v>0.28379735383701998</v>
      </c>
      <c r="R119" s="2">
        <v>10.7930979761807</v>
      </c>
      <c r="S119" s="2">
        <v>2.76283913647279</v>
      </c>
      <c r="T119" s="2">
        <v>3.7289715119635698</v>
      </c>
      <c r="U119" s="2">
        <v>25.177538445855198</v>
      </c>
      <c r="V119" s="2">
        <v>3.7734319879016298</v>
      </c>
      <c r="W119" s="2">
        <v>0</v>
      </c>
      <c r="X119" s="2">
        <v>2.0354236906488601</v>
      </c>
      <c r="Y119" s="2">
        <v>7.9802205824738897</v>
      </c>
      <c r="Z119" s="2">
        <v>7.3297996540804098</v>
      </c>
      <c r="AA119" s="3">
        <f t="shared" si="4"/>
        <v>72.700301064532468</v>
      </c>
      <c r="AB119" t="s">
        <v>63</v>
      </c>
      <c r="AC119">
        <v>139.65</v>
      </c>
      <c r="AD119">
        <v>150.97999999999999</v>
      </c>
      <c r="AE119">
        <v>31.41</v>
      </c>
      <c r="AF119">
        <v>76.97</v>
      </c>
      <c r="AG119">
        <v>4.41</v>
      </c>
      <c r="AH119">
        <v>27.46</v>
      </c>
      <c r="AI119">
        <v>2.34</v>
      </c>
      <c r="AJ119">
        <v>79.3</v>
      </c>
      <c r="AK119">
        <v>30.04</v>
      </c>
      <c r="AL119">
        <v>0.27</v>
      </c>
      <c r="AM119">
        <v>26.98</v>
      </c>
      <c r="AN119">
        <v>20.34</v>
      </c>
      <c r="AO119" s="1">
        <f t="shared" si="5"/>
        <v>590.15</v>
      </c>
    </row>
    <row r="120" spans="1:41" x14ac:dyDescent="0.25">
      <c r="A120" t="s">
        <v>163</v>
      </c>
      <c r="B120" s="2">
        <v>6959.1672930474897</v>
      </c>
      <c r="C120" s="2">
        <v>11545.3590408661</v>
      </c>
      <c r="D120" s="2">
        <v>1912.35138397379</v>
      </c>
      <c r="E120" s="2">
        <v>8043.5823099849804</v>
      </c>
      <c r="F120" s="2">
        <v>5886.4303076352699</v>
      </c>
      <c r="G120" s="2">
        <v>942.91955713965297</v>
      </c>
      <c r="H120" s="2">
        <v>950.25879624406502</v>
      </c>
      <c r="I120" s="2">
        <v>3854.1980142225302</v>
      </c>
      <c r="J120" s="2">
        <v>777.36835626638003</v>
      </c>
      <c r="K120" s="2">
        <v>1930.6585303612001</v>
      </c>
      <c r="L120" s="2">
        <v>2010.6527855736699</v>
      </c>
      <c r="M120" s="2">
        <v>4279.6071137615399</v>
      </c>
      <c r="N120" s="3">
        <f t="shared" si="3"/>
        <v>49092.553489076672</v>
      </c>
      <c r="O120" s="2">
        <v>4.5232240438582298</v>
      </c>
      <c r="P120" s="2">
        <v>4.8238454828315298</v>
      </c>
      <c r="Q120" s="2">
        <v>1.1346670490866</v>
      </c>
      <c r="R120" s="2">
        <v>2.9352951798034299</v>
      </c>
      <c r="S120" s="2">
        <v>1.1273131538896</v>
      </c>
      <c r="T120" s="2">
        <v>2.59047450456295</v>
      </c>
      <c r="U120" s="2">
        <v>3.5906003176985402</v>
      </c>
      <c r="V120" s="2">
        <v>10.620285895772399</v>
      </c>
      <c r="W120" s="2">
        <v>2.3397745284342499</v>
      </c>
      <c r="X120" s="2">
        <v>2.5177779303454</v>
      </c>
      <c r="Y120" s="2">
        <v>5.2776706327058296</v>
      </c>
      <c r="Z120" s="2">
        <v>9.8593259708503194</v>
      </c>
      <c r="AA120" s="3">
        <f t="shared" si="4"/>
        <v>51.340254689839078</v>
      </c>
      <c r="AB120" t="s">
        <v>45</v>
      </c>
      <c r="AC120">
        <v>79.84</v>
      </c>
      <c r="AD120">
        <v>125.7</v>
      </c>
      <c r="AE120">
        <v>29.22</v>
      </c>
      <c r="AF120">
        <v>90.58</v>
      </c>
      <c r="AG120">
        <v>68.959999999999994</v>
      </c>
      <c r="AH120">
        <v>19.57</v>
      </c>
      <c r="AI120">
        <v>19.7</v>
      </c>
      <c r="AJ120">
        <v>49.09</v>
      </c>
      <c r="AK120">
        <v>17.920000000000002</v>
      </c>
      <c r="AL120">
        <v>29.45</v>
      </c>
      <c r="AM120">
        <v>30.4</v>
      </c>
      <c r="AN120">
        <v>53.29</v>
      </c>
      <c r="AO120" s="1">
        <f t="shared" si="5"/>
        <v>613.71999999999991</v>
      </c>
    </row>
    <row r="121" spans="1:41" x14ac:dyDescent="0.25">
      <c r="A121" t="s">
        <v>164</v>
      </c>
      <c r="B121" s="2">
        <v>6945.4943864209599</v>
      </c>
      <c r="C121" s="2">
        <v>7608.2600670800603</v>
      </c>
      <c r="D121" s="2">
        <v>2519.2305456788999</v>
      </c>
      <c r="E121" s="2">
        <v>3193.7980188781698</v>
      </c>
      <c r="F121" s="2">
        <v>3761.6913167175298</v>
      </c>
      <c r="G121" s="2">
        <v>5035.8190934066997</v>
      </c>
      <c r="H121" s="2">
        <v>2089.2487778937598</v>
      </c>
      <c r="I121" s="2">
        <v>1812.30581650778</v>
      </c>
      <c r="J121" s="2">
        <v>3661.15363021864</v>
      </c>
      <c r="K121" s="2">
        <v>3609.7352289402302</v>
      </c>
      <c r="L121" s="2">
        <v>1225.1155599087499</v>
      </c>
      <c r="M121" s="2">
        <v>824.17540941401103</v>
      </c>
      <c r="N121" s="3">
        <f t="shared" si="3"/>
        <v>42286.027851065497</v>
      </c>
      <c r="O121" s="2">
        <v>0</v>
      </c>
      <c r="P121" s="2">
        <v>3.2807261055016599</v>
      </c>
      <c r="Q121" s="2">
        <v>6.7343462578822502</v>
      </c>
      <c r="R121" s="2">
        <v>8.7766318962765002</v>
      </c>
      <c r="S121" s="2">
        <v>2.1232948340211499</v>
      </c>
      <c r="T121" s="2">
        <v>2.2742067706576998</v>
      </c>
      <c r="U121" s="2">
        <v>0</v>
      </c>
      <c r="V121" s="2">
        <v>3.9826554366555702</v>
      </c>
      <c r="W121" s="2">
        <v>7.7422253643997196</v>
      </c>
      <c r="X121" s="2">
        <v>0.68537092219210105</v>
      </c>
      <c r="Y121" s="2">
        <v>2.90513021753477</v>
      </c>
      <c r="Z121" s="2">
        <v>6.8663430919267396</v>
      </c>
      <c r="AA121" s="3">
        <f t="shared" si="4"/>
        <v>45.370930897048154</v>
      </c>
      <c r="AB121" t="s">
        <v>63</v>
      </c>
      <c r="AC121">
        <v>138.91999999999999</v>
      </c>
      <c r="AD121">
        <v>152.54</v>
      </c>
      <c r="AE121">
        <v>51.03</v>
      </c>
      <c r="AF121">
        <v>64.69</v>
      </c>
      <c r="AG121">
        <v>75.510000000000005</v>
      </c>
      <c r="AH121">
        <v>100.99</v>
      </c>
      <c r="AI121">
        <v>41.8</v>
      </c>
      <c r="AJ121">
        <v>36.619999999999997</v>
      </c>
      <c r="AK121">
        <v>73.959999999999994</v>
      </c>
      <c r="AL121">
        <v>72.290000000000006</v>
      </c>
      <c r="AM121">
        <v>24.79</v>
      </c>
      <c r="AN121">
        <v>17.13</v>
      </c>
      <c r="AO121" s="1">
        <f t="shared" si="5"/>
        <v>850.26999999999987</v>
      </c>
    </row>
    <row r="122" spans="1:41" x14ac:dyDescent="0.25">
      <c r="A122" t="s">
        <v>165</v>
      </c>
      <c r="B122" s="2">
        <v>6868.2902631625402</v>
      </c>
      <c r="C122" s="2">
        <v>5808.5624425936703</v>
      </c>
      <c r="D122" s="2">
        <v>12102.7666979593</v>
      </c>
      <c r="E122" s="2">
        <v>0</v>
      </c>
      <c r="F122" s="2">
        <v>9062.6750852521</v>
      </c>
      <c r="G122" s="2">
        <v>966.09514009135899</v>
      </c>
      <c r="H122" s="2">
        <v>2062.8762996845298</v>
      </c>
      <c r="I122" s="2">
        <v>2124.4364782747898</v>
      </c>
      <c r="J122" s="2">
        <v>3150.01845832753</v>
      </c>
      <c r="K122" s="2">
        <v>19383.927992929599</v>
      </c>
      <c r="L122" s="2">
        <v>3735.21190129566</v>
      </c>
      <c r="M122" s="2">
        <v>9651.8344169382708</v>
      </c>
      <c r="N122" s="3">
        <f t="shared" si="3"/>
        <v>74916.695176509354</v>
      </c>
      <c r="O122" s="2">
        <v>2.6000330783250298</v>
      </c>
      <c r="P122" s="2">
        <v>3.1842839466937898</v>
      </c>
      <c r="Q122" s="2">
        <v>16.915873130879</v>
      </c>
      <c r="R122" s="2">
        <v>3.2031587978180198</v>
      </c>
      <c r="S122" s="2">
        <v>2.58846976384095</v>
      </c>
      <c r="T122" s="2">
        <v>3.7263685531260302</v>
      </c>
      <c r="U122" s="2">
        <v>7.7343975115408004</v>
      </c>
      <c r="V122" s="2">
        <v>11.272987607256599</v>
      </c>
      <c r="W122" s="2">
        <v>5.9702009867807604</v>
      </c>
      <c r="X122" s="2">
        <v>2.9781174975662101</v>
      </c>
      <c r="Y122" s="2">
        <v>4.6421557732349097</v>
      </c>
      <c r="Z122" s="2">
        <v>8.1570726762365897</v>
      </c>
      <c r="AA122" s="3">
        <f t="shared" si="4"/>
        <v>72.97311932329869</v>
      </c>
      <c r="AB122" t="s">
        <v>45</v>
      </c>
      <c r="AC122">
        <v>78.83</v>
      </c>
      <c r="AD122">
        <v>68.28</v>
      </c>
      <c r="AE122">
        <v>131.87</v>
      </c>
      <c r="AF122">
        <v>10.19</v>
      </c>
      <c r="AG122">
        <v>100.77</v>
      </c>
      <c r="AH122">
        <v>19.86</v>
      </c>
      <c r="AI122">
        <v>31.02</v>
      </c>
      <c r="AJ122">
        <v>31.84</v>
      </c>
      <c r="AK122">
        <v>41.8</v>
      </c>
      <c r="AL122">
        <v>203.98</v>
      </c>
      <c r="AM122">
        <v>47.6</v>
      </c>
      <c r="AN122">
        <v>106.96</v>
      </c>
      <c r="AO122" s="1">
        <f t="shared" si="5"/>
        <v>873</v>
      </c>
    </row>
    <row r="123" spans="1:41" x14ac:dyDescent="0.25">
      <c r="A123" t="s">
        <v>166</v>
      </c>
      <c r="B123" s="2">
        <v>6864.4350361153502</v>
      </c>
      <c r="C123" s="2">
        <v>4269.0952981071796</v>
      </c>
      <c r="D123" s="2">
        <v>677.52126366809102</v>
      </c>
      <c r="E123" s="2">
        <v>238.59010052185101</v>
      </c>
      <c r="F123" s="2">
        <v>2947.57549513819</v>
      </c>
      <c r="G123" s="2">
        <v>3380.8740098648</v>
      </c>
      <c r="H123" s="2">
        <v>2793.9561869715299</v>
      </c>
      <c r="I123" s="2">
        <v>1784.20636095328</v>
      </c>
      <c r="J123" s="2">
        <v>4397.4129262787801</v>
      </c>
      <c r="K123" s="2">
        <v>1943.2557391191599</v>
      </c>
      <c r="L123" s="2">
        <v>1412.43171210793</v>
      </c>
      <c r="M123" s="2">
        <v>850.03440001598301</v>
      </c>
      <c r="N123" s="3">
        <f t="shared" si="3"/>
        <v>31559.388528862124</v>
      </c>
      <c r="O123" s="2">
        <v>7.3331747050688696</v>
      </c>
      <c r="P123" s="2">
        <v>2.06345866050671</v>
      </c>
      <c r="Q123" s="2">
        <v>0.81695303990419599</v>
      </c>
      <c r="R123" s="2">
        <v>10.1807778134618</v>
      </c>
      <c r="S123" s="2">
        <v>2.2277747563550201</v>
      </c>
      <c r="T123" s="2">
        <v>2.9522564561240698</v>
      </c>
      <c r="U123" s="2">
        <v>0.87587721387723305</v>
      </c>
      <c r="V123" s="2">
        <v>0</v>
      </c>
      <c r="W123" s="2">
        <v>3.6782717971489798</v>
      </c>
      <c r="X123" s="2">
        <v>4.6133685109397398</v>
      </c>
      <c r="Y123" s="2">
        <v>1.7010427590152299</v>
      </c>
      <c r="Z123" s="2">
        <v>1.82944934187744</v>
      </c>
      <c r="AA123" s="3">
        <f t="shared" si="4"/>
        <v>38.27240505427929</v>
      </c>
      <c r="AB123" t="s">
        <v>63</v>
      </c>
      <c r="AC123">
        <v>138.02000000000001</v>
      </c>
      <c r="AD123">
        <v>85.67</v>
      </c>
      <c r="AE123">
        <v>13.65</v>
      </c>
      <c r="AF123">
        <v>5.77</v>
      </c>
      <c r="AG123">
        <v>59.23</v>
      </c>
      <c r="AH123">
        <v>67.89</v>
      </c>
      <c r="AI123">
        <v>55.97</v>
      </c>
      <c r="AJ123">
        <v>35.700000000000003</v>
      </c>
      <c r="AK123">
        <v>88.32</v>
      </c>
      <c r="AL123">
        <v>39.33</v>
      </c>
      <c r="AM123">
        <v>28.44</v>
      </c>
      <c r="AN123">
        <v>17.2</v>
      </c>
      <c r="AO123" s="1">
        <f t="shared" si="5"/>
        <v>635.19000000000017</v>
      </c>
    </row>
    <row r="124" spans="1:41" x14ac:dyDescent="0.25">
      <c r="A124" t="s">
        <v>167</v>
      </c>
      <c r="B124" s="2">
        <v>6806.0397647730597</v>
      </c>
      <c r="C124" s="2">
        <v>796.76902241547998</v>
      </c>
      <c r="D124" s="2">
        <v>2382.0588209572502</v>
      </c>
      <c r="E124" s="2">
        <v>1647.89586565369</v>
      </c>
      <c r="F124" s="2">
        <v>3193.51568162272</v>
      </c>
      <c r="G124" s="2">
        <v>3476.7572185877998</v>
      </c>
      <c r="H124" s="2">
        <v>0</v>
      </c>
      <c r="I124" s="2">
        <v>2886.01310884541</v>
      </c>
      <c r="J124" s="2">
        <v>8899.9100941371598</v>
      </c>
      <c r="K124" s="2">
        <v>7085.3563211135297</v>
      </c>
      <c r="L124" s="2">
        <v>2642.1759716080501</v>
      </c>
      <c r="M124" s="2">
        <v>2630.1879677604302</v>
      </c>
      <c r="N124" s="3">
        <f t="shared" si="3"/>
        <v>42446.679837474578</v>
      </c>
      <c r="O124" s="2">
        <v>2.8505263358492998</v>
      </c>
      <c r="P124" s="2">
        <v>0</v>
      </c>
      <c r="Q124" s="2">
        <v>8.00829189521661</v>
      </c>
      <c r="R124" s="2">
        <v>1.79917355191645</v>
      </c>
      <c r="S124" s="2">
        <v>1.78487314402562</v>
      </c>
      <c r="T124" s="2">
        <v>1.2961512882814099</v>
      </c>
      <c r="U124" s="2">
        <v>9.2222957419814193</v>
      </c>
      <c r="V124" s="2">
        <v>7.8413120688190503</v>
      </c>
      <c r="W124" s="2">
        <v>2.87805304684119</v>
      </c>
      <c r="X124" s="2">
        <v>2.5833051809099601</v>
      </c>
      <c r="Y124" s="2">
        <v>2.5352707969183199</v>
      </c>
      <c r="Z124" s="2">
        <v>2.06118129486154</v>
      </c>
      <c r="AA124" s="3">
        <f t="shared" si="4"/>
        <v>42.860434345620867</v>
      </c>
      <c r="AB124" t="s">
        <v>45</v>
      </c>
      <c r="AC124">
        <v>78.209999999999994</v>
      </c>
      <c r="AD124">
        <v>17.96</v>
      </c>
      <c r="AE124">
        <v>34.270000000000003</v>
      </c>
      <c r="AF124">
        <v>26.57</v>
      </c>
      <c r="AG124">
        <v>42.03</v>
      </c>
      <c r="AH124">
        <v>44.86</v>
      </c>
      <c r="AI124">
        <v>10.49</v>
      </c>
      <c r="AJ124">
        <v>39.26</v>
      </c>
      <c r="AK124">
        <v>99.14</v>
      </c>
      <c r="AL124">
        <v>81</v>
      </c>
      <c r="AM124">
        <v>36.57</v>
      </c>
      <c r="AN124">
        <v>36.450000000000003</v>
      </c>
      <c r="AO124" s="1">
        <f t="shared" si="5"/>
        <v>546.80999999999995</v>
      </c>
    </row>
    <row r="125" spans="1:41" x14ac:dyDescent="0.25">
      <c r="A125" t="s">
        <v>168</v>
      </c>
      <c r="B125" s="2">
        <v>6765.67509741496</v>
      </c>
      <c r="C125" s="2">
        <v>2927.4554525194899</v>
      </c>
      <c r="D125" s="2">
        <v>12795.5408592029</v>
      </c>
      <c r="E125" s="2">
        <v>5570.1238888908601</v>
      </c>
      <c r="F125" s="2">
        <v>1425.5530319618599</v>
      </c>
      <c r="G125" s="2">
        <v>994.15417556789498</v>
      </c>
      <c r="H125" s="2">
        <v>8900.0315024052506</v>
      </c>
      <c r="I125" s="2">
        <v>3158.0004207055999</v>
      </c>
      <c r="J125" s="2">
        <v>4202.8948138125597</v>
      </c>
      <c r="K125" s="2">
        <v>5600.0316060376199</v>
      </c>
      <c r="L125" s="2">
        <v>2399.7442700807801</v>
      </c>
      <c r="M125" s="2">
        <v>0</v>
      </c>
      <c r="N125" s="3">
        <f t="shared" si="3"/>
        <v>54739.205118599777</v>
      </c>
      <c r="O125" s="2">
        <v>1.19277026421344E-2</v>
      </c>
      <c r="P125" s="2">
        <v>1.5252655538917399</v>
      </c>
      <c r="Q125" s="2">
        <v>4.4372466862583604</v>
      </c>
      <c r="R125" s="2">
        <v>8.9366218985491805</v>
      </c>
      <c r="S125" s="2">
        <v>1.2135518899687501</v>
      </c>
      <c r="T125" s="2">
        <v>3.6549469691707701</v>
      </c>
      <c r="U125" s="2">
        <v>4.6261168229138603</v>
      </c>
      <c r="V125" s="2">
        <v>9.91640086081701</v>
      </c>
      <c r="W125" s="2">
        <v>3.8826482150150499E-2</v>
      </c>
      <c r="X125" s="2">
        <v>0.91707974613498799</v>
      </c>
      <c r="Y125" s="2">
        <v>6.6542478394153797</v>
      </c>
      <c r="Z125" s="2">
        <v>2.7186974871722702</v>
      </c>
      <c r="AA125" s="3">
        <f t="shared" si="4"/>
        <v>44.650929939084598</v>
      </c>
      <c r="AB125" t="s">
        <v>45</v>
      </c>
      <c r="AC125">
        <v>77.7</v>
      </c>
      <c r="AD125">
        <v>39.369999999999997</v>
      </c>
      <c r="AE125">
        <v>138.19999999999999</v>
      </c>
      <c r="AF125">
        <v>66.150000000000006</v>
      </c>
      <c r="AG125">
        <v>24.35</v>
      </c>
      <c r="AH125">
        <v>20.14</v>
      </c>
      <c r="AI125">
        <v>99.25</v>
      </c>
      <c r="AJ125">
        <v>42.08</v>
      </c>
      <c r="AK125">
        <v>52.07</v>
      </c>
      <c r="AL125">
        <v>66.05</v>
      </c>
      <c r="AM125">
        <v>34.340000000000003</v>
      </c>
      <c r="AN125">
        <v>10.14</v>
      </c>
      <c r="AO125" s="1">
        <f t="shared" si="5"/>
        <v>669.83999999999992</v>
      </c>
    </row>
    <row r="126" spans="1:41" x14ac:dyDescent="0.25">
      <c r="A126" t="s">
        <v>169</v>
      </c>
      <c r="B126" s="2">
        <v>6734.2369545368401</v>
      </c>
      <c r="C126" s="2">
        <v>2437.6151271434301</v>
      </c>
      <c r="D126" s="2">
        <v>618.60037029057196</v>
      </c>
      <c r="E126" s="2">
        <v>7354.0179433327103</v>
      </c>
      <c r="F126" s="2">
        <v>2861.5030092381398</v>
      </c>
      <c r="G126" s="2">
        <v>3027.44085867592</v>
      </c>
      <c r="H126" s="2">
        <v>9231.0016895171793</v>
      </c>
      <c r="I126" s="2">
        <v>3073.0194548839399</v>
      </c>
      <c r="J126" s="2">
        <v>123.909352675951</v>
      </c>
      <c r="K126" s="2">
        <v>6926.6241282380397</v>
      </c>
      <c r="L126" s="2">
        <v>1396.5104552781199</v>
      </c>
      <c r="M126" s="2">
        <v>2378.5031638861101</v>
      </c>
      <c r="N126" s="3">
        <f t="shared" si="3"/>
        <v>46162.98250769695</v>
      </c>
      <c r="O126" s="2">
        <v>5.4191934881331001</v>
      </c>
      <c r="P126" s="2">
        <v>5.1209435939855403</v>
      </c>
      <c r="Q126" s="2">
        <v>4.6998411582001802</v>
      </c>
      <c r="R126" s="2">
        <v>2.4564030331539501</v>
      </c>
      <c r="S126" s="2">
        <v>1.5853143292873799</v>
      </c>
      <c r="T126" s="2">
        <v>1.5640444622346401</v>
      </c>
      <c r="U126" s="2">
        <v>0.81262656830670499</v>
      </c>
      <c r="V126" s="2">
        <v>15.861760884633499</v>
      </c>
      <c r="W126" s="2">
        <v>5.5457944669488999</v>
      </c>
      <c r="X126" s="2">
        <v>0</v>
      </c>
      <c r="Y126" s="2">
        <v>0</v>
      </c>
      <c r="Z126" s="2">
        <v>1.46973798927559</v>
      </c>
      <c r="AA126" s="3">
        <f t="shared" si="4"/>
        <v>44.535659974159486</v>
      </c>
      <c r="AB126" t="s">
        <v>45</v>
      </c>
      <c r="AC126">
        <v>77.64</v>
      </c>
      <c r="AD126">
        <v>34.67</v>
      </c>
      <c r="AE126">
        <v>16.43</v>
      </c>
      <c r="AF126">
        <v>83.69</v>
      </c>
      <c r="AG126">
        <v>38.71</v>
      </c>
      <c r="AH126">
        <v>40.369999999999997</v>
      </c>
      <c r="AI126">
        <v>102.36</v>
      </c>
      <c r="AJ126">
        <v>41.53</v>
      </c>
      <c r="AK126">
        <v>11.53</v>
      </c>
      <c r="AL126">
        <v>79.260000000000005</v>
      </c>
      <c r="AM126">
        <v>23.96</v>
      </c>
      <c r="AN126">
        <v>33.880000000000003</v>
      </c>
      <c r="AO126" s="1">
        <f t="shared" si="5"/>
        <v>584.03</v>
      </c>
    </row>
    <row r="127" spans="1:41" x14ac:dyDescent="0.25">
      <c r="A127" t="s">
        <v>170</v>
      </c>
      <c r="B127" s="2">
        <v>6714.9179396751497</v>
      </c>
      <c r="C127" s="2">
        <v>4724.0432607323301</v>
      </c>
      <c r="D127" s="2">
        <v>916.64617409344703</v>
      </c>
      <c r="E127" s="2">
        <v>1985.5907524746799</v>
      </c>
      <c r="F127" s="2">
        <v>2896.6981346590301</v>
      </c>
      <c r="G127" s="2">
        <v>2035.6185003857499</v>
      </c>
      <c r="H127" s="2">
        <v>1251.5555924908001</v>
      </c>
      <c r="I127" s="2">
        <v>736.75846435294102</v>
      </c>
      <c r="J127" s="2">
        <v>828.74421608878401</v>
      </c>
      <c r="K127" s="2">
        <v>0</v>
      </c>
      <c r="L127" s="2">
        <v>8032.1081138549198</v>
      </c>
      <c r="M127" s="2">
        <v>4033.78820379531</v>
      </c>
      <c r="N127" s="3">
        <f t="shared" si="3"/>
        <v>34156.469352603141</v>
      </c>
      <c r="O127" s="2">
        <v>0.35555262462885801</v>
      </c>
      <c r="P127" s="2">
        <v>2.2115593618714602</v>
      </c>
      <c r="Q127" s="2">
        <v>5.3216199907507296</v>
      </c>
      <c r="R127" s="2">
        <v>6.2220565591705803</v>
      </c>
      <c r="S127" s="2">
        <v>4.5419163507636497</v>
      </c>
      <c r="T127" s="2">
        <v>4.2672371223075096</v>
      </c>
      <c r="U127" s="2">
        <v>1.2969393866018</v>
      </c>
      <c r="V127" s="2">
        <v>5.6572580383576003</v>
      </c>
      <c r="W127" s="2">
        <v>7.3555133423464598</v>
      </c>
      <c r="X127" s="2">
        <v>0.51019050836486102</v>
      </c>
      <c r="Y127" s="2">
        <v>5.4494723591507901</v>
      </c>
      <c r="Z127" s="2">
        <v>0</v>
      </c>
      <c r="AA127" s="3">
        <f t="shared" si="4"/>
        <v>43.189315644314306</v>
      </c>
      <c r="AB127" t="s">
        <v>63</v>
      </c>
      <c r="AC127">
        <v>134.38999999999999</v>
      </c>
      <c r="AD127">
        <v>94.77</v>
      </c>
      <c r="AE127">
        <v>18.88</v>
      </c>
      <c r="AF127">
        <v>40.35</v>
      </c>
      <c r="AG127">
        <v>58.39</v>
      </c>
      <c r="AH127">
        <v>41.17</v>
      </c>
      <c r="AI127">
        <v>25.22</v>
      </c>
      <c r="AJ127">
        <v>15.28</v>
      </c>
      <c r="AK127">
        <v>17.3</v>
      </c>
      <c r="AL127">
        <v>0.09</v>
      </c>
      <c r="AM127">
        <v>161.19999999999999</v>
      </c>
      <c r="AN127">
        <v>80.680000000000007</v>
      </c>
      <c r="AO127" s="1">
        <f t="shared" si="5"/>
        <v>687.72</v>
      </c>
    </row>
    <row r="128" spans="1:41" x14ac:dyDescent="0.25">
      <c r="A128" t="s">
        <v>171</v>
      </c>
      <c r="B128" s="2">
        <v>6694.4888023614803</v>
      </c>
      <c r="C128" s="2">
        <v>1232.5847539307699</v>
      </c>
      <c r="D128" s="2">
        <v>6995.71778038298</v>
      </c>
      <c r="E128" s="2">
        <v>10459.359834103599</v>
      </c>
      <c r="F128" s="2">
        <v>1952.47128014042</v>
      </c>
      <c r="G128" s="2">
        <v>817.92046218066696</v>
      </c>
      <c r="H128" s="2">
        <v>1380.2419211921599</v>
      </c>
      <c r="I128" s="2">
        <v>1411.31721667938</v>
      </c>
      <c r="J128" s="2">
        <v>0</v>
      </c>
      <c r="K128" s="2">
        <v>4201.5620730220999</v>
      </c>
      <c r="L128" s="2">
        <v>3080.6371624230801</v>
      </c>
      <c r="M128" s="2">
        <v>1821.3051989839</v>
      </c>
      <c r="N128" s="3">
        <f t="shared" si="3"/>
        <v>40047.606485400538</v>
      </c>
      <c r="O128" s="2">
        <v>0</v>
      </c>
      <c r="P128" s="2">
        <v>0</v>
      </c>
      <c r="Q128" s="2">
        <v>0.862297596748694</v>
      </c>
      <c r="R128" s="2">
        <v>5.3480983880381903</v>
      </c>
      <c r="S128" s="2">
        <v>0</v>
      </c>
      <c r="T128" s="2">
        <v>5.8501167637418696</v>
      </c>
      <c r="U128" s="2">
        <v>4.1410266570855603</v>
      </c>
      <c r="V128" s="2">
        <v>4.3789639706807204</v>
      </c>
      <c r="W128" s="2">
        <v>2.5530418793118699</v>
      </c>
      <c r="X128" s="2">
        <v>0.34019412701547103</v>
      </c>
      <c r="Y128" s="2">
        <v>1.41500235140735</v>
      </c>
      <c r="Z128" s="2">
        <v>0.96879911129024798</v>
      </c>
      <c r="AA128" s="3">
        <f t="shared" si="4"/>
        <v>25.857540845319974</v>
      </c>
      <c r="AB128" t="s">
        <v>63</v>
      </c>
      <c r="AC128">
        <v>133.9</v>
      </c>
      <c r="AD128">
        <v>24.66</v>
      </c>
      <c r="AE128">
        <v>140.01</v>
      </c>
      <c r="AF128">
        <v>209.74</v>
      </c>
      <c r="AG128">
        <v>39.06</v>
      </c>
      <c r="AH128">
        <v>16.899999999999999</v>
      </c>
      <c r="AI128">
        <v>28.07</v>
      </c>
      <c r="AJ128">
        <v>28.69</v>
      </c>
      <c r="AK128">
        <v>0.27</v>
      </c>
      <c r="AL128">
        <v>84.13</v>
      </c>
      <c r="AM128">
        <v>61.8</v>
      </c>
      <c r="AN128">
        <v>36.53</v>
      </c>
      <c r="AO128" s="1">
        <f t="shared" si="5"/>
        <v>803.76</v>
      </c>
    </row>
    <row r="129" spans="1:41" x14ac:dyDescent="0.25">
      <c r="A129" t="s">
        <v>172</v>
      </c>
      <c r="B129" s="2">
        <v>6688.4890113680503</v>
      </c>
      <c r="C129" s="2">
        <v>0</v>
      </c>
      <c r="D129" s="2">
        <v>3298.2023118031402</v>
      </c>
      <c r="E129" s="2">
        <v>6850.1180310674399</v>
      </c>
      <c r="F129" s="2">
        <v>1044.8730560854201</v>
      </c>
      <c r="G129" s="2">
        <v>3522.1691012658998</v>
      </c>
      <c r="H129" s="2">
        <v>6341.0835812872801</v>
      </c>
      <c r="I129" s="2">
        <v>907.09543644992004</v>
      </c>
      <c r="J129" s="2">
        <v>2246.0834553387599</v>
      </c>
      <c r="K129" s="2">
        <v>3974.8458733358302</v>
      </c>
      <c r="L129" s="2">
        <v>2993.51008196968</v>
      </c>
      <c r="M129" s="2">
        <v>0</v>
      </c>
      <c r="N129" s="3">
        <f t="shared" si="3"/>
        <v>37866.469939971423</v>
      </c>
      <c r="O129" s="2">
        <v>0</v>
      </c>
      <c r="P129" s="2">
        <v>11.217007832447701</v>
      </c>
      <c r="Q129" s="2">
        <v>1.4362151101426199</v>
      </c>
      <c r="R129" s="2">
        <v>2.3834351469737598</v>
      </c>
      <c r="S129" s="2">
        <v>2.22618870293396</v>
      </c>
      <c r="T129" s="2">
        <v>1.1640995091752</v>
      </c>
      <c r="U129" s="2">
        <v>2.02032763189841</v>
      </c>
      <c r="V129" s="2">
        <v>0</v>
      </c>
      <c r="W129" s="2">
        <v>0.56283218867565799</v>
      </c>
      <c r="X129" s="2">
        <v>1.97188112563156</v>
      </c>
      <c r="Y129" s="2">
        <v>6.5570691938453001</v>
      </c>
      <c r="Z129" s="2">
        <v>5.9221689223612897</v>
      </c>
      <c r="AA129" s="3">
        <f t="shared" si="4"/>
        <v>35.461225364085458</v>
      </c>
      <c r="AB129" t="s">
        <v>45</v>
      </c>
      <c r="AC129">
        <v>76.88</v>
      </c>
      <c r="AD129">
        <v>10.59</v>
      </c>
      <c r="AE129">
        <v>43.08</v>
      </c>
      <c r="AF129">
        <v>78.650000000000006</v>
      </c>
      <c r="AG129">
        <v>20.59</v>
      </c>
      <c r="AH129">
        <v>45.32</v>
      </c>
      <c r="AI129">
        <v>73.56</v>
      </c>
      <c r="AJ129">
        <v>19.07</v>
      </c>
      <c r="AK129">
        <v>32.51</v>
      </c>
      <c r="AL129">
        <v>49.84</v>
      </c>
      <c r="AM129">
        <v>40.28</v>
      </c>
      <c r="AN129">
        <v>10.29</v>
      </c>
      <c r="AO129" s="1">
        <f t="shared" si="5"/>
        <v>500.66</v>
      </c>
    </row>
    <row r="130" spans="1:41" x14ac:dyDescent="0.25">
      <c r="A130" t="s">
        <v>173</v>
      </c>
      <c r="B130" s="2">
        <v>6674.2161164083</v>
      </c>
      <c r="C130" s="2">
        <v>3243.7011086051002</v>
      </c>
      <c r="D130" s="2">
        <v>7112.1589822815204</v>
      </c>
      <c r="E130" s="2">
        <v>7190.7970340295997</v>
      </c>
      <c r="F130" s="2">
        <v>8317.4838471476905</v>
      </c>
      <c r="G130" s="2">
        <v>557.44576022160504</v>
      </c>
      <c r="H130" s="2">
        <v>951.17464956921401</v>
      </c>
      <c r="I130" s="2">
        <v>490.31470391576897</v>
      </c>
      <c r="J130" s="2">
        <v>9590.0557743334793</v>
      </c>
      <c r="K130" s="2">
        <v>2552.8266215140202</v>
      </c>
      <c r="L130" s="2">
        <v>531.47738145952997</v>
      </c>
      <c r="M130" s="2">
        <v>1556.2409552659201</v>
      </c>
      <c r="N130" s="3">
        <f t="shared" si="3"/>
        <v>48767.892934751755</v>
      </c>
      <c r="O130" s="2">
        <v>2.5996158215940701</v>
      </c>
      <c r="P130" s="2">
        <v>0.640660260394876</v>
      </c>
      <c r="Q130" s="2">
        <v>0.47279615835972399</v>
      </c>
      <c r="R130" s="2">
        <v>8.7123434521686995</v>
      </c>
      <c r="S130" s="2">
        <v>13.127411498407699</v>
      </c>
      <c r="T130" s="2">
        <v>1.0271705194715901</v>
      </c>
      <c r="U130" s="2">
        <v>1.3430587549938799</v>
      </c>
      <c r="V130" s="2">
        <v>0.27483967026859701</v>
      </c>
      <c r="W130" s="2">
        <v>4.3213214473292298</v>
      </c>
      <c r="X130" s="2">
        <v>6.1938595993666397</v>
      </c>
      <c r="Y130" s="2">
        <v>1.50402426386958</v>
      </c>
      <c r="Z130" s="2">
        <v>0.80071670469023803</v>
      </c>
      <c r="AA130" s="3">
        <f t="shared" si="4"/>
        <v>41.017818150914827</v>
      </c>
      <c r="AB130" t="s">
        <v>45</v>
      </c>
      <c r="AC130">
        <v>76.89</v>
      </c>
      <c r="AD130">
        <v>42.48</v>
      </c>
      <c r="AE130">
        <v>81.17</v>
      </c>
      <c r="AF130">
        <v>82.35</v>
      </c>
      <c r="AG130">
        <v>93.87</v>
      </c>
      <c r="AH130">
        <v>15.67</v>
      </c>
      <c r="AI130">
        <v>19.61</v>
      </c>
      <c r="AJ130">
        <v>14.95</v>
      </c>
      <c r="AK130">
        <v>106.15</v>
      </c>
      <c r="AL130">
        <v>35.869999999999997</v>
      </c>
      <c r="AM130">
        <v>15.41</v>
      </c>
      <c r="AN130">
        <v>25.61</v>
      </c>
      <c r="AO130" s="1">
        <f t="shared" si="5"/>
        <v>610.03</v>
      </c>
    </row>
    <row r="131" spans="1:41" x14ac:dyDescent="0.25">
      <c r="A131" t="s">
        <v>174</v>
      </c>
      <c r="B131" s="2">
        <v>6602.5870927304004</v>
      </c>
      <c r="C131" s="2">
        <v>1324.2615069186099</v>
      </c>
      <c r="D131" s="2">
        <v>1251.0878612716799</v>
      </c>
      <c r="E131" s="2">
        <v>7834.0507832652202</v>
      </c>
      <c r="F131" s="2">
        <v>2401.2760345931601</v>
      </c>
      <c r="G131" s="2">
        <v>1518.34524513519</v>
      </c>
      <c r="H131" s="2">
        <v>0</v>
      </c>
      <c r="I131" s="2">
        <v>7699.6591738444004</v>
      </c>
      <c r="J131" s="2">
        <v>698.76154647035901</v>
      </c>
      <c r="K131" s="2">
        <v>3265.7258789416201</v>
      </c>
      <c r="L131" s="2">
        <v>7353.2926110695298</v>
      </c>
      <c r="M131" s="2">
        <v>941.17930709760299</v>
      </c>
      <c r="N131" s="3">
        <f t="shared" ref="N131:N194" si="6">SUM(B131:M131)</f>
        <v>40890.227041337777</v>
      </c>
      <c r="O131" s="2">
        <v>1.6189451637064001</v>
      </c>
      <c r="P131" s="2">
        <v>1.53728863550966</v>
      </c>
      <c r="Q131" s="2">
        <v>3.96979737269699</v>
      </c>
      <c r="R131" s="2">
        <v>2.8933442424678502</v>
      </c>
      <c r="S131" s="2">
        <v>2.7482494213592901</v>
      </c>
      <c r="T131" s="2">
        <v>0.97570367065012997</v>
      </c>
      <c r="U131" s="2">
        <v>2.6880097796259901</v>
      </c>
      <c r="V131" s="2">
        <v>7.1961464688540797</v>
      </c>
      <c r="W131" s="2">
        <v>9.79979332411604</v>
      </c>
      <c r="X131" s="2">
        <v>13.4442056449797</v>
      </c>
      <c r="Y131" s="2">
        <v>7.4484499380551901</v>
      </c>
      <c r="Z131" s="2">
        <v>2.9746628429477702</v>
      </c>
      <c r="AA131" s="3">
        <f t="shared" si="4"/>
        <v>57.294596504969086</v>
      </c>
      <c r="AB131" t="s">
        <v>45</v>
      </c>
      <c r="AC131">
        <v>76.12</v>
      </c>
      <c r="AD131">
        <v>23.34</v>
      </c>
      <c r="AE131">
        <v>22.71</v>
      </c>
      <c r="AF131">
        <v>88.49</v>
      </c>
      <c r="AG131">
        <v>34.159999999999997</v>
      </c>
      <c r="AH131">
        <v>25.23</v>
      </c>
      <c r="AI131">
        <v>10.14</v>
      </c>
      <c r="AJ131">
        <v>87.39</v>
      </c>
      <c r="AK131">
        <v>17.48</v>
      </c>
      <c r="AL131">
        <v>43.35</v>
      </c>
      <c r="AM131">
        <v>83.93</v>
      </c>
      <c r="AN131">
        <v>19.559999999999999</v>
      </c>
      <c r="AO131" s="1">
        <f t="shared" si="5"/>
        <v>531.9</v>
      </c>
    </row>
    <row r="132" spans="1:41" x14ac:dyDescent="0.25">
      <c r="A132" t="s">
        <v>175</v>
      </c>
      <c r="B132" s="2">
        <v>6600.8528311182399</v>
      </c>
      <c r="C132" s="2">
        <v>2646.6594344660698</v>
      </c>
      <c r="D132" s="2">
        <v>3849.2076371246999</v>
      </c>
      <c r="E132" s="2">
        <v>3398.4574027316698</v>
      </c>
      <c r="F132" s="2">
        <v>8904.1099327040793</v>
      </c>
      <c r="G132" s="2">
        <v>0</v>
      </c>
      <c r="H132" s="2">
        <v>992.18584145442605</v>
      </c>
      <c r="I132" s="2">
        <v>3626.2880591837802</v>
      </c>
      <c r="J132" s="2">
        <v>10790.8309014277</v>
      </c>
      <c r="K132" s="2">
        <v>15129.336979682001</v>
      </c>
      <c r="L132" s="2">
        <v>3477.5084059444098</v>
      </c>
      <c r="M132" s="2">
        <v>1606.6610966737701</v>
      </c>
      <c r="N132" s="3">
        <f t="shared" si="6"/>
        <v>61022.09852251086</v>
      </c>
      <c r="O132" s="2">
        <v>2.6795350763323902</v>
      </c>
      <c r="P132" s="2">
        <v>1.4714210378811801</v>
      </c>
      <c r="Q132" s="2">
        <v>3.6358156028300002</v>
      </c>
      <c r="R132" s="2">
        <v>0.13735420064151699</v>
      </c>
      <c r="S132" s="2">
        <v>2.6356893579438299</v>
      </c>
      <c r="T132" s="2">
        <v>2.8690801152166401</v>
      </c>
      <c r="U132" s="2">
        <v>4.55884774873432</v>
      </c>
      <c r="V132" s="2">
        <v>8.2784407389517494</v>
      </c>
      <c r="W132" s="2">
        <v>1.81808737738571</v>
      </c>
      <c r="X132" s="2">
        <v>1.10722007900193</v>
      </c>
      <c r="Y132" s="2">
        <v>2.5143422118423602</v>
      </c>
      <c r="Z132" s="2">
        <v>0.854529355317725</v>
      </c>
      <c r="AA132" s="3">
        <f t="shared" ref="AA132:AA195" si="7">SUM(O132:Z132)</f>
        <v>32.560362902079355</v>
      </c>
      <c r="AB132" t="s">
        <v>45</v>
      </c>
      <c r="AC132">
        <v>76.150000000000006</v>
      </c>
      <c r="AD132">
        <v>36.56</v>
      </c>
      <c r="AE132">
        <v>48.69</v>
      </c>
      <c r="AF132">
        <v>44.03</v>
      </c>
      <c r="AG132">
        <v>99.19</v>
      </c>
      <c r="AH132">
        <v>10.14</v>
      </c>
      <c r="AI132">
        <v>20.170000000000002</v>
      </c>
      <c r="AJ132">
        <v>46.71</v>
      </c>
      <c r="AK132">
        <v>118</v>
      </c>
      <c r="AL132">
        <v>161.38999999999999</v>
      </c>
      <c r="AM132">
        <v>44.92</v>
      </c>
      <c r="AN132">
        <v>26.11</v>
      </c>
      <c r="AO132" s="1">
        <f t="shared" si="5"/>
        <v>732.06</v>
      </c>
    </row>
    <row r="133" spans="1:41" x14ac:dyDescent="0.25">
      <c r="A133" t="s">
        <v>176</v>
      </c>
      <c r="B133" s="2">
        <v>6598.2625807149298</v>
      </c>
      <c r="C133" s="2">
        <v>9070.8471325212995</v>
      </c>
      <c r="D133" s="2">
        <v>1406.32514615744</v>
      </c>
      <c r="E133" s="2">
        <v>6829.3219593950598</v>
      </c>
      <c r="F133" s="2">
        <v>1273.34339867569</v>
      </c>
      <c r="G133" s="2">
        <v>1248.5471497603801</v>
      </c>
      <c r="H133" s="2">
        <v>696.39887190582294</v>
      </c>
      <c r="I133" s="2">
        <v>1265.2297449983901</v>
      </c>
      <c r="J133" s="2">
        <v>1059.2216602148101</v>
      </c>
      <c r="K133" s="2">
        <v>1117.1971128156299</v>
      </c>
      <c r="L133" s="2">
        <v>1692.03265981865</v>
      </c>
      <c r="M133" s="2">
        <v>5207.6218593600997</v>
      </c>
      <c r="N133" s="3">
        <f t="shared" si="6"/>
        <v>37464.349276338202</v>
      </c>
      <c r="O133" s="2">
        <v>17.787421337145499</v>
      </c>
      <c r="P133" s="2">
        <v>0</v>
      </c>
      <c r="Q133" s="2">
        <v>6.2668084882482296</v>
      </c>
      <c r="R133" s="2">
        <v>0</v>
      </c>
      <c r="S133" s="2">
        <v>0.54705002830701199</v>
      </c>
      <c r="T133" s="2">
        <v>2.70723798333449</v>
      </c>
      <c r="U133" s="2">
        <v>9.6380492174300993</v>
      </c>
      <c r="V133" s="2">
        <v>0</v>
      </c>
      <c r="W133" s="2">
        <v>4.4955252668683201</v>
      </c>
      <c r="X133" s="2">
        <v>2.3993449306569001</v>
      </c>
      <c r="Y133" s="2">
        <v>6.9567658236001497</v>
      </c>
      <c r="Z133" s="2">
        <v>1.22652253218747</v>
      </c>
      <c r="AA133" s="3">
        <f t="shared" si="7"/>
        <v>52.024725607778173</v>
      </c>
      <c r="AB133" t="s">
        <v>45</v>
      </c>
      <c r="AC133">
        <v>76.88</v>
      </c>
      <c r="AD133">
        <v>100.7</v>
      </c>
      <c r="AE133">
        <v>24.41</v>
      </c>
      <c r="AF133">
        <v>78.290000000000006</v>
      </c>
      <c r="AG133">
        <v>22.78</v>
      </c>
      <c r="AH133">
        <v>22.63</v>
      </c>
      <c r="AI133">
        <v>17.46</v>
      </c>
      <c r="AJ133">
        <v>22.65</v>
      </c>
      <c r="AK133">
        <v>20.84</v>
      </c>
      <c r="AL133">
        <v>21.32</v>
      </c>
      <c r="AM133">
        <v>27.27</v>
      </c>
      <c r="AN133">
        <v>62.17</v>
      </c>
      <c r="AO133" s="1">
        <f t="shared" ref="AO133:AO196" si="8">SUM(AC133:AN133)</f>
        <v>497.39999999999986</v>
      </c>
    </row>
    <row r="134" spans="1:41" x14ac:dyDescent="0.25">
      <c r="A134" t="s">
        <v>177</v>
      </c>
      <c r="B134" s="2">
        <v>6596.4059205747599</v>
      </c>
      <c r="C134" s="2">
        <v>3192.8911968826601</v>
      </c>
      <c r="D134" s="2">
        <v>1831.2536657813</v>
      </c>
      <c r="E134" s="2">
        <v>2388.20617874446</v>
      </c>
      <c r="F134" s="2">
        <v>670.03374514816301</v>
      </c>
      <c r="G134" s="2">
        <v>1519.6099374463299</v>
      </c>
      <c r="H134" s="2">
        <v>4694.7913106003198</v>
      </c>
      <c r="I134" s="2">
        <v>2008.03628836446</v>
      </c>
      <c r="J134" s="2">
        <v>4974.7590608124701</v>
      </c>
      <c r="K134" s="2">
        <v>4472.7645416946998</v>
      </c>
      <c r="L134" s="2">
        <v>270.95143423878199</v>
      </c>
      <c r="M134" s="2">
        <v>3022.71823571191</v>
      </c>
      <c r="N134" s="3">
        <f t="shared" si="6"/>
        <v>35642.421516000315</v>
      </c>
      <c r="O134" s="2">
        <v>2.4466695893185202</v>
      </c>
      <c r="P134" s="2">
        <v>0</v>
      </c>
      <c r="Q134" s="2">
        <v>4.4552147039272096</v>
      </c>
      <c r="R134" s="2">
        <v>12.9853280629361</v>
      </c>
      <c r="S134" s="2">
        <v>0.61739985757278104</v>
      </c>
      <c r="T134" s="2">
        <v>4.3779129373873502</v>
      </c>
      <c r="U134" s="2">
        <v>0.88806364226757595</v>
      </c>
      <c r="V134" s="2">
        <v>1.53812714148132</v>
      </c>
      <c r="W134" s="2">
        <v>1.7160091228783101</v>
      </c>
      <c r="X134" s="2">
        <v>4.0550571504967099</v>
      </c>
      <c r="Y134" s="2">
        <v>4.5833170503654896</v>
      </c>
      <c r="Z134" s="2">
        <v>0.442824928523882</v>
      </c>
      <c r="AA134" s="3">
        <f t="shared" si="7"/>
        <v>38.105924187155246</v>
      </c>
      <c r="AB134" t="s">
        <v>63</v>
      </c>
      <c r="AC134">
        <v>132.21</v>
      </c>
      <c r="AD134">
        <v>63.86</v>
      </c>
      <c r="AE134">
        <v>37.090000000000003</v>
      </c>
      <c r="AF134">
        <v>48.95</v>
      </c>
      <c r="AG134">
        <v>13.51</v>
      </c>
      <c r="AH134">
        <v>30.85</v>
      </c>
      <c r="AI134">
        <v>93.99</v>
      </c>
      <c r="AJ134">
        <v>40.36</v>
      </c>
      <c r="AK134">
        <v>99.68</v>
      </c>
      <c r="AL134">
        <v>89.91</v>
      </c>
      <c r="AM134">
        <v>5.87</v>
      </c>
      <c r="AN134">
        <v>60.55</v>
      </c>
      <c r="AO134" s="1">
        <f t="shared" si="8"/>
        <v>716.82999999999993</v>
      </c>
    </row>
    <row r="135" spans="1:41" x14ac:dyDescent="0.25">
      <c r="A135" t="s">
        <v>178</v>
      </c>
      <c r="B135" s="2">
        <v>6572.1778364903603</v>
      </c>
      <c r="C135" s="2">
        <v>1504.40488875746</v>
      </c>
      <c r="D135" s="2">
        <v>3107.1403062110198</v>
      </c>
      <c r="E135" s="2">
        <v>8679.48948231953</v>
      </c>
      <c r="F135" s="2">
        <v>8435.6413949995203</v>
      </c>
      <c r="G135" s="2">
        <v>4707.8733744066203</v>
      </c>
      <c r="H135" s="2">
        <v>138.75449523089799</v>
      </c>
      <c r="I135" s="2">
        <v>4749.1487200340898</v>
      </c>
      <c r="J135" s="2">
        <v>0</v>
      </c>
      <c r="K135" s="2">
        <v>8802.9429341424202</v>
      </c>
      <c r="L135" s="2">
        <v>1231.5870107517401</v>
      </c>
      <c r="M135" s="2">
        <v>3596.43792110599</v>
      </c>
      <c r="N135" s="3">
        <f t="shared" si="6"/>
        <v>51525.598364449652</v>
      </c>
      <c r="O135" s="2">
        <v>0.564741768635597</v>
      </c>
      <c r="P135" s="2">
        <v>0.86056109080357202</v>
      </c>
      <c r="Q135" s="2">
        <v>1.5602888428533299</v>
      </c>
      <c r="R135" s="2">
        <v>4.0593271904182</v>
      </c>
      <c r="S135" s="2">
        <v>0</v>
      </c>
      <c r="T135" s="2">
        <v>1.11907233873092E-2</v>
      </c>
      <c r="U135" s="2">
        <v>2.1193768886455802</v>
      </c>
      <c r="V135" s="2">
        <v>7.4097514549477301</v>
      </c>
      <c r="W135" s="2">
        <v>7.6730234685387497</v>
      </c>
      <c r="X135" s="2">
        <v>1.80525889560995</v>
      </c>
      <c r="Y135" s="2">
        <v>2.03553013418224</v>
      </c>
      <c r="Z135" s="2">
        <v>15.4526789150393</v>
      </c>
      <c r="AA135" s="3">
        <f t="shared" si="7"/>
        <v>43.551729373061562</v>
      </c>
      <c r="AB135" t="s">
        <v>45</v>
      </c>
      <c r="AC135">
        <v>75.77</v>
      </c>
      <c r="AD135">
        <v>25.09</v>
      </c>
      <c r="AE135">
        <v>41.17</v>
      </c>
      <c r="AF135">
        <v>97.04</v>
      </c>
      <c r="AG135">
        <v>94.35</v>
      </c>
      <c r="AH135">
        <v>57.12</v>
      </c>
      <c r="AI135">
        <v>11.53</v>
      </c>
      <c r="AJ135">
        <v>57.89</v>
      </c>
      <c r="AK135">
        <v>10.39</v>
      </c>
      <c r="AL135">
        <v>98.12</v>
      </c>
      <c r="AM135">
        <v>22.46</v>
      </c>
      <c r="AN135">
        <v>46.76</v>
      </c>
      <c r="AO135" s="1">
        <f t="shared" si="8"/>
        <v>637.68999999999994</v>
      </c>
    </row>
    <row r="136" spans="1:41" x14ac:dyDescent="0.25">
      <c r="A136" t="s">
        <v>179</v>
      </c>
      <c r="B136" s="2">
        <v>6571.4706445595202</v>
      </c>
      <c r="C136" s="2">
        <v>1134.9107944940399</v>
      </c>
      <c r="D136" s="2">
        <v>1529.5980204720199</v>
      </c>
      <c r="E136" s="2">
        <v>3121.75704080285</v>
      </c>
      <c r="F136" s="2">
        <v>6937.7358593194003</v>
      </c>
      <c r="G136" s="2">
        <v>4458.2499184292201</v>
      </c>
      <c r="H136" s="2">
        <v>5698.6756308254799</v>
      </c>
      <c r="I136" s="2">
        <v>2426.8679423558101</v>
      </c>
      <c r="J136" s="2">
        <v>4150.6974858850999</v>
      </c>
      <c r="K136" s="2">
        <v>13558.7522369527</v>
      </c>
      <c r="L136" s="2">
        <v>608.41388773376502</v>
      </c>
      <c r="M136" s="2">
        <v>10153.569969411001</v>
      </c>
      <c r="N136" s="3">
        <f t="shared" si="6"/>
        <v>60350.699431240908</v>
      </c>
      <c r="O136" s="2">
        <v>3.90830569257855</v>
      </c>
      <c r="P136" s="2">
        <v>0.99529638829985401</v>
      </c>
      <c r="Q136" s="2">
        <v>5.6016243122732998</v>
      </c>
      <c r="R136" s="2">
        <v>11.5231271877369</v>
      </c>
      <c r="S136" s="2">
        <v>4.0950261873090597</v>
      </c>
      <c r="T136" s="2">
        <v>2.06774079915348</v>
      </c>
      <c r="U136" s="2">
        <v>3.8079518185776302</v>
      </c>
      <c r="V136" s="2">
        <v>6.2700185684254697</v>
      </c>
      <c r="W136" s="2">
        <v>3.2505389506347901</v>
      </c>
      <c r="X136" s="2">
        <v>9.0419522887696093</v>
      </c>
      <c r="Y136" s="2">
        <v>4.9607068591040999</v>
      </c>
      <c r="Z136" s="2">
        <v>8.2943049871729997</v>
      </c>
      <c r="AA136" s="3">
        <f t="shared" si="7"/>
        <v>63.816594040035746</v>
      </c>
      <c r="AB136" t="s">
        <v>45</v>
      </c>
      <c r="AC136">
        <v>75.91</v>
      </c>
      <c r="AD136">
        <v>21.39</v>
      </c>
      <c r="AE136">
        <v>25.59</v>
      </c>
      <c r="AF136">
        <v>41.81</v>
      </c>
      <c r="AG136">
        <v>79.62</v>
      </c>
      <c r="AH136">
        <v>54.73</v>
      </c>
      <c r="AI136">
        <v>67.180000000000007</v>
      </c>
      <c r="AJ136">
        <v>34.61</v>
      </c>
      <c r="AK136">
        <v>51.7</v>
      </c>
      <c r="AL136">
        <v>146.08000000000001</v>
      </c>
      <c r="AM136">
        <v>16.329999999999998</v>
      </c>
      <c r="AN136">
        <v>111.98</v>
      </c>
      <c r="AO136" s="1">
        <f t="shared" si="8"/>
        <v>726.93000000000006</v>
      </c>
    </row>
    <row r="137" spans="1:41" x14ac:dyDescent="0.25">
      <c r="A137" t="s">
        <v>180</v>
      </c>
      <c r="B137" s="2">
        <v>6571.1069921633498</v>
      </c>
      <c r="C137" s="2">
        <v>5997.4480495463504</v>
      </c>
      <c r="D137" s="2">
        <v>5374.0271072271298</v>
      </c>
      <c r="E137" s="2">
        <v>0</v>
      </c>
      <c r="F137" s="2">
        <v>746.47161751760405</v>
      </c>
      <c r="G137" s="2">
        <v>2135.2485716875999</v>
      </c>
      <c r="H137" s="2">
        <v>19525.3705591865</v>
      </c>
      <c r="I137" s="2">
        <v>572.31985459789598</v>
      </c>
      <c r="J137" s="2">
        <v>767.39989897460998</v>
      </c>
      <c r="K137" s="2">
        <v>148.25981742631399</v>
      </c>
      <c r="L137" s="2">
        <v>4038.7177154218298</v>
      </c>
      <c r="M137" s="2">
        <v>3174.2707722792402</v>
      </c>
      <c r="N137" s="3">
        <f t="shared" si="6"/>
        <v>49050.640956028423</v>
      </c>
      <c r="O137" s="2">
        <v>1.3644662329748301</v>
      </c>
      <c r="P137" s="2">
        <v>5.5610104741081203</v>
      </c>
      <c r="Q137" s="2">
        <v>0</v>
      </c>
      <c r="R137" s="2">
        <v>0</v>
      </c>
      <c r="S137" s="2">
        <v>0.86825747889752503</v>
      </c>
      <c r="T137" s="2">
        <v>10.6754211351316</v>
      </c>
      <c r="U137" s="2">
        <v>6.8259340402914503</v>
      </c>
      <c r="V137" s="2">
        <v>2.0781116754270199</v>
      </c>
      <c r="W137" s="2">
        <v>3.2009701579202798</v>
      </c>
      <c r="X137" s="2">
        <v>3.0145410860603898</v>
      </c>
      <c r="Y137" s="2">
        <v>5.0489261889170498</v>
      </c>
      <c r="Z137" s="2">
        <v>4.3669548396457403</v>
      </c>
      <c r="AA137" s="3">
        <f t="shared" si="7"/>
        <v>43.004593309374009</v>
      </c>
      <c r="AB137" t="s">
        <v>45</v>
      </c>
      <c r="AC137">
        <v>75.81</v>
      </c>
      <c r="AD137">
        <v>70.27</v>
      </c>
      <c r="AE137">
        <v>63.74</v>
      </c>
      <c r="AF137">
        <v>9.99</v>
      </c>
      <c r="AG137">
        <v>17.510000000000002</v>
      </c>
      <c r="AH137">
        <v>31.9</v>
      </c>
      <c r="AI137">
        <v>205.6</v>
      </c>
      <c r="AJ137">
        <v>15.87</v>
      </c>
      <c r="AK137">
        <v>17.87</v>
      </c>
      <c r="AL137">
        <v>11.68</v>
      </c>
      <c r="AM137">
        <v>50.68</v>
      </c>
      <c r="AN137">
        <v>41.99</v>
      </c>
      <c r="AO137" s="1">
        <f t="shared" si="8"/>
        <v>612.90999999999985</v>
      </c>
    </row>
    <row r="138" spans="1:41" x14ac:dyDescent="0.25">
      <c r="A138" t="s">
        <v>181</v>
      </c>
      <c r="B138" s="2">
        <v>6563.2406593310598</v>
      </c>
      <c r="C138" s="2">
        <v>411.356302192903</v>
      </c>
      <c r="D138" s="2">
        <v>4723.5875379515501</v>
      </c>
      <c r="E138" s="2">
        <v>42.874466181811599</v>
      </c>
      <c r="F138" s="2">
        <v>1059.2854004829301</v>
      </c>
      <c r="G138" s="2">
        <v>3004.7001967838601</v>
      </c>
      <c r="H138" s="2">
        <v>5498.6426887914804</v>
      </c>
      <c r="I138" s="2">
        <v>833.512917671982</v>
      </c>
      <c r="J138" s="2">
        <v>5842.4001530810201</v>
      </c>
      <c r="K138" s="2">
        <v>4171.5175492545004</v>
      </c>
      <c r="L138" s="2">
        <v>1744.1337705420201</v>
      </c>
      <c r="M138" s="2">
        <v>7656.7019662618004</v>
      </c>
      <c r="N138" s="3">
        <f t="shared" si="6"/>
        <v>41551.953608526921</v>
      </c>
      <c r="O138" s="2">
        <v>1.54007128047427</v>
      </c>
      <c r="P138" s="2">
        <v>1.5916307667237699</v>
      </c>
      <c r="Q138" s="2">
        <v>3.31466056337712</v>
      </c>
      <c r="R138" s="2">
        <v>1.15610800289715</v>
      </c>
      <c r="S138" s="2">
        <v>5.0437268357161296</v>
      </c>
      <c r="T138" s="2">
        <v>0.244597382072157</v>
      </c>
      <c r="U138" s="2">
        <v>1.6712469744794201</v>
      </c>
      <c r="V138" s="2">
        <v>1.17049856240415</v>
      </c>
      <c r="W138" s="2">
        <v>1.51657310315839</v>
      </c>
      <c r="X138" s="2">
        <v>3.2806945321289098</v>
      </c>
      <c r="Y138" s="2">
        <v>1.3646043348977099</v>
      </c>
      <c r="Z138" s="2">
        <v>14.180292637415601</v>
      </c>
      <c r="AA138" s="3">
        <f t="shared" si="7"/>
        <v>36.07470497574478</v>
      </c>
      <c r="AB138" t="s">
        <v>45</v>
      </c>
      <c r="AC138">
        <v>75.73</v>
      </c>
      <c r="AD138">
        <v>14.21</v>
      </c>
      <c r="AE138">
        <v>57.43</v>
      </c>
      <c r="AF138">
        <v>10.52</v>
      </c>
      <c r="AG138">
        <v>20.89</v>
      </c>
      <c r="AH138">
        <v>40.090000000000003</v>
      </c>
      <c r="AI138">
        <v>65.08</v>
      </c>
      <c r="AJ138">
        <v>18.43</v>
      </c>
      <c r="AK138">
        <v>68.52</v>
      </c>
      <c r="AL138">
        <v>51.91</v>
      </c>
      <c r="AM138">
        <v>27.54</v>
      </c>
      <c r="AN138">
        <v>87.31</v>
      </c>
      <c r="AO138" s="1">
        <f t="shared" si="8"/>
        <v>537.66000000000008</v>
      </c>
    </row>
    <row r="139" spans="1:41" x14ac:dyDescent="0.25">
      <c r="A139" t="s">
        <v>182</v>
      </c>
      <c r="B139" s="2">
        <v>6559.5370271888596</v>
      </c>
      <c r="C139" s="2">
        <v>422.41526947173401</v>
      </c>
      <c r="D139" s="2">
        <v>8783.2927304046207</v>
      </c>
      <c r="E139" s="2">
        <v>1427.7794985324399</v>
      </c>
      <c r="F139" s="2">
        <v>410.45572068220901</v>
      </c>
      <c r="G139" s="2">
        <v>2056.7136974228602</v>
      </c>
      <c r="H139" s="2">
        <v>2298.94830233327</v>
      </c>
      <c r="I139" s="2">
        <v>3276.0417063643799</v>
      </c>
      <c r="J139" s="2">
        <v>2649.0661102931699</v>
      </c>
      <c r="K139" s="2">
        <v>2187.7922102105099</v>
      </c>
      <c r="L139" s="2">
        <v>3085.7984299002001</v>
      </c>
      <c r="M139" s="2">
        <v>2634.5356128178801</v>
      </c>
      <c r="N139" s="3">
        <f t="shared" si="6"/>
        <v>35792.376315622139</v>
      </c>
      <c r="O139" s="2">
        <v>6.3256470082993603</v>
      </c>
      <c r="P139" s="2">
        <v>0.37861506908216702</v>
      </c>
      <c r="Q139" s="2">
        <v>1.7342672531493499</v>
      </c>
      <c r="R139" s="2">
        <v>1.91207854280612</v>
      </c>
      <c r="S139" s="2">
        <v>2.1577404597149901</v>
      </c>
      <c r="T139" s="2">
        <v>0</v>
      </c>
      <c r="U139" s="2">
        <v>1.63831698747152</v>
      </c>
      <c r="V139" s="2">
        <v>4.3932349201173899</v>
      </c>
      <c r="W139" s="2">
        <v>0.57312393122716099</v>
      </c>
      <c r="X139" s="2">
        <v>5.9328890672830497</v>
      </c>
      <c r="Y139" s="2">
        <v>0</v>
      </c>
      <c r="Z139" s="2">
        <v>1.71539588260297</v>
      </c>
      <c r="AA139" s="3">
        <f t="shared" si="7"/>
        <v>26.761309121754078</v>
      </c>
      <c r="AB139" t="s">
        <v>63</v>
      </c>
      <c r="AC139">
        <v>131.83000000000001</v>
      </c>
      <c r="AD139">
        <v>8.5500000000000007</v>
      </c>
      <c r="AE139">
        <v>175.86</v>
      </c>
      <c r="AF139">
        <v>28.74</v>
      </c>
      <c r="AG139">
        <v>8.49</v>
      </c>
      <c r="AH139">
        <v>41.14</v>
      </c>
      <c r="AI139">
        <v>46.16</v>
      </c>
      <c r="AJ139">
        <v>65.989999999999995</v>
      </c>
      <c r="AK139">
        <v>53.09</v>
      </c>
      <c r="AL139">
        <v>44.3</v>
      </c>
      <c r="AM139">
        <v>61.72</v>
      </c>
      <c r="AN139">
        <v>52.88</v>
      </c>
      <c r="AO139" s="1">
        <f t="shared" si="8"/>
        <v>718.75</v>
      </c>
    </row>
    <row r="140" spans="1:41" x14ac:dyDescent="0.25">
      <c r="A140" t="s">
        <v>183</v>
      </c>
      <c r="B140" s="2">
        <v>6550.92072590105</v>
      </c>
      <c r="C140" s="2">
        <v>823.08135072456503</v>
      </c>
      <c r="D140" s="2">
        <v>1405.5868608166099</v>
      </c>
      <c r="E140" s="2">
        <v>1000.17734759878</v>
      </c>
      <c r="F140" s="2">
        <v>5315.3986002048896</v>
      </c>
      <c r="G140" s="2">
        <v>1459.34485732588</v>
      </c>
      <c r="H140" s="2">
        <v>2101.85916308178</v>
      </c>
      <c r="I140" s="2">
        <v>24018.562154005002</v>
      </c>
      <c r="J140" s="2">
        <v>1104.63674878913</v>
      </c>
      <c r="K140" s="2">
        <v>1963.8538828436299</v>
      </c>
      <c r="L140" s="2">
        <v>3485.3340568776798</v>
      </c>
      <c r="M140" s="2">
        <v>5038.8862118813904</v>
      </c>
      <c r="N140" s="3">
        <f t="shared" si="6"/>
        <v>54267.641960050387</v>
      </c>
      <c r="O140" s="2">
        <v>6.5638123521698297</v>
      </c>
      <c r="P140" s="2">
        <v>1.2967091023128801</v>
      </c>
      <c r="Q140" s="2">
        <v>1.55886608889124</v>
      </c>
      <c r="R140" s="2">
        <v>7.2531049229154796</v>
      </c>
      <c r="S140" s="2">
        <v>1.6597360466775199</v>
      </c>
      <c r="T140" s="2">
        <v>2.8569298166258399</v>
      </c>
      <c r="U140" s="2">
        <v>1.9012107953367401</v>
      </c>
      <c r="V140" s="2">
        <v>2.5891368185423702</v>
      </c>
      <c r="W140" s="2">
        <v>2.9165489435140302</v>
      </c>
      <c r="X140" s="2">
        <v>5.9089958763466104</v>
      </c>
      <c r="Y140" s="2">
        <v>1.3408268930655101</v>
      </c>
      <c r="Z140" s="2">
        <v>4.1684164288177499</v>
      </c>
      <c r="AA140" s="3">
        <f t="shared" si="7"/>
        <v>40.014294085215802</v>
      </c>
      <c r="AB140" t="s">
        <v>45</v>
      </c>
      <c r="AC140">
        <v>75.849999999999994</v>
      </c>
      <c r="AD140">
        <v>18.329999999999998</v>
      </c>
      <c r="AE140">
        <v>24.15</v>
      </c>
      <c r="AF140">
        <v>20.399999999999999</v>
      </c>
      <c r="AG140">
        <v>63.25</v>
      </c>
      <c r="AH140">
        <v>24.74</v>
      </c>
      <c r="AI140">
        <v>31.11</v>
      </c>
      <c r="AJ140">
        <v>250.33</v>
      </c>
      <c r="AK140">
        <v>21.19</v>
      </c>
      <c r="AL140">
        <v>29.93</v>
      </c>
      <c r="AM140">
        <v>44.95</v>
      </c>
      <c r="AN140">
        <v>60.63</v>
      </c>
      <c r="AO140" s="1">
        <f t="shared" si="8"/>
        <v>664.86</v>
      </c>
    </row>
    <row r="141" spans="1:41" x14ac:dyDescent="0.25">
      <c r="A141" t="s">
        <v>184</v>
      </c>
      <c r="B141" s="2">
        <v>6525.5024710750104</v>
      </c>
      <c r="C141" s="2">
        <v>169.202807077633</v>
      </c>
      <c r="D141" s="2">
        <v>6056.4651929229203</v>
      </c>
      <c r="E141" s="2">
        <v>3806.9406226926899</v>
      </c>
      <c r="F141" s="2">
        <v>2121.4417054064002</v>
      </c>
      <c r="G141" s="2">
        <v>747.58677565686105</v>
      </c>
      <c r="H141" s="2">
        <v>5516.5764340719597</v>
      </c>
      <c r="I141" s="2">
        <v>1572.4518077177499</v>
      </c>
      <c r="J141" s="2">
        <v>4083.16475373816</v>
      </c>
      <c r="K141" s="2">
        <v>909.01355276467496</v>
      </c>
      <c r="L141" s="2">
        <v>6070.4181545417096</v>
      </c>
      <c r="M141" s="2">
        <v>314.64995041707999</v>
      </c>
      <c r="N141" s="3">
        <f t="shared" si="6"/>
        <v>37893.414228082846</v>
      </c>
      <c r="O141" s="2">
        <v>2.48447952008669</v>
      </c>
      <c r="P141" s="2">
        <v>1.6325656820607499</v>
      </c>
      <c r="Q141" s="2">
        <v>2.7457056749967101</v>
      </c>
      <c r="R141" s="2">
        <v>7.9840158334345297</v>
      </c>
      <c r="S141" s="2">
        <v>0</v>
      </c>
      <c r="T141" s="2">
        <v>0</v>
      </c>
      <c r="U141" s="2">
        <v>2.9105986396768202</v>
      </c>
      <c r="V141" s="2">
        <v>1.6438231200248601</v>
      </c>
      <c r="W141" s="2">
        <v>0</v>
      </c>
      <c r="X141" s="2">
        <v>7.0760955359884603</v>
      </c>
      <c r="Y141" s="2">
        <v>3.0196907469434899</v>
      </c>
      <c r="Z141" s="2">
        <v>0</v>
      </c>
      <c r="AA141" s="3">
        <f t="shared" si="7"/>
        <v>29.49697475321231</v>
      </c>
      <c r="AB141" t="s">
        <v>45</v>
      </c>
      <c r="AC141">
        <v>75.400000000000006</v>
      </c>
      <c r="AD141">
        <v>11.79</v>
      </c>
      <c r="AE141">
        <v>70.709999999999994</v>
      </c>
      <c r="AF141">
        <v>48.46</v>
      </c>
      <c r="AG141">
        <v>31.21</v>
      </c>
      <c r="AH141">
        <v>17.47</v>
      </c>
      <c r="AI141">
        <v>65.31</v>
      </c>
      <c r="AJ141">
        <v>25.82</v>
      </c>
      <c r="AK141">
        <v>50.83</v>
      </c>
      <c r="AL141">
        <v>19.489999999999998</v>
      </c>
      <c r="AM141">
        <v>70.900000000000006</v>
      </c>
      <c r="AN141">
        <v>13.14</v>
      </c>
      <c r="AO141" s="1">
        <f t="shared" si="8"/>
        <v>500.53</v>
      </c>
    </row>
    <row r="142" spans="1:41" x14ac:dyDescent="0.25">
      <c r="A142" t="s">
        <v>185</v>
      </c>
      <c r="B142" s="2">
        <v>6523.3300827038502</v>
      </c>
      <c r="C142" s="2">
        <v>2689.7543209492801</v>
      </c>
      <c r="D142" s="2">
        <v>54.691734919495197</v>
      </c>
      <c r="E142" s="2">
        <v>1553.5944513086799</v>
      </c>
      <c r="F142" s="2">
        <v>864.69643330089195</v>
      </c>
      <c r="G142" s="2">
        <v>532.15515325940703</v>
      </c>
      <c r="H142" s="2">
        <v>2009.68759537864</v>
      </c>
      <c r="I142" s="2">
        <v>0</v>
      </c>
      <c r="J142" s="2">
        <v>3210.4964734364398</v>
      </c>
      <c r="K142" s="2">
        <v>3564.8025741193701</v>
      </c>
      <c r="L142" s="2">
        <v>3284.61477120576</v>
      </c>
      <c r="M142" s="2">
        <v>1945.38801421279</v>
      </c>
      <c r="N142" s="3">
        <f t="shared" si="6"/>
        <v>26233.211604794607</v>
      </c>
      <c r="O142" s="2">
        <v>0.33314266452896402</v>
      </c>
      <c r="P142" s="2">
        <v>5.3387464380168099</v>
      </c>
      <c r="Q142" s="2">
        <v>2.0181492320813099</v>
      </c>
      <c r="R142" s="2">
        <v>5.7806264399726004</v>
      </c>
      <c r="S142" s="2">
        <v>1.2581257388782301</v>
      </c>
      <c r="T142" s="2">
        <v>0.59567377306994496</v>
      </c>
      <c r="U142" s="2">
        <v>0.98108068070891197</v>
      </c>
      <c r="V142" s="2">
        <v>8.8417140281248408</v>
      </c>
      <c r="W142" s="2">
        <v>5.3233586574866401</v>
      </c>
      <c r="X142" s="2">
        <v>3.5741809274563199</v>
      </c>
      <c r="Y142" s="2">
        <v>1.60108957386635</v>
      </c>
      <c r="Z142" s="2">
        <v>0</v>
      </c>
      <c r="AA142" s="3">
        <f t="shared" si="7"/>
        <v>35.645888154190928</v>
      </c>
      <c r="AB142" t="s">
        <v>63</v>
      </c>
      <c r="AC142">
        <v>130.57</v>
      </c>
      <c r="AD142">
        <v>54.34</v>
      </c>
      <c r="AE142">
        <v>1.37</v>
      </c>
      <c r="AF142">
        <v>31.62</v>
      </c>
      <c r="AG142">
        <v>17.48</v>
      </c>
      <c r="AH142">
        <v>10.75</v>
      </c>
      <c r="AI142">
        <v>40.29</v>
      </c>
      <c r="AJ142">
        <v>0.81</v>
      </c>
      <c r="AK142">
        <v>64.760000000000005</v>
      </c>
      <c r="AL142">
        <v>71.66</v>
      </c>
      <c r="AM142">
        <v>65.88</v>
      </c>
      <c r="AN142">
        <v>38.92</v>
      </c>
      <c r="AO142" s="1">
        <f t="shared" si="8"/>
        <v>528.44999999999993</v>
      </c>
    </row>
    <row r="143" spans="1:41" x14ac:dyDescent="0.25">
      <c r="A143" t="s">
        <v>186</v>
      </c>
      <c r="B143" s="2">
        <v>6496.9834768542596</v>
      </c>
      <c r="C143" s="2">
        <v>5246.5610494512603</v>
      </c>
      <c r="D143" s="2">
        <v>0</v>
      </c>
      <c r="E143" s="2">
        <v>1126.2013146239699</v>
      </c>
      <c r="F143" s="2">
        <v>8919.1956970963001</v>
      </c>
      <c r="G143" s="2">
        <v>5521.7764192731102</v>
      </c>
      <c r="H143" s="2">
        <v>19509.336763932901</v>
      </c>
      <c r="I143" s="2">
        <v>1258.3491483017201</v>
      </c>
      <c r="J143" s="2">
        <v>2090.3119580001899</v>
      </c>
      <c r="K143" s="2">
        <v>1310.5699796925401</v>
      </c>
      <c r="L143" s="2">
        <v>3581.82858251784</v>
      </c>
      <c r="M143" s="2">
        <v>1278.3755959300599</v>
      </c>
      <c r="N143" s="3">
        <f t="shared" si="6"/>
        <v>56339.489985674147</v>
      </c>
      <c r="O143" s="2">
        <v>2.2198536034639198</v>
      </c>
      <c r="P143" s="2">
        <v>0</v>
      </c>
      <c r="Q143" s="2">
        <v>0</v>
      </c>
      <c r="R143" s="2">
        <v>4.6583758161870401</v>
      </c>
      <c r="S143" s="2">
        <v>3.4016344600985602</v>
      </c>
      <c r="T143" s="2">
        <v>9.2482223494284703</v>
      </c>
      <c r="U143" s="2">
        <v>7.0508961363990998</v>
      </c>
      <c r="V143" s="2">
        <v>2.7168254627475199</v>
      </c>
      <c r="W143" s="2">
        <v>2.1556701842900399</v>
      </c>
      <c r="X143" s="2">
        <v>3.2105108105764901</v>
      </c>
      <c r="Y143" s="2">
        <v>3.74509582589556</v>
      </c>
      <c r="Z143" s="2">
        <v>2.8070704817037799</v>
      </c>
      <c r="AA143" s="3">
        <f t="shared" si="7"/>
        <v>41.214155130790481</v>
      </c>
      <c r="AB143" t="s">
        <v>63</v>
      </c>
      <c r="AC143">
        <v>130.21</v>
      </c>
      <c r="AD143">
        <v>104.94</v>
      </c>
      <c r="AE143">
        <v>0</v>
      </c>
      <c r="AF143">
        <v>22.99</v>
      </c>
      <c r="AG143">
        <v>178.76</v>
      </c>
      <c r="AH143">
        <v>111.34</v>
      </c>
      <c r="AI143">
        <v>390.92</v>
      </c>
      <c r="AJ143">
        <v>25.45</v>
      </c>
      <c r="AK143">
        <v>42.09</v>
      </c>
      <c r="AL143">
        <v>26.58</v>
      </c>
      <c r="AM143">
        <v>72</v>
      </c>
      <c r="AN143">
        <v>25.85</v>
      </c>
      <c r="AO143" s="1">
        <f t="shared" si="8"/>
        <v>1131.1300000000001</v>
      </c>
    </row>
    <row r="144" spans="1:41" x14ac:dyDescent="0.25">
      <c r="A144" t="s">
        <v>187</v>
      </c>
      <c r="B144" s="2">
        <v>6492.6903711914001</v>
      </c>
      <c r="C144" s="2">
        <v>595.55254697824898</v>
      </c>
      <c r="D144" s="2">
        <v>7759.0951074609702</v>
      </c>
      <c r="E144" s="2">
        <v>434.98631555298999</v>
      </c>
      <c r="F144" s="2">
        <v>0</v>
      </c>
      <c r="G144" s="2">
        <v>4290.59227353402</v>
      </c>
      <c r="H144" s="2">
        <v>925.38819385227202</v>
      </c>
      <c r="I144" s="2">
        <v>3371.6420678746699</v>
      </c>
      <c r="J144" s="2">
        <v>4106.5798941633202</v>
      </c>
      <c r="K144" s="2">
        <v>31.636238227237101</v>
      </c>
      <c r="L144" s="2">
        <v>1958.2176612630301</v>
      </c>
      <c r="M144" s="2">
        <v>1601.40655563357</v>
      </c>
      <c r="N144" s="3">
        <f t="shared" si="6"/>
        <v>31567.787225731729</v>
      </c>
      <c r="O144" s="2">
        <v>8.3647854013798799</v>
      </c>
      <c r="P144" s="2">
        <v>5.7192895136121704</v>
      </c>
      <c r="Q144" s="2">
        <v>11.974146615379199</v>
      </c>
      <c r="R144" s="2">
        <v>0.47239453375726798</v>
      </c>
      <c r="S144" s="2">
        <v>5.6044646453202702</v>
      </c>
      <c r="T144" s="2">
        <v>2.3164267608749798</v>
      </c>
      <c r="U144" s="2">
        <v>5.4219706337401199</v>
      </c>
      <c r="V144" s="2">
        <v>2.3735620617820801</v>
      </c>
      <c r="W144" s="2">
        <v>1.48355044678333</v>
      </c>
      <c r="X144" s="2">
        <v>1.4005811522179099</v>
      </c>
      <c r="Y144" s="2">
        <v>3.82523127805517</v>
      </c>
      <c r="Z144" s="2">
        <v>6.1156444374399204</v>
      </c>
      <c r="AA144" s="3">
        <f t="shared" si="7"/>
        <v>55.072047480342306</v>
      </c>
      <c r="AB144" t="s">
        <v>63</v>
      </c>
      <c r="AC144">
        <v>130.66999999999999</v>
      </c>
      <c r="AD144">
        <v>12.46</v>
      </c>
      <c r="AE144">
        <v>156.28</v>
      </c>
      <c r="AF144">
        <v>8.7899999999999991</v>
      </c>
      <c r="AG144">
        <v>0.54</v>
      </c>
      <c r="AH144">
        <v>86.09</v>
      </c>
      <c r="AI144">
        <v>19.059999999999999</v>
      </c>
      <c r="AJ144">
        <v>67.709999999999994</v>
      </c>
      <c r="AK144">
        <v>82.32</v>
      </c>
      <c r="AL144">
        <v>0.82</v>
      </c>
      <c r="AM144">
        <v>39.54</v>
      </c>
      <c r="AN144">
        <v>32.67</v>
      </c>
      <c r="AO144" s="1">
        <f t="shared" si="8"/>
        <v>636.95000000000005</v>
      </c>
    </row>
    <row r="145" spans="1:41" x14ac:dyDescent="0.25">
      <c r="A145" t="s">
        <v>188</v>
      </c>
      <c r="B145" s="2">
        <v>6482.1912432456302</v>
      </c>
      <c r="C145" s="2">
        <v>998.99385385248104</v>
      </c>
      <c r="D145" s="2">
        <v>0</v>
      </c>
      <c r="E145" s="2">
        <v>3215.5455935176301</v>
      </c>
      <c r="F145" s="2">
        <v>912.04643987926795</v>
      </c>
      <c r="G145" s="2">
        <v>4.7156229107833898</v>
      </c>
      <c r="H145" s="2">
        <v>3763.9438219537301</v>
      </c>
      <c r="I145" s="2">
        <v>1646.64283548548</v>
      </c>
      <c r="J145" s="2">
        <v>736.86569645668601</v>
      </c>
      <c r="K145" s="2">
        <v>3196.3908892419499</v>
      </c>
      <c r="L145" s="2">
        <v>0</v>
      </c>
      <c r="M145" s="2">
        <v>5204.00610073184</v>
      </c>
      <c r="N145" s="3">
        <f t="shared" si="6"/>
        <v>26161.342097275479</v>
      </c>
      <c r="O145" s="2">
        <v>3.23817278632474</v>
      </c>
      <c r="P145" s="2">
        <v>10.2155210891157</v>
      </c>
      <c r="Q145" s="2">
        <v>2.8793910697771001</v>
      </c>
      <c r="R145" s="2">
        <v>4.1038179312028298</v>
      </c>
      <c r="S145" s="2">
        <v>3.4339164619335297E-2</v>
      </c>
      <c r="T145" s="2">
        <v>0</v>
      </c>
      <c r="U145" s="2">
        <v>1.1032743476790601</v>
      </c>
      <c r="V145" s="2">
        <v>1.2887790342746599</v>
      </c>
      <c r="W145" s="2">
        <v>4.4767999371094804</v>
      </c>
      <c r="X145" s="2">
        <v>0.70585507501860401</v>
      </c>
      <c r="Y145" s="2">
        <v>0</v>
      </c>
      <c r="Z145" s="2">
        <v>0</v>
      </c>
      <c r="AA145" s="3">
        <f t="shared" si="7"/>
        <v>28.045950435121512</v>
      </c>
      <c r="AB145" t="s">
        <v>63</v>
      </c>
      <c r="AC145">
        <v>130.02000000000001</v>
      </c>
      <c r="AD145">
        <v>20.97</v>
      </c>
      <c r="AE145">
        <v>0.27</v>
      </c>
      <c r="AF145">
        <v>64.77</v>
      </c>
      <c r="AG145">
        <v>18.350000000000001</v>
      </c>
      <c r="AH145">
        <v>0.1</v>
      </c>
      <c r="AI145">
        <v>75.459999999999994</v>
      </c>
      <c r="AJ145">
        <v>33.119999999999997</v>
      </c>
      <c r="AK145">
        <v>15.19</v>
      </c>
      <c r="AL145">
        <v>64.03</v>
      </c>
      <c r="AM145">
        <v>0</v>
      </c>
      <c r="AN145">
        <v>104.1</v>
      </c>
      <c r="AO145" s="1">
        <f t="shared" si="8"/>
        <v>526.38</v>
      </c>
    </row>
    <row r="146" spans="1:41" x14ac:dyDescent="0.25">
      <c r="A146" t="s">
        <v>189</v>
      </c>
      <c r="B146" s="2">
        <v>6450.8474681381003</v>
      </c>
      <c r="C146" s="2">
        <v>0</v>
      </c>
      <c r="D146" s="2">
        <v>9509.7233596227707</v>
      </c>
      <c r="E146" s="2">
        <v>516.415450124779</v>
      </c>
      <c r="F146" s="2">
        <v>1575.0753315786301</v>
      </c>
      <c r="G146" s="2">
        <v>291.846932412022</v>
      </c>
      <c r="H146" s="2">
        <v>7560.4796562129004</v>
      </c>
      <c r="I146" s="2">
        <v>5675.1875082872202</v>
      </c>
      <c r="J146" s="2">
        <v>10068.9645541436</v>
      </c>
      <c r="K146" s="2">
        <v>4085.75804171446</v>
      </c>
      <c r="L146" s="2">
        <v>586.25893198549397</v>
      </c>
      <c r="M146" s="2">
        <v>1397.1505689682499</v>
      </c>
      <c r="N146" s="3">
        <f t="shared" si="6"/>
        <v>47717.707803188234</v>
      </c>
      <c r="O146" s="2">
        <v>4.4664497953346904</v>
      </c>
      <c r="P146" s="2">
        <v>7.1944134749512099</v>
      </c>
      <c r="Q146" s="2">
        <v>1.3621137976273401</v>
      </c>
      <c r="R146" s="2">
        <v>2.5329829102789199</v>
      </c>
      <c r="S146" s="2">
        <v>2.3440891711019902</v>
      </c>
      <c r="T146" s="2">
        <v>6.2194123768747298</v>
      </c>
      <c r="U146" s="2">
        <v>8.6544292503231102</v>
      </c>
      <c r="V146" s="2">
        <v>0.26693638413756599</v>
      </c>
      <c r="W146" s="2">
        <v>4.4968952696427804</v>
      </c>
      <c r="X146" s="2">
        <v>0</v>
      </c>
      <c r="Y146" s="2">
        <v>1.74241457433184</v>
      </c>
      <c r="Z146" s="2">
        <v>0.261420697195271</v>
      </c>
      <c r="AA146" s="3">
        <f t="shared" si="7"/>
        <v>39.541557701799441</v>
      </c>
      <c r="AB146" t="s">
        <v>45</v>
      </c>
      <c r="AC146">
        <v>74.75</v>
      </c>
      <c r="AD146">
        <v>10.39</v>
      </c>
      <c r="AE146">
        <v>105.19</v>
      </c>
      <c r="AF146">
        <v>15.31</v>
      </c>
      <c r="AG146">
        <v>25.9</v>
      </c>
      <c r="AH146">
        <v>13.26</v>
      </c>
      <c r="AI146">
        <v>86.05</v>
      </c>
      <c r="AJ146">
        <v>66.8</v>
      </c>
      <c r="AK146">
        <v>110.93</v>
      </c>
      <c r="AL146">
        <v>50.85</v>
      </c>
      <c r="AM146">
        <v>15.96</v>
      </c>
      <c r="AN146">
        <v>24.02</v>
      </c>
      <c r="AO146" s="1">
        <f t="shared" si="8"/>
        <v>599.41</v>
      </c>
    </row>
    <row r="147" spans="1:41" x14ac:dyDescent="0.25">
      <c r="A147" t="s">
        <v>190</v>
      </c>
      <c r="B147" s="2">
        <v>6439.2224083496303</v>
      </c>
      <c r="C147" s="2">
        <v>3360.2830177115402</v>
      </c>
      <c r="D147" s="2">
        <v>1278.0753814729501</v>
      </c>
      <c r="E147" s="2">
        <v>3550.1959948239</v>
      </c>
      <c r="F147" s="2">
        <v>3581.3621643452698</v>
      </c>
      <c r="G147" s="2">
        <v>12747.6809680719</v>
      </c>
      <c r="H147" s="2">
        <v>2470.03465650522</v>
      </c>
      <c r="I147" s="2">
        <v>2342.6000654832301</v>
      </c>
      <c r="J147" s="2">
        <v>3731.8306969079099</v>
      </c>
      <c r="K147" s="2">
        <v>6180.2867698154696</v>
      </c>
      <c r="L147" s="2">
        <v>3300.0591098928899</v>
      </c>
      <c r="M147" s="2">
        <v>4372.17359821633</v>
      </c>
      <c r="N147" s="3">
        <f t="shared" si="6"/>
        <v>53353.804831596251</v>
      </c>
      <c r="O147" s="2">
        <v>3.4150822663697702</v>
      </c>
      <c r="P147" s="2">
        <v>2.6184313342265999</v>
      </c>
      <c r="Q147" s="2">
        <v>0.53791790009329599</v>
      </c>
      <c r="R147" s="2">
        <v>1.1041237246373501</v>
      </c>
      <c r="S147" s="2">
        <v>2.56840788248839</v>
      </c>
      <c r="T147" s="2">
        <v>4.0886174815001803</v>
      </c>
      <c r="U147" s="2">
        <v>7.0689292815990603</v>
      </c>
      <c r="V147" s="2">
        <v>1.31963330148991</v>
      </c>
      <c r="W147" s="2">
        <v>0</v>
      </c>
      <c r="X147" s="2">
        <v>13.2494959465199</v>
      </c>
      <c r="Y147" s="2">
        <v>11.5776315714409</v>
      </c>
      <c r="Z147" s="2">
        <v>4.5468832925557896</v>
      </c>
      <c r="AA147" s="3">
        <f t="shared" si="7"/>
        <v>52.095153982921147</v>
      </c>
      <c r="AB147" t="s">
        <v>45</v>
      </c>
      <c r="AC147">
        <v>74.59</v>
      </c>
      <c r="AD147">
        <v>43.75</v>
      </c>
      <c r="AE147">
        <v>22.83</v>
      </c>
      <c r="AF147">
        <v>45.6</v>
      </c>
      <c r="AG147">
        <v>45.96</v>
      </c>
      <c r="AH147">
        <v>137.72</v>
      </c>
      <c r="AI147">
        <v>35.1</v>
      </c>
      <c r="AJ147">
        <v>33.520000000000003</v>
      </c>
      <c r="AK147">
        <v>47.31</v>
      </c>
      <c r="AL147">
        <v>72.5</v>
      </c>
      <c r="AM147">
        <v>43.6</v>
      </c>
      <c r="AN147">
        <v>53.97</v>
      </c>
      <c r="AO147" s="1">
        <f t="shared" si="8"/>
        <v>656.45000000000016</v>
      </c>
    </row>
    <row r="148" spans="1:41" x14ac:dyDescent="0.25">
      <c r="A148" t="s">
        <v>191</v>
      </c>
      <c r="B148" s="2">
        <v>6428.2977410721096</v>
      </c>
      <c r="C148" s="2">
        <v>1245.75167677372</v>
      </c>
      <c r="D148" s="2">
        <v>1386.11044099786</v>
      </c>
      <c r="E148" s="2">
        <v>6134.4427937807504</v>
      </c>
      <c r="F148" s="2">
        <v>2752.6245305490702</v>
      </c>
      <c r="G148" s="2">
        <v>11436.5661953827</v>
      </c>
      <c r="H148" s="2">
        <v>2243.7746818350402</v>
      </c>
      <c r="I148" s="2">
        <v>3357.7100966601301</v>
      </c>
      <c r="J148" s="2">
        <v>2659.5603260902999</v>
      </c>
      <c r="K148" s="2">
        <v>11197.446372608299</v>
      </c>
      <c r="L148" s="2">
        <v>2383.7084303439501</v>
      </c>
      <c r="M148" s="2">
        <v>1419.1795092673201</v>
      </c>
      <c r="N148" s="3">
        <f t="shared" si="6"/>
        <v>52645.17279536125</v>
      </c>
      <c r="O148" s="2">
        <v>5.3058054981784002</v>
      </c>
      <c r="P148" s="2">
        <v>2.0522559413117101</v>
      </c>
      <c r="Q148" s="2">
        <v>7.4995135659111698</v>
      </c>
      <c r="R148" s="2">
        <v>12.9878501662315</v>
      </c>
      <c r="S148" s="2">
        <v>0.64523281973065305</v>
      </c>
      <c r="T148" s="2">
        <v>4.5267260345220004</v>
      </c>
      <c r="U148" s="2">
        <v>2.0025615063119702</v>
      </c>
      <c r="V148" s="2">
        <v>7.0279068490103098</v>
      </c>
      <c r="W148" s="2">
        <v>3.6561540483288</v>
      </c>
      <c r="X148" s="2">
        <v>5.6088887742105697</v>
      </c>
      <c r="Y148" s="2">
        <v>7.0258058258894502</v>
      </c>
      <c r="Z148" s="2">
        <v>3.3333046223710201</v>
      </c>
      <c r="AA148" s="3">
        <f t="shared" si="7"/>
        <v>61.672005652007549</v>
      </c>
      <c r="AB148" t="s">
        <v>45</v>
      </c>
      <c r="AC148">
        <v>74.58</v>
      </c>
      <c r="AD148">
        <v>22.6</v>
      </c>
      <c r="AE148">
        <v>24.26</v>
      </c>
      <c r="AF148">
        <v>71.989999999999995</v>
      </c>
      <c r="AG148">
        <v>37.57</v>
      </c>
      <c r="AH148">
        <v>124.61</v>
      </c>
      <c r="AI148">
        <v>32.58</v>
      </c>
      <c r="AJ148">
        <v>43.97</v>
      </c>
      <c r="AK148">
        <v>36.79</v>
      </c>
      <c r="AL148">
        <v>122.27</v>
      </c>
      <c r="AM148">
        <v>34.229999999999997</v>
      </c>
      <c r="AN148">
        <v>24.39</v>
      </c>
      <c r="AO148" s="1">
        <f t="shared" si="8"/>
        <v>649.84</v>
      </c>
    </row>
    <row r="149" spans="1:41" x14ac:dyDescent="0.25">
      <c r="A149" t="s">
        <v>192</v>
      </c>
      <c r="B149" s="2">
        <v>6406.6341771442603</v>
      </c>
      <c r="C149" s="2">
        <v>14104.795847912999</v>
      </c>
      <c r="D149" s="2">
        <v>10513.073256903501</v>
      </c>
      <c r="E149" s="2">
        <v>6063.6343868883596</v>
      </c>
      <c r="F149" s="2">
        <v>0</v>
      </c>
      <c r="G149" s="2">
        <v>7221.3126713322699</v>
      </c>
      <c r="H149" s="2">
        <v>434.32576273111499</v>
      </c>
      <c r="I149" s="2">
        <v>6838.7860618343102</v>
      </c>
      <c r="J149" s="2">
        <v>885.40446196729101</v>
      </c>
      <c r="K149" s="2">
        <v>2572.21461340416</v>
      </c>
      <c r="L149" s="2">
        <v>0</v>
      </c>
      <c r="M149" s="2">
        <v>4668.8797870314002</v>
      </c>
      <c r="N149" s="3">
        <f t="shared" si="6"/>
        <v>59709.06102714967</v>
      </c>
      <c r="O149" s="2">
        <v>8.3442362238180401</v>
      </c>
      <c r="P149" s="2">
        <v>8.9650238089750101</v>
      </c>
      <c r="Q149" s="2">
        <v>5.8368164833103799</v>
      </c>
      <c r="R149" s="2">
        <v>5.1842576866250196</v>
      </c>
      <c r="S149" s="2">
        <v>10.377319911395601</v>
      </c>
      <c r="T149" s="2">
        <v>5.9517244064370499E-2</v>
      </c>
      <c r="U149" s="2">
        <v>0.36163652364145099</v>
      </c>
      <c r="V149" s="2">
        <v>1.33533941270788E-2</v>
      </c>
      <c r="W149" s="2">
        <v>7.3514597940257103</v>
      </c>
      <c r="X149" s="2">
        <v>1.43591452446162</v>
      </c>
      <c r="Y149" s="2">
        <v>4.6677865545366499</v>
      </c>
      <c r="Z149" s="2">
        <v>21.337442264429701</v>
      </c>
      <c r="AA149" s="3">
        <f t="shared" si="7"/>
        <v>73.934764413410633</v>
      </c>
      <c r="AB149" t="s">
        <v>45</v>
      </c>
      <c r="AC149">
        <v>74.510000000000005</v>
      </c>
      <c r="AD149">
        <v>151.49</v>
      </c>
      <c r="AE149">
        <v>115.43</v>
      </c>
      <c r="AF149">
        <v>70.930000000000007</v>
      </c>
      <c r="AG149">
        <v>10.54</v>
      </c>
      <c r="AH149">
        <v>82.26</v>
      </c>
      <c r="AI149">
        <v>14.39</v>
      </c>
      <c r="AJ149">
        <v>78.430000000000007</v>
      </c>
      <c r="AK149">
        <v>19.25</v>
      </c>
      <c r="AL149">
        <v>35.82</v>
      </c>
      <c r="AM149">
        <v>10.24</v>
      </c>
      <c r="AN149">
        <v>57.78</v>
      </c>
      <c r="AO149" s="1">
        <f t="shared" si="8"/>
        <v>721.07</v>
      </c>
    </row>
    <row r="150" spans="1:41" x14ac:dyDescent="0.25">
      <c r="A150" t="s">
        <v>193</v>
      </c>
      <c r="B150" s="2">
        <v>6403.3035639029804</v>
      </c>
      <c r="C150" s="2">
        <v>66.890617774748904</v>
      </c>
      <c r="D150" s="2">
        <v>1779.61477043016</v>
      </c>
      <c r="E150" s="2">
        <v>3823.5300429138601</v>
      </c>
      <c r="F150" s="2">
        <v>3247.2483611277098</v>
      </c>
      <c r="G150" s="2">
        <v>1874.6857212692601</v>
      </c>
      <c r="H150" s="2">
        <v>8402.3498955929299</v>
      </c>
      <c r="I150" s="2">
        <v>740.85321725445601</v>
      </c>
      <c r="J150" s="2">
        <v>4962.0637423019598</v>
      </c>
      <c r="K150" s="2">
        <v>0</v>
      </c>
      <c r="L150" s="2">
        <v>3224.3415683467401</v>
      </c>
      <c r="M150" s="2">
        <v>7083.8344777247103</v>
      </c>
      <c r="N150" s="3">
        <f t="shared" si="6"/>
        <v>41608.715978639513</v>
      </c>
      <c r="O150" s="2">
        <v>2.3039338404095799</v>
      </c>
      <c r="P150" s="2">
        <v>1.1992696677068899</v>
      </c>
      <c r="Q150" s="2">
        <v>3.5459810603573101</v>
      </c>
      <c r="R150" s="2">
        <v>3.54599671314846</v>
      </c>
      <c r="S150" s="2">
        <v>0.18438496924620801</v>
      </c>
      <c r="T150" s="2">
        <v>10.053602488882399</v>
      </c>
      <c r="U150" s="2">
        <v>0.33491376237722398</v>
      </c>
      <c r="V150" s="2">
        <v>4.2352780663121301</v>
      </c>
      <c r="W150" s="2">
        <v>5.3245351899162303</v>
      </c>
      <c r="X150" s="2">
        <v>8.6367756083023792</v>
      </c>
      <c r="Y150" s="2">
        <v>5.1450375216974704</v>
      </c>
      <c r="Z150" s="2">
        <v>7.8966822658249303</v>
      </c>
      <c r="AA150" s="3">
        <f t="shared" si="7"/>
        <v>52.406391154181208</v>
      </c>
      <c r="AB150" t="s">
        <v>45</v>
      </c>
      <c r="AC150">
        <v>74.180000000000007</v>
      </c>
      <c r="AD150">
        <v>10.76</v>
      </c>
      <c r="AE150">
        <v>27.99</v>
      </c>
      <c r="AF150">
        <v>48.43</v>
      </c>
      <c r="AG150">
        <v>42.52</v>
      </c>
      <c r="AH150">
        <v>29.29</v>
      </c>
      <c r="AI150">
        <v>94.07</v>
      </c>
      <c r="AJ150">
        <v>17.649999999999999</v>
      </c>
      <c r="AK150">
        <v>59.92</v>
      </c>
      <c r="AL150">
        <v>10.44</v>
      </c>
      <c r="AM150">
        <v>42.54</v>
      </c>
      <c r="AN150">
        <v>81.23</v>
      </c>
      <c r="AO150" s="1">
        <f t="shared" si="8"/>
        <v>539.02</v>
      </c>
    </row>
    <row r="151" spans="1:41" x14ac:dyDescent="0.25">
      <c r="A151" t="s">
        <v>194</v>
      </c>
      <c r="B151" s="2">
        <v>6401.7542231073503</v>
      </c>
      <c r="C151" s="2">
        <v>439.14587162613799</v>
      </c>
      <c r="D151" s="2">
        <v>7.4593307318173103</v>
      </c>
      <c r="E151" s="2">
        <v>8111.7987570165296</v>
      </c>
      <c r="F151" s="2">
        <v>0</v>
      </c>
      <c r="G151" s="2">
        <v>2926.7229715501999</v>
      </c>
      <c r="H151" s="2">
        <v>104.984449249666</v>
      </c>
      <c r="I151" s="2">
        <v>3037.5777078597598</v>
      </c>
      <c r="J151" s="2">
        <v>1426.05739385585</v>
      </c>
      <c r="K151" s="2">
        <v>1021.83374883561</v>
      </c>
      <c r="L151" s="2">
        <v>2594.5383921366201</v>
      </c>
      <c r="M151" s="2">
        <v>3310.1358981807698</v>
      </c>
      <c r="N151" s="3">
        <f t="shared" si="6"/>
        <v>29382.008744150313</v>
      </c>
      <c r="O151" s="2">
        <v>2.85538527694403</v>
      </c>
      <c r="P151" s="2">
        <v>2.3915766488345702</v>
      </c>
      <c r="Q151" s="2">
        <v>2.4449625217122999</v>
      </c>
      <c r="R151" s="2">
        <v>0.742049664610684</v>
      </c>
      <c r="S151" s="2">
        <v>6.6578568942759304</v>
      </c>
      <c r="T151" s="2">
        <v>1.7095542283532701</v>
      </c>
      <c r="U151" s="2">
        <v>2.876015729783</v>
      </c>
      <c r="V151" s="2">
        <v>3.4507347607018901</v>
      </c>
      <c r="W151" s="2">
        <v>4.6828341782224703</v>
      </c>
      <c r="X151" s="2">
        <v>0.61576487089202803</v>
      </c>
      <c r="Y151" s="2">
        <v>2.00354448487208</v>
      </c>
      <c r="Z151" s="2">
        <v>0</v>
      </c>
      <c r="AA151" s="3">
        <f t="shared" si="7"/>
        <v>30.430279259202255</v>
      </c>
      <c r="AB151" t="s">
        <v>63</v>
      </c>
      <c r="AC151">
        <v>128.31</v>
      </c>
      <c r="AD151">
        <v>9.07</v>
      </c>
      <c r="AE151">
        <v>0.43</v>
      </c>
      <c r="AF151">
        <v>162.33000000000001</v>
      </c>
      <c r="AG151">
        <v>0.63</v>
      </c>
      <c r="AH151">
        <v>58.72</v>
      </c>
      <c r="AI151">
        <v>2.37</v>
      </c>
      <c r="AJ151">
        <v>61.12</v>
      </c>
      <c r="AK151">
        <v>28.99</v>
      </c>
      <c r="AL151">
        <v>20.53</v>
      </c>
      <c r="AM151">
        <v>52.17</v>
      </c>
      <c r="AN151">
        <v>66.22</v>
      </c>
      <c r="AO151" s="1">
        <f t="shared" si="8"/>
        <v>590.89</v>
      </c>
    </row>
    <row r="152" spans="1:41" x14ac:dyDescent="0.25">
      <c r="A152" t="s">
        <v>195</v>
      </c>
      <c r="B152" s="2">
        <v>6387.6667180425502</v>
      </c>
      <c r="C152" s="2">
        <v>1312.38203379182</v>
      </c>
      <c r="D152" s="2">
        <v>47.698561248623101</v>
      </c>
      <c r="E152" s="2">
        <v>8771.04979410735</v>
      </c>
      <c r="F152" s="2">
        <v>4771.8929853877098</v>
      </c>
      <c r="G152" s="2">
        <v>3450.8126285769399</v>
      </c>
      <c r="H152" s="2">
        <v>0</v>
      </c>
      <c r="I152" s="2">
        <v>1884.0891707507501</v>
      </c>
      <c r="J152" s="2">
        <v>3001.0938622633198</v>
      </c>
      <c r="K152" s="2">
        <v>671.19246282631298</v>
      </c>
      <c r="L152" s="2">
        <v>2404.5543121642099</v>
      </c>
      <c r="M152" s="2">
        <v>2178.18296757077</v>
      </c>
      <c r="N152" s="3">
        <f t="shared" si="6"/>
        <v>34880.615496730352</v>
      </c>
      <c r="O152" s="2">
        <v>12.165457339885799</v>
      </c>
      <c r="P152" s="2">
        <v>1.5732540880634001</v>
      </c>
      <c r="Q152" s="2">
        <v>1.79641326088594</v>
      </c>
      <c r="R152" s="2">
        <v>2.5377377399409902</v>
      </c>
      <c r="S152" s="2">
        <v>3.8578233943705702</v>
      </c>
      <c r="T152" s="2">
        <v>4.6020338493814297</v>
      </c>
      <c r="U152" s="2">
        <v>0</v>
      </c>
      <c r="V152" s="2">
        <v>1.3480549688380301</v>
      </c>
      <c r="W152" s="2">
        <v>2.5574385161679598</v>
      </c>
      <c r="X152" s="2">
        <v>11.746794592586401</v>
      </c>
      <c r="Y152" s="2">
        <v>4.2176418465317198</v>
      </c>
      <c r="Z152" s="2">
        <v>2.8191550629930302</v>
      </c>
      <c r="AA152" s="3">
        <f t="shared" si="7"/>
        <v>49.221804659645272</v>
      </c>
      <c r="AB152" t="s">
        <v>63</v>
      </c>
      <c r="AC152">
        <v>128.93</v>
      </c>
      <c r="AD152">
        <v>26.44</v>
      </c>
      <c r="AE152">
        <v>1.1399999999999999</v>
      </c>
      <c r="AF152">
        <v>175.71</v>
      </c>
      <c r="AG152">
        <v>95.8</v>
      </c>
      <c r="AH152">
        <v>69.47</v>
      </c>
      <c r="AI152">
        <v>0</v>
      </c>
      <c r="AJ152">
        <v>37.880000000000003</v>
      </c>
      <c r="AK152">
        <v>60.31</v>
      </c>
      <c r="AL152">
        <v>14.52</v>
      </c>
      <c r="AM152">
        <v>48.55</v>
      </c>
      <c r="AN152">
        <v>43.85</v>
      </c>
      <c r="AO152" s="1">
        <f t="shared" si="8"/>
        <v>702.6</v>
      </c>
    </row>
    <row r="153" spans="1:41" x14ac:dyDescent="0.25">
      <c r="A153" t="s">
        <v>196</v>
      </c>
      <c r="B153" s="2">
        <v>6338.4190195798601</v>
      </c>
      <c r="C153" s="2">
        <v>5449.9931791648196</v>
      </c>
      <c r="D153" s="2">
        <v>5560.9356029476603</v>
      </c>
      <c r="E153" s="2">
        <v>2858.32117110226</v>
      </c>
      <c r="F153" s="2">
        <v>662.48377351265901</v>
      </c>
      <c r="G153" s="2">
        <v>399.51170114152001</v>
      </c>
      <c r="H153" s="2">
        <v>3115.4915665367898</v>
      </c>
      <c r="I153" s="2">
        <v>1113.10438569814</v>
      </c>
      <c r="J153" s="2">
        <v>2174.4403628907198</v>
      </c>
      <c r="K153" s="2">
        <v>2610.9652930370098</v>
      </c>
      <c r="L153" s="2">
        <v>4148.6530520646602</v>
      </c>
      <c r="M153" s="2">
        <v>0</v>
      </c>
      <c r="N153" s="3">
        <f t="shared" si="6"/>
        <v>34432.319107676107</v>
      </c>
      <c r="O153" s="2">
        <v>4.3912052265280099</v>
      </c>
      <c r="P153" s="2">
        <v>5.0490123641186999</v>
      </c>
      <c r="Q153" s="2">
        <v>9.6634797335290799</v>
      </c>
      <c r="R153" s="2">
        <v>0</v>
      </c>
      <c r="S153" s="2">
        <v>0</v>
      </c>
      <c r="T153" s="2">
        <v>10.237866046645101</v>
      </c>
      <c r="U153" s="2">
        <v>3.9430852250666701</v>
      </c>
      <c r="V153" s="2">
        <v>2.7795733426940101</v>
      </c>
      <c r="W153" s="2">
        <v>4.8168380072008903</v>
      </c>
      <c r="X153" s="2">
        <v>4.6585977407335397</v>
      </c>
      <c r="Y153" s="2">
        <v>11.789705577937999</v>
      </c>
      <c r="Z153" s="2">
        <v>23.594509475534</v>
      </c>
      <c r="AA153" s="3">
        <f t="shared" si="7"/>
        <v>80.923872739987999</v>
      </c>
      <c r="AB153" t="s">
        <v>63</v>
      </c>
      <c r="AC153">
        <v>127.23</v>
      </c>
      <c r="AD153">
        <v>109.54</v>
      </c>
      <c r="AE153">
        <v>112.12</v>
      </c>
      <c r="AF153">
        <v>57.18</v>
      </c>
      <c r="AG153">
        <v>13.26</v>
      </c>
      <c r="AH153">
        <v>8.99</v>
      </c>
      <c r="AI153">
        <v>62.68</v>
      </c>
      <c r="AJ153">
        <v>22.55</v>
      </c>
      <c r="AK153">
        <v>43.95</v>
      </c>
      <c r="AL153">
        <v>52.67</v>
      </c>
      <c r="AM153">
        <v>84.06</v>
      </c>
      <c r="AN153">
        <v>2.16</v>
      </c>
      <c r="AO153" s="1">
        <f t="shared" si="8"/>
        <v>696.39</v>
      </c>
    </row>
    <row r="154" spans="1:41" x14ac:dyDescent="0.25">
      <c r="A154" t="s">
        <v>197</v>
      </c>
      <c r="B154" s="2">
        <v>6334.8508862210601</v>
      </c>
      <c r="C154" s="2">
        <v>0</v>
      </c>
      <c r="D154" s="2">
        <v>123.191785757449</v>
      </c>
      <c r="E154" s="2">
        <v>1516.01400672971</v>
      </c>
      <c r="F154" s="2">
        <v>4508.8325520670096</v>
      </c>
      <c r="G154" s="2">
        <v>642.82162902754203</v>
      </c>
      <c r="H154" s="2">
        <v>427.64622403225098</v>
      </c>
      <c r="I154" s="2">
        <v>738.94951281879503</v>
      </c>
      <c r="J154" s="2">
        <v>1516.5061144625399</v>
      </c>
      <c r="K154" s="2">
        <v>567.79399990477305</v>
      </c>
      <c r="L154" s="2">
        <v>1194.00389734495</v>
      </c>
      <c r="M154" s="2">
        <v>4586.2750221350398</v>
      </c>
      <c r="N154" s="3">
        <f t="shared" si="6"/>
        <v>22156.885630501118</v>
      </c>
      <c r="O154" s="2">
        <v>8.3665336993278601</v>
      </c>
      <c r="P154" s="2">
        <v>1.92949887405066</v>
      </c>
      <c r="Q154" s="2">
        <v>0.69335032057420298</v>
      </c>
      <c r="R154" s="2">
        <v>6.7539876199088598</v>
      </c>
      <c r="S154" s="2">
        <v>8.5849208983852403</v>
      </c>
      <c r="T154" s="2">
        <v>4.4777326962751101</v>
      </c>
      <c r="U154" s="2">
        <v>1.95530801511634</v>
      </c>
      <c r="V154" s="2">
        <v>5.3914853960599602</v>
      </c>
      <c r="W154" s="2">
        <v>8.38555824605886</v>
      </c>
      <c r="X154" s="2">
        <v>1.0924538564734001</v>
      </c>
      <c r="Y154" s="2">
        <v>6.1868302748189201</v>
      </c>
      <c r="Z154" s="2">
        <v>4.1532323530072102</v>
      </c>
      <c r="AA154" s="3">
        <f t="shared" si="7"/>
        <v>57.970892250056622</v>
      </c>
      <c r="AB154" t="s">
        <v>63</v>
      </c>
      <c r="AC154">
        <v>127.51</v>
      </c>
      <c r="AD154">
        <v>0.18</v>
      </c>
      <c r="AE154">
        <v>2.57</v>
      </c>
      <c r="AF154">
        <v>30.97</v>
      </c>
      <c r="AG154">
        <v>90.99</v>
      </c>
      <c r="AH154">
        <v>13.31</v>
      </c>
      <c r="AI154">
        <v>8.74</v>
      </c>
      <c r="AJ154">
        <v>15.32</v>
      </c>
      <c r="AK154">
        <v>31.15</v>
      </c>
      <c r="AL154">
        <v>11.54</v>
      </c>
      <c r="AM154">
        <v>24.53</v>
      </c>
      <c r="AN154">
        <v>92.19</v>
      </c>
      <c r="AO154" s="1">
        <f t="shared" si="8"/>
        <v>449.00000000000006</v>
      </c>
    </row>
    <row r="155" spans="1:41" x14ac:dyDescent="0.25">
      <c r="A155" t="s">
        <v>198</v>
      </c>
      <c r="B155" s="2">
        <v>6303.2371282579397</v>
      </c>
      <c r="C155" s="2">
        <v>951.61385635505997</v>
      </c>
      <c r="D155" s="2">
        <v>633.23956137889195</v>
      </c>
      <c r="E155" s="2">
        <v>14752.2032892528</v>
      </c>
      <c r="F155" s="2">
        <v>15471.2967825904</v>
      </c>
      <c r="G155" s="2">
        <v>1360.5737949981001</v>
      </c>
      <c r="H155" s="2">
        <v>181.08938667892301</v>
      </c>
      <c r="I155" s="2">
        <v>653.73267933879004</v>
      </c>
      <c r="J155" s="2">
        <v>2294.0582291401702</v>
      </c>
      <c r="K155" s="2">
        <v>2927.86502841123</v>
      </c>
      <c r="L155" s="2">
        <v>2789.65403189979</v>
      </c>
      <c r="M155" s="2">
        <v>8167.9341296736602</v>
      </c>
      <c r="N155" s="3">
        <f t="shared" si="6"/>
        <v>56486.497897975758</v>
      </c>
      <c r="O155" s="2">
        <v>1.34585680572638</v>
      </c>
      <c r="P155" s="2">
        <v>4.4959367937885997</v>
      </c>
      <c r="Q155" s="2">
        <v>2.74122514089605</v>
      </c>
      <c r="R155" s="2">
        <v>0.83303224088646599</v>
      </c>
      <c r="S155" s="2">
        <v>9.6519404573393395</v>
      </c>
      <c r="T155" s="2">
        <v>0.47970828836978802</v>
      </c>
      <c r="U155" s="2">
        <v>4.4438306863912498</v>
      </c>
      <c r="V155" s="2">
        <v>7.1615119598809898</v>
      </c>
      <c r="W155" s="2">
        <v>0.71939986268711897</v>
      </c>
      <c r="X155" s="2">
        <v>2.6315352269046</v>
      </c>
      <c r="Y155" s="2">
        <v>8.2474754244459501</v>
      </c>
      <c r="Z155" s="2">
        <v>11.4277255754092</v>
      </c>
      <c r="AA155" s="3">
        <f t="shared" si="7"/>
        <v>54.179178462725737</v>
      </c>
      <c r="AB155" t="s">
        <v>45</v>
      </c>
      <c r="AC155">
        <v>73.13</v>
      </c>
      <c r="AD155">
        <v>19.760000000000002</v>
      </c>
      <c r="AE155">
        <v>16.48</v>
      </c>
      <c r="AF155">
        <v>157.57</v>
      </c>
      <c r="AG155">
        <v>165.21</v>
      </c>
      <c r="AH155">
        <v>23.65</v>
      </c>
      <c r="AI155">
        <v>12.06</v>
      </c>
      <c r="AJ155">
        <v>16.93</v>
      </c>
      <c r="AK155">
        <v>32.99</v>
      </c>
      <c r="AL155">
        <v>39.42</v>
      </c>
      <c r="AM155">
        <v>38.340000000000003</v>
      </c>
      <c r="AN155">
        <v>92.27</v>
      </c>
      <c r="AO155" s="1">
        <f t="shared" si="8"/>
        <v>687.81</v>
      </c>
    </row>
    <row r="156" spans="1:41" x14ac:dyDescent="0.25">
      <c r="A156" t="s">
        <v>199</v>
      </c>
      <c r="B156" s="2">
        <v>6286.1110952361896</v>
      </c>
      <c r="C156" s="2">
        <v>3367.0741974204798</v>
      </c>
      <c r="D156" s="2">
        <v>19.708269014963602</v>
      </c>
      <c r="E156" s="2">
        <v>3876.31959217754</v>
      </c>
      <c r="F156" s="2">
        <v>21365.823826003099</v>
      </c>
      <c r="G156" s="2">
        <v>50.0865687629869</v>
      </c>
      <c r="H156" s="2">
        <v>5742.2230084605299</v>
      </c>
      <c r="I156" s="2">
        <v>1871.36034252067</v>
      </c>
      <c r="J156" s="2">
        <v>2453.3478469216302</v>
      </c>
      <c r="K156" s="2">
        <v>2244.40601084533</v>
      </c>
      <c r="L156" s="2">
        <v>7828.5905602147704</v>
      </c>
      <c r="M156" s="2">
        <v>2105.5849567737901</v>
      </c>
      <c r="N156" s="3">
        <f t="shared" si="6"/>
        <v>57210.636274351971</v>
      </c>
      <c r="O156" s="2">
        <v>2.7330339830769299</v>
      </c>
      <c r="P156" s="2">
        <v>0.21593025494317</v>
      </c>
      <c r="Q156" s="2">
        <v>3.2525870941465498</v>
      </c>
      <c r="R156" s="2">
        <v>13.4222907809954</v>
      </c>
      <c r="S156" s="2">
        <v>0.79808468362435703</v>
      </c>
      <c r="T156" s="2">
        <v>3.11023694540977</v>
      </c>
      <c r="U156" s="2">
        <v>2.4357516517998299</v>
      </c>
      <c r="V156" s="2">
        <v>0.87889059642700396</v>
      </c>
      <c r="W156" s="2">
        <v>1.2054098709032199</v>
      </c>
      <c r="X156" s="2">
        <v>6.5349109709112998</v>
      </c>
      <c r="Y156" s="2">
        <v>2.7718951306742099</v>
      </c>
      <c r="Z156" s="2">
        <v>2.8776192971060102</v>
      </c>
      <c r="AA156" s="3">
        <f t="shared" si="7"/>
        <v>40.236641260017748</v>
      </c>
      <c r="AB156" t="s">
        <v>45</v>
      </c>
      <c r="AC156">
        <v>73.010000000000005</v>
      </c>
      <c r="AD156">
        <v>43.72</v>
      </c>
      <c r="AE156">
        <v>10.39</v>
      </c>
      <c r="AF156">
        <v>49.46</v>
      </c>
      <c r="AG156">
        <v>223.7</v>
      </c>
      <c r="AH156">
        <v>10.7</v>
      </c>
      <c r="AI156">
        <v>67.569999999999993</v>
      </c>
      <c r="AJ156">
        <v>28.76</v>
      </c>
      <c r="AK156">
        <v>34.630000000000003</v>
      </c>
      <c r="AL156">
        <v>32.79</v>
      </c>
      <c r="AM156">
        <v>88.43</v>
      </c>
      <c r="AN156">
        <v>31.2</v>
      </c>
      <c r="AO156" s="1">
        <f t="shared" si="8"/>
        <v>694.3599999999999</v>
      </c>
    </row>
    <row r="157" spans="1:41" x14ac:dyDescent="0.25">
      <c r="A157" t="s">
        <v>200</v>
      </c>
      <c r="B157" s="2">
        <v>6222.7340507994704</v>
      </c>
      <c r="C157" s="2">
        <v>7681.7140538862704</v>
      </c>
      <c r="D157" s="2">
        <v>3584.2920087740799</v>
      </c>
      <c r="E157" s="2">
        <v>1178.47349795273</v>
      </c>
      <c r="F157" s="2">
        <v>4281.7926717140499</v>
      </c>
      <c r="G157" s="2">
        <v>1930.0209710097099</v>
      </c>
      <c r="H157" s="2">
        <v>1325.3497565980799</v>
      </c>
      <c r="I157" s="2">
        <v>576.60480937031002</v>
      </c>
      <c r="J157" s="2">
        <v>4864.3718810912496</v>
      </c>
      <c r="K157" s="2">
        <v>4692.7533052085</v>
      </c>
      <c r="L157" s="2">
        <v>2909.70909147465</v>
      </c>
      <c r="M157" s="2">
        <v>3021.3446531398599</v>
      </c>
      <c r="N157" s="3">
        <f t="shared" si="6"/>
        <v>42269.160751018964</v>
      </c>
      <c r="O157" s="2">
        <v>11.395660770196001</v>
      </c>
      <c r="P157" s="2">
        <v>6.3229833760451504</v>
      </c>
      <c r="Q157" s="2">
        <v>4.17859855692857</v>
      </c>
      <c r="R157" s="2">
        <v>2.49281238494744</v>
      </c>
      <c r="S157" s="2">
        <v>3.5496996383828301</v>
      </c>
      <c r="T157" s="2">
        <v>0.120743993107002</v>
      </c>
      <c r="U157" s="2">
        <v>2.13664765592365</v>
      </c>
      <c r="V157" s="2">
        <v>7.2915061246525301</v>
      </c>
      <c r="W157" s="2">
        <v>1.3326474347710899</v>
      </c>
      <c r="X157" s="2">
        <v>2.0154013308304601</v>
      </c>
      <c r="Y157" s="2">
        <v>0</v>
      </c>
      <c r="Z157" s="2">
        <v>0</v>
      </c>
      <c r="AA157" s="3">
        <f t="shared" si="7"/>
        <v>40.836701265784718</v>
      </c>
      <c r="AB157" t="s">
        <v>45</v>
      </c>
      <c r="AC157">
        <v>72.819999999999993</v>
      </c>
      <c r="AD157">
        <v>87.16</v>
      </c>
      <c r="AE157">
        <v>46.09</v>
      </c>
      <c r="AF157">
        <v>21.93</v>
      </c>
      <c r="AG157">
        <v>53.01</v>
      </c>
      <c r="AH157">
        <v>29.35</v>
      </c>
      <c r="AI157">
        <v>23.4</v>
      </c>
      <c r="AJ157">
        <v>16.16</v>
      </c>
      <c r="AK157">
        <v>58.74</v>
      </c>
      <c r="AL157">
        <v>57.07</v>
      </c>
      <c r="AM157">
        <v>39.090000000000003</v>
      </c>
      <c r="AN157">
        <v>40.21</v>
      </c>
      <c r="AO157" s="1">
        <f t="shared" si="8"/>
        <v>545.03000000000009</v>
      </c>
    </row>
    <row r="158" spans="1:41" x14ac:dyDescent="0.25">
      <c r="A158" t="s">
        <v>201</v>
      </c>
      <c r="B158" s="2">
        <v>6199.47956922514</v>
      </c>
      <c r="C158" s="2">
        <v>6950.2928098354496</v>
      </c>
      <c r="D158" s="2">
        <v>6781.5291930531803</v>
      </c>
      <c r="E158" s="2">
        <v>2362.7173420111299</v>
      </c>
      <c r="F158" s="2">
        <v>6992.5513591922399</v>
      </c>
      <c r="G158" s="2">
        <v>2143.59817806622</v>
      </c>
      <c r="H158" s="2">
        <v>4228.2387011431101</v>
      </c>
      <c r="I158" s="2">
        <v>4638.5222682043704</v>
      </c>
      <c r="J158" s="2">
        <v>1363.4037197985399</v>
      </c>
      <c r="K158" s="2">
        <v>1054.1547563782001</v>
      </c>
      <c r="L158" s="2">
        <v>737.18437892794304</v>
      </c>
      <c r="M158" s="2">
        <v>3036.9853803405299</v>
      </c>
      <c r="N158" s="3">
        <f t="shared" si="6"/>
        <v>46488.657656176045</v>
      </c>
      <c r="O158" s="2">
        <v>3.48949600965173</v>
      </c>
      <c r="P158" s="2">
        <v>4.6127046796517703</v>
      </c>
      <c r="Q158" s="2">
        <v>3.8266946022899</v>
      </c>
      <c r="R158" s="2">
        <v>1.12485045199997</v>
      </c>
      <c r="S158" s="2">
        <v>0.105830531075236</v>
      </c>
      <c r="T158" s="2">
        <v>1.2945145965782201</v>
      </c>
      <c r="U158" s="2">
        <v>2.58295250727023</v>
      </c>
      <c r="V158" s="2">
        <v>1.7945385159223</v>
      </c>
      <c r="W158" s="2">
        <v>6.58837680777535</v>
      </c>
      <c r="X158" s="2">
        <v>14.6536300243583</v>
      </c>
      <c r="Y158" s="2">
        <v>14.856020211154201</v>
      </c>
      <c r="Z158" s="2">
        <v>8.4476531663163605</v>
      </c>
      <c r="AA158" s="3">
        <f t="shared" si="7"/>
        <v>63.377262104043567</v>
      </c>
      <c r="AB158" t="s">
        <v>45</v>
      </c>
      <c r="AC158">
        <v>72.19</v>
      </c>
      <c r="AD158">
        <v>79.75</v>
      </c>
      <c r="AE158">
        <v>78.010000000000005</v>
      </c>
      <c r="AF158">
        <v>33.72</v>
      </c>
      <c r="AG158">
        <v>79.97</v>
      </c>
      <c r="AH158">
        <v>31.53</v>
      </c>
      <c r="AI158">
        <v>52.43</v>
      </c>
      <c r="AJ158">
        <v>56.48</v>
      </c>
      <c r="AK158">
        <v>23.98</v>
      </c>
      <c r="AL158">
        <v>21.29</v>
      </c>
      <c r="AM158">
        <v>18.12</v>
      </c>
      <c r="AN158">
        <v>40.81</v>
      </c>
      <c r="AO158" s="1">
        <f t="shared" si="8"/>
        <v>588.28</v>
      </c>
    </row>
    <row r="159" spans="1:41" x14ac:dyDescent="0.25">
      <c r="A159" t="s">
        <v>202</v>
      </c>
      <c r="B159" s="2">
        <v>6186.0116078029396</v>
      </c>
      <c r="C159" s="2">
        <v>2051.1959244373402</v>
      </c>
      <c r="D159" s="2">
        <v>4626.5132929256797</v>
      </c>
      <c r="E159" s="2">
        <v>8859.09841004587</v>
      </c>
      <c r="F159" s="2">
        <v>9958.8600162867206</v>
      </c>
      <c r="G159" s="2">
        <v>3864.96744769309</v>
      </c>
      <c r="H159" s="2">
        <v>2865.1829273634999</v>
      </c>
      <c r="I159" s="2">
        <v>3556.6165530795001</v>
      </c>
      <c r="J159" s="2">
        <v>164.77959325939901</v>
      </c>
      <c r="K159" s="2">
        <v>959.59950878808502</v>
      </c>
      <c r="L159" s="2">
        <v>1804.87977878168</v>
      </c>
      <c r="M159" s="2">
        <v>1521.3125354280201</v>
      </c>
      <c r="N159" s="3">
        <f t="shared" si="6"/>
        <v>46419.017595891826</v>
      </c>
      <c r="O159" s="2">
        <v>0.22357631433528399</v>
      </c>
      <c r="P159" s="2">
        <v>8.6236640916496299</v>
      </c>
      <c r="Q159" s="2">
        <v>8.63129401754904</v>
      </c>
      <c r="R159" s="2">
        <v>3.15889679012726</v>
      </c>
      <c r="S159" s="2">
        <v>4.28553921843534</v>
      </c>
      <c r="T159" s="2">
        <v>14.630411668291201</v>
      </c>
      <c r="U159" s="2">
        <v>3.47871613636896</v>
      </c>
      <c r="V159" s="2">
        <v>9.6855713646860302</v>
      </c>
      <c r="W159" s="2">
        <v>8.5299481044260494E-2</v>
      </c>
      <c r="X159" s="2">
        <v>1.1721242282561699</v>
      </c>
      <c r="Y159" s="2">
        <v>3.8154963279405201</v>
      </c>
      <c r="Z159" s="2">
        <v>2.4918761844508901</v>
      </c>
      <c r="AA159" s="3">
        <f t="shared" si="7"/>
        <v>60.282465823134594</v>
      </c>
      <c r="AB159" t="s">
        <v>45</v>
      </c>
      <c r="AC159">
        <v>71.91</v>
      </c>
      <c r="AD159">
        <v>30.96</v>
      </c>
      <c r="AE159">
        <v>56.71</v>
      </c>
      <c r="AF159">
        <v>98.79</v>
      </c>
      <c r="AG159">
        <v>109.83</v>
      </c>
      <c r="AH159">
        <v>49.39</v>
      </c>
      <c r="AI159">
        <v>38.85</v>
      </c>
      <c r="AJ159">
        <v>46.06</v>
      </c>
      <c r="AK159">
        <v>11.69</v>
      </c>
      <c r="AL159">
        <v>19.690000000000001</v>
      </c>
      <c r="AM159">
        <v>28.24</v>
      </c>
      <c r="AN159">
        <v>25.36</v>
      </c>
      <c r="AO159" s="1">
        <f t="shared" si="8"/>
        <v>587.48000000000013</v>
      </c>
    </row>
    <row r="160" spans="1:41" x14ac:dyDescent="0.25">
      <c r="A160" t="s">
        <v>203</v>
      </c>
      <c r="B160" s="2">
        <v>6105.9712885049203</v>
      </c>
      <c r="C160" s="2">
        <v>1411.23695137913</v>
      </c>
      <c r="D160" s="2">
        <v>6239.1565729815502</v>
      </c>
      <c r="E160" s="2">
        <v>2732.0570908506002</v>
      </c>
      <c r="F160" s="2">
        <v>619.875697490216</v>
      </c>
      <c r="G160" s="2">
        <v>370.88239071727901</v>
      </c>
      <c r="H160" s="2">
        <v>5610.9936316973199</v>
      </c>
      <c r="I160" s="2">
        <v>3778.37087039367</v>
      </c>
      <c r="J160" s="2">
        <v>2600.8543898468902</v>
      </c>
      <c r="K160" s="2">
        <v>2568.6301885283501</v>
      </c>
      <c r="L160" s="2">
        <v>3742.3812146146702</v>
      </c>
      <c r="M160" s="2">
        <v>1603.80723406365</v>
      </c>
      <c r="N160" s="3">
        <f t="shared" si="6"/>
        <v>37384.21752106824</v>
      </c>
      <c r="O160" s="2">
        <v>0</v>
      </c>
      <c r="P160" s="2">
        <v>4.0515489562887304</v>
      </c>
      <c r="Q160" s="2">
        <v>6.1184859817124098</v>
      </c>
      <c r="R160" s="2">
        <v>5.7997634522664399</v>
      </c>
      <c r="S160" s="2">
        <v>0.94667771360636299</v>
      </c>
      <c r="T160" s="2">
        <v>0</v>
      </c>
      <c r="U160" s="2">
        <v>2.5976292946469002</v>
      </c>
      <c r="V160" s="2">
        <v>1.14150011166257</v>
      </c>
      <c r="W160" s="2">
        <v>6.8228369549066699</v>
      </c>
      <c r="X160" s="2">
        <v>3.8829215039708602</v>
      </c>
      <c r="Y160" s="2">
        <v>5.2562928565016502</v>
      </c>
      <c r="Z160" s="2">
        <v>3.92837363590264</v>
      </c>
      <c r="AA160" s="3">
        <f t="shared" si="7"/>
        <v>40.546030461465229</v>
      </c>
      <c r="AB160" t="s">
        <v>45</v>
      </c>
      <c r="AC160">
        <v>71.05</v>
      </c>
      <c r="AD160">
        <v>24.36</v>
      </c>
      <c r="AE160">
        <v>72.739999999999995</v>
      </c>
      <c r="AF160">
        <v>37.619999999999997</v>
      </c>
      <c r="AG160">
        <v>16.239999999999998</v>
      </c>
      <c r="AH160">
        <v>13.7</v>
      </c>
      <c r="AI160">
        <v>66.25</v>
      </c>
      <c r="AJ160">
        <v>47.88</v>
      </c>
      <c r="AK160">
        <v>36.35</v>
      </c>
      <c r="AL160">
        <v>35.880000000000003</v>
      </c>
      <c r="AM160">
        <v>47.72</v>
      </c>
      <c r="AN160">
        <v>26.23</v>
      </c>
      <c r="AO160" s="1">
        <f t="shared" si="8"/>
        <v>496.02</v>
      </c>
    </row>
    <row r="161" spans="1:41" x14ac:dyDescent="0.25">
      <c r="A161" t="s">
        <v>204</v>
      </c>
      <c r="B161" s="2">
        <v>6104.0047828157903</v>
      </c>
      <c r="C161" s="2">
        <v>5369.3064195460101</v>
      </c>
      <c r="D161" s="2">
        <v>294.57308288057698</v>
      </c>
      <c r="E161" s="2">
        <v>583.55536389242195</v>
      </c>
      <c r="F161" s="2">
        <v>1801.2216537956399</v>
      </c>
      <c r="G161" s="2">
        <v>0</v>
      </c>
      <c r="H161" s="2">
        <v>6011.8772475318601</v>
      </c>
      <c r="I161" s="2">
        <v>2772.2092316807102</v>
      </c>
      <c r="J161" s="2">
        <v>4062.5746790950798</v>
      </c>
      <c r="K161" s="2">
        <v>6086.2587814973804</v>
      </c>
      <c r="L161" s="2">
        <v>1443.19517597195</v>
      </c>
      <c r="M161" s="2">
        <v>249.98569111723299</v>
      </c>
      <c r="N161" s="3">
        <f t="shared" si="6"/>
        <v>34778.762109824653</v>
      </c>
      <c r="O161" s="2">
        <v>1.6752020334765001</v>
      </c>
      <c r="P161" s="2">
        <v>5.2154811614584098</v>
      </c>
      <c r="Q161" s="2">
        <v>1.2788780421131301</v>
      </c>
      <c r="R161" s="2">
        <v>0.55782288140002301</v>
      </c>
      <c r="S161" s="2">
        <v>1.4910627977906401</v>
      </c>
      <c r="T161" s="2">
        <v>0</v>
      </c>
      <c r="U161" s="2">
        <v>6.3222734921430801</v>
      </c>
      <c r="V161" s="2">
        <v>2.6897222244465802</v>
      </c>
      <c r="W161" s="2">
        <v>0</v>
      </c>
      <c r="X161" s="2">
        <v>0</v>
      </c>
      <c r="Y161" s="2">
        <v>10.804713182440899</v>
      </c>
      <c r="Z161" s="2">
        <v>2.7494544062788902</v>
      </c>
      <c r="AA161" s="3">
        <f t="shared" si="7"/>
        <v>32.784610221548157</v>
      </c>
      <c r="AB161" t="s">
        <v>63</v>
      </c>
      <c r="AC161">
        <v>122.28</v>
      </c>
      <c r="AD161">
        <v>107.94</v>
      </c>
      <c r="AE161">
        <v>6.08</v>
      </c>
      <c r="AF161">
        <v>11.77</v>
      </c>
      <c r="AG161">
        <v>36.22</v>
      </c>
      <c r="AH161">
        <v>0</v>
      </c>
      <c r="AI161">
        <v>120.87</v>
      </c>
      <c r="AJ161">
        <v>55.73</v>
      </c>
      <c r="AK161">
        <v>81.260000000000005</v>
      </c>
      <c r="AL161">
        <v>121.74</v>
      </c>
      <c r="AM161">
        <v>29.87</v>
      </c>
      <c r="AN161">
        <v>5.27</v>
      </c>
      <c r="AO161" s="1">
        <f t="shared" si="8"/>
        <v>699.03000000000009</v>
      </c>
    </row>
    <row r="162" spans="1:41" x14ac:dyDescent="0.25">
      <c r="A162" t="s">
        <v>205</v>
      </c>
      <c r="B162" s="2">
        <v>6053.6965101145497</v>
      </c>
      <c r="C162" s="2">
        <v>1736.14246298584</v>
      </c>
      <c r="D162" s="2">
        <v>4355.1893743991204</v>
      </c>
      <c r="E162" s="2">
        <v>2243.5342352661501</v>
      </c>
      <c r="F162" s="2">
        <v>3449.5441888586802</v>
      </c>
      <c r="G162" s="2">
        <v>1450.20979006629</v>
      </c>
      <c r="H162" s="2">
        <v>45.434582833410801</v>
      </c>
      <c r="I162" s="2">
        <v>9866.3930236983197</v>
      </c>
      <c r="J162" s="2">
        <v>0</v>
      </c>
      <c r="K162" s="2">
        <v>5339.8002058605098</v>
      </c>
      <c r="L162" s="2">
        <v>391.108966587314</v>
      </c>
      <c r="M162" s="2">
        <v>1306.90477150736</v>
      </c>
      <c r="N162" s="3">
        <f t="shared" si="6"/>
        <v>36237.958112177548</v>
      </c>
      <c r="O162" s="2">
        <v>4.3458062560692001</v>
      </c>
      <c r="P162" s="2">
        <v>2.5314203152024999</v>
      </c>
      <c r="Q162" s="2">
        <v>2.1445812478146098</v>
      </c>
      <c r="R162" s="2">
        <v>8.0093076179149207</v>
      </c>
      <c r="S162" s="2">
        <v>1.8084705611896199</v>
      </c>
      <c r="T162" s="2">
        <v>7.6603738758436304</v>
      </c>
      <c r="U162" s="2">
        <v>1.9928144570764199</v>
      </c>
      <c r="V162" s="2">
        <v>3.3257236129055698</v>
      </c>
      <c r="W162" s="2">
        <v>3.5153644434168299</v>
      </c>
      <c r="X162" s="2">
        <v>8.0947668672323694</v>
      </c>
      <c r="Y162" s="2">
        <v>4.7468510374011803</v>
      </c>
      <c r="Z162" s="2">
        <v>2.4228483673612198</v>
      </c>
      <c r="AA162" s="3">
        <f t="shared" si="7"/>
        <v>50.598328659428063</v>
      </c>
      <c r="AB162" t="s">
        <v>45</v>
      </c>
      <c r="AC162">
        <v>70.78</v>
      </c>
      <c r="AD162">
        <v>27.51</v>
      </c>
      <c r="AE162">
        <v>53.7</v>
      </c>
      <c r="AF162">
        <v>32.880000000000003</v>
      </c>
      <c r="AG162">
        <v>44.59</v>
      </c>
      <c r="AH162">
        <v>24.9</v>
      </c>
      <c r="AI162">
        <v>10.55</v>
      </c>
      <c r="AJ162">
        <v>108.86</v>
      </c>
      <c r="AK162">
        <v>10.19</v>
      </c>
      <c r="AL162">
        <v>63.84</v>
      </c>
      <c r="AM162">
        <v>14.16</v>
      </c>
      <c r="AN162">
        <v>23.21</v>
      </c>
      <c r="AO162" s="1">
        <f t="shared" si="8"/>
        <v>485.17000000000007</v>
      </c>
    </row>
    <row r="163" spans="1:41" x14ac:dyDescent="0.25">
      <c r="A163" t="s">
        <v>206</v>
      </c>
      <c r="B163" s="2">
        <v>6042.7211557986002</v>
      </c>
      <c r="C163" s="2">
        <v>2549.3549608592698</v>
      </c>
      <c r="D163" s="2">
        <v>3199.4069367444899</v>
      </c>
      <c r="E163" s="2">
        <v>8604.2808271938793</v>
      </c>
      <c r="F163" s="2">
        <v>9763.6436044241691</v>
      </c>
      <c r="G163" s="2">
        <v>4077.3524545906498</v>
      </c>
      <c r="H163" s="2">
        <v>220.16015867197299</v>
      </c>
      <c r="I163" s="2">
        <v>0</v>
      </c>
      <c r="J163" s="2">
        <v>7564.3049585240997</v>
      </c>
      <c r="K163" s="2">
        <v>187.61490025003999</v>
      </c>
      <c r="L163" s="2">
        <v>807.02516566299403</v>
      </c>
      <c r="M163" s="2">
        <v>1909.9053721894199</v>
      </c>
      <c r="N163" s="3">
        <f t="shared" si="6"/>
        <v>44925.770494909586</v>
      </c>
      <c r="O163" s="2">
        <v>2.3429663484362599</v>
      </c>
      <c r="P163" s="2">
        <v>1.10968595589007</v>
      </c>
      <c r="Q163" s="2">
        <v>3.41350718412638</v>
      </c>
      <c r="R163" s="2">
        <v>6.1434535788877298</v>
      </c>
      <c r="S163" s="2">
        <v>5.6038555618246697</v>
      </c>
      <c r="T163" s="2">
        <v>8.8014281715722795</v>
      </c>
      <c r="U163" s="2">
        <v>2.5304967629064401</v>
      </c>
      <c r="V163" s="2">
        <v>8.5638068301633101</v>
      </c>
      <c r="W163" s="2">
        <v>0</v>
      </c>
      <c r="X163" s="2">
        <v>7.2806370570989198</v>
      </c>
      <c r="Y163" s="2">
        <v>2.8735610314107101</v>
      </c>
      <c r="Z163" s="2">
        <v>2.6483189923578898</v>
      </c>
      <c r="AA163" s="3">
        <f t="shared" si="7"/>
        <v>51.311717474674666</v>
      </c>
      <c r="AB163" t="s">
        <v>45</v>
      </c>
      <c r="AC163">
        <v>70.569999999999993</v>
      </c>
      <c r="AD163">
        <v>35.590000000000003</v>
      </c>
      <c r="AE163">
        <v>42.19</v>
      </c>
      <c r="AF163">
        <v>96.39</v>
      </c>
      <c r="AG163">
        <v>107.93</v>
      </c>
      <c r="AH163">
        <v>51.22</v>
      </c>
      <c r="AI163">
        <v>12.35</v>
      </c>
      <c r="AJ163">
        <v>10.44</v>
      </c>
      <c r="AK163">
        <v>85.64</v>
      </c>
      <c r="AL163">
        <v>12.27</v>
      </c>
      <c r="AM163">
        <v>18.22</v>
      </c>
      <c r="AN163">
        <v>29.24</v>
      </c>
      <c r="AO163" s="1">
        <f t="shared" si="8"/>
        <v>572.05000000000007</v>
      </c>
    </row>
    <row r="164" spans="1:41" x14ac:dyDescent="0.25">
      <c r="A164" t="s">
        <v>207</v>
      </c>
      <c r="B164" s="2">
        <v>6030.0699884076203</v>
      </c>
      <c r="C164" s="2">
        <v>3330.5258496730098</v>
      </c>
      <c r="D164" s="2">
        <v>1207.49286449795</v>
      </c>
      <c r="E164" s="2">
        <v>810.55263689699098</v>
      </c>
      <c r="F164" s="2">
        <v>8618.2820789835696</v>
      </c>
      <c r="G164" s="2">
        <v>8513.1347819687198</v>
      </c>
      <c r="H164" s="2">
        <v>0</v>
      </c>
      <c r="I164" s="2">
        <v>5548.4408778919997</v>
      </c>
      <c r="J164" s="2">
        <v>1720.7161720239501</v>
      </c>
      <c r="K164" s="2">
        <v>564.45245015296803</v>
      </c>
      <c r="L164" s="2">
        <v>4644.8844536793804</v>
      </c>
      <c r="M164" s="2">
        <v>3641.6362134811402</v>
      </c>
      <c r="N164" s="3">
        <f t="shared" si="6"/>
        <v>44630.188367657298</v>
      </c>
      <c r="O164" s="2">
        <v>1.3753996129621999</v>
      </c>
      <c r="P164" s="2">
        <v>2.68313107977961</v>
      </c>
      <c r="Q164" s="2">
        <v>11.586895498251</v>
      </c>
      <c r="R164" s="2">
        <v>3.8088228454978501</v>
      </c>
      <c r="S164" s="2">
        <v>7.8788383719843802</v>
      </c>
      <c r="T164" s="2">
        <v>7.6785963986550296</v>
      </c>
      <c r="U164" s="2">
        <v>2.0452624012602501</v>
      </c>
      <c r="V164" s="2">
        <v>0.61871798503374198</v>
      </c>
      <c r="W164" s="2">
        <v>2.7395544469504398</v>
      </c>
      <c r="X164" s="2">
        <v>2.9807978641459099</v>
      </c>
      <c r="Y164" s="2">
        <v>5.96318960025752</v>
      </c>
      <c r="Z164" s="2">
        <v>9.2604899951028994</v>
      </c>
      <c r="AA164" s="3">
        <f t="shared" si="7"/>
        <v>58.619696099880841</v>
      </c>
      <c r="AB164" t="s">
        <v>45</v>
      </c>
      <c r="AC164">
        <v>70.400000000000006</v>
      </c>
      <c r="AD164">
        <v>43.45</v>
      </c>
      <c r="AE164">
        <v>22.67</v>
      </c>
      <c r="AF164">
        <v>18.3</v>
      </c>
      <c r="AG164">
        <v>96.58</v>
      </c>
      <c r="AH164">
        <v>95.53</v>
      </c>
      <c r="AI164">
        <v>10.14</v>
      </c>
      <c r="AJ164">
        <v>65.53</v>
      </c>
      <c r="AK164">
        <v>27.35</v>
      </c>
      <c r="AL164">
        <v>15.79</v>
      </c>
      <c r="AM164">
        <v>56.74</v>
      </c>
      <c r="AN164">
        <v>46.91</v>
      </c>
      <c r="AO164" s="1">
        <f t="shared" si="8"/>
        <v>569.39</v>
      </c>
    </row>
    <row r="165" spans="1:41" x14ac:dyDescent="0.25">
      <c r="A165" t="s">
        <v>208</v>
      </c>
      <c r="B165" s="2">
        <v>6002.9539455624999</v>
      </c>
      <c r="C165" s="2">
        <v>2455.7659636655098</v>
      </c>
      <c r="D165" s="2">
        <v>0</v>
      </c>
      <c r="E165" s="2">
        <v>6189.6193648849903</v>
      </c>
      <c r="F165" s="2">
        <v>1015.37265822157</v>
      </c>
      <c r="G165" s="2">
        <v>420.25444743993103</v>
      </c>
      <c r="H165" s="2">
        <v>5911.6091487964104</v>
      </c>
      <c r="I165" s="2">
        <v>9343.8480278997195</v>
      </c>
      <c r="J165" s="2">
        <v>8531.2804802744504</v>
      </c>
      <c r="K165" s="2">
        <v>186.13509970747199</v>
      </c>
      <c r="L165" s="2">
        <v>1921.5884327865799</v>
      </c>
      <c r="M165" s="2">
        <v>221.40876098728299</v>
      </c>
      <c r="N165" s="3">
        <f t="shared" si="6"/>
        <v>42199.836330226412</v>
      </c>
      <c r="O165" s="2">
        <v>2.3390456058980602</v>
      </c>
      <c r="P165" s="2">
        <v>4.9337768861723896</v>
      </c>
      <c r="Q165" s="2">
        <v>8.1055939340014103</v>
      </c>
      <c r="R165" s="2">
        <v>8.0770437087311894E-2</v>
      </c>
      <c r="S165" s="2">
        <v>2.3316880788577201</v>
      </c>
      <c r="T165" s="2">
        <v>3.8255079855607401</v>
      </c>
      <c r="U165" s="2">
        <v>7.7564574715547403</v>
      </c>
      <c r="V165" s="2">
        <v>5.3369467728277797</v>
      </c>
      <c r="W165" s="2">
        <v>4.0798230265679303</v>
      </c>
      <c r="X165" s="2">
        <v>4.4949655117553498</v>
      </c>
      <c r="Y165" s="2">
        <v>7.6367260048522896</v>
      </c>
      <c r="Z165" s="2">
        <v>1.2410096427940001</v>
      </c>
      <c r="AA165" s="3">
        <f t="shared" si="7"/>
        <v>52.162311357929724</v>
      </c>
      <c r="AB165" t="s">
        <v>45</v>
      </c>
      <c r="AC165">
        <v>70.17</v>
      </c>
      <c r="AD165">
        <v>34.799999999999997</v>
      </c>
      <c r="AE165">
        <v>10.44</v>
      </c>
      <c r="AF165">
        <v>71.94</v>
      </c>
      <c r="AG165">
        <v>20.3</v>
      </c>
      <c r="AH165">
        <v>14.4</v>
      </c>
      <c r="AI165">
        <v>69.510000000000005</v>
      </c>
      <c r="AJ165">
        <v>103.73</v>
      </c>
      <c r="AK165">
        <v>95.56</v>
      </c>
      <c r="AL165">
        <v>12.11</v>
      </c>
      <c r="AM165">
        <v>29.61</v>
      </c>
      <c r="AN165">
        <v>12.31</v>
      </c>
      <c r="AO165" s="1">
        <f t="shared" si="8"/>
        <v>544.88</v>
      </c>
    </row>
    <row r="166" spans="1:41" x14ac:dyDescent="0.25">
      <c r="A166" t="s">
        <v>209</v>
      </c>
      <c r="B166" s="2">
        <v>5999.2315107618397</v>
      </c>
      <c r="C166" s="2">
        <v>14722.078200537</v>
      </c>
      <c r="D166" s="2">
        <v>1817.48497843515</v>
      </c>
      <c r="E166" s="2">
        <v>0</v>
      </c>
      <c r="F166" s="2">
        <v>11754.5266247652</v>
      </c>
      <c r="G166" s="2">
        <v>0</v>
      </c>
      <c r="H166" s="2">
        <v>5633.2412032285001</v>
      </c>
      <c r="I166" s="2">
        <v>387.60686071741901</v>
      </c>
      <c r="J166" s="2">
        <v>4512.7569919894504</v>
      </c>
      <c r="K166" s="2">
        <v>10362.436819692501</v>
      </c>
      <c r="L166" s="2">
        <v>2168.39875257719</v>
      </c>
      <c r="M166" s="2">
        <v>695.22611886730397</v>
      </c>
      <c r="N166" s="3">
        <f t="shared" si="6"/>
        <v>58052.988061571552</v>
      </c>
      <c r="O166" s="2">
        <v>6.331587487787</v>
      </c>
      <c r="P166" s="2">
        <v>2.6477310293022298</v>
      </c>
      <c r="Q166" s="2">
        <v>28.849480087136399</v>
      </c>
      <c r="R166" s="2">
        <v>1.8844549661071599</v>
      </c>
      <c r="S166" s="2">
        <v>0</v>
      </c>
      <c r="T166" s="2">
        <v>0</v>
      </c>
      <c r="U166" s="2">
        <v>0.486713733585658</v>
      </c>
      <c r="V166" s="2">
        <v>0.78285814902377604</v>
      </c>
      <c r="W166" s="2">
        <v>7.57762508558391</v>
      </c>
      <c r="X166" s="2">
        <v>10.4065351207257</v>
      </c>
      <c r="Y166" s="2">
        <v>15.1891233935362</v>
      </c>
      <c r="Z166" s="2">
        <v>0.51751246964183495</v>
      </c>
      <c r="AA166" s="3">
        <f t="shared" si="7"/>
        <v>74.673621522429855</v>
      </c>
      <c r="AB166" t="s">
        <v>45</v>
      </c>
      <c r="AC166">
        <v>70.34</v>
      </c>
      <c r="AD166">
        <v>157.37</v>
      </c>
      <c r="AE166">
        <v>29.62</v>
      </c>
      <c r="AF166">
        <v>10.09</v>
      </c>
      <c r="AG166">
        <v>127.54</v>
      </c>
      <c r="AH166">
        <v>9.99</v>
      </c>
      <c r="AI166">
        <v>66.38</v>
      </c>
      <c r="AJ166">
        <v>13.92</v>
      </c>
      <c r="AK166">
        <v>55.52</v>
      </c>
      <c r="AL166">
        <v>114.17</v>
      </c>
      <c r="AM166">
        <v>32.479999999999997</v>
      </c>
      <c r="AN166">
        <v>17</v>
      </c>
      <c r="AO166" s="1">
        <f t="shared" si="8"/>
        <v>704.42</v>
      </c>
    </row>
    <row r="167" spans="1:41" x14ac:dyDescent="0.25">
      <c r="A167" t="s">
        <v>210</v>
      </c>
      <c r="B167" s="2">
        <v>5996.6074459133297</v>
      </c>
      <c r="C167" s="2">
        <v>1881.87482521215</v>
      </c>
      <c r="D167" s="2">
        <v>513.49230210275005</v>
      </c>
      <c r="E167" s="2">
        <v>1201.0503589958701</v>
      </c>
      <c r="F167" s="2">
        <v>10995.0274821073</v>
      </c>
      <c r="G167" s="2">
        <v>1315.65539382462</v>
      </c>
      <c r="H167" s="2">
        <v>5891.3775158866101</v>
      </c>
      <c r="I167" s="2">
        <v>1758.6702816719301</v>
      </c>
      <c r="J167" s="2">
        <v>14453.3398859506</v>
      </c>
      <c r="K167" s="2">
        <v>2185.6115256995599</v>
      </c>
      <c r="L167" s="2">
        <v>2056.4515620177199</v>
      </c>
      <c r="M167" s="2">
        <v>3260.57935826521</v>
      </c>
      <c r="N167" s="3">
        <f t="shared" si="6"/>
        <v>51509.737937647653</v>
      </c>
      <c r="O167" s="2">
        <v>3.1339964714471802</v>
      </c>
      <c r="P167" s="2">
        <v>1.9359066635608599</v>
      </c>
      <c r="Q167" s="2">
        <v>1.0847687726123201</v>
      </c>
      <c r="R167" s="2">
        <v>2.2721792789188999</v>
      </c>
      <c r="S167" s="2">
        <v>0</v>
      </c>
      <c r="T167" s="2">
        <v>0.219598270029187</v>
      </c>
      <c r="U167" s="2">
        <v>19.101746489595001</v>
      </c>
      <c r="V167" s="2">
        <v>2.6508710871697798</v>
      </c>
      <c r="W167" s="2">
        <v>2.99671641140419</v>
      </c>
      <c r="X167" s="2">
        <v>5.0651996796564296</v>
      </c>
      <c r="Y167" s="2">
        <v>2.1161372355567001</v>
      </c>
      <c r="Z167" s="2">
        <v>13.4614512811099</v>
      </c>
      <c r="AA167" s="3">
        <f t="shared" si="7"/>
        <v>54.03857164106045</v>
      </c>
      <c r="AB167" t="s">
        <v>63</v>
      </c>
      <c r="AC167">
        <v>120.3</v>
      </c>
      <c r="AD167">
        <v>37.82</v>
      </c>
      <c r="AE167">
        <v>10.46</v>
      </c>
      <c r="AF167">
        <v>24.31</v>
      </c>
      <c r="AG167">
        <v>219.92</v>
      </c>
      <c r="AH167">
        <v>26.41</v>
      </c>
      <c r="AI167">
        <v>119.64</v>
      </c>
      <c r="AJ167">
        <v>35.450000000000003</v>
      </c>
      <c r="AK167">
        <v>289.35000000000002</v>
      </c>
      <c r="AL167">
        <v>44.26</v>
      </c>
      <c r="AM167">
        <v>41.41</v>
      </c>
      <c r="AN167">
        <v>66.48</v>
      </c>
      <c r="AO167" s="1">
        <f t="shared" si="8"/>
        <v>1035.81</v>
      </c>
    </row>
    <row r="168" spans="1:41" x14ac:dyDescent="0.25">
      <c r="A168" t="s">
        <v>211</v>
      </c>
      <c r="B168" s="2">
        <v>5978.9524037437805</v>
      </c>
      <c r="C168" s="2">
        <v>653.88098411804197</v>
      </c>
      <c r="D168" s="2">
        <v>7206.7069442158099</v>
      </c>
      <c r="E168" s="2">
        <v>6244.9828483069005</v>
      </c>
      <c r="F168" s="2">
        <v>2900.6439771728601</v>
      </c>
      <c r="G168" s="2">
        <v>3743.2675718027699</v>
      </c>
      <c r="H168" s="2">
        <v>5380.3749603408396</v>
      </c>
      <c r="I168" s="2">
        <v>3264.2730633030501</v>
      </c>
      <c r="J168" s="2">
        <v>801.25262182360905</v>
      </c>
      <c r="K168" s="2">
        <v>0</v>
      </c>
      <c r="L168" s="2">
        <v>435.30207435771098</v>
      </c>
      <c r="M168" s="2">
        <v>4748.9840940937402</v>
      </c>
      <c r="N168" s="3">
        <f t="shared" si="6"/>
        <v>41358.621543279121</v>
      </c>
      <c r="O168" s="2">
        <v>3.2469649454388398</v>
      </c>
      <c r="P168" s="2">
        <v>4.2705812636271601</v>
      </c>
      <c r="Q168" s="2">
        <v>5.1705077215602202</v>
      </c>
      <c r="R168" s="2">
        <v>0.87234547061803402</v>
      </c>
      <c r="S168" s="2">
        <v>0.99134479143052101</v>
      </c>
      <c r="T168" s="2">
        <v>2.5773592803764198</v>
      </c>
      <c r="U168" s="2">
        <v>10.9730762372443</v>
      </c>
      <c r="V168" s="2">
        <v>1.28795361480076</v>
      </c>
      <c r="W168" s="2">
        <v>3.12237748816136</v>
      </c>
      <c r="X168" s="2">
        <v>4.86263109646932</v>
      </c>
      <c r="Y168" s="2">
        <v>4.9775031796415403</v>
      </c>
      <c r="Z168" s="2">
        <v>0.24693864702894999</v>
      </c>
      <c r="AA168" s="3">
        <f t="shared" si="7"/>
        <v>42.59958373639742</v>
      </c>
      <c r="AB168" t="s">
        <v>45</v>
      </c>
      <c r="AC168">
        <v>69.98</v>
      </c>
      <c r="AD168">
        <v>16.78</v>
      </c>
      <c r="AE168">
        <v>82.36</v>
      </c>
      <c r="AF168">
        <v>72.489999999999995</v>
      </c>
      <c r="AG168">
        <v>39.049999999999997</v>
      </c>
      <c r="AH168">
        <v>47.58</v>
      </c>
      <c r="AI168">
        <v>64.349999999999994</v>
      </c>
      <c r="AJ168">
        <v>42.74</v>
      </c>
      <c r="AK168">
        <v>18.21</v>
      </c>
      <c r="AL168">
        <v>10.24</v>
      </c>
      <c r="AM168">
        <v>14.6</v>
      </c>
      <c r="AN168">
        <v>57.53</v>
      </c>
      <c r="AO168" s="1">
        <f t="shared" si="8"/>
        <v>535.91000000000008</v>
      </c>
    </row>
    <row r="169" spans="1:41" x14ac:dyDescent="0.25">
      <c r="A169" t="s">
        <v>212</v>
      </c>
      <c r="B169" s="2">
        <v>5965.5435286784896</v>
      </c>
      <c r="C169" s="2">
        <v>983.33667616555601</v>
      </c>
      <c r="D169" s="2">
        <v>7649.5133231587297</v>
      </c>
      <c r="E169" s="2">
        <v>2673.9770623801601</v>
      </c>
      <c r="F169" s="2">
        <v>1982.5122649131999</v>
      </c>
      <c r="G169" s="2">
        <v>4606.38201578596</v>
      </c>
      <c r="H169" s="2">
        <v>2226.8877851707698</v>
      </c>
      <c r="I169" s="2">
        <v>2233.5354779036402</v>
      </c>
      <c r="J169" s="2">
        <v>4062.3641024421599</v>
      </c>
      <c r="K169" s="2">
        <v>842.82778180134903</v>
      </c>
      <c r="L169" s="2">
        <v>807.75123636101205</v>
      </c>
      <c r="M169" s="2">
        <v>5632.0321592950504</v>
      </c>
      <c r="N169" s="3">
        <f t="shared" si="6"/>
        <v>39666.663414056078</v>
      </c>
      <c r="O169" s="2">
        <v>1.08127158293875</v>
      </c>
      <c r="P169" s="2">
        <v>3.5673849746777799</v>
      </c>
      <c r="Q169" s="2">
        <v>0</v>
      </c>
      <c r="R169" s="2">
        <v>4.5251202871215099</v>
      </c>
      <c r="S169" s="2">
        <v>3.30111421378338</v>
      </c>
      <c r="T169" s="2">
        <v>5.4344890716316199</v>
      </c>
      <c r="U169" s="2">
        <v>1.4252165212899599</v>
      </c>
      <c r="V169" s="2">
        <v>1.5282142848555</v>
      </c>
      <c r="W169" s="2">
        <v>6.5892915004778798</v>
      </c>
      <c r="X169" s="2">
        <v>0.57054070299354198</v>
      </c>
      <c r="Y169" s="2">
        <v>1.6578769119439101</v>
      </c>
      <c r="Z169" s="2">
        <v>1.0771070975738799</v>
      </c>
      <c r="AA169" s="3">
        <f t="shared" si="7"/>
        <v>30.757627149287714</v>
      </c>
      <c r="AB169" t="s">
        <v>45</v>
      </c>
      <c r="AC169">
        <v>69.75</v>
      </c>
      <c r="AD169">
        <v>20.03</v>
      </c>
      <c r="AE169">
        <v>86.49</v>
      </c>
      <c r="AF169">
        <v>36.979999999999997</v>
      </c>
      <c r="AG169">
        <v>30.02</v>
      </c>
      <c r="AH169">
        <v>56.36</v>
      </c>
      <c r="AI169">
        <v>32.36</v>
      </c>
      <c r="AJ169">
        <v>32.43</v>
      </c>
      <c r="AK169">
        <v>50.97</v>
      </c>
      <c r="AL169">
        <v>18.47</v>
      </c>
      <c r="AM169">
        <v>18.170000000000002</v>
      </c>
      <c r="AN169">
        <v>66.42</v>
      </c>
      <c r="AO169" s="1">
        <f t="shared" si="8"/>
        <v>518.45000000000005</v>
      </c>
    </row>
    <row r="170" spans="1:41" x14ac:dyDescent="0.25">
      <c r="A170" t="s">
        <v>213</v>
      </c>
      <c r="B170" s="2">
        <v>5962.6614940442996</v>
      </c>
      <c r="C170" s="2">
        <v>832.37641664076205</v>
      </c>
      <c r="D170" s="2">
        <v>259.58611972047402</v>
      </c>
      <c r="E170" s="2">
        <v>0</v>
      </c>
      <c r="F170" s="2">
        <v>1519.8503594630499</v>
      </c>
      <c r="G170" s="2">
        <v>8402.5089776104196</v>
      </c>
      <c r="H170" s="2">
        <v>7416.6942902727596</v>
      </c>
      <c r="I170" s="2">
        <v>311.63916351097498</v>
      </c>
      <c r="J170" s="2">
        <v>207.63894517739101</v>
      </c>
      <c r="K170" s="2">
        <v>2791.5345328778699</v>
      </c>
      <c r="L170" s="2">
        <v>5598.4030605484604</v>
      </c>
      <c r="M170" s="2">
        <v>4110.7166442520202</v>
      </c>
      <c r="N170" s="3">
        <f t="shared" si="6"/>
        <v>37413.610004118484</v>
      </c>
      <c r="O170" s="2">
        <v>3.7471716205396199</v>
      </c>
      <c r="P170" s="2">
        <v>6.5310739073206401</v>
      </c>
      <c r="Q170" s="2">
        <v>1.7964142239557599</v>
      </c>
      <c r="R170" s="2">
        <v>0.31783432044681398</v>
      </c>
      <c r="S170" s="2">
        <v>3.24853327780444</v>
      </c>
      <c r="T170" s="2">
        <v>5.8303874121705004</v>
      </c>
      <c r="U170" s="2">
        <v>4.4174330411354799</v>
      </c>
      <c r="V170" s="2">
        <v>0.78284370440804296</v>
      </c>
      <c r="W170" s="2">
        <v>0</v>
      </c>
      <c r="X170" s="2">
        <v>4.6155482352665196</v>
      </c>
      <c r="Y170" s="2">
        <v>0</v>
      </c>
      <c r="Z170" s="2">
        <v>4.82079947688913</v>
      </c>
      <c r="AA170" s="3">
        <f t="shared" si="7"/>
        <v>36.108039219936948</v>
      </c>
      <c r="AB170" t="s">
        <v>45</v>
      </c>
      <c r="AC170">
        <v>69.819999999999993</v>
      </c>
      <c r="AD170">
        <v>18.670000000000002</v>
      </c>
      <c r="AE170">
        <v>12.69</v>
      </c>
      <c r="AF170">
        <v>10.039999999999999</v>
      </c>
      <c r="AG170">
        <v>25.39</v>
      </c>
      <c r="AH170">
        <v>94.32</v>
      </c>
      <c r="AI170">
        <v>84.41</v>
      </c>
      <c r="AJ170">
        <v>13.16</v>
      </c>
      <c r="AK170">
        <v>12.07</v>
      </c>
      <c r="AL170">
        <v>38.159999999999997</v>
      </c>
      <c r="AM170">
        <v>65.98</v>
      </c>
      <c r="AN170">
        <v>51.35</v>
      </c>
      <c r="AO170" s="1">
        <f t="shared" si="8"/>
        <v>496.06000000000006</v>
      </c>
    </row>
    <row r="171" spans="1:41" x14ac:dyDescent="0.25">
      <c r="A171" t="s">
        <v>214</v>
      </c>
      <c r="B171" s="2">
        <v>5947.3877625237101</v>
      </c>
      <c r="C171" s="2">
        <v>2583.0706863585701</v>
      </c>
      <c r="D171" s="2">
        <v>22835.6439124682</v>
      </c>
      <c r="E171" s="2">
        <v>0</v>
      </c>
      <c r="F171" s="2">
        <v>161.711344631293</v>
      </c>
      <c r="G171" s="2">
        <v>2079.2508066494802</v>
      </c>
      <c r="H171" s="2">
        <v>114.56694427833899</v>
      </c>
      <c r="I171" s="2">
        <v>6415.6372963677604</v>
      </c>
      <c r="J171" s="2">
        <v>272.35315161239402</v>
      </c>
      <c r="K171" s="2">
        <v>5857.7850789989598</v>
      </c>
      <c r="L171" s="2">
        <v>0</v>
      </c>
      <c r="M171" s="2">
        <v>633.82542077698804</v>
      </c>
      <c r="N171" s="3">
        <f t="shared" si="6"/>
        <v>46901.232404665694</v>
      </c>
      <c r="O171" s="2">
        <v>3.3698803967971398</v>
      </c>
      <c r="P171" s="2">
        <v>5.4204234964429299</v>
      </c>
      <c r="Q171" s="2">
        <v>2.7678597131706302</v>
      </c>
      <c r="R171" s="2">
        <v>8.1197598964937594</v>
      </c>
      <c r="S171" s="2">
        <v>2.1810951530245899</v>
      </c>
      <c r="T171" s="2">
        <v>6.7752541812998803</v>
      </c>
      <c r="U171" s="2">
        <v>5.8865323911381298</v>
      </c>
      <c r="V171" s="2">
        <v>2.6905021946906098</v>
      </c>
      <c r="W171" s="2">
        <v>1.1485910929954499</v>
      </c>
      <c r="X171" s="2">
        <v>1.70213755155157</v>
      </c>
      <c r="Y171" s="2">
        <v>5.8300994164575703</v>
      </c>
      <c r="Z171" s="2">
        <v>0</v>
      </c>
      <c r="AA171" s="3">
        <f t="shared" si="7"/>
        <v>45.892135484062266</v>
      </c>
      <c r="AB171" t="s">
        <v>45</v>
      </c>
      <c r="AC171">
        <v>69.67</v>
      </c>
      <c r="AD171">
        <v>36.130000000000003</v>
      </c>
      <c r="AE171">
        <v>238.5</v>
      </c>
      <c r="AF171">
        <v>10.44</v>
      </c>
      <c r="AG171">
        <v>11.76</v>
      </c>
      <c r="AH171">
        <v>31.14</v>
      </c>
      <c r="AI171">
        <v>11.44</v>
      </c>
      <c r="AJ171">
        <v>74.3</v>
      </c>
      <c r="AK171">
        <v>12.82</v>
      </c>
      <c r="AL171">
        <v>68.67</v>
      </c>
      <c r="AM171">
        <v>10.29</v>
      </c>
      <c r="AN171">
        <v>16.329999999999998</v>
      </c>
      <c r="AO171" s="1">
        <f t="shared" si="8"/>
        <v>591.49</v>
      </c>
    </row>
    <row r="172" spans="1:41" x14ac:dyDescent="0.25">
      <c r="A172" t="s">
        <v>215</v>
      </c>
      <c r="B172" s="2">
        <v>5938.0071728233597</v>
      </c>
      <c r="C172" s="2">
        <v>3440.5405862942698</v>
      </c>
      <c r="D172" s="2">
        <v>4631.20554594447</v>
      </c>
      <c r="E172" s="2">
        <v>1953.89662418886</v>
      </c>
      <c r="F172" s="2">
        <v>2097.5607687670899</v>
      </c>
      <c r="G172" s="2">
        <v>3567.2197500730899</v>
      </c>
      <c r="H172" s="2">
        <v>1037.17112102905</v>
      </c>
      <c r="I172" s="2">
        <v>255.38323979785901</v>
      </c>
      <c r="J172" s="2">
        <v>3711.6800751710798</v>
      </c>
      <c r="K172" s="2">
        <v>2844.1334765199999</v>
      </c>
      <c r="L172" s="2">
        <v>2542.7898769271401</v>
      </c>
      <c r="M172" s="2">
        <v>5615.9163003108697</v>
      </c>
      <c r="N172" s="3">
        <f t="shared" si="6"/>
        <v>37635.50453784714</v>
      </c>
      <c r="O172" s="2">
        <v>2.2946541006901899</v>
      </c>
      <c r="P172" s="2">
        <v>8.3468771146635703</v>
      </c>
      <c r="Q172" s="2">
        <v>10.7405045162829</v>
      </c>
      <c r="R172" s="2">
        <v>1.05354438990039</v>
      </c>
      <c r="S172" s="2">
        <v>4.7303934505253098</v>
      </c>
      <c r="T172" s="2">
        <v>0.99463072027715804</v>
      </c>
      <c r="U172" s="2">
        <v>1.9837106244456499</v>
      </c>
      <c r="V172" s="2">
        <v>1.3711361816969001</v>
      </c>
      <c r="W172" s="2">
        <v>1.06967593989441</v>
      </c>
      <c r="X172" s="2">
        <v>9.9393370774228895</v>
      </c>
      <c r="Y172" s="2">
        <v>8.4940839866870205E-2</v>
      </c>
      <c r="Z172" s="2">
        <v>1.3009858675491599</v>
      </c>
      <c r="AA172" s="3">
        <f t="shared" si="7"/>
        <v>43.910390823215401</v>
      </c>
      <c r="AB172" t="s">
        <v>45</v>
      </c>
      <c r="AC172">
        <v>69.53</v>
      </c>
      <c r="AD172">
        <v>44.85</v>
      </c>
      <c r="AE172">
        <v>56.86</v>
      </c>
      <c r="AF172">
        <v>29.63</v>
      </c>
      <c r="AG172">
        <v>31.22</v>
      </c>
      <c r="AH172">
        <v>45.72</v>
      </c>
      <c r="AI172">
        <v>20.47</v>
      </c>
      <c r="AJ172">
        <v>12.65</v>
      </c>
      <c r="AK172">
        <v>47.21</v>
      </c>
      <c r="AL172">
        <v>38.94</v>
      </c>
      <c r="AM172">
        <v>35.47</v>
      </c>
      <c r="AN172">
        <v>66.25</v>
      </c>
      <c r="AO172" s="1">
        <f t="shared" si="8"/>
        <v>498.79999999999995</v>
      </c>
    </row>
    <row r="173" spans="1:41" x14ac:dyDescent="0.25">
      <c r="A173" t="s">
        <v>216</v>
      </c>
      <c r="B173" s="2">
        <v>5935.7766025708597</v>
      </c>
      <c r="C173" s="2">
        <v>120.707628567768</v>
      </c>
      <c r="D173" s="2">
        <v>1558.7469445837501</v>
      </c>
      <c r="E173" s="2">
        <v>1326.80377215831</v>
      </c>
      <c r="F173" s="2">
        <v>1459.7167239370899</v>
      </c>
      <c r="G173" s="2">
        <v>1919.4767061226</v>
      </c>
      <c r="H173" s="2">
        <v>11513.12283756</v>
      </c>
      <c r="I173" s="2">
        <v>2997.4627306631301</v>
      </c>
      <c r="J173" s="2">
        <v>4942.9922700737598</v>
      </c>
      <c r="K173" s="2">
        <v>1516.1010455903499</v>
      </c>
      <c r="L173" s="2">
        <v>1055.0808319496</v>
      </c>
      <c r="M173" s="2">
        <v>1801.45590735569</v>
      </c>
      <c r="N173" s="3">
        <f t="shared" si="6"/>
        <v>36147.444001132906</v>
      </c>
      <c r="O173" s="2">
        <v>2.74777107907985</v>
      </c>
      <c r="P173" s="2">
        <v>4.3908330768552997</v>
      </c>
      <c r="Q173" s="2">
        <v>3.1686384746037701</v>
      </c>
      <c r="R173" s="2">
        <v>4.3765386479571999</v>
      </c>
      <c r="S173" s="2">
        <v>2.7096201856087001</v>
      </c>
      <c r="T173" s="2">
        <v>11.351744655708201</v>
      </c>
      <c r="U173" s="2">
        <v>4.1571956981691898</v>
      </c>
      <c r="V173" s="2">
        <v>1.32952394219472</v>
      </c>
      <c r="W173" s="2">
        <v>0</v>
      </c>
      <c r="X173" s="2">
        <v>0.34862226366703197</v>
      </c>
      <c r="Y173" s="2">
        <v>1.1360999844391699</v>
      </c>
      <c r="Z173" s="2">
        <v>2.3688190467545298</v>
      </c>
      <c r="AA173" s="3">
        <f t="shared" si="7"/>
        <v>38.085407055037663</v>
      </c>
      <c r="AB173" t="s">
        <v>63</v>
      </c>
      <c r="AC173">
        <v>118.99</v>
      </c>
      <c r="AD173">
        <v>2.87</v>
      </c>
      <c r="AE173">
        <v>31.54</v>
      </c>
      <c r="AF173">
        <v>26.99</v>
      </c>
      <c r="AG173">
        <v>29.47</v>
      </c>
      <c r="AH173">
        <v>39.479999999999997</v>
      </c>
      <c r="AI173">
        <v>230.73</v>
      </c>
      <c r="AJ173">
        <v>60.14</v>
      </c>
      <c r="AK173">
        <v>98.86</v>
      </c>
      <c r="AL173">
        <v>30.43</v>
      </c>
      <c r="AM173">
        <v>21.3</v>
      </c>
      <c r="AN173">
        <v>36.31</v>
      </c>
      <c r="AO173" s="1">
        <f t="shared" si="8"/>
        <v>727.1099999999999</v>
      </c>
    </row>
    <row r="174" spans="1:41" x14ac:dyDescent="0.25">
      <c r="A174" t="s">
        <v>217</v>
      </c>
      <c r="B174" s="2">
        <v>5912.0996325481501</v>
      </c>
      <c r="C174" s="2">
        <v>18.238212148440098</v>
      </c>
      <c r="D174" s="2">
        <v>2432.6043052258001</v>
      </c>
      <c r="E174" s="2">
        <v>462.02345176868801</v>
      </c>
      <c r="F174" s="2">
        <v>2102.0569170966201</v>
      </c>
      <c r="G174" s="2">
        <v>946.71979919882097</v>
      </c>
      <c r="H174" s="2">
        <v>6322.32079918621</v>
      </c>
      <c r="I174" s="2">
        <v>8479.90590439074</v>
      </c>
      <c r="J174" s="2">
        <v>3890.7106059969401</v>
      </c>
      <c r="K174" s="2">
        <v>1422.6990002801799</v>
      </c>
      <c r="L174" s="2">
        <v>329.26556118713597</v>
      </c>
      <c r="M174" s="2">
        <v>9326.8207245213107</v>
      </c>
      <c r="N174" s="3">
        <f t="shared" si="6"/>
        <v>41645.46491354904</v>
      </c>
      <c r="O174" s="2">
        <v>16.254726910547902</v>
      </c>
      <c r="P174" s="2">
        <v>5.4204787846228504</v>
      </c>
      <c r="Q174" s="2">
        <v>0.57501982858094502</v>
      </c>
      <c r="R174" s="2">
        <v>4.7992210662006798</v>
      </c>
      <c r="S174" s="2">
        <v>0</v>
      </c>
      <c r="T174" s="2">
        <v>14.976264994091901</v>
      </c>
      <c r="U174" s="2">
        <v>0.97093548300204902</v>
      </c>
      <c r="V174" s="2">
        <v>4.7060998800210996</v>
      </c>
      <c r="W174" s="2">
        <v>0.68552366755181604</v>
      </c>
      <c r="X174" s="2">
        <v>5.9971570945707198</v>
      </c>
      <c r="Y174" s="2">
        <v>4.8876853046311597</v>
      </c>
      <c r="Z174" s="2">
        <v>2.97269077982881</v>
      </c>
      <c r="AA174" s="3">
        <f t="shared" si="7"/>
        <v>62.245803793649934</v>
      </c>
      <c r="AB174" t="s">
        <v>63</v>
      </c>
      <c r="AC174">
        <v>119.79</v>
      </c>
      <c r="AD174">
        <v>0.92</v>
      </c>
      <c r="AE174">
        <v>48.75</v>
      </c>
      <c r="AF174">
        <v>9.7100000000000009</v>
      </c>
      <c r="AG174">
        <v>42.06</v>
      </c>
      <c r="AH174">
        <v>20.29</v>
      </c>
      <c r="AI174">
        <v>126.55</v>
      </c>
      <c r="AJ174">
        <v>170.05</v>
      </c>
      <c r="AK174">
        <v>77.91</v>
      </c>
      <c r="AL174">
        <v>29</v>
      </c>
      <c r="AM174">
        <v>7.05</v>
      </c>
      <c r="AN174">
        <v>186.81</v>
      </c>
      <c r="AO174" s="1">
        <f t="shared" si="8"/>
        <v>838.88999999999987</v>
      </c>
    </row>
    <row r="175" spans="1:41" x14ac:dyDescent="0.25">
      <c r="A175" t="s">
        <v>218</v>
      </c>
      <c r="B175" s="2">
        <v>5897.0113379568302</v>
      </c>
      <c r="C175" s="2">
        <v>3282.5178754708299</v>
      </c>
      <c r="D175" s="2">
        <v>9306.5269752112508</v>
      </c>
      <c r="E175" s="2">
        <v>7092.7072720360102</v>
      </c>
      <c r="F175" s="2">
        <v>0</v>
      </c>
      <c r="G175" s="2">
        <v>1185.93901735144</v>
      </c>
      <c r="H175" s="2">
        <v>2815.4621816754402</v>
      </c>
      <c r="I175" s="2">
        <v>2456.07869135797</v>
      </c>
      <c r="J175" s="2">
        <v>481.51244669163202</v>
      </c>
      <c r="K175" s="2">
        <v>1211.89637981498</v>
      </c>
      <c r="L175" s="2">
        <v>3478.5600320139301</v>
      </c>
      <c r="M175" s="2">
        <v>0</v>
      </c>
      <c r="N175" s="3">
        <f t="shared" si="6"/>
        <v>37208.212209580306</v>
      </c>
      <c r="O175" s="2">
        <v>3.6289349216455902</v>
      </c>
      <c r="P175" s="2">
        <v>11.7752027500295</v>
      </c>
      <c r="Q175" s="2">
        <v>3.8150163249140201</v>
      </c>
      <c r="R175" s="2">
        <v>0.94016304819538199</v>
      </c>
      <c r="S175" s="2">
        <v>0.31080806881189399</v>
      </c>
      <c r="T175" s="2">
        <v>0.87036038754039202</v>
      </c>
      <c r="U175" s="2">
        <v>0</v>
      </c>
      <c r="V175" s="2">
        <v>0.984212994666392</v>
      </c>
      <c r="W175" s="2">
        <v>1.77689334081261</v>
      </c>
      <c r="X175" s="2">
        <v>1.55620206811163</v>
      </c>
      <c r="Y175" s="2">
        <v>5.3059301979834999</v>
      </c>
      <c r="Z175" s="2">
        <v>1.7383240979965899</v>
      </c>
      <c r="AA175" s="3">
        <f t="shared" si="7"/>
        <v>32.702048200707502</v>
      </c>
      <c r="AB175" t="s">
        <v>45</v>
      </c>
      <c r="AC175">
        <v>69.17</v>
      </c>
      <c r="AD175">
        <v>43.42</v>
      </c>
      <c r="AE175">
        <v>103.26</v>
      </c>
      <c r="AF175">
        <v>80.97</v>
      </c>
      <c r="AG175">
        <v>10.039999999999999</v>
      </c>
      <c r="AH175">
        <v>21.9</v>
      </c>
      <c r="AI175">
        <v>38.15</v>
      </c>
      <c r="AJ175">
        <v>34.61</v>
      </c>
      <c r="AK175">
        <v>14.91</v>
      </c>
      <c r="AL175">
        <v>22.21</v>
      </c>
      <c r="AM175">
        <v>45.08</v>
      </c>
      <c r="AN175">
        <v>10.09</v>
      </c>
      <c r="AO175" s="1">
        <f t="shared" si="8"/>
        <v>493.81</v>
      </c>
    </row>
    <row r="176" spans="1:41" x14ac:dyDescent="0.25">
      <c r="A176" t="s">
        <v>219</v>
      </c>
      <c r="B176" s="2">
        <v>5870.3276074979103</v>
      </c>
      <c r="C176" s="2">
        <v>3200.9231182560402</v>
      </c>
      <c r="D176" s="2">
        <v>11158.447692865</v>
      </c>
      <c r="E176" s="2">
        <v>7715.0116870996098</v>
      </c>
      <c r="F176" s="2">
        <v>1686.6713898509399</v>
      </c>
      <c r="G176" s="2">
        <v>655.85221717517197</v>
      </c>
      <c r="H176" s="2">
        <v>2489.0730760625902</v>
      </c>
      <c r="I176" s="2">
        <v>3640.4155071587102</v>
      </c>
      <c r="J176" s="2">
        <v>1943.7748542296499</v>
      </c>
      <c r="K176" s="2">
        <v>6286.68995556968</v>
      </c>
      <c r="L176" s="2">
        <v>388.50049862168299</v>
      </c>
      <c r="M176" s="2">
        <v>1273.8487482151299</v>
      </c>
      <c r="N176" s="3">
        <f t="shared" si="6"/>
        <v>46309.53635260211</v>
      </c>
      <c r="O176" s="2">
        <v>3.0450730795317602</v>
      </c>
      <c r="P176" s="2">
        <v>1.2085705052167699</v>
      </c>
      <c r="Q176" s="2">
        <v>8.5302236727663292</v>
      </c>
      <c r="R176" s="2">
        <v>3.8724386060453999</v>
      </c>
      <c r="S176" s="2">
        <v>3.4790661593407899</v>
      </c>
      <c r="T176" s="2">
        <v>1.31122689806209</v>
      </c>
      <c r="U176" s="2">
        <v>5.4732034722872402</v>
      </c>
      <c r="V176" s="2">
        <v>1.74144486426032</v>
      </c>
      <c r="W176" s="2">
        <v>6.9805098005313697</v>
      </c>
      <c r="X176" s="2">
        <v>2.3455300213163799</v>
      </c>
      <c r="Y176" s="2">
        <v>1.4293221049012199</v>
      </c>
      <c r="Z176" s="2">
        <v>1.33225569699123</v>
      </c>
      <c r="AA176" s="3">
        <f t="shared" si="7"/>
        <v>40.748864881250896</v>
      </c>
      <c r="AB176" t="s">
        <v>45</v>
      </c>
      <c r="AC176">
        <v>68.900000000000006</v>
      </c>
      <c r="AD176">
        <v>42.1</v>
      </c>
      <c r="AE176">
        <v>122.03</v>
      </c>
      <c r="AF176">
        <v>87.35</v>
      </c>
      <c r="AG176">
        <v>27.06</v>
      </c>
      <c r="AH176">
        <v>16.649999999999999</v>
      </c>
      <c r="AI176">
        <v>35.19</v>
      </c>
      <c r="AJ176">
        <v>46.5</v>
      </c>
      <c r="AK176">
        <v>29.78</v>
      </c>
      <c r="AL176">
        <v>73.010000000000005</v>
      </c>
      <c r="AM176">
        <v>13.98</v>
      </c>
      <c r="AN176">
        <v>22.83</v>
      </c>
      <c r="AO176" s="1">
        <f t="shared" si="8"/>
        <v>585.38</v>
      </c>
    </row>
    <row r="177" spans="1:41" x14ac:dyDescent="0.25">
      <c r="A177" t="s">
        <v>220</v>
      </c>
      <c r="B177" s="2">
        <v>5835.0263460762299</v>
      </c>
      <c r="C177" s="2">
        <v>3402.90360927656</v>
      </c>
      <c r="D177" s="2">
        <v>6558.6732554886403</v>
      </c>
      <c r="E177" s="2">
        <v>7207.0248207110399</v>
      </c>
      <c r="F177" s="2">
        <v>3259.0814829023102</v>
      </c>
      <c r="G177" s="2">
        <v>8005.9388313836398</v>
      </c>
      <c r="H177" s="2">
        <v>7260.1941878087</v>
      </c>
      <c r="I177" s="2">
        <v>10513.1180022849</v>
      </c>
      <c r="J177" s="2">
        <v>6126.8790694478303</v>
      </c>
      <c r="K177" s="2">
        <v>5740.4161460627802</v>
      </c>
      <c r="L177" s="2">
        <v>2849.4002278777598</v>
      </c>
      <c r="M177" s="2">
        <v>1537.9161497109001</v>
      </c>
      <c r="N177" s="3">
        <f t="shared" si="6"/>
        <v>68296.572129031294</v>
      </c>
      <c r="O177" s="2">
        <v>8.3056873504547202</v>
      </c>
      <c r="P177" s="2">
        <v>2.8623897234404301</v>
      </c>
      <c r="Q177" s="2">
        <v>4.5176367750324902</v>
      </c>
      <c r="R177" s="2">
        <v>4.3683936682321001</v>
      </c>
      <c r="S177" s="2">
        <v>7.3846038717731801</v>
      </c>
      <c r="T177" s="2">
        <v>1.7874582492120901</v>
      </c>
      <c r="U177" s="2">
        <v>7.1680294028197302</v>
      </c>
      <c r="V177" s="2">
        <v>1.9789533558941499</v>
      </c>
      <c r="W177" s="2">
        <v>12.179014082616501</v>
      </c>
      <c r="X177" s="2">
        <v>1.11079185389265</v>
      </c>
      <c r="Y177" s="2">
        <v>2.65474245108325</v>
      </c>
      <c r="Z177" s="2">
        <v>7.7148947216876698</v>
      </c>
      <c r="AA177" s="3">
        <f t="shared" si="7"/>
        <v>62.032595506138961</v>
      </c>
      <c r="AB177" t="s">
        <v>45</v>
      </c>
      <c r="AC177">
        <v>68.8</v>
      </c>
      <c r="AD177">
        <v>44.17</v>
      </c>
      <c r="AE177">
        <v>75.83</v>
      </c>
      <c r="AF177">
        <v>82.32</v>
      </c>
      <c r="AG177">
        <v>42.99</v>
      </c>
      <c r="AH177">
        <v>90.15</v>
      </c>
      <c r="AI177">
        <v>83</v>
      </c>
      <c r="AJ177">
        <v>115.23</v>
      </c>
      <c r="AK177">
        <v>71.91</v>
      </c>
      <c r="AL177">
        <v>67.5</v>
      </c>
      <c r="AM177">
        <v>38.64</v>
      </c>
      <c r="AN177">
        <v>25.77</v>
      </c>
      <c r="AO177" s="1">
        <f t="shared" si="8"/>
        <v>806.31</v>
      </c>
    </row>
    <row r="178" spans="1:41" x14ac:dyDescent="0.25">
      <c r="A178" t="s">
        <v>221</v>
      </c>
      <c r="B178" s="2">
        <v>5821.6731247790103</v>
      </c>
      <c r="C178" s="2">
        <v>761.27382562858998</v>
      </c>
      <c r="D178" s="2">
        <v>3644.2226028042401</v>
      </c>
      <c r="E178" s="2">
        <v>171.291573039491</v>
      </c>
      <c r="F178" s="2">
        <v>1217.3526390297</v>
      </c>
      <c r="G178" s="2">
        <v>2715.55085287156</v>
      </c>
      <c r="H178" s="2">
        <v>4004.4105754805501</v>
      </c>
      <c r="I178" s="2">
        <v>0</v>
      </c>
      <c r="J178" s="2">
        <v>2830.71535188707</v>
      </c>
      <c r="K178" s="2">
        <v>3230.5967330929898</v>
      </c>
      <c r="L178" s="2">
        <v>1107.0104379280999</v>
      </c>
      <c r="M178" s="2">
        <v>2571.5669289103898</v>
      </c>
      <c r="N178" s="3">
        <f t="shared" si="6"/>
        <v>28075.664645451689</v>
      </c>
      <c r="O178" s="2">
        <v>0.89366398036564698</v>
      </c>
      <c r="P178" s="2">
        <v>4.0390421784792796</v>
      </c>
      <c r="Q178" s="2">
        <v>1.12158211978691</v>
      </c>
      <c r="R178" s="2">
        <v>1.7296783668647699</v>
      </c>
      <c r="S178" s="2">
        <v>4.9565647441154397</v>
      </c>
      <c r="T178" s="2">
        <v>0.95464418268079498</v>
      </c>
      <c r="U178" s="2">
        <v>6.9499340877498801</v>
      </c>
      <c r="V178" s="2">
        <v>1.1530034537845899</v>
      </c>
      <c r="W178" s="2">
        <v>1.7244583389552599</v>
      </c>
      <c r="X178" s="2">
        <v>6.0615763802257696</v>
      </c>
      <c r="Y178" s="2">
        <v>1.64055622424257</v>
      </c>
      <c r="Z178" s="2">
        <v>1.71395814501241</v>
      </c>
      <c r="AA178" s="3">
        <f t="shared" si="7"/>
        <v>32.938662202263316</v>
      </c>
      <c r="AB178" t="s">
        <v>63</v>
      </c>
      <c r="AC178">
        <v>116.53</v>
      </c>
      <c r="AD178">
        <v>15.69</v>
      </c>
      <c r="AE178">
        <v>73.08</v>
      </c>
      <c r="AF178">
        <v>3.62</v>
      </c>
      <c r="AG178">
        <v>24.81</v>
      </c>
      <c r="AH178">
        <v>54.41</v>
      </c>
      <c r="AI178">
        <v>80.73</v>
      </c>
      <c r="AJ178">
        <v>0.18</v>
      </c>
      <c r="AK178">
        <v>56.8</v>
      </c>
      <c r="AL178">
        <v>65.25</v>
      </c>
      <c r="AM178">
        <v>22.34</v>
      </c>
      <c r="AN178">
        <v>51.62</v>
      </c>
      <c r="AO178" s="1">
        <f t="shared" si="8"/>
        <v>565.06000000000006</v>
      </c>
    </row>
    <row r="179" spans="1:41" x14ac:dyDescent="0.25">
      <c r="A179" t="s">
        <v>222</v>
      </c>
      <c r="B179" s="2">
        <v>5798.8657909932899</v>
      </c>
      <c r="C179" s="2">
        <v>2781.2603969891202</v>
      </c>
      <c r="D179" s="2">
        <v>678.81190651333202</v>
      </c>
      <c r="E179" s="2">
        <v>3120.9292944762801</v>
      </c>
      <c r="F179" s="2">
        <v>4410.2448637921198</v>
      </c>
      <c r="G179" s="2">
        <v>2749.47615878329</v>
      </c>
      <c r="H179" s="2">
        <v>1043.81167919583</v>
      </c>
      <c r="I179" s="2">
        <v>0</v>
      </c>
      <c r="J179" s="2">
        <v>6669.4850349758499</v>
      </c>
      <c r="K179" s="2">
        <v>6890.5697789896703</v>
      </c>
      <c r="L179" s="2">
        <v>5207.71433951772</v>
      </c>
      <c r="M179" s="2">
        <v>0</v>
      </c>
      <c r="N179" s="3">
        <f t="shared" si="6"/>
        <v>39351.169244226505</v>
      </c>
      <c r="O179" s="2">
        <v>1.01168110099129</v>
      </c>
      <c r="P179" s="2">
        <v>0.77034111959230001</v>
      </c>
      <c r="Q179" s="2">
        <v>0.43984646589285697</v>
      </c>
      <c r="R179" s="2">
        <v>1.9117522662279101</v>
      </c>
      <c r="S179" s="2">
        <v>7.3445933933548897</v>
      </c>
      <c r="T179" s="2">
        <v>1.5793950862934101</v>
      </c>
      <c r="U179" s="2">
        <v>10.763948010175699</v>
      </c>
      <c r="V179" s="2">
        <v>4.1195185190270101</v>
      </c>
      <c r="W179" s="2">
        <v>3.06838856710272</v>
      </c>
      <c r="X179" s="2">
        <v>1.94697280873974</v>
      </c>
      <c r="Y179" s="2">
        <v>3.4944273147402898</v>
      </c>
      <c r="Z179" s="2">
        <v>5.4037553214166802</v>
      </c>
      <c r="AA179" s="3">
        <f t="shared" si="7"/>
        <v>41.854619973554797</v>
      </c>
      <c r="AB179" t="s">
        <v>45</v>
      </c>
      <c r="AC179">
        <v>68.08</v>
      </c>
      <c r="AD179">
        <v>37.86</v>
      </c>
      <c r="AE179">
        <v>16.829999999999998</v>
      </c>
      <c r="AF179">
        <v>41.3</v>
      </c>
      <c r="AG179">
        <v>54.5</v>
      </c>
      <c r="AH179">
        <v>37.590000000000003</v>
      </c>
      <c r="AI179">
        <v>20.98</v>
      </c>
      <c r="AJ179">
        <v>10.24</v>
      </c>
      <c r="AK179">
        <v>76.89</v>
      </c>
      <c r="AL179">
        <v>79</v>
      </c>
      <c r="AM179">
        <v>62.27</v>
      </c>
      <c r="AN179">
        <v>10.29</v>
      </c>
      <c r="AO179" s="1">
        <f t="shared" si="8"/>
        <v>515.82999999999993</v>
      </c>
    </row>
    <row r="180" spans="1:41" x14ac:dyDescent="0.25">
      <c r="A180" t="s">
        <v>223</v>
      </c>
      <c r="B180" s="2">
        <v>5793.0825660753599</v>
      </c>
      <c r="C180" s="2">
        <v>2985.5773283487101</v>
      </c>
      <c r="D180" s="2">
        <v>4282.2135927913296</v>
      </c>
      <c r="E180" s="2">
        <v>4045.3129538489002</v>
      </c>
      <c r="F180" s="2">
        <v>3123.6682754036901</v>
      </c>
      <c r="G180" s="2">
        <v>797.78221438055198</v>
      </c>
      <c r="H180" s="2">
        <v>1333.09573248936</v>
      </c>
      <c r="I180" s="2">
        <v>3544.4551939447701</v>
      </c>
      <c r="J180" s="2">
        <v>10538.377713621199</v>
      </c>
      <c r="K180" s="2">
        <v>2306.8471816286801</v>
      </c>
      <c r="L180" s="2">
        <v>9141.8870006327397</v>
      </c>
      <c r="M180" s="2">
        <v>0</v>
      </c>
      <c r="N180" s="3">
        <f t="shared" si="6"/>
        <v>47892.299753165302</v>
      </c>
      <c r="O180" s="2">
        <v>1.5628620273518901</v>
      </c>
      <c r="P180" s="2">
        <v>12.8630289089676</v>
      </c>
      <c r="Q180" s="2">
        <v>1.66709877323117</v>
      </c>
      <c r="R180" s="2">
        <v>1.76019719067866</v>
      </c>
      <c r="S180" s="2">
        <v>0.36693215508508797</v>
      </c>
      <c r="T180" s="2">
        <v>5.7331140970814101</v>
      </c>
      <c r="U180" s="2">
        <v>6.0576176945166003</v>
      </c>
      <c r="V180" s="2">
        <v>0.70075936241222203</v>
      </c>
      <c r="W180" s="2">
        <v>9.16463089828917</v>
      </c>
      <c r="X180" s="2">
        <v>3.3611957322105002</v>
      </c>
      <c r="Y180" s="2">
        <v>3.0952533861715201</v>
      </c>
      <c r="Z180" s="2">
        <v>9.0823577267413391</v>
      </c>
      <c r="AA180" s="3">
        <f t="shared" si="7"/>
        <v>55.415047952737169</v>
      </c>
      <c r="AB180" t="s">
        <v>45</v>
      </c>
      <c r="AC180">
        <v>68.03</v>
      </c>
      <c r="AD180">
        <v>40.5</v>
      </c>
      <c r="AE180">
        <v>52.92</v>
      </c>
      <c r="AF180">
        <v>50.55</v>
      </c>
      <c r="AG180">
        <v>41.28</v>
      </c>
      <c r="AH180">
        <v>18.27</v>
      </c>
      <c r="AI180">
        <v>23.68</v>
      </c>
      <c r="AJ180">
        <v>45.49</v>
      </c>
      <c r="AK180">
        <v>115.88</v>
      </c>
      <c r="AL180">
        <v>33.26</v>
      </c>
      <c r="AM180">
        <v>101.61</v>
      </c>
      <c r="AN180">
        <v>10.49</v>
      </c>
      <c r="AO180" s="1">
        <f t="shared" si="8"/>
        <v>601.96</v>
      </c>
    </row>
    <row r="181" spans="1:41" x14ac:dyDescent="0.25">
      <c r="A181" t="s">
        <v>224</v>
      </c>
      <c r="B181" s="2">
        <v>5775.42985710621</v>
      </c>
      <c r="C181" s="2">
        <v>9338.6662538557994</v>
      </c>
      <c r="D181" s="2">
        <v>3245.6189774527602</v>
      </c>
      <c r="E181" s="2">
        <v>0</v>
      </c>
      <c r="F181" s="2">
        <v>1848.4351783320801</v>
      </c>
      <c r="G181" s="2">
        <v>722.58721968043801</v>
      </c>
      <c r="H181" s="2">
        <v>3972.3649310267901</v>
      </c>
      <c r="I181" s="2">
        <v>991.424860486596</v>
      </c>
      <c r="J181" s="2">
        <v>1491.0000247004</v>
      </c>
      <c r="K181" s="2">
        <v>2014.21649047302</v>
      </c>
      <c r="L181" s="2">
        <v>1488.4902063965901</v>
      </c>
      <c r="M181" s="2">
        <v>2205.28523174559</v>
      </c>
      <c r="N181" s="3">
        <f t="shared" si="6"/>
        <v>33093.519231256272</v>
      </c>
      <c r="O181" s="2">
        <v>1.5443991602804701</v>
      </c>
      <c r="P181" s="2">
        <v>1.21314016653045</v>
      </c>
      <c r="Q181" s="2">
        <v>2.1537582866656599</v>
      </c>
      <c r="R181" s="2">
        <v>3.5586948963356901</v>
      </c>
      <c r="S181" s="2">
        <v>0</v>
      </c>
      <c r="T181" s="2">
        <v>2.6567169177833998</v>
      </c>
      <c r="U181" s="2">
        <v>4.1831461013654803</v>
      </c>
      <c r="V181" s="2">
        <v>14.6486880935119</v>
      </c>
      <c r="W181" s="2">
        <v>2.50183207865184</v>
      </c>
      <c r="X181" s="2">
        <v>0.88948028112994004</v>
      </c>
      <c r="Y181" s="2">
        <v>0</v>
      </c>
      <c r="Z181" s="2">
        <v>11.8930416201994</v>
      </c>
      <c r="AA181" s="3">
        <f t="shared" si="7"/>
        <v>45.242897602454228</v>
      </c>
      <c r="AB181" t="s">
        <v>63</v>
      </c>
      <c r="AC181">
        <v>115.7</v>
      </c>
      <c r="AD181">
        <v>186.96</v>
      </c>
      <c r="AE181">
        <v>65.19</v>
      </c>
      <c r="AF181">
        <v>0.36</v>
      </c>
      <c r="AG181">
        <v>36.979999999999997</v>
      </c>
      <c r="AH181">
        <v>14.73</v>
      </c>
      <c r="AI181">
        <v>79.91</v>
      </c>
      <c r="AJ181">
        <v>21.19</v>
      </c>
      <c r="AK181">
        <v>30.11</v>
      </c>
      <c r="AL181">
        <v>40.39</v>
      </c>
      <c r="AM181">
        <v>29.78</v>
      </c>
      <c r="AN181">
        <v>45.2</v>
      </c>
      <c r="AO181" s="1">
        <f t="shared" si="8"/>
        <v>666.50000000000011</v>
      </c>
    </row>
    <row r="182" spans="1:41" x14ac:dyDescent="0.25">
      <c r="A182" t="s">
        <v>225</v>
      </c>
      <c r="B182" s="2">
        <v>5750.1193428712904</v>
      </c>
      <c r="C182" s="2">
        <v>362.866160499552</v>
      </c>
      <c r="D182" s="2">
        <v>1422.3364503986099</v>
      </c>
      <c r="E182" s="2">
        <v>295.859581302501</v>
      </c>
      <c r="F182" s="2">
        <v>3889.90244227003</v>
      </c>
      <c r="G182" s="2">
        <v>0</v>
      </c>
      <c r="H182" s="2">
        <v>768.38809423544797</v>
      </c>
      <c r="I182" s="2">
        <v>7826.5475147621901</v>
      </c>
      <c r="J182" s="2">
        <v>3590.8986025456302</v>
      </c>
      <c r="K182" s="2">
        <v>7786.2011406867196</v>
      </c>
      <c r="L182" s="2">
        <v>766.62143942303305</v>
      </c>
      <c r="M182" s="2">
        <v>2683.8876140652401</v>
      </c>
      <c r="N182" s="3">
        <f t="shared" si="6"/>
        <v>35143.628383060248</v>
      </c>
      <c r="O182" s="2">
        <v>1.5946307257708501</v>
      </c>
      <c r="P182" s="2">
        <v>0</v>
      </c>
      <c r="Q182" s="2">
        <v>9.5542695359602998</v>
      </c>
      <c r="R182" s="2">
        <v>1.0413686242191</v>
      </c>
      <c r="S182" s="2">
        <v>4.6491870470225498</v>
      </c>
      <c r="T182" s="2">
        <v>0</v>
      </c>
      <c r="U182" s="2">
        <v>9.7996434780665105</v>
      </c>
      <c r="V182" s="2">
        <v>9.0280666557567404</v>
      </c>
      <c r="W182" s="2">
        <v>5.2346826031311302</v>
      </c>
      <c r="X182" s="2">
        <v>6.0228872082487896</v>
      </c>
      <c r="Y182" s="2">
        <v>0</v>
      </c>
      <c r="Z182" s="2">
        <v>17.070348647231899</v>
      </c>
      <c r="AA182" s="3">
        <f t="shared" si="7"/>
        <v>63.995084525407862</v>
      </c>
      <c r="AB182" t="s">
        <v>63</v>
      </c>
      <c r="AC182">
        <v>115.2</v>
      </c>
      <c r="AD182">
        <v>7.26</v>
      </c>
      <c r="AE182">
        <v>29.36</v>
      </c>
      <c r="AF182">
        <v>6.1</v>
      </c>
      <c r="AG182">
        <v>78.25</v>
      </c>
      <c r="AH182">
        <v>0</v>
      </c>
      <c r="AI182">
        <v>16.28</v>
      </c>
      <c r="AJ182">
        <v>157.44</v>
      </c>
      <c r="AK182">
        <v>72.36</v>
      </c>
      <c r="AL182">
        <v>156.37</v>
      </c>
      <c r="AM182">
        <v>15.34</v>
      </c>
      <c r="AN182">
        <v>55.3</v>
      </c>
      <c r="AO182" s="1">
        <f t="shared" si="8"/>
        <v>709.26</v>
      </c>
    </row>
    <row r="183" spans="1:41" x14ac:dyDescent="0.25">
      <c r="A183" t="s">
        <v>226</v>
      </c>
      <c r="B183" s="2">
        <v>5748.7806901029298</v>
      </c>
      <c r="C183" s="2">
        <v>9012.4788682961007</v>
      </c>
      <c r="D183" s="2">
        <v>1862.90513002066</v>
      </c>
      <c r="E183" s="2">
        <v>3547.5001899918698</v>
      </c>
      <c r="F183" s="2">
        <v>0</v>
      </c>
      <c r="G183" s="2">
        <v>5062.1297669770302</v>
      </c>
      <c r="H183" s="2">
        <v>0</v>
      </c>
      <c r="I183" s="2">
        <v>351.958900128192</v>
      </c>
      <c r="J183" s="2">
        <v>4790.7275589841902</v>
      </c>
      <c r="K183" s="2">
        <v>3944.44966037719</v>
      </c>
      <c r="L183" s="2">
        <v>4128.4097067248804</v>
      </c>
      <c r="M183" s="2">
        <v>2243.9921595328101</v>
      </c>
      <c r="N183" s="3">
        <f t="shared" si="6"/>
        <v>40693.332631135854</v>
      </c>
      <c r="O183" s="2">
        <v>3.2883589763306902</v>
      </c>
      <c r="P183" s="2">
        <v>1.5791285465220499</v>
      </c>
      <c r="Q183" s="2">
        <v>1.99226888490397</v>
      </c>
      <c r="R183" s="2">
        <v>1.64743348751005</v>
      </c>
      <c r="S183" s="2">
        <v>0</v>
      </c>
      <c r="T183" s="2">
        <v>4.5705565115407198</v>
      </c>
      <c r="U183" s="2">
        <v>14.9224535174819</v>
      </c>
      <c r="V183" s="2">
        <v>4.2156007822812303</v>
      </c>
      <c r="W183" s="2">
        <v>3.8503240595863502</v>
      </c>
      <c r="X183" s="2">
        <v>9.7487171720269397E-2</v>
      </c>
      <c r="Y183" s="2">
        <v>1.0857286646184401</v>
      </c>
      <c r="Z183" s="2">
        <v>1.0352397953674699</v>
      </c>
      <c r="AA183" s="3">
        <f t="shared" si="7"/>
        <v>38.284580397863138</v>
      </c>
      <c r="AB183" t="s">
        <v>45</v>
      </c>
      <c r="AC183">
        <v>67.680000000000007</v>
      </c>
      <c r="AD183">
        <v>100.22</v>
      </c>
      <c r="AE183">
        <v>28.72</v>
      </c>
      <c r="AF183">
        <v>45.57</v>
      </c>
      <c r="AG183">
        <v>9.99</v>
      </c>
      <c r="AH183">
        <v>60.87</v>
      </c>
      <c r="AI183">
        <v>10.74</v>
      </c>
      <c r="AJ183">
        <v>13.76</v>
      </c>
      <c r="AK183">
        <v>58.1</v>
      </c>
      <c r="AL183">
        <v>49.49</v>
      </c>
      <c r="AM183">
        <v>51.38</v>
      </c>
      <c r="AN183">
        <v>32.53</v>
      </c>
      <c r="AO183" s="1">
        <f t="shared" si="8"/>
        <v>529.05000000000007</v>
      </c>
    </row>
    <row r="184" spans="1:41" x14ac:dyDescent="0.25">
      <c r="A184" t="s">
        <v>227</v>
      </c>
      <c r="B184" s="2">
        <v>5747.9498508182796</v>
      </c>
      <c r="C184" s="2">
        <v>3711.0924309540001</v>
      </c>
      <c r="D184" s="2">
        <v>0</v>
      </c>
      <c r="E184" s="2">
        <v>467.39556884792501</v>
      </c>
      <c r="F184" s="2">
        <v>5812.6707175581096</v>
      </c>
      <c r="G184" s="2">
        <v>1477.2061450971801</v>
      </c>
      <c r="H184" s="2">
        <v>13946.2188330433</v>
      </c>
      <c r="I184" s="2">
        <v>3675.3620118970498</v>
      </c>
      <c r="J184" s="2">
        <v>1232.3452597539699</v>
      </c>
      <c r="K184" s="2">
        <v>7811.0548746582199</v>
      </c>
      <c r="L184" s="2">
        <v>2213.8668279712701</v>
      </c>
      <c r="M184" s="2">
        <v>1711.25464858031</v>
      </c>
      <c r="N184" s="3">
        <f t="shared" si="6"/>
        <v>47806.417169179622</v>
      </c>
      <c r="O184" s="2">
        <v>4.6409922057354303</v>
      </c>
      <c r="P184" s="2">
        <v>2.27073053642291</v>
      </c>
      <c r="Q184" s="2">
        <v>1.57150682762829</v>
      </c>
      <c r="R184" s="2">
        <v>3.6226807348197099</v>
      </c>
      <c r="S184" s="2">
        <v>1.2605055822361899</v>
      </c>
      <c r="T184" s="2">
        <v>3.8356305783706701</v>
      </c>
      <c r="U184" s="2">
        <v>0.508685769776824</v>
      </c>
      <c r="V184" s="2">
        <v>0.15117250257152801</v>
      </c>
      <c r="W184" s="2">
        <v>0.99775938071449299</v>
      </c>
      <c r="X184" s="2">
        <v>6.9356354254389201</v>
      </c>
      <c r="Y184" s="2">
        <v>1.9118334284902101</v>
      </c>
      <c r="Z184" s="2">
        <v>4.6896134427169596</v>
      </c>
      <c r="AA184" s="3">
        <f t="shared" si="7"/>
        <v>32.396746414922134</v>
      </c>
      <c r="AB184" t="s">
        <v>45</v>
      </c>
      <c r="AC184">
        <v>67.72</v>
      </c>
      <c r="AD184">
        <v>47.26</v>
      </c>
      <c r="AE184">
        <v>10.09</v>
      </c>
      <c r="AF184">
        <v>14.87</v>
      </c>
      <c r="AG184">
        <v>68.22</v>
      </c>
      <c r="AH184">
        <v>24.97</v>
      </c>
      <c r="AI184">
        <v>149.51</v>
      </c>
      <c r="AJ184">
        <v>46.8</v>
      </c>
      <c r="AK184">
        <v>22.37</v>
      </c>
      <c r="AL184">
        <v>88.46</v>
      </c>
      <c r="AM184">
        <v>32.229999999999997</v>
      </c>
      <c r="AN184">
        <v>27.36</v>
      </c>
      <c r="AO184" s="1">
        <f t="shared" si="8"/>
        <v>599.86</v>
      </c>
    </row>
    <row r="185" spans="1:41" x14ac:dyDescent="0.25">
      <c r="A185" t="s">
        <v>228</v>
      </c>
      <c r="B185" s="2">
        <v>5675.6352161201603</v>
      </c>
      <c r="C185" s="2">
        <v>17446.986800391402</v>
      </c>
      <c r="D185" s="2">
        <v>860.19982952582302</v>
      </c>
      <c r="E185" s="2">
        <v>4425.5321450294095</v>
      </c>
      <c r="F185" s="2">
        <v>2278.6835982156699</v>
      </c>
      <c r="G185" s="2">
        <v>0</v>
      </c>
      <c r="H185" s="2">
        <v>2515.6267465700098</v>
      </c>
      <c r="I185" s="2">
        <v>0</v>
      </c>
      <c r="J185" s="2">
        <v>1863.9723309297001</v>
      </c>
      <c r="K185" s="2">
        <v>1156.8559987917599</v>
      </c>
      <c r="L185" s="2">
        <v>2470.6444779078502</v>
      </c>
      <c r="M185" s="2">
        <v>2812.6501061724098</v>
      </c>
      <c r="N185" s="3">
        <f t="shared" si="6"/>
        <v>41506.787249654197</v>
      </c>
      <c r="O185" s="2">
        <v>0</v>
      </c>
      <c r="P185" s="2">
        <v>1.36560877545599</v>
      </c>
      <c r="Q185" s="2">
        <v>6.1609808958325898</v>
      </c>
      <c r="R185" s="2">
        <v>0.94140022142567703</v>
      </c>
      <c r="S185" s="2">
        <v>3.7725436253846198</v>
      </c>
      <c r="T185" s="2">
        <v>4.7831790137542098</v>
      </c>
      <c r="U185" s="2">
        <v>2.5754662805025799</v>
      </c>
      <c r="V185" s="2">
        <v>0.95388227146846705</v>
      </c>
      <c r="W185" s="2">
        <v>5.8984183218037796</v>
      </c>
      <c r="X185" s="2">
        <v>0.20020136060573501</v>
      </c>
      <c r="Y185" s="2">
        <v>4.2803221235254698</v>
      </c>
      <c r="Z185" s="2">
        <v>7.5839646773216396</v>
      </c>
      <c r="AA185" s="3">
        <f t="shared" si="7"/>
        <v>38.515967567080757</v>
      </c>
      <c r="AB185" t="s">
        <v>45</v>
      </c>
      <c r="AC185">
        <v>66.75</v>
      </c>
      <c r="AD185">
        <v>184.56</v>
      </c>
      <c r="AE185">
        <v>18.95</v>
      </c>
      <c r="AF185">
        <v>54.3</v>
      </c>
      <c r="AG185">
        <v>32.979999999999997</v>
      </c>
      <c r="AH185">
        <v>10.24</v>
      </c>
      <c r="AI185">
        <v>35.299999999999997</v>
      </c>
      <c r="AJ185">
        <v>10.039999999999999</v>
      </c>
      <c r="AK185">
        <v>28.93</v>
      </c>
      <c r="AL185">
        <v>21.61</v>
      </c>
      <c r="AM185">
        <v>34.950000000000003</v>
      </c>
      <c r="AN185">
        <v>38.520000000000003</v>
      </c>
      <c r="AO185" s="1">
        <f t="shared" si="8"/>
        <v>537.13000000000011</v>
      </c>
    </row>
    <row r="186" spans="1:41" x14ac:dyDescent="0.25">
      <c r="A186" t="s">
        <v>229</v>
      </c>
      <c r="B186" s="2">
        <v>5654.9906520705699</v>
      </c>
      <c r="C186" s="2">
        <v>202.66393109678799</v>
      </c>
      <c r="D186" s="2">
        <v>956.40076981624395</v>
      </c>
      <c r="E186" s="2">
        <v>11659.083072388599</v>
      </c>
      <c r="F186" s="2">
        <v>8043.9744282103102</v>
      </c>
      <c r="G186" s="2">
        <v>1931.28372066047</v>
      </c>
      <c r="H186" s="2">
        <v>6553.0888208873102</v>
      </c>
      <c r="I186" s="2">
        <v>276.95652831538598</v>
      </c>
      <c r="J186" s="2">
        <v>81.975423933885594</v>
      </c>
      <c r="K186" s="2">
        <v>1291.22208383469</v>
      </c>
      <c r="L186" s="2">
        <v>0</v>
      </c>
      <c r="M186" s="2">
        <v>5979.5132831353803</v>
      </c>
      <c r="N186" s="3">
        <f t="shared" si="6"/>
        <v>42631.152714349635</v>
      </c>
      <c r="O186" s="2">
        <v>0</v>
      </c>
      <c r="P186" s="2">
        <v>6.8686098921364298</v>
      </c>
      <c r="Q186" s="2">
        <v>0.50147825588518302</v>
      </c>
      <c r="R186" s="2">
        <v>1.59682255400034</v>
      </c>
      <c r="S186" s="2">
        <v>3.7920025299676601</v>
      </c>
      <c r="T186" s="2">
        <v>2.9241903448609401</v>
      </c>
      <c r="U186" s="2">
        <v>8.8475803493244101</v>
      </c>
      <c r="V186" s="2">
        <v>2.8261365988069098</v>
      </c>
      <c r="W186" s="2">
        <v>0</v>
      </c>
      <c r="X186" s="2">
        <v>2.2683622667504402</v>
      </c>
      <c r="Y186" s="2">
        <v>2.0638549250057401</v>
      </c>
      <c r="Z186" s="2">
        <v>2.1036659975491698</v>
      </c>
      <c r="AA186" s="3">
        <f t="shared" si="7"/>
        <v>33.792703714287221</v>
      </c>
      <c r="AB186" t="s">
        <v>45</v>
      </c>
      <c r="AC186">
        <v>66.540000000000006</v>
      </c>
      <c r="AD186">
        <v>12.37</v>
      </c>
      <c r="AE186">
        <v>19.61</v>
      </c>
      <c r="AF186">
        <v>126.69</v>
      </c>
      <c r="AG186">
        <v>90.63</v>
      </c>
      <c r="AH186">
        <v>29.46</v>
      </c>
      <c r="AI186">
        <v>75.98</v>
      </c>
      <c r="AJ186">
        <v>12.91</v>
      </c>
      <c r="AK186">
        <v>10.81</v>
      </c>
      <c r="AL186">
        <v>23.06</v>
      </c>
      <c r="AM186">
        <v>10.14</v>
      </c>
      <c r="AN186">
        <v>69.94</v>
      </c>
      <c r="AO186" s="1">
        <f t="shared" si="8"/>
        <v>548.1400000000001</v>
      </c>
    </row>
    <row r="187" spans="1:41" x14ac:dyDescent="0.25">
      <c r="A187" t="s">
        <v>230</v>
      </c>
      <c r="B187" s="2">
        <v>5620.4061154846904</v>
      </c>
      <c r="C187" s="2">
        <v>1936.44864398236</v>
      </c>
      <c r="D187" s="2">
        <v>0</v>
      </c>
      <c r="E187" s="2">
        <v>0</v>
      </c>
      <c r="F187" s="2">
        <v>3359.4493892733899</v>
      </c>
      <c r="G187" s="2">
        <v>2745.8444715738601</v>
      </c>
      <c r="H187" s="2">
        <v>648.07817602432704</v>
      </c>
      <c r="I187" s="2">
        <v>5731.1051143426703</v>
      </c>
      <c r="J187" s="2">
        <v>4008.9388033640898</v>
      </c>
      <c r="K187" s="2">
        <v>1861.60866715065</v>
      </c>
      <c r="L187" s="2">
        <v>4749.7943338902596</v>
      </c>
      <c r="M187" s="2">
        <v>457.60044841598102</v>
      </c>
      <c r="N187" s="3">
        <f t="shared" si="6"/>
        <v>31119.274163502279</v>
      </c>
      <c r="O187" s="2">
        <v>1.17436734259311</v>
      </c>
      <c r="P187" s="2">
        <v>2.14840967229931</v>
      </c>
      <c r="Q187" s="2">
        <v>3.3048758457471301</v>
      </c>
      <c r="R187" s="2">
        <v>2.6424787806274099</v>
      </c>
      <c r="S187" s="2">
        <v>0</v>
      </c>
      <c r="T187" s="2">
        <v>1.6479040990057401</v>
      </c>
      <c r="U187" s="2">
        <v>0.428692966124127</v>
      </c>
      <c r="V187" s="2">
        <v>0.182238172842387</v>
      </c>
      <c r="W187" s="2">
        <v>6.5294715596701502</v>
      </c>
      <c r="X187" s="2">
        <v>1.8504361466241901</v>
      </c>
      <c r="Y187" s="2">
        <v>0</v>
      </c>
      <c r="Z187" s="2">
        <v>1.8998833361920999</v>
      </c>
      <c r="AA187" s="3">
        <f t="shared" si="7"/>
        <v>21.808757921725654</v>
      </c>
      <c r="AB187" t="s">
        <v>63</v>
      </c>
      <c r="AC187">
        <v>112.6</v>
      </c>
      <c r="AD187">
        <v>39.01</v>
      </c>
      <c r="AE187">
        <v>0.36</v>
      </c>
      <c r="AF187">
        <v>0.27</v>
      </c>
      <c r="AG187">
        <v>67.2</v>
      </c>
      <c r="AH187">
        <v>55.1</v>
      </c>
      <c r="AI187">
        <v>13.07</v>
      </c>
      <c r="AJ187">
        <v>114.73</v>
      </c>
      <c r="AK187">
        <v>80.81</v>
      </c>
      <c r="AL187">
        <v>37.42</v>
      </c>
      <c r="AM187">
        <v>95</v>
      </c>
      <c r="AN187">
        <v>9.34</v>
      </c>
      <c r="AO187" s="1">
        <f t="shared" si="8"/>
        <v>624.91000000000008</v>
      </c>
    </row>
    <row r="188" spans="1:41" x14ac:dyDescent="0.25">
      <c r="A188" t="s">
        <v>231</v>
      </c>
      <c r="B188" s="2">
        <v>5603.4510502945705</v>
      </c>
      <c r="C188" s="2">
        <v>2403.95374434005</v>
      </c>
      <c r="D188" s="2">
        <v>627.98685597159397</v>
      </c>
      <c r="E188" s="2">
        <v>4596.1227105857897</v>
      </c>
      <c r="F188" s="2">
        <v>890.87368561153698</v>
      </c>
      <c r="G188" s="2">
        <v>532.56256714357801</v>
      </c>
      <c r="H188" s="2">
        <v>4407.6717446265702</v>
      </c>
      <c r="I188" s="2">
        <v>0</v>
      </c>
      <c r="J188" s="2">
        <v>12563.6100887759</v>
      </c>
      <c r="K188" s="2">
        <v>4040.4250063066102</v>
      </c>
      <c r="L188" s="2">
        <v>15673.153911917099</v>
      </c>
      <c r="M188" s="2">
        <v>2392.5638732562602</v>
      </c>
      <c r="N188" s="3">
        <f t="shared" si="6"/>
        <v>53732.375238829554</v>
      </c>
      <c r="O188" s="2">
        <v>1.0169931928564599</v>
      </c>
      <c r="P188" s="2">
        <v>2.5087968835493899</v>
      </c>
      <c r="Q188" s="2">
        <v>8.1537005434114107</v>
      </c>
      <c r="R188" s="2">
        <v>1.45747498701797</v>
      </c>
      <c r="S188" s="2">
        <v>6.2352951490005797</v>
      </c>
      <c r="T188" s="2">
        <v>1.12954471049475</v>
      </c>
      <c r="U188" s="2">
        <v>3.9294275597486701</v>
      </c>
      <c r="V188" s="2">
        <v>2.18019793902298</v>
      </c>
      <c r="W188" s="2">
        <v>6.89031453290833</v>
      </c>
      <c r="X188" s="2">
        <v>0.24162431901220699</v>
      </c>
      <c r="Y188" s="2">
        <v>5.1096771144278499</v>
      </c>
      <c r="Z188" s="2">
        <v>2.57616997841652</v>
      </c>
      <c r="AA188" s="3">
        <f t="shared" si="7"/>
        <v>41.429216909867115</v>
      </c>
      <c r="AB188" t="s">
        <v>45</v>
      </c>
      <c r="AC188">
        <v>66.13</v>
      </c>
      <c r="AD188">
        <v>34.18</v>
      </c>
      <c r="AE188">
        <v>16.72</v>
      </c>
      <c r="AF188">
        <v>56.06</v>
      </c>
      <c r="AG188">
        <v>19.25</v>
      </c>
      <c r="AH188">
        <v>15.42</v>
      </c>
      <c r="AI188">
        <v>54.27</v>
      </c>
      <c r="AJ188">
        <v>10.14</v>
      </c>
      <c r="AK188">
        <v>135.97999999999999</v>
      </c>
      <c r="AL188">
        <v>50.45</v>
      </c>
      <c r="AM188">
        <v>167.03</v>
      </c>
      <c r="AN188">
        <v>34.07</v>
      </c>
      <c r="AO188" s="1">
        <f t="shared" si="8"/>
        <v>659.7</v>
      </c>
    </row>
    <row r="189" spans="1:41" x14ac:dyDescent="0.25">
      <c r="A189" t="s">
        <v>232</v>
      </c>
      <c r="B189" s="2">
        <v>5603.2767475109104</v>
      </c>
      <c r="C189" s="2">
        <v>1144.06043948002</v>
      </c>
      <c r="D189" s="2">
        <v>490.37190432211901</v>
      </c>
      <c r="E189" s="2">
        <v>2455.7068025368399</v>
      </c>
      <c r="F189" s="2">
        <v>5804.0458229392398</v>
      </c>
      <c r="G189" s="2">
        <v>558.95641986569797</v>
      </c>
      <c r="H189" s="2">
        <v>1573.46866375382</v>
      </c>
      <c r="I189" s="2">
        <v>8287.7321494604494</v>
      </c>
      <c r="J189" s="2">
        <v>11055.5242507003</v>
      </c>
      <c r="K189" s="2">
        <v>2084.0471886171399</v>
      </c>
      <c r="L189" s="2">
        <v>138.36651162783099</v>
      </c>
      <c r="M189" s="2">
        <v>278.78187118708797</v>
      </c>
      <c r="N189" s="3">
        <f t="shared" si="6"/>
        <v>39474.338772001451</v>
      </c>
      <c r="O189" s="2">
        <v>6.8897086872756201</v>
      </c>
      <c r="P189" s="2">
        <v>3.5192081134523798</v>
      </c>
      <c r="Q189" s="2">
        <v>2.3123784731724402</v>
      </c>
      <c r="R189" s="2">
        <v>2.7155159804562401</v>
      </c>
      <c r="S189" s="2">
        <v>1.1926866410576999</v>
      </c>
      <c r="T189" s="2">
        <v>4.1157391642613899</v>
      </c>
      <c r="U189" s="2">
        <v>0</v>
      </c>
      <c r="V189" s="2">
        <v>0</v>
      </c>
      <c r="W189" s="2">
        <v>8.31140983198787</v>
      </c>
      <c r="X189" s="2">
        <v>0</v>
      </c>
      <c r="Y189" s="2">
        <v>0.475555142090415</v>
      </c>
      <c r="Z189" s="2">
        <v>4.0482464798469904</v>
      </c>
      <c r="AA189" s="3">
        <f t="shared" si="7"/>
        <v>33.580448513601048</v>
      </c>
      <c r="AB189" t="s">
        <v>45</v>
      </c>
      <c r="AC189">
        <v>66.38</v>
      </c>
      <c r="AD189">
        <v>21.64</v>
      </c>
      <c r="AE189">
        <v>15.05</v>
      </c>
      <c r="AF189">
        <v>34.700000000000003</v>
      </c>
      <c r="AG189">
        <v>68.14</v>
      </c>
      <c r="AH189">
        <v>15.83</v>
      </c>
      <c r="AI189">
        <v>25.73</v>
      </c>
      <c r="AJ189">
        <v>92.87</v>
      </c>
      <c r="AK189">
        <v>121</v>
      </c>
      <c r="AL189">
        <v>30.84</v>
      </c>
      <c r="AM189">
        <v>11.43</v>
      </c>
      <c r="AN189">
        <v>13.03</v>
      </c>
      <c r="AO189" s="1">
        <f t="shared" si="8"/>
        <v>516.64</v>
      </c>
    </row>
    <row r="190" spans="1:41" x14ac:dyDescent="0.25">
      <c r="A190" t="s">
        <v>233</v>
      </c>
      <c r="B190" s="2">
        <v>5568.1960552145301</v>
      </c>
      <c r="C190" s="2">
        <v>4724.3925841636801</v>
      </c>
      <c r="D190" s="2">
        <v>2670.4691996813599</v>
      </c>
      <c r="E190" s="2">
        <v>13028.205710029</v>
      </c>
      <c r="F190" s="2">
        <v>730.224131687576</v>
      </c>
      <c r="G190" s="2">
        <v>0</v>
      </c>
      <c r="H190" s="2">
        <v>567.29704645993399</v>
      </c>
      <c r="I190" s="2">
        <v>1102.6809547422299</v>
      </c>
      <c r="J190" s="2">
        <v>4465.8637931401299</v>
      </c>
      <c r="K190" s="2">
        <v>1018.02885026029</v>
      </c>
      <c r="L190" s="2">
        <v>1349.3601555313401</v>
      </c>
      <c r="M190" s="2">
        <v>475.30860062321199</v>
      </c>
      <c r="N190" s="3">
        <f t="shared" si="6"/>
        <v>35700.027081533291</v>
      </c>
      <c r="O190" s="2">
        <v>5.7780695935635604</v>
      </c>
      <c r="P190" s="2">
        <v>3.6603654426833101</v>
      </c>
      <c r="Q190" s="2">
        <v>0</v>
      </c>
      <c r="R190" s="2">
        <v>5.1236901488773103</v>
      </c>
      <c r="S190" s="2">
        <v>2.52200503228728</v>
      </c>
      <c r="T190" s="2">
        <v>0</v>
      </c>
      <c r="U190" s="2">
        <v>2.9275950873932501</v>
      </c>
      <c r="V190" s="2">
        <v>4.3893015685864798</v>
      </c>
      <c r="W190" s="2">
        <v>1.71579717137159</v>
      </c>
      <c r="X190" s="2">
        <v>1.72036222229686</v>
      </c>
      <c r="Y190" s="2">
        <v>1.1228832273665399</v>
      </c>
      <c r="Z190" s="2">
        <v>5.1803606786379399</v>
      </c>
      <c r="AA190" s="3">
        <f t="shared" si="7"/>
        <v>34.140430173064118</v>
      </c>
      <c r="AB190" t="s">
        <v>63</v>
      </c>
      <c r="AC190">
        <v>111.92</v>
      </c>
      <c r="AD190">
        <v>94.86</v>
      </c>
      <c r="AE190">
        <v>53.42</v>
      </c>
      <c r="AF190">
        <v>261.12</v>
      </c>
      <c r="AG190">
        <v>14.89</v>
      </c>
      <c r="AH190">
        <v>0</v>
      </c>
      <c r="AI190">
        <v>11.63</v>
      </c>
      <c r="AJ190">
        <v>22.51</v>
      </c>
      <c r="AK190">
        <v>89.5</v>
      </c>
      <c r="AL190">
        <v>20.56</v>
      </c>
      <c r="AM190">
        <v>27.18</v>
      </c>
      <c r="AN190">
        <v>10.06</v>
      </c>
      <c r="AO190" s="1">
        <f t="shared" si="8"/>
        <v>717.64999999999975</v>
      </c>
    </row>
    <row r="191" spans="1:41" x14ac:dyDescent="0.25">
      <c r="A191" t="s">
        <v>234</v>
      </c>
      <c r="B191" s="2">
        <v>5494.6211996421098</v>
      </c>
      <c r="C191" s="2">
        <v>2585.6486001348399</v>
      </c>
      <c r="D191" s="2">
        <v>717.37663315693396</v>
      </c>
      <c r="E191" s="2">
        <v>7548.2311549727201</v>
      </c>
      <c r="F191" s="2">
        <v>128.685482931416</v>
      </c>
      <c r="G191" s="2">
        <v>1016.97155051523</v>
      </c>
      <c r="H191" s="2">
        <v>410.78999935295002</v>
      </c>
      <c r="I191" s="2">
        <v>19556.5498285129</v>
      </c>
      <c r="J191" s="2">
        <v>1159.3131986329699</v>
      </c>
      <c r="K191" s="2">
        <v>3203.03046045576</v>
      </c>
      <c r="L191" s="2">
        <v>5273.6956083409696</v>
      </c>
      <c r="M191" s="2">
        <v>3685.3805423024</v>
      </c>
      <c r="N191" s="3">
        <f t="shared" si="6"/>
        <v>50780.294258951202</v>
      </c>
      <c r="O191" s="2">
        <v>7.1099740789649798E-2</v>
      </c>
      <c r="P191" s="2">
        <v>2.5328434360282301</v>
      </c>
      <c r="Q191" s="2">
        <v>0</v>
      </c>
      <c r="R191" s="2">
        <v>4.1495275853343498</v>
      </c>
      <c r="S191" s="2">
        <v>4.6155855572178499</v>
      </c>
      <c r="T191" s="2">
        <v>0</v>
      </c>
      <c r="U191" s="2">
        <v>7.2450404987042702</v>
      </c>
      <c r="V191" s="2">
        <v>0.72404865057776002</v>
      </c>
      <c r="W191" s="2">
        <v>2.7326475394350398</v>
      </c>
      <c r="X191" s="2">
        <v>4.3668341611921804</v>
      </c>
      <c r="Y191" s="2">
        <v>0.59309884848552097</v>
      </c>
      <c r="Z191" s="2">
        <v>2.8274192919283099</v>
      </c>
      <c r="AA191" s="3">
        <f t="shared" si="7"/>
        <v>29.858145309693164</v>
      </c>
      <c r="AB191" t="s">
        <v>45</v>
      </c>
      <c r="AC191">
        <v>64.989999999999995</v>
      </c>
      <c r="AD191">
        <v>36</v>
      </c>
      <c r="AE191">
        <v>17.170000000000002</v>
      </c>
      <c r="AF191">
        <v>85.73</v>
      </c>
      <c r="AG191">
        <v>11.53</v>
      </c>
      <c r="AH191">
        <v>20.16</v>
      </c>
      <c r="AI191">
        <v>14.5</v>
      </c>
      <c r="AJ191">
        <v>205.61</v>
      </c>
      <c r="AK191">
        <v>21.74</v>
      </c>
      <c r="AL191">
        <v>42.28</v>
      </c>
      <c r="AM191">
        <v>62.78</v>
      </c>
      <c r="AN191">
        <v>47</v>
      </c>
      <c r="AO191" s="1">
        <f t="shared" si="8"/>
        <v>629.49</v>
      </c>
    </row>
    <row r="192" spans="1:41" x14ac:dyDescent="0.25">
      <c r="A192" t="s">
        <v>235</v>
      </c>
      <c r="B192" s="2">
        <v>5490.8006787936702</v>
      </c>
      <c r="C192" s="2">
        <v>5186.0350693273103</v>
      </c>
      <c r="D192" s="2">
        <v>6265.1741282369903</v>
      </c>
      <c r="E192" s="2">
        <v>664.02141190085604</v>
      </c>
      <c r="F192" s="2">
        <v>3196.6452234274698</v>
      </c>
      <c r="G192" s="2">
        <v>1878.04761860336</v>
      </c>
      <c r="H192" s="2">
        <v>5186.1190843875202</v>
      </c>
      <c r="I192" s="2">
        <v>11524.5760337512</v>
      </c>
      <c r="J192" s="2">
        <v>9118.8521489451796</v>
      </c>
      <c r="K192" s="2">
        <v>1044.15099248822</v>
      </c>
      <c r="L192" s="2">
        <v>1922.3426088168601</v>
      </c>
      <c r="M192" s="2">
        <v>2021.4540775764001</v>
      </c>
      <c r="N192" s="3">
        <f t="shared" si="6"/>
        <v>53498.219076255038</v>
      </c>
      <c r="O192" s="2">
        <v>0</v>
      </c>
      <c r="P192" s="2">
        <v>4.1725555680840802</v>
      </c>
      <c r="Q192" s="2">
        <v>1.9226230679096801</v>
      </c>
      <c r="R192" s="2">
        <v>5.6106658750470704</v>
      </c>
      <c r="S192" s="2">
        <v>2.1377369049191599</v>
      </c>
      <c r="T192" s="2">
        <v>24.641690466826599</v>
      </c>
      <c r="U192" s="2">
        <v>1.40196354035933</v>
      </c>
      <c r="V192" s="2">
        <v>0</v>
      </c>
      <c r="W192" s="2">
        <v>11.4406531558488</v>
      </c>
      <c r="X192" s="2">
        <v>0.43997779029436201</v>
      </c>
      <c r="Y192" s="2">
        <v>5.3102421251560896</v>
      </c>
      <c r="Z192" s="2">
        <v>6.4980573565440896</v>
      </c>
      <c r="AA192" s="3">
        <f t="shared" si="7"/>
        <v>63.576165850989263</v>
      </c>
      <c r="AB192" t="s">
        <v>45</v>
      </c>
      <c r="AC192">
        <v>64.900000000000006</v>
      </c>
      <c r="AD192">
        <v>62.11</v>
      </c>
      <c r="AE192">
        <v>72.75</v>
      </c>
      <c r="AF192">
        <v>16.940000000000001</v>
      </c>
      <c r="AG192">
        <v>42.11</v>
      </c>
      <c r="AH192">
        <v>30.03</v>
      </c>
      <c r="AI192">
        <v>61.96</v>
      </c>
      <c r="AJ192">
        <v>125.24</v>
      </c>
      <c r="AK192">
        <v>101.78</v>
      </c>
      <c r="AL192">
        <v>20.49</v>
      </c>
      <c r="AM192">
        <v>29.52</v>
      </c>
      <c r="AN192">
        <v>30.56</v>
      </c>
      <c r="AO192" s="1">
        <f t="shared" si="8"/>
        <v>658.39</v>
      </c>
    </row>
    <row r="193" spans="1:41" x14ac:dyDescent="0.25">
      <c r="A193" t="s">
        <v>236</v>
      </c>
      <c r="B193" s="2">
        <v>5478.5019974429897</v>
      </c>
      <c r="C193" s="2">
        <v>1139.4190702037199</v>
      </c>
      <c r="D193" s="2">
        <v>1315.2897321321</v>
      </c>
      <c r="E193" s="2">
        <v>4055.06958967949</v>
      </c>
      <c r="F193" s="2">
        <v>2950.83163885462</v>
      </c>
      <c r="G193" s="2">
        <v>0</v>
      </c>
      <c r="H193" s="2">
        <v>1031.20699222128</v>
      </c>
      <c r="I193" s="2">
        <v>5367.9124885586398</v>
      </c>
      <c r="J193" s="2">
        <v>0</v>
      </c>
      <c r="K193" s="2">
        <v>956.900023473852</v>
      </c>
      <c r="L193" s="2">
        <v>6715.4484218777498</v>
      </c>
      <c r="M193" s="2">
        <v>3495.5400708022198</v>
      </c>
      <c r="N193" s="3">
        <f t="shared" si="6"/>
        <v>32506.120025246662</v>
      </c>
      <c r="O193" s="2">
        <v>0</v>
      </c>
      <c r="P193" s="2">
        <v>17.353501796163599</v>
      </c>
      <c r="Q193" s="2">
        <v>4.0499991803129696</v>
      </c>
      <c r="R193" s="2">
        <v>6.3366107459596597</v>
      </c>
      <c r="S193" s="2">
        <v>1.4892599469171199</v>
      </c>
      <c r="T193" s="2">
        <v>2.0299162504250301</v>
      </c>
      <c r="U193" s="2">
        <v>5.7561494124027801</v>
      </c>
      <c r="V193" s="2">
        <v>1.5131350642310299</v>
      </c>
      <c r="W193" s="2">
        <v>5.3395363051846303</v>
      </c>
      <c r="X193" s="2">
        <v>0</v>
      </c>
      <c r="Y193" s="2">
        <v>4.6041128790496204</v>
      </c>
      <c r="Z193" s="2">
        <v>1.3306656602671101</v>
      </c>
      <c r="AA193" s="3">
        <f t="shared" si="7"/>
        <v>49.802887240913549</v>
      </c>
      <c r="AB193" t="s">
        <v>63</v>
      </c>
      <c r="AC193">
        <v>109.58</v>
      </c>
      <c r="AD193">
        <v>24.42</v>
      </c>
      <c r="AE193">
        <v>26.77</v>
      </c>
      <c r="AF193">
        <v>81.75</v>
      </c>
      <c r="AG193">
        <v>59.2</v>
      </c>
      <c r="AH193">
        <v>0.27</v>
      </c>
      <c r="AI193">
        <v>21.18</v>
      </c>
      <c r="AJ193">
        <v>107.54</v>
      </c>
      <c r="AK193">
        <v>0.54</v>
      </c>
      <c r="AL193">
        <v>19.14</v>
      </c>
      <c r="AM193">
        <v>134.77000000000001</v>
      </c>
      <c r="AN193">
        <v>70.099999999999994</v>
      </c>
      <c r="AO193" s="1">
        <f t="shared" si="8"/>
        <v>655.2600000000001</v>
      </c>
    </row>
    <row r="194" spans="1:41" x14ac:dyDescent="0.25">
      <c r="A194" t="s">
        <v>237</v>
      </c>
      <c r="B194" s="2">
        <v>5430.7301946847101</v>
      </c>
      <c r="C194" s="2">
        <v>1536.6906230562799</v>
      </c>
      <c r="D194" s="2">
        <v>2658.7741228832801</v>
      </c>
      <c r="E194" s="2">
        <v>0</v>
      </c>
      <c r="F194" s="2">
        <v>3522.8808771008999</v>
      </c>
      <c r="G194" s="2">
        <v>4272.2837816912497</v>
      </c>
      <c r="H194" s="2">
        <v>6209.1746613038904</v>
      </c>
      <c r="I194" s="2">
        <v>89.383116785171097</v>
      </c>
      <c r="J194" s="2">
        <v>3639.9740283330998</v>
      </c>
      <c r="K194" s="2">
        <v>601.58107959361996</v>
      </c>
      <c r="L194" s="2">
        <v>10164.101065200901</v>
      </c>
      <c r="M194" s="2">
        <v>4259.4287227144196</v>
      </c>
      <c r="N194" s="3">
        <f t="shared" si="6"/>
        <v>42385.00227334752</v>
      </c>
      <c r="O194" s="2">
        <v>3.7308713400487199</v>
      </c>
      <c r="P194" s="2">
        <v>3.4919295074990799</v>
      </c>
      <c r="Q194" s="2">
        <v>0.97666640455166298</v>
      </c>
      <c r="R194" s="2">
        <v>0.56715285869088505</v>
      </c>
      <c r="S194" s="2">
        <v>1.30776698045449</v>
      </c>
      <c r="T194" s="2">
        <v>4.6290581765171304</v>
      </c>
      <c r="U194" s="2">
        <v>4.06988729849291</v>
      </c>
      <c r="V194" s="2">
        <v>6.3576432057303203</v>
      </c>
      <c r="W194" s="2">
        <v>0</v>
      </c>
      <c r="X194" s="2">
        <v>3.1971862878947701</v>
      </c>
      <c r="Y194" s="2">
        <v>2.32723173144048</v>
      </c>
      <c r="Z194" s="2">
        <v>0.17229226234737499</v>
      </c>
      <c r="AA194" s="3">
        <f t="shared" si="7"/>
        <v>30.827686053667826</v>
      </c>
      <c r="AB194" t="s">
        <v>45</v>
      </c>
      <c r="AC194">
        <v>64.5</v>
      </c>
      <c r="AD194">
        <v>25.56</v>
      </c>
      <c r="AE194">
        <v>36.630000000000003</v>
      </c>
      <c r="AF194">
        <v>10.039999999999999</v>
      </c>
      <c r="AG194">
        <v>45.32</v>
      </c>
      <c r="AH194">
        <v>52.97</v>
      </c>
      <c r="AI194">
        <v>72.34</v>
      </c>
      <c r="AJ194">
        <v>11.24</v>
      </c>
      <c r="AK194">
        <v>46.39</v>
      </c>
      <c r="AL194">
        <v>16.21</v>
      </c>
      <c r="AM194">
        <v>111.79</v>
      </c>
      <c r="AN194">
        <v>52.64</v>
      </c>
      <c r="AO194" s="1">
        <f t="shared" si="8"/>
        <v>545.63</v>
      </c>
    </row>
    <row r="195" spans="1:41" x14ac:dyDescent="0.25">
      <c r="A195" t="s">
        <v>238</v>
      </c>
      <c r="B195" s="2">
        <v>5428.1964781389997</v>
      </c>
      <c r="C195" s="2">
        <v>7390.8659220539002</v>
      </c>
      <c r="D195" s="2">
        <v>80.353855795884002</v>
      </c>
      <c r="E195" s="2">
        <v>79.220762875687299</v>
      </c>
      <c r="F195" s="2">
        <v>6684.2914016741897</v>
      </c>
      <c r="G195" s="2">
        <v>4304.4888630944197</v>
      </c>
      <c r="H195" s="2">
        <v>5942.9600976701204</v>
      </c>
      <c r="I195" s="2">
        <v>16676.961886354198</v>
      </c>
      <c r="J195" s="2">
        <v>6981.64242518626</v>
      </c>
      <c r="K195" s="2">
        <v>3463.48748451444</v>
      </c>
      <c r="L195" s="2">
        <v>1137.81943599788</v>
      </c>
      <c r="M195" s="2">
        <v>2645.87211474266</v>
      </c>
      <c r="N195" s="3">
        <f t="shared" ref="N195:N258" si="9">SUM(B195:M195)</f>
        <v>60816.160728098643</v>
      </c>
      <c r="O195" s="2">
        <v>2.1630128660943302</v>
      </c>
      <c r="P195" s="2">
        <v>1.8692968222624999</v>
      </c>
      <c r="Q195" s="2">
        <v>0.45712960720305401</v>
      </c>
      <c r="R195" s="2">
        <v>2.9577036030294899</v>
      </c>
      <c r="S195" s="2">
        <v>2.43751571357171</v>
      </c>
      <c r="T195" s="2">
        <v>6.5443351204917901</v>
      </c>
      <c r="U195" s="2">
        <v>15.1032429606294</v>
      </c>
      <c r="V195" s="2">
        <v>3.1116617391900601</v>
      </c>
      <c r="W195" s="2">
        <v>1.2812557989367099</v>
      </c>
      <c r="X195" s="2">
        <v>7.0938141131148704</v>
      </c>
      <c r="Y195" s="2">
        <v>1.2249135600484999</v>
      </c>
      <c r="Z195" s="2">
        <v>4.7822571030852501</v>
      </c>
      <c r="AA195" s="3">
        <f t="shared" si="7"/>
        <v>49.026139007657662</v>
      </c>
      <c r="AB195" t="s">
        <v>45</v>
      </c>
      <c r="AC195">
        <v>64.430000000000007</v>
      </c>
      <c r="AD195">
        <v>84</v>
      </c>
      <c r="AE195">
        <v>10.85</v>
      </c>
      <c r="AF195">
        <v>10.94</v>
      </c>
      <c r="AG195">
        <v>76.989999999999995</v>
      </c>
      <c r="AH195">
        <v>53.39</v>
      </c>
      <c r="AI195">
        <v>70.22</v>
      </c>
      <c r="AJ195">
        <v>176.96</v>
      </c>
      <c r="AK195">
        <v>79.91</v>
      </c>
      <c r="AL195">
        <v>45.03</v>
      </c>
      <c r="AM195">
        <v>21.47</v>
      </c>
      <c r="AN195">
        <v>36.700000000000003</v>
      </c>
      <c r="AO195" s="1">
        <f t="shared" si="8"/>
        <v>730.89</v>
      </c>
    </row>
    <row r="196" spans="1:41" x14ac:dyDescent="0.25">
      <c r="A196" t="s">
        <v>239</v>
      </c>
      <c r="B196" s="2">
        <v>5427.5891545409104</v>
      </c>
      <c r="C196" s="2">
        <v>9228.9182823319898</v>
      </c>
      <c r="D196" s="2">
        <v>5377.7452463293102</v>
      </c>
      <c r="E196" s="2">
        <v>971.67889635576398</v>
      </c>
      <c r="F196" s="2">
        <v>3541.4438200992099</v>
      </c>
      <c r="G196" s="2">
        <v>0</v>
      </c>
      <c r="H196" s="2">
        <v>1394.2942771293101</v>
      </c>
      <c r="I196" s="2">
        <v>4226.2627695984402</v>
      </c>
      <c r="J196" s="2">
        <v>7390.1777289126703</v>
      </c>
      <c r="K196" s="2">
        <v>0</v>
      </c>
      <c r="L196" s="2">
        <v>0</v>
      </c>
      <c r="M196" s="2">
        <v>3155.1028479776101</v>
      </c>
      <c r="N196" s="3">
        <f t="shared" si="9"/>
        <v>40713.21302327521</v>
      </c>
      <c r="O196" s="2">
        <v>0.44021860519971701</v>
      </c>
      <c r="P196" s="2">
        <v>2.4044248242294399</v>
      </c>
      <c r="Q196" s="2">
        <v>1.47674126722944</v>
      </c>
      <c r="R196" s="2">
        <v>2.42858661201682</v>
      </c>
      <c r="S196" s="2">
        <v>0.13993921991323599</v>
      </c>
      <c r="T196" s="2">
        <v>1.4285627599103901</v>
      </c>
      <c r="U196" s="2">
        <v>1.22282027419452</v>
      </c>
      <c r="V196" s="2">
        <v>20.2620854353979</v>
      </c>
      <c r="W196" s="2">
        <v>20.488503509729298</v>
      </c>
      <c r="X196" s="2">
        <v>1.2400303296375399</v>
      </c>
      <c r="Y196" s="2">
        <v>5.4440101353913697</v>
      </c>
      <c r="Z196" s="2">
        <v>0</v>
      </c>
      <c r="AA196" s="3">
        <f t="shared" ref="AA196:AA259" si="10">SUM(O196:Z196)</f>
        <v>56.975922972849673</v>
      </c>
      <c r="AB196" t="s">
        <v>45</v>
      </c>
      <c r="AC196">
        <v>64.319999999999993</v>
      </c>
      <c r="AD196">
        <v>102.43</v>
      </c>
      <c r="AE196">
        <v>63.87</v>
      </c>
      <c r="AF196">
        <v>19.86</v>
      </c>
      <c r="AG196">
        <v>45.46</v>
      </c>
      <c r="AH196">
        <v>10.09</v>
      </c>
      <c r="AI196">
        <v>24.04</v>
      </c>
      <c r="AJ196">
        <v>53.31</v>
      </c>
      <c r="AK196">
        <v>84.95</v>
      </c>
      <c r="AL196">
        <v>10.09</v>
      </c>
      <c r="AM196">
        <v>10.29</v>
      </c>
      <c r="AN196">
        <v>41.55</v>
      </c>
      <c r="AO196" s="1">
        <f t="shared" si="8"/>
        <v>530.26</v>
      </c>
    </row>
    <row r="197" spans="1:41" x14ac:dyDescent="0.25">
      <c r="A197" t="s">
        <v>240</v>
      </c>
      <c r="B197" s="2">
        <v>5390.6973445919602</v>
      </c>
      <c r="C197" s="2">
        <v>4549.5864248519802</v>
      </c>
      <c r="D197" s="2">
        <v>2383.1676972680498</v>
      </c>
      <c r="E197" s="2">
        <v>8054.9991428679696</v>
      </c>
      <c r="F197" s="2">
        <v>1319.9997687876</v>
      </c>
      <c r="G197" s="2">
        <v>1600.3408244402201</v>
      </c>
      <c r="H197" s="2">
        <v>1893.9078464911699</v>
      </c>
      <c r="I197" s="2">
        <v>0</v>
      </c>
      <c r="J197" s="2">
        <v>1171.19013655395</v>
      </c>
      <c r="K197" s="2">
        <v>0</v>
      </c>
      <c r="L197" s="2">
        <v>10874.527388180501</v>
      </c>
      <c r="M197" s="2">
        <v>8996.5852965103095</v>
      </c>
      <c r="N197" s="3">
        <f t="shared" si="9"/>
        <v>46235.001870543711</v>
      </c>
      <c r="O197" s="2">
        <v>4.9694084992019603</v>
      </c>
      <c r="P197" s="2">
        <v>3.7660576401519799</v>
      </c>
      <c r="Q197" s="2">
        <v>11.006905500178</v>
      </c>
      <c r="R197" s="2">
        <v>6.1244509956503501</v>
      </c>
      <c r="S197" s="2">
        <v>1.9706462848878401</v>
      </c>
      <c r="T197" s="2">
        <v>4.4045623338888298</v>
      </c>
      <c r="U197" s="2">
        <v>9.2976207692182095E-2</v>
      </c>
      <c r="V197" s="2">
        <v>1.9946453990434101</v>
      </c>
      <c r="W197" s="2">
        <v>1.75446987609987</v>
      </c>
      <c r="X197" s="2">
        <v>0</v>
      </c>
      <c r="Y197" s="2">
        <v>0.90636819776278899</v>
      </c>
      <c r="Z197" s="2">
        <v>0</v>
      </c>
      <c r="AA197" s="3">
        <f t="shared" si="10"/>
        <v>36.990490934557208</v>
      </c>
      <c r="AB197" t="s">
        <v>63</v>
      </c>
      <c r="AC197">
        <v>108.27</v>
      </c>
      <c r="AD197">
        <v>91.36</v>
      </c>
      <c r="AE197">
        <v>48.76</v>
      </c>
      <c r="AF197">
        <v>161.72999999999999</v>
      </c>
      <c r="AG197">
        <v>26.58</v>
      </c>
      <c r="AH197">
        <v>32.47</v>
      </c>
      <c r="AI197">
        <v>37.97</v>
      </c>
      <c r="AJ197">
        <v>0.18</v>
      </c>
      <c r="AK197">
        <v>23.62</v>
      </c>
      <c r="AL197">
        <v>0</v>
      </c>
      <c r="AM197">
        <v>217.59</v>
      </c>
      <c r="AN197">
        <v>179.94</v>
      </c>
      <c r="AO197" s="1">
        <f t="shared" ref="AO197:AO260" si="11">SUM(AC197:AN197)</f>
        <v>928.47</v>
      </c>
    </row>
    <row r="198" spans="1:41" x14ac:dyDescent="0.25">
      <c r="A198" t="s">
        <v>241</v>
      </c>
      <c r="B198" s="2">
        <v>5364.5165361899999</v>
      </c>
      <c r="C198" s="2">
        <v>4853.0730933528403</v>
      </c>
      <c r="D198" s="2">
        <v>3441.1853945371899</v>
      </c>
      <c r="E198" s="2">
        <v>900.31540470937398</v>
      </c>
      <c r="F198" s="2">
        <v>1385.3425947957201</v>
      </c>
      <c r="G198" s="2">
        <v>4213.89834077462</v>
      </c>
      <c r="H198" s="2">
        <v>1491.13860402871</v>
      </c>
      <c r="I198" s="2">
        <v>4371.2190297472698</v>
      </c>
      <c r="J198" s="2">
        <v>1574.8553427566901</v>
      </c>
      <c r="K198" s="2">
        <v>994.99453101065797</v>
      </c>
      <c r="L198" s="2">
        <v>1571.99075265786</v>
      </c>
      <c r="M198" s="2">
        <v>10056.1743974091</v>
      </c>
      <c r="N198" s="3">
        <f t="shared" si="9"/>
        <v>40218.704021970036</v>
      </c>
      <c r="O198" s="2">
        <v>0.28044468119962801</v>
      </c>
      <c r="P198" s="2">
        <v>9.5360045249610206</v>
      </c>
      <c r="Q198" s="2">
        <v>6.9307164758969497</v>
      </c>
      <c r="R198" s="2">
        <v>3.6356825404778998</v>
      </c>
      <c r="S198" s="2">
        <v>4.1458797536105703</v>
      </c>
      <c r="T198" s="2">
        <v>2.2004502063055198</v>
      </c>
      <c r="U198" s="2">
        <v>14.6078280242353</v>
      </c>
      <c r="V198" s="2">
        <v>14.827369202334101</v>
      </c>
      <c r="W198" s="2">
        <v>1.5607293735972201</v>
      </c>
      <c r="X198" s="2">
        <v>7.0597049801490996</v>
      </c>
      <c r="Y198" s="2">
        <v>1.5640218752066299</v>
      </c>
      <c r="Z198" s="2">
        <v>2.0569150267221801</v>
      </c>
      <c r="AA198" s="3">
        <f t="shared" si="10"/>
        <v>68.405746664696125</v>
      </c>
      <c r="AB198" t="s">
        <v>45</v>
      </c>
      <c r="AC198">
        <v>63.69</v>
      </c>
      <c r="AD198">
        <v>59.03</v>
      </c>
      <c r="AE198">
        <v>44.76</v>
      </c>
      <c r="AF198">
        <v>19.2</v>
      </c>
      <c r="AG198">
        <v>24.1</v>
      </c>
      <c r="AH198">
        <v>52.28</v>
      </c>
      <c r="AI198">
        <v>25.66</v>
      </c>
      <c r="AJ198">
        <v>54.46</v>
      </c>
      <c r="AK198">
        <v>25.84</v>
      </c>
      <c r="AL198">
        <v>20.34</v>
      </c>
      <c r="AM198">
        <v>25.81</v>
      </c>
      <c r="AN198">
        <v>110.71</v>
      </c>
      <c r="AO198" s="1">
        <f t="shared" si="11"/>
        <v>525.87999999999988</v>
      </c>
    </row>
    <row r="199" spans="1:41" x14ac:dyDescent="0.25">
      <c r="A199" t="s">
        <v>242</v>
      </c>
      <c r="B199" s="2">
        <v>5336.7240080070396</v>
      </c>
      <c r="C199" s="2">
        <v>6721.4438707480604</v>
      </c>
      <c r="D199" s="2">
        <v>3341.3111162311902</v>
      </c>
      <c r="E199" s="2">
        <v>560.49484390527596</v>
      </c>
      <c r="F199" s="2">
        <v>7472.8582942824996</v>
      </c>
      <c r="G199" s="2">
        <v>4671.1668545482498</v>
      </c>
      <c r="H199" s="2">
        <v>2577.2247433708499</v>
      </c>
      <c r="I199" s="2">
        <v>847.34174712797403</v>
      </c>
      <c r="J199" s="2">
        <v>3149.8861090980799</v>
      </c>
      <c r="K199" s="2">
        <v>7732.1658256795299</v>
      </c>
      <c r="L199" s="2">
        <v>783.50145497545896</v>
      </c>
      <c r="M199" s="2">
        <v>980.88315314493798</v>
      </c>
      <c r="N199" s="3">
        <f t="shared" si="9"/>
        <v>44175.002021119144</v>
      </c>
      <c r="O199" s="2">
        <v>5.62902374006089</v>
      </c>
      <c r="P199" s="2">
        <v>9.1232084573746395</v>
      </c>
      <c r="Q199" s="2">
        <v>2.2542358902321</v>
      </c>
      <c r="R199" s="2">
        <v>6.7044323537897803</v>
      </c>
      <c r="S199" s="2">
        <v>2.3430627070084702</v>
      </c>
      <c r="T199" s="2">
        <v>1.6824893128247</v>
      </c>
      <c r="U199" s="2">
        <v>1.4259602855022799</v>
      </c>
      <c r="V199" s="2">
        <v>8.5216397928299195</v>
      </c>
      <c r="W199" s="2">
        <v>0</v>
      </c>
      <c r="X199" s="2">
        <v>0</v>
      </c>
      <c r="Y199" s="2">
        <v>1.98008974058443</v>
      </c>
      <c r="Z199" s="2">
        <v>7.3748938282323904</v>
      </c>
      <c r="AA199" s="3">
        <f t="shared" si="10"/>
        <v>47.039036108439603</v>
      </c>
      <c r="AB199" t="s">
        <v>45</v>
      </c>
      <c r="AC199">
        <v>63.66</v>
      </c>
      <c r="AD199">
        <v>77.709999999999994</v>
      </c>
      <c r="AE199">
        <v>43.56</v>
      </c>
      <c r="AF199">
        <v>15.95</v>
      </c>
      <c r="AG199">
        <v>84.87</v>
      </c>
      <c r="AH199">
        <v>56.81</v>
      </c>
      <c r="AI199">
        <v>35.869999999999997</v>
      </c>
      <c r="AJ199">
        <v>18.920000000000002</v>
      </c>
      <c r="AK199">
        <v>41.49</v>
      </c>
      <c r="AL199">
        <v>87.32</v>
      </c>
      <c r="AM199">
        <v>17.93</v>
      </c>
      <c r="AN199">
        <v>20.2</v>
      </c>
      <c r="AO199" s="1">
        <f t="shared" si="11"/>
        <v>564.29000000000008</v>
      </c>
    </row>
    <row r="200" spans="1:41" x14ac:dyDescent="0.25">
      <c r="A200" t="s">
        <v>243</v>
      </c>
      <c r="B200" s="2">
        <v>5316.2605741022198</v>
      </c>
      <c r="C200" s="2">
        <v>0</v>
      </c>
      <c r="D200" s="2">
        <v>8694.3352148861304</v>
      </c>
      <c r="E200" s="2">
        <v>1702.51308961871</v>
      </c>
      <c r="F200" s="2">
        <v>8158.2159028779897</v>
      </c>
      <c r="G200" s="2">
        <v>661.06212452254204</v>
      </c>
      <c r="H200" s="2">
        <v>1331.5528655954399</v>
      </c>
      <c r="I200" s="2">
        <v>5852.7550665839599</v>
      </c>
      <c r="J200" s="2">
        <v>3215.8811353328701</v>
      </c>
      <c r="K200" s="2">
        <v>1493.27386159864</v>
      </c>
      <c r="L200" s="2">
        <v>4352.5367397377104</v>
      </c>
      <c r="M200" s="2">
        <v>3381.83387050789</v>
      </c>
      <c r="N200" s="3">
        <f t="shared" si="9"/>
        <v>44160.220445364102</v>
      </c>
      <c r="O200" s="2">
        <v>0.59691406903312105</v>
      </c>
      <c r="P200" s="2">
        <v>8.3634643143362002</v>
      </c>
      <c r="Q200" s="2">
        <v>3.2555567439619502</v>
      </c>
      <c r="R200" s="2">
        <v>4.8070504582798099</v>
      </c>
      <c r="S200" s="2">
        <v>0</v>
      </c>
      <c r="T200" s="2">
        <v>3.7856396236395899</v>
      </c>
      <c r="U200" s="2">
        <v>1.89095872375698</v>
      </c>
      <c r="V200" s="2">
        <v>0.30551028172466499</v>
      </c>
      <c r="W200" s="2">
        <v>2.12350690241303</v>
      </c>
      <c r="X200" s="2">
        <v>2.2021981398750698</v>
      </c>
      <c r="Y200" s="2">
        <v>2.6367116167012501</v>
      </c>
      <c r="Z200" s="2">
        <v>0.87548346962054602</v>
      </c>
      <c r="AA200" s="3">
        <f t="shared" si="10"/>
        <v>30.842994343342212</v>
      </c>
      <c r="AB200" t="s">
        <v>45</v>
      </c>
      <c r="AC200">
        <v>63.21</v>
      </c>
      <c r="AD200">
        <v>10.44</v>
      </c>
      <c r="AE200">
        <v>97.14</v>
      </c>
      <c r="AF200">
        <v>27.27</v>
      </c>
      <c r="AG200">
        <v>91.58</v>
      </c>
      <c r="AH200">
        <v>16.809999999999999</v>
      </c>
      <c r="AI200">
        <v>23.41</v>
      </c>
      <c r="AJ200">
        <v>68.569999999999993</v>
      </c>
      <c r="AK200">
        <v>42.3</v>
      </c>
      <c r="AL200">
        <v>25.08</v>
      </c>
      <c r="AM200">
        <v>53.67</v>
      </c>
      <c r="AN200">
        <v>43.86</v>
      </c>
      <c r="AO200" s="1">
        <f t="shared" si="11"/>
        <v>563.34</v>
      </c>
    </row>
    <row r="201" spans="1:41" x14ac:dyDescent="0.25">
      <c r="A201" t="s">
        <v>244</v>
      </c>
      <c r="B201" s="2">
        <v>5305.7541623485404</v>
      </c>
      <c r="C201" s="2">
        <v>2213.2398839000398</v>
      </c>
      <c r="D201" s="2">
        <v>18053.406273610999</v>
      </c>
      <c r="E201" s="2">
        <v>3050.5975482960198</v>
      </c>
      <c r="F201" s="2">
        <v>6430.3857769214401</v>
      </c>
      <c r="G201" s="2">
        <v>3991.6188405398102</v>
      </c>
      <c r="H201" s="2">
        <v>15975.5489468867</v>
      </c>
      <c r="I201" s="2">
        <v>5655.1901811810703</v>
      </c>
      <c r="J201" s="2">
        <v>1883.5817291762601</v>
      </c>
      <c r="K201" s="2">
        <v>1238.11477516931</v>
      </c>
      <c r="L201" s="2">
        <v>4026.87323067443</v>
      </c>
      <c r="M201" s="2">
        <v>3153.6950243526398</v>
      </c>
      <c r="N201" s="3">
        <f t="shared" si="9"/>
        <v>70978.006373057258</v>
      </c>
      <c r="O201" s="2">
        <v>2.1941407437622602</v>
      </c>
      <c r="P201" s="2">
        <v>0.83979063191828096</v>
      </c>
      <c r="Q201" s="2">
        <v>5.8284766682982898</v>
      </c>
      <c r="R201" s="2">
        <v>0.41635135558025299</v>
      </c>
      <c r="S201" s="2">
        <v>1.77503091177225</v>
      </c>
      <c r="T201" s="2">
        <v>7.4116134631385799</v>
      </c>
      <c r="U201" s="2">
        <v>5.8817521090438198</v>
      </c>
      <c r="V201" s="2">
        <v>3.3810255652477998</v>
      </c>
      <c r="W201" s="2">
        <v>5.40666828462476</v>
      </c>
      <c r="X201" s="2">
        <v>8.7920210730451398</v>
      </c>
      <c r="Y201" s="2">
        <v>4.5028384624193203</v>
      </c>
      <c r="Z201" s="2">
        <v>1.90170190853336</v>
      </c>
      <c r="AA201" s="3">
        <f t="shared" si="10"/>
        <v>48.331411177384119</v>
      </c>
      <c r="AB201" t="s">
        <v>45</v>
      </c>
      <c r="AC201">
        <v>63.2</v>
      </c>
      <c r="AD201">
        <v>32.18</v>
      </c>
      <c r="AE201">
        <v>190.83</v>
      </c>
      <c r="AF201">
        <v>40.549999999999997</v>
      </c>
      <c r="AG201">
        <v>74.400000000000006</v>
      </c>
      <c r="AH201">
        <v>50.31</v>
      </c>
      <c r="AI201">
        <v>170.05</v>
      </c>
      <c r="AJ201">
        <v>66.75</v>
      </c>
      <c r="AK201">
        <v>29.13</v>
      </c>
      <c r="AL201">
        <v>22.83</v>
      </c>
      <c r="AM201">
        <v>50.51</v>
      </c>
      <c r="AN201">
        <v>41.63</v>
      </c>
      <c r="AO201" s="1">
        <f t="shared" si="11"/>
        <v>832.37000000000012</v>
      </c>
    </row>
    <row r="202" spans="1:41" x14ac:dyDescent="0.25">
      <c r="A202" t="s">
        <v>245</v>
      </c>
      <c r="B202" s="2">
        <v>5300.8093924970099</v>
      </c>
      <c r="C202" s="2">
        <v>6219.5780628122402</v>
      </c>
      <c r="D202" s="2">
        <v>5062.5926813079996</v>
      </c>
      <c r="E202" s="2">
        <v>0</v>
      </c>
      <c r="F202" s="2">
        <v>1462.7198170561801</v>
      </c>
      <c r="G202" s="2">
        <v>14989.460166512999</v>
      </c>
      <c r="H202" s="2">
        <v>16133.5580549554</v>
      </c>
      <c r="I202" s="2">
        <v>3046.41887992073</v>
      </c>
      <c r="J202" s="2">
        <v>4417.5988677961304</v>
      </c>
      <c r="K202" s="2">
        <v>10688.0177722024</v>
      </c>
      <c r="L202" s="2">
        <v>2772.3833196658002</v>
      </c>
      <c r="M202" s="2">
        <v>0</v>
      </c>
      <c r="N202" s="3">
        <f t="shared" si="9"/>
        <v>70093.137014726875</v>
      </c>
      <c r="O202" s="2">
        <v>2.55251303468757</v>
      </c>
      <c r="P202" s="2">
        <v>0</v>
      </c>
      <c r="Q202" s="2">
        <v>18.740952439584699</v>
      </c>
      <c r="R202" s="2">
        <v>3.4465377704805</v>
      </c>
      <c r="S202" s="2">
        <v>5.8805526924976199</v>
      </c>
      <c r="T202" s="2">
        <v>2.8504392843657902</v>
      </c>
      <c r="U202" s="2">
        <v>0.214683062176246</v>
      </c>
      <c r="V202" s="2">
        <v>14.922873943992499</v>
      </c>
      <c r="W202" s="2">
        <v>1.06812200074309</v>
      </c>
      <c r="X202" s="2">
        <v>2.0367145651772902</v>
      </c>
      <c r="Y202" s="2">
        <v>5.5148908162701096</v>
      </c>
      <c r="Z202" s="2">
        <v>1.0605096155859299</v>
      </c>
      <c r="AA202" s="3">
        <f t="shared" si="10"/>
        <v>58.288789225561345</v>
      </c>
      <c r="AB202" t="s">
        <v>45</v>
      </c>
      <c r="AC202">
        <v>63.15</v>
      </c>
      <c r="AD202">
        <v>72.19</v>
      </c>
      <c r="AE202">
        <v>61.57</v>
      </c>
      <c r="AF202">
        <v>10.19</v>
      </c>
      <c r="AG202">
        <v>24.92</v>
      </c>
      <c r="AH202">
        <v>160.04</v>
      </c>
      <c r="AI202">
        <v>171.38</v>
      </c>
      <c r="AJ202">
        <v>41.21</v>
      </c>
      <c r="AK202">
        <v>54.27</v>
      </c>
      <c r="AL202">
        <v>117.03</v>
      </c>
      <c r="AM202">
        <v>38.020000000000003</v>
      </c>
      <c r="AN202">
        <v>10.09</v>
      </c>
      <c r="AO202" s="1">
        <f t="shared" si="11"/>
        <v>824.06</v>
      </c>
    </row>
    <row r="203" spans="1:41" x14ac:dyDescent="0.25">
      <c r="A203" t="s">
        <v>246</v>
      </c>
      <c r="B203" s="2">
        <v>5294.5354648616103</v>
      </c>
      <c r="C203" s="2">
        <v>1889.6704212950699</v>
      </c>
      <c r="D203" s="2">
        <v>2198.56671960623</v>
      </c>
      <c r="E203" s="2">
        <v>8835.4361374587206</v>
      </c>
      <c r="F203" s="2">
        <v>799.59195763852097</v>
      </c>
      <c r="G203" s="2">
        <v>0</v>
      </c>
      <c r="H203" s="2">
        <v>4671.0724937935802</v>
      </c>
      <c r="I203" s="2">
        <v>3813.8436786399302</v>
      </c>
      <c r="J203" s="2">
        <v>6262.51999819313</v>
      </c>
      <c r="K203" s="2">
        <v>1176.66239540327</v>
      </c>
      <c r="L203" s="2">
        <v>3166.26991604975</v>
      </c>
      <c r="M203" s="2">
        <v>828.18852222825706</v>
      </c>
      <c r="N203" s="3">
        <f t="shared" si="9"/>
        <v>38936.35770516807</v>
      </c>
      <c r="O203" s="2">
        <v>3.4904209436518299</v>
      </c>
      <c r="P203" s="2">
        <v>8.9004208662518103</v>
      </c>
      <c r="Q203" s="2">
        <v>1.31857424059319</v>
      </c>
      <c r="R203" s="2">
        <v>4.8957886641623096</v>
      </c>
      <c r="S203" s="2">
        <v>0</v>
      </c>
      <c r="T203" s="2">
        <v>0</v>
      </c>
      <c r="U203" s="2">
        <v>5.6672158977113698</v>
      </c>
      <c r="V203" s="2">
        <v>4.4211983897601197</v>
      </c>
      <c r="W203" s="2">
        <v>2.5939126651584301</v>
      </c>
      <c r="X203" s="2">
        <v>1.7076293226180399</v>
      </c>
      <c r="Y203" s="2">
        <v>3.8043928753544898</v>
      </c>
      <c r="Z203" s="2">
        <v>0.60858787413804705</v>
      </c>
      <c r="AA203" s="3">
        <f t="shared" si="10"/>
        <v>37.408141739399639</v>
      </c>
      <c r="AB203" t="s">
        <v>45</v>
      </c>
      <c r="AC203">
        <v>63.14</v>
      </c>
      <c r="AD203">
        <v>29.34</v>
      </c>
      <c r="AE203">
        <v>32.08</v>
      </c>
      <c r="AF203">
        <v>98.6</v>
      </c>
      <c r="AG203">
        <v>17.989999999999998</v>
      </c>
      <c r="AH203">
        <v>9.99</v>
      </c>
      <c r="AI203">
        <v>57.01</v>
      </c>
      <c r="AJ203">
        <v>48.38</v>
      </c>
      <c r="AK203">
        <v>72.77</v>
      </c>
      <c r="AL203">
        <v>21.86</v>
      </c>
      <c r="AM203">
        <v>41.86</v>
      </c>
      <c r="AN203">
        <v>18.329999999999998</v>
      </c>
      <c r="AO203" s="1">
        <f t="shared" si="11"/>
        <v>511.35</v>
      </c>
    </row>
    <row r="204" spans="1:41" x14ac:dyDescent="0.25">
      <c r="A204" t="s">
        <v>247</v>
      </c>
      <c r="B204" s="2">
        <v>5264.3625814715097</v>
      </c>
      <c r="C204" s="2">
        <v>1238.01649532941</v>
      </c>
      <c r="D204" s="2">
        <v>6201.5688837587504</v>
      </c>
      <c r="E204" s="2">
        <v>874.96128401391798</v>
      </c>
      <c r="F204" s="2">
        <v>1848.52714353439</v>
      </c>
      <c r="G204" s="2">
        <v>9227.2433500556199</v>
      </c>
      <c r="H204" s="2">
        <v>2511.4051666883402</v>
      </c>
      <c r="I204" s="2">
        <v>1665.4477960198001</v>
      </c>
      <c r="J204" s="2">
        <v>0</v>
      </c>
      <c r="K204" s="2">
        <v>0</v>
      </c>
      <c r="L204" s="2">
        <v>2284.3508533192398</v>
      </c>
      <c r="M204" s="2">
        <v>2486.4925596610001</v>
      </c>
      <c r="N204" s="3">
        <f t="shared" si="9"/>
        <v>33602.376113851977</v>
      </c>
      <c r="O204" s="2">
        <v>0.100498569893225</v>
      </c>
      <c r="P204" s="2">
        <v>2.8117250179748599</v>
      </c>
      <c r="Q204" s="2">
        <v>1.70238386192506</v>
      </c>
      <c r="R204" s="2">
        <v>6.5051757041358904</v>
      </c>
      <c r="S204" s="2">
        <v>5.5275676838686003</v>
      </c>
      <c r="T204" s="2">
        <v>2.8417104877019801</v>
      </c>
      <c r="U204" s="2">
        <v>2.6072692569125699</v>
      </c>
      <c r="V204" s="2">
        <v>0</v>
      </c>
      <c r="W204" s="2">
        <v>6.1696373666652402</v>
      </c>
      <c r="X204" s="2">
        <v>1.5636072212033501</v>
      </c>
      <c r="Y204" s="2">
        <v>0</v>
      </c>
      <c r="Z204" s="2">
        <v>2.0991867129592099</v>
      </c>
      <c r="AA204" s="3">
        <f t="shared" si="10"/>
        <v>31.928761883239986</v>
      </c>
      <c r="AB204" t="s">
        <v>63</v>
      </c>
      <c r="AC204">
        <v>105.39</v>
      </c>
      <c r="AD204">
        <v>25.05</v>
      </c>
      <c r="AE204">
        <v>124.22</v>
      </c>
      <c r="AF204">
        <v>18.13</v>
      </c>
      <c r="AG204">
        <v>37.520000000000003</v>
      </c>
      <c r="AH204">
        <v>184.83</v>
      </c>
      <c r="AI204">
        <v>50.51</v>
      </c>
      <c r="AJ204">
        <v>33.32</v>
      </c>
      <c r="AK204">
        <v>0.63</v>
      </c>
      <c r="AL204">
        <v>0.18</v>
      </c>
      <c r="AM204">
        <v>45.7</v>
      </c>
      <c r="AN204">
        <v>50.01</v>
      </c>
      <c r="AO204" s="1">
        <f t="shared" si="11"/>
        <v>675.49</v>
      </c>
    </row>
    <row r="205" spans="1:41" x14ac:dyDescent="0.25">
      <c r="A205" t="s">
        <v>248</v>
      </c>
      <c r="B205" s="2">
        <v>5262.7493800746097</v>
      </c>
      <c r="C205" s="2">
        <v>152.342014744404</v>
      </c>
      <c r="D205" s="2">
        <v>1403.1592456941601</v>
      </c>
      <c r="E205" s="2">
        <v>5755.9109741223301</v>
      </c>
      <c r="F205" s="2">
        <v>8727.9088408666503</v>
      </c>
      <c r="G205" s="2">
        <v>2592.42044984123</v>
      </c>
      <c r="H205" s="2">
        <v>6940.1930732006904</v>
      </c>
      <c r="I205" s="2">
        <v>1039.7903252050901</v>
      </c>
      <c r="J205" s="2">
        <v>690.49971517239305</v>
      </c>
      <c r="K205" s="2">
        <v>7033.5358417030902</v>
      </c>
      <c r="L205" s="2">
        <v>7781.1617980729998</v>
      </c>
      <c r="M205" s="2">
        <v>392.96995097894199</v>
      </c>
      <c r="N205" s="3">
        <f t="shared" si="9"/>
        <v>47772.64160967659</v>
      </c>
      <c r="O205" s="2">
        <v>4.6362597562250896</v>
      </c>
      <c r="P205" s="2">
        <v>5.2496400156094303E-2</v>
      </c>
      <c r="Q205" s="2">
        <v>4.4337527244730603</v>
      </c>
      <c r="R205" s="2">
        <v>1.78287952391414</v>
      </c>
      <c r="S205" s="2">
        <v>0</v>
      </c>
      <c r="T205" s="2">
        <v>1.7308159541293699</v>
      </c>
      <c r="U205" s="2">
        <v>11.0136483493703</v>
      </c>
      <c r="V205" s="2">
        <v>0.71602245413741805</v>
      </c>
      <c r="W205" s="2">
        <v>5.5891554612634202</v>
      </c>
      <c r="X205" s="2">
        <v>0.45845139442948801</v>
      </c>
      <c r="Y205" s="2">
        <v>1.4867945371242399</v>
      </c>
      <c r="Z205" s="2">
        <v>0.81126083021141904</v>
      </c>
      <c r="AA205" s="3">
        <f t="shared" si="10"/>
        <v>32.711537385434042</v>
      </c>
      <c r="AB205" t="s">
        <v>45</v>
      </c>
      <c r="AC205">
        <v>62.87</v>
      </c>
      <c r="AD205">
        <v>11.57</v>
      </c>
      <c r="AE205">
        <v>24.28</v>
      </c>
      <c r="AF205">
        <v>67.650000000000006</v>
      </c>
      <c r="AG205">
        <v>97.27</v>
      </c>
      <c r="AH205">
        <v>36.020000000000003</v>
      </c>
      <c r="AI205">
        <v>80</v>
      </c>
      <c r="AJ205">
        <v>20.440000000000001</v>
      </c>
      <c r="AK205">
        <v>17.2</v>
      </c>
      <c r="AL205">
        <v>80.38</v>
      </c>
      <c r="AM205">
        <v>87.91</v>
      </c>
      <c r="AN205">
        <v>13.97</v>
      </c>
      <c r="AO205" s="1">
        <f t="shared" si="11"/>
        <v>599.55999999999995</v>
      </c>
    </row>
    <row r="206" spans="1:41" x14ac:dyDescent="0.25">
      <c r="A206" t="s">
        <v>249</v>
      </c>
      <c r="B206" s="2">
        <v>5237.4688689527602</v>
      </c>
      <c r="C206" s="2">
        <v>5725.5889008825397</v>
      </c>
      <c r="D206" s="2">
        <v>14340.4022181825</v>
      </c>
      <c r="E206" s="2">
        <v>214.732947366741</v>
      </c>
      <c r="F206" s="2">
        <v>1310.9631649877001</v>
      </c>
      <c r="G206" s="2">
        <v>5703.3327800009401</v>
      </c>
      <c r="H206" s="2">
        <v>2441.8472177879798</v>
      </c>
      <c r="I206" s="2">
        <v>1392.6205521391901</v>
      </c>
      <c r="J206" s="2">
        <v>357.61196201093099</v>
      </c>
      <c r="K206" s="2">
        <v>596.75499411236206</v>
      </c>
      <c r="L206" s="2">
        <v>1034.7652448454301</v>
      </c>
      <c r="M206" s="2">
        <v>1604.34878481488</v>
      </c>
      <c r="N206" s="3">
        <f t="shared" si="9"/>
        <v>39960.43763608396</v>
      </c>
      <c r="O206" s="2">
        <v>2.6092238104094099</v>
      </c>
      <c r="P206" s="2">
        <v>6.80000426661144</v>
      </c>
      <c r="Q206" s="2">
        <v>1.7139923392868599</v>
      </c>
      <c r="R206" s="2">
        <v>4.8575882390445102</v>
      </c>
      <c r="S206" s="2">
        <v>8.3655735015859705</v>
      </c>
      <c r="T206" s="2">
        <v>8.0824711583834308</v>
      </c>
      <c r="U206" s="2">
        <v>9.2652614411331697</v>
      </c>
      <c r="V206" s="2">
        <v>1.08584584229103</v>
      </c>
      <c r="W206" s="2">
        <v>2.6344002482417701</v>
      </c>
      <c r="X206" s="2">
        <v>4.6127317008922599</v>
      </c>
      <c r="Y206" s="2">
        <v>2.90395262565879</v>
      </c>
      <c r="Z206" s="2">
        <v>4.1595280175236704</v>
      </c>
      <c r="AA206" s="3">
        <f t="shared" si="10"/>
        <v>57.090573191062305</v>
      </c>
      <c r="AB206" t="s">
        <v>45</v>
      </c>
      <c r="AC206">
        <v>62.52</v>
      </c>
      <c r="AD206">
        <v>67.599999999999994</v>
      </c>
      <c r="AE206">
        <v>153.5</v>
      </c>
      <c r="AF206">
        <v>12.39</v>
      </c>
      <c r="AG206">
        <v>23.55</v>
      </c>
      <c r="AH206">
        <v>67.48</v>
      </c>
      <c r="AI206">
        <v>34.909999999999997</v>
      </c>
      <c r="AJ206">
        <v>24.02</v>
      </c>
      <c r="AK206">
        <v>13.72</v>
      </c>
      <c r="AL206">
        <v>16.21</v>
      </c>
      <c r="AM206">
        <v>20.49</v>
      </c>
      <c r="AN206">
        <v>26.29</v>
      </c>
      <c r="AO206" s="1">
        <f t="shared" si="11"/>
        <v>522.68000000000006</v>
      </c>
    </row>
    <row r="207" spans="1:41" x14ac:dyDescent="0.25">
      <c r="A207" t="s">
        <v>250</v>
      </c>
      <c r="B207" s="2">
        <v>5197.8890031665596</v>
      </c>
      <c r="C207" s="2">
        <v>299.5802820847</v>
      </c>
      <c r="D207" s="2">
        <v>6398.3383397444304</v>
      </c>
      <c r="E207" s="2">
        <v>9255.5365695594592</v>
      </c>
      <c r="F207" s="2">
        <v>6898.7455303114702</v>
      </c>
      <c r="G207" s="2">
        <v>7918.5236830698996</v>
      </c>
      <c r="H207" s="2">
        <v>0</v>
      </c>
      <c r="I207" s="2">
        <v>13036.822179073701</v>
      </c>
      <c r="J207" s="2">
        <v>1176.39987880076</v>
      </c>
      <c r="K207" s="2">
        <v>7682.3487071662403</v>
      </c>
      <c r="L207" s="2">
        <v>1637.90905777937</v>
      </c>
      <c r="M207" s="2">
        <v>1547.3760602534301</v>
      </c>
      <c r="N207" s="3">
        <f t="shared" si="9"/>
        <v>61049.469291010013</v>
      </c>
      <c r="O207" s="2">
        <v>4.4283722488960597</v>
      </c>
      <c r="P207" s="2">
        <v>2.3732039216739298</v>
      </c>
      <c r="Q207" s="2">
        <v>7.4902929522496002</v>
      </c>
      <c r="R207" s="2">
        <v>0</v>
      </c>
      <c r="S207" s="2">
        <v>1.7780186507670599</v>
      </c>
      <c r="T207" s="2">
        <v>4.6228803280079598</v>
      </c>
      <c r="U207" s="2">
        <v>2.03116295490238</v>
      </c>
      <c r="V207" s="2">
        <v>1.6594835836366999</v>
      </c>
      <c r="W207" s="2">
        <v>1.2551654787852999</v>
      </c>
      <c r="X207" s="2">
        <v>4.4233242815034703</v>
      </c>
      <c r="Y207" s="2">
        <v>0</v>
      </c>
      <c r="Z207" s="2">
        <v>8.9493409523085905</v>
      </c>
      <c r="AA207" s="3">
        <f t="shared" si="10"/>
        <v>39.011245352731052</v>
      </c>
      <c r="AB207" t="s">
        <v>45</v>
      </c>
      <c r="AC207">
        <v>62.22</v>
      </c>
      <c r="AD207">
        <v>13.14</v>
      </c>
      <c r="AE207">
        <v>74.38</v>
      </c>
      <c r="AF207">
        <v>102.55</v>
      </c>
      <c r="AG207">
        <v>79.08</v>
      </c>
      <c r="AH207">
        <v>89.43</v>
      </c>
      <c r="AI207">
        <v>10.14</v>
      </c>
      <c r="AJ207">
        <v>140.46</v>
      </c>
      <c r="AK207">
        <v>21.86</v>
      </c>
      <c r="AL207">
        <v>87.07</v>
      </c>
      <c r="AM207">
        <v>26.37</v>
      </c>
      <c r="AN207">
        <v>25.92</v>
      </c>
      <c r="AO207" s="1">
        <f t="shared" si="11"/>
        <v>732.61999999999989</v>
      </c>
    </row>
    <row r="208" spans="1:41" x14ac:dyDescent="0.25">
      <c r="A208" t="s">
        <v>251</v>
      </c>
      <c r="B208" s="2">
        <v>5197.2455539071598</v>
      </c>
      <c r="C208" s="2">
        <v>1533.1325402504301</v>
      </c>
      <c r="D208" s="2">
        <v>1951.3558003048699</v>
      </c>
      <c r="E208" s="2">
        <v>1322.2983489486501</v>
      </c>
      <c r="F208" s="2">
        <v>2294.8899730926501</v>
      </c>
      <c r="G208" s="2">
        <v>4855.0044988673499</v>
      </c>
      <c r="H208" s="2">
        <v>4808.3273803363099</v>
      </c>
      <c r="I208" s="2">
        <v>4799.58365144857</v>
      </c>
      <c r="J208" s="2">
        <v>1810.56783996485</v>
      </c>
      <c r="K208" s="2">
        <v>4271.3339288740399</v>
      </c>
      <c r="L208" s="2">
        <v>1740.1121762273999</v>
      </c>
      <c r="M208" s="2">
        <v>10492.1117734195</v>
      </c>
      <c r="N208" s="3">
        <f t="shared" si="9"/>
        <v>45075.963465641777</v>
      </c>
      <c r="O208" s="2">
        <v>5.0573639108994204</v>
      </c>
      <c r="P208" s="2">
        <v>1.6325409397291499</v>
      </c>
      <c r="Q208" s="2">
        <v>0</v>
      </c>
      <c r="R208" s="2">
        <v>1.2752429514150001</v>
      </c>
      <c r="S208" s="2">
        <v>1.6367275807247299</v>
      </c>
      <c r="T208" s="2">
        <v>8.1613833761255195E-2</v>
      </c>
      <c r="U208" s="2">
        <v>3.7927748890580402</v>
      </c>
      <c r="V208" s="2">
        <v>1.9319894434017999</v>
      </c>
      <c r="W208" s="2">
        <v>11.562683532166</v>
      </c>
      <c r="X208" s="2">
        <v>0</v>
      </c>
      <c r="Y208" s="2">
        <v>5.6677257565836099</v>
      </c>
      <c r="Z208" s="2">
        <v>7.6372930437863404</v>
      </c>
      <c r="AA208" s="3">
        <f t="shared" si="10"/>
        <v>40.275955881525348</v>
      </c>
      <c r="AB208" t="s">
        <v>45</v>
      </c>
      <c r="AC208">
        <v>62.27</v>
      </c>
      <c r="AD208">
        <v>25.43</v>
      </c>
      <c r="AE208">
        <v>29.51</v>
      </c>
      <c r="AF208">
        <v>23.32</v>
      </c>
      <c r="AG208">
        <v>33.04</v>
      </c>
      <c r="AH208">
        <v>58.6</v>
      </c>
      <c r="AI208">
        <v>58.28</v>
      </c>
      <c r="AJ208">
        <v>58.09</v>
      </c>
      <c r="AK208">
        <v>28.7</v>
      </c>
      <c r="AL208">
        <v>52.71</v>
      </c>
      <c r="AM208">
        <v>27.7</v>
      </c>
      <c r="AN208">
        <v>115.32</v>
      </c>
      <c r="AO208" s="1">
        <f t="shared" si="11"/>
        <v>572.96999999999991</v>
      </c>
    </row>
    <row r="209" spans="1:41" x14ac:dyDescent="0.25">
      <c r="A209" t="s">
        <v>252</v>
      </c>
      <c r="B209" s="2">
        <v>5146.3938612972897</v>
      </c>
      <c r="C209" s="2">
        <v>2052.4251432803298</v>
      </c>
      <c r="D209" s="2">
        <v>3609.1603432833899</v>
      </c>
      <c r="E209" s="2">
        <v>3969.4999487034502</v>
      </c>
      <c r="F209" s="2">
        <v>2392.9709272223799</v>
      </c>
      <c r="G209" s="2">
        <v>969.99797775303796</v>
      </c>
      <c r="H209" s="2">
        <v>19342.663201600601</v>
      </c>
      <c r="I209" s="2">
        <v>403.68503216649498</v>
      </c>
      <c r="J209" s="2">
        <v>2444.2968119736502</v>
      </c>
      <c r="K209" s="2">
        <v>8693.7058773655699</v>
      </c>
      <c r="L209" s="2">
        <v>4707.3275991211103</v>
      </c>
      <c r="M209" s="2">
        <v>8068.4064071407402</v>
      </c>
      <c r="N209" s="3">
        <f t="shared" si="9"/>
        <v>61800.533130908043</v>
      </c>
      <c r="O209" s="2">
        <v>13.8556646925925</v>
      </c>
      <c r="P209" s="2">
        <v>3.72223284301386</v>
      </c>
      <c r="Q209" s="2">
        <v>3.2962005158208298</v>
      </c>
      <c r="R209" s="2">
        <v>1.31871913440865</v>
      </c>
      <c r="S209" s="2">
        <v>2.7152491012503299</v>
      </c>
      <c r="T209" s="2">
        <v>4.7178118633858697</v>
      </c>
      <c r="U209" s="2">
        <v>3.9845330565605899</v>
      </c>
      <c r="V209" s="2">
        <v>5.7430830509968299E-2</v>
      </c>
      <c r="W209" s="2">
        <v>7.0700760823210904E-2</v>
      </c>
      <c r="X209" s="2">
        <v>0</v>
      </c>
      <c r="Y209" s="2">
        <v>5.3380144152774003</v>
      </c>
      <c r="Z209" s="2">
        <v>4.1461562454984504</v>
      </c>
      <c r="AA209" s="3">
        <f t="shared" si="10"/>
        <v>43.222713459141652</v>
      </c>
      <c r="AB209" t="s">
        <v>45</v>
      </c>
      <c r="AC209">
        <v>62.16</v>
      </c>
      <c r="AD209">
        <v>30.72</v>
      </c>
      <c r="AE209">
        <v>46.29</v>
      </c>
      <c r="AF209">
        <v>49.79</v>
      </c>
      <c r="AG209">
        <v>34.07</v>
      </c>
      <c r="AH209">
        <v>19.940000000000001</v>
      </c>
      <c r="AI209">
        <v>203.62</v>
      </c>
      <c r="AJ209">
        <v>14.08</v>
      </c>
      <c r="AK209">
        <v>34.49</v>
      </c>
      <c r="AL209">
        <v>96.93</v>
      </c>
      <c r="AM209">
        <v>57.37</v>
      </c>
      <c r="AN209">
        <v>90.93</v>
      </c>
      <c r="AO209" s="1">
        <f t="shared" si="11"/>
        <v>740.38999999999987</v>
      </c>
    </row>
    <row r="210" spans="1:41" x14ac:dyDescent="0.25">
      <c r="A210" t="s">
        <v>253</v>
      </c>
      <c r="B210" s="2">
        <v>5141.4594490637401</v>
      </c>
      <c r="C210" s="2">
        <v>6646.67470894705</v>
      </c>
      <c r="D210" s="2">
        <v>3880.1523198383702</v>
      </c>
      <c r="E210" s="2">
        <v>9685.1667613183909</v>
      </c>
      <c r="F210" s="2">
        <v>4063.10649877074</v>
      </c>
      <c r="G210" s="2">
        <v>857.56406032704604</v>
      </c>
      <c r="H210" s="2">
        <v>283.22563712824001</v>
      </c>
      <c r="I210" s="2">
        <v>2979.2297479134299</v>
      </c>
      <c r="J210" s="2">
        <v>8396.8064955993905</v>
      </c>
      <c r="K210" s="2">
        <v>830.047570688419</v>
      </c>
      <c r="L210" s="2">
        <v>4173.3886166938901</v>
      </c>
      <c r="M210" s="2">
        <v>5921.0841979447996</v>
      </c>
      <c r="N210" s="3">
        <f t="shared" si="9"/>
        <v>52857.90606423351</v>
      </c>
      <c r="O210" s="2">
        <v>1.54942402687545</v>
      </c>
      <c r="P210" s="2">
        <v>2.2908545928496902</v>
      </c>
      <c r="Q210" s="2">
        <v>8.7185303057021599</v>
      </c>
      <c r="R210" s="2">
        <v>8.6550567750097205</v>
      </c>
      <c r="S210" s="2">
        <v>14.451628508482999</v>
      </c>
      <c r="T210" s="2">
        <v>9.9470096607483605</v>
      </c>
      <c r="U210" s="2">
        <v>0.45733791398113099</v>
      </c>
      <c r="V210" s="2">
        <v>7.0017693231258296</v>
      </c>
      <c r="W210" s="2">
        <v>2.4161126617317299</v>
      </c>
      <c r="X210" s="2">
        <v>19.650835618997199</v>
      </c>
      <c r="Y210" s="2">
        <v>1.19133089364526</v>
      </c>
      <c r="Z210" s="2">
        <v>4.15118850657751</v>
      </c>
      <c r="AA210" s="3">
        <f t="shared" si="10"/>
        <v>80.481078787727029</v>
      </c>
      <c r="AB210" t="s">
        <v>45</v>
      </c>
      <c r="AC210">
        <v>61.51</v>
      </c>
      <c r="AD210">
        <v>76.61</v>
      </c>
      <c r="AE210">
        <v>49.25</v>
      </c>
      <c r="AF210">
        <v>107.3</v>
      </c>
      <c r="AG210">
        <v>51.38</v>
      </c>
      <c r="AH210">
        <v>19.07</v>
      </c>
      <c r="AI210">
        <v>12.88</v>
      </c>
      <c r="AJ210">
        <v>40.19</v>
      </c>
      <c r="AK210">
        <v>94.11</v>
      </c>
      <c r="AL210">
        <v>19.3</v>
      </c>
      <c r="AM210">
        <v>51.83</v>
      </c>
      <c r="AN210">
        <v>69.459999999999994</v>
      </c>
      <c r="AO210" s="1">
        <f t="shared" si="11"/>
        <v>652.89</v>
      </c>
    </row>
    <row r="211" spans="1:41" x14ac:dyDescent="0.25">
      <c r="A211" t="s">
        <v>254</v>
      </c>
      <c r="B211" s="2">
        <v>5141.4041469263802</v>
      </c>
      <c r="C211" s="2">
        <v>627.88410741659402</v>
      </c>
      <c r="D211" s="2">
        <v>8516.03636205166</v>
      </c>
      <c r="E211" s="2">
        <v>0</v>
      </c>
      <c r="F211" s="2">
        <v>9021.1413154307793</v>
      </c>
      <c r="G211" s="2">
        <v>2843.4174870276402</v>
      </c>
      <c r="H211" s="2">
        <v>4429.3571416046198</v>
      </c>
      <c r="I211" s="2">
        <v>1072.46175553588</v>
      </c>
      <c r="J211" s="2">
        <v>17279.164847180498</v>
      </c>
      <c r="K211" s="2">
        <v>1307.3932345302701</v>
      </c>
      <c r="L211" s="2">
        <v>913.83234231935398</v>
      </c>
      <c r="M211" s="2">
        <v>641.35611501757398</v>
      </c>
      <c r="N211" s="3">
        <f t="shared" si="9"/>
        <v>51793.448855041235</v>
      </c>
      <c r="O211" s="2">
        <v>15.7177159095436</v>
      </c>
      <c r="P211" s="2">
        <v>4.20794495579021</v>
      </c>
      <c r="Q211" s="2">
        <v>1.91200812806958</v>
      </c>
      <c r="R211" s="2">
        <v>5.7220275162036502</v>
      </c>
      <c r="S211" s="2">
        <v>0.70181597466840695</v>
      </c>
      <c r="T211" s="2">
        <v>5.7877791172358197</v>
      </c>
      <c r="U211" s="2">
        <v>8.3663885487881497</v>
      </c>
      <c r="V211" s="2">
        <v>1.36475510900181</v>
      </c>
      <c r="W211" s="2">
        <v>4.7334514026553398</v>
      </c>
      <c r="X211" s="2">
        <v>2.6228237512304302</v>
      </c>
      <c r="Y211" s="2">
        <v>1.0359364589123901</v>
      </c>
      <c r="Z211" s="2">
        <v>0.36414675112750999</v>
      </c>
      <c r="AA211" s="3">
        <f t="shared" si="10"/>
        <v>52.536793623226892</v>
      </c>
      <c r="AB211" t="s">
        <v>45</v>
      </c>
      <c r="AC211">
        <v>62.21</v>
      </c>
      <c r="AD211">
        <v>16.52</v>
      </c>
      <c r="AE211">
        <v>95.26</v>
      </c>
      <c r="AF211">
        <v>10.29</v>
      </c>
      <c r="AG211">
        <v>100.26</v>
      </c>
      <c r="AH211">
        <v>38.729999999999997</v>
      </c>
      <c r="AI211">
        <v>54.74</v>
      </c>
      <c r="AJ211">
        <v>20.82</v>
      </c>
      <c r="AK211">
        <v>183.04</v>
      </c>
      <c r="AL211">
        <v>23.22</v>
      </c>
      <c r="AM211">
        <v>19.23</v>
      </c>
      <c r="AN211">
        <v>16.46</v>
      </c>
      <c r="AO211" s="1">
        <f t="shared" si="11"/>
        <v>640.78000000000009</v>
      </c>
    </row>
    <row r="212" spans="1:41" x14ac:dyDescent="0.25">
      <c r="A212" t="s">
        <v>255</v>
      </c>
      <c r="B212" s="2">
        <v>5139.7940030485497</v>
      </c>
      <c r="C212" s="2">
        <v>1761.83122929562</v>
      </c>
      <c r="D212" s="2">
        <v>2568.8694540779102</v>
      </c>
      <c r="E212" s="2">
        <v>13918.6131068755</v>
      </c>
      <c r="F212" s="2">
        <v>1055.3485361820401</v>
      </c>
      <c r="G212" s="2">
        <v>2098.3232094270302</v>
      </c>
      <c r="H212" s="2">
        <v>1185.8191184161301</v>
      </c>
      <c r="I212" s="2">
        <v>556.74835273667497</v>
      </c>
      <c r="J212" s="2">
        <v>1405.2412921387199</v>
      </c>
      <c r="K212" s="2">
        <v>0</v>
      </c>
      <c r="L212" s="2">
        <v>7883.5046479510902</v>
      </c>
      <c r="M212" s="2">
        <v>3836.8175730051498</v>
      </c>
      <c r="N212" s="3">
        <f t="shared" si="9"/>
        <v>41410.910523154416</v>
      </c>
      <c r="O212" s="2">
        <v>0.96762849591103195</v>
      </c>
      <c r="P212" s="2">
        <v>10.1115995654967</v>
      </c>
      <c r="Q212" s="2">
        <v>1.1835250776547599</v>
      </c>
      <c r="R212" s="2">
        <v>10.9540214864486</v>
      </c>
      <c r="S212" s="2">
        <v>1.6626307536195799</v>
      </c>
      <c r="T212" s="2">
        <v>7.39906251883379</v>
      </c>
      <c r="U212" s="2">
        <v>5.3475552466662899</v>
      </c>
      <c r="V212" s="2">
        <v>8.3354161672831797</v>
      </c>
      <c r="W212" s="2">
        <v>14.9475605854295</v>
      </c>
      <c r="X212" s="2">
        <v>2.5564864559365499</v>
      </c>
      <c r="Y212" s="2">
        <v>14.3887933323666</v>
      </c>
      <c r="Z212" s="2">
        <v>1.4856167273113301</v>
      </c>
      <c r="AA212" s="3">
        <f t="shared" si="10"/>
        <v>79.339896412957899</v>
      </c>
      <c r="AB212" t="s">
        <v>45</v>
      </c>
      <c r="AC212">
        <v>61.44</v>
      </c>
      <c r="AD212">
        <v>28.16</v>
      </c>
      <c r="AE212">
        <v>35.78</v>
      </c>
      <c r="AF212">
        <v>149.72999999999999</v>
      </c>
      <c r="AG212">
        <v>20.65</v>
      </c>
      <c r="AH212">
        <v>31.38</v>
      </c>
      <c r="AI212">
        <v>22.15</v>
      </c>
      <c r="AJ212">
        <v>16.010000000000002</v>
      </c>
      <c r="AK212">
        <v>24.8</v>
      </c>
      <c r="AL212">
        <v>10.14</v>
      </c>
      <c r="AM212">
        <v>89.58</v>
      </c>
      <c r="AN212">
        <v>48.46</v>
      </c>
      <c r="AO212" s="1">
        <f t="shared" si="11"/>
        <v>538.28</v>
      </c>
    </row>
    <row r="213" spans="1:41" x14ac:dyDescent="0.25">
      <c r="A213" t="s">
        <v>256</v>
      </c>
      <c r="B213" s="2">
        <v>5131.92463306028</v>
      </c>
      <c r="C213" s="2">
        <v>6429.0370375653301</v>
      </c>
      <c r="D213" s="2">
        <v>380.70132501932602</v>
      </c>
      <c r="E213" s="2">
        <v>4108.5124815393501</v>
      </c>
      <c r="F213" s="2">
        <v>3262.3256248920902</v>
      </c>
      <c r="G213" s="2">
        <v>1329.4184646911399</v>
      </c>
      <c r="H213" s="2">
        <v>4603.9981592220302</v>
      </c>
      <c r="I213" s="2">
        <v>2118.3210952300001</v>
      </c>
      <c r="J213" s="2">
        <v>4252.95249503998</v>
      </c>
      <c r="K213" s="2">
        <v>2491.1503629792301</v>
      </c>
      <c r="L213" s="2">
        <v>1773.2765841161699</v>
      </c>
      <c r="M213" s="2">
        <v>3199.5405898425302</v>
      </c>
      <c r="N213" s="3">
        <f t="shared" si="9"/>
        <v>39081.158853197448</v>
      </c>
      <c r="O213" s="2">
        <v>6.6181782765354802</v>
      </c>
      <c r="P213" s="2">
        <v>5.8374220285605602</v>
      </c>
      <c r="Q213" s="2">
        <v>1.7267151480035401</v>
      </c>
      <c r="R213" s="2">
        <v>12.694518027047399</v>
      </c>
      <c r="S213" s="2">
        <v>0</v>
      </c>
      <c r="T213" s="2">
        <v>7.4675809580027099</v>
      </c>
      <c r="U213" s="2">
        <v>13.1326579815789</v>
      </c>
      <c r="V213" s="2">
        <v>0.78759057570424895</v>
      </c>
      <c r="W213" s="2">
        <v>4.8871566950241796</v>
      </c>
      <c r="X213" s="2">
        <v>0.92793656267022695</v>
      </c>
      <c r="Y213" s="2">
        <v>1.2210054013095899</v>
      </c>
      <c r="Z213" s="2">
        <v>3.2200180427318599</v>
      </c>
      <c r="AA213" s="3">
        <f t="shared" si="10"/>
        <v>58.520779697168699</v>
      </c>
      <c r="AB213" t="s">
        <v>45</v>
      </c>
      <c r="AC213">
        <v>61.66</v>
      </c>
      <c r="AD213">
        <v>74.59</v>
      </c>
      <c r="AE213">
        <v>13.9</v>
      </c>
      <c r="AF213">
        <v>51.73</v>
      </c>
      <c r="AG213">
        <v>42.62</v>
      </c>
      <c r="AH213">
        <v>23.69</v>
      </c>
      <c r="AI213">
        <v>56.73</v>
      </c>
      <c r="AJ213">
        <v>31.23</v>
      </c>
      <c r="AK213">
        <v>52.77</v>
      </c>
      <c r="AL213">
        <v>34.96</v>
      </c>
      <c r="AM213">
        <v>27.83</v>
      </c>
      <c r="AN213">
        <v>42.19</v>
      </c>
      <c r="AO213" s="1">
        <f t="shared" si="11"/>
        <v>513.9</v>
      </c>
    </row>
    <row r="214" spans="1:41" x14ac:dyDescent="0.25">
      <c r="A214" t="s">
        <v>257</v>
      </c>
      <c r="B214" s="2">
        <v>5110.9179327381598</v>
      </c>
      <c r="C214" s="2">
        <v>0</v>
      </c>
      <c r="D214" s="2">
        <v>7829.8030494815503</v>
      </c>
      <c r="E214" s="2">
        <v>4400.4445248149896</v>
      </c>
      <c r="F214" s="2">
        <v>1755.04778138044</v>
      </c>
      <c r="G214" s="2">
        <v>1426.30712205341</v>
      </c>
      <c r="H214" s="2">
        <v>273.460718798556</v>
      </c>
      <c r="I214" s="2">
        <v>272.16677011843399</v>
      </c>
      <c r="J214" s="2">
        <v>4072.06352766798</v>
      </c>
      <c r="K214" s="2">
        <v>272.72911558564101</v>
      </c>
      <c r="L214" s="2">
        <v>369.62270585666602</v>
      </c>
      <c r="M214" s="2">
        <v>1936.24597889902</v>
      </c>
      <c r="N214" s="3">
        <f t="shared" si="9"/>
        <v>27718.809227394846</v>
      </c>
      <c r="O214" s="2">
        <v>0</v>
      </c>
      <c r="P214" s="2">
        <v>9.1596684986498609</v>
      </c>
      <c r="Q214" s="2">
        <v>0.13481855938852699</v>
      </c>
      <c r="R214" s="2">
        <v>6.6858316456082196</v>
      </c>
      <c r="S214" s="2">
        <v>0.32687328345246502</v>
      </c>
      <c r="T214" s="2">
        <v>5.3977007215227797</v>
      </c>
      <c r="U214" s="2">
        <v>0.33071384754538102</v>
      </c>
      <c r="V214" s="2">
        <v>7.92650105700615</v>
      </c>
      <c r="W214" s="2">
        <v>0.14037147094182001</v>
      </c>
      <c r="X214" s="2">
        <v>1.19579369842182</v>
      </c>
      <c r="Y214" s="2">
        <v>1.42334746526728</v>
      </c>
      <c r="Z214" s="2">
        <v>0</v>
      </c>
      <c r="AA214" s="3">
        <f t="shared" si="10"/>
        <v>32.721620247804303</v>
      </c>
      <c r="AB214" t="s">
        <v>63</v>
      </c>
      <c r="AC214">
        <v>102.22</v>
      </c>
      <c r="AD214">
        <v>0.9</v>
      </c>
      <c r="AE214">
        <v>156.69</v>
      </c>
      <c r="AF214">
        <v>88.65</v>
      </c>
      <c r="AG214">
        <v>35.21</v>
      </c>
      <c r="AH214">
        <v>29.08</v>
      </c>
      <c r="AI214">
        <v>5.57</v>
      </c>
      <c r="AJ214">
        <v>6.18</v>
      </c>
      <c r="AK214">
        <v>81.55</v>
      </c>
      <c r="AL214">
        <v>5.64</v>
      </c>
      <c r="AM214">
        <v>7.58</v>
      </c>
      <c r="AN214">
        <v>38.74</v>
      </c>
      <c r="AO214" s="1">
        <f t="shared" si="11"/>
        <v>558.01</v>
      </c>
    </row>
    <row r="215" spans="1:41" x14ac:dyDescent="0.25">
      <c r="A215" t="s">
        <v>258</v>
      </c>
      <c r="B215" s="2">
        <v>5109.62647246298</v>
      </c>
      <c r="C215" s="2">
        <v>8422.3889864621797</v>
      </c>
      <c r="D215" s="2">
        <v>4700.0708209150898</v>
      </c>
      <c r="E215" s="2">
        <v>5315.8201412022499</v>
      </c>
      <c r="F215" s="2">
        <v>1314.1555788763901</v>
      </c>
      <c r="G215" s="2">
        <v>772.526213643642</v>
      </c>
      <c r="H215" s="2">
        <v>7807.1073062546302</v>
      </c>
      <c r="I215" s="2">
        <v>3613.65400800009</v>
      </c>
      <c r="J215" s="2">
        <v>455.00105240141198</v>
      </c>
      <c r="K215" s="2">
        <v>3442.5340500380098</v>
      </c>
      <c r="L215" s="2">
        <v>4307.8688576620698</v>
      </c>
      <c r="M215" s="2">
        <v>874.11887070249497</v>
      </c>
      <c r="N215" s="3">
        <f t="shared" si="9"/>
        <v>46134.872358621244</v>
      </c>
      <c r="O215" s="2">
        <v>2.2523137055966602</v>
      </c>
      <c r="P215" s="2">
        <v>0.24752458093884799</v>
      </c>
      <c r="Q215" s="2">
        <v>3.1019892046617201</v>
      </c>
      <c r="R215" s="2">
        <v>3.3403374871293301</v>
      </c>
      <c r="S215" s="2">
        <v>5.8708108084937303</v>
      </c>
      <c r="T215" s="2">
        <v>3.4633682243416599</v>
      </c>
      <c r="U215" s="2">
        <v>3.6028721441065499</v>
      </c>
      <c r="V215" s="2">
        <v>8.5413507701378197</v>
      </c>
      <c r="W215" s="2">
        <v>7.7787004531867003</v>
      </c>
      <c r="X215" s="2">
        <v>0.91071103328167802</v>
      </c>
      <c r="Y215" s="2">
        <v>6.0588747107429599</v>
      </c>
      <c r="Z215" s="2">
        <v>1.6610922748538099</v>
      </c>
      <c r="AA215" s="3">
        <f t="shared" si="10"/>
        <v>46.829945397471469</v>
      </c>
      <c r="AB215" t="s">
        <v>45</v>
      </c>
      <c r="AC215">
        <v>61.24</v>
      </c>
      <c r="AD215">
        <v>94.27</v>
      </c>
      <c r="AE215">
        <v>57.2</v>
      </c>
      <c r="AF215">
        <v>63.35</v>
      </c>
      <c r="AG215">
        <v>23.44</v>
      </c>
      <c r="AH215">
        <v>17.920000000000002</v>
      </c>
      <c r="AI215">
        <v>88.27</v>
      </c>
      <c r="AJ215">
        <v>46.58</v>
      </c>
      <c r="AK215">
        <v>14.95</v>
      </c>
      <c r="AL215">
        <v>44.47</v>
      </c>
      <c r="AM215">
        <v>53.42</v>
      </c>
      <c r="AN215">
        <v>18.84</v>
      </c>
      <c r="AO215" s="1">
        <f t="shared" si="11"/>
        <v>583.94999999999993</v>
      </c>
    </row>
    <row r="216" spans="1:41" x14ac:dyDescent="0.25">
      <c r="A216" t="s">
        <v>259</v>
      </c>
      <c r="B216" s="2">
        <v>5095.58347962056</v>
      </c>
      <c r="C216" s="2">
        <v>5764.7488629887303</v>
      </c>
      <c r="D216" s="2">
        <v>1104.6085641503901</v>
      </c>
      <c r="E216" s="2">
        <v>1138.2563470279399</v>
      </c>
      <c r="F216" s="2">
        <v>3125.2131166649501</v>
      </c>
      <c r="G216" s="2">
        <v>0</v>
      </c>
      <c r="H216" s="2">
        <v>1212.52973644805</v>
      </c>
      <c r="I216" s="2">
        <v>2599.3630578553698</v>
      </c>
      <c r="J216" s="2">
        <v>621.88573368596894</v>
      </c>
      <c r="K216" s="2">
        <v>23.408811410452</v>
      </c>
      <c r="L216" s="2">
        <v>2353.6161158376699</v>
      </c>
      <c r="M216" s="2">
        <v>5112.8306626595004</v>
      </c>
      <c r="N216" s="3">
        <f t="shared" si="9"/>
        <v>28152.044488349584</v>
      </c>
      <c r="O216" s="2">
        <v>0.15951742017661</v>
      </c>
      <c r="P216" s="2">
        <v>2.8496002520669199</v>
      </c>
      <c r="Q216" s="2">
        <v>8.6748414816805202</v>
      </c>
      <c r="R216" s="2">
        <v>5.5046364770520304</v>
      </c>
      <c r="S216" s="2">
        <v>2.4655775380559999</v>
      </c>
      <c r="T216" s="2">
        <v>0.346751722814862</v>
      </c>
      <c r="U216" s="2">
        <v>1.5841131578874099</v>
      </c>
      <c r="V216" s="2">
        <v>5.2508419412258096</v>
      </c>
      <c r="W216" s="2">
        <v>19.257519222338299</v>
      </c>
      <c r="X216" s="2">
        <v>4.0858798801841196</v>
      </c>
      <c r="Y216" s="2">
        <v>1.65643918141353</v>
      </c>
      <c r="Z216" s="2">
        <v>3.6921793689287399</v>
      </c>
      <c r="AA216" s="3">
        <f t="shared" si="10"/>
        <v>55.527897643824851</v>
      </c>
      <c r="AB216" t="s">
        <v>63</v>
      </c>
      <c r="AC216">
        <v>102.01</v>
      </c>
      <c r="AD216">
        <v>115.57</v>
      </c>
      <c r="AE216">
        <v>22.91</v>
      </c>
      <c r="AF216">
        <v>23.32</v>
      </c>
      <c r="AG216">
        <v>62.79</v>
      </c>
      <c r="AH216">
        <v>0.09</v>
      </c>
      <c r="AI216">
        <v>24.44</v>
      </c>
      <c r="AJ216">
        <v>52.54</v>
      </c>
      <c r="AK216">
        <v>14.24</v>
      </c>
      <c r="AL216">
        <v>0.93</v>
      </c>
      <c r="AM216">
        <v>47.26</v>
      </c>
      <c r="AN216">
        <v>102.62</v>
      </c>
      <c r="AO216" s="1">
        <f t="shared" si="11"/>
        <v>568.72</v>
      </c>
    </row>
    <row r="217" spans="1:41" x14ac:dyDescent="0.25">
      <c r="A217" t="s">
        <v>260</v>
      </c>
      <c r="B217" s="2">
        <v>5086.3271387548202</v>
      </c>
      <c r="C217" s="2">
        <v>7691.5442910125503</v>
      </c>
      <c r="D217" s="2">
        <v>5200.1045807526998</v>
      </c>
      <c r="E217" s="2">
        <v>1060.7234598410901</v>
      </c>
      <c r="F217" s="2">
        <v>3683.0344632245801</v>
      </c>
      <c r="G217" s="2">
        <v>0</v>
      </c>
      <c r="H217" s="2">
        <v>2146.0371878618798</v>
      </c>
      <c r="I217" s="2">
        <v>6697.8033994216903</v>
      </c>
      <c r="J217" s="2">
        <v>0</v>
      </c>
      <c r="K217" s="2">
        <v>1364.0937234600999</v>
      </c>
      <c r="L217" s="2">
        <v>2941.5143128351401</v>
      </c>
      <c r="M217" s="2">
        <v>0</v>
      </c>
      <c r="N217" s="3">
        <f t="shared" si="9"/>
        <v>35871.182557164546</v>
      </c>
      <c r="O217" s="2">
        <v>0</v>
      </c>
      <c r="P217" s="2">
        <v>0</v>
      </c>
      <c r="Q217" s="2">
        <v>2.3368612999303799</v>
      </c>
      <c r="R217" s="2">
        <v>2.9104842861967901</v>
      </c>
      <c r="S217" s="2">
        <v>2.2009800048247201</v>
      </c>
      <c r="T217" s="2">
        <v>2.7391743104490498</v>
      </c>
      <c r="U217" s="2">
        <v>3.9998691065651899</v>
      </c>
      <c r="V217" s="2">
        <v>0.29609915200693698</v>
      </c>
      <c r="W217" s="2">
        <v>0</v>
      </c>
      <c r="X217" s="2">
        <v>10.816282203080901</v>
      </c>
      <c r="Y217" s="2">
        <v>4.1072812991678704</v>
      </c>
      <c r="Z217" s="2">
        <v>3.2359257513675001E-2</v>
      </c>
      <c r="AA217" s="3">
        <f t="shared" si="10"/>
        <v>29.439390919735512</v>
      </c>
      <c r="AB217" t="s">
        <v>63</v>
      </c>
      <c r="AC217">
        <v>101.74</v>
      </c>
      <c r="AD217">
        <v>153.84</v>
      </c>
      <c r="AE217">
        <v>104.29</v>
      </c>
      <c r="AF217">
        <v>21.49</v>
      </c>
      <c r="AG217">
        <v>73.95</v>
      </c>
      <c r="AH217">
        <v>0.27</v>
      </c>
      <c r="AI217">
        <v>43.3</v>
      </c>
      <c r="AJ217">
        <v>134.05000000000001</v>
      </c>
      <c r="AK217">
        <v>0</v>
      </c>
      <c r="AL217">
        <v>28.29</v>
      </c>
      <c r="AM217">
        <v>59.29</v>
      </c>
      <c r="AN217">
        <v>0.09</v>
      </c>
      <c r="AO217" s="1">
        <f t="shared" si="11"/>
        <v>720.6</v>
      </c>
    </row>
    <row r="218" spans="1:41" x14ac:dyDescent="0.25">
      <c r="A218" t="s">
        <v>261</v>
      </c>
      <c r="B218" s="2">
        <v>5084.1895034971503</v>
      </c>
      <c r="C218" s="2">
        <v>20728.097642582099</v>
      </c>
      <c r="D218" s="2">
        <v>0</v>
      </c>
      <c r="E218" s="2">
        <v>2513.8527228734602</v>
      </c>
      <c r="F218" s="2">
        <v>339.31368641466503</v>
      </c>
      <c r="G218" s="2">
        <v>0</v>
      </c>
      <c r="H218" s="2">
        <v>1588.83827312371</v>
      </c>
      <c r="I218" s="2">
        <v>2199.8917212776701</v>
      </c>
      <c r="J218" s="2">
        <v>9853.3244197658496</v>
      </c>
      <c r="K218" s="2">
        <v>1309.8310703842401</v>
      </c>
      <c r="L218" s="2">
        <v>2807.23231193833</v>
      </c>
      <c r="M218" s="2">
        <v>1226.59321304421</v>
      </c>
      <c r="N218" s="3">
        <f t="shared" si="9"/>
        <v>47651.164564901388</v>
      </c>
      <c r="O218" s="2">
        <v>1.5449973756003901</v>
      </c>
      <c r="P218" s="2">
        <v>2.31482704309833</v>
      </c>
      <c r="Q218" s="2">
        <v>1.88553469172526</v>
      </c>
      <c r="R218" s="2">
        <v>4.1423314160459803</v>
      </c>
      <c r="S218" s="2">
        <v>2.5172237365794001</v>
      </c>
      <c r="T218" s="2">
        <v>0.116968637588462</v>
      </c>
      <c r="U218" s="2">
        <v>0.66244251326944903</v>
      </c>
      <c r="V218" s="2">
        <v>0.92673340075563904</v>
      </c>
      <c r="W218" s="2">
        <v>0.57754152551494897</v>
      </c>
      <c r="X218" s="2">
        <v>13.120667032910699</v>
      </c>
      <c r="Y218" s="2">
        <v>3.6271111406276599</v>
      </c>
      <c r="Z218" s="2">
        <v>1.64679769723617</v>
      </c>
      <c r="AA218" s="3">
        <f t="shared" si="10"/>
        <v>33.083176210952388</v>
      </c>
      <c r="AB218" t="s">
        <v>45</v>
      </c>
      <c r="AC218">
        <v>60.94</v>
      </c>
      <c r="AD218">
        <v>217.43</v>
      </c>
      <c r="AE218">
        <v>10.09</v>
      </c>
      <c r="AF218">
        <v>35.380000000000003</v>
      </c>
      <c r="AG218">
        <v>13.54</v>
      </c>
      <c r="AH218">
        <v>10.039999999999999</v>
      </c>
      <c r="AI218">
        <v>25.93</v>
      </c>
      <c r="AJ218">
        <v>32.04</v>
      </c>
      <c r="AK218">
        <v>108.58</v>
      </c>
      <c r="AL218">
        <v>23.79</v>
      </c>
      <c r="AM218">
        <v>38.270000000000003</v>
      </c>
      <c r="AN218">
        <v>22.36</v>
      </c>
      <c r="AO218" s="1">
        <f t="shared" si="11"/>
        <v>598.39</v>
      </c>
    </row>
    <row r="219" spans="1:41" x14ac:dyDescent="0.25">
      <c r="A219" t="s">
        <v>262</v>
      </c>
      <c r="B219" s="2">
        <v>5081.90348598744</v>
      </c>
      <c r="C219" s="2">
        <v>0</v>
      </c>
      <c r="D219" s="2">
        <v>2131.7862579333701</v>
      </c>
      <c r="E219" s="2">
        <v>3217.0393261629401</v>
      </c>
      <c r="F219" s="2">
        <v>3402.4736171135801</v>
      </c>
      <c r="G219" s="2">
        <v>472.95648756048098</v>
      </c>
      <c r="H219" s="2">
        <v>3918.8871956693702</v>
      </c>
      <c r="I219" s="2">
        <v>0</v>
      </c>
      <c r="J219" s="2">
        <v>1811.7592299928799</v>
      </c>
      <c r="K219" s="2">
        <v>1605.7345344699299</v>
      </c>
      <c r="L219" s="2">
        <v>9007.4074825528296</v>
      </c>
      <c r="M219" s="2">
        <v>1053.52971188887</v>
      </c>
      <c r="N219" s="3">
        <f t="shared" si="9"/>
        <v>31703.47732933169</v>
      </c>
      <c r="O219" s="2">
        <v>5.6560680950227997</v>
      </c>
      <c r="P219" s="2">
        <v>3.1112160372919799</v>
      </c>
      <c r="Q219" s="2">
        <v>7.1264397791116103</v>
      </c>
      <c r="R219" s="2">
        <v>2.4152118876651798</v>
      </c>
      <c r="S219" s="2">
        <v>6.5579553415538401</v>
      </c>
      <c r="T219" s="2">
        <v>0</v>
      </c>
      <c r="U219" s="2">
        <v>1.9158655208374</v>
      </c>
      <c r="V219" s="2">
        <v>3.0186884441654902</v>
      </c>
      <c r="W219" s="2">
        <v>1.9398974130498099</v>
      </c>
      <c r="X219" s="2">
        <v>7.8700577347837003E-2</v>
      </c>
      <c r="Y219" s="2">
        <v>6.7448193952398503</v>
      </c>
      <c r="Z219" s="2">
        <v>0</v>
      </c>
      <c r="AA219" s="3">
        <f t="shared" si="10"/>
        <v>38.564862491285801</v>
      </c>
      <c r="AB219" t="s">
        <v>63</v>
      </c>
      <c r="AC219">
        <v>102.18</v>
      </c>
      <c r="AD219">
        <v>0.36</v>
      </c>
      <c r="AE219">
        <v>43.36</v>
      </c>
      <c r="AF219">
        <v>64.63</v>
      </c>
      <c r="AG219">
        <v>68.69</v>
      </c>
      <c r="AH219">
        <v>9.4600000000000009</v>
      </c>
      <c r="AI219">
        <v>78.56</v>
      </c>
      <c r="AJ219">
        <v>0.36</v>
      </c>
      <c r="AK219">
        <v>36.42</v>
      </c>
      <c r="AL219">
        <v>32.21</v>
      </c>
      <c r="AM219">
        <v>180.79</v>
      </c>
      <c r="AN219">
        <v>21.08</v>
      </c>
      <c r="AO219" s="1">
        <f t="shared" si="11"/>
        <v>638.1</v>
      </c>
    </row>
    <row r="220" spans="1:41" x14ac:dyDescent="0.25">
      <c r="A220" t="s">
        <v>263</v>
      </c>
      <c r="B220" s="2">
        <v>5070.2349290399397</v>
      </c>
      <c r="C220" s="2">
        <v>5246.4106744667697</v>
      </c>
      <c r="D220" s="2">
        <v>4329.5272799397399</v>
      </c>
      <c r="E220" s="2">
        <v>3970.51624815583</v>
      </c>
      <c r="F220" s="2">
        <v>374.70260547938</v>
      </c>
      <c r="G220" s="2">
        <v>5547.4958194275996</v>
      </c>
      <c r="H220" s="2">
        <v>256.57996008122598</v>
      </c>
      <c r="I220" s="2">
        <v>1085.99041145766</v>
      </c>
      <c r="J220" s="2">
        <v>10448.788926229499</v>
      </c>
      <c r="K220" s="2">
        <v>1960.2217909956801</v>
      </c>
      <c r="L220" s="2">
        <v>12381.7946484031</v>
      </c>
      <c r="M220" s="2">
        <v>0</v>
      </c>
      <c r="N220" s="3">
        <f t="shared" si="9"/>
        <v>50672.26329367642</v>
      </c>
      <c r="O220" s="2">
        <v>3.47619244918056</v>
      </c>
      <c r="P220" s="2">
        <v>2.2428872774770001</v>
      </c>
      <c r="Q220" s="2">
        <v>7.3205669532712099</v>
      </c>
      <c r="R220" s="2">
        <v>2.2542601992831299</v>
      </c>
      <c r="S220" s="2">
        <v>2.75441811732223</v>
      </c>
      <c r="T220" s="2">
        <v>2.8907709809475199</v>
      </c>
      <c r="U220" s="2">
        <v>4.5573054424640103E-2</v>
      </c>
      <c r="V220" s="2">
        <v>8.0727395997670808</v>
      </c>
      <c r="W220" s="2">
        <v>1.5213805869463399</v>
      </c>
      <c r="X220" s="2">
        <v>16.746730640411201</v>
      </c>
      <c r="Y220" s="2">
        <v>5.79720376283578</v>
      </c>
      <c r="Z220" s="2">
        <v>0.60308485871620698</v>
      </c>
      <c r="AA220" s="3">
        <f t="shared" si="10"/>
        <v>53.725808480582891</v>
      </c>
      <c r="AB220" t="s">
        <v>63</v>
      </c>
      <c r="AC220">
        <v>101.78</v>
      </c>
      <c r="AD220">
        <v>105.21</v>
      </c>
      <c r="AE220">
        <v>87.32</v>
      </c>
      <c r="AF220">
        <v>79.69</v>
      </c>
      <c r="AG220">
        <v>7.77</v>
      </c>
      <c r="AH220">
        <v>111.23</v>
      </c>
      <c r="AI220">
        <v>5.23</v>
      </c>
      <c r="AJ220">
        <v>22.53</v>
      </c>
      <c r="AK220">
        <v>209.16</v>
      </c>
      <c r="AL220">
        <v>40.75</v>
      </c>
      <c r="AM220">
        <v>248.18</v>
      </c>
      <c r="AN220">
        <v>0.09</v>
      </c>
      <c r="AO220" s="1">
        <f t="shared" si="11"/>
        <v>1018.9399999999999</v>
      </c>
    </row>
    <row r="221" spans="1:41" x14ac:dyDescent="0.25">
      <c r="A221" t="s">
        <v>264</v>
      </c>
      <c r="B221" s="2">
        <v>5047.3320377780201</v>
      </c>
      <c r="C221" s="2">
        <v>4105.6124338719001</v>
      </c>
      <c r="D221" s="2">
        <v>2790.7650572580401</v>
      </c>
      <c r="E221" s="2">
        <v>1122.3677224007699</v>
      </c>
      <c r="F221" s="2">
        <v>3952.48612217865</v>
      </c>
      <c r="G221" s="2">
        <v>7772.31899808857</v>
      </c>
      <c r="H221" s="2">
        <v>528.31615903931595</v>
      </c>
      <c r="I221" s="2">
        <v>594.91395875487501</v>
      </c>
      <c r="J221" s="2">
        <v>1349.2855326881499</v>
      </c>
      <c r="K221" s="2">
        <v>9467.2713291488199</v>
      </c>
      <c r="L221" s="2">
        <v>3215.2473565403502</v>
      </c>
      <c r="M221" s="2">
        <v>10823.376500441</v>
      </c>
      <c r="N221" s="3">
        <f t="shared" si="9"/>
        <v>50769.293208188465</v>
      </c>
      <c r="O221" s="2">
        <v>3.97257802812479</v>
      </c>
      <c r="P221" s="2">
        <v>1.3301855794908699</v>
      </c>
      <c r="Q221" s="2">
        <v>2.7461654834283999</v>
      </c>
      <c r="R221" s="2">
        <v>6.2066744978657802</v>
      </c>
      <c r="S221" s="2">
        <v>0</v>
      </c>
      <c r="T221" s="2">
        <v>5.6502839352473604</v>
      </c>
      <c r="U221" s="2">
        <v>7.5561430867477304</v>
      </c>
      <c r="V221" s="2">
        <v>1.17875102656594</v>
      </c>
      <c r="W221" s="2">
        <v>0.99239450023457498</v>
      </c>
      <c r="X221" s="2">
        <v>4.4280324195090799</v>
      </c>
      <c r="Y221" s="2">
        <v>3.0363459851176402</v>
      </c>
      <c r="Z221" s="2">
        <v>3.0082495208975102</v>
      </c>
      <c r="AA221" s="3">
        <f t="shared" si="10"/>
        <v>40.105804063229677</v>
      </c>
      <c r="AB221" t="s">
        <v>45</v>
      </c>
      <c r="AC221">
        <v>60.67</v>
      </c>
      <c r="AD221">
        <v>51.15</v>
      </c>
      <c r="AE221">
        <v>38.049999999999997</v>
      </c>
      <c r="AF221">
        <v>21.57</v>
      </c>
      <c r="AG221">
        <v>49.52</v>
      </c>
      <c r="AH221">
        <v>88.02</v>
      </c>
      <c r="AI221">
        <v>15.68</v>
      </c>
      <c r="AJ221">
        <v>16.04</v>
      </c>
      <c r="AK221">
        <v>23.54</v>
      </c>
      <c r="AL221">
        <v>104.92</v>
      </c>
      <c r="AM221">
        <v>42.35</v>
      </c>
      <c r="AN221">
        <v>118.43</v>
      </c>
      <c r="AO221" s="1">
        <f t="shared" si="11"/>
        <v>629.94000000000005</v>
      </c>
    </row>
    <row r="222" spans="1:41" x14ac:dyDescent="0.25">
      <c r="A222" t="s">
        <v>265</v>
      </c>
      <c r="B222" s="2">
        <v>5043.9067040998498</v>
      </c>
      <c r="C222" s="2">
        <v>0</v>
      </c>
      <c r="D222" s="2">
        <v>10277.8083433926</v>
      </c>
      <c r="E222" s="2">
        <v>2343.0989171312199</v>
      </c>
      <c r="F222" s="2">
        <v>9200.7456753137703</v>
      </c>
      <c r="G222" s="2">
        <v>0</v>
      </c>
      <c r="H222" s="2">
        <v>3951.78404480378</v>
      </c>
      <c r="I222" s="2">
        <v>3063.7962791722198</v>
      </c>
      <c r="J222" s="2">
        <v>2565.30054177172</v>
      </c>
      <c r="K222" s="2">
        <v>1016.78300592111</v>
      </c>
      <c r="L222" s="2">
        <v>4172.5917013143699</v>
      </c>
      <c r="M222" s="2">
        <v>337.32780036447798</v>
      </c>
      <c r="N222" s="3">
        <f t="shared" si="9"/>
        <v>41973.143013285124</v>
      </c>
      <c r="O222" s="2">
        <v>5.7774533697662402</v>
      </c>
      <c r="P222" s="2">
        <v>8.5676267860328803</v>
      </c>
      <c r="Q222" s="2">
        <v>2.3615912342097398</v>
      </c>
      <c r="R222" s="2">
        <v>0.71132880813253097</v>
      </c>
      <c r="S222" s="2">
        <v>2.9190320320434302</v>
      </c>
      <c r="T222" s="2">
        <v>6.6454302869517399</v>
      </c>
      <c r="U222" s="2">
        <v>1.46518639364974</v>
      </c>
      <c r="V222" s="2">
        <v>0.49294287478681997</v>
      </c>
      <c r="W222" s="2">
        <v>1.3832604348573601</v>
      </c>
      <c r="X222" s="2">
        <v>2.2016501830935602</v>
      </c>
      <c r="Y222" s="2">
        <v>9.8457893659468692</v>
      </c>
      <c r="Z222" s="2">
        <v>5.5379426016167503</v>
      </c>
      <c r="AA222" s="3">
        <f t="shared" si="10"/>
        <v>47.909234371087663</v>
      </c>
      <c r="AB222" t="s">
        <v>45</v>
      </c>
      <c r="AC222">
        <v>60.73</v>
      </c>
      <c r="AD222">
        <v>10.44</v>
      </c>
      <c r="AE222">
        <v>112.92</v>
      </c>
      <c r="AF222">
        <v>33.479999999999997</v>
      </c>
      <c r="AG222">
        <v>102.15</v>
      </c>
      <c r="AH222">
        <v>10.34</v>
      </c>
      <c r="AI222">
        <v>49.61</v>
      </c>
      <c r="AJ222">
        <v>40.68</v>
      </c>
      <c r="AK222">
        <v>35.75</v>
      </c>
      <c r="AL222">
        <v>20.309999999999999</v>
      </c>
      <c r="AM222">
        <v>52.22</v>
      </c>
      <c r="AN222">
        <v>13.67</v>
      </c>
      <c r="AO222" s="1">
        <f t="shared" si="11"/>
        <v>542.29999999999995</v>
      </c>
    </row>
    <row r="223" spans="1:41" x14ac:dyDescent="0.25">
      <c r="A223" t="s">
        <v>266</v>
      </c>
      <c r="B223" s="2">
        <v>5018.8857562641597</v>
      </c>
      <c r="C223" s="2">
        <v>342.693200359434</v>
      </c>
      <c r="D223" s="2">
        <v>1859.2192070707999</v>
      </c>
      <c r="E223" s="2">
        <v>11413.1842882765</v>
      </c>
      <c r="F223" s="2">
        <v>3619.70110844492</v>
      </c>
      <c r="G223" s="2">
        <v>11131.3504396177</v>
      </c>
      <c r="H223" s="2">
        <v>5212.8129199707901</v>
      </c>
      <c r="I223" s="2">
        <v>4652.4233913911303</v>
      </c>
      <c r="J223" s="2">
        <v>3904.9554230696899</v>
      </c>
      <c r="K223" s="2">
        <v>1106.5533676842001</v>
      </c>
      <c r="L223" s="2">
        <v>1958.4989209053099</v>
      </c>
      <c r="M223" s="2">
        <v>546.60667641536497</v>
      </c>
      <c r="N223" s="3">
        <f t="shared" si="9"/>
        <v>50766.88469947</v>
      </c>
      <c r="O223" s="2">
        <v>3.2443127309430801</v>
      </c>
      <c r="P223" s="2">
        <v>0</v>
      </c>
      <c r="Q223" s="2">
        <v>7.5169350117359599</v>
      </c>
      <c r="R223" s="2">
        <v>3.5898952156378798</v>
      </c>
      <c r="S223" s="2">
        <v>1.14488856219914</v>
      </c>
      <c r="T223" s="2">
        <v>0</v>
      </c>
      <c r="U223" s="2">
        <v>2.8011032760770802</v>
      </c>
      <c r="V223" s="2">
        <v>4.3986149146435096</v>
      </c>
      <c r="W223" s="2">
        <v>1.1754339374103999</v>
      </c>
      <c r="X223" s="2">
        <v>3.80625995798197</v>
      </c>
      <c r="Y223" s="2">
        <v>3.7579199565458001</v>
      </c>
      <c r="Z223" s="2">
        <v>11.9490882552616</v>
      </c>
      <c r="AA223" s="3">
        <f t="shared" si="10"/>
        <v>43.384451818436418</v>
      </c>
      <c r="AB223" t="s">
        <v>45</v>
      </c>
      <c r="AC223">
        <v>60.38</v>
      </c>
      <c r="AD223">
        <v>13.42</v>
      </c>
      <c r="AE223">
        <v>28.99</v>
      </c>
      <c r="AF223">
        <v>124.33</v>
      </c>
      <c r="AG223">
        <v>46.29</v>
      </c>
      <c r="AH223">
        <v>121.31</v>
      </c>
      <c r="AI223">
        <v>62.27</v>
      </c>
      <c r="AJ223">
        <v>56.77</v>
      </c>
      <c r="AK223">
        <v>49.14</v>
      </c>
      <c r="AL223">
        <v>21.26</v>
      </c>
      <c r="AM223">
        <v>29.78</v>
      </c>
      <c r="AN223">
        <v>16.059999999999999</v>
      </c>
      <c r="AO223" s="1">
        <f t="shared" si="11"/>
        <v>629.99999999999989</v>
      </c>
    </row>
    <row r="224" spans="1:41" x14ac:dyDescent="0.25">
      <c r="A224" t="s">
        <v>267</v>
      </c>
      <c r="B224" s="2">
        <v>5015.7083191213896</v>
      </c>
      <c r="C224" s="2">
        <v>0</v>
      </c>
      <c r="D224" s="2">
        <v>345.89544489204599</v>
      </c>
      <c r="E224" s="2">
        <v>1976.7111191136601</v>
      </c>
      <c r="F224" s="2">
        <v>1749.8188994647301</v>
      </c>
      <c r="G224" s="2">
        <v>6857.3272377451503</v>
      </c>
      <c r="H224" s="2">
        <v>4831.0566196176997</v>
      </c>
      <c r="I224" s="2">
        <v>1103.5580286372401</v>
      </c>
      <c r="J224" s="2">
        <v>725.37735219492799</v>
      </c>
      <c r="K224" s="2">
        <v>952.48186487781595</v>
      </c>
      <c r="L224" s="2">
        <v>895.927694074589</v>
      </c>
      <c r="M224" s="2">
        <v>1426.78697353403</v>
      </c>
      <c r="N224" s="3">
        <f t="shared" si="9"/>
        <v>25880.649553273281</v>
      </c>
      <c r="O224" s="2">
        <v>13.1789625010598</v>
      </c>
      <c r="P224" s="2">
        <v>8.0315409625647192</v>
      </c>
      <c r="Q224" s="2">
        <v>0.79256922977704702</v>
      </c>
      <c r="R224" s="2">
        <v>5.0540537695528798</v>
      </c>
      <c r="S224" s="2">
        <v>23.3073183667167</v>
      </c>
      <c r="T224" s="2">
        <v>0</v>
      </c>
      <c r="U224" s="2">
        <v>1.4914022119638699</v>
      </c>
      <c r="V224" s="2">
        <v>4.2416928776827998</v>
      </c>
      <c r="W224" s="2">
        <v>1.3402060257146899</v>
      </c>
      <c r="X224" s="2">
        <v>0</v>
      </c>
      <c r="Y224" s="2">
        <v>0.60861007633255604</v>
      </c>
      <c r="Z224" s="2">
        <v>4.4351216561242697E-2</v>
      </c>
      <c r="AA224" s="3">
        <f t="shared" si="10"/>
        <v>58.09070723792631</v>
      </c>
      <c r="AB224" t="s">
        <v>63</v>
      </c>
      <c r="AC224">
        <v>101.58</v>
      </c>
      <c r="AD224">
        <v>0.81</v>
      </c>
      <c r="AE224">
        <v>7.01</v>
      </c>
      <c r="AF224">
        <v>40.08</v>
      </c>
      <c r="AG224">
        <v>37.159999999999997</v>
      </c>
      <c r="AH224">
        <v>137.16</v>
      </c>
      <c r="AI224">
        <v>96.82</v>
      </c>
      <c r="AJ224">
        <v>22.53</v>
      </c>
      <c r="AK224">
        <v>14.7</v>
      </c>
      <c r="AL224">
        <v>19.059999999999999</v>
      </c>
      <c r="AM224">
        <v>18.010000000000002</v>
      </c>
      <c r="AN224">
        <v>28.63</v>
      </c>
      <c r="AO224" s="1">
        <f t="shared" si="11"/>
        <v>523.54999999999995</v>
      </c>
    </row>
    <row r="225" spans="1:41" x14ac:dyDescent="0.25">
      <c r="A225" t="s">
        <v>268</v>
      </c>
      <c r="B225" s="2">
        <v>5011.6284494298498</v>
      </c>
      <c r="C225" s="2">
        <v>951.931896200295</v>
      </c>
      <c r="D225" s="2">
        <v>296.81366751602701</v>
      </c>
      <c r="E225" s="2">
        <v>487.25054898744798</v>
      </c>
      <c r="F225" s="2">
        <v>685.51326052749801</v>
      </c>
      <c r="G225" s="2">
        <v>1802.01526656483</v>
      </c>
      <c r="H225" s="2">
        <v>3440.6425524250399</v>
      </c>
      <c r="I225" s="2">
        <v>15784.0793888228</v>
      </c>
      <c r="J225" s="2">
        <v>0</v>
      </c>
      <c r="K225" s="2">
        <v>523.38458616286903</v>
      </c>
      <c r="L225" s="2">
        <v>1714.09829379655</v>
      </c>
      <c r="M225" s="2">
        <v>8817.4782482917908</v>
      </c>
      <c r="N225" s="3">
        <f t="shared" si="9"/>
        <v>39514.836158724996</v>
      </c>
      <c r="O225" s="2">
        <v>4.29702179456216</v>
      </c>
      <c r="P225" s="2">
        <v>2.9456783697302802</v>
      </c>
      <c r="Q225" s="2">
        <v>1.94631359567156</v>
      </c>
      <c r="R225" s="2">
        <v>11.0658195727133</v>
      </c>
      <c r="S225" s="2">
        <v>4.0973230041027904</v>
      </c>
      <c r="T225" s="2">
        <v>3.16167800601285</v>
      </c>
      <c r="U225" s="2">
        <v>0</v>
      </c>
      <c r="V225" s="2">
        <v>0.82328432965306797</v>
      </c>
      <c r="W225" s="2">
        <v>0</v>
      </c>
      <c r="X225" s="2">
        <v>0.47486249268144398</v>
      </c>
      <c r="Y225" s="2">
        <v>3.3968075921257399</v>
      </c>
      <c r="Z225" s="2">
        <v>1.0207671469767701</v>
      </c>
      <c r="AA225" s="3">
        <f t="shared" si="10"/>
        <v>33.229555904229962</v>
      </c>
      <c r="AB225" t="s">
        <v>45</v>
      </c>
      <c r="AC225">
        <v>60.36</v>
      </c>
      <c r="AD225">
        <v>19.66</v>
      </c>
      <c r="AE225">
        <v>13.06</v>
      </c>
      <c r="AF225">
        <v>15.47</v>
      </c>
      <c r="AG225">
        <v>17.100000000000001</v>
      </c>
      <c r="AH225">
        <v>28.22</v>
      </c>
      <c r="AI225">
        <v>44.4</v>
      </c>
      <c r="AJ225">
        <v>167.89</v>
      </c>
      <c r="AK225">
        <v>9.99</v>
      </c>
      <c r="AL225">
        <v>15.28</v>
      </c>
      <c r="AM225">
        <v>27.34</v>
      </c>
      <c r="AN225">
        <v>98.27</v>
      </c>
      <c r="AO225" s="1">
        <f t="shared" si="11"/>
        <v>517.04</v>
      </c>
    </row>
    <row r="226" spans="1:41" x14ac:dyDescent="0.25">
      <c r="A226" t="s">
        <v>269</v>
      </c>
      <c r="B226" s="2">
        <v>5010.7348897474603</v>
      </c>
      <c r="C226" s="2">
        <v>1970.7704323038799</v>
      </c>
      <c r="D226" s="2">
        <v>4183.4684207870196</v>
      </c>
      <c r="E226" s="2">
        <v>4974.7566355101999</v>
      </c>
      <c r="F226" s="2">
        <v>1892.1410577863401</v>
      </c>
      <c r="G226" s="2">
        <v>0</v>
      </c>
      <c r="H226" s="2">
        <v>8933.6785819038705</v>
      </c>
      <c r="I226" s="2">
        <v>3877.4366195808402</v>
      </c>
      <c r="J226" s="2">
        <v>4447.2696149890799</v>
      </c>
      <c r="K226" s="2">
        <v>0</v>
      </c>
      <c r="L226" s="2">
        <v>5183.8707454138103</v>
      </c>
      <c r="M226" s="2">
        <v>3135.30064721503</v>
      </c>
      <c r="N226" s="3">
        <f t="shared" si="9"/>
        <v>43609.427645237527</v>
      </c>
      <c r="O226" s="2">
        <v>5.5370016687293502</v>
      </c>
      <c r="P226" s="2">
        <v>4.7335220721533497</v>
      </c>
      <c r="Q226" s="2">
        <v>0.21109176373660801</v>
      </c>
      <c r="R226" s="2">
        <v>1.16834381403023</v>
      </c>
      <c r="S226" s="2">
        <v>0.122645438510964</v>
      </c>
      <c r="T226" s="2">
        <v>2.66167335826758</v>
      </c>
      <c r="U226" s="2">
        <v>1.4930719030303099</v>
      </c>
      <c r="V226" s="2">
        <v>2.01135391853534</v>
      </c>
      <c r="W226" s="2">
        <v>0</v>
      </c>
      <c r="X226" s="2">
        <v>8.5125309585772593E-2</v>
      </c>
      <c r="Y226" s="2">
        <v>4.1095802360720297</v>
      </c>
      <c r="Z226" s="2">
        <v>0.88035086947580798</v>
      </c>
      <c r="AA226" s="3">
        <f t="shared" si="10"/>
        <v>23.013760352127345</v>
      </c>
      <c r="AB226" t="s">
        <v>45</v>
      </c>
      <c r="AC226">
        <v>60.4</v>
      </c>
      <c r="AD226">
        <v>29.95</v>
      </c>
      <c r="AE226">
        <v>51.88</v>
      </c>
      <c r="AF226">
        <v>59.84</v>
      </c>
      <c r="AG226">
        <v>28.97</v>
      </c>
      <c r="AH226">
        <v>10.14</v>
      </c>
      <c r="AI226">
        <v>99.43</v>
      </c>
      <c r="AJ226">
        <v>48.92</v>
      </c>
      <c r="AK226">
        <v>54.47</v>
      </c>
      <c r="AL226">
        <v>10.039999999999999</v>
      </c>
      <c r="AM226">
        <v>62.08</v>
      </c>
      <c r="AN226">
        <v>41.4</v>
      </c>
      <c r="AO226" s="1">
        <f t="shared" si="11"/>
        <v>557.52</v>
      </c>
    </row>
    <row r="227" spans="1:41" x14ac:dyDescent="0.25">
      <c r="A227" t="s">
        <v>270</v>
      </c>
      <c r="B227" s="2">
        <v>4974.3806765130203</v>
      </c>
      <c r="C227" s="2">
        <v>1985.7927227370801</v>
      </c>
      <c r="D227" s="2">
        <v>2948.12974963239</v>
      </c>
      <c r="E227" s="2">
        <v>5249.6124973039596</v>
      </c>
      <c r="F227" s="2">
        <v>1512.12056170137</v>
      </c>
      <c r="G227" s="2">
        <v>14432.997636755699</v>
      </c>
      <c r="H227" s="2">
        <v>674.40954908138303</v>
      </c>
      <c r="I227" s="2">
        <v>2770.7628188521298</v>
      </c>
      <c r="J227" s="2">
        <v>8391.3629850525504</v>
      </c>
      <c r="K227" s="2">
        <v>10941.302312301899</v>
      </c>
      <c r="L227" s="2">
        <v>1684.5692073405401</v>
      </c>
      <c r="M227" s="2">
        <v>879.82704292944004</v>
      </c>
      <c r="N227" s="3">
        <f t="shared" si="9"/>
        <v>56445.267760201459</v>
      </c>
      <c r="O227" s="2">
        <v>5.1824126823753502</v>
      </c>
      <c r="P227" s="2">
        <v>5.75120224439405</v>
      </c>
      <c r="Q227" s="2">
        <v>6.97920879316698</v>
      </c>
      <c r="R227" s="2">
        <v>1.81473897102049</v>
      </c>
      <c r="S227" s="2">
        <v>2.1922387530742702</v>
      </c>
      <c r="T227" s="2">
        <v>4.4092249948007698</v>
      </c>
      <c r="U227" s="2">
        <v>2.4008020797324399</v>
      </c>
      <c r="V227" s="2">
        <v>6.8806502357730501</v>
      </c>
      <c r="W227" s="2">
        <v>1.0323043663649401</v>
      </c>
      <c r="X227" s="2">
        <v>1.5315061044479299</v>
      </c>
      <c r="Y227" s="2">
        <v>8.9279382765065805</v>
      </c>
      <c r="Z227" s="2">
        <v>6.6606154180747303</v>
      </c>
      <c r="AA227" s="3">
        <f t="shared" si="10"/>
        <v>53.762842919731582</v>
      </c>
      <c r="AB227" t="s">
        <v>45</v>
      </c>
      <c r="AC227">
        <v>60.04</v>
      </c>
      <c r="AD227">
        <v>30.15</v>
      </c>
      <c r="AE227">
        <v>39.83</v>
      </c>
      <c r="AF227">
        <v>62.59</v>
      </c>
      <c r="AG227">
        <v>25.27</v>
      </c>
      <c r="AH227">
        <v>154.57</v>
      </c>
      <c r="AI227">
        <v>16.89</v>
      </c>
      <c r="AJ227">
        <v>38.049999999999997</v>
      </c>
      <c r="AK227">
        <v>94.01</v>
      </c>
      <c r="AL227">
        <v>119.51</v>
      </c>
      <c r="AM227">
        <v>27.29</v>
      </c>
      <c r="AN227">
        <v>19.14</v>
      </c>
      <c r="AO227" s="1">
        <f t="shared" si="11"/>
        <v>687.33999999999992</v>
      </c>
    </row>
    <row r="228" spans="1:41" x14ac:dyDescent="0.25">
      <c r="A228" t="s">
        <v>271</v>
      </c>
      <c r="B228" s="2">
        <v>4959.8442241291395</v>
      </c>
      <c r="C228" s="2">
        <v>3138.33891130754</v>
      </c>
      <c r="D228" s="2">
        <v>0</v>
      </c>
      <c r="E228" s="2">
        <v>8628.8047749641992</v>
      </c>
      <c r="F228" s="2">
        <v>14739.1032291506</v>
      </c>
      <c r="G228" s="2">
        <v>2092.3829585225999</v>
      </c>
      <c r="H228" s="2">
        <v>4009.1287713103702</v>
      </c>
      <c r="I228" s="2">
        <v>2834.67883317326</v>
      </c>
      <c r="J228" s="2">
        <v>1280.0767504263499</v>
      </c>
      <c r="K228" s="2">
        <v>12.9858776234966</v>
      </c>
      <c r="L228" s="2">
        <v>2095.3626684699002</v>
      </c>
      <c r="M228" s="2">
        <v>6412.2438974221204</v>
      </c>
      <c r="N228" s="3">
        <f t="shared" si="9"/>
        <v>50202.950896499569</v>
      </c>
      <c r="O228" s="2">
        <v>2.3914267650209502</v>
      </c>
      <c r="P228" s="2">
        <v>10.6405942895565</v>
      </c>
      <c r="Q228" s="2">
        <v>4.4080821456942596</v>
      </c>
      <c r="R228" s="2">
        <v>4.5640347033679802</v>
      </c>
      <c r="S228" s="2">
        <v>0.77411899411211704</v>
      </c>
      <c r="T228" s="2">
        <v>2.1049487069485702</v>
      </c>
      <c r="U228" s="2">
        <v>1.8597689059036799E-3</v>
      </c>
      <c r="V228" s="2">
        <v>9.27763134396616</v>
      </c>
      <c r="W228" s="2">
        <v>3.5061800727698502</v>
      </c>
      <c r="X228" s="2">
        <v>6.5224945091583102</v>
      </c>
      <c r="Y228" s="2">
        <v>1.61597850332614</v>
      </c>
      <c r="Z228" s="2">
        <v>13.4446855858201</v>
      </c>
      <c r="AA228" s="3">
        <f t="shared" si="10"/>
        <v>59.252035388646846</v>
      </c>
      <c r="AB228" t="s">
        <v>45</v>
      </c>
      <c r="AC228">
        <v>59.74</v>
      </c>
      <c r="AD228">
        <v>41.93</v>
      </c>
      <c r="AE228">
        <v>10.24</v>
      </c>
      <c r="AF228">
        <v>96.53</v>
      </c>
      <c r="AG228">
        <v>157.44</v>
      </c>
      <c r="AH228">
        <v>31.07</v>
      </c>
      <c r="AI228">
        <v>50.14</v>
      </c>
      <c r="AJ228">
        <v>38.840000000000003</v>
      </c>
      <c r="AK228">
        <v>23</v>
      </c>
      <c r="AL228">
        <v>10.47</v>
      </c>
      <c r="AM228">
        <v>31.05</v>
      </c>
      <c r="AN228">
        <v>74.819999999999993</v>
      </c>
      <c r="AO228" s="1">
        <f t="shared" si="11"/>
        <v>625.27</v>
      </c>
    </row>
    <row r="229" spans="1:41" x14ac:dyDescent="0.25">
      <c r="A229" t="s">
        <v>272</v>
      </c>
      <c r="B229" s="2">
        <v>4935.55818419978</v>
      </c>
      <c r="C229" s="2">
        <v>2477.25217077048</v>
      </c>
      <c r="D229" s="2">
        <v>7690.9451926711599</v>
      </c>
      <c r="E229" s="2">
        <v>711.68415296716296</v>
      </c>
      <c r="F229" s="2">
        <v>799.18178846036994</v>
      </c>
      <c r="G229" s="2">
        <v>2384.2703234037499</v>
      </c>
      <c r="H229" s="2">
        <v>4716.2548486472097</v>
      </c>
      <c r="I229" s="2">
        <v>4409.3681852392601</v>
      </c>
      <c r="J229" s="2">
        <v>283.23891687501299</v>
      </c>
      <c r="K229" s="2">
        <v>206.74357858656199</v>
      </c>
      <c r="L229" s="2">
        <v>585.04317827910302</v>
      </c>
      <c r="M229" s="2">
        <v>2973.8250168856798</v>
      </c>
      <c r="N229" s="3">
        <f t="shared" si="9"/>
        <v>32173.365536985533</v>
      </c>
      <c r="O229" s="2">
        <v>13.763301903180899</v>
      </c>
      <c r="P229" s="2">
        <v>1.32002771982733</v>
      </c>
      <c r="Q229" s="2">
        <v>6.9657878775750799</v>
      </c>
      <c r="R229" s="2">
        <v>2.2285742074793502</v>
      </c>
      <c r="S229" s="2">
        <v>0.35948125836095601</v>
      </c>
      <c r="T229" s="2">
        <v>1.40155105131055</v>
      </c>
      <c r="U229" s="2">
        <v>3.6804015635227398</v>
      </c>
      <c r="V229" s="2">
        <v>12.200604931813199</v>
      </c>
      <c r="W229" s="2">
        <v>9.3733715445415502</v>
      </c>
      <c r="X229" s="2">
        <v>1.2108795972997499</v>
      </c>
      <c r="Y229" s="2">
        <v>2.1485156681350701</v>
      </c>
      <c r="Z229" s="2">
        <v>0.29784430057350297</v>
      </c>
      <c r="AA229" s="3">
        <f t="shared" si="10"/>
        <v>54.95034162361997</v>
      </c>
      <c r="AB229" t="s">
        <v>63</v>
      </c>
      <c r="AC229">
        <v>99.98</v>
      </c>
      <c r="AD229">
        <v>49.74</v>
      </c>
      <c r="AE229">
        <v>154.44999999999999</v>
      </c>
      <c r="AF229">
        <v>14.51</v>
      </c>
      <c r="AG229">
        <v>16.09</v>
      </c>
      <c r="AH229">
        <v>47.88</v>
      </c>
      <c r="AI229">
        <v>94.7</v>
      </c>
      <c r="AJ229">
        <v>89.37</v>
      </c>
      <c r="AK229">
        <v>6.58</v>
      </c>
      <c r="AL229">
        <v>4.32</v>
      </c>
      <c r="AM229">
        <v>11.99</v>
      </c>
      <c r="AN229">
        <v>59.57</v>
      </c>
      <c r="AO229" s="1">
        <f t="shared" si="11"/>
        <v>649.18000000000006</v>
      </c>
    </row>
    <row r="230" spans="1:41" x14ac:dyDescent="0.25">
      <c r="A230" t="s">
        <v>273</v>
      </c>
      <c r="B230" s="2">
        <v>4931.7237323848603</v>
      </c>
      <c r="C230" s="2">
        <v>3725.7441246035501</v>
      </c>
      <c r="D230" s="2">
        <v>10291.2743821359</v>
      </c>
      <c r="E230" s="2">
        <v>13943.032903775</v>
      </c>
      <c r="F230" s="2">
        <v>19801.8154387342</v>
      </c>
      <c r="G230" s="2">
        <v>3167.41312026999</v>
      </c>
      <c r="H230" s="2">
        <v>9826.7827545130694</v>
      </c>
      <c r="I230" s="2">
        <v>1615.30500298485</v>
      </c>
      <c r="J230" s="2">
        <v>6331.3615956905496</v>
      </c>
      <c r="K230" s="2">
        <v>8016.7003260214096</v>
      </c>
      <c r="L230" s="2">
        <v>8953.1606929171703</v>
      </c>
      <c r="M230" s="2">
        <v>5707.4254221822903</v>
      </c>
      <c r="N230" s="3">
        <f t="shared" si="9"/>
        <v>96311.739496212846</v>
      </c>
      <c r="O230" s="2">
        <v>3.8377573658397499</v>
      </c>
      <c r="P230" s="2">
        <v>2.6239046599097202</v>
      </c>
      <c r="Q230" s="2">
        <v>4.9457750212285703</v>
      </c>
      <c r="R230" s="2">
        <v>1.9225216202297299</v>
      </c>
      <c r="S230" s="2">
        <v>6.3522613762186602</v>
      </c>
      <c r="T230" s="2">
        <v>0</v>
      </c>
      <c r="U230" s="2">
        <v>0</v>
      </c>
      <c r="V230" s="2">
        <v>9.4882214279398198</v>
      </c>
      <c r="W230" s="2">
        <v>5.93729900400443</v>
      </c>
      <c r="X230" s="2">
        <v>1.36999644109734</v>
      </c>
      <c r="Y230" s="2">
        <v>0</v>
      </c>
      <c r="Z230" s="2">
        <v>1.2884763160887001</v>
      </c>
      <c r="AA230" s="3">
        <f t="shared" si="10"/>
        <v>37.766213232556723</v>
      </c>
      <c r="AB230" t="s">
        <v>45</v>
      </c>
      <c r="AC230">
        <v>59.51</v>
      </c>
      <c r="AD230">
        <v>47.4</v>
      </c>
      <c r="AE230">
        <v>113.16</v>
      </c>
      <c r="AF230">
        <v>149.53</v>
      </c>
      <c r="AG230">
        <v>208.36</v>
      </c>
      <c r="AH230">
        <v>41.67</v>
      </c>
      <c r="AI230">
        <v>108.26</v>
      </c>
      <c r="AJ230">
        <v>26.65</v>
      </c>
      <c r="AK230">
        <v>73.61</v>
      </c>
      <c r="AL230">
        <v>90.26</v>
      </c>
      <c r="AM230">
        <v>99.53</v>
      </c>
      <c r="AN230">
        <v>67.17</v>
      </c>
      <c r="AO230" s="1">
        <f t="shared" si="11"/>
        <v>1085.1099999999999</v>
      </c>
    </row>
    <row r="231" spans="1:41" x14ac:dyDescent="0.25">
      <c r="A231" t="s">
        <v>274</v>
      </c>
      <c r="B231" s="2">
        <v>4929.1174717034801</v>
      </c>
      <c r="C231" s="2">
        <v>2284.8310441782401</v>
      </c>
      <c r="D231" s="2">
        <v>5846.52587724553</v>
      </c>
      <c r="E231" s="2">
        <v>3549.5469097453101</v>
      </c>
      <c r="F231" s="2">
        <v>4841.2878103080102</v>
      </c>
      <c r="G231" s="2">
        <v>697.26148847415197</v>
      </c>
      <c r="H231" s="2">
        <v>4083.65645422027</v>
      </c>
      <c r="I231" s="2">
        <v>2881.0079217042999</v>
      </c>
      <c r="J231" s="2">
        <v>3389.2283941661299</v>
      </c>
      <c r="K231" s="2">
        <v>3515.78515303719</v>
      </c>
      <c r="L231" s="2">
        <v>8754.1735390971699</v>
      </c>
      <c r="M231" s="2">
        <v>6208.8245293749496</v>
      </c>
      <c r="N231" s="3">
        <f t="shared" si="9"/>
        <v>50981.246593254735</v>
      </c>
      <c r="O231" s="2">
        <v>4.8781806958189202</v>
      </c>
      <c r="P231" s="2">
        <v>7.0074619762917498</v>
      </c>
      <c r="Q231" s="2">
        <v>6.0197667570053497</v>
      </c>
      <c r="R231" s="2">
        <v>0.69153491706130499</v>
      </c>
      <c r="S231" s="2">
        <v>7.0575623909790997</v>
      </c>
      <c r="T231" s="2">
        <v>0.158709818696534</v>
      </c>
      <c r="U231" s="2">
        <v>0</v>
      </c>
      <c r="V231" s="2">
        <v>3.4583708585138999</v>
      </c>
      <c r="W231" s="2">
        <v>2.2327946598597301</v>
      </c>
      <c r="X231" s="2">
        <v>9.0345652426502596</v>
      </c>
      <c r="Y231" s="2">
        <v>3.1719783117786999</v>
      </c>
      <c r="Z231" s="2">
        <v>0.77517372448300603</v>
      </c>
      <c r="AA231" s="3">
        <f t="shared" si="10"/>
        <v>44.486099353138549</v>
      </c>
      <c r="AB231" t="s">
        <v>45</v>
      </c>
      <c r="AC231">
        <v>59.54</v>
      </c>
      <c r="AD231">
        <v>33.24</v>
      </c>
      <c r="AE231">
        <v>68.81</v>
      </c>
      <c r="AF231">
        <v>45.54</v>
      </c>
      <c r="AG231">
        <v>58.81</v>
      </c>
      <c r="AH231">
        <v>17.02</v>
      </c>
      <c r="AI231">
        <v>50.83</v>
      </c>
      <c r="AJ231">
        <v>39.01</v>
      </c>
      <c r="AK231">
        <v>44.04</v>
      </c>
      <c r="AL231">
        <v>45.65</v>
      </c>
      <c r="AM231">
        <v>97.74</v>
      </c>
      <c r="AN231">
        <v>72.13</v>
      </c>
      <c r="AO231" s="1">
        <f t="shared" si="11"/>
        <v>632.3599999999999</v>
      </c>
    </row>
    <row r="232" spans="1:41" x14ac:dyDescent="0.25">
      <c r="A232" t="s">
        <v>275</v>
      </c>
      <c r="B232" s="2">
        <v>4928.9735103236098</v>
      </c>
      <c r="C232" s="2">
        <v>768.98737376336101</v>
      </c>
      <c r="D232" s="2">
        <v>2374.6173568612699</v>
      </c>
      <c r="E232" s="2">
        <v>1431.0159285668301</v>
      </c>
      <c r="F232" s="2">
        <v>7331.8571536813297</v>
      </c>
      <c r="G232" s="2">
        <v>1729.52673648102</v>
      </c>
      <c r="H232" s="2">
        <v>4512.6852906267904</v>
      </c>
      <c r="I232" s="2">
        <v>4960.9450944773198</v>
      </c>
      <c r="J232" s="2">
        <v>8548.6550322351595</v>
      </c>
      <c r="K232" s="2">
        <v>5617.4819349618701</v>
      </c>
      <c r="L232" s="2">
        <v>0</v>
      </c>
      <c r="M232" s="2">
        <v>6782.46399915661</v>
      </c>
      <c r="N232" s="3">
        <f t="shared" si="9"/>
        <v>48987.209411135169</v>
      </c>
      <c r="O232" s="2">
        <v>4.44192599437363</v>
      </c>
      <c r="P232" s="2">
        <v>10.9201339440206</v>
      </c>
      <c r="Q232" s="2">
        <v>8.0611721453813807</v>
      </c>
      <c r="R232" s="2">
        <v>7.3760842717780397</v>
      </c>
      <c r="S232" s="2">
        <v>5.5336402678676597</v>
      </c>
      <c r="T232" s="2">
        <v>4.7987336340972604</v>
      </c>
      <c r="U232" s="2">
        <v>0.93951348512056998</v>
      </c>
      <c r="V232" s="2">
        <v>8.0461743056059802</v>
      </c>
      <c r="W232" s="2">
        <v>4.4079729750943901</v>
      </c>
      <c r="X232" s="2">
        <v>4.33240771502921</v>
      </c>
      <c r="Y232" s="2">
        <v>0</v>
      </c>
      <c r="Z232" s="2">
        <v>0.935297051523445</v>
      </c>
      <c r="AA232" s="3">
        <f t="shared" si="10"/>
        <v>59.793055789892165</v>
      </c>
      <c r="AB232" t="s">
        <v>45</v>
      </c>
      <c r="AC232">
        <v>59.53</v>
      </c>
      <c r="AD232">
        <v>18.23</v>
      </c>
      <c r="AE232">
        <v>34.19</v>
      </c>
      <c r="AF232">
        <v>24.71</v>
      </c>
      <c r="AG232">
        <v>83.61</v>
      </c>
      <c r="AH232">
        <v>27.54</v>
      </c>
      <c r="AI232">
        <v>55.17</v>
      </c>
      <c r="AJ232">
        <v>60.05</v>
      </c>
      <c r="AK232">
        <v>95.73</v>
      </c>
      <c r="AL232">
        <v>66.42</v>
      </c>
      <c r="AM232">
        <v>9.99</v>
      </c>
      <c r="AN232">
        <v>77.87</v>
      </c>
      <c r="AO232" s="1">
        <f t="shared" si="11"/>
        <v>613.04</v>
      </c>
    </row>
    <row r="233" spans="1:41" x14ac:dyDescent="0.25">
      <c r="A233" t="s">
        <v>276</v>
      </c>
      <c r="B233" s="2">
        <v>4889.6860754274003</v>
      </c>
      <c r="C233" s="2">
        <v>4839.3338394969796</v>
      </c>
      <c r="D233" s="2">
        <v>3372.7360105166199</v>
      </c>
      <c r="E233" s="2">
        <v>4422.9170824033799</v>
      </c>
      <c r="F233" s="2">
        <v>3156.8591605432398</v>
      </c>
      <c r="G233" s="2">
        <v>1133.16506492548</v>
      </c>
      <c r="H233" s="2">
        <v>872.82842524473301</v>
      </c>
      <c r="I233" s="2">
        <v>2634.3507444003098</v>
      </c>
      <c r="J233" s="2">
        <v>503.80715113865602</v>
      </c>
      <c r="K233" s="2">
        <v>1509.79504023561</v>
      </c>
      <c r="L233" s="2">
        <v>1269.9736549992101</v>
      </c>
      <c r="M233" s="2">
        <v>3459.8472108082901</v>
      </c>
      <c r="N233" s="3">
        <f t="shared" si="9"/>
        <v>32065.299460139908</v>
      </c>
      <c r="O233" s="2">
        <v>15.932293758437799</v>
      </c>
      <c r="P233" s="2">
        <v>6.72735101038392</v>
      </c>
      <c r="Q233" s="2">
        <v>0.68999943448615098</v>
      </c>
      <c r="R233" s="2">
        <v>5.0142392242397396</v>
      </c>
      <c r="S233" s="2">
        <v>2.8844576597905398</v>
      </c>
      <c r="T233" s="2">
        <v>0.989217346896058</v>
      </c>
      <c r="U233" s="2">
        <v>2.60407360469019</v>
      </c>
      <c r="V233" s="2">
        <v>0.79318839184113399</v>
      </c>
      <c r="W233" s="2">
        <v>0</v>
      </c>
      <c r="X233" s="2">
        <v>6.0325134167182801</v>
      </c>
      <c r="Y233" s="2">
        <v>3.0937687761659198</v>
      </c>
      <c r="Z233" s="2">
        <v>2.4116283593243999</v>
      </c>
      <c r="AA233" s="3">
        <f t="shared" si="10"/>
        <v>47.17273098297413</v>
      </c>
      <c r="AB233" t="s">
        <v>63</v>
      </c>
      <c r="AC233">
        <v>99.24</v>
      </c>
      <c r="AD233">
        <v>97.43</v>
      </c>
      <c r="AE233">
        <v>67.55</v>
      </c>
      <c r="AF233">
        <v>89</v>
      </c>
      <c r="AG233">
        <v>63.41</v>
      </c>
      <c r="AH233">
        <v>22.77</v>
      </c>
      <c r="AI233">
        <v>17.73</v>
      </c>
      <c r="AJ233">
        <v>52.79</v>
      </c>
      <c r="AK233">
        <v>10.08</v>
      </c>
      <c r="AL233">
        <v>30.83</v>
      </c>
      <c r="AM233">
        <v>25.76</v>
      </c>
      <c r="AN233">
        <v>69.47</v>
      </c>
      <c r="AO233" s="1">
        <f t="shared" si="11"/>
        <v>646.06000000000006</v>
      </c>
    </row>
    <row r="234" spans="1:41" x14ac:dyDescent="0.25">
      <c r="A234" t="s">
        <v>277</v>
      </c>
      <c r="B234" s="2">
        <v>4871.2101910628999</v>
      </c>
      <c r="C234" s="2">
        <v>0</v>
      </c>
      <c r="D234" s="2">
        <v>2102.2230064738201</v>
      </c>
      <c r="E234" s="2">
        <v>6139.3120827155299</v>
      </c>
      <c r="F234" s="2">
        <v>2000.91259572698</v>
      </c>
      <c r="G234" s="2">
        <v>1022.35104497717</v>
      </c>
      <c r="H234" s="2">
        <v>2913.3962276177799</v>
      </c>
      <c r="I234" s="2">
        <v>8786.9358219371406</v>
      </c>
      <c r="J234" s="2">
        <v>2613.8337323477799</v>
      </c>
      <c r="K234" s="2">
        <v>5204.7200207527103</v>
      </c>
      <c r="L234" s="2">
        <v>769.43885115211003</v>
      </c>
      <c r="M234" s="2">
        <v>496.18003066292499</v>
      </c>
      <c r="N234" s="3">
        <f t="shared" si="9"/>
        <v>36920.513605426844</v>
      </c>
      <c r="O234" s="2">
        <v>7.9975916630929396</v>
      </c>
      <c r="P234" s="2">
        <v>4.9150390947482796</v>
      </c>
      <c r="Q234" s="2">
        <v>3.5356445185841001</v>
      </c>
      <c r="R234" s="2">
        <v>2.8354795632814001</v>
      </c>
      <c r="S234" s="2">
        <v>9.4838684052208002</v>
      </c>
      <c r="T234" s="2">
        <v>3.1041988543349399</v>
      </c>
      <c r="U234" s="2">
        <v>3.24517178595277</v>
      </c>
      <c r="V234" s="2">
        <v>0</v>
      </c>
      <c r="W234" s="2">
        <v>3.3019849290999299</v>
      </c>
      <c r="X234" s="2">
        <v>6.1534188997285799</v>
      </c>
      <c r="Y234" s="2">
        <v>0.91414690665827003</v>
      </c>
      <c r="Z234" s="2">
        <v>1.1179209403717201</v>
      </c>
      <c r="AA234" s="3">
        <f t="shared" si="10"/>
        <v>46.604465561073724</v>
      </c>
      <c r="AB234" t="s">
        <v>45</v>
      </c>
      <c r="AC234">
        <v>59.11</v>
      </c>
      <c r="AD234">
        <v>10.24</v>
      </c>
      <c r="AE234">
        <v>31.22</v>
      </c>
      <c r="AF234">
        <v>71.540000000000006</v>
      </c>
      <c r="AG234">
        <v>30.5</v>
      </c>
      <c r="AH234">
        <v>20.420000000000002</v>
      </c>
      <c r="AI234">
        <v>39.33</v>
      </c>
      <c r="AJ234">
        <v>97.86</v>
      </c>
      <c r="AK234">
        <v>36.33</v>
      </c>
      <c r="AL234">
        <v>62.39</v>
      </c>
      <c r="AM234">
        <v>17.739999999999998</v>
      </c>
      <c r="AN234">
        <v>15.06</v>
      </c>
      <c r="AO234" s="1">
        <f t="shared" si="11"/>
        <v>491.74</v>
      </c>
    </row>
    <row r="235" spans="1:41" x14ac:dyDescent="0.25">
      <c r="A235" t="s">
        <v>278</v>
      </c>
      <c r="B235" s="2">
        <v>4870.57167352331</v>
      </c>
      <c r="C235" s="2">
        <v>256.039621278715</v>
      </c>
      <c r="D235" s="2">
        <v>6696.5298460752601</v>
      </c>
      <c r="E235" s="2">
        <v>3057.0277028536202</v>
      </c>
      <c r="F235" s="2">
        <v>588.76881179954705</v>
      </c>
      <c r="G235" s="2">
        <v>1591.6363353567799</v>
      </c>
      <c r="H235" s="2">
        <v>4447.9335282128004</v>
      </c>
      <c r="I235" s="2">
        <v>2969.9771557659701</v>
      </c>
      <c r="J235" s="2">
        <v>0</v>
      </c>
      <c r="K235" s="2">
        <v>9885.9988931282896</v>
      </c>
      <c r="L235" s="2">
        <v>0</v>
      </c>
      <c r="M235" s="2">
        <v>10700.457076668599</v>
      </c>
      <c r="N235" s="3">
        <f t="shared" si="9"/>
        <v>45064.940644662893</v>
      </c>
      <c r="O235" s="2">
        <v>1.3457891187683999</v>
      </c>
      <c r="P235" s="2">
        <v>0</v>
      </c>
      <c r="Q235" s="2">
        <v>8.0563836861868907</v>
      </c>
      <c r="R235" s="2">
        <v>5.9040352978666801</v>
      </c>
      <c r="S235" s="2">
        <v>0.64276528448317805</v>
      </c>
      <c r="T235" s="2">
        <v>4.5548295736373596</v>
      </c>
      <c r="U235" s="2">
        <v>3.2432433817780399</v>
      </c>
      <c r="V235" s="2">
        <v>11.9940661241919</v>
      </c>
      <c r="W235" s="2">
        <v>1.1629087863950001</v>
      </c>
      <c r="X235" s="2">
        <v>0</v>
      </c>
      <c r="Y235" s="2">
        <v>11.705891082311799</v>
      </c>
      <c r="Z235" s="2">
        <v>10.7065088593073</v>
      </c>
      <c r="AA235" s="3">
        <f t="shared" si="10"/>
        <v>59.316421194926548</v>
      </c>
      <c r="AB235" t="s">
        <v>45</v>
      </c>
      <c r="AC235">
        <v>58.8</v>
      </c>
      <c r="AD235">
        <v>12.56</v>
      </c>
      <c r="AE235">
        <v>77.41</v>
      </c>
      <c r="AF235">
        <v>40.869999999999997</v>
      </c>
      <c r="AG235">
        <v>15.93</v>
      </c>
      <c r="AH235">
        <v>26.16</v>
      </c>
      <c r="AI235">
        <v>54.67</v>
      </c>
      <c r="AJ235">
        <v>40.29</v>
      </c>
      <c r="AK235">
        <v>10.09</v>
      </c>
      <c r="AL235">
        <v>108.85</v>
      </c>
      <c r="AM235">
        <v>10.59</v>
      </c>
      <c r="AN235">
        <v>117.55</v>
      </c>
      <c r="AO235" s="1">
        <f t="shared" si="11"/>
        <v>573.77</v>
      </c>
    </row>
    <row r="236" spans="1:41" x14ac:dyDescent="0.25">
      <c r="A236" t="s">
        <v>279</v>
      </c>
      <c r="B236" s="2">
        <v>4814.7433499525796</v>
      </c>
      <c r="C236" s="2">
        <v>2413.8721432807101</v>
      </c>
      <c r="D236" s="2">
        <v>6802.7336932974504</v>
      </c>
      <c r="E236" s="2">
        <v>9636.0424502324004</v>
      </c>
      <c r="F236" s="2">
        <v>1514.5310192791801</v>
      </c>
      <c r="G236" s="2">
        <v>2241.2104399008299</v>
      </c>
      <c r="H236" s="2">
        <v>2863.6706791991401</v>
      </c>
      <c r="I236" s="2">
        <v>0</v>
      </c>
      <c r="J236" s="2">
        <v>8499.6537049855306</v>
      </c>
      <c r="K236" s="2">
        <v>2556.5319275442498</v>
      </c>
      <c r="L236" s="2">
        <v>0</v>
      </c>
      <c r="M236" s="2">
        <v>5991.79454106106</v>
      </c>
      <c r="N236" s="3">
        <f t="shared" si="9"/>
        <v>47334.783948733137</v>
      </c>
      <c r="O236" s="2">
        <v>0.99845432912190801</v>
      </c>
      <c r="P236" s="2">
        <v>10.5256889993931</v>
      </c>
      <c r="Q236" s="2">
        <v>3.4255213445011301</v>
      </c>
      <c r="R236" s="2">
        <v>9.8017193628405792</v>
      </c>
      <c r="S236" s="2">
        <v>4.2724829250468002</v>
      </c>
      <c r="T236" s="2">
        <v>3.2292396847115099</v>
      </c>
      <c r="U236" s="2">
        <v>4.5134052146639503</v>
      </c>
      <c r="V236" s="2">
        <v>4.5937879455032604</v>
      </c>
      <c r="W236" s="2">
        <v>12.1942957735217</v>
      </c>
      <c r="X236" s="2">
        <v>2.1396027990711102</v>
      </c>
      <c r="Y236" s="2">
        <v>7.1814012284668403</v>
      </c>
      <c r="Z236" s="2">
        <v>9.4856744000870208</v>
      </c>
      <c r="AA236" s="3">
        <f t="shared" si="10"/>
        <v>72.361274006928909</v>
      </c>
      <c r="AB236" t="s">
        <v>45</v>
      </c>
      <c r="AC236">
        <v>58.19</v>
      </c>
      <c r="AD236">
        <v>34.68</v>
      </c>
      <c r="AE236">
        <v>78.22</v>
      </c>
      <c r="AF236">
        <v>106.86</v>
      </c>
      <c r="AG236">
        <v>25.39</v>
      </c>
      <c r="AH236">
        <v>32.61</v>
      </c>
      <c r="AI236">
        <v>38.880000000000003</v>
      </c>
      <c r="AJ236">
        <v>10.24</v>
      </c>
      <c r="AK236">
        <v>95.64</v>
      </c>
      <c r="AL236">
        <v>35.71</v>
      </c>
      <c r="AM236">
        <v>10.39</v>
      </c>
      <c r="AN236">
        <v>70.41</v>
      </c>
      <c r="AO236" s="1">
        <f t="shared" si="11"/>
        <v>597.21999999999991</v>
      </c>
    </row>
    <row r="237" spans="1:41" x14ac:dyDescent="0.25">
      <c r="A237" t="s">
        <v>280</v>
      </c>
      <c r="B237" s="2">
        <v>4803.6804406176598</v>
      </c>
      <c r="C237" s="2">
        <v>109.754700372876</v>
      </c>
      <c r="D237" s="2">
        <v>5441.2110122830099</v>
      </c>
      <c r="E237" s="2">
        <v>440.666278115051</v>
      </c>
      <c r="F237" s="2">
        <v>4440.9285401745401</v>
      </c>
      <c r="G237" s="2">
        <v>2456.4074879882201</v>
      </c>
      <c r="H237" s="2">
        <v>2972.7160455117601</v>
      </c>
      <c r="I237" s="2">
        <v>4632.8037651456598</v>
      </c>
      <c r="J237" s="2">
        <v>498.35467027414097</v>
      </c>
      <c r="K237" s="2">
        <v>383.13538820346702</v>
      </c>
      <c r="L237" s="2">
        <v>3550.5832969965099</v>
      </c>
      <c r="M237" s="2">
        <v>6453.56029593517</v>
      </c>
      <c r="N237" s="3">
        <f t="shared" si="9"/>
        <v>36183.801921618062</v>
      </c>
      <c r="O237" s="2">
        <v>2.1497721220806798</v>
      </c>
      <c r="P237" s="2">
        <v>1.3593086779174</v>
      </c>
      <c r="Q237" s="2">
        <v>0.118530193229354</v>
      </c>
      <c r="R237" s="2">
        <v>4.9284386468974102</v>
      </c>
      <c r="S237" s="2">
        <v>2.6745862093977402</v>
      </c>
      <c r="T237" s="2">
        <v>3.99893298749017</v>
      </c>
      <c r="U237" s="2">
        <v>1.74342111013928</v>
      </c>
      <c r="V237" s="2">
        <v>3.82074916312177</v>
      </c>
      <c r="W237" s="2">
        <v>1.55455462382017</v>
      </c>
      <c r="X237" s="2">
        <v>5.9771814397676</v>
      </c>
      <c r="Y237" s="2">
        <v>1.2281543604385301</v>
      </c>
      <c r="Z237" s="2">
        <v>1.21502513095555</v>
      </c>
      <c r="AA237" s="3">
        <f t="shared" si="10"/>
        <v>30.768654665255657</v>
      </c>
      <c r="AB237" t="s">
        <v>45</v>
      </c>
      <c r="AC237">
        <v>58.18</v>
      </c>
      <c r="AD237">
        <v>11.19</v>
      </c>
      <c r="AE237">
        <v>64.459999999999994</v>
      </c>
      <c r="AF237">
        <v>14.65</v>
      </c>
      <c r="AG237">
        <v>54.55</v>
      </c>
      <c r="AH237">
        <v>34.76</v>
      </c>
      <c r="AI237">
        <v>39.82</v>
      </c>
      <c r="AJ237">
        <v>56.52</v>
      </c>
      <c r="AK237">
        <v>15.08</v>
      </c>
      <c r="AL237">
        <v>14.13</v>
      </c>
      <c r="AM237">
        <v>45.6</v>
      </c>
      <c r="AN237">
        <v>74.63</v>
      </c>
      <c r="AO237" s="1">
        <f t="shared" si="11"/>
        <v>483.56999999999994</v>
      </c>
    </row>
    <row r="238" spans="1:41" x14ac:dyDescent="0.25">
      <c r="A238" t="s">
        <v>281</v>
      </c>
      <c r="B238" s="2">
        <v>4799.1900885759696</v>
      </c>
      <c r="C238" s="2">
        <v>0</v>
      </c>
      <c r="D238" s="2">
        <v>1646.5928334463499</v>
      </c>
      <c r="E238" s="2">
        <v>1533.5465102932501</v>
      </c>
      <c r="F238" s="2">
        <v>2154.27517774833</v>
      </c>
      <c r="G238" s="2">
        <v>3070.8699376752402</v>
      </c>
      <c r="H238" s="2">
        <v>2101.7886904768002</v>
      </c>
      <c r="I238" s="2">
        <v>2296.0656577066702</v>
      </c>
      <c r="J238" s="2">
        <v>2030.9458840372799</v>
      </c>
      <c r="K238" s="2">
        <v>5467.7631582920903</v>
      </c>
      <c r="L238" s="2">
        <v>3979.53892464612</v>
      </c>
      <c r="M238" s="2">
        <v>4227.11262976736</v>
      </c>
      <c r="N238" s="3">
        <f t="shared" si="9"/>
        <v>33307.689492665464</v>
      </c>
      <c r="O238" s="2">
        <v>0.29049452656702002</v>
      </c>
      <c r="P238" s="2">
        <v>0.60270330895973001</v>
      </c>
      <c r="Q238" s="2">
        <v>6.4029998465244304</v>
      </c>
      <c r="R238" s="2">
        <v>1.4723162958940399</v>
      </c>
      <c r="S238" s="2">
        <v>6.5999004284250198</v>
      </c>
      <c r="T238" s="2">
        <v>1.9682665162620201</v>
      </c>
      <c r="U238" s="2">
        <v>3.4942938573240299</v>
      </c>
      <c r="V238" s="2">
        <v>0.25459003057817903</v>
      </c>
      <c r="W238" s="2">
        <v>5.4220177953309401</v>
      </c>
      <c r="X238" s="2">
        <v>3.5724009444637699</v>
      </c>
      <c r="Y238" s="2">
        <v>2.3508833131875599</v>
      </c>
      <c r="Z238" s="2">
        <v>0</v>
      </c>
      <c r="AA238" s="3">
        <f t="shared" si="10"/>
        <v>32.430866863516741</v>
      </c>
      <c r="AB238" t="s">
        <v>63</v>
      </c>
      <c r="AC238">
        <v>96.09</v>
      </c>
      <c r="AD238">
        <v>0.09</v>
      </c>
      <c r="AE238">
        <v>33.57</v>
      </c>
      <c r="AF238">
        <v>30.86</v>
      </c>
      <c r="AG238">
        <v>43.73</v>
      </c>
      <c r="AH238">
        <v>61.6</v>
      </c>
      <c r="AI238">
        <v>42.4</v>
      </c>
      <c r="AJ238">
        <v>46.03</v>
      </c>
      <c r="AK238">
        <v>41.16</v>
      </c>
      <c r="AL238">
        <v>109.72</v>
      </c>
      <c r="AM238">
        <v>79.87</v>
      </c>
      <c r="AN238">
        <v>84.56</v>
      </c>
      <c r="AO238" s="1">
        <f t="shared" si="11"/>
        <v>669.68000000000006</v>
      </c>
    </row>
    <row r="239" spans="1:41" x14ac:dyDescent="0.25">
      <c r="A239" t="s">
        <v>282</v>
      </c>
      <c r="B239" s="2">
        <v>4777.9940671695203</v>
      </c>
      <c r="C239" s="2">
        <v>2816.6443394742701</v>
      </c>
      <c r="D239" s="2">
        <v>804.97998223849402</v>
      </c>
      <c r="E239" s="2">
        <v>2383.3684972627598</v>
      </c>
      <c r="F239" s="2">
        <v>1038.26126454266</v>
      </c>
      <c r="G239" s="2">
        <v>3751.6654539941101</v>
      </c>
      <c r="H239" s="2">
        <v>4875.9842426494097</v>
      </c>
      <c r="I239" s="2">
        <v>0</v>
      </c>
      <c r="J239" s="2">
        <v>3452.98164143433</v>
      </c>
      <c r="K239" s="2">
        <v>2830.71411259978</v>
      </c>
      <c r="L239" s="2">
        <v>2021.5512831718199</v>
      </c>
      <c r="M239" s="2">
        <v>11878.498540274501</v>
      </c>
      <c r="N239" s="3">
        <f t="shared" si="9"/>
        <v>40632.643424811657</v>
      </c>
      <c r="O239" s="2">
        <v>4.9638208261025296</v>
      </c>
      <c r="P239" s="2">
        <v>5.19858135532193</v>
      </c>
      <c r="Q239" s="2">
        <v>0.45233931458455201</v>
      </c>
      <c r="R239" s="2">
        <v>0</v>
      </c>
      <c r="S239" s="2">
        <v>2.7156608801967099</v>
      </c>
      <c r="T239" s="2">
        <v>3.5916669961277998</v>
      </c>
      <c r="U239" s="2">
        <v>0</v>
      </c>
      <c r="V239" s="2">
        <v>0.78381349951546897</v>
      </c>
      <c r="W239" s="2">
        <v>10.292085048896899</v>
      </c>
      <c r="X239" s="2">
        <v>4.9145479810579902</v>
      </c>
      <c r="Y239" s="2">
        <v>1.23205629302123</v>
      </c>
      <c r="Z239" s="2">
        <v>2.5822737623139398</v>
      </c>
      <c r="AA239" s="3">
        <f t="shared" si="10"/>
        <v>36.726845957139048</v>
      </c>
      <c r="AB239" t="s">
        <v>45</v>
      </c>
      <c r="AC239">
        <v>58.02</v>
      </c>
      <c r="AD239">
        <v>38.46</v>
      </c>
      <c r="AE239">
        <v>18.09</v>
      </c>
      <c r="AF239">
        <v>33.83</v>
      </c>
      <c r="AG239">
        <v>20.53</v>
      </c>
      <c r="AH239">
        <v>47.71</v>
      </c>
      <c r="AI239">
        <v>58.75</v>
      </c>
      <c r="AJ239">
        <v>10.039999999999999</v>
      </c>
      <c r="AK239">
        <v>45.07</v>
      </c>
      <c r="AL239">
        <v>38.549999999999997</v>
      </c>
      <c r="AM239">
        <v>30.31</v>
      </c>
      <c r="AN239">
        <v>128.93</v>
      </c>
      <c r="AO239" s="1">
        <f t="shared" si="11"/>
        <v>528.29</v>
      </c>
    </row>
    <row r="240" spans="1:41" x14ac:dyDescent="0.25">
      <c r="A240" t="s">
        <v>283</v>
      </c>
      <c r="B240" s="2">
        <v>4762.1543424288002</v>
      </c>
      <c r="C240" s="2">
        <v>74.507346909507106</v>
      </c>
      <c r="D240" s="2">
        <v>1302.9515759551</v>
      </c>
      <c r="E240" s="2">
        <v>9051.3596537886406</v>
      </c>
      <c r="F240" s="2">
        <v>1504.7882026365401</v>
      </c>
      <c r="G240" s="2">
        <v>6228.5352383708796</v>
      </c>
      <c r="H240" s="2">
        <v>1179.9464464498401</v>
      </c>
      <c r="I240" s="2">
        <v>9894.8997984289999</v>
      </c>
      <c r="J240" s="2">
        <v>9626.1942328840105</v>
      </c>
      <c r="K240" s="2">
        <v>0</v>
      </c>
      <c r="L240" s="2">
        <v>4401.6849105727297</v>
      </c>
      <c r="M240" s="2">
        <v>650.85771246778199</v>
      </c>
      <c r="N240" s="3">
        <f t="shared" si="9"/>
        <v>48677.879460892829</v>
      </c>
      <c r="O240" s="2">
        <v>12.0241625990872</v>
      </c>
      <c r="P240" s="2">
        <v>2.0057325753409101</v>
      </c>
      <c r="Q240" s="2">
        <v>0</v>
      </c>
      <c r="R240" s="2">
        <v>0.60878673355917101</v>
      </c>
      <c r="S240" s="2">
        <v>22.093974298837001</v>
      </c>
      <c r="T240" s="2">
        <v>2.0741486278647199</v>
      </c>
      <c r="U240" s="2">
        <v>3.1394492900809601</v>
      </c>
      <c r="V240" s="2">
        <v>8.1920970877933801</v>
      </c>
      <c r="W240" s="2">
        <v>0</v>
      </c>
      <c r="X240" s="2">
        <v>2.1405985995987198</v>
      </c>
      <c r="Y240" s="2">
        <v>2.7341014065401601</v>
      </c>
      <c r="Z240" s="2">
        <v>9.4288181669915492</v>
      </c>
      <c r="AA240" s="3">
        <f t="shared" si="10"/>
        <v>64.441869385693778</v>
      </c>
      <c r="AB240" t="s">
        <v>45</v>
      </c>
      <c r="AC240">
        <v>58.27</v>
      </c>
      <c r="AD240">
        <v>10.89</v>
      </c>
      <c r="AE240">
        <v>23.02</v>
      </c>
      <c r="AF240">
        <v>100.56</v>
      </c>
      <c r="AG240">
        <v>26.19</v>
      </c>
      <c r="AH240">
        <v>72.430000000000007</v>
      </c>
      <c r="AI240">
        <v>21.99</v>
      </c>
      <c r="AJ240">
        <v>109.39</v>
      </c>
      <c r="AK240">
        <v>106.26</v>
      </c>
      <c r="AL240">
        <v>10.14</v>
      </c>
      <c r="AM240">
        <v>54.16</v>
      </c>
      <c r="AN240">
        <v>17</v>
      </c>
      <c r="AO240" s="1">
        <f t="shared" si="11"/>
        <v>610.29999999999995</v>
      </c>
    </row>
    <row r="241" spans="1:41" x14ac:dyDescent="0.25">
      <c r="A241" t="s">
        <v>284</v>
      </c>
      <c r="B241" s="2">
        <v>4756.5527121514197</v>
      </c>
      <c r="C241" s="2">
        <v>7115.1188064612097</v>
      </c>
      <c r="D241" s="2">
        <v>902.47385259432701</v>
      </c>
      <c r="E241" s="2">
        <v>0</v>
      </c>
      <c r="F241" s="2">
        <v>231.99677119000901</v>
      </c>
      <c r="G241" s="2">
        <v>1540.0235448559899</v>
      </c>
      <c r="H241" s="2">
        <v>1970.42256262399</v>
      </c>
      <c r="I241" s="2">
        <v>11907.170562331399</v>
      </c>
      <c r="J241" s="2">
        <v>692.083751170553</v>
      </c>
      <c r="K241" s="2">
        <v>11053.748354376799</v>
      </c>
      <c r="L241" s="2">
        <v>0</v>
      </c>
      <c r="M241" s="2">
        <v>8582.1578191665594</v>
      </c>
      <c r="N241" s="3">
        <f t="shared" si="9"/>
        <v>48751.748736922265</v>
      </c>
      <c r="O241" s="2">
        <v>0.26774413507468903</v>
      </c>
      <c r="P241" s="2">
        <v>8.3496040212232998</v>
      </c>
      <c r="Q241" s="2">
        <v>0</v>
      </c>
      <c r="R241" s="2">
        <v>2.7212884117733802</v>
      </c>
      <c r="S241" s="2">
        <v>0.55654400091614797</v>
      </c>
      <c r="T241" s="2">
        <v>3.8094113957841702</v>
      </c>
      <c r="U241" s="2">
        <v>2.6100500748562099</v>
      </c>
      <c r="V241" s="2">
        <v>7.9340293598544998</v>
      </c>
      <c r="W241" s="2">
        <v>0.142618359374587</v>
      </c>
      <c r="X241" s="2">
        <v>0</v>
      </c>
      <c r="Y241" s="2">
        <v>0.68186504256264302</v>
      </c>
      <c r="Z241" s="2">
        <v>8.2641714518759102</v>
      </c>
      <c r="AA241" s="3">
        <f t="shared" si="10"/>
        <v>35.337326253295537</v>
      </c>
      <c r="AB241" t="s">
        <v>45</v>
      </c>
      <c r="AC241">
        <v>57.61</v>
      </c>
      <c r="AD241">
        <v>81.599999999999994</v>
      </c>
      <c r="AE241">
        <v>19.02</v>
      </c>
      <c r="AF241">
        <v>10.14</v>
      </c>
      <c r="AG241">
        <v>12.36</v>
      </c>
      <c r="AH241">
        <v>25.6</v>
      </c>
      <c r="AI241">
        <v>29.85</v>
      </c>
      <c r="AJ241">
        <v>129.47</v>
      </c>
      <c r="AK241">
        <v>16.97</v>
      </c>
      <c r="AL241">
        <v>120.53</v>
      </c>
      <c r="AM241">
        <v>10.039999999999999</v>
      </c>
      <c r="AN241">
        <v>96.27</v>
      </c>
      <c r="AO241" s="1">
        <f t="shared" si="11"/>
        <v>609.45999999999992</v>
      </c>
    </row>
    <row r="242" spans="1:41" x14ac:dyDescent="0.25">
      <c r="A242" t="s">
        <v>285</v>
      </c>
      <c r="B242" s="2">
        <v>4746.6948921128896</v>
      </c>
      <c r="C242" s="2">
        <v>1295.5283036031101</v>
      </c>
      <c r="D242" s="2">
        <v>10.032260336189299</v>
      </c>
      <c r="E242" s="2">
        <v>4762.4462505474403</v>
      </c>
      <c r="F242" s="2">
        <v>3473.2582367189598</v>
      </c>
      <c r="G242" s="2">
        <v>1468.3713554384401</v>
      </c>
      <c r="H242" s="2">
        <v>1769.28406627662</v>
      </c>
      <c r="I242" s="2">
        <v>1399.78064104749</v>
      </c>
      <c r="J242" s="2">
        <v>4195.47001304471</v>
      </c>
      <c r="K242" s="2">
        <v>900.96825085583896</v>
      </c>
      <c r="L242" s="2">
        <v>3790.4416154456699</v>
      </c>
      <c r="M242" s="2">
        <v>3457.7534080637402</v>
      </c>
      <c r="N242" s="3">
        <f t="shared" si="9"/>
        <v>31270.029293491101</v>
      </c>
      <c r="O242" s="2">
        <v>8.6215898809014995</v>
      </c>
      <c r="P242" s="2">
        <v>0.69076958172596103</v>
      </c>
      <c r="Q242" s="2">
        <v>1.48254187936365</v>
      </c>
      <c r="R242" s="2">
        <v>10.292806193539001</v>
      </c>
      <c r="S242" s="2">
        <v>2.21748871394853</v>
      </c>
      <c r="T242" s="2">
        <v>3.5563085127653902</v>
      </c>
      <c r="U242" s="2">
        <v>2.1430874355374399</v>
      </c>
      <c r="V242" s="2">
        <v>6.0663561194871001</v>
      </c>
      <c r="W242" s="2">
        <v>1.7699096969847501</v>
      </c>
      <c r="X242" s="2">
        <v>8.2464712722025304</v>
      </c>
      <c r="Y242" s="2">
        <v>3.0859952011879499</v>
      </c>
      <c r="Z242" s="2">
        <v>0</v>
      </c>
      <c r="AA242" s="3">
        <f t="shared" si="10"/>
        <v>48.173324487643804</v>
      </c>
      <c r="AB242" t="s">
        <v>63</v>
      </c>
      <c r="AC242">
        <v>95.75</v>
      </c>
      <c r="AD242">
        <v>26.01</v>
      </c>
      <c r="AE242">
        <v>0.4</v>
      </c>
      <c r="AF242">
        <v>96.25</v>
      </c>
      <c r="AG242">
        <v>69.75</v>
      </c>
      <c r="AH242">
        <v>29.74</v>
      </c>
      <c r="AI242">
        <v>35.67</v>
      </c>
      <c r="AJ242">
        <v>28.63</v>
      </c>
      <c r="AK242">
        <v>84.1</v>
      </c>
      <c r="AL242">
        <v>18.829999999999998</v>
      </c>
      <c r="AM242">
        <v>76.180000000000007</v>
      </c>
      <c r="AN242">
        <v>69.16</v>
      </c>
      <c r="AO242" s="1">
        <f t="shared" si="11"/>
        <v>630.47</v>
      </c>
    </row>
    <row r="243" spans="1:41" x14ac:dyDescent="0.25">
      <c r="A243" t="s">
        <v>286</v>
      </c>
      <c r="B243" s="2">
        <v>4746.2724730432701</v>
      </c>
      <c r="C243" s="2">
        <v>29302.524145958399</v>
      </c>
      <c r="D243" s="2">
        <v>959.00594309067901</v>
      </c>
      <c r="E243" s="2">
        <v>15917.931625979199</v>
      </c>
      <c r="F243" s="2">
        <v>1138.7618696521799</v>
      </c>
      <c r="G243" s="2">
        <v>1520.33483505956</v>
      </c>
      <c r="H243" s="2">
        <v>812.01971226364105</v>
      </c>
      <c r="I243" s="2">
        <v>2691.33180540274</v>
      </c>
      <c r="J243" s="2">
        <v>5019.20434626323</v>
      </c>
      <c r="K243" s="2">
        <v>2337.81063271128</v>
      </c>
      <c r="L243" s="2">
        <v>8062.4059273165003</v>
      </c>
      <c r="M243" s="2">
        <v>3126.5584614412801</v>
      </c>
      <c r="N243" s="3">
        <f t="shared" si="9"/>
        <v>75634.161778181951</v>
      </c>
      <c r="O243" s="2">
        <v>0.21801112458688099</v>
      </c>
      <c r="P243" s="2">
        <v>4.9676300838194196</v>
      </c>
      <c r="Q243" s="2">
        <v>1.7155065378582699</v>
      </c>
      <c r="R243" s="2">
        <v>22.2620451586175</v>
      </c>
      <c r="S243" s="2">
        <v>1.58136277520207</v>
      </c>
      <c r="T243" s="2">
        <v>2.7729301373385198</v>
      </c>
      <c r="U243" s="2">
        <v>2.7307306962305602</v>
      </c>
      <c r="V243" s="2">
        <v>10.0319624170073</v>
      </c>
      <c r="W243" s="2">
        <v>7.3902333142083902</v>
      </c>
      <c r="X243" s="2">
        <v>3.2959525143726198</v>
      </c>
      <c r="Y243" s="2">
        <v>4.5873927430974097</v>
      </c>
      <c r="Z243" s="2">
        <v>4.1774236088295398</v>
      </c>
      <c r="AA243" s="3">
        <f t="shared" si="10"/>
        <v>65.731181111168482</v>
      </c>
      <c r="AB243" t="s">
        <v>45</v>
      </c>
      <c r="AC243">
        <v>57.51</v>
      </c>
      <c r="AD243">
        <v>303.27</v>
      </c>
      <c r="AE243">
        <v>19.690000000000001</v>
      </c>
      <c r="AF243">
        <v>170.32</v>
      </c>
      <c r="AG243">
        <v>21.48</v>
      </c>
      <c r="AH243">
        <v>25.35</v>
      </c>
      <c r="AI243">
        <v>18.27</v>
      </c>
      <c r="AJ243">
        <v>37.46</v>
      </c>
      <c r="AK243">
        <v>60.59</v>
      </c>
      <c r="AL243">
        <v>33.57</v>
      </c>
      <c r="AM243">
        <v>90.87</v>
      </c>
      <c r="AN243">
        <v>41.51</v>
      </c>
      <c r="AO243" s="1">
        <f t="shared" si="11"/>
        <v>879.8900000000001</v>
      </c>
    </row>
    <row r="244" spans="1:41" x14ac:dyDescent="0.25">
      <c r="A244" t="s">
        <v>287</v>
      </c>
      <c r="B244" s="2">
        <v>4738.4431112698103</v>
      </c>
      <c r="C244" s="2">
        <v>2906.1172525570601</v>
      </c>
      <c r="D244" s="2">
        <v>4068.0343081783399</v>
      </c>
      <c r="E244" s="2">
        <v>1455.02440869572</v>
      </c>
      <c r="F244" s="2">
        <v>5753.9664717904398</v>
      </c>
      <c r="G244" s="2">
        <v>3690.0830822142502</v>
      </c>
      <c r="H244" s="2">
        <v>10940.1840754567</v>
      </c>
      <c r="I244" s="2">
        <v>556.72675033702603</v>
      </c>
      <c r="J244" s="2">
        <v>1730.1653747851799</v>
      </c>
      <c r="K244" s="2">
        <v>4382.1713838314399</v>
      </c>
      <c r="L244" s="2">
        <v>3373.1930934571001</v>
      </c>
      <c r="M244" s="2">
        <v>0</v>
      </c>
      <c r="N244" s="3">
        <f t="shared" si="9"/>
        <v>43594.109312573062</v>
      </c>
      <c r="O244" s="2">
        <v>2.09155578913649</v>
      </c>
      <c r="P244" s="2">
        <v>2.7566921440849499</v>
      </c>
      <c r="Q244" s="2">
        <v>10.407513436705701</v>
      </c>
      <c r="R244" s="2">
        <v>1.8092171663501699</v>
      </c>
      <c r="S244" s="2">
        <v>0.62237457181913203</v>
      </c>
      <c r="T244" s="2">
        <v>2.30342309175425</v>
      </c>
      <c r="U244" s="2">
        <v>1.5785604209597801</v>
      </c>
      <c r="V244" s="2">
        <v>2.6672435485294601</v>
      </c>
      <c r="W244" s="2">
        <v>11.218411222635901</v>
      </c>
      <c r="X244" s="2">
        <v>0</v>
      </c>
      <c r="Y244" s="2">
        <v>1.1814474459347599</v>
      </c>
      <c r="Z244" s="2">
        <v>0.73408008775324396</v>
      </c>
      <c r="AA244" s="3">
        <f t="shared" si="10"/>
        <v>37.370518925663838</v>
      </c>
      <c r="AB244" t="s">
        <v>45</v>
      </c>
      <c r="AC244">
        <v>57.53</v>
      </c>
      <c r="AD244">
        <v>39.21</v>
      </c>
      <c r="AE244">
        <v>51.23</v>
      </c>
      <c r="AF244">
        <v>24.65</v>
      </c>
      <c r="AG244">
        <v>67.58</v>
      </c>
      <c r="AH244">
        <v>47.05</v>
      </c>
      <c r="AI244">
        <v>119.5</v>
      </c>
      <c r="AJ244">
        <v>15.71</v>
      </c>
      <c r="AK244">
        <v>27.9</v>
      </c>
      <c r="AL244">
        <v>53.82</v>
      </c>
      <c r="AM244">
        <v>43.83</v>
      </c>
      <c r="AN244">
        <v>10.039999999999999</v>
      </c>
      <c r="AO244" s="1">
        <f t="shared" si="11"/>
        <v>558.04999999999995</v>
      </c>
    </row>
    <row r="245" spans="1:41" x14ac:dyDescent="0.25">
      <c r="A245" t="s">
        <v>288</v>
      </c>
      <c r="B245" s="2">
        <v>4732.6234958047098</v>
      </c>
      <c r="C245" s="2">
        <v>7130.4401118445403</v>
      </c>
      <c r="D245" s="2">
        <v>11341.5763243532</v>
      </c>
      <c r="E245" s="2">
        <v>2107.3013656774201</v>
      </c>
      <c r="F245" s="2">
        <v>1092.9585245155699</v>
      </c>
      <c r="G245" s="2">
        <v>2270.0508045937199</v>
      </c>
      <c r="H245" s="2">
        <v>2935.0928713968001</v>
      </c>
      <c r="I245" s="2">
        <v>5057.1173036516502</v>
      </c>
      <c r="J245" s="2">
        <v>7284.28226575387</v>
      </c>
      <c r="K245" s="2">
        <v>2465.9151404460899</v>
      </c>
      <c r="L245" s="2">
        <v>1630.5522539318099</v>
      </c>
      <c r="M245" s="2">
        <v>13998.4881911423</v>
      </c>
      <c r="N245" s="3">
        <f t="shared" si="9"/>
        <v>62046.398653111675</v>
      </c>
      <c r="O245" s="2">
        <v>3.2558072004505498</v>
      </c>
      <c r="P245" s="2">
        <v>0.54841190242099502</v>
      </c>
      <c r="Q245" s="2">
        <v>2.1108009286632901</v>
      </c>
      <c r="R245" s="2">
        <v>12.862436754592499</v>
      </c>
      <c r="S245" s="2">
        <v>0</v>
      </c>
      <c r="T245" s="2">
        <v>4.7372370425983199</v>
      </c>
      <c r="U245" s="2">
        <v>6.1140466889633798</v>
      </c>
      <c r="V245" s="2">
        <v>3.9707345040775599</v>
      </c>
      <c r="W245" s="2">
        <v>12.1158853150685</v>
      </c>
      <c r="X245" s="2">
        <v>4.5912786793828699</v>
      </c>
      <c r="Y245" s="2">
        <v>3.1479978556275898</v>
      </c>
      <c r="Z245" s="2">
        <v>4.2472938369825597</v>
      </c>
      <c r="AA245" s="3">
        <f t="shared" si="10"/>
        <v>57.701930708828101</v>
      </c>
      <c r="AB245" t="s">
        <v>45</v>
      </c>
      <c r="AC245">
        <v>57.52</v>
      </c>
      <c r="AD245">
        <v>81.349999999999994</v>
      </c>
      <c r="AE245">
        <v>123.56</v>
      </c>
      <c r="AF245">
        <v>31.72</v>
      </c>
      <c r="AG245">
        <v>20.92</v>
      </c>
      <c r="AH245">
        <v>32.950000000000003</v>
      </c>
      <c r="AI245">
        <v>39.700000000000003</v>
      </c>
      <c r="AJ245">
        <v>60.77</v>
      </c>
      <c r="AK245">
        <v>83.49</v>
      </c>
      <c r="AL245">
        <v>34.9</v>
      </c>
      <c r="AM245">
        <v>26.5</v>
      </c>
      <c r="AN245">
        <v>150.22999999999999</v>
      </c>
      <c r="AO245" s="1">
        <f t="shared" si="11"/>
        <v>743.6099999999999</v>
      </c>
    </row>
    <row r="246" spans="1:41" x14ac:dyDescent="0.25">
      <c r="A246" t="s">
        <v>289</v>
      </c>
      <c r="B246" s="2">
        <v>4723.6555933640202</v>
      </c>
      <c r="C246" s="2">
        <v>4894.50203128269</v>
      </c>
      <c r="D246" s="2">
        <v>11591.5826768842</v>
      </c>
      <c r="E246" s="2">
        <v>0</v>
      </c>
      <c r="F246" s="2">
        <v>5332.3859856470299</v>
      </c>
      <c r="G246" s="2">
        <v>4080.81771643407</v>
      </c>
      <c r="H246" s="2">
        <v>3633.2412788894799</v>
      </c>
      <c r="I246" s="2">
        <v>725.43315765579905</v>
      </c>
      <c r="J246" s="2">
        <v>534.85388138216297</v>
      </c>
      <c r="K246" s="2">
        <v>5662.9131571480702</v>
      </c>
      <c r="L246" s="2">
        <v>6344.1075777539199</v>
      </c>
      <c r="M246" s="2">
        <v>2791.77930281</v>
      </c>
      <c r="N246" s="3">
        <f t="shared" si="9"/>
        <v>50315.272359251445</v>
      </c>
      <c r="O246" s="2">
        <v>2.65503391463906</v>
      </c>
      <c r="P246" s="2">
        <v>12.500924423471901</v>
      </c>
      <c r="Q246" s="2">
        <v>3.4383234990701501</v>
      </c>
      <c r="R246" s="2">
        <v>0</v>
      </c>
      <c r="S246" s="2">
        <v>2.9216380780965401</v>
      </c>
      <c r="T246" s="2">
        <v>3.0614905421669398</v>
      </c>
      <c r="U246" s="2">
        <v>0.478064724849046</v>
      </c>
      <c r="V246" s="2">
        <v>7.1564552571007098</v>
      </c>
      <c r="W246" s="2">
        <v>5.3576351727958</v>
      </c>
      <c r="X246" s="2">
        <v>5.4030738048384901</v>
      </c>
      <c r="Y246" s="2">
        <v>2.16386275571312</v>
      </c>
      <c r="Z246" s="2">
        <v>0.36773274258417799</v>
      </c>
      <c r="AA246" s="3">
        <f t="shared" si="10"/>
        <v>45.504234915325938</v>
      </c>
      <c r="AB246" t="s">
        <v>45</v>
      </c>
      <c r="AC246">
        <v>57.38</v>
      </c>
      <c r="AD246">
        <v>59.59</v>
      </c>
      <c r="AE246">
        <v>126.11</v>
      </c>
      <c r="AF246">
        <v>9.99</v>
      </c>
      <c r="AG246">
        <v>63.47</v>
      </c>
      <c r="AH246">
        <v>51</v>
      </c>
      <c r="AI246">
        <v>46.38</v>
      </c>
      <c r="AJ246">
        <v>17.649999999999999</v>
      </c>
      <c r="AK246">
        <v>15.64</v>
      </c>
      <c r="AL246">
        <v>66.92</v>
      </c>
      <c r="AM246">
        <v>73.59</v>
      </c>
      <c r="AN246">
        <v>37.96</v>
      </c>
      <c r="AO246" s="1">
        <f t="shared" si="11"/>
        <v>625.67999999999995</v>
      </c>
    </row>
    <row r="247" spans="1:41" x14ac:dyDescent="0.25">
      <c r="A247" t="s">
        <v>290</v>
      </c>
      <c r="B247" s="2">
        <v>4685.3266753607904</v>
      </c>
      <c r="C247" s="2">
        <v>504.63246910969701</v>
      </c>
      <c r="D247" s="2">
        <v>692.48004305494703</v>
      </c>
      <c r="E247" s="2">
        <v>1463.94521516139</v>
      </c>
      <c r="F247" s="2">
        <v>730.32386013165001</v>
      </c>
      <c r="G247" s="2">
        <v>0</v>
      </c>
      <c r="H247" s="2">
        <v>1131.11309146653</v>
      </c>
      <c r="I247" s="2">
        <v>4669.0506194175896</v>
      </c>
      <c r="J247" s="2">
        <v>6069.6167698225499</v>
      </c>
      <c r="K247" s="2">
        <v>6423.1497514045204</v>
      </c>
      <c r="L247" s="2">
        <v>6336.6994946005998</v>
      </c>
      <c r="M247" s="2">
        <v>1789.53268046529</v>
      </c>
      <c r="N247" s="3">
        <f t="shared" si="9"/>
        <v>34495.870669995551</v>
      </c>
      <c r="O247" s="2">
        <v>0</v>
      </c>
      <c r="P247" s="2">
        <v>2.9415120647056798</v>
      </c>
      <c r="Q247" s="2">
        <v>0.62911255055756699</v>
      </c>
      <c r="R247" s="2">
        <v>1.2219974926425199</v>
      </c>
      <c r="S247" s="2">
        <v>1.8407556989824201</v>
      </c>
      <c r="T247" s="2">
        <v>2.3869616036030901</v>
      </c>
      <c r="U247" s="2">
        <v>3.2373308359562301</v>
      </c>
      <c r="V247" s="2">
        <v>0.11781717535144499</v>
      </c>
      <c r="W247" s="2">
        <v>2.2489671687446098</v>
      </c>
      <c r="X247" s="2">
        <v>8.2254639792252497</v>
      </c>
      <c r="Y247" s="2">
        <v>4.8552412552447404</v>
      </c>
      <c r="Z247" s="2">
        <v>2.3527542895010898</v>
      </c>
      <c r="AA247" s="3">
        <f t="shared" si="10"/>
        <v>30.057914114514642</v>
      </c>
      <c r="AB247" t="s">
        <v>63</v>
      </c>
      <c r="AC247">
        <v>93.72</v>
      </c>
      <c r="AD247">
        <v>10.37</v>
      </c>
      <c r="AE247">
        <v>13.95</v>
      </c>
      <c r="AF247">
        <v>29.46</v>
      </c>
      <c r="AG247">
        <v>14.8</v>
      </c>
      <c r="AH247">
        <v>0.27</v>
      </c>
      <c r="AI247">
        <v>23</v>
      </c>
      <c r="AJ247">
        <v>93.49</v>
      </c>
      <c r="AK247">
        <v>121.67</v>
      </c>
      <c r="AL247">
        <v>129.29</v>
      </c>
      <c r="AM247">
        <v>127.19</v>
      </c>
      <c r="AN247">
        <v>36.07</v>
      </c>
      <c r="AO247" s="1">
        <f t="shared" si="11"/>
        <v>693.28000000000009</v>
      </c>
    </row>
    <row r="248" spans="1:41" x14ac:dyDescent="0.25">
      <c r="A248" t="s">
        <v>291</v>
      </c>
      <c r="B248" s="2">
        <v>4680.85799400414</v>
      </c>
      <c r="C248" s="2">
        <v>11045.463701435399</v>
      </c>
      <c r="D248" s="2">
        <v>4714.9835202504701</v>
      </c>
      <c r="E248" s="2">
        <v>5642.77025330172</v>
      </c>
      <c r="F248" s="2">
        <v>1567.63485885975</v>
      </c>
      <c r="G248" s="2">
        <v>588.84302240365105</v>
      </c>
      <c r="H248" s="2">
        <v>1188.14610569096</v>
      </c>
      <c r="I248" s="2">
        <v>14433.3367702084</v>
      </c>
      <c r="J248" s="2">
        <v>2370.3901376475301</v>
      </c>
      <c r="K248" s="2">
        <v>0</v>
      </c>
      <c r="L248" s="2">
        <v>11971.8056033952</v>
      </c>
      <c r="M248" s="2">
        <v>3145.8937397221498</v>
      </c>
      <c r="N248" s="3">
        <f t="shared" si="9"/>
        <v>61350.125706919382</v>
      </c>
      <c r="O248" s="2">
        <v>5.4034695178478502</v>
      </c>
      <c r="P248" s="2">
        <v>3.44416301706433</v>
      </c>
      <c r="Q248" s="2">
        <v>2.95714612845059</v>
      </c>
      <c r="R248" s="2">
        <v>0.57285230206274096</v>
      </c>
      <c r="S248" s="2">
        <v>1.66223391189924</v>
      </c>
      <c r="T248" s="2">
        <v>9.9133413623314208</v>
      </c>
      <c r="U248" s="2">
        <v>4.1348161889442601</v>
      </c>
      <c r="V248" s="2">
        <v>0.723035181889218</v>
      </c>
      <c r="W248" s="2">
        <v>1.01832734819549</v>
      </c>
      <c r="X248" s="2">
        <v>4.6926244359562403</v>
      </c>
      <c r="Y248" s="2">
        <v>3.63357636993014</v>
      </c>
      <c r="Z248" s="2">
        <v>2.78323267743471</v>
      </c>
      <c r="AA248" s="3">
        <f t="shared" si="10"/>
        <v>40.93881844200623</v>
      </c>
      <c r="AB248" t="s">
        <v>45</v>
      </c>
      <c r="AC248">
        <v>57.1</v>
      </c>
      <c r="AD248">
        <v>120.65</v>
      </c>
      <c r="AE248">
        <v>57.29</v>
      </c>
      <c r="AF248">
        <v>66.47</v>
      </c>
      <c r="AG248">
        <v>25.77</v>
      </c>
      <c r="AH248">
        <v>16.38</v>
      </c>
      <c r="AI248">
        <v>22.13</v>
      </c>
      <c r="AJ248">
        <v>154.38</v>
      </c>
      <c r="AK248">
        <v>33.799999999999997</v>
      </c>
      <c r="AL248">
        <v>10.24</v>
      </c>
      <c r="AM248">
        <v>129.91</v>
      </c>
      <c r="AN248">
        <v>41.6</v>
      </c>
      <c r="AO248" s="1">
        <f t="shared" si="11"/>
        <v>735.71999999999991</v>
      </c>
    </row>
    <row r="249" spans="1:41" x14ac:dyDescent="0.25">
      <c r="A249" t="s">
        <v>292</v>
      </c>
      <c r="B249" s="2">
        <v>4675.5675522473703</v>
      </c>
      <c r="C249" s="2">
        <v>9432.5116410980299</v>
      </c>
      <c r="D249" s="2">
        <v>584.940881870986</v>
      </c>
      <c r="E249" s="2">
        <v>5456.5436454764704</v>
      </c>
      <c r="F249" s="2">
        <v>8127.8590559290196</v>
      </c>
      <c r="G249" s="2">
        <v>2414.70234022573</v>
      </c>
      <c r="H249" s="2">
        <v>2263.9051274289</v>
      </c>
      <c r="I249" s="2">
        <v>9986.8240011231592</v>
      </c>
      <c r="J249" s="2">
        <v>3675.8635056264002</v>
      </c>
      <c r="K249" s="2">
        <v>946.30123429619096</v>
      </c>
      <c r="L249" s="2">
        <v>5977.0281410338202</v>
      </c>
      <c r="M249" s="2">
        <v>340.15489329527702</v>
      </c>
      <c r="N249" s="3">
        <f t="shared" si="9"/>
        <v>53882.202019651355</v>
      </c>
      <c r="O249" s="2">
        <v>2.7330427311812802</v>
      </c>
      <c r="P249" s="2">
        <v>4.9821488912125602</v>
      </c>
      <c r="Q249" s="2">
        <v>1.9361329695923499</v>
      </c>
      <c r="R249" s="2">
        <v>10.5691935795749</v>
      </c>
      <c r="S249" s="2">
        <v>1.76858116493842</v>
      </c>
      <c r="T249" s="2">
        <v>4.3094428691339504</v>
      </c>
      <c r="U249" s="2">
        <v>0</v>
      </c>
      <c r="V249" s="2">
        <v>1.08524026526519</v>
      </c>
      <c r="W249" s="2">
        <v>7.6687348460720797</v>
      </c>
      <c r="X249" s="2">
        <v>7.78616391799188</v>
      </c>
      <c r="Y249" s="2">
        <v>2.32414068673088</v>
      </c>
      <c r="Z249" s="2">
        <v>1.5042771394149399</v>
      </c>
      <c r="AA249" s="3">
        <f t="shared" si="10"/>
        <v>46.667099061108424</v>
      </c>
      <c r="AB249" t="s">
        <v>45</v>
      </c>
      <c r="AC249">
        <v>56.9</v>
      </c>
      <c r="AD249">
        <v>104.57</v>
      </c>
      <c r="AE249">
        <v>15.94</v>
      </c>
      <c r="AF249">
        <v>65.11</v>
      </c>
      <c r="AG249">
        <v>91.37</v>
      </c>
      <c r="AH249">
        <v>34.39</v>
      </c>
      <c r="AI249">
        <v>32.630000000000003</v>
      </c>
      <c r="AJ249">
        <v>109.96</v>
      </c>
      <c r="AK249">
        <v>47.15</v>
      </c>
      <c r="AL249">
        <v>19.86</v>
      </c>
      <c r="AM249">
        <v>69.92</v>
      </c>
      <c r="AN249">
        <v>13.5</v>
      </c>
      <c r="AO249" s="1">
        <f t="shared" si="11"/>
        <v>661.3</v>
      </c>
    </row>
    <row r="250" spans="1:41" x14ac:dyDescent="0.25">
      <c r="A250" t="s">
        <v>293</v>
      </c>
      <c r="B250" s="2">
        <v>4654.4428229291098</v>
      </c>
      <c r="C250" s="2">
        <v>542.81278294091499</v>
      </c>
      <c r="D250" s="2">
        <v>1670.0275180088499</v>
      </c>
      <c r="E250" s="2">
        <v>0</v>
      </c>
      <c r="F250" s="2">
        <v>6978.6233889049299</v>
      </c>
      <c r="G250" s="2">
        <v>2153.58338090289</v>
      </c>
      <c r="H250" s="2">
        <v>3644.1513801255901</v>
      </c>
      <c r="I250" s="2">
        <v>5747.4586202913897</v>
      </c>
      <c r="J250" s="2">
        <v>7701.2501006149396</v>
      </c>
      <c r="K250" s="2">
        <v>0</v>
      </c>
      <c r="L250" s="2">
        <v>7560.9256873060604</v>
      </c>
      <c r="M250" s="2">
        <v>0</v>
      </c>
      <c r="N250" s="3">
        <f t="shared" si="9"/>
        <v>40653.275682024672</v>
      </c>
      <c r="O250" s="2">
        <v>0.46444564165164498</v>
      </c>
      <c r="P250" s="2">
        <v>7.25553677762659</v>
      </c>
      <c r="Q250" s="2">
        <v>2.67245001340727</v>
      </c>
      <c r="R250" s="2">
        <v>2.1164244545581599</v>
      </c>
      <c r="S250" s="2">
        <v>4.45737192655813</v>
      </c>
      <c r="T250" s="2">
        <v>3.4374854275714402</v>
      </c>
      <c r="U250" s="2">
        <v>1.90642382082132</v>
      </c>
      <c r="V250" s="2">
        <v>3.52648664910053</v>
      </c>
      <c r="W250" s="2">
        <v>1.41121601345982</v>
      </c>
      <c r="X250" s="2">
        <v>3.6387224351056502</v>
      </c>
      <c r="Y250" s="2">
        <v>7.69546946924015</v>
      </c>
      <c r="Z250" s="2">
        <v>8.1668947441884896</v>
      </c>
      <c r="AA250" s="3">
        <f t="shared" si="10"/>
        <v>46.748927373289199</v>
      </c>
      <c r="AB250" t="s">
        <v>45</v>
      </c>
      <c r="AC250">
        <v>56.59</v>
      </c>
      <c r="AD250">
        <v>15.82</v>
      </c>
      <c r="AE250">
        <v>26.85</v>
      </c>
      <c r="AF250">
        <v>10.14</v>
      </c>
      <c r="AG250">
        <v>80.03</v>
      </c>
      <c r="AH250">
        <v>31.73</v>
      </c>
      <c r="AI250">
        <v>46.54</v>
      </c>
      <c r="AJ250">
        <v>67.67</v>
      </c>
      <c r="AK250">
        <v>87.11</v>
      </c>
      <c r="AL250">
        <v>10.19</v>
      </c>
      <c r="AM250">
        <v>86</v>
      </c>
      <c r="AN250">
        <v>10.44</v>
      </c>
      <c r="AO250" s="1">
        <f t="shared" si="11"/>
        <v>529.11000000000013</v>
      </c>
    </row>
    <row r="251" spans="1:41" x14ac:dyDescent="0.25">
      <c r="A251" t="s">
        <v>294</v>
      </c>
      <c r="B251" s="2">
        <v>4649.2703115889999</v>
      </c>
      <c r="C251" s="2">
        <v>2829.5574439267798</v>
      </c>
      <c r="D251" s="2">
        <v>0</v>
      </c>
      <c r="E251" s="2">
        <v>5863.9357266761999</v>
      </c>
      <c r="F251" s="2">
        <v>3906.9119688845799</v>
      </c>
      <c r="G251" s="2">
        <v>12858.1387860387</v>
      </c>
      <c r="H251" s="2">
        <v>2457.5774637803202</v>
      </c>
      <c r="I251" s="2">
        <v>1017.61488811427</v>
      </c>
      <c r="J251" s="2">
        <v>1353.35699616901</v>
      </c>
      <c r="K251" s="2">
        <v>1435.5607301561899</v>
      </c>
      <c r="L251" s="2">
        <v>4121.8695007862398</v>
      </c>
      <c r="M251" s="2">
        <v>4122.2855935822099</v>
      </c>
      <c r="N251" s="3">
        <f t="shared" si="9"/>
        <v>44616.079409703496</v>
      </c>
      <c r="O251" s="2">
        <v>2.37267164207781</v>
      </c>
      <c r="P251" s="2">
        <v>8.3551460715784494</v>
      </c>
      <c r="Q251" s="2">
        <v>0.57502322802871397</v>
      </c>
      <c r="R251" s="2">
        <v>3.97051345947337</v>
      </c>
      <c r="S251" s="2">
        <v>8.3967008826090606</v>
      </c>
      <c r="T251" s="2">
        <v>3.4881838805665701</v>
      </c>
      <c r="U251" s="2">
        <v>0</v>
      </c>
      <c r="V251" s="2">
        <v>10.0326932108636</v>
      </c>
      <c r="W251" s="2">
        <v>2.8629864849390101</v>
      </c>
      <c r="X251" s="2">
        <v>0.146005688039164</v>
      </c>
      <c r="Y251" s="2">
        <v>1.1220971378751801</v>
      </c>
      <c r="Z251" s="2">
        <v>7.4433649020647898</v>
      </c>
      <c r="AA251" s="3">
        <f t="shared" si="10"/>
        <v>48.765386588115717</v>
      </c>
      <c r="AB251" t="s">
        <v>45</v>
      </c>
      <c r="AC251">
        <v>56.64</v>
      </c>
      <c r="AD251">
        <v>38.74</v>
      </c>
      <c r="AE251">
        <v>10.039999999999999</v>
      </c>
      <c r="AF251">
        <v>68.83</v>
      </c>
      <c r="AG251">
        <v>49.51</v>
      </c>
      <c r="AH251">
        <v>138.78</v>
      </c>
      <c r="AI251">
        <v>34.57</v>
      </c>
      <c r="AJ251">
        <v>20.72</v>
      </c>
      <c r="AK251">
        <v>23.68</v>
      </c>
      <c r="AL251">
        <v>24.4</v>
      </c>
      <c r="AM251">
        <v>51.31</v>
      </c>
      <c r="AN251">
        <v>51.62</v>
      </c>
      <c r="AO251" s="1">
        <f t="shared" si="11"/>
        <v>568.83999999999992</v>
      </c>
    </row>
    <row r="252" spans="1:41" x14ac:dyDescent="0.25">
      <c r="A252" t="s">
        <v>295</v>
      </c>
      <c r="B252" s="2">
        <v>4636.9433577088403</v>
      </c>
      <c r="C252" s="2">
        <v>735.84403558577901</v>
      </c>
      <c r="D252" s="2">
        <v>48.7496767572758</v>
      </c>
      <c r="E252" s="2">
        <v>1405.9547297696799</v>
      </c>
      <c r="F252" s="2">
        <v>3449.9297200025899</v>
      </c>
      <c r="G252" s="2">
        <v>2552.8764481898602</v>
      </c>
      <c r="H252" s="2">
        <v>796.25351933402499</v>
      </c>
      <c r="I252" s="2">
        <v>1383.16952075156</v>
      </c>
      <c r="J252" s="2">
        <v>831.86750954673198</v>
      </c>
      <c r="K252" s="2">
        <v>981.55946692881503</v>
      </c>
      <c r="L252" s="2">
        <v>3575.83354605261</v>
      </c>
      <c r="M252" s="2">
        <v>2395.0556034687302</v>
      </c>
      <c r="N252" s="3">
        <f t="shared" si="9"/>
        <v>22794.037134096496</v>
      </c>
      <c r="O252" s="2">
        <v>0.77965844747683799</v>
      </c>
      <c r="P252" s="2">
        <v>7.4927795135112198</v>
      </c>
      <c r="Q252" s="2">
        <v>6.0651293932153996</v>
      </c>
      <c r="R252" s="2">
        <v>9.9986327901141294</v>
      </c>
      <c r="S252" s="2">
        <v>6.3381888978804</v>
      </c>
      <c r="T252" s="2">
        <v>4.3002357528131698</v>
      </c>
      <c r="U252" s="2">
        <v>0.36759832546411603</v>
      </c>
      <c r="V252" s="2">
        <v>5.9819116416711502</v>
      </c>
      <c r="W252" s="2">
        <v>8.8064646333105898</v>
      </c>
      <c r="X252" s="2">
        <v>7.7745386666262499</v>
      </c>
      <c r="Y252" s="2">
        <v>3.91406067847173</v>
      </c>
      <c r="Z252" s="2">
        <v>0.64488893752421095</v>
      </c>
      <c r="AA252" s="3">
        <f t="shared" si="10"/>
        <v>62.464087678079203</v>
      </c>
      <c r="AB252" t="s">
        <v>63</v>
      </c>
      <c r="AC252">
        <v>92.83</v>
      </c>
      <c r="AD252">
        <v>15.44</v>
      </c>
      <c r="AE252">
        <v>1.61</v>
      </c>
      <c r="AF252">
        <v>29.02</v>
      </c>
      <c r="AG252">
        <v>69.63</v>
      </c>
      <c r="AH252">
        <v>51.51</v>
      </c>
      <c r="AI252">
        <v>16.03</v>
      </c>
      <c r="AJ252">
        <v>28.22</v>
      </c>
      <c r="AK252">
        <v>17.45</v>
      </c>
      <c r="AL252">
        <v>20.36</v>
      </c>
      <c r="AM252">
        <v>71.88</v>
      </c>
      <c r="AN252">
        <v>48.01</v>
      </c>
      <c r="AO252" s="1">
        <f t="shared" si="11"/>
        <v>461.99000000000007</v>
      </c>
    </row>
    <row r="253" spans="1:41" x14ac:dyDescent="0.25">
      <c r="A253" t="s">
        <v>296</v>
      </c>
      <c r="B253" s="2">
        <v>4632.7444978392105</v>
      </c>
      <c r="C253" s="2">
        <v>6746.8071811626996</v>
      </c>
      <c r="D253" s="2">
        <v>3292.7393874207</v>
      </c>
      <c r="E253" s="2">
        <v>1708.5048282740399</v>
      </c>
      <c r="F253" s="2">
        <v>3683.0791288427299</v>
      </c>
      <c r="G253" s="2">
        <v>1655.1720446987899</v>
      </c>
      <c r="H253" s="2">
        <v>893.90034422209999</v>
      </c>
      <c r="I253" s="2">
        <v>5512.6923301410698</v>
      </c>
      <c r="J253" s="2">
        <v>343.91451148520201</v>
      </c>
      <c r="K253" s="2">
        <v>0</v>
      </c>
      <c r="L253" s="2">
        <v>1733.0571906195901</v>
      </c>
      <c r="M253" s="2">
        <v>1785.0885901726699</v>
      </c>
      <c r="N253" s="3">
        <f t="shared" si="9"/>
        <v>31987.700034878806</v>
      </c>
      <c r="O253" s="2">
        <v>1.52509888932735</v>
      </c>
      <c r="P253" s="2">
        <v>2.6091275368743498</v>
      </c>
      <c r="Q253" s="2">
        <v>10.707938155742101</v>
      </c>
      <c r="R253" s="2">
        <v>8.5007318776583407</v>
      </c>
      <c r="S253" s="2">
        <v>4.9012450457755898</v>
      </c>
      <c r="T253" s="2">
        <v>8.7897106047924698</v>
      </c>
      <c r="U253" s="2">
        <v>3.0430787197484399</v>
      </c>
      <c r="V253" s="2">
        <v>1.4744367374990199</v>
      </c>
      <c r="W253" s="2">
        <v>5.4050205217178204</v>
      </c>
      <c r="X253" s="2">
        <v>4.0496874830702199</v>
      </c>
      <c r="Y253" s="2">
        <v>1.7703671093436899</v>
      </c>
      <c r="Z253" s="2">
        <v>1.0199051807094199</v>
      </c>
      <c r="AA253" s="3">
        <f t="shared" si="10"/>
        <v>53.796347862258813</v>
      </c>
      <c r="AB253" t="s">
        <v>63</v>
      </c>
      <c r="AC253">
        <v>92.84</v>
      </c>
      <c r="AD253">
        <v>135.21</v>
      </c>
      <c r="AE253">
        <v>66.849999999999994</v>
      </c>
      <c r="AF253">
        <v>34.99</v>
      </c>
      <c r="AG253">
        <v>74.13</v>
      </c>
      <c r="AH253">
        <v>33.93</v>
      </c>
      <c r="AI253">
        <v>18.239999999999998</v>
      </c>
      <c r="AJ253">
        <v>110.44</v>
      </c>
      <c r="AK253">
        <v>7.42</v>
      </c>
      <c r="AL253">
        <v>0.45</v>
      </c>
      <c r="AM253">
        <v>34.86</v>
      </c>
      <c r="AN253">
        <v>35.9</v>
      </c>
      <c r="AO253" s="1">
        <f t="shared" si="11"/>
        <v>645.26</v>
      </c>
    </row>
    <row r="254" spans="1:41" x14ac:dyDescent="0.25">
      <c r="A254" t="s">
        <v>297</v>
      </c>
      <c r="B254" s="2">
        <v>4609.6552404532104</v>
      </c>
      <c r="C254" s="2">
        <v>0</v>
      </c>
      <c r="D254" s="2">
        <v>6005.0393202428504</v>
      </c>
      <c r="E254" s="2">
        <v>1771.11841742607</v>
      </c>
      <c r="F254" s="2">
        <v>1212.7857271347</v>
      </c>
      <c r="G254" s="2">
        <v>3979.8757344810901</v>
      </c>
      <c r="H254" s="2">
        <v>1497.2627291741401</v>
      </c>
      <c r="I254" s="2">
        <v>3690.5928169040899</v>
      </c>
      <c r="J254" s="2">
        <v>3798.6047694178701</v>
      </c>
      <c r="K254" s="2">
        <v>3797.6618052653898</v>
      </c>
      <c r="L254" s="2">
        <v>16736.588075347699</v>
      </c>
      <c r="M254" s="2">
        <v>1906.0427917674599</v>
      </c>
      <c r="N254" s="3">
        <f t="shared" si="9"/>
        <v>49005.227427614569</v>
      </c>
      <c r="O254" s="2">
        <v>0.78602460323684797</v>
      </c>
      <c r="P254" s="2">
        <v>1.12286779127645</v>
      </c>
      <c r="Q254" s="2">
        <v>0.15669108321637801</v>
      </c>
      <c r="R254" s="2">
        <v>4.1432754081075602</v>
      </c>
      <c r="S254" s="2">
        <v>1.3280323395104501</v>
      </c>
      <c r="T254" s="2">
        <v>5.6263992040757902</v>
      </c>
      <c r="U254" s="2">
        <v>0.78158832145085499</v>
      </c>
      <c r="V254" s="2">
        <v>0.607078985022937</v>
      </c>
      <c r="W254" s="2">
        <v>2.6106052235729802</v>
      </c>
      <c r="X254" s="2">
        <v>0</v>
      </c>
      <c r="Y254" s="2">
        <v>1.6060579236732899E-2</v>
      </c>
      <c r="Z254" s="2">
        <v>3.0062083873208501</v>
      </c>
      <c r="AA254" s="3">
        <f t="shared" si="10"/>
        <v>20.184831926027833</v>
      </c>
      <c r="AB254" t="s">
        <v>63</v>
      </c>
      <c r="AC254">
        <v>92.29</v>
      </c>
      <c r="AD254">
        <v>0.18</v>
      </c>
      <c r="AE254">
        <v>120.21</v>
      </c>
      <c r="AF254">
        <v>35.89</v>
      </c>
      <c r="AG254">
        <v>24.44</v>
      </c>
      <c r="AH254">
        <v>80.14</v>
      </c>
      <c r="AI254">
        <v>30.05</v>
      </c>
      <c r="AJ254">
        <v>73.91</v>
      </c>
      <c r="AK254">
        <v>76.25</v>
      </c>
      <c r="AL254">
        <v>75.959999999999994</v>
      </c>
      <c r="AM254">
        <v>334.83</v>
      </c>
      <c r="AN254">
        <v>38.5</v>
      </c>
      <c r="AO254" s="1">
        <f t="shared" si="11"/>
        <v>982.65000000000009</v>
      </c>
    </row>
    <row r="255" spans="1:41" x14ac:dyDescent="0.25">
      <c r="A255" t="s">
        <v>298</v>
      </c>
      <c r="B255" s="2">
        <v>4585.8235173513003</v>
      </c>
      <c r="C255" s="2">
        <v>933.67063782528203</v>
      </c>
      <c r="D255" s="2">
        <v>1056.74418254746</v>
      </c>
      <c r="E255" s="2">
        <v>957.38460973833298</v>
      </c>
      <c r="F255" s="2">
        <v>1221.6865418033301</v>
      </c>
      <c r="G255" s="2">
        <v>202.09560545171399</v>
      </c>
      <c r="H255" s="2">
        <v>3575.4241573377999</v>
      </c>
      <c r="I255" s="2">
        <v>3842.1929835876899</v>
      </c>
      <c r="J255" s="2">
        <v>3168.21827226287</v>
      </c>
      <c r="K255" s="2">
        <v>2188.1451877642598</v>
      </c>
      <c r="L255" s="2">
        <v>820.38983926128401</v>
      </c>
      <c r="M255" s="2">
        <v>11903.9028084456</v>
      </c>
      <c r="N255" s="3">
        <f t="shared" si="9"/>
        <v>34455.678343376923</v>
      </c>
      <c r="O255" s="2">
        <v>7.4678455968103901</v>
      </c>
      <c r="P255" s="2">
        <v>4.4671650762346404</v>
      </c>
      <c r="Q255" s="2">
        <v>0</v>
      </c>
      <c r="R255" s="2">
        <v>1.5575076080702901</v>
      </c>
      <c r="S255" s="2">
        <v>3.5797783190675698</v>
      </c>
      <c r="T255" s="2">
        <v>7.55210605668813</v>
      </c>
      <c r="U255" s="2">
        <v>5.0893575449418798</v>
      </c>
      <c r="V255" s="2">
        <v>0</v>
      </c>
      <c r="W255" s="2">
        <v>4.2378727765177802</v>
      </c>
      <c r="X255" s="2">
        <v>5.5008640764978303</v>
      </c>
      <c r="Y255" s="2">
        <v>1.55804557289031</v>
      </c>
      <c r="Z255" s="2">
        <v>3.0528546681989202</v>
      </c>
      <c r="AA255" s="3">
        <f t="shared" si="10"/>
        <v>44.063397295917738</v>
      </c>
      <c r="AB255" t="s">
        <v>63</v>
      </c>
      <c r="AC255">
        <v>92.44</v>
      </c>
      <c r="AD255">
        <v>19.13</v>
      </c>
      <c r="AE255">
        <v>21.14</v>
      </c>
      <c r="AF255">
        <v>19.34</v>
      </c>
      <c r="AG255">
        <v>24.8</v>
      </c>
      <c r="AH255">
        <v>4.78</v>
      </c>
      <c r="AI255">
        <v>72.06</v>
      </c>
      <c r="AJ255">
        <v>76.86</v>
      </c>
      <c r="AK255">
        <v>63.83</v>
      </c>
      <c r="AL255">
        <v>44.32</v>
      </c>
      <c r="AM255">
        <v>16.600000000000001</v>
      </c>
      <c r="AN255">
        <v>238.44</v>
      </c>
      <c r="AO255" s="1">
        <f t="shared" si="11"/>
        <v>693.74</v>
      </c>
    </row>
    <row r="256" spans="1:41" x14ac:dyDescent="0.25">
      <c r="A256" t="s">
        <v>299</v>
      </c>
      <c r="B256" s="2">
        <v>4548.7670689189499</v>
      </c>
      <c r="C256" s="2">
        <v>3014.05726244374</v>
      </c>
      <c r="D256" s="2">
        <v>5356.0605532422796</v>
      </c>
      <c r="E256" s="2">
        <v>2330.07001303688</v>
      </c>
      <c r="F256" s="2">
        <v>31.442034719355402</v>
      </c>
      <c r="G256" s="2">
        <v>3023.32215778104</v>
      </c>
      <c r="H256" s="2">
        <v>10706.9272854924</v>
      </c>
      <c r="I256" s="2">
        <v>5133.6736322306697</v>
      </c>
      <c r="J256" s="2">
        <v>1411.11800573045</v>
      </c>
      <c r="K256" s="2">
        <v>1498.7247668703501</v>
      </c>
      <c r="L256" s="2">
        <v>8802.5346255699005</v>
      </c>
      <c r="M256" s="2">
        <v>0</v>
      </c>
      <c r="N256" s="3">
        <f t="shared" si="9"/>
        <v>45856.697406036008</v>
      </c>
      <c r="O256" s="2">
        <v>11.790889686018801</v>
      </c>
      <c r="P256" s="2">
        <v>6.4801917437739398</v>
      </c>
      <c r="Q256" s="2">
        <v>1.2500563156258799</v>
      </c>
      <c r="R256" s="2">
        <v>2.43757350405131</v>
      </c>
      <c r="S256" s="2">
        <v>2.0749038458243301</v>
      </c>
      <c r="T256" s="2">
        <v>4.4128154004741296</v>
      </c>
      <c r="U256" s="2">
        <v>6.3669647872023196</v>
      </c>
      <c r="V256" s="2">
        <v>2.6268113343742701</v>
      </c>
      <c r="W256" s="2">
        <v>0.38437618104827198</v>
      </c>
      <c r="X256" s="2">
        <v>6.4783971006615602</v>
      </c>
      <c r="Y256" s="2">
        <v>6.7311284103893501</v>
      </c>
      <c r="Z256" s="2">
        <v>0.55179122064903596</v>
      </c>
      <c r="AA256" s="3">
        <f t="shared" si="10"/>
        <v>51.585899530093201</v>
      </c>
      <c r="AB256" t="s">
        <v>45</v>
      </c>
      <c r="AC256">
        <v>56.08</v>
      </c>
      <c r="AD256">
        <v>40.49</v>
      </c>
      <c r="AE256">
        <v>63.66</v>
      </c>
      <c r="AF256">
        <v>33.450000000000003</v>
      </c>
      <c r="AG256">
        <v>10.46</v>
      </c>
      <c r="AH256">
        <v>40.479999999999997</v>
      </c>
      <c r="AI256">
        <v>117.41</v>
      </c>
      <c r="AJ256">
        <v>61.48</v>
      </c>
      <c r="AK256">
        <v>24.16</v>
      </c>
      <c r="AL256">
        <v>25.33</v>
      </c>
      <c r="AM256">
        <v>98.37</v>
      </c>
      <c r="AN256">
        <v>10.039999999999999</v>
      </c>
      <c r="AO256" s="1">
        <f t="shared" si="11"/>
        <v>581.41</v>
      </c>
    </row>
    <row r="257" spans="1:41" x14ac:dyDescent="0.25">
      <c r="A257" t="s">
        <v>300</v>
      </c>
      <c r="B257" s="2">
        <v>4535.1618202658501</v>
      </c>
      <c r="C257" s="2">
        <v>4701.01051857932</v>
      </c>
      <c r="D257" s="2">
        <v>1097.45027132672</v>
      </c>
      <c r="E257" s="2">
        <v>7366.7167258775398</v>
      </c>
      <c r="F257" s="2">
        <v>2422.8576957772302</v>
      </c>
      <c r="G257" s="2">
        <v>0</v>
      </c>
      <c r="H257" s="2">
        <v>3254.2798944211199</v>
      </c>
      <c r="I257" s="2">
        <v>7563.1234866514096</v>
      </c>
      <c r="J257" s="2">
        <v>11452.250485860701</v>
      </c>
      <c r="K257" s="2">
        <v>4259.7673604228703</v>
      </c>
      <c r="L257" s="2">
        <v>582.53060597598096</v>
      </c>
      <c r="M257" s="2">
        <v>633.74674654855096</v>
      </c>
      <c r="N257" s="3">
        <f t="shared" si="9"/>
        <v>47868.895611707296</v>
      </c>
      <c r="O257" s="2">
        <v>1.6427293955020199</v>
      </c>
      <c r="P257" s="2">
        <v>3.7054136604934498</v>
      </c>
      <c r="Q257" s="2">
        <v>3.5989616865230198</v>
      </c>
      <c r="R257" s="2">
        <v>0.45752943858342099</v>
      </c>
      <c r="S257" s="2">
        <v>13.1057046579127</v>
      </c>
      <c r="T257" s="2">
        <v>8.1661404823261492</v>
      </c>
      <c r="U257" s="2">
        <v>5.9321494355373998</v>
      </c>
      <c r="V257" s="2">
        <v>1.9800027426356901</v>
      </c>
      <c r="W257" s="2">
        <v>1.45720158229407</v>
      </c>
      <c r="X257" s="2">
        <v>3.8124237353625801</v>
      </c>
      <c r="Y257" s="2">
        <v>2.2054969450398501</v>
      </c>
      <c r="Z257" s="2">
        <v>14.1525242975361</v>
      </c>
      <c r="AA257" s="3">
        <f t="shared" si="10"/>
        <v>60.216278059746443</v>
      </c>
      <c r="AB257" t="s">
        <v>45</v>
      </c>
      <c r="AC257">
        <v>55.45</v>
      </c>
      <c r="AD257">
        <v>57.21</v>
      </c>
      <c r="AE257">
        <v>21.17</v>
      </c>
      <c r="AF257">
        <v>83.71</v>
      </c>
      <c r="AG257">
        <v>34.92</v>
      </c>
      <c r="AH257">
        <v>10.44</v>
      </c>
      <c r="AI257">
        <v>42.84</v>
      </c>
      <c r="AJ257">
        <v>85.73</v>
      </c>
      <c r="AK257">
        <v>124.62</v>
      </c>
      <c r="AL257">
        <v>52.79</v>
      </c>
      <c r="AM257">
        <v>15.97</v>
      </c>
      <c r="AN257">
        <v>17.079999999999998</v>
      </c>
      <c r="AO257" s="1">
        <f t="shared" si="11"/>
        <v>601.93000000000006</v>
      </c>
    </row>
    <row r="258" spans="1:41" x14ac:dyDescent="0.25">
      <c r="A258" t="s">
        <v>301</v>
      </c>
      <c r="B258" s="2">
        <v>4523.7031907542096</v>
      </c>
      <c r="C258" s="2">
        <v>0</v>
      </c>
      <c r="D258" s="2">
        <v>2914.7020473148</v>
      </c>
      <c r="E258" s="2">
        <v>818.54080130461705</v>
      </c>
      <c r="F258" s="2">
        <v>47.8751590154722</v>
      </c>
      <c r="G258" s="2">
        <v>2193.8450828004702</v>
      </c>
      <c r="H258" s="2">
        <v>378.94877511716402</v>
      </c>
      <c r="I258" s="2">
        <v>3898.2761759232499</v>
      </c>
      <c r="J258" s="2">
        <v>3951.3097590593302</v>
      </c>
      <c r="K258" s="2">
        <v>758.086755748374</v>
      </c>
      <c r="L258" s="2">
        <v>0</v>
      </c>
      <c r="M258" s="2">
        <v>5565.7053801293896</v>
      </c>
      <c r="N258" s="3">
        <f t="shared" si="9"/>
        <v>25050.993127167072</v>
      </c>
      <c r="O258" s="2">
        <v>5.2596415045761304</v>
      </c>
      <c r="P258" s="2">
        <v>0.206453465690112</v>
      </c>
      <c r="Q258" s="2">
        <v>0.67548541725827105</v>
      </c>
      <c r="R258" s="2">
        <v>8.2559852139987497E-2</v>
      </c>
      <c r="S258" s="2">
        <v>1.1237298372429001</v>
      </c>
      <c r="T258" s="2">
        <v>3.18515023713169</v>
      </c>
      <c r="U258" s="2">
        <v>5.7549400435835603</v>
      </c>
      <c r="V258" s="2">
        <v>6.2139079506029997</v>
      </c>
      <c r="W258" s="2">
        <v>9.0722125682149706</v>
      </c>
      <c r="X258" s="2">
        <v>1.3401737397533799</v>
      </c>
      <c r="Y258" s="2">
        <v>5.5777949031549197</v>
      </c>
      <c r="Z258" s="2">
        <v>0.91954033309989003</v>
      </c>
      <c r="AA258" s="3">
        <f t="shared" si="10"/>
        <v>39.411589852448813</v>
      </c>
      <c r="AB258" t="s">
        <v>63</v>
      </c>
      <c r="AC258">
        <v>91.02</v>
      </c>
      <c r="AD258">
        <v>0.09</v>
      </c>
      <c r="AE258">
        <v>58.39</v>
      </c>
      <c r="AF258">
        <v>16.47</v>
      </c>
      <c r="AG258">
        <v>1.1399999999999999</v>
      </c>
      <c r="AH258">
        <v>44.24</v>
      </c>
      <c r="AI258">
        <v>8.1199999999999992</v>
      </c>
      <c r="AJ258">
        <v>78.61</v>
      </c>
      <c r="AK258">
        <v>79.94</v>
      </c>
      <c r="AL258">
        <v>15.36</v>
      </c>
      <c r="AM258">
        <v>0.54</v>
      </c>
      <c r="AN258">
        <v>111.41</v>
      </c>
      <c r="AO258" s="1">
        <f t="shared" si="11"/>
        <v>505.33000000000004</v>
      </c>
    </row>
    <row r="259" spans="1:41" x14ac:dyDescent="0.25">
      <c r="A259" t="s">
        <v>302</v>
      </c>
      <c r="B259" s="2">
        <v>4520.0618753292001</v>
      </c>
      <c r="C259" s="2">
        <v>636.47338162605797</v>
      </c>
      <c r="D259" s="2">
        <v>5752.1784335496104</v>
      </c>
      <c r="E259" s="2">
        <v>5874.4683929113298</v>
      </c>
      <c r="F259" s="2">
        <v>2551.48599339972</v>
      </c>
      <c r="G259" s="2">
        <v>2623.9430351587798</v>
      </c>
      <c r="H259" s="2">
        <v>4519.0511521326198</v>
      </c>
      <c r="I259" s="2">
        <v>5129.2928144707503</v>
      </c>
      <c r="J259" s="2">
        <v>1179.7895874149699</v>
      </c>
      <c r="K259" s="2">
        <v>5109.6396215412196</v>
      </c>
      <c r="L259" s="2">
        <v>5879.4710649585504</v>
      </c>
      <c r="M259" s="2">
        <v>1607.9880517603001</v>
      </c>
      <c r="N259" s="3">
        <f t="shared" ref="N259:N322" si="12">SUM(B259:M259)</f>
        <v>45383.843404253115</v>
      </c>
      <c r="O259" s="2">
        <v>9.7333618275331606</v>
      </c>
      <c r="P259" s="2">
        <v>12.5344255185218</v>
      </c>
      <c r="Q259" s="2">
        <v>2.9561695644275501</v>
      </c>
      <c r="R259" s="2">
        <v>0.561647703130847</v>
      </c>
      <c r="S259" s="2">
        <v>2.7534451809862301</v>
      </c>
      <c r="T259" s="2">
        <v>0</v>
      </c>
      <c r="U259" s="2">
        <v>0.69858600653987502</v>
      </c>
      <c r="V259" s="2">
        <v>4.7181791230100201</v>
      </c>
      <c r="W259" s="2">
        <v>3.0233042047305698</v>
      </c>
      <c r="X259" s="2">
        <v>7.9442900045458096</v>
      </c>
      <c r="Y259" s="2">
        <v>0.61268562638449797</v>
      </c>
      <c r="Z259" s="2">
        <v>5.4863011848269903</v>
      </c>
      <c r="AA259" s="3">
        <f t="shared" si="10"/>
        <v>51.022395944637353</v>
      </c>
      <c r="AB259" t="s">
        <v>45</v>
      </c>
      <c r="AC259">
        <v>55.7</v>
      </c>
      <c r="AD259">
        <v>17.010000000000002</v>
      </c>
      <c r="AE259">
        <v>67.67</v>
      </c>
      <c r="AF259">
        <v>68.790000000000006</v>
      </c>
      <c r="AG259">
        <v>35.659999999999997</v>
      </c>
      <c r="AH259">
        <v>36.229999999999997</v>
      </c>
      <c r="AI259">
        <v>55.24</v>
      </c>
      <c r="AJ259">
        <v>61.54</v>
      </c>
      <c r="AK259">
        <v>21.99</v>
      </c>
      <c r="AL259">
        <v>61.49</v>
      </c>
      <c r="AM259">
        <v>68.84</v>
      </c>
      <c r="AN259">
        <v>26.37</v>
      </c>
      <c r="AO259" s="1">
        <f t="shared" si="11"/>
        <v>576.53000000000009</v>
      </c>
    </row>
    <row r="260" spans="1:41" x14ac:dyDescent="0.25">
      <c r="A260" t="s">
        <v>303</v>
      </c>
      <c r="B260" s="2">
        <v>4517.5912634382403</v>
      </c>
      <c r="C260" s="2">
        <v>1043.7140586498599</v>
      </c>
      <c r="D260" s="2">
        <v>14879.187405828499</v>
      </c>
      <c r="E260" s="2">
        <v>11722.144998187199</v>
      </c>
      <c r="F260" s="2">
        <v>2369.30699763345</v>
      </c>
      <c r="G260" s="2">
        <v>6671.0042194154503</v>
      </c>
      <c r="H260" s="2">
        <v>626.67799655089505</v>
      </c>
      <c r="I260" s="2">
        <v>1948.8790039619</v>
      </c>
      <c r="J260" s="2">
        <v>347.659987315705</v>
      </c>
      <c r="K260" s="2">
        <v>3406.4812237031601</v>
      </c>
      <c r="L260" s="2">
        <v>3370.4214236359899</v>
      </c>
      <c r="M260" s="2">
        <v>681.95871103977902</v>
      </c>
      <c r="N260" s="3">
        <f t="shared" si="12"/>
        <v>51585.027289360129</v>
      </c>
      <c r="O260" s="2">
        <v>0.24931220738801901</v>
      </c>
      <c r="P260" s="2">
        <v>3.9104377490206503E-2</v>
      </c>
      <c r="Q260" s="2">
        <v>4.1404651105672201</v>
      </c>
      <c r="R260" s="2">
        <v>0</v>
      </c>
      <c r="S260" s="2">
        <v>10.634736569495001</v>
      </c>
      <c r="T260" s="2">
        <v>1.68530615287521</v>
      </c>
      <c r="U260" s="2">
        <v>2.6761154662407001</v>
      </c>
      <c r="V260" s="2">
        <v>3.7060438430922802</v>
      </c>
      <c r="W260" s="2">
        <v>1.6725093445416199</v>
      </c>
      <c r="X260" s="2">
        <v>7.8336898736899103</v>
      </c>
      <c r="Y260" s="2">
        <v>0.88895094760377202</v>
      </c>
      <c r="Z260" s="2">
        <v>1.5687456118576</v>
      </c>
      <c r="AA260" s="3">
        <f t="shared" ref="AA260:AA323" si="13">SUM(O260:Z260)</f>
        <v>35.094979504841547</v>
      </c>
      <c r="AB260" t="s">
        <v>45</v>
      </c>
      <c r="AC260">
        <v>55.22</v>
      </c>
      <c r="AD260">
        <v>20.48</v>
      </c>
      <c r="AE260">
        <v>159.04</v>
      </c>
      <c r="AF260">
        <v>127.22</v>
      </c>
      <c r="AG260">
        <v>34.24</v>
      </c>
      <c r="AH260">
        <v>76.81</v>
      </c>
      <c r="AI260">
        <v>16.41</v>
      </c>
      <c r="AJ260">
        <v>29.68</v>
      </c>
      <c r="AK260">
        <v>13.57</v>
      </c>
      <c r="AL260">
        <v>44.46</v>
      </c>
      <c r="AM260">
        <v>43.75</v>
      </c>
      <c r="AN260">
        <v>16.91</v>
      </c>
      <c r="AO260" s="1">
        <f t="shared" si="11"/>
        <v>637.79000000000008</v>
      </c>
    </row>
    <row r="261" spans="1:41" x14ac:dyDescent="0.25">
      <c r="A261" t="s">
        <v>304</v>
      </c>
      <c r="B261" s="2">
        <v>4515.6318162022999</v>
      </c>
      <c r="C261" s="2">
        <v>2977.96278852055</v>
      </c>
      <c r="D261" s="2">
        <v>11447.433947435</v>
      </c>
      <c r="E261" s="2">
        <v>422.43488687544999</v>
      </c>
      <c r="F261" s="2">
        <v>4117.1071466275998</v>
      </c>
      <c r="G261" s="2">
        <v>3803.01850940448</v>
      </c>
      <c r="H261" s="2">
        <v>7144.0832224197702</v>
      </c>
      <c r="I261" s="2">
        <v>2165.1708158091201</v>
      </c>
      <c r="J261" s="2">
        <v>3283.4160998874599</v>
      </c>
      <c r="K261" s="2">
        <v>973.90681728215304</v>
      </c>
      <c r="L261" s="2">
        <v>2002.6587208553799</v>
      </c>
      <c r="M261" s="2">
        <v>8749.6433384236298</v>
      </c>
      <c r="N261" s="3">
        <f t="shared" si="12"/>
        <v>51602.468109742891</v>
      </c>
      <c r="O261" s="2">
        <v>4.66505297400695</v>
      </c>
      <c r="P261" s="2">
        <v>0.43156373178292801</v>
      </c>
      <c r="Q261" s="2">
        <v>8.14161290788293</v>
      </c>
      <c r="R261" s="2">
        <v>4.5209399039567204</v>
      </c>
      <c r="S261" s="2">
        <v>1.9384742521629099</v>
      </c>
      <c r="T261" s="2">
        <v>12.3571500427673</v>
      </c>
      <c r="U261" s="2">
        <v>2.3958680207640799</v>
      </c>
      <c r="V261" s="2">
        <v>1.73856668591217</v>
      </c>
      <c r="W261" s="2">
        <v>4.2046219035411898</v>
      </c>
      <c r="X261" s="2">
        <v>9.7698338802782503E-2</v>
      </c>
      <c r="Y261" s="2">
        <v>7.0579617451395</v>
      </c>
      <c r="Z261" s="2">
        <v>8.4469596585746807</v>
      </c>
      <c r="AA261" s="3">
        <f t="shared" si="13"/>
        <v>55.996470165294127</v>
      </c>
      <c r="AB261" t="s">
        <v>45</v>
      </c>
      <c r="AC261">
        <v>55.4</v>
      </c>
      <c r="AD261">
        <v>39.82</v>
      </c>
      <c r="AE261">
        <v>124.92</v>
      </c>
      <c r="AF261">
        <v>14.47</v>
      </c>
      <c r="AG261">
        <v>51.27</v>
      </c>
      <c r="AH261">
        <v>48.68</v>
      </c>
      <c r="AI261">
        <v>81.59</v>
      </c>
      <c r="AJ261">
        <v>31.75</v>
      </c>
      <c r="AK261">
        <v>43.08</v>
      </c>
      <c r="AL261">
        <v>19.78</v>
      </c>
      <c r="AM261">
        <v>30.42</v>
      </c>
      <c r="AN261">
        <v>97.94</v>
      </c>
      <c r="AO261" s="1">
        <f t="shared" ref="AO261:AO324" si="14">SUM(AC261:AN261)</f>
        <v>639.11999999999989</v>
      </c>
    </row>
    <row r="262" spans="1:41" x14ac:dyDescent="0.25">
      <c r="A262" t="s">
        <v>305</v>
      </c>
      <c r="B262" s="2">
        <v>4437.7573369903903</v>
      </c>
      <c r="C262" s="2">
        <v>6788.4021893488198</v>
      </c>
      <c r="D262" s="2">
        <v>0</v>
      </c>
      <c r="E262" s="2">
        <v>2730.5329519860502</v>
      </c>
      <c r="F262" s="2">
        <v>5741.8973747969803</v>
      </c>
      <c r="G262" s="2">
        <v>5128.9619418111397</v>
      </c>
      <c r="H262" s="2">
        <v>1416.4306129300101</v>
      </c>
      <c r="I262" s="2">
        <v>3562.1706802951098</v>
      </c>
      <c r="J262" s="2">
        <v>7601.4187260937497</v>
      </c>
      <c r="K262" s="2">
        <v>2326.84320856665</v>
      </c>
      <c r="L262" s="2">
        <v>2044.14755902662</v>
      </c>
      <c r="M262" s="2">
        <v>5982.3489952329701</v>
      </c>
      <c r="N262" s="3">
        <f t="shared" si="12"/>
        <v>47760.911577078485</v>
      </c>
      <c r="O262" s="2">
        <v>30.292819662944801</v>
      </c>
      <c r="P262" s="2">
        <v>0.46805999534072101</v>
      </c>
      <c r="Q262" s="2">
        <v>15.2191163695989</v>
      </c>
      <c r="R262" s="2">
        <v>3.2344242087008501</v>
      </c>
      <c r="S262" s="2">
        <v>7.3006290535076497</v>
      </c>
      <c r="T262" s="2">
        <v>5.9083566510488899</v>
      </c>
      <c r="U262" s="2">
        <v>2.1997280642277302</v>
      </c>
      <c r="V262" s="2">
        <v>5.6843124625129802</v>
      </c>
      <c r="W262" s="2">
        <v>7.6003578180710898</v>
      </c>
      <c r="X262" s="2">
        <v>1.51714052907276</v>
      </c>
      <c r="Y262" s="2">
        <v>1.48840595457578</v>
      </c>
      <c r="Z262" s="2">
        <v>2.8281538876996501</v>
      </c>
      <c r="AA262" s="3">
        <f t="shared" si="13"/>
        <v>83.741504657301817</v>
      </c>
      <c r="AB262" t="s">
        <v>45</v>
      </c>
      <c r="AC262">
        <v>55.92</v>
      </c>
      <c r="AD262">
        <v>77.930000000000007</v>
      </c>
      <c r="AE262">
        <v>10.79</v>
      </c>
      <c r="AF262">
        <v>37.5</v>
      </c>
      <c r="AG262">
        <v>67.81</v>
      </c>
      <c r="AH262">
        <v>61.58</v>
      </c>
      <c r="AI262">
        <v>24.31</v>
      </c>
      <c r="AJ262">
        <v>45.92</v>
      </c>
      <c r="AK262">
        <v>86.41</v>
      </c>
      <c r="AL262">
        <v>33.36</v>
      </c>
      <c r="AM262">
        <v>30.54</v>
      </c>
      <c r="AN262">
        <v>69.97</v>
      </c>
      <c r="AO262" s="1">
        <f t="shared" si="14"/>
        <v>602.04000000000008</v>
      </c>
    </row>
    <row r="263" spans="1:41" x14ac:dyDescent="0.25">
      <c r="A263" t="s">
        <v>306</v>
      </c>
      <c r="B263" s="2">
        <v>4426.97198439574</v>
      </c>
      <c r="C263" s="2">
        <v>4832.9531064141602</v>
      </c>
      <c r="D263" s="2">
        <v>6140.4589740904603</v>
      </c>
      <c r="E263" s="2">
        <v>195.613631939642</v>
      </c>
      <c r="F263" s="2">
        <v>3056.0102925455699</v>
      </c>
      <c r="G263" s="2">
        <v>11436.588210661301</v>
      </c>
      <c r="H263" s="2">
        <v>5967.4888303892903</v>
      </c>
      <c r="I263" s="2">
        <v>828.048391610625</v>
      </c>
      <c r="J263" s="2">
        <v>2933.20887782927</v>
      </c>
      <c r="K263" s="2">
        <v>9101.0524933886099</v>
      </c>
      <c r="L263" s="2">
        <v>2137.2136090566</v>
      </c>
      <c r="M263" s="2">
        <v>6773.1911049189603</v>
      </c>
      <c r="N263" s="3">
        <f t="shared" si="12"/>
        <v>57828.799507240219</v>
      </c>
      <c r="O263" s="2">
        <v>1.0751190523633301</v>
      </c>
      <c r="P263" s="2">
        <v>2.93024138207445</v>
      </c>
      <c r="Q263" s="2">
        <v>5.0744426241821401</v>
      </c>
      <c r="R263" s="2">
        <v>1.8787867296654199</v>
      </c>
      <c r="S263" s="2">
        <v>0</v>
      </c>
      <c r="T263" s="2">
        <v>8.5477817258474094</v>
      </c>
      <c r="U263" s="2">
        <v>6.6529194584860702</v>
      </c>
      <c r="V263" s="2">
        <v>5.2202792863088199</v>
      </c>
      <c r="W263" s="2">
        <v>6.6215954667783601</v>
      </c>
      <c r="X263" s="2">
        <v>0.62469029823831101</v>
      </c>
      <c r="Y263" s="2">
        <v>4.7717777491087103</v>
      </c>
      <c r="Z263" s="2">
        <v>3.4323481484004899</v>
      </c>
      <c r="AA263" s="3">
        <f t="shared" si="13"/>
        <v>46.829981921453516</v>
      </c>
      <c r="AB263" t="s">
        <v>45</v>
      </c>
      <c r="AC263">
        <v>54.36</v>
      </c>
      <c r="AD263">
        <v>58.47</v>
      </c>
      <c r="AE263">
        <v>71.7</v>
      </c>
      <c r="AF263">
        <v>12.05</v>
      </c>
      <c r="AG263">
        <v>40.56</v>
      </c>
      <c r="AH263">
        <v>124.81</v>
      </c>
      <c r="AI263">
        <v>70.02</v>
      </c>
      <c r="AJ263">
        <v>18.579999999999998</v>
      </c>
      <c r="AK263">
        <v>39.68</v>
      </c>
      <c r="AL263">
        <v>101.06</v>
      </c>
      <c r="AM263">
        <v>31.62</v>
      </c>
      <c r="AN263">
        <v>77.930000000000007</v>
      </c>
      <c r="AO263" s="1">
        <f t="shared" si="14"/>
        <v>700.83999999999992</v>
      </c>
    </row>
    <row r="264" spans="1:41" x14ac:dyDescent="0.25">
      <c r="A264" t="s">
        <v>307</v>
      </c>
      <c r="B264" s="2">
        <v>4424.7752700870496</v>
      </c>
      <c r="C264" s="2">
        <v>8042.1172413013301</v>
      </c>
      <c r="D264" s="2">
        <v>4271.8065292086203</v>
      </c>
      <c r="E264" s="2">
        <v>9055.1948080833499</v>
      </c>
      <c r="F264" s="2">
        <v>0</v>
      </c>
      <c r="G264" s="2">
        <v>2341.79884443944</v>
      </c>
      <c r="H264" s="2">
        <v>4389.3674641914504</v>
      </c>
      <c r="I264" s="2">
        <v>2241.6272827753501</v>
      </c>
      <c r="J264" s="2">
        <v>52.8786253644505</v>
      </c>
      <c r="K264" s="2">
        <v>605.55032680745001</v>
      </c>
      <c r="L264" s="2">
        <v>1309.1826246703399</v>
      </c>
      <c r="M264" s="2">
        <v>1254.9036788859801</v>
      </c>
      <c r="N264" s="3">
        <f t="shared" si="12"/>
        <v>37989.20269581482</v>
      </c>
      <c r="O264" s="2">
        <v>5.3453920255982004</v>
      </c>
      <c r="P264" s="2">
        <v>4.30529396926645</v>
      </c>
      <c r="Q264" s="2">
        <v>0.91439461009546696</v>
      </c>
      <c r="R264" s="2">
        <v>0.39615593753322897</v>
      </c>
      <c r="S264" s="2">
        <v>1.69913088541917</v>
      </c>
      <c r="T264" s="2">
        <v>3.6057585148841298</v>
      </c>
      <c r="U264" s="2">
        <v>2.03008288194762</v>
      </c>
      <c r="V264" s="2">
        <v>1.84161193765523</v>
      </c>
      <c r="W264" s="2">
        <v>5.2167584237318003</v>
      </c>
      <c r="X264" s="2">
        <v>6.2791274027583803</v>
      </c>
      <c r="Y264" s="2">
        <v>27.165900325774601</v>
      </c>
      <c r="Z264" s="2">
        <v>11.5099248374321</v>
      </c>
      <c r="AA264" s="3">
        <f t="shared" si="13"/>
        <v>70.309531752096376</v>
      </c>
      <c r="AB264" t="s">
        <v>45</v>
      </c>
      <c r="AC264">
        <v>54.54</v>
      </c>
      <c r="AD264">
        <v>90.67</v>
      </c>
      <c r="AE264">
        <v>52.76</v>
      </c>
      <c r="AF264">
        <v>100.6</v>
      </c>
      <c r="AG264">
        <v>10.09</v>
      </c>
      <c r="AH264">
        <v>33.61</v>
      </c>
      <c r="AI264">
        <v>54.04</v>
      </c>
      <c r="AJ264">
        <v>32.51</v>
      </c>
      <c r="AK264">
        <v>10.82</v>
      </c>
      <c r="AL264">
        <v>16.399999999999999</v>
      </c>
      <c r="AM264">
        <v>24.49</v>
      </c>
      <c r="AN264">
        <v>23.14</v>
      </c>
      <c r="AO264" s="1">
        <f t="shared" si="14"/>
        <v>503.66999999999996</v>
      </c>
    </row>
    <row r="265" spans="1:41" x14ac:dyDescent="0.25">
      <c r="A265" t="s">
        <v>308</v>
      </c>
      <c r="B265" s="2">
        <v>4410.6552487781</v>
      </c>
      <c r="C265" s="2">
        <v>881.89999901849296</v>
      </c>
      <c r="D265" s="2">
        <v>2722.1324762531499</v>
      </c>
      <c r="E265" s="2">
        <v>11489.3692101708</v>
      </c>
      <c r="F265" s="2">
        <v>454.30234868773499</v>
      </c>
      <c r="G265" s="2">
        <v>1964.2726728130301</v>
      </c>
      <c r="H265" s="2">
        <v>3793.6004928912798</v>
      </c>
      <c r="I265" s="2">
        <v>584.48972621482199</v>
      </c>
      <c r="J265" s="2">
        <v>591.704233771948</v>
      </c>
      <c r="K265" s="2">
        <v>0</v>
      </c>
      <c r="L265" s="2">
        <v>448.33992284838803</v>
      </c>
      <c r="M265" s="2">
        <v>627.89542503444898</v>
      </c>
      <c r="N265" s="3">
        <f t="shared" si="12"/>
        <v>27968.661756482194</v>
      </c>
      <c r="O265" s="2">
        <v>1.92499738424602</v>
      </c>
      <c r="P265" s="2">
        <v>0</v>
      </c>
      <c r="Q265" s="2">
        <v>4.2087161929714201</v>
      </c>
      <c r="R265" s="2">
        <v>4.9615245302252502</v>
      </c>
      <c r="S265" s="2">
        <v>4.1133474832413404</v>
      </c>
      <c r="T265" s="2">
        <v>2.1668527309315699</v>
      </c>
      <c r="U265" s="2">
        <v>1.9914254047415101</v>
      </c>
      <c r="V265" s="2">
        <v>1.60790212413033</v>
      </c>
      <c r="W265" s="2">
        <v>0</v>
      </c>
      <c r="X265" s="2">
        <v>7.3526927667781097</v>
      </c>
      <c r="Y265" s="2">
        <v>0</v>
      </c>
      <c r="Z265" s="2">
        <v>1.24571048763861</v>
      </c>
      <c r="AA265" s="3">
        <f t="shared" si="13"/>
        <v>29.57316910490416</v>
      </c>
      <c r="AB265" t="s">
        <v>63</v>
      </c>
      <c r="AC265">
        <v>88.4</v>
      </c>
      <c r="AD265">
        <v>17.64</v>
      </c>
      <c r="AE265">
        <v>54.91</v>
      </c>
      <c r="AF265">
        <v>230.25</v>
      </c>
      <c r="AG265">
        <v>9.5500000000000007</v>
      </c>
      <c r="AH265">
        <v>39.57</v>
      </c>
      <c r="AI265">
        <v>76.06</v>
      </c>
      <c r="AJ265">
        <v>11.88</v>
      </c>
      <c r="AK265">
        <v>11.84</v>
      </c>
      <c r="AL265">
        <v>0.72</v>
      </c>
      <c r="AM265">
        <v>8.98</v>
      </c>
      <c r="AN265">
        <v>12.74</v>
      </c>
      <c r="AO265" s="1">
        <f t="shared" si="14"/>
        <v>562.54000000000008</v>
      </c>
    </row>
    <row r="266" spans="1:41" x14ac:dyDescent="0.25">
      <c r="A266" t="s">
        <v>309</v>
      </c>
      <c r="B266" s="2">
        <v>4400.8258620603701</v>
      </c>
      <c r="C266" s="2">
        <v>753.49264177362295</v>
      </c>
      <c r="D266" s="2">
        <v>4547.9830540027797</v>
      </c>
      <c r="E266" s="2">
        <v>1199.8446869491199</v>
      </c>
      <c r="F266" s="2">
        <v>4848.3353366050496</v>
      </c>
      <c r="G266" s="2">
        <v>0</v>
      </c>
      <c r="H266" s="2">
        <v>2538.3778853573199</v>
      </c>
      <c r="I266" s="2">
        <v>6198.3331221709795</v>
      </c>
      <c r="J266" s="2">
        <v>558.63705751356997</v>
      </c>
      <c r="K266" s="2">
        <v>2521.7705202265101</v>
      </c>
      <c r="L266" s="2">
        <v>896.52907053463105</v>
      </c>
      <c r="M266" s="2">
        <v>7649.3192364901397</v>
      </c>
      <c r="N266" s="3">
        <f t="shared" si="12"/>
        <v>36113.44847368409</v>
      </c>
      <c r="O266" s="2">
        <v>1.10800880059767</v>
      </c>
      <c r="P266" s="2">
        <v>6.7627349603204001</v>
      </c>
      <c r="Q266" s="2">
        <v>2.52538065972072</v>
      </c>
      <c r="R266" s="2">
        <v>7.8254563780942599</v>
      </c>
      <c r="S266" s="2">
        <v>4.5828116911582697</v>
      </c>
      <c r="T266" s="2">
        <v>2.5752782668710101</v>
      </c>
      <c r="U266" s="2">
        <v>6.4034422534215603</v>
      </c>
      <c r="V266" s="2">
        <v>5.9828497727241201</v>
      </c>
      <c r="W266" s="2">
        <v>2.6149882218569198</v>
      </c>
      <c r="X266" s="2">
        <v>1.5987719105814999</v>
      </c>
      <c r="Y266" s="2">
        <v>1.3480584935105</v>
      </c>
      <c r="Z266" s="2">
        <v>1.7554420341367201</v>
      </c>
      <c r="AA266" s="3">
        <f t="shared" si="13"/>
        <v>45.083223442993649</v>
      </c>
      <c r="AB266" t="s">
        <v>45</v>
      </c>
      <c r="AC266">
        <v>54.1</v>
      </c>
      <c r="AD266">
        <v>17.88</v>
      </c>
      <c r="AE266">
        <v>55.62</v>
      </c>
      <c r="AF266">
        <v>22.39</v>
      </c>
      <c r="AG266">
        <v>58.73</v>
      </c>
      <c r="AH266">
        <v>10.14</v>
      </c>
      <c r="AI266">
        <v>35.729999999999997</v>
      </c>
      <c r="AJ266">
        <v>72.28</v>
      </c>
      <c r="AK266">
        <v>15.73</v>
      </c>
      <c r="AL266">
        <v>35.31</v>
      </c>
      <c r="AM266">
        <v>19.059999999999999</v>
      </c>
      <c r="AN266">
        <v>86.59</v>
      </c>
      <c r="AO266" s="1">
        <f t="shared" si="14"/>
        <v>483.56000000000006</v>
      </c>
    </row>
    <row r="267" spans="1:41" x14ac:dyDescent="0.25">
      <c r="A267" t="s">
        <v>310</v>
      </c>
      <c r="B267" s="2">
        <v>4343.0161707872603</v>
      </c>
      <c r="C267" s="2">
        <v>12106.425009209899</v>
      </c>
      <c r="D267" s="2">
        <v>2632.9907701269599</v>
      </c>
      <c r="E267" s="2">
        <v>872.27929201114398</v>
      </c>
      <c r="F267" s="2">
        <v>16068.6068292458</v>
      </c>
      <c r="G267" s="2">
        <v>4149.4953373686303</v>
      </c>
      <c r="H267" s="2">
        <v>11096.9322206016</v>
      </c>
      <c r="I267" s="2">
        <v>1236.34344567367</v>
      </c>
      <c r="J267" s="2">
        <v>1277.74471409946</v>
      </c>
      <c r="K267" s="2">
        <v>622.50272645465202</v>
      </c>
      <c r="L267" s="2">
        <v>5684.8550421691198</v>
      </c>
      <c r="M267" s="2">
        <v>8518.0948952151102</v>
      </c>
      <c r="N267" s="3">
        <f t="shared" si="12"/>
        <v>68609.286452963308</v>
      </c>
      <c r="O267" s="2">
        <v>4.7556762164631596</v>
      </c>
      <c r="P267" s="2">
        <v>12.360494519241801</v>
      </c>
      <c r="Q267" s="2">
        <v>5.9913070291420398</v>
      </c>
      <c r="R267" s="2">
        <v>3.5364188699625601</v>
      </c>
      <c r="S267" s="2">
        <v>7.9893823502112298</v>
      </c>
      <c r="T267" s="2">
        <v>11.1408864222419</v>
      </c>
      <c r="U267" s="2">
        <v>0</v>
      </c>
      <c r="V267" s="2">
        <v>14.5420430589877</v>
      </c>
      <c r="W267" s="2">
        <v>1.04975835246754</v>
      </c>
      <c r="X267" s="2">
        <v>8.1945848744943603</v>
      </c>
      <c r="Y267" s="2">
        <v>0.27232758688528402</v>
      </c>
      <c r="Z267" s="2">
        <v>1.0235608436522901</v>
      </c>
      <c r="AA267" s="3">
        <f t="shared" si="13"/>
        <v>70.856440123749863</v>
      </c>
      <c r="AB267" t="s">
        <v>63</v>
      </c>
      <c r="AC267">
        <v>87.33</v>
      </c>
      <c r="AD267">
        <v>243.31</v>
      </c>
      <c r="AE267">
        <v>53.2</v>
      </c>
      <c r="AF267">
        <v>17.82</v>
      </c>
      <c r="AG267">
        <v>322.10000000000002</v>
      </c>
      <c r="AH267">
        <v>84.08</v>
      </c>
      <c r="AI267">
        <v>221.94</v>
      </c>
      <c r="AJ267">
        <v>26.09</v>
      </c>
      <c r="AK267">
        <v>25.74</v>
      </c>
      <c r="AL267">
        <v>13.27</v>
      </c>
      <c r="AM267">
        <v>113.79</v>
      </c>
      <c r="AN267">
        <v>170.56</v>
      </c>
      <c r="AO267" s="1">
        <f t="shared" si="14"/>
        <v>1379.2299999999998</v>
      </c>
    </row>
    <row r="268" spans="1:41" x14ac:dyDescent="0.25">
      <c r="A268" t="s">
        <v>311</v>
      </c>
      <c r="B268" s="2">
        <v>4321.09747289812</v>
      </c>
      <c r="C268" s="2">
        <v>0</v>
      </c>
      <c r="D268" s="2">
        <v>7139.8366777115998</v>
      </c>
      <c r="E268" s="2">
        <v>1931.8276972584199</v>
      </c>
      <c r="F268" s="2">
        <v>2210.9867941293401</v>
      </c>
      <c r="G268" s="2">
        <v>944.89667857631002</v>
      </c>
      <c r="H268" s="2">
        <v>736.34074817458304</v>
      </c>
      <c r="I268" s="2">
        <v>180.408266549747</v>
      </c>
      <c r="J268" s="2">
        <v>1973.5707084676999</v>
      </c>
      <c r="K268" s="2">
        <v>6472.3028266475303</v>
      </c>
      <c r="L268" s="2">
        <v>3778.7075194406498</v>
      </c>
      <c r="M268" s="2">
        <v>8017.92241928562</v>
      </c>
      <c r="N268" s="3">
        <f t="shared" si="12"/>
        <v>37707.89780913962</v>
      </c>
      <c r="O268" s="2">
        <v>6.0758973472331501</v>
      </c>
      <c r="P268" s="2">
        <v>4.7244699538295896</v>
      </c>
      <c r="Q268" s="2">
        <v>9.0422316229066699E-2</v>
      </c>
      <c r="R268" s="2">
        <v>9.4858136845060894</v>
      </c>
      <c r="S268" s="2">
        <v>8.0001132904305408</v>
      </c>
      <c r="T268" s="2">
        <v>0</v>
      </c>
      <c r="U268" s="2">
        <v>1.0949069326179199</v>
      </c>
      <c r="V268" s="2">
        <v>13.9963175358141</v>
      </c>
      <c r="W268" s="2">
        <v>9.5722146092423301</v>
      </c>
      <c r="X268" s="2">
        <v>7.3182334514627296</v>
      </c>
      <c r="Y268" s="2">
        <v>7.0519665242990497</v>
      </c>
      <c r="Z268" s="2">
        <v>3.1370661576919798</v>
      </c>
      <c r="AA268" s="3">
        <f t="shared" si="13"/>
        <v>70.547421803356542</v>
      </c>
      <c r="AB268" t="s">
        <v>45</v>
      </c>
      <c r="AC268">
        <v>53.56</v>
      </c>
      <c r="AD268">
        <v>10.24</v>
      </c>
      <c r="AE268">
        <v>81.44</v>
      </c>
      <c r="AF268">
        <v>29.81</v>
      </c>
      <c r="AG268">
        <v>32.549999999999997</v>
      </c>
      <c r="AH268">
        <v>19.440000000000001</v>
      </c>
      <c r="AI268">
        <v>17.46</v>
      </c>
      <c r="AJ268">
        <v>12.5</v>
      </c>
      <c r="AK268">
        <v>30.23</v>
      </c>
      <c r="AL268">
        <v>75.12</v>
      </c>
      <c r="AM268">
        <v>48.18</v>
      </c>
      <c r="AN268">
        <v>90.37</v>
      </c>
      <c r="AO268" s="1">
        <f t="shared" si="14"/>
        <v>500.90000000000003</v>
      </c>
    </row>
    <row r="269" spans="1:41" x14ac:dyDescent="0.25">
      <c r="A269" t="s">
        <v>312</v>
      </c>
      <c r="B269" s="2">
        <v>4314.1866815542799</v>
      </c>
      <c r="C269" s="2">
        <v>2294.7541836186701</v>
      </c>
      <c r="D269" s="2">
        <v>1740.9572406098</v>
      </c>
      <c r="E269" s="2">
        <v>8651.3802216577697</v>
      </c>
      <c r="F269" s="2">
        <v>0</v>
      </c>
      <c r="G269" s="2">
        <v>2698.3546743750298</v>
      </c>
      <c r="H269" s="2">
        <v>5350.4442501221502</v>
      </c>
      <c r="I269" s="2">
        <v>1360.2122999406999</v>
      </c>
      <c r="J269" s="2">
        <v>0</v>
      </c>
      <c r="K269" s="2">
        <v>897.78831749831295</v>
      </c>
      <c r="L269" s="2">
        <v>9158.4731122755293</v>
      </c>
      <c r="M269" s="2">
        <v>2628.1102387945798</v>
      </c>
      <c r="N269" s="3">
        <f t="shared" si="12"/>
        <v>39094.661220446818</v>
      </c>
      <c r="O269" s="2">
        <v>1.04731882546482</v>
      </c>
      <c r="P269" s="2">
        <v>3.3468975673694401</v>
      </c>
      <c r="Q269" s="2">
        <v>8.4178908461092501</v>
      </c>
      <c r="R269" s="2">
        <v>26.406357040483801</v>
      </c>
      <c r="S269" s="2">
        <v>2.3398980038019599</v>
      </c>
      <c r="T269" s="2">
        <v>0.48951304961365999</v>
      </c>
      <c r="U269" s="2">
        <v>0.19150192392561199</v>
      </c>
      <c r="V269" s="2">
        <v>0</v>
      </c>
      <c r="W269" s="2">
        <v>2.0659843844974599</v>
      </c>
      <c r="X269" s="2">
        <v>2.74067310667566</v>
      </c>
      <c r="Y269" s="2">
        <v>10.525995467357101</v>
      </c>
      <c r="Z269" s="2">
        <v>2.20709276769318</v>
      </c>
      <c r="AA269" s="3">
        <f t="shared" si="13"/>
        <v>59.77912298299195</v>
      </c>
      <c r="AB269" t="s">
        <v>45</v>
      </c>
      <c r="AC269">
        <v>53.24</v>
      </c>
      <c r="AD269">
        <v>33.14</v>
      </c>
      <c r="AE269">
        <v>27.85</v>
      </c>
      <c r="AF269">
        <v>97.86</v>
      </c>
      <c r="AG269">
        <v>10.14</v>
      </c>
      <c r="AH269">
        <v>37.03</v>
      </c>
      <c r="AI269">
        <v>63.55</v>
      </c>
      <c r="AJ269">
        <v>23.6</v>
      </c>
      <c r="AK269">
        <v>10.14</v>
      </c>
      <c r="AL269">
        <v>19.12</v>
      </c>
      <c r="AM269">
        <v>102.13</v>
      </c>
      <c r="AN269">
        <v>36.43</v>
      </c>
      <c r="AO269" s="1">
        <f t="shared" si="14"/>
        <v>514.23</v>
      </c>
    </row>
    <row r="270" spans="1:41" x14ac:dyDescent="0.25">
      <c r="A270" t="s">
        <v>313</v>
      </c>
      <c r="B270" s="2">
        <v>4302.1497534114797</v>
      </c>
      <c r="C270" s="2">
        <v>0</v>
      </c>
      <c r="D270" s="2">
        <v>477.41965946984101</v>
      </c>
      <c r="E270" s="2">
        <v>2331.9540689853002</v>
      </c>
      <c r="F270" s="2">
        <v>2916.4725985718901</v>
      </c>
      <c r="G270" s="2">
        <v>1985.32097517032</v>
      </c>
      <c r="H270" s="2">
        <v>2196.6643001871898</v>
      </c>
      <c r="I270" s="2">
        <v>429.93148928999199</v>
      </c>
      <c r="J270" s="2">
        <v>0</v>
      </c>
      <c r="K270" s="2">
        <v>381.44546876378001</v>
      </c>
      <c r="L270" s="2">
        <v>3701.19347213535</v>
      </c>
      <c r="M270" s="2">
        <v>7443.9906197344599</v>
      </c>
      <c r="N270" s="3">
        <f t="shared" si="12"/>
        <v>26166.542405719607</v>
      </c>
      <c r="O270" s="2">
        <v>6.72869556918464</v>
      </c>
      <c r="P270" s="2">
        <v>3.48316251129945</v>
      </c>
      <c r="Q270" s="2">
        <v>1.5119941185257799</v>
      </c>
      <c r="R270" s="2">
        <v>8.3922053828749608</v>
      </c>
      <c r="S270" s="2">
        <v>0.25211262897315601</v>
      </c>
      <c r="T270" s="2">
        <v>23.294880314742802</v>
      </c>
      <c r="U270" s="2">
        <v>1.4325990070457399</v>
      </c>
      <c r="V270" s="2">
        <v>1.6435529442665999</v>
      </c>
      <c r="W270" s="2">
        <v>9.4734905581398596</v>
      </c>
      <c r="X270" s="2">
        <v>0.81147281871391697</v>
      </c>
      <c r="Y270" s="2">
        <v>4.8653664017105704</v>
      </c>
      <c r="Z270" s="2">
        <v>6.6262956142304903</v>
      </c>
      <c r="AA270" s="3">
        <f t="shared" si="13"/>
        <v>68.515827869707962</v>
      </c>
      <c r="AB270" t="s">
        <v>63</v>
      </c>
      <c r="AC270">
        <v>86.69</v>
      </c>
      <c r="AD270">
        <v>0.36</v>
      </c>
      <c r="AE270">
        <v>9.74</v>
      </c>
      <c r="AF270">
        <v>47.45</v>
      </c>
      <c r="AG270">
        <v>58.43</v>
      </c>
      <c r="AH270">
        <v>41.88</v>
      </c>
      <c r="AI270">
        <v>44.12</v>
      </c>
      <c r="AJ270">
        <v>8.7799999999999994</v>
      </c>
      <c r="AK270">
        <v>0.9</v>
      </c>
      <c r="AL270">
        <v>7.73</v>
      </c>
      <c r="AM270">
        <v>74.489999999999995</v>
      </c>
      <c r="AN270">
        <v>149.51</v>
      </c>
      <c r="AO270" s="1">
        <f t="shared" si="14"/>
        <v>530.07999999999993</v>
      </c>
    </row>
    <row r="271" spans="1:41" x14ac:dyDescent="0.25">
      <c r="A271" t="s">
        <v>314</v>
      </c>
      <c r="B271" s="2">
        <v>4300.7947801117698</v>
      </c>
      <c r="C271" s="2">
        <v>4879.0933282279102</v>
      </c>
      <c r="D271" s="2">
        <v>3789.4872195401099</v>
      </c>
      <c r="E271" s="2">
        <v>9505.8792510853491</v>
      </c>
      <c r="F271" s="2">
        <v>14464.468613774899</v>
      </c>
      <c r="G271" s="2">
        <v>10133.3777947001</v>
      </c>
      <c r="H271" s="2">
        <v>6242.2228120165701</v>
      </c>
      <c r="I271" s="2">
        <v>3948.5656234284302</v>
      </c>
      <c r="J271" s="2">
        <v>4839.2090485489498</v>
      </c>
      <c r="K271" s="2">
        <v>378.354477405522</v>
      </c>
      <c r="L271" s="2">
        <v>1611.08434374233</v>
      </c>
      <c r="M271" s="2">
        <v>412.13729354445297</v>
      </c>
      <c r="N271" s="3">
        <f t="shared" si="12"/>
        <v>64504.674586126392</v>
      </c>
      <c r="O271" s="2">
        <v>5.16685898011497</v>
      </c>
      <c r="P271" s="2">
        <v>5.5267481424168503</v>
      </c>
      <c r="Q271" s="2">
        <v>2.1777018575349301</v>
      </c>
      <c r="R271" s="2">
        <v>0.61911995995941604</v>
      </c>
      <c r="S271" s="2">
        <v>7.0834131673637097</v>
      </c>
      <c r="T271" s="2">
        <v>5.7795314902829302</v>
      </c>
      <c r="U271" s="2">
        <v>19.237165692651001</v>
      </c>
      <c r="V271" s="2">
        <v>3.5973743487407801</v>
      </c>
      <c r="W271" s="2">
        <v>2.4058367245672301</v>
      </c>
      <c r="X271" s="2">
        <v>7.2293943720989899</v>
      </c>
      <c r="Y271" s="2">
        <v>2.7585378829130298</v>
      </c>
      <c r="Z271" s="2">
        <v>10.2142774158939</v>
      </c>
      <c r="AA271" s="3">
        <f t="shared" si="13"/>
        <v>71.795960034537728</v>
      </c>
      <c r="AB271" t="s">
        <v>45</v>
      </c>
      <c r="AC271">
        <v>53.3</v>
      </c>
      <c r="AD271">
        <v>59.09</v>
      </c>
      <c r="AE271">
        <v>48.04</v>
      </c>
      <c r="AF271">
        <v>105.1</v>
      </c>
      <c r="AG271">
        <v>155.04</v>
      </c>
      <c r="AH271">
        <v>111.63</v>
      </c>
      <c r="AI271">
        <v>73.42</v>
      </c>
      <c r="AJ271">
        <v>49.68</v>
      </c>
      <c r="AK271">
        <v>58.54</v>
      </c>
      <c r="AL271">
        <v>14.18</v>
      </c>
      <c r="AM271">
        <v>26.26</v>
      </c>
      <c r="AN271">
        <v>14.67</v>
      </c>
      <c r="AO271" s="1">
        <f t="shared" si="14"/>
        <v>768.9499999999997</v>
      </c>
    </row>
    <row r="272" spans="1:41" x14ac:dyDescent="0.25">
      <c r="A272" t="s">
        <v>315</v>
      </c>
      <c r="B272" s="2">
        <v>4291.3221583556196</v>
      </c>
      <c r="C272" s="2">
        <v>423.52220781838503</v>
      </c>
      <c r="D272" s="2">
        <v>3378.5166463818</v>
      </c>
      <c r="E272" s="2">
        <v>9746.2002520192691</v>
      </c>
      <c r="F272" s="2">
        <v>2148.8722629867102</v>
      </c>
      <c r="G272" s="2">
        <v>0</v>
      </c>
      <c r="H272" s="2">
        <v>833.06525144178204</v>
      </c>
      <c r="I272" s="2">
        <v>8235.5991155176798</v>
      </c>
      <c r="J272" s="2">
        <v>5490.1547062734398</v>
      </c>
      <c r="K272" s="2">
        <v>0</v>
      </c>
      <c r="L272" s="2">
        <v>1058.2049761063799</v>
      </c>
      <c r="M272" s="2">
        <v>6064.3940820717198</v>
      </c>
      <c r="N272" s="3">
        <f t="shared" si="12"/>
        <v>41669.851658972788</v>
      </c>
      <c r="O272" s="2">
        <v>1.40126424205236</v>
      </c>
      <c r="P272" s="2">
        <v>1.1361660947591199</v>
      </c>
      <c r="Q272" s="2">
        <v>16.2159930456158</v>
      </c>
      <c r="R272" s="2">
        <v>6.1237958371153303</v>
      </c>
      <c r="S272" s="2">
        <v>0</v>
      </c>
      <c r="T272" s="2">
        <v>1.27178920598582</v>
      </c>
      <c r="U272" s="2">
        <v>4.0678274228667499</v>
      </c>
      <c r="V272" s="2">
        <v>8.6464721984896293</v>
      </c>
      <c r="W272" s="2">
        <v>2.0512155599842599</v>
      </c>
      <c r="X272" s="2">
        <v>2.60491052885371</v>
      </c>
      <c r="Y272" s="2">
        <v>1.2717281551998501</v>
      </c>
      <c r="Z272" s="2">
        <v>3.5495378066413501</v>
      </c>
      <c r="AA272" s="3">
        <f t="shared" si="13"/>
        <v>48.340700097563982</v>
      </c>
      <c r="AB272" t="s">
        <v>45</v>
      </c>
      <c r="AC272">
        <v>53.01</v>
      </c>
      <c r="AD272">
        <v>14.33</v>
      </c>
      <c r="AE272">
        <v>44.63</v>
      </c>
      <c r="AF272">
        <v>107.81</v>
      </c>
      <c r="AG272">
        <v>31.48</v>
      </c>
      <c r="AH272">
        <v>10.09</v>
      </c>
      <c r="AI272">
        <v>18.579999999999998</v>
      </c>
      <c r="AJ272">
        <v>92.8</v>
      </c>
      <c r="AK272">
        <v>65.05</v>
      </c>
      <c r="AL272">
        <v>10.14</v>
      </c>
      <c r="AM272">
        <v>20.68</v>
      </c>
      <c r="AN272">
        <v>70.84</v>
      </c>
      <c r="AO272" s="1">
        <f t="shared" si="14"/>
        <v>539.43999999999994</v>
      </c>
    </row>
    <row r="273" spans="1:41" x14ac:dyDescent="0.25">
      <c r="A273" t="s">
        <v>316</v>
      </c>
      <c r="B273" s="2">
        <v>4288.9585711563604</v>
      </c>
      <c r="C273" s="2">
        <v>3998.3095559744302</v>
      </c>
      <c r="D273" s="2">
        <v>2085.1159621970501</v>
      </c>
      <c r="E273" s="2">
        <v>2827.4187120619699</v>
      </c>
      <c r="F273" s="2">
        <v>4157.6266590601599</v>
      </c>
      <c r="G273" s="2">
        <v>3902.7714513634801</v>
      </c>
      <c r="H273" s="2">
        <v>3862.3706895032801</v>
      </c>
      <c r="I273" s="2">
        <v>2478.71700463353</v>
      </c>
      <c r="J273" s="2">
        <v>0</v>
      </c>
      <c r="K273" s="2">
        <v>1787.7988168046099</v>
      </c>
      <c r="L273" s="2">
        <v>689.095122620246</v>
      </c>
      <c r="M273" s="2">
        <v>8605.2537297070994</v>
      </c>
      <c r="N273" s="3">
        <f t="shared" si="12"/>
        <v>38683.436275082218</v>
      </c>
      <c r="O273" s="2">
        <v>0.382255180211236</v>
      </c>
      <c r="P273" s="2">
        <v>5.5715582657876199</v>
      </c>
      <c r="Q273" s="2">
        <v>1.9150112578851599</v>
      </c>
      <c r="R273" s="2">
        <v>2.3264129243567799</v>
      </c>
      <c r="S273" s="2">
        <v>4.8350787662680297</v>
      </c>
      <c r="T273" s="2">
        <v>1.69818945501539</v>
      </c>
      <c r="U273" s="2">
        <v>1.8598665963715699</v>
      </c>
      <c r="V273" s="2">
        <v>2.48303371368922</v>
      </c>
      <c r="W273" s="2">
        <v>12.2433997060728</v>
      </c>
      <c r="X273" s="2">
        <v>3.2382042993551399</v>
      </c>
      <c r="Y273" s="2">
        <v>6.8346071910234301</v>
      </c>
      <c r="Z273" s="2">
        <v>3.37251416060528</v>
      </c>
      <c r="AA273" s="3">
        <f t="shared" si="13"/>
        <v>46.760131516641657</v>
      </c>
      <c r="AB273" t="s">
        <v>45</v>
      </c>
      <c r="AC273">
        <v>52.93</v>
      </c>
      <c r="AD273">
        <v>50.28</v>
      </c>
      <c r="AE273">
        <v>30.95</v>
      </c>
      <c r="AF273">
        <v>38.42</v>
      </c>
      <c r="AG273">
        <v>51.82</v>
      </c>
      <c r="AH273">
        <v>49.12</v>
      </c>
      <c r="AI273">
        <v>48.72</v>
      </c>
      <c r="AJ273">
        <v>34.93</v>
      </c>
      <c r="AK273">
        <v>10.64</v>
      </c>
      <c r="AL273">
        <v>28.07</v>
      </c>
      <c r="AM273">
        <v>17.239999999999998</v>
      </c>
      <c r="AN273">
        <v>96.25</v>
      </c>
      <c r="AO273" s="1">
        <f t="shared" si="14"/>
        <v>509.37</v>
      </c>
    </row>
    <row r="274" spans="1:41" x14ac:dyDescent="0.25">
      <c r="A274" t="s">
        <v>317</v>
      </c>
      <c r="B274" s="2">
        <v>4283.0001108340803</v>
      </c>
      <c r="C274" s="2">
        <v>9901.2781160341001</v>
      </c>
      <c r="D274" s="2">
        <v>6214.9906356678603</v>
      </c>
      <c r="E274" s="2">
        <v>3262.4791415221498</v>
      </c>
      <c r="F274" s="2">
        <v>1136.9643392447899</v>
      </c>
      <c r="G274" s="2">
        <v>2822.2109710982299</v>
      </c>
      <c r="H274" s="2">
        <v>3287.95164065177</v>
      </c>
      <c r="I274" s="2">
        <v>7360.8024571370997</v>
      </c>
      <c r="J274" s="2">
        <v>12155.9141340036</v>
      </c>
      <c r="K274" s="2">
        <v>4188.3882444110905</v>
      </c>
      <c r="L274" s="2">
        <v>3255.99996784311</v>
      </c>
      <c r="M274" s="2">
        <v>803.41180325964604</v>
      </c>
      <c r="N274" s="3">
        <f t="shared" si="12"/>
        <v>58673.391561707525</v>
      </c>
      <c r="O274" s="2">
        <v>0.78063059835206405</v>
      </c>
      <c r="P274" s="2">
        <v>0</v>
      </c>
      <c r="Q274" s="2">
        <v>0</v>
      </c>
      <c r="R274" s="2">
        <v>5.34652662899635</v>
      </c>
      <c r="S274" s="2">
        <v>1.78575346841786</v>
      </c>
      <c r="T274" s="2">
        <v>4.9743597562819097</v>
      </c>
      <c r="U274" s="2">
        <v>0.71849287918573801</v>
      </c>
      <c r="V274" s="2">
        <v>2.6073062163491798</v>
      </c>
      <c r="W274" s="2">
        <v>2.8606704213208798</v>
      </c>
      <c r="X274" s="2">
        <v>6.7267875501918803</v>
      </c>
      <c r="Y274" s="2">
        <v>3.0472258409444901</v>
      </c>
      <c r="Z274" s="2">
        <v>5.0649179984805199</v>
      </c>
      <c r="AA274" s="3">
        <f t="shared" si="13"/>
        <v>33.912671358520868</v>
      </c>
      <c r="AB274" t="s">
        <v>45</v>
      </c>
      <c r="AC274">
        <v>52.88</v>
      </c>
      <c r="AD274">
        <v>109.01</v>
      </c>
      <c r="AE274">
        <v>72.14</v>
      </c>
      <c r="AF274">
        <v>42.92</v>
      </c>
      <c r="AG274">
        <v>21.46</v>
      </c>
      <c r="AH274">
        <v>38.47</v>
      </c>
      <c r="AI274">
        <v>42.92</v>
      </c>
      <c r="AJ274">
        <v>83.75</v>
      </c>
      <c r="AK274">
        <v>131.69999999999999</v>
      </c>
      <c r="AL274">
        <v>52.23</v>
      </c>
      <c r="AM274">
        <v>42.75</v>
      </c>
      <c r="AN274">
        <v>18.329999999999998</v>
      </c>
      <c r="AO274" s="1">
        <f t="shared" si="14"/>
        <v>708.56000000000006</v>
      </c>
    </row>
    <row r="275" spans="1:41" x14ac:dyDescent="0.25">
      <c r="A275" t="s">
        <v>318</v>
      </c>
      <c r="B275" s="2">
        <v>4270.7317609040601</v>
      </c>
      <c r="C275" s="2">
        <v>2982.9514726632901</v>
      </c>
      <c r="D275" s="2">
        <v>2125.9674486152899</v>
      </c>
      <c r="E275" s="2">
        <v>970.93047779127096</v>
      </c>
      <c r="F275" s="2">
        <v>1487.68351550799</v>
      </c>
      <c r="G275" s="2">
        <v>6315.8468012346002</v>
      </c>
      <c r="H275" s="2">
        <v>999.67656617553496</v>
      </c>
      <c r="I275" s="2">
        <v>2554.93729726939</v>
      </c>
      <c r="J275" s="2">
        <v>1804.4039759781001</v>
      </c>
      <c r="K275" s="2">
        <v>530.57455484505999</v>
      </c>
      <c r="L275" s="2">
        <v>968.65660201663604</v>
      </c>
      <c r="M275" s="2">
        <v>3461.1744108356402</v>
      </c>
      <c r="N275" s="3">
        <f t="shared" si="12"/>
        <v>28473.534883836863</v>
      </c>
      <c r="O275" s="2">
        <v>6.7378414537687803</v>
      </c>
      <c r="P275" s="2">
        <v>1.6244363047064201</v>
      </c>
      <c r="Q275" s="2">
        <v>10.1424220144869</v>
      </c>
      <c r="R275" s="2">
        <v>3.77828291290795</v>
      </c>
      <c r="S275" s="2">
        <v>4.5313789878345903</v>
      </c>
      <c r="T275" s="2">
        <v>0</v>
      </c>
      <c r="U275" s="2">
        <v>0</v>
      </c>
      <c r="V275" s="2">
        <v>9.8918148428073795</v>
      </c>
      <c r="W275" s="2">
        <v>1.4244361495803299</v>
      </c>
      <c r="X275" s="2">
        <v>1.2996919788472601</v>
      </c>
      <c r="Y275" s="2">
        <v>7.2310490568684802</v>
      </c>
      <c r="Z275" s="2">
        <v>2.7302168212926299</v>
      </c>
      <c r="AA275" s="3">
        <f t="shared" si="13"/>
        <v>49.391570523100711</v>
      </c>
      <c r="AB275" t="s">
        <v>63</v>
      </c>
      <c r="AC275">
        <v>86.05</v>
      </c>
      <c r="AD275">
        <v>59.84</v>
      </c>
      <c r="AE275">
        <v>43.51</v>
      </c>
      <c r="AF275">
        <v>19.78</v>
      </c>
      <c r="AG275">
        <v>30.21</v>
      </c>
      <c r="AH275">
        <v>126.32</v>
      </c>
      <c r="AI275">
        <v>20</v>
      </c>
      <c r="AJ275">
        <v>52</v>
      </c>
      <c r="AK275">
        <v>36.28</v>
      </c>
      <c r="AL275">
        <v>10.8</v>
      </c>
      <c r="AM275">
        <v>20.100000000000001</v>
      </c>
      <c r="AN275">
        <v>69.510000000000005</v>
      </c>
      <c r="AO275" s="1">
        <f t="shared" si="14"/>
        <v>574.40000000000009</v>
      </c>
    </row>
    <row r="276" spans="1:41" x14ac:dyDescent="0.25">
      <c r="A276" t="s">
        <v>319</v>
      </c>
      <c r="B276" s="2">
        <v>4254.2893438741703</v>
      </c>
      <c r="C276" s="2">
        <v>4818.7007535830098</v>
      </c>
      <c r="D276" s="2">
        <v>666.17086652135504</v>
      </c>
      <c r="E276" s="2">
        <v>342.72047003329902</v>
      </c>
      <c r="F276" s="2">
        <v>10651.0950323285</v>
      </c>
      <c r="G276" s="2">
        <v>3441.9419739912701</v>
      </c>
      <c r="H276" s="2">
        <v>1791.54578243931</v>
      </c>
      <c r="I276" s="2">
        <v>6141.2274869244202</v>
      </c>
      <c r="J276" s="2">
        <v>2155.8624449558201</v>
      </c>
      <c r="K276" s="2">
        <v>646.98672523086896</v>
      </c>
      <c r="L276" s="2">
        <v>423.98462429697702</v>
      </c>
      <c r="M276" s="2">
        <v>2393.4385709045901</v>
      </c>
      <c r="N276" s="3">
        <f t="shared" si="12"/>
        <v>37727.96407508359</v>
      </c>
      <c r="O276" s="2">
        <v>13.2764436868638</v>
      </c>
      <c r="P276" s="2">
        <v>0.84207881665272999</v>
      </c>
      <c r="Q276" s="2">
        <v>0</v>
      </c>
      <c r="R276" s="2">
        <v>0.195932037471299</v>
      </c>
      <c r="S276" s="2">
        <v>4.0605032186370504</v>
      </c>
      <c r="T276" s="2">
        <v>10.5584689289532</v>
      </c>
      <c r="U276" s="2">
        <v>0.30725733774286801</v>
      </c>
      <c r="V276" s="2">
        <v>9.7038548425318503</v>
      </c>
      <c r="W276" s="2">
        <v>0</v>
      </c>
      <c r="X276" s="2">
        <v>10.043481403355001</v>
      </c>
      <c r="Y276" s="2">
        <v>0.49707630992198498</v>
      </c>
      <c r="Z276" s="2">
        <v>1.61914466773708</v>
      </c>
      <c r="AA276" s="3">
        <f t="shared" si="13"/>
        <v>51.104241249866874</v>
      </c>
      <c r="AB276" t="s">
        <v>45</v>
      </c>
      <c r="AC276">
        <v>53.24</v>
      </c>
      <c r="AD276">
        <v>58.23</v>
      </c>
      <c r="AE276">
        <v>16.66</v>
      </c>
      <c r="AF276">
        <v>13.47</v>
      </c>
      <c r="AG276">
        <v>116.76</v>
      </c>
      <c r="AH276">
        <v>44.96</v>
      </c>
      <c r="AI276">
        <v>27.96</v>
      </c>
      <c r="AJ276">
        <v>71.91</v>
      </c>
      <c r="AK276">
        <v>31.55</v>
      </c>
      <c r="AL276">
        <v>17.010000000000002</v>
      </c>
      <c r="AM276">
        <v>14.28</v>
      </c>
      <c r="AN276">
        <v>34.03</v>
      </c>
      <c r="AO276" s="1">
        <f t="shared" si="14"/>
        <v>500.05999999999995</v>
      </c>
    </row>
    <row r="277" spans="1:41" x14ac:dyDescent="0.25">
      <c r="A277" t="s">
        <v>320</v>
      </c>
      <c r="B277" s="2">
        <v>4219.5220477551502</v>
      </c>
      <c r="C277" s="2">
        <v>1147.36409456053</v>
      </c>
      <c r="D277" s="2">
        <v>4199.5065194197496</v>
      </c>
      <c r="E277" s="2">
        <v>1164.69922155684</v>
      </c>
      <c r="F277" s="2">
        <v>1846.51096501815</v>
      </c>
      <c r="G277" s="2">
        <v>997.24747355142301</v>
      </c>
      <c r="H277" s="2">
        <v>1319.7218809252499</v>
      </c>
      <c r="I277" s="2">
        <v>215.87869177277099</v>
      </c>
      <c r="J277" s="2">
        <v>5570.8951822394802</v>
      </c>
      <c r="K277" s="2">
        <v>1621.5115332518301</v>
      </c>
      <c r="L277" s="2">
        <v>6395.8973811379101</v>
      </c>
      <c r="M277" s="2">
        <v>6025.7301812823598</v>
      </c>
      <c r="N277" s="3">
        <f t="shared" si="12"/>
        <v>34724.485172471439</v>
      </c>
      <c r="O277" s="2">
        <v>4.6242706525304298</v>
      </c>
      <c r="P277" s="2">
        <v>0.31498507755702099</v>
      </c>
      <c r="Q277" s="2">
        <v>3.61011450024662</v>
      </c>
      <c r="R277" s="2">
        <v>2.0960360165281502</v>
      </c>
      <c r="S277" s="2">
        <v>4.3561572132489301</v>
      </c>
      <c r="T277" s="2">
        <v>12.2226844223617</v>
      </c>
      <c r="U277" s="2">
        <v>4.2469461568501297</v>
      </c>
      <c r="V277" s="2">
        <v>4.4317731016794202</v>
      </c>
      <c r="W277" s="2">
        <v>0</v>
      </c>
      <c r="X277" s="2">
        <v>0</v>
      </c>
      <c r="Y277" s="2">
        <v>0.226222323573327</v>
      </c>
      <c r="Z277" s="2">
        <v>0</v>
      </c>
      <c r="AA277" s="3">
        <f t="shared" si="13"/>
        <v>36.129189464575724</v>
      </c>
      <c r="AB277" t="s">
        <v>63</v>
      </c>
      <c r="AC277">
        <v>84.85</v>
      </c>
      <c r="AD277">
        <v>23.05</v>
      </c>
      <c r="AE277">
        <v>84.36</v>
      </c>
      <c r="AF277">
        <v>23.57</v>
      </c>
      <c r="AG277">
        <v>37.39</v>
      </c>
      <c r="AH277">
        <v>21.13</v>
      </c>
      <c r="AI277">
        <v>26.85</v>
      </c>
      <c r="AJ277">
        <v>4.7699999999999996</v>
      </c>
      <c r="AK277">
        <v>111.42</v>
      </c>
      <c r="AL277">
        <v>32.44</v>
      </c>
      <c r="AM277">
        <v>128.01</v>
      </c>
      <c r="AN277">
        <v>120.52</v>
      </c>
      <c r="AO277" s="1">
        <f t="shared" si="14"/>
        <v>698.3599999999999</v>
      </c>
    </row>
    <row r="278" spans="1:41" x14ac:dyDescent="0.25">
      <c r="A278" t="s">
        <v>321</v>
      </c>
      <c r="B278" s="2">
        <v>4207.3815762356899</v>
      </c>
      <c r="C278" s="2">
        <v>8303.53773306519</v>
      </c>
      <c r="D278" s="2">
        <v>2690.6090791736601</v>
      </c>
      <c r="E278" s="2">
        <v>2352.6635359951902</v>
      </c>
      <c r="F278" s="2">
        <v>605.84129896889601</v>
      </c>
      <c r="G278" s="2">
        <v>1500.3196306766299</v>
      </c>
      <c r="H278" s="2">
        <v>487.035799656508</v>
      </c>
      <c r="I278" s="2">
        <v>6684.8508109255999</v>
      </c>
      <c r="J278" s="2">
        <v>6146.27566501606</v>
      </c>
      <c r="K278" s="2">
        <v>1461.8199239820999</v>
      </c>
      <c r="L278" s="2">
        <v>1343.34420064407</v>
      </c>
      <c r="M278" s="2">
        <v>1191.7887872660599</v>
      </c>
      <c r="N278" s="3">
        <f t="shared" si="12"/>
        <v>36975.468041605644</v>
      </c>
      <c r="O278" s="2">
        <v>5.9643247960196</v>
      </c>
      <c r="P278" s="2">
        <v>0.66386508394959498</v>
      </c>
      <c r="Q278" s="2">
        <v>2.0487396835892699</v>
      </c>
      <c r="R278" s="2">
        <v>3.4615350539276202</v>
      </c>
      <c r="S278" s="2">
        <v>8.7698701303227402</v>
      </c>
      <c r="T278" s="2">
        <v>9.6795422492766701</v>
      </c>
      <c r="U278" s="2">
        <v>14.0504739573683</v>
      </c>
      <c r="V278" s="2">
        <v>8.9427236599666902</v>
      </c>
      <c r="W278" s="2">
        <v>0.59025212011233197</v>
      </c>
      <c r="X278" s="2">
        <v>1.80030535893002</v>
      </c>
      <c r="Y278" s="2">
        <v>7.1782707904901804</v>
      </c>
      <c r="Z278" s="2">
        <v>0.47163456529950598</v>
      </c>
      <c r="AA278" s="3">
        <f t="shared" si="13"/>
        <v>63.621537449252521</v>
      </c>
      <c r="AB278" t="s">
        <v>45</v>
      </c>
      <c r="AC278">
        <v>52.37</v>
      </c>
      <c r="AD278">
        <v>93.08</v>
      </c>
      <c r="AE278">
        <v>37.049999999999997</v>
      </c>
      <c r="AF278">
        <v>33.72</v>
      </c>
      <c r="AG278">
        <v>16.5</v>
      </c>
      <c r="AH278">
        <v>25.5</v>
      </c>
      <c r="AI278">
        <v>15.62</v>
      </c>
      <c r="AJ278">
        <v>77.290000000000006</v>
      </c>
      <c r="AK278">
        <v>71.510000000000005</v>
      </c>
      <c r="AL278">
        <v>24.71</v>
      </c>
      <c r="AM278">
        <v>23.83</v>
      </c>
      <c r="AN278">
        <v>21.96</v>
      </c>
      <c r="AO278" s="1">
        <f t="shared" si="14"/>
        <v>493.14</v>
      </c>
    </row>
    <row r="279" spans="1:41" x14ac:dyDescent="0.25">
      <c r="A279" t="s">
        <v>322</v>
      </c>
      <c r="B279" s="2">
        <v>4206.1940066307598</v>
      </c>
      <c r="C279" s="2">
        <v>1914.18620956531</v>
      </c>
      <c r="D279" s="2">
        <v>4513.6080898999599</v>
      </c>
      <c r="E279" s="2">
        <v>2673.6340889353601</v>
      </c>
      <c r="F279" s="2">
        <v>7757.9187163359702</v>
      </c>
      <c r="G279" s="2">
        <v>14751.280325616201</v>
      </c>
      <c r="H279" s="2">
        <v>3004.1851158405202</v>
      </c>
      <c r="I279" s="2">
        <v>6234.0036650387501</v>
      </c>
      <c r="J279" s="2">
        <v>1728.61033272498</v>
      </c>
      <c r="K279" s="2">
        <v>10164.2057276339</v>
      </c>
      <c r="L279" s="2">
        <v>6357.3272348294804</v>
      </c>
      <c r="M279" s="2">
        <v>16607.1394616406</v>
      </c>
      <c r="N279" s="3">
        <f t="shared" si="12"/>
        <v>79912.29297469178</v>
      </c>
      <c r="O279" s="2">
        <v>3.7918907929394599</v>
      </c>
      <c r="P279" s="2">
        <v>5.29942448783261</v>
      </c>
      <c r="Q279" s="2">
        <v>0</v>
      </c>
      <c r="R279" s="2">
        <v>9.7348430726743</v>
      </c>
      <c r="S279" s="2">
        <v>11.839279531548399</v>
      </c>
      <c r="T279" s="2">
        <v>3.2676989473613101</v>
      </c>
      <c r="U279" s="2">
        <v>5.3515702258575999</v>
      </c>
      <c r="V279" s="2">
        <v>10.013158028617299</v>
      </c>
      <c r="W279" s="2">
        <v>5.1093345076119103</v>
      </c>
      <c r="X279" s="2">
        <v>0</v>
      </c>
      <c r="Y279" s="2">
        <v>4.0890201837453501</v>
      </c>
      <c r="Z279" s="2">
        <v>2.2422989097498398</v>
      </c>
      <c r="AA279" s="3">
        <f t="shared" si="13"/>
        <v>60.738518687938075</v>
      </c>
      <c r="AB279" t="s">
        <v>45</v>
      </c>
      <c r="AC279">
        <v>52.26</v>
      </c>
      <c r="AD279">
        <v>29.44</v>
      </c>
      <c r="AE279">
        <v>55.13</v>
      </c>
      <c r="AF279">
        <v>37.229999999999997</v>
      </c>
      <c r="AG279">
        <v>88.17</v>
      </c>
      <c r="AH279">
        <v>157.71</v>
      </c>
      <c r="AI279">
        <v>40.340000000000003</v>
      </c>
      <c r="AJ279">
        <v>72.89</v>
      </c>
      <c r="AK279">
        <v>27.58</v>
      </c>
      <c r="AL279">
        <v>111.64</v>
      </c>
      <c r="AM279">
        <v>73.819999999999993</v>
      </c>
      <c r="AN279">
        <v>176.22</v>
      </c>
      <c r="AO279" s="1">
        <f t="shared" si="14"/>
        <v>922.43000000000006</v>
      </c>
    </row>
    <row r="280" spans="1:41" x14ac:dyDescent="0.25">
      <c r="A280" t="s">
        <v>323</v>
      </c>
      <c r="B280" s="2">
        <v>4201.44309941756</v>
      </c>
      <c r="C280" s="2">
        <v>3198.9448313046801</v>
      </c>
      <c r="D280" s="2">
        <v>6684.1173925296798</v>
      </c>
      <c r="E280" s="2">
        <v>3872.3216897154198</v>
      </c>
      <c r="F280" s="2">
        <v>3375.2129032627699</v>
      </c>
      <c r="G280" s="2">
        <v>2745.2775480104501</v>
      </c>
      <c r="H280" s="2">
        <v>2751.5389516438599</v>
      </c>
      <c r="I280" s="2">
        <v>11336.019361634</v>
      </c>
      <c r="J280" s="2">
        <v>0</v>
      </c>
      <c r="K280" s="2">
        <v>2936.7396839878002</v>
      </c>
      <c r="L280" s="2">
        <v>3563.3844820446302</v>
      </c>
      <c r="M280" s="2">
        <v>2940.44760822321</v>
      </c>
      <c r="N280" s="3">
        <f t="shared" si="12"/>
        <v>47605.447551774058</v>
      </c>
      <c r="O280" s="2">
        <v>2.2178996862549001</v>
      </c>
      <c r="P280" s="2">
        <v>0</v>
      </c>
      <c r="Q280" s="2">
        <v>3.1490136921994001</v>
      </c>
      <c r="R280" s="2">
        <v>1.85590636689836</v>
      </c>
      <c r="S280" s="2">
        <v>2.6817212011670701</v>
      </c>
      <c r="T280" s="2">
        <v>3.7113728575793701</v>
      </c>
      <c r="U280" s="2">
        <v>8.1248868766774098</v>
      </c>
      <c r="V280" s="2">
        <v>0.32317511425034501</v>
      </c>
      <c r="W280" s="2">
        <v>0.20825321281550199</v>
      </c>
      <c r="X280" s="2">
        <v>6.9683612258621199</v>
      </c>
      <c r="Y280" s="2">
        <v>0</v>
      </c>
      <c r="Z280" s="2">
        <v>16.182092598291302</v>
      </c>
      <c r="AA280" s="3">
        <f t="shared" si="13"/>
        <v>45.422682831995772</v>
      </c>
      <c r="AB280" t="s">
        <v>45</v>
      </c>
      <c r="AC280">
        <v>52.16</v>
      </c>
      <c r="AD280">
        <v>41.98</v>
      </c>
      <c r="AE280">
        <v>77.040000000000006</v>
      </c>
      <c r="AF280">
        <v>48.82</v>
      </c>
      <c r="AG280">
        <v>43.9</v>
      </c>
      <c r="AH280">
        <v>37.65</v>
      </c>
      <c r="AI280">
        <v>37.96</v>
      </c>
      <c r="AJ280">
        <v>123.41</v>
      </c>
      <c r="AK280">
        <v>10.039999999999999</v>
      </c>
      <c r="AL280">
        <v>39.71</v>
      </c>
      <c r="AM280">
        <v>45.63</v>
      </c>
      <c r="AN280">
        <v>40.25</v>
      </c>
      <c r="AO280" s="1">
        <f t="shared" si="14"/>
        <v>598.54999999999995</v>
      </c>
    </row>
    <row r="281" spans="1:41" x14ac:dyDescent="0.25">
      <c r="A281" t="s">
        <v>324</v>
      </c>
      <c r="B281" s="2">
        <v>4188.6582269337696</v>
      </c>
      <c r="C281" s="2">
        <v>4969.7414477557404</v>
      </c>
      <c r="D281" s="2">
        <v>3353.5662914821701</v>
      </c>
      <c r="E281" s="2">
        <v>1207.4768270879299</v>
      </c>
      <c r="F281" s="2">
        <v>1183.6972676197399</v>
      </c>
      <c r="G281" s="2">
        <v>9744.5530736982691</v>
      </c>
      <c r="H281" s="2">
        <v>226.66296605889201</v>
      </c>
      <c r="I281" s="2">
        <v>1722.08761462795</v>
      </c>
      <c r="J281" s="2">
        <v>4308.6424771626398</v>
      </c>
      <c r="K281" s="2">
        <v>3861.1846969508001</v>
      </c>
      <c r="L281" s="2">
        <v>9353.4319766530098</v>
      </c>
      <c r="M281" s="2">
        <v>1419.50668694768</v>
      </c>
      <c r="N281" s="3">
        <f t="shared" si="12"/>
        <v>45539.209552978587</v>
      </c>
      <c r="O281" s="2">
        <v>0</v>
      </c>
      <c r="P281" s="2">
        <v>1.7533718254541902E-2</v>
      </c>
      <c r="Q281" s="2">
        <v>6.2691905368925198</v>
      </c>
      <c r="R281" s="2">
        <v>6.0237622732676899</v>
      </c>
      <c r="S281" s="2">
        <v>5.76739839624162</v>
      </c>
      <c r="T281" s="2">
        <v>0</v>
      </c>
      <c r="U281" s="2">
        <v>6.8250840718322401</v>
      </c>
      <c r="V281" s="2">
        <v>5.2836789422456603</v>
      </c>
      <c r="W281" s="2">
        <v>3.72831437899722</v>
      </c>
      <c r="X281" s="2">
        <v>6.1390318311626304</v>
      </c>
      <c r="Y281" s="2">
        <v>6.4263803924482499</v>
      </c>
      <c r="Z281" s="2">
        <v>3.08653342692859</v>
      </c>
      <c r="AA281" s="3">
        <f t="shared" si="13"/>
        <v>49.566907968270968</v>
      </c>
      <c r="AB281" t="s">
        <v>45</v>
      </c>
      <c r="AC281">
        <v>51.88</v>
      </c>
      <c r="AD281">
        <v>59.74</v>
      </c>
      <c r="AE281">
        <v>43.88</v>
      </c>
      <c r="AF281">
        <v>22.42</v>
      </c>
      <c r="AG281">
        <v>22.13</v>
      </c>
      <c r="AH281">
        <v>107.44</v>
      </c>
      <c r="AI281">
        <v>12.61</v>
      </c>
      <c r="AJ281">
        <v>27.52</v>
      </c>
      <c r="AK281">
        <v>53.28</v>
      </c>
      <c r="AL281">
        <v>48.96</v>
      </c>
      <c r="AM281">
        <v>103.88</v>
      </c>
      <c r="AN281">
        <v>24.39</v>
      </c>
      <c r="AO281" s="1">
        <f t="shared" si="14"/>
        <v>578.13</v>
      </c>
    </row>
    <row r="282" spans="1:41" x14ac:dyDescent="0.25">
      <c r="A282" t="s">
        <v>325</v>
      </c>
      <c r="B282" s="2">
        <v>4187.9139514461503</v>
      </c>
      <c r="C282" s="2">
        <v>0</v>
      </c>
      <c r="D282" s="2">
        <v>6233.3679890819803</v>
      </c>
      <c r="E282" s="2">
        <v>7569.8410243710296</v>
      </c>
      <c r="F282" s="2">
        <v>1428.1850253328901</v>
      </c>
      <c r="G282" s="2">
        <v>0</v>
      </c>
      <c r="H282" s="2">
        <v>2108.9303062648</v>
      </c>
      <c r="I282" s="2">
        <v>819.72568502111005</v>
      </c>
      <c r="J282" s="2">
        <v>2189.3169844180102</v>
      </c>
      <c r="K282" s="2">
        <v>4603.6643412822305</v>
      </c>
      <c r="L282" s="2">
        <v>1104.3933055570701</v>
      </c>
      <c r="M282" s="2">
        <v>1665.4797318328699</v>
      </c>
      <c r="N282" s="3">
        <f t="shared" si="12"/>
        <v>31910.818344608135</v>
      </c>
      <c r="O282" s="2">
        <v>4.4365944491746703</v>
      </c>
      <c r="P282" s="2">
        <v>2.72257287332399</v>
      </c>
      <c r="Q282" s="2">
        <v>5.7445137868043696</v>
      </c>
      <c r="R282" s="2">
        <v>2.7852739220959601</v>
      </c>
      <c r="S282" s="2">
        <v>3.6339792461597602</v>
      </c>
      <c r="T282" s="2">
        <v>1.44094132010093</v>
      </c>
      <c r="U282" s="2">
        <v>5.3942635560892596</v>
      </c>
      <c r="V282" s="2">
        <v>1.86609418436284</v>
      </c>
      <c r="W282" s="2">
        <v>1.6816760585514501</v>
      </c>
      <c r="X282" s="2">
        <v>9.0029550929383202</v>
      </c>
      <c r="Y282" s="2">
        <v>0.32388083271035101</v>
      </c>
      <c r="Z282" s="2">
        <v>4.0266320030546101</v>
      </c>
      <c r="AA282" s="3">
        <f t="shared" si="13"/>
        <v>43.059377325366512</v>
      </c>
      <c r="AB282" t="s">
        <v>63</v>
      </c>
      <c r="AC282">
        <v>84.21</v>
      </c>
      <c r="AD282">
        <v>0.27</v>
      </c>
      <c r="AE282">
        <v>125.22</v>
      </c>
      <c r="AF282">
        <v>151.66999999999999</v>
      </c>
      <c r="AG282">
        <v>28.94</v>
      </c>
      <c r="AH282">
        <v>0.18</v>
      </c>
      <c r="AI282">
        <v>42.72</v>
      </c>
      <c r="AJ282">
        <v>16.579999999999998</v>
      </c>
      <c r="AK282">
        <v>43.98</v>
      </c>
      <c r="AL282">
        <v>92.98</v>
      </c>
      <c r="AM282">
        <v>22.19</v>
      </c>
      <c r="AN282">
        <v>33.770000000000003</v>
      </c>
      <c r="AO282" s="1">
        <f t="shared" si="14"/>
        <v>642.71</v>
      </c>
    </row>
    <row r="283" spans="1:41" x14ac:dyDescent="0.25">
      <c r="A283" t="s">
        <v>326</v>
      </c>
      <c r="B283" s="2">
        <v>4183.83174972901</v>
      </c>
      <c r="C283" s="2">
        <v>12501.8463564877</v>
      </c>
      <c r="D283" s="2">
        <v>2319.4501729326298</v>
      </c>
      <c r="E283" s="2">
        <v>8530.99877804895</v>
      </c>
      <c r="F283" s="2">
        <v>101.60118606472599</v>
      </c>
      <c r="G283" s="2">
        <v>1848.3567749173601</v>
      </c>
      <c r="H283" s="2">
        <v>0</v>
      </c>
      <c r="I283" s="2">
        <v>3356.6012616698199</v>
      </c>
      <c r="J283" s="2">
        <v>129.81051875275199</v>
      </c>
      <c r="K283" s="2">
        <v>7626.8987054885301</v>
      </c>
      <c r="L283" s="2">
        <v>2757.8958947064302</v>
      </c>
      <c r="M283" s="2">
        <v>0</v>
      </c>
      <c r="N283" s="3">
        <f t="shared" si="12"/>
        <v>43357.291398797912</v>
      </c>
      <c r="O283" s="2">
        <v>7.4539109027386798</v>
      </c>
      <c r="P283" s="2">
        <v>0</v>
      </c>
      <c r="Q283" s="2">
        <v>5.5166263441494996</v>
      </c>
      <c r="R283" s="2">
        <v>14.864350770524799</v>
      </c>
      <c r="S283" s="2">
        <v>1.4995979844881999</v>
      </c>
      <c r="T283" s="2">
        <v>0.55171127096061601</v>
      </c>
      <c r="U283" s="2">
        <v>6.5162766309700402</v>
      </c>
      <c r="V283" s="2">
        <v>6.3767599635397501</v>
      </c>
      <c r="W283" s="2">
        <v>4.0317643586092702</v>
      </c>
      <c r="X283" s="2">
        <v>13.491687034378799</v>
      </c>
      <c r="Y283" s="2">
        <v>1.1900216450401599</v>
      </c>
      <c r="Z283" s="2">
        <v>3.7078828049897798</v>
      </c>
      <c r="AA283" s="3">
        <f t="shared" si="13"/>
        <v>65.200589710389593</v>
      </c>
      <c r="AB283" t="s">
        <v>45</v>
      </c>
      <c r="AC283">
        <v>52.23</v>
      </c>
      <c r="AD283">
        <v>135.01</v>
      </c>
      <c r="AE283">
        <v>33.49</v>
      </c>
      <c r="AF283">
        <v>96.05</v>
      </c>
      <c r="AG283">
        <v>11.11</v>
      </c>
      <c r="AH283">
        <v>28.53</v>
      </c>
      <c r="AI283">
        <v>10.34</v>
      </c>
      <c r="AJ283">
        <v>43.91</v>
      </c>
      <c r="AK283">
        <v>11.54</v>
      </c>
      <c r="AL283">
        <v>86.96</v>
      </c>
      <c r="AM283">
        <v>37.67</v>
      </c>
      <c r="AN283">
        <v>10.19</v>
      </c>
      <c r="AO283" s="1">
        <f t="shared" si="14"/>
        <v>557.03</v>
      </c>
    </row>
    <row r="284" spans="1:41" x14ac:dyDescent="0.25">
      <c r="A284" t="s">
        <v>327</v>
      </c>
      <c r="B284" s="2">
        <v>4181.8623747337697</v>
      </c>
      <c r="C284" s="2">
        <v>44.404661712937497</v>
      </c>
      <c r="D284" s="2">
        <v>4909.4700091612904</v>
      </c>
      <c r="E284" s="2">
        <v>3862.2398545464498</v>
      </c>
      <c r="F284" s="2">
        <v>2929.5458557453398</v>
      </c>
      <c r="G284" s="2">
        <v>1334.5115664853599</v>
      </c>
      <c r="H284" s="2">
        <v>3189.9086733000599</v>
      </c>
      <c r="I284" s="2">
        <v>1117.54327805456</v>
      </c>
      <c r="J284" s="2">
        <v>0</v>
      </c>
      <c r="K284" s="2">
        <v>884.54215632969897</v>
      </c>
      <c r="L284" s="2">
        <v>4840.8335418090201</v>
      </c>
      <c r="M284" s="2">
        <v>2669.6014328720198</v>
      </c>
      <c r="N284" s="3">
        <f t="shared" si="12"/>
        <v>29964.463404750506</v>
      </c>
      <c r="O284" s="2">
        <v>11.913041376651201</v>
      </c>
      <c r="P284" s="2">
        <v>0.82124448854957</v>
      </c>
      <c r="Q284" s="2">
        <v>1.5750735369648501</v>
      </c>
      <c r="R284" s="2">
        <v>1.57757978682037</v>
      </c>
      <c r="S284" s="2">
        <v>8.7690213040172598</v>
      </c>
      <c r="T284" s="2">
        <v>2.5627828867587898</v>
      </c>
      <c r="U284" s="2">
        <v>6.9967949585612699</v>
      </c>
      <c r="V284" s="2">
        <v>6.7316019131389604</v>
      </c>
      <c r="W284" s="2">
        <v>2.43745706132471</v>
      </c>
      <c r="X284" s="2">
        <v>0.72685501362632698</v>
      </c>
      <c r="Y284" s="2">
        <v>7.0984779742723596</v>
      </c>
      <c r="Z284" s="2">
        <v>1.73611077064344</v>
      </c>
      <c r="AA284" s="3">
        <f t="shared" si="13"/>
        <v>52.946041071329113</v>
      </c>
      <c r="AB284" t="s">
        <v>63</v>
      </c>
      <c r="AC284">
        <v>84.72</v>
      </c>
      <c r="AD284">
        <v>0.99</v>
      </c>
      <c r="AE284">
        <v>98.38</v>
      </c>
      <c r="AF284">
        <v>77.44</v>
      </c>
      <c r="AG284">
        <v>59.41</v>
      </c>
      <c r="AH284">
        <v>26.97</v>
      </c>
      <c r="AI284">
        <v>64.430000000000007</v>
      </c>
      <c r="AJ284">
        <v>22.99</v>
      </c>
      <c r="AK284">
        <v>0.27</v>
      </c>
      <c r="AL284">
        <v>17.79</v>
      </c>
      <c r="AM284">
        <v>97.54</v>
      </c>
      <c r="AN284">
        <v>53.58</v>
      </c>
      <c r="AO284" s="1">
        <f t="shared" si="14"/>
        <v>604.51</v>
      </c>
    </row>
    <row r="285" spans="1:41" x14ac:dyDescent="0.25">
      <c r="A285" t="s">
        <v>328</v>
      </c>
      <c r="B285" s="2">
        <v>4171.8082547478198</v>
      </c>
      <c r="C285" s="2">
        <v>952.17363162633205</v>
      </c>
      <c r="D285" s="2">
        <v>1725.6956191386801</v>
      </c>
      <c r="E285" s="2">
        <v>6960.6222282460903</v>
      </c>
      <c r="F285" s="2">
        <v>574.59349795047501</v>
      </c>
      <c r="G285" s="2">
        <v>524.22994728836602</v>
      </c>
      <c r="H285" s="2">
        <v>1348.6732632994101</v>
      </c>
      <c r="I285" s="2">
        <v>5897.8636777637403</v>
      </c>
      <c r="J285" s="2">
        <v>433.251985024438</v>
      </c>
      <c r="K285" s="2">
        <v>21835.074258757599</v>
      </c>
      <c r="L285" s="2">
        <v>917.65306746857595</v>
      </c>
      <c r="M285" s="2">
        <v>2187.7401312986599</v>
      </c>
      <c r="N285" s="3">
        <f t="shared" si="12"/>
        <v>47529.379562610193</v>
      </c>
      <c r="O285" s="2">
        <v>2.7759394136747999</v>
      </c>
      <c r="P285" s="2">
        <v>10.102074511965601</v>
      </c>
      <c r="Q285" s="2">
        <v>10.674935550674199</v>
      </c>
      <c r="R285" s="2">
        <v>3.66707782716112E-2</v>
      </c>
      <c r="S285" s="2">
        <v>10.792593918465</v>
      </c>
      <c r="T285" s="2">
        <v>5.8113799896933704</v>
      </c>
      <c r="U285" s="2">
        <v>4.7594605811858202</v>
      </c>
      <c r="V285" s="2">
        <v>1.36785013521156</v>
      </c>
      <c r="W285" s="2">
        <v>5.0895943557165602</v>
      </c>
      <c r="X285" s="2">
        <v>8.37145482956244</v>
      </c>
      <c r="Y285" s="2">
        <v>1.49547773300529</v>
      </c>
      <c r="Z285" s="2">
        <v>11.1632257921363</v>
      </c>
      <c r="AA285" s="3">
        <f t="shared" si="13"/>
        <v>72.440657589562548</v>
      </c>
      <c r="AB285" t="s">
        <v>45</v>
      </c>
      <c r="AC285">
        <v>51.86</v>
      </c>
      <c r="AD285">
        <v>20.07</v>
      </c>
      <c r="AE285">
        <v>27.8</v>
      </c>
      <c r="AF285">
        <v>79.650000000000006</v>
      </c>
      <c r="AG285">
        <v>16.29</v>
      </c>
      <c r="AH285">
        <v>15.54</v>
      </c>
      <c r="AI285">
        <v>23.73</v>
      </c>
      <c r="AJ285">
        <v>69.069999999999993</v>
      </c>
      <c r="AK285">
        <v>14.63</v>
      </c>
      <c r="AL285">
        <v>228.8</v>
      </c>
      <c r="AM285">
        <v>19.27</v>
      </c>
      <c r="AN285">
        <v>32.47</v>
      </c>
      <c r="AO285" s="1">
        <f t="shared" si="14"/>
        <v>599.18000000000006</v>
      </c>
    </row>
    <row r="286" spans="1:41" x14ac:dyDescent="0.25">
      <c r="A286" t="s">
        <v>329</v>
      </c>
      <c r="B286" s="2">
        <v>4152.33793479623</v>
      </c>
      <c r="C286" s="2">
        <v>4787.9317297327398</v>
      </c>
      <c r="D286" s="2">
        <v>1322.25463111563</v>
      </c>
      <c r="E286" s="2">
        <v>7094.71187610792</v>
      </c>
      <c r="F286" s="2">
        <v>7308.0758443622799</v>
      </c>
      <c r="G286" s="2">
        <v>932.22322689935004</v>
      </c>
      <c r="H286" s="2">
        <v>8005.2862288240603</v>
      </c>
      <c r="I286" s="2">
        <v>2500.8685267892602</v>
      </c>
      <c r="J286" s="2">
        <v>4307.0991355739097</v>
      </c>
      <c r="K286" s="2">
        <v>6199.2424726710897</v>
      </c>
      <c r="L286" s="2">
        <v>3483.2498050590698</v>
      </c>
      <c r="M286" s="2">
        <v>1437.92764481992</v>
      </c>
      <c r="N286" s="3">
        <f t="shared" si="12"/>
        <v>51531.209056751461</v>
      </c>
      <c r="O286" s="2">
        <v>1.18343010323508</v>
      </c>
      <c r="P286" s="2">
        <v>13.5628149981854</v>
      </c>
      <c r="Q286" s="2">
        <v>0.73392464631300103</v>
      </c>
      <c r="R286" s="2">
        <v>14.6108189279634</v>
      </c>
      <c r="S286" s="2">
        <v>0</v>
      </c>
      <c r="T286" s="2">
        <v>8.3052549346295201</v>
      </c>
      <c r="U286" s="2">
        <v>3.6056214528720201</v>
      </c>
      <c r="V286" s="2">
        <v>19.325473234316199</v>
      </c>
      <c r="W286" s="2">
        <v>0</v>
      </c>
      <c r="X286" s="2">
        <v>2.80955916725586</v>
      </c>
      <c r="Y286" s="2">
        <v>13.174581410283899</v>
      </c>
      <c r="Z286" s="2">
        <v>1.58948480345276</v>
      </c>
      <c r="AA286" s="3">
        <f t="shared" si="13"/>
        <v>78.900963678507139</v>
      </c>
      <c r="AB286" t="s">
        <v>45</v>
      </c>
      <c r="AC286">
        <v>51.62</v>
      </c>
      <c r="AD286">
        <v>58.57</v>
      </c>
      <c r="AE286">
        <v>23.27</v>
      </c>
      <c r="AF286">
        <v>81.69</v>
      </c>
      <c r="AG286">
        <v>83.08</v>
      </c>
      <c r="AH286">
        <v>19.77</v>
      </c>
      <c r="AI286">
        <v>90.25</v>
      </c>
      <c r="AJ286">
        <v>36</v>
      </c>
      <c r="AK286">
        <v>53.07</v>
      </c>
      <c r="AL286">
        <v>72.14</v>
      </c>
      <c r="AM286">
        <v>45.53</v>
      </c>
      <c r="AN286">
        <v>24.47</v>
      </c>
      <c r="AO286" s="1">
        <f t="shared" si="14"/>
        <v>639.46</v>
      </c>
    </row>
    <row r="287" spans="1:41" x14ac:dyDescent="0.25">
      <c r="A287" t="s">
        <v>330</v>
      </c>
      <c r="B287" s="2">
        <v>4146.6779040602096</v>
      </c>
      <c r="C287" s="2">
        <v>1564.7799074268301</v>
      </c>
      <c r="D287" s="2">
        <v>0</v>
      </c>
      <c r="E287" s="2">
        <v>4220.1969150362902</v>
      </c>
      <c r="F287" s="2">
        <v>2092.0194969981499</v>
      </c>
      <c r="G287" s="2">
        <v>16197.0253383816</v>
      </c>
      <c r="H287" s="2">
        <v>11057.360528813701</v>
      </c>
      <c r="I287" s="2">
        <v>5098.6212998844103</v>
      </c>
      <c r="J287" s="2">
        <v>11799.003735672901</v>
      </c>
      <c r="K287" s="2">
        <v>293.96516377025603</v>
      </c>
      <c r="L287" s="2">
        <v>351.882617243379</v>
      </c>
      <c r="M287" s="2">
        <v>686.93402769351405</v>
      </c>
      <c r="N287" s="3">
        <f t="shared" si="12"/>
        <v>57508.466934981239</v>
      </c>
      <c r="O287" s="2">
        <v>0</v>
      </c>
      <c r="P287" s="2">
        <v>4.2146469482637503</v>
      </c>
      <c r="Q287" s="2">
        <v>4.5855567750821304</v>
      </c>
      <c r="R287" s="2">
        <v>5.8225016984104103</v>
      </c>
      <c r="S287" s="2">
        <v>0</v>
      </c>
      <c r="T287" s="2">
        <v>7.5934971463782004</v>
      </c>
      <c r="U287" s="2">
        <v>4.4079164538976299</v>
      </c>
      <c r="V287" s="2">
        <v>9.5232560579188696</v>
      </c>
      <c r="W287" s="2">
        <v>3.0245717804329399</v>
      </c>
      <c r="X287" s="2">
        <v>3.37368523213958</v>
      </c>
      <c r="Y287" s="2">
        <v>10.6571949289782</v>
      </c>
      <c r="Z287" s="2">
        <v>8.6722081518978396</v>
      </c>
      <c r="AA287" s="3">
        <f t="shared" si="13"/>
        <v>61.875035173399553</v>
      </c>
      <c r="AB287" t="s">
        <v>45</v>
      </c>
      <c r="AC287">
        <v>51.46</v>
      </c>
      <c r="AD287">
        <v>25.89</v>
      </c>
      <c r="AE287">
        <v>10.24</v>
      </c>
      <c r="AF287">
        <v>52.5</v>
      </c>
      <c r="AG287">
        <v>30.92</v>
      </c>
      <c r="AH287">
        <v>172.37</v>
      </c>
      <c r="AI287">
        <v>120.82</v>
      </c>
      <c r="AJ287">
        <v>61.48</v>
      </c>
      <c r="AK287">
        <v>128.19</v>
      </c>
      <c r="AL287">
        <v>13.13</v>
      </c>
      <c r="AM287">
        <v>14.06</v>
      </c>
      <c r="AN287">
        <v>17.309999999999999</v>
      </c>
      <c r="AO287" s="1">
        <f t="shared" si="14"/>
        <v>698.36999999999978</v>
      </c>
    </row>
    <row r="288" spans="1:41" x14ac:dyDescent="0.25">
      <c r="A288" t="s">
        <v>331</v>
      </c>
      <c r="B288" s="2">
        <v>4131.7766387008196</v>
      </c>
      <c r="C288" s="2">
        <v>9623.9472432288694</v>
      </c>
      <c r="D288" s="2">
        <v>0</v>
      </c>
      <c r="E288" s="2">
        <v>0</v>
      </c>
      <c r="F288" s="2">
        <v>1800.1780070439399</v>
      </c>
      <c r="G288" s="2">
        <v>0</v>
      </c>
      <c r="H288" s="2">
        <v>5231.1090648593399</v>
      </c>
      <c r="I288" s="2">
        <v>2021.92545625497</v>
      </c>
      <c r="J288" s="2">
        <v>2980.52692456972</v>
      </c>
      <c r="K288" s="2">
        <v>2100.6667275008499</v>
      </c>
      <c r="L288" s="2">
        <v>866.01122770806296</v>
      </c>
      <c r="M288" s="2">
        <v>2407.1633172362499</v>
      </c>
      <c r="N288" s="3">
        <f t="shared" si="12"/>
        <v>31163.304607102822</v>
      </c>
      <c r="O288" s="2">
        <v>3.7825432449351699</v>
      </c>
      <c r="P288" s="2">
        <v>0</v>
      </c>
      <c r="Q288" s="2">
        <v>11.149644353061699</v>
      </c>
      <c r="R288" s="2">
        <v>1.9043607361403001</v>
      </c>
      <c r="S288" s="2">
        <v>0.19091124689622599</v>
      </c>
      <c r="T288" s="2">
        <v>1.01430566937315</v>
      </c>
      <c r="U288" s="2">
        <v>0</v>
      </c>
      <c r="V288" s="2">
        <v>5.8767778092543299</v>
      </c>
      <c r="W288" s="2">
        <v>7.8360919571928402</v>
      </c>
      <c r="X288" s="2">
        <v>3.0737947594174302</v>
      </c>
      <c r="Y288" s="2">
        <v>1.4165484793448699</v>
      </c>
      <c r="Z288" s="2">
        <v>2.2719191921675401</v>
      </c>
      <c r="AA288" s="3">
        <f t="shared" si="13"/>
        <v>38.516897447783556</v>
      </c>
      <c r="AB288" t="s">
        <v>63</v>
      </c>
      <c r="AC288">
        <v>83</v>
      </c>
      <c r="AD288">
        <v>192.48</v>
      </c>
      <c r="AE288">
        <v>1.08</v>
      </c>
      <c r="AF288">
        <v>0.18</v>
      </c>
      <c r="AG288">
        <v>36.11</v>
      </c>
      <c r="AH288">
        <v>0.18</v>
      </c>
      <c r="AI288">
        <v>104.64</v>
      </c>
      <c r="AJ288">
        <v>40.98</v>
      </c>
      <c r="AK288">
        <v>60.34</v>
      </c>
      <c r="AL288">
        <v>42.38</v>
      </c>
      <c r="AM288">
        <v>17.52</v>
      </c>
      <c r="AN288">
        <v>48.43</v>
      </c>
      <c r="AO288" s="1">
        <f t="shared" si="14"/>
        <v>627.31999999999994</v>
      </c>
    </row>
    <row r="289" spans="1:41" x14ac:dyDescent="0.25">
      <c r="A289" t="s">
        <v>332</v>
      </c>
      <c r="B289" s="2">
        <v>4111.0166798200598</v>
      </c>
      <c r="C289" s="2">
        <v>4409.2058071163201</v>
      </c>
      <c r="D289" s="2">
        <v>0</v>
      </c>
      <c r="E289" s="2">
        <v>1387.4092304113699</v>
      </c>
      <c r="F289" s="2">
        <v>3004.02632253604</v>
      </c>
      <c r="G289" s="2">
        <v>1779.4967492916601</v>
      </c>
      <c r="H289" s="2">
        <v>9935.4797055494801</v>
      </c>
      <c r="I289" s="2">
        <v>1947.6396285890801</v>
      </c>
      <c r="J289" s="2">
        <v>10383.492774341999</v>
      </c>
      <c r="K289" s="2">
        <v>1603.64975371378</v>
      </c>
      <c r="L289" s="2">
        <v>12608.4270542375</v>
      </c>
      <c r="M289" s="2">
        <v>5660.8645088940902</v>
      </c>
      <c r="N289" s="3">
        <f t="shared" si="12"/>
        <v>56830.708214501377</v>
      </c>
      <c r="O289" s="2">
        <v>4.2801190714717103</v>
      </c>
      <c r="P289" s="2">
        <v>3.1229711892541898</v>
      </c>
      <c r="Q289" s="2">
        <v>0.56582839785597705</v>
      </c>
      <c r="R289" s="2">
        <v>7.08954456810587</v>
      </c>
      <c r="S289" s="2">
        <v>2.7198200254701699</v>
      </c>
      <c r="T289" s="2">
        <v>4.3769275029258603</v>
      </c>
      <c r="U289" s="2">
        <v>0.99296274520324801</v>
      </c>
      <c r="V289" s="2">
        <v>2.2110803622775599</v>
      </c>
      <c r="W289" s="2">
        <v>2.8253178011497901</v>
      </c>
      <c r="X289" s="2">
        <v>0</v>
      </c>
      <c r="Y289" s="2">
        <v>4.1536134607853104</v>
      </c>
      <c r="Z289" s="2">
        <v>0.76760811849719102</v>
      </c>
      <c r="AA289" s="3">
        <f t="shared" si="13"/>
        <v>33.105793242996874</v>
      </c>
      <c r="AB289" t="s">
        <v>45</v>
      </c>
      <c r="AC289">
        <v>51.36</v>
      </c>
      <c r="AD289">
        <v>54.29</v>
      </c>
      <c r="AE289">
        <v>10.039999999999999</v>
      </c>
      <c r="AF289">
        <v>24.27</v>
      </c>
      <c r="AG289">
        <v>40.19</v>
      </c>
      <c r="AH289">
        <v>28.04</v>
      </c>
      <c r="AI289">
        <v>109.4</v>
      </c>
      <c r="AJ289">
        <v>29.62</v>
      </c>
      <c r="AK289">
        <v>113.98</v>
      </c>
      <c r="AL289">
        <v>26.03</v>
      </c>
      <c r="AM289">
        <v>136.33000000000001</v>
      </c>
      <c r="AN289">
        <v>66.650000000000006</v>
      </c>
      <c r="AO289" s="1">
        <f t="shared" si="14"/>
        <v>690.2</v>
      </c>
    </row>
    <row r="290" spans="1:41" x14ac:dyDescent="0.25">
      <c r="A290" t="s">
        <v>333</v>
      </c>
      <c r="B290" s="2">
        <v>4082.7526523071001</v>
      </c>
      <c r="C290" s="2">
        <v>2.87877086640386</v>
      </c>
      <c r="D290" s="2">
        <v>0</v>
      </c>
      <c r="E290" s="2">
        <v>1362.6740125450799</v>
      </c>
      <c r="F290" s="2">
        <v>646.60303953943503</v>
      </c>
      <c r="G290" s="2">
        <v>2817.1093566189702</v>
      </c>
      <c r="H290" s="2">
        <v>6574.4395690117799</v>
      </c>
      <c r="I290" s="2">
        <v>1132.0276991926901</v>
      </c>
      <c r="J290" s="2">
        <v>1913.99543137467</v>
      </c>
      <c r="K290" s="2">
        <v>1963.71724761169</v>
      </c>
      <c r="L290" s="2">
        <v>893.87748437869095</v>
      </c>
      <c r="M290" s="2">
        <v>10670.8276790446</v>
      </c>
      <c r="N290" s="3">
        <f t="shared" si="12"/>
        <v>32060.902942491113</v>
      </c>
      <c r="O290" s="2">
        <v>0.30658833747610997</v>
      </c>
      <c r="P290" s="2">
        <v>0.37002505911178701</v>
      </c>
      <c r="Q290" s="2">
        <v>2.43406926173133</v>
      </c>
      <c r="R290" s="2">
        <v>7.2508646516214803</v>
      </c>
      <c r="S290" s="2">
        <v>10.495865397387099</v>
      </c>
      <c r="T290" s="2">
        <v>5.3659487308001097</v>
      </c>
      <c r="U290" s="2">
        <v>0.41591800846343602</v>
      </c>
      <c r="V290" s="2">
        <v>0</v>
      </c>
      <c r="W290" s="2">
        <v>1.2231008091339799</v>
      </c>
      <c r="X290" s="2">
        <v>0.50629822015636605</v>
      </c>
      <c r="Y290" s="2">
        <v>3.3492383580949499</v>
      </c>
      <c r="Z290" s="2">
        <v>1.1086874457478699</v>
      </c>
      <c r="AA290" s="3">
        <f t="shared" si="13"/>
        <v>32.826604279724521</v>
      </c>
      <c r="AB290" t="s">
        <v>63</v>
      </c>
      <c r="AC290">
        <v>81.75</v>
      </c>
      <c r="AD290">
        <v>0.15</v>
      </c>
      <c r="AE290">
        <v>0.27</v>
      </c>
      <c r="AF290">
        <v>27.98</v>
      </c>
      <c r="AG290">
        <v>13.93</v>
      </c>
      <c r="AH290">
        <v>56.9</v>
      </c>
      <c r="AI290">
        <v>131.59</v>
      </c>
      <c r="AJ290">
        <v>22.66</v>
      </c>
      <c r="AK290">
        <v>38.46</v>
      </c>
      <c r="AL290">
        <v>39.369999999999997</v>
      </c>
      <c r="AM290">
        <v>18.239999999999998</v>
      </c>
      <c r="AN290">
        <v>213.6</v>
      </c>
      <c r="AO290" s="1">
        <f t="shared" si="14"/>
        <v>644.90000000000009</v>
      </c>
    </row>
    <row r="291" spans="1:41" x14ac:dyDescent="0.25">
      <c r="A291" t="s">
        <v>334</v>
      </c>
      <c r="B291" s="2">
        <v>4081.8262201418102</v>
      </c>
      <c r="C291" s="2">
        <v>1778.2234388056499</v>
      </c>
      <c r="D291" s="2">
        <v>3478.0219778494202</v>
      </c>
      <c r="E291" s="2">
        <v>2707.81432879769</v>
      </c>
      <c r="F291" s="2">
        <v>380.18988645137802</v>
      </c>
      <c r="G291" s="2">
        <v>249.51493298698</v>
      </c>
      <c r="H291" s="2">
        <v>1102.7915139957199</v>
      </c>
      <c r="I291" s="2">
        <v>889.95721992734696</v>
      </c>
      <c r="J291" s="2">
        <v>3288.30059537633</v>
      </c>
      <c r="K291" s="2">
        <v>4099.3984904439403</v>
      </c>
      <c r="L291" s="2">
        <v>274.17833799241703</v>
      </c>
      <c r="M291" s="2">
        <v>3327.4000137810299</v>
      </c>
      <c r="N291" s="3">
        <f t="shared" si="12"/>
        <v>25657.616956549711</v>
      </c>
      <c r="O291" s="2">
        <v>16.763816245185801</v>
      </c>
      <c r="P291" s="2">
        <v>0.77731238357731203</v>
      </c>
      <c r="Q291" s="2">
        <v>5.3326171662003601</v>
      </c>
      <c r="R291" s="2">
        <v>3.2733848294274699</v>
      </c>
      <c r="S291" s="2">
        <v>1.4650604859714</v>
      </c>
      <c r="T291" s="2">
        <v>2.0181876228189002</v>
      </c>
      <c r="U291" s="2">
        <v>4.6900491042186498</v>
      </c>
      <c r="V291" s="2">
        <v>2.5691093709538899</v>
      </c>
      <c r="W291" s="2">
        <v>4.6977286843200101</v>
      </c>
      <c r="X291" s="2">
        <v>21.3997445213719</v>
      </c>
      <c r="Y291" s="2">
        <v>0.97879118020496902</v>
      </c>
      <c r="Z291" s="2">
        <v>2.22919278962351</v>
      </c>
      <c r="AA291" s="3">
        <f t="shared" si="13"/>
        <v>66.194994383874175</v>
      </c>
      <c r="AB291" t="s">
        <v>63</v>
      </c>
      <c r="AC291">
        <v>83.17</v>
      </c>
      <c r="AD291">
        <v>35.67</v>
      </c>
      <c r="AE291">
        <v>70.12</v>
      </c>
      <c r="AF291">
        <v>54.52</v>
      </c>
      <c r="AG291">
        <v>7.8</v>
      </c>
      <c r="AH291">
        <v>5.27</v>
      </c>
      <c r="AI291">
        <v>22.51</v>
      </c>
      <c r="AJ291">
        <v>18.07</v>
      </c>
      <c r="AK291">
        <v>66.23</v>
      </c>
      <c r="AL291">
        <v>83.98</v>
      </c>
      <c r="AM291">
        <v>5.59</v>
      </c>
      <c r="AN291">
        <v>66.83</v>
      </c>
      <c r="AO291" s="1">
        <f t="shared" si="14"/>
        <v>519.76</v>
      </c>
    </row>
    <row r="292" spans="1:41" x14ac:dyDescent="0.25">
      <c r="A292" t="s">
        <v>335</v>
      </c>
      <c r="B292" s="2">
        <v>4080.5265515338201</v>
      </c>
      <c r="C292" s="2">
        <v>3476.4072805054002</v>
      </c>
      <c r="D292" s="2">
        <v>22475.961358804499</v>
      </c>
      <c r="E292" s="2">
        <v>2010.05904326361</v>
      </c>
      <c r="F292" s="2">
        <v>4223.9581376644501</v>
      </c>
      <c r="G292" s="2">
        <v>5668.1331032075996</v>
      </c>
      <c r="H292" s="2">
        <v>2182.2064230277101</v>
      </c>
      <c r="I292" s="2">
        <v>2150.6966677042101</v>
      </c>
      <c r="J292" s="2">
        <v>11671.099417842501</v>
      </c>
      <c r="K292" s="2">
        <v>0</v>
      </c>
      <c r="L292" s="2">
        <v>854.17648462683303</v>
      </c>
      <c r="M292" s="2">
        <v>2402.1100237861801</v>
      </c>
      <c r="N292" s="3">
        <f t="shared" si="12"/>
        <v>61195.334491966816</v>
      </c>
      <c r="O292" s="2">
        <v>2.9921320993362701</v>
      </c>
      <c r="P292" s="2">
        <v>0</v>
      </c>
      <c r="Q292" s="2">
        <v>2.8618909739956599</v>
      </c>
      <c r="R292" s="2">
        <v>4.17041761332462</v>
      </c>
      <c r="S292" s="2">
        <v>3.2190673160647401</v>
      </c>
      <c r="T292" s="2">
        <v>4.4554899558329204</v>
      </c>
      <c r="U292" s="2">
        <v>1.25075183863703</v>
      </c>
      <c r="V292" s="2">
        <v>1.7988608262602099</v>
      </c>
      <c r="W292" s="2">
        <v>2.2268043295133602</v>
      </c>
      <c r="X292" s="2">
        <v>1.2479094599007701</v>
      </c>
      <c r="Y292" s="2">
        <v>10.860096126820901</v>
      </c>
      <c r="Z292" s="2">
        <v>3.4486419955903198</v>
      </c>
      <c r="AA292" s="3">
        <f t="shared" si="13"/>
        <v>38.5320625352768</v>
      </c>
      <c r="AB292" t="s">
        <v>63</v>
      </c>
      <c r="AC292">
        <v>81.89</v>
      </c>
      <c r="AD292">
        <v>69.540000000000006</v>
      </c>
      <c r="AE292">
        <v>449.79</v>
      </c>
      <c r="AF292">
        <v>40.67</v>
      </c>
      <c r="AG292">
        <v>84.84</v>
      </c>
      <c r="AH292">
        <v>113.83</v>
      </c>
      <c r="AI292">
        <v>43.84</v>
      </c>
      <c r="AJ292">
        <v>43.2</v>
      </c>
      <c r="AK292">
        <v>233.71</v>
      </c>
      <c r="AL292">
        <v>0.18</v>
      </c>
      <c r="AM292">
        <v>18.09</v>
      </c>
      <c r="AN292">
        <v>48.42</v>
      </c>
      <c r="AO292" s="1">
        <f t="shared" si="14"/>
        <v>1228.0000000000002</v>
      </c>
    </row>
    <row r="293" spans="1:41" x14ac:dyDescent="0.25">
      <c r="A293" t="s">
        <v>336</v>
      </c>
      <c r="B293" s="2">
        <v>4079.4058888310101</v>
      </c>
      <c r="C293" s="2">
        <v>929.37318091745101</v>
      </c>
      <c r="D293" s="2">
        <v>1127.3107873754</v>
      </c>
      <c r="E293" s="2">
        <v>0</v>
      </c>
      <c r="F293" s="2">
        <v>4053.3429800270501</v>
      </c>
      <c r="G293" s="2">
        <v>5421.8053915174396</v>
      </c>
      <c r="H293" s="2">
        <v>3926.23942641857</v>
      </c>
      <c r="I293" s="2">
        <v>5592.6243554086404</v>
      </c>
      <c r="J293" s="2">
        <v>5613.0278935856504</v>
      </c>
      <c r="K293" s="2">
        <v>6707.0198261215401</v>
      </c>
      <c r="L293" s="2">
        <v>1981.1268001334299</v>
      </c>
      <c r="M293" s="2">
        <v>8053.2391428132096</v>
      </c>
      <c r="N293" s="3">
        <f t="shared" si="12"/>
        <v>47484.515673149392</v>
      </c>
      <c r="O293" s="2">
        <v>1.75528296088806</v>
      </c>
      <c r="P293" s="2">
        <v>4.3063352923708598</v>
      </c>
      <c r="Q293" s="2">
        <v>3.99210384054776</v>
      </c>
      <c r="R293" s="2">
        <v>4.2832317917489604</v>
      </c>
      <c r="S293" s="2">
        <v>2.94991815943657</v>
      </c>
      <c r="T293" s="2">
        <v>1.4235778173999E-2</v>
      </c>
      <c r="U293" s="2">
        <v>7.3131191870472003</v>
      </c>
      <c r="V293" s="2">
        <v>4.7193710502700101</v>
      </c>
      <c r="W293" s="2">
        <v>0</v>
      </c>
      <c r="X293" s="2">
        <v>5.2324161153151403</v>
      </c>
      <c r="Y293" s="2">
        <v>10.918795480668299</v>
      </c>
      <c r="Z293" s="2">
        <v>10.673798438876</v>
      </c>
      <c r="AA293" s="3">
        <f t="shared" si="13"/>
        <v>56.158608095342856</v>
      </c>
      <c r="AB293" t="s">
        <v>63</v>
      </c>
      <c r="AC293">
        <v>81.78</v>
      </c>
      <c r="AD293">
        <v>19.05</v>
      </c>
      <c r="AE293">
        <v>22.92</v>
      </c>
      <c r="AF293">
        <v>0.45</v>
      </c>
      <c r="AG293">
        <v>81.349999999999994</v>
      </c>
      <c r="AH293">
        <v>108.53</v>
      </c>
      <c r="AI293">
        <v>79.260000000000005</v>
      </c>
      <c r="AJ293">
        <v>112.31</v>
      </c>
      <c r="AK293">
        <v>112.28</v>
      </c>
      <c r="AL293">
        <v>134.69999999999999</v>
      </c>
      <c r="AM293">
        <v>40.630000000000003</v>
      </c>
      <c r="AN293">
        <v>162.07</v>
      </c>
      <c r="AO293" s="1">
        <f t="shared" si="14"/>
        <v>955.33000000000015</v>
      </c>
    </row>
    <row r="294" spans="1:41" x14ac:dyDescent="0.25">
      <c r="A294" t="s">
        <v>337</v>
      </c>
      <c r="B294" s="2">
        <v>4042.1677319003502</v>
      </c>
      <c r="C294" s="2">
        <v>0</v>
      </c>
      <c r="D294" s="2">
        <v>5406.5023284085601</v>
      </c>
      <c r="E294" s="2">
        <v>3120.6940399622099</v>
      </c>
      <c r="F294" s="2">
        <v>1861.1719641729501</v>
      </c>
      <c r="G294" s="2">
        <v>4593.89250038522</v>
      </c>
      <c r="H294" s="2">
        <v>2683.9578168551202</v>
      </c>
      <c r="I294" s="2">
        <v>1775.4470913351099</v>
      </c>
      <c r="J294" s="2">
        <v>2772.52492994761</v>
      </c>
      <c r="K294" s="2">
        <v>4913.6315676393197</v>
      </c>
      <c r="L294" s="2">
        <v>7150.3842214410997</v>
      </c>
      <c r="M294" s="2">
        <v>5905.8819485506201</v>
      </c>
      <c r="N294" s="3">
        <f t="shared" si="12"/>
        <v>44226.256140598169</v>
      </c>
      <c r="O294" s="2">
        <v>0</v>
      </c>
      <c r="P294" s="2">
        <v>2.2613257105767701</v>
      </c>
      <c r="Q294" s="2">
        <v>1.49612187882845</v>
      </c>
      <c r="R294" s="2">
        <v>4.5221228160432902</v>
      </c>
      <c r="S294" s="2">
        <v>2.31253376664759</v>
      </c>
      <c r="T294" s="2">
        <v>4.5393443680191696</v>
      </c>
      <c r="U294" s="2">
        <v>0.89182448390845204</v>
      </c>
      <c r="V294" s="2">
        <v>6.1297818700428301</v>
      </c>
      <c r="W294" s="2">
        <v>0.92671528738257203</v>
      </c>
      <c r="X294" s="2">
        <v>3.5737998267049602</v>
      </c>
      <c r="Y294" s="2">
        <v>7.2691733793082296</v>
      </c>
      <c r="Z294" s="2">
        <v>1.0979109181002999</v>
      </c>
      <c r="AA294" s="3">
        <f t="shared" si="13"/>
        <v>35.020654305562608</v>
      </c>
      <c r="AB294" t="s">
        <v>45</v>
      </c>
      <c r="AC294">
        <v>50.42</v>
      </c>
      <c r="AD294">
        <v>10.14</v>
      </c>
      <c r="AE294">
        <v>64.16</v>
      </c>
      <c r="AF294">
        <v>41.45</v>
      </c>
      <c r="AG294">
        <v>28.76</v>
      </c>
      <c r="AH294">
        <v>56.18</v>
      </c>
      <c r="AI294">
        <v>36.880000000000003</v>
      </c>
      <c r="AJ294">
        <v>28.1</v>
      </c>
      <c r="AK294">
        <v>37.770000000000003</v>
      </c>
      <c r="AL294">
        <v>59.33</v>
      </c>
      <c r="AM294">
        <v>81.900000000000006</v>
      </c>
      <c r="AN294">
        <v>69.150000000000006</v>
      </c>
      <c r="AO294" s="1">
        <f t="shared" si="14"/>
        <v>564.24</v>
      </c>
    </row>
    <row r="295" spans="1:41" x14ac:dyDescent="0.25">
      <c r="A295" t="s">
        <v>338</v>
      </c>
      <c r="B295" s="2">
        <v>4035.1084231837899</v>
      </c>
      <c r="C295" s="2">
        <v>3591.31116523524</v>
      </c>
      <c r="D295" s="2">
        <v>0</v>
      </c>
      <c r="E295" s="2">
        <v>6769.2836180426202</v>
      </c>
      <c r="F295" s="2">
        <v>2049.74653135886</v>
      </c>
      <c r="G295" s="2">
        <v>5357.6603261513401</v>
      </c>
      <c r="H295" s="2">
        <v>3449.0243444882899</v>
      </c>
      <c r="I295" s="2">
        <v>1151.8432724377001</v>
      </c>
      <c r="J295" s="2">
        <v>1313.2142591757599</v>
      </c>
      <c r="K295" s="2">
        <v>1003.51016577266</v>
      </c>
      <c r="L295" s="2">
        <v>160.08787246285499</v>
      </c>
      <c r="M295" s="2">
        <v>1211.0498053721001</v>
      </c>
      <c r="N295" s="3">
        <f t="shared" si="12"/>
        <v>30091.839783681218</v>
      </c>
      <c r="O295" s="2">
        <v>3.04237830238295</v>
      </c>
      <c r="P295" s="2">
        <v>18.891717249585799</v>
      </c>
      <c r="Q295" s="2">
        <v>1.5422820494531599</v>
      </c>
      <c r="R295" s="2">
        <v>2.8041825429941101</v>
      </c>
      <c r="S295" s="2">
        <v>0</v>
      </c>
      <c r="T295" s="2">
        <v>3.9458328304424599</v>
      </c>
      <c r="U295" s="2">
        <v>4.5345369912921498</v>
      </c>
      <c r="V295" s="2">
        <v>0</v>
      </c>
      <c r="W295" s="2">
        <v>0.16528821193096399</v>
      </c>
      <c r="X295" s="2">
        <v>2.9942137813487699</v>
      </c>
      <c r="Y295" s="2">
        <v>0.21242242577649001</v>
      </c>
      <c r="Z295" s="2">
        <v>0.315852518058926</v>
      </c>
      <c r="AA295" s="3">
        <f t="shared" si="13"/>
        <v>38.448706903265773</v>
      </c>
      <c r="AB295" t="s">
        <v>63</v>
      </c>
      <c r="AC295">
        <v>81.08</v>
      </c>
      <c r="AD295">
        <v>73.55</v>
      </c>
      <c r="AE295">
        <v>0.18</v>
      </c>
      <c r="AF295">
        <v>135.66999999999999</v>
      </c>
      <c r="AG295">
        <v>41</v>
      </c>
      <c r="AH295">
        <v>107.52</v>
      </c>
      <c r="AI295">
        <v>69.45</v>
      </c>
      <c r="AJ295">
        <v>23.04</v>
      </c>
      <c r="AK295">
        <v>26.37</v>
      </c>
      <c r="AL295">
        <v>20.350000000000001</v>
      </c>
      <c r="AM295">
        <v>3.31</v>
      </c>
      <c r="AN295">
        <v>24.33</v>
      </c>
      <c r="AO295" s="1">
        <f t="shared" si="14"/>
        <v>605.85</v>
      </c>
    </row>
    <row r="296" spans="1:41" x14ac:dyDescent="0.25">
      <c r="A296" t="s">
        <v>339</v>
      </c>
      <c r="B296" s="2">
        <v>4025.3634127762198</v>
      </c>
      <c r="C296" s="2">
        <v>4109.8141752677802</v>
      </c>
      <c r="D296" s="2">
        <v>5570.8267063802596</v>
      </c>
      <c r="E296" s="2">
        <v>5864.7040750065498</v>
      </c>
      <c r="F296" s="2">
        <v>156.71746165296099</v>
      </c>
      <c r="G296" s="2">
        <v>4462.6331585530297</v>
      </c>
      <c r="H296" s="2">
        <v>5054.4814480916302</v>
      </c>
      <c r="I296" s="2">
        <v>4420.9057359664503</v>
      </c>
      <c r="J296" s="2">
        <v>4790.9736459570804</v>
      </c>
      <c r="K296" s="2">
        <v>328.44424448782598</v>
      </c>
      <c r="L296" s="2">
        <v>2978.6788583053099</v>
      </c>
      <c r="M296" s="2">
        <v>5716.4855872030703</v>
      </c>
      <c r="N296" s="3">
        <f t="shared" si="12"/>
        <v>47480.028509648168</v>
      </c>
      <c r="O296" s="2">
        <v>3.5333967101794399</v>
      </c>
      <c r="P296" s="2">
        <v>2.8197073868520501</v>
      </c>
      <c r="Q296" s="2">
        <v>9.0247790584198793</v>
      </c>
      <c r="R296" s="2">
        <v>11.147886670716</v>
      </c>
      <c r="S296" s="2">
        <v>2.2309656801560198</v>
      </c>
      <c r="T296" s="2">
        <v>7.2177765832303296</v>
      </c>
      <c r="U296" s="2">
        <v>7.7276606250920503</v>
      </c>
      <c r="V296" s="2">
        <v>9.6273466931372305</v>
      </c>
      <c r="W296" s="2">
        <v>0.176440174013097</v>
      </c>
      <c r="X296" s="2">
        <v>2.7375522371752199</v>
      </c>
      <c r="Y296" s="2">
        <v>2.8682640831207298</v>
      </c>
      <c r="Z296" s="2">
        <v>8.5788618546459894</v>
      </c>
      <c r="AA296" s="3">
        <f t="shared" si="13"/>
        <v>67.690637756738028</v>
      </c>
      <c r="AB296" t="s">
        <v>45</v>
      </c>
      <c r="AC296">
        <v>50.45</v>
      </c>
      <c r="AD296">
        <v>51.24</v>
      </c>
      <c r="AE296">
        <v>66.2</v>
      </c>
      <c r="AF296">
        <v>69.239999999999995</v>
      </c>
      <c r="AG296">
        <v>11.71</v>
      </c>
      <c r="AH296">
        <v>55.02</v>
      </c>
      <c r="AI296">
        <v>60.94</v>
      </c>
      <c r="AJ296">
        <v>54.7</v>
      </c>
      <c r="AK296">
        <v>57.95</v>
      </c>
      <c r="AL296">
        <v>13.43</v>
      </c>
      <c r="AM296">
        <v>39.93</v>
      </c>
      <c r="AN296">
        <v>67.61</v>
      </c>
      <c r="AO296" s="1">
        <f t="shared" si="14"/>
        <v>598.41999999999996</v>
      </c>
    </row>
    <row r="297" spans="1:41" x14ac:dyDescent="0.25">
      <c r="A297" t="s">
        <v>340</v>
      </c>
      <c r="B297" s="2">
        <v>4023.4206527166002</v>
      </c>
      <c r="C297" s="2">
        <v>5441.2989293177097</v>
      </c>
      <c r="D297" s="2">
        <v>2208.5214314786099</v>
      </c>
      <c r="E297" s="2">
        <v>443.179309543437</v>
      </c>
      <c r="F297" s="2">
        <v>4736.0617505201499</v>
      </c>
      <c r="G297" s="2">
        <v>918.85048380980402</v>
      </c>
      <c r="H297" s="2">
        <v>1021.32046240586</v>
      </c>
      <c r="I297" s="2">
        <v>16195.2849135505</v>
      </c>
      <c r="J297" s="2">
        <v>2840.4464103436399</v>
      </c>
      <c r="K297" s="2">
        <v>4124.0436474319004</v>
      </c>
      <c r="L297" s="2">
        <v>2932.4084323891998</v>
      </c>
      <c r="M297" s="2">
        <v>4679.08636016931</v>
      </c>
      <c r="N297" s="3">
        <f t="shared" si="12"/>
        <v>49563.922783676724</v>
      </c>
      <c r="O297" s="2">
        <v>2.5616366276231299</v>
      </c>
      <c r="P297" s="2">
        <v>1.45071103843656</v>
      </c>
      <c r="Q297" s="2">
        <v>2.0280441661863202</v>
      </c>
      <c r="R297" s="2">
        <v>0.730142526839203</v>
      </c>
      <c r="S297" s="2">
        <v>1.42301755080202</v>
      </c>
      <c r="T297" s="2">
        <v>10.7122087068749</v>
      </c>
      <c r="U297" s="2">
        <v>3.8047710887274202</v>
      </c>
      <c r="V297" s="2">
        <v>3.7727168258592001</v>
      </c>
      <c r="W297" s="2">
        <v>10.7544451727439</v>
      </c>
      <c r="X297" s="2">
        <v>0</v>
      </c>
      <c r="Y297" s="2">
        <v>1.55288173799441</v>
      </c>
      <c r="Z297" s="2">
        <v>1.82662126659323</v>
      </c>
      <c r="AA297" s="3">
        <f t="shared" si="13"/>
        <v>40.617196708680289</v>
      </c>
      <c r="AB297" t="s">
        <v>45</v>
      </c>
      <c r="AC297">
        <v>50.38</v>
      </c>
      <c r="AD297">
        <v>64.510000000000005</v>
      </c>
      <c r="AE297">
        <v>32.229999999999997</v>
      </c>
      <c r="AF297">
        <v>14.48</v>
      </c>
      <c r="AG297">
        <v>57.46</v>
      </c>
      <c r="AH297">
        <v>19.73</v>
      </c>
      <c r="AI297">
        <v>20.41</v>
      </c>
      <c r="AJ297">
        <v>172.15</v>
      </c>
      <c r="AK297">
        <v>38.950000000000003</v>
      </c>
      <c r="AL297">
        <v>51.24</v>
      </c>
      <c r="AM297">
        <v>39.42</v>
      </c>
      <c r="AN297">
        <v>56.89</v>
      </c>
      <c r="AO297" s="1">
        <f t="shared" si="14"/>
        <v>617.84999999999991</v>
      </c>
    </row>
    <row r="298" spans="1:41" x14ac:dyDescent="0.25">
      <c r="A298" t="s">
        <v>341</v>
      </c>
      <c r="B298" s="2">
        <v>4016.7884356888198</v>
      </c>
      <c r="C298" s="2">
        <v>0</v>
      </c>
      <c r="D298" s="2">
        <v>5870.6474753295397</v>
      </c>
      <c r="E298" s="2">
        <v>3037.4643889280101</v>
      </c>
      <c r="F298" s="2">
        <v>6882.9040612794397</v>
      </c>
      <c r="G298" s="2">
        <v>0</v>
      </c>
      <c r="H298" s="2">
        <v>6397.21730584126</v>
      </c>
      <c r="I298" s="2">
        <v>15.6323666390873</v>
      </c>
      <c r="J298" s="2">
        <v>936.42667493641295</v>
      </c>
      <c r="K298" s="2">
        <v>1335.8625481663601</v>
      </c>
      <c r="L298" s="2">
        <v>7507.3065005430499</v>
      </c>
      <c r="M298" s="2">
        <v>4048.4813732303101</v>
      </c>
      <c r="N298" s="3">
        <f t="shared" si="12"/>
        <v>40048.731130582288</v>
      </c>
      <c r="O298" s="2">
        <v>0.95999311585607305</v>
      </c>
      <c r="P298" s="2">
        <v>0.86482406515852595</v>
      </c>
      <c r="Q298" s="2">
        <v>8.3241797808070803</v>
      </c>
      <c r="R298" s="2">
        <v>1.4795398349398099</v>
      </c>
      <c r="S298" s="2">
        <v>7.5196886756727004</v>
      </c>
      <c r="T298" s="2">
        <v>8.3857613633589505</v>
      </c>
      <c r="U298" s="2">
        <v>1.83978858623866</v>
      </c>
      <c r="V298" s="2">
        <v>10.925042257266799</v>
      </c>
      <c r="W298" s="2">
        <v>1.77611204284486</v>
      </c>
      <c r="X298" s="2">
        <v>13.3594164226831</v>
      </c>
      <c r="Y298" s="2">
        <v>0</v>
      </c>
      <c r="Z298" s="2">
        <v>3.9020210525702201</v>
      </c>
      <c r="AA298" s="3">
        <f t="shared" si="13"/>
        <v>59.336367197396783</v>
      </c>
      <c r="AB298" t="s">
        <v>45</v>
      </c>
      <c r="AC298">
        <v>50.21</v>
      </c>
      <c r="AD298">
        <v>10.039999999999999</v>
      </c>
      <c r="AE298">
        <v>69.150000000000006</v>
      </c>
      <c r="AF298">
        <v>40.47</v>
      </c>
      <c r="AG298">
        <v>79.22</v>
      </c>
      <c r="AH298">
        <v>10.44</v>
      </c>
      <c r="AI298">
        <v>74.069999999999993</v>
      </c>
      <c r="AJ298">
        <v>10.7</v>
      </c>
      <c r="AK298">
        <v>19.46</v>
      </c>
      <c r="AL298">
        <v>24.05</v>
      </c>
      <c r="AM298">
        <v>85.07</v>
      </c>
      <c r="AN298">
        <v>50.68</v>
      </c>
      <c r="AO298" s="1">
        <f t="shared" si="14"/>
        <v>523.55999999999995</v>
      </c>
    </row>
    <row r="299" spans="1:41" x14ac:dyDescent="0.25">
      <c r="A299" t="s">
        <v>342</v>
      </c>
      <c r="B299" s="2">
        <v>4015.87983158508</v>
      </c>
      <c r="C299" s="2">
        <v>184.32278621328101</v>
      </c>
      <c r="D299" s="2">
        <v>7708.2103082128497</v>
      </c>
      <c r="E299" s="2">
        <v>3606.2607566485999</v>
      </c>
      <c r="F299" s="2">
        <v>9177.1778776531792</v>
      </c>
      <c r="G299" s="2">
        <v>8930.87774616967</v>
      </c>
      <c r="H299" s="2">
        <v>117.230677204952</v>
      </c>
      <c r="I299" s="2">
        <v>2633.3358858474999</v>
      </c>
      <c r="J299" s="2">
        <v>1356.41057413256</v>
      </c>
      <c r="K299" s="2">
        <v>5220.0991065430098</v>
      </c>
      <c r="L299" s="2">
        <v>2868.6893513038599</v>
      </c>
      <c r="M299" s="2">
        <v>10432.0828687882</v>
      </c>
      <c r="N299" s="3">
        <f t="shared" si="12"/>
        <v>56250.577770302734</v>
      </c>
      <c r="O299" s="2">
        <v>3.4646363182800601</v>
      </c>
      <c r="P299" s="2">
        <v>6.3939929009738599</v>
      </c>
      <c r="Q299" s="2">
        <v>1.5753235739974301</v>
      </c>
      <c r="R299" s="2">
        <v>0</v>
      </c>
      <c r="S299" s="2">
        <v>2.9160781631283799</v>
      </c>
      <c r="T299" s="2">
        <v>0</v>
      </c>
      <c r="U299" s="2">
        <v>3.54408831039505</v>
      </c>
      <c r="V299" s="2">
        <v>0.22583458708794901</v>
      </c>
      <c r="W299" s="2">
        <v>0.91351035144797899</v>
      </c>
      <c r="X299" s="2">
        <v>0.14659585299386099</v>
      </c>
      <c r="Y299" s="2">
        <v>2.58431431761765</v>
      </c>
      <c r="Z299" s="2">
        <v>2.0559882355876198</v>
      </c>
      <c r="AA299" s="3">
        <f t="shared" si="13"/>
        <v>23.820362611509839</v>
      </c>
      <c r="AB299" t="s">
        <v>45</v>
      </c>
      <c r="AC299">
        <v>50.35</v>
      </c>
      <c r="AD299">
        <v>12.19</v>
      </c>
      <c r="AE299">
        <v>87.18</v>
      </c>
      <c r="AF299">
        <v>46.06</v>
      </c>
      <c r="AG299">
        <v>101.92</v>
      </c>
      <c r="AH299">
        <v>99.3</v>
      </c>
      <c r="AI299">
        <v>11.37</v>
      </c>
      <c r="AJ299">
        <v>36.380000000000003</v>
      </c>
      <c r="AK299">
        <v>23.61</v>
      </c>
      <c r="AL299">
        <v>62.25</v>
      </c>
      <c r="AM299">
        <v>38.83</v>
      </c>
      <c r="AN299">
        <v>114.47</v>
      </c>
      <c r="AO299" s="1">
        <f t="shared" si="14"/>
        <v>683.91000000000008</v>
      </c>
    </row>
    <row r="300" spans="1:41" x14ac:dyDescent="0.25">
      <c r="A300" t="s">
        <v>343</v>
      </c>
      <c r="B300" s="2">
        <v>4009.6073844667199</v>
      </c>
      <c r="C300" s="2">
        <v>3319.2989695472002</v>
      </c>
      <c r="D300" s="2">
        <v>3701.63253311977</v>
      </c>
      <c r="E300" s="2">
        <v>6473.3067100466296</v>
      </c>
      <c r="F300" s="2">
        <v>1618.9640597424</v>
      </c>
      <c r="G300" s="2">
        <v>4473.56717296224</v>
      </c>
      <c r="H300" s="2">
        <v>186.731987700188</v>
      </c>
      <c r="I300" s="2">
        <v>2466.0422337906598</v>
      </c>
      <c r="J300" s="2">
        <v>2712.0373353469899</v>
      </c>
      <c r="K300" s="2">
        <v>1575.8304229064299</v>
      </c>
      <c r="L300" s="2">
        <v>2137.8515653406098</v>
      </c>
      <c r="M300" s="2">
        <v>7035.3419322480004</v>
      </c>
      <c r="N300" s="3">
        <f t="shared" si="12"/>
        <v>39710.212307217836</v>
      </c>
      <c r="O300" s="2">
        <v>4.7867800022197402</v>
      </c>
      <c r="P300" s="2">
        <v>4.4356637428302097</v>
      </c>
      <c r="Q300" s="2">
        <v>6.1772453651720296</v>
      </c>
      <c r="R300" s="2">
        <v>0.64824583614571396</v>
      </c>
      <c r="S300" s="2">
        <v>1.57529349295715</v>
      </c>
      <c r="T300" s="2">
        <v>6.24755848051913</v>
      </c>
      <c r="U300" s="2">
        <v>10.355124227816299</v>
      </c>
      <c r="V300" s="2">
        <v>0.25464973357110698</v>
      </c>
      <c r="W300" s="2">
        <v>3.0670983943679602</v>
      </c>
      <c r="X300" s="2">
        <v>0.25457190986126899</v>
      </c>
      <c r="Y300" s="2">
        <v>1.40764823078413</v>
      </c>
      <c r="Z300" s="2">
        <v>0.412154740120313</v>
      </c>
      <c r="AA300" s="3">
        <f t="shared" si="13"/>
        <v>39.622034156365061</v>
      </c>
      <c r="AB300" t="s">
        <v>45</v>
      </c>
      <c r="AC300">
        <v>50.34</v>
      </c>
      <c r="AD300">
        <v>43.44</v>
      </c>
      <c r="AE300">
        <v>47.36</v>
      </c>
      <c r="AF300">
        <v>74.78</v>
      </c>
      <c r="AG300">
        <v>26.28</v>
      </c>
      <c r="AH300">
        <v>55.08</v>
      </c>
      <c r="AI300">
        <v>12.41</v>
      </c>
      <c r="AJ300">
        <v>34.71</v>
      </c>
      <c r="AK300">
        <v>37.32</v>
      </c>
      <c r="AL300">
        <v>25.8</v>
      </c>
      <c r="AM300">
        <v>31.47</v>
      </c>
      <c r="AN300">
        <v>80.400000000000006</v>
      </c>
      <c r="AO300" s="1">
        <f t="shared" si="14"/>
        <v>519.39</v>
      </c>
    </row>
    <row r="301" spans="1:41" x14ac:dyDescent="0.25">
      <c r="A301" t="s">
        <v>344</v>
      </c>
      <c r="B301" s="2">
        <v>4005.7086612941398</v>
      </c>
      <c r="C301" s="2">
        <v>0</v>
      </c>
      <c r="D301" s="2">
        <v>4419.3665481367998</v>
      </c>
      <c r="E301" s="2">
        <v>486.57545234033898</v>
      </c>
      <c r="F301" s="2">
        <v>3237.2197083204401</v>
      </c>
      <c r="G301" s="2">
        <v>901.36089778672795</v>
      </c>
      <c r="H301" s="2">
        <v>5243.4649759370304</v>
      </c>
      <c r="I301" s="2">
        <v>0</v>
      </c>
      <c r="J301" s="2">
        <v>576.71517009430795</v>
      </c>
      <c r="K301" s="2">
        <v>1631.4970702230401</v>
      </c>
      <c r="L301" s="2">
        <v>594.92880675260301</v>
      </c>
      <c r="M301" s="2">
        <v>5826.0881667809699</v>
      </c>
      <c r="N301" s="3">
        <f t="shared" si="12"/>
        <v>26922.925457666395</v>
      </c>
      <c r="O301" s="2">
        <v>1.37356308140931</v>
      </c>
      <c r="P301" s="2">
        <v>2.13209228250359</v>
      </c>
      <c r="Q301" s="2">
        <v>0.58916462893080102</v>
      </c>
      <c r="R301" s="2">
        <v>6.3147983788027497</v>
      </c>
      <c r="S301" s="2">
        <v>8.7956761760789508</v>
      </c>
      <c r="T301" s="2">
        <v>7.8647738409337196</v>
      </c>
      <c r="U301" s="2">
        <v>1.80089230095997</v>
      </c>
      <c r="V301" s="2">
        <v>2.2175795067672999</v>
      </c>
      <c r="W301" s="2">
        <v>3.8448562135253099</v>
      </c>
      <c r="X301" s="2">
        <v>6.4767789184256603</v>
      </c>
      <c r="Y301" s="2">
        <v>21.3523653710132</v>
      </c>
      <c r="Z301" s="2">
        <v>1.52536777879301</v>
      </c>
      <c r="AA301" s="3">
        <f t="shared" si="13"/>
        <v>64.287908478143564</v>
      </c>
      <c r="AB301" t="s">
        <v>63</v>
      </c>
      <c r="AC301">
        <v>80.3</v>
      </c>
      <c r="AD301">
        <v>0.27</v>
      </c>
      <c r="AE301">
        <v>88.49</v>
      </c>
      <c r="AF301">
        <v>10.37</v>
      </c>
      <c r="AG301">
        <v>65.569999999999993</v>
      </c>
      <c r="AH301">
        <v>18.760000000000002</v>
      </c>
      <c r="AI301">
        <v>105.06</v>
      </c>
      <c r="AJ301">
        <v>0.27</v>
      </c>
      <c r="AK301">
        <v>11.9</v>
      </c>
      <c r="AL301">
        <v>33.270000000000003</v>
      </c>
      <c r="AM301">
        <v>13.88</v>
      </c>
      <c r="AN301">
        <v>116.72</v>
      </c>
      <c r="AO301" s="1">
        <f t="shared" si="14"/>
        <v>544.8599999999999</v>
      </c>
    </row>
    <row r="302" spans="1:41" x14ac:dyDescent="0.25">
      <c r="A302" t="s">
        <v>345</v>
      </c>
      <c r="B302" s="2">
        <v>3975.49261343939</v>
      </c>
      <c r="C302" s="2">
        <v>2906.8272474226701</v>
      </c>
      <c r="D302" s="2">
        <v>8225.8488549691501</v>
      </c>
      <c r="E302" s="2">
        <v>473.87737754300701</v>
      </c>
      <c r="F302" s="2">
        <v>557.83767521716095</v>
      </c>
      <c r="G302" s="2">
        <v>2486.1564674129099</v>
      </c>
      <c r="H302" s="2">
        <v>1341.77820185781</v>
      </c>
      <c r="I302" s="2">
        <v>2855.5649822485002</v>
      </c>
      <c r="J302" s="2">
        <v>0</v>
      </c>
      <c r="K302" s="2">
        <v>0</v>
      </c>
      <c r="L302" s="2">
        <v>2944.06038114174</v>
      </c>
      <c r="M302" s="2">
        <v>10189.350919570999</v>
      </c>
      <c r="N302" s="3">
        <f t="shared" si="12"/>
        <v>35956.794720823338</v>
      </c>
      <c r="O302" s="2">
        <v>4.1506566471654001</v>
      </c>
      <c r="P302" s="2">
        <v>1.5377883928505001</v>
      </c>
      <c r="Q302" s="2">
        <v>5.1195190621798901</v>
      </c>
      <c r="R302" s="2">
        <v>2.3634756825577199</v>
      </c>
      <c r="S302" s="2">
        <v>0.112566299264297</v>
      </c>
      <c r="T302" s="2">
        <v>2.1993504884641202</v>
      </c>
      <c r="U302" s="2">
        <v>7.8494893580340701</v>
      </c>
      <c r="V302" s="2">
        <v>1.39315302705118</v>
      </c>
      <c r="W302" s="2">
        <v>6.6242702339192396</v>
      </c>
      <c r="X302" s="2">
        <v>0</v>
      </c>
      <c r="Y302" s="2">
        <v>4.2726842345577003</v>
      </c>
      <c r="Z302" s="2">
        <v>1.94734499875169</v>
      </c>
      <c r="AA302" s="3">
        <f t="shared" si="13"/>
        <v>37.570298424795801</v>
      </c>
      <c r="AB302" t="s">
        <v>63</v>
      </c>
      <c r="AC302">
        <v>79.97</v>
      </c>
      <c r="AD302">
        <v>58.32</v>
      </c>
      <c r="AE302">
        <v>165.06</v>
      </c>
      <c r="AF302">
        <v>9.75</v>
      </c>
      <c r="AG302">
        <v>11.25</v>
      </c>
      <c r="AH302">
        <v>50.01</v>
      </c>
      <c r="AI302">
        <v>27.56</v>
      </c>
      <c r="AJ302">
        <v>57.3</v>
      </c>
      <c r="AK302">
        <v>0.63</v>
      </c>
      <c r="AL302">
        <v>0</v>
      </c>
      <c r="AM302">
        <v>59.35</v>
      </c>
      <c r="AN302">
        <v>203.98</v>
      </c>
      <c r="AO302" s="1">
        <f t="shared" si="14"/>
        <v>723.18000000000006</v>
      </c>
    </row>
    <row r="303" spans="1:41" x14ac:dyDescent="0.25">
      <c r="A303" t="s">
        <v>346</v>
      </c>
      <c r="B303" s="2">
        <v>3960.4522720551199</v>
      </c>
      <c r="C303" s="2">
        <v>2278.6898233871002</v>
      </c>
      <c r="D303" s="2">
        <v>2020.2329292117399</v>
      </c>
      <c r="E303" s="2">
        <v>7265.6493198586104</v>
      </c>
      <c r="F303" s="2">
        <v>8534.8666467974999</v>
      </c>
      <c r="G303" s="2">
        <v>2476.5262432243699</v>
      </c>
      <c r="H303" s="2">
        <v>2723.84315919148</v>
      </c>
      <c r="I303" s="2">
        <v>1761.7212938131199</v>
      </c>
      <c r="J303" s="2">
        <v>2784.4503773649799</v>
      </c>
      <c r="K303" s="2">
        <v>11608.6424027466</v>
      </c>
      <c r="L303" s="2">
        <v>2990.6119687238202</v>
      </c>
      <c r="M303" s="2">
        <v>372.40841638831199</v>
      </c>
      <c r="N303" s="3">
        <f t="shared" si="12"/>
        <v>48778.094852762748</v>
      </c>
      <c r="O303" s="2">
        <v>0</v>
      </c>
      <c r="P303" s="2">
        <v>1.22583417728955</v>
      </c>
      <c r="Q303" s="2">
        <v>0.68178134215810604</v>
      </c>
      <c r="R303" s="2">
        <v>0</v>
      </c>
      <c r="S303" s="2">
        <v>1.5831427986436399</v>
      </c>
      <c r="T303" s="2">
        <v>2.3077307190868299</v>
      </c>
      <c r="U303" s="2">
        <v>1.2698505737336701</v>
      </c>
      <c r="V303" s="2">
        <v>3.1303248633130898</v>
      </c>
      <c r="W303" s="2">
        <v>4.02079948172039</v>
      </c>
      <c r="X303" s="2">
        <v>5.9912370819807199</v>
      </c>
      <c r="Y303" s="2">
        <v>0</v>
      </c>
      <c r="Z303" s="2">
        <v>4.8759186029980199</v>
      </c>
      <c r="AA303" s="3">
        <f t="shared" si="13"/>
        <v>25.086619640924017</v>
      </c>
      <c r="AB303" t="s">
        <v>45</v>
      </c>
      <c r="AC303">
        <v>49.6</v>
      </c>
      <c r="AD303">
        <v>32.880000000000003</v>
      </c>
      <c r="AE303">
        <v>30.25</v>
      </c>
      <c r="AF303">
        <v>82.65</v>
      </c>
      <c r="AG303">
        <v>95.44</v>
      </c>
      <c r="AH303">
        <v>34.909999999999997</v>
      </c>
      <c r="AI303">
        <v>37.33</v>
      </c>
      <c r="AJ303">
        <v>27.81</v>
      </c>
      <c r="AK303">
        <v>38.090000000000003</v>
      </c>
      <c r="AL303">
        <v>126.38</v>
      </c>
      <c r="AM303">
        <v>39.9</v>
      </c>
      <c r="AN303">
        <v>13.97</v>
      </c>
      <c r="AO303" s="1">
        <f t="shared" si="14"/>
        <v>609.21</v>
      </c>
    </row>
    <row r="304" spans="1:41" x14ac:dyDescent="0.25">
      <c r="A304" t="s">
        <v>347</v>
      </c>
      <c r="B304" s="2">
        <v>3939.5939632559898</v>
      </c>
      <c r="C304" s="2">
        <v>4170.7066887925403</v>
      </c>
      <c r="D304" s="2">
        <v>190.691327131153</v>
      </c>
      <c r="E304" s="2">
        <v>4398.8618050320401</v>
      </c>
      <c r="F304" s="2">
        <v>3909.58352255298</v>
      </c>
      <c r="G304" s="2">
        <v>2557.0769040117698</v>
      </c>
      <c r="H304" s="2">
        <v>582.29389470645799</v>
      </c>
      <c r="I304" s="2">
        <v>1377.5037444582799</v>
      </c>
      <c r="J304" s="2">
        <v>3335.24091534844</v>
      </c>
      <c r="K304" s="2">
        <v>2349.1514138391499</v>
      </c>
      <c r="L304" s="2">
        <v>773.7593798872</v>
      </c>
      <c r="M304" s="2">
        <v>2004.3291010010801</v>
      </c>
      <c r="N304" s="3">
        <f t="shared" si="12"/>
        <v>29588.792660017083</v>
      </c>
      <c r="O304" s="2">
        <v>1.1317684907407</v>
      </c>
      <c r="P304" s="2">
        <v>6.8556817468805997</v>
      </c>
      <c r="Q304" s="2">
        <v>0</v>
      </c>
      <c r="R304" s="2">
        <v>5.3831748780162698</v>
      </c>
      <c r="S304" s="2">
        <v>0</v>
      </c>
      <c r="T304" s="2">
        <v>3.6294447554604901</v>
      </c>
      <c r="U304" s="2">
        <v>17.826310161458998</v>
      </c>
      <c r="V304" s="2">
        <v>0</v>
      </c>
      <c r="W304" s="2">
        <v>2.8638596285924098</v>
      </c>
      <c r="X304" s="2">
        <v>2.5273505834672898</v>
      </c>
      <c r="Y304" s="2">
        <v>8.5704325832704598</v>
      </c>
      <c r="Z304" s="2">
        <v>9.0436159126663593</v>
      </c>
      <c r="AA304" s="3">
        <f t="shared" si="13"/>
        <v>57.831638740553572</v>
      </c>
      <c r="AB304" t="s">
        <v>63</v>
      </c>
      <c r="AC304">
        <v>78.98</v>
      </c>
      <c r="AD304">
        <v>84.05</v>
      </c>
      <c r="AE304">
        <v>3.82</v>
      </c>
      <c r="AF304">
        <v>88.52</v>
      </c>
      <c r="AG304">
        <v>78.2</v>
      </c>
      <c r="AH304">
        <v>51.52</v>
      </c>
      <c r="AI304">
        <v>13.28</v>
      </c>
      <c r="AJ304">
        <v>27.56</v>
      </c>
      <c r="AK304">
        <v>66.989999999999995</v>
      </c>
      <c r="AL304">
        <v>47.27</v>
      </c>
      <c r="AM304">
        <v>16.29</v>
      </c>
      <c r="AN304">
        <v>41</v>
      </c>
      <c r="AO304" s="1">
        <f t="shared" si="14"/>
        <v>597.4799999999999</v>
      </c>
    </row>
    <row r="305" spans="1:41" x14ac:dyDescent="0.25">
      <c r="A305" t="s">
        <v>348</v>
      </c>
      <c r="B305" s="2">
        <v>3930.6980110475602</v>
      </c>
      <c r="C305" s="2">
        <v>5645.7080949940801</v>
      </c>
      <c r="D305" s="2">
        <v>10101.331852554</v>
      </c>
      <c r="E305" s="2">
        <v>8435.8403262905395</v>
      </c>
      <c r="F305" s="2">
        <v>10428.7478668452</v>
      </c>
      <c r="G305" s="2">
        <v>716.46573014824799</v>
      </c>
      <c r="H305" s="2">
        <v>3569.3408116811302</v>
      </c>
      <c r="I305" s="2">
        <v>682.95081950231202</v>
      </c>
      <c r="J305" s="2">
        <v>452.86850794416802</v>
      </c>
      <c r="K305" s="2">
        <v>5890.09276413722</v>
      </c>
      <c r="L305" s="2">
        <v>1180.5567742975099</v>
      </c>
      <c r="M305" s="2">
        <v>9749.5649211800301</v>
      </c>
      <c r="N305" s="3">
        <f t="shared" si="12"/>
        <v>60784.166480622007</v>
      </c>
      <c r="O305" s="2">
        <v>18.336445965564501</v>
      </c>
      <c r="P305" s="2">
        <v>1.2168080127638099</v>
      </c>
      <c r="Q305" s="2">
        <v>0.94297841594419796</v>
      </c>
      <c r="R305" s="2">
        <v>0</v>
      </c>
      <c r="S305" s="2">
        <v>4.9856574787808903</v>
      </c>
      <c r="T305" s="2">
        <v>4.9121034806364703</v>
      </c>
      <c r="U305" s="2">
        <v>7.1496689616102902</v>
      </c>
      <c r="V305" s="2">
        <v>0.41832286564207899</v>
      </c>
      <c r="W305" s="2">
        <v>5.4415219500332803</v>
      </c>
      <c r="X305" s="2">
        <v>4.3696401951196</v>
      </c>
      <c r="Y305" s="2">
        <v>1.53014987610145</v>
      </c>
      <c r="Z305" s="2">
        <v>2.0453679937560301</v>
      </c>
      <c r="AA305" s="3">
        <f t="shared" si="13"/>
        <v>51.348665195952606</v>
      </c>
      <c r="AB305" t="s">
        <v>45</v>
      </c>
      <c r="AC305">
        <v>50.25</v>
      </c>
      <c r="AD305">
        <v>66.55</v>
      </c>
      <c r="AE305">
        <v>111.06</v>
      </c>
      <c r="AF305">
        <v>94.35</v>
      </c>
      <c r="AG305">
        <v>114.53</v>
      </c>
      <c r="AH305">
        <v>17.41</v>
      </c>
      <c r="AI305">
        <v>46.09</v>
      </c>
      <c r="AJ305">
        <v>16.87</v>
      </c>
      <c r="AK305">
        <v>14.82</v>
      </c>
      <c r="AL305">
        <v>69.150000000000006</v>
      </c>
      <c r="AM305">
        <v>21.9</v>
      </c>
      <c r="AN305">
        <v>107.64</v>
      </c>
      <c r="AO305" s="1">
        <f t="shared" si="14"/>
        <v>730.62</v>
      </c>
    </row>
    <row r="306" spans="1:41" x14ac:dyDescent="0.25">
      <c r="A306" t="s">
        <v>349</v>
      </c>
      <c r="B306" s="2">
        <v>3929.3726621430101</v>
      </c>
      <c r="C306" s="2">
        <v>959.38230601028204</v>
      </c>
      <c r="D306" s="2">
        <v>2546.1343816455601</v>
      </c>
      <c r="E306" s="2">
        <v>2348.09666613332</v>
      </c>
      <c r="F306" s="2">
        <v>3156.4849780842601</v>
      </c>
      <c r="G306" s="2">
        <v>2154.56784468469</v>
      </c>
      <c r="H306" s="2">
        <v>17931.204642008601</v>
      </c>
      <c r="I306" s="2">
        <v>779.21301715512595</v>
      </c>
      <c r="J306" s="2">
        <v>3736.2505077528399</v>
      </c>
      <c r="K306" s="2">
        <v>7898.5803299921499</v>
      </c>
      <c r="L306" s="2">
        <v>3673.3326647045301</v>
      </c>
      <c r="M306" s="2">
        <v>2226.76843000389</v>
      </c>
      <c r="N306" s="3">
        <f t="shared" si="12"/>
        <v>51339.388430318264</v>
      </c>
      <c r="O306" s="2">
        <v>5.5169820944527999</v>
      </c>
      <c r="P306" s="2">
        <v>3.2504611182088499</v>
      </c>
      <c r="Q306" s="2">
        <v>3.9466113899125701</v>
      </c>
      <c r="R306" s="2">
        <v>6.2808139001260903</v>
      </c>
      <c r="S306" s="2">
        <v>0</v>
      </c>
      <c r="T306" s="2">
        <v>2.2170114819995601</v>
      </c>
      <c r="U306" s="2">
        <v>5.95058394751132</v>
      </c>
      <c r="V306" s="2">
        <v>3.1390946600465499</v>
      </c>
      <c r="W306" s="2">
        <v>7.9804364813338502</v>
      </c>
      <c r="X306" s="2">
        <v>0</v>
      </c>
      <c r="Y306" s="2">
        <v>4.4418517043273598</v>
      </c>
      <c r="Z306" s="2">
        <v>1.77070351334576</v>
      </c>
      <c r="AA306" s="3">
        <f t="shared" si="13"/>
        <v>44.494550291264709</v>
      </c>
      <c r="AB306" t="s">
        <v>45</v>
      </c>
      <c r="AC306">
        <v>49.59</v>
      </c>
      <c r="AD306">
        <v>19.79</v>
      </c>
      <c r="AE306">
        <v>35.659999999999997</v>
      </c>
      <c r="AF306">
        <v>33.83</v>
      </c>
      <c r="AG306">
        <v>41.56</v>
      </c>
      <c r="AH306">
        <v>31.69</v>
      </c>
      <c r="AI306">
        <v>189.61</v>
      </c>
      <c r="AJ306">
        <v>17.989999999999998</v>
      </c>
      <c r="AK306">
        <v>47.76</v>
      </c>
      <c r="AL306">
        <v>88.98</v>
      </c>
      <c r="AM306">
        <v>46.98</v>
      </c>
      <c r="AN306">
        <v>32.36</v>
      </c>
      <c r="AO306" s="1">
        <f t="shared" si="14"/>
        <v>635.80000000000007</v>
      </c>
    </row>
    <row r="307" spans="1:41" x14ac:dyDescent="0.25">
      <c r="A307" t="s">
        <v>350</v>
      </c>
      <c r="B307" s="2">
        <v>3924.40593844144</v>
      </c>
      <c r="C307" s="2">
        <v>4330.2562191259603</v>
      </c>
      <c r="D307" s="2">
        <v>6558.7963538858103</v>
      </c>
      <c r="E307" s="2">
        <v>3972.20836113626</v>
      </c>
      <c r="F307" s="2">
        <v>1539.7452582574699</v>
      </c>
      <c r="G307" s="2">
        <v>2929.9012617460498</v>
      </c>
      <c r="H307" s="2">
        <v>13440.394154748299</v>
      </c>
      <c r="I307" s="2">
        <v>2043.1479270667701</v>
      </c>
      <c r="J307" s="2">
        <v>10393.754579156701</v>
      </c>
      <c r="K307" s="2">
        <v>6450.9202723640001</v>
      </c>
      <c r="L307" s="2">
        <v>3299.9385470682901</v>
      </c>
      <c r="M307" s="2">
        <v>1868.9662926437099</v>
      </c>
      <c r="N307" s="3">
        <f t="shared" si="12"/>
        <v>60752.43516564076</v>
      </c>
      <c r="O307" s="2">
        <v>7.3949228763413197</v>
      </c>
      <c r="P307" s="2">
        <v>3.7652040775933502</v>
      </c>
      <c r="Q307" s="2">
        <v>3.85837164354857</v>
      </c>
      <c r="R307" s="2">
        <v>3.5809161502620399</v>
      </c>
      <c r="S307" s="2">
        <v>1.95969036855942</v>
      </c>
      <c r="T307" s="2">
        <v>0.32273387485677102</v>
      </c>
      <c r="U307" s="2">
        <v>4.8158770953764103</v>
      </c>
      <c r="V307" s="2">
        <v>1.68641085952228</v>
      </c>
      <c r="W307" s="2">
        <v>3.5635495035541598</v>
      </c>
      <c r="X307" s="2">
        <v>1.41408186935928</v>
      </c>
      <c r="Y307" s="2">
        <v>3.6308002473777501</v>
      </c>
      <c r="Z307" s="2">
        <v>0.22024560036951299</v>
      </c>
      <c r="AA307" s="3">
        <f t="shared" si="13"/>
        <v>36.212804166720872</v>
      </c>
      <c r="AB307" t="s">
        <v>63</v>
      </c>
      <c r="AC307">
        <v>79.22</v>
      </c>
      <c r="AD307">
        <v>86.98</v>
      </c>
      <c r="AE307">
        <v>131.54</v>
      </c>
      <c r="AF307">
        <v>79.819999999999993</v>
      </c>
      <c r="AG307">
        <v>30.98</v>
      </c>
      <c r="AH307">
        <v>58.69</v>
      </c>
      <c r="AI307">
        <v>269.27</v>
      </c>
      <c r="AJ307">
        <v>41.06</v>
      </c>
      <c r="AK307">
        <v>208.24</v>
      </c>
      <c r="AL307">
        <v>129.19999999999999</v>
      </c>
      <c r="AM307">
        <v>66.36</v>
      </c>
      <c r="AN307">
        <v>37.47</v>
      </c>
      <c r="AO307" s="1">
        <f t="shared" si="14"/>
        <v>1218.83</v>
      </c>
    </row>
    <row r="308" spans="1:41" x14ac:dyDescent="0.25">
      <c r="A308" t="s">
        <v>351</v>
      </c>
      <c r="B308" s="2">
        <v>3919.4001781911302</v>
      </c>
      <c r="C308" s="2">
        <v>0</v>
      </c>
      <c r="D308" s="2">
        <v>0</v>
      </c>
      <c r="E308" s="2">
        <v>8196.3123739030998</v>
      </c>
      <c r="F308" s="2">
        <v>8113.06672448463</v>
      </c>
      <c r="G308" s="2">
        <v>3106.1441136950002</v>
      </c>
      <c r="H308" s="2">
        <v>3329.74147493705</v>
      </c>
      <c r="I308" s="2">
        <v>5882.6533824835396</v>
      </c>
      <c r="J308" s="2">
        <v>103.863037693642</v>
      </c>
      <c r="K308" s="2">
        <v>4511.3900587572098</v>
      </c>
      <c r="L308" s="2">
        <v>2988.7400939650001</v>
      </c>
      <c r="M308" s="2">
        <v>5117.9599812780198</v>
      </c>
      <c r="N308" s="3">
        <f t="shared" si="12"/>
        <v>45269.271419388329</v>
      </c>
      <c r="O308" s="2">
        <v>0.43626055326409002</v>
      </c>
      <c r="P308" s="2">
        <v>6.6298385074289401</v>
      </c>
      <c r="Q308" s="2">
        <v>0.76884901733301503</v>
      </c>
      <c r="R308" s="2">
        <v>0.400612878037791</v>
      </c>
      <c r="S308" s="2">
        <v>2.5044323758313198</v>
      </c>
      <c r="T308" s="2">
        <v>1.82905894181644</v>
      </c>
      <c r="U308" s="2">
        <v>8.0497309346341002</v>
      </c>
      <c r="V308" s="2">
        <v>3.13897988612477</v>
      </c>
      <c r="W308" s="2">
        <v>2.1046936142785699</v>
      </c>
      <c r="X308" s="2">
        <v>4.4321895303044796</v>
      </c>
      <c r="Y308" s="2">
        <v>1.77539933288189</v>
      </c>
      <c r="Z308" s="2">
        <v>2.9506083424927501</v>
      </c>
      <c r="AA308" s="3">
        <f t="shared" si="13"/>
        <v>35.020653914428159</v>
      </c>
      <c r="AB308" t="s">
        <v>45</v>
      </c>
      <c r="AC308">
        <v>49.24</v>
      </c>
      <c r="AD308">
        <v>10.34</v>
      </c>
      <c r="AE308">
        <v>10.039999999999999</v>
      </c>
      <c r="AF308">
        <v>92.01</v>
      </c>
      <c r="AG308">
        <v>91.28</v>
      </c>
      <c r="AH308">
        <v>41.16</v>
      </c>
      <c r="AI308">
        <v>43.74</v>
      </c>
      <c r="AJ308">
        <v>69.02</v>
      </c>
      <c r="AK308">
        <v>11.18</v>
      </c>
      <c r="AL308">
        <v>55.36</v>
      </c>
      <c r="AM308">
        <v>39.979999999999997</v>
      </c>
      <c r="AN308">
        <v>61.32</v>
      </c>
      <c r="AO308" s="1">
        <f t="shared" si="14"/>
        <v>574.67000000000007</v>
      </c>
    </row>
    <row r="309" spans="1:41" x14ac:dyDescent="0.25">
      <c r="A309" t="s">
        <v>352</v>
      </c>
      <c r="B309" s="2">
        <v>3902.8344000093298</v>
      </c>
      <c r="C309" s="2">
        <v>2000.8704370272801</v>
      </c>
      <c r="D309" s="2">
        <v>10948.201027274999</v>
      </c>
      <c r="E309" s="2">
        <v>2565.2458567796002</v>
      </c>
      <c r="F309" s="2">
        <v>2514.3179824989302</v>
      </c>
      <c r="G309" s="2">
        <v>5228.3123551220297</v>
      </c>
      <c r="H309" s="2">
        <v>2217.2504898194402</v>
      </c>
      <c r="I309" s="2">
        <v>1275.8465534469699</v>
      </c>
      <c r="J309" s="2">
        <v>684.77653391204603</v>
      </c>
      <c r="K309" s="2">
        <v>4089.0189243159998</v>
      </c>
      <c r="L309" s="2">
        <v>7879.9462254547097</v>
      </c>
      <c r="M309" s="2">
        <v>4592.2966270945499</v>
      </c>
      <c r="N309" s="3">
        <f t="shared" si="12"/>
        <v>47898.91741275588</v>
      </c>
      <c r="O309" s="2">
        <v>1.06255984000982</v>
      </c>
      <c r="P309" s="2">
        <v>15.5346947956696</v>
      </c>
      <c r="Q309" s="2">
        <v>1.10844380083488</v>
      </c>
      <c r="R309" s="2">
        <v>9.0845063697567401</v>
      </c>
      <c r="S309" s="2">
        <v>2.5864995008255498</v>
      </c>
      <c r="T309" s="2">
        <v>1.3098221863144901</v>
      </c>
      <c r="U309" s="2">
        <v>2.5797701982616101</v>
      </c>
      <c r="V309" s="2">
        <v>1.7296090827408901</v>
      </c>
      <c r="W309" s="2">
        <v>4.80200932234135</v>
      </c>
      <c r="X309" s="2">
        <v>0.52756223340115704</v>
      </c>
      <c r="Y309" s="2">
        <v>3.5827376519740399</v>
      </c>
      <c r="Z309" s="2">
        <v>2.3473341505960001</v>
      </c>
      <c r="AA309" s="3">
        <f t="shared" si="13"/>
        <v>46.255549132726131</v>
      </c>
      <c r="AB309" t="s">
        <v>45</v>
      </c>
      <c r="AC309">
        <v>49.12</v>
      </c>
      <c r="AD309">
        <v>30.8</v>
      </c>
      <c r="AE309">
        <v>119.58</v>
      </c>
      <c r="AF309">
        <v>36.15</v>
      </c>
      <c r="AG309">
        <v>35.29</v>
      </c>
      <c r="AH309">
        <v>62.38</v>
      </c>
      <c r="AI309">
        <v>32.32</v>
      </c>
      <c r="AJ309">
        <v>22.85</v>
      </c>
      <c r="AK309">
        <v>17.09</v>
      </c>
      <c r="AL309">
        <v>50.94</v>
      </c>
      <c r="AM309">
        <v>88.99</v>
      </c>
      <c r="AN309">
        <v>56.07</v>
      </c>
      <c r="AO309" s="1">
        <f t="shared" si="14"/>
        <v>601.58000000000004</v>
      </c>
    </row>
    <row r="310" spans="1:41" x14ac:dyDescent="0.25">
      <c r="A310" t="s">
        <v>353</v>
      </c>
      <c r="B310" s="2">
        <v>3882.6342058538498</v>
      </c>
      <c r="C310" s="2">
        <v>3151.66562732386</v>
      </c>
      <c r="D310" s="2">
        <v>2981.4160882892502</v>
      </c>
      <c r="E310" s="2">
        <v>1399.8688554309699</v>
      </c>
      <c r="F310" s="2">
        <v>1062.3663949188599</v>
      </c>
      <c r="G310" s="2">
        <v>3771.21393964668</v>
      </c>
      <c r="H310" s="2">
        <v>706.93068683361298</v>
      </c>
      <c r="I310" s="2">
        <v>1087.1562040307899</v>
      </c>
      <c r="J310" s="2">
        <v>2445.4349530715499</v>
      </c>
      <c r="K310" s="2">
        <v>9461.0659928487294</v>
      </c>
      <c r="L310" s="2">
        <v>8995.3826095137792</v>
      </c>
      <c r="M310" s="2">
        <v>867.72358868491006</v>
      </c>
      <c r="N310" s="3">
        <f t="shared" si="12"/>
        <v>39812.859146446841</v>
      </c>
      <c r="O310" s="2">
        <v>10.9683706086897</v>
      </c>
      <c r="P310" s="2">
        <v>2.4727271711483501</v>
      </c>
      <c r="Q310" s="2">
        <v>0.68654565235679499</v>
      </c>
      <c r="R310" s="2">
        <v>0</v>
      </c>
      <c r="S310" s="2">
        <v>3.5260988143565499</v>
      </c>
      <c r="T310" s="2">
        <v>1.4748177174816699</v>
      </c>
      <c r="U310" s="2">
        <v>0</v>
      </c>
      <c r="V310" s="2">
        <v>2.57800219386391E-3</v>
      </c>
      <c r="W310" s="2">
        <v>0.28256947153697198</v>
      </c>
      <c r="X310" s="2">
        <v>4.5280720418531004</v>
      </c>
      <c r="Y310" s="2">
        <v>7.0931141124688901</v>
      </c>
      <c r="Z310" s="2">
        <v>5.8663386929658099</v>
      </c>
      <c r="AA310" s="3">
        <f t="shared" si="13"/>
        <v>36.901232285051705</v>
      </c>
      <c r="AB310" t="s">
        <v>45</v>
      </c>
      <c r="AC310">
        <v>49.37</v>
      </c>
      <c r="AD310">
        <v>41.66</v>
      </c>
      <c r="AE310">
        <v>39.86</v>
      </c>
      <c r="AF310">
        <v>23.99</v>
      </c>
      <c r="AG310">
        <v>20.82</v>
      </c>
      <c r="AH310">
        <v>47.81</v>
      </c>
      <c r="AI310">
        <v>17.059999999999999</v>
      </c>
      <c r="AJ310">
        <v>20.92</v>
      </c>
      <c r="AK310">
        <v>34.5</v>
      </c>
      <c r="AL310">
        <v>104.86</v>
      </c>
      <c r="AM310">
        <v>100.35</v>
      </c>
      <c r="AN310">
        <v>18.97</v>
      </c>
      <c r="AO310" s="1">
        <f t="shared" si="14"/>
        <v>520.17000000000007</v>
      </c>
    </row>
    <row r="311" spans="1:41" x14ac:dyDescent="0.25">
      <c r="A311" t="s">
        <v>354</v>
      </c>
      <c r="B311" s="2">
        <v>3879.5179907947199</v>
      </c>
      <c r="C311" s="2">
        <v>8811.9675828536892</v>
      </c>
      <c r="D311" s="2">
        <v>4609.6350315057098</v>
      </c>
      <c r="E311" s="2">
        <v>10078.650201280099</v>
      </c>
      <c r="F311" s="2">
        <v>0</v>
      </c>
      <c r="G311" s="2">
        <v>0</v>
      </c>
      <c r="H311" s="2">
        <v>3554.4192240755301</v>
      </c>
      <c r="I311" s="2">
        <v>12610.3923954152</v>
      </c>
      <c r="J311" s="2">
        <v>2995.85707259423</v>
      </c>
      <c r="K311" s="2">
        <v>0</v>
      </c>
      <c r="L311" s="2">
        <v>1192.67238639377</v>
      </c>
      <c r="M311" s="2">
        <v>1261.6010315210799</v>
      </c>
      <c r="N311" s="3">
        <f t="shared" si="12"/>
        <v>48994.712916434029</v>
      </c>
      <c r="O311" s="2">
        <v>10.6138298793775</v>
      </c>
      <c r="P311" s="2">
        <v>1.81391801590852</v>
      </c>
      <c r="Q311" s="2">
        <v>11.556818100290901</v>
      </c>
      <c r="R311" s="2">
        <v>0.83978304966348305</v>
      </c>
      <c r="S311" s="2">
        <v>2.3999799183352399</v>
      </c>
      <c r="T311" s="2">
        <v>1.51325602014817</v>
      </c>
      <c r="U311" s="2">
        <v>9.7447393540651905</v>
      </c>
      <c r="V311" s="2">
        <v>4.8326891960190403</v>
      </c>
      <c r="W311" s="2">
        <v>4.9381433210346302</v>
      </c>
      <c r="X311" s="2">
        <v>4.9314749664299704</v>
      </c>
      <c r="Y311" s="2">
        <v>6.3160163580039699</v>
      </c>
      <c r="Z311" s="2">
        <v>9.1191736949930906</v>
      </c>
      <c r="AA311" s="3">
        <f t="shared" si="13"/>
        <v>68.619821874269704</v>
      </c>
      <c r="AB311" t="s">
        <v>45</v>
      </c>
      <c r="AC311">
        <v>49.34</v>
      </c>
      <c r="AD311">
        <v>98.21</v>
      </c>
      <c r="AE311">
        <v>56.69</v>
      </c>
      <c r="AF311">
        <v>110.83</v>
      </c>
      <c r="AG311">
        <v>10.14</v>
      </c>
      <c r="AH311">
        <v>10.09</v>
      </c>
      <c r="AI311">
        <v>46.04</v>
      </c>
      <c r="AJ311">
        <v>136.35</v>
      </c>
      <c r="AK311">
        <v>40.200000000000003</v>
      </c>
      <c r="AL311">
        <v>10.24</v>
      </c>
      <c r="AM311">
        <v>22.27</v>
      </c>
      <c r="AN311">
        <v>23.11</v>
      </c>
      <c r="AO311" s="1">
        <f t="shared" si="14"/>
        <v>613.51</v>
      </c>
    </row>
    <row r="312" spans="1:41" x14ac:dyDescent="0.25">
      <c r="A312" t="s">
        <v>355</v>
      </c>
      <c r="B312" s="2">
        <v>3878.50273102753</v>
      </c>
      <c r="C312" s="2">
        <v>5503.84563764206</v>
      </c>
      <c r="D312" s="2">
        <v>239.07596923147901</v>
      </c>
      <c r="E312" s="2">
        <v>4053.6506274161402</v>
      </c>
      <c r="F312" s="2">
        <v>1031.6619167015499</v>
      </c>
      <c r="G312" s="2">
        <v>1013.47128484326</v>
      </c>
      <c r="H312" s="2">
        <v>1861.5092298698601</v>
      </c>
      <c r="I312" s="2">
        <v>1405.86768478775</v>
      </c>
      <c r="J312" s="2">
        <v>6779.3023942684904</v>
      </c>
      <c r="K312" s="2">
        <v>941.04439599412297</v>
      </c>
      <c r="L312" s="2">
        <v>620.06765436307001</v>
      </c>
      <c r="M312" s="2">
        <v>2312.7084305393701</v>
      </c>
      <c r="N312" s="3">
        <f t="shared" si="12"/>
        <v>29640.707956684681</v>
      </c>
      <c r="O312" s="2">
        <v>6.336713912844</v>
      </c>
      <c r="P312" s="2">
        <v>1.8196212696441401</v>
      </c>
      <c r="Q312" s="2">
        <v>8.6076265876712501</v>
      </c>
      <c r="R312" s="2">
        <v>17.709554144655499</v>
      </c>
      <c r="S312" s="2">
        <v>0.93499891146806702</v>
      </c>
      <c r="T312" s="2">
        <v>0</v>
      </c>
      <c r="U312" s="2">
        <v>4.5370108150965498</v>
      </c>
      <c r="V312" s="2">
        <v>0.43868489401160898</v>
      </c>
      <c r="W312" s="2">
        <v>6.5378716590279202</v>
      </c>
      <c r="X312" s="2">
        <v>1.0624697604611399</v>
      </c>
      <c r="Y312" s="2">
        <v>0</v>
      </c>
      <c r="Z312" s="2">
        <v>14.492868859507899</v>
      </c>
      <c r="AA312" s="3">
        <f t="shared" si="13"/>
        <v>62.477420814388076</v>
      </c>
      <c r="AB312" t="s">
        <v>63</v>
      </c>
      <c r="AC312">
        <v>78.209999999999994</v>
      </c>
      <c r="AD312">
        <v>110.26</v>
      </c>
      <c r="AE312">
        <v>5.61</v>
      </c>
      <c r="AF312">
        <v>82.7</v>
      </c>
      <c r="AG312">
        <v>20.73</v>
      </c>
      <c r="AH312">
        <v>20.28</v>
      </c>
      <c r="AI312">
        <v>37.69</v>
      </c>
      <c r="AJ312">
        <v>28.21</v>
      </c>
      <c r="AK312">
        <v>136.22999999999999</v>
      </c>
      <c r="AL312">
        <v>19.02</v>
      </c>
      <c r="AM312">
        <v>12.42</v>
      </c>
      <c r="AN312">
        <v>47.61</v>
      </c>
      <c r="AO312" s="1">
        <f t="shared" si="14"/>
        <v>598.97</v>
      </c>
    </row>
    <row r="313" spans="1:41" x14ac:dyDescent="0.25">
      <c r="A313" t="s">
        <v>356</v>
      </c>
      <c r="B313" s="2">
        <v>3861.5151552519001</v>
      </c>
      <c r="C313" s="2">
        <v>1659.69354716207</v>
      </c>
      <c r="D313" s="2">
        <v>5680.4145623264603</v>
      </c>
      <c r="E313" s="2">
        <v>3925.5328961793098</v>
      </c>
      <c r="F313" s="2">
        <v>4846.5917751841298</v>
      </c>
      <c r="G313" s="2">
        <v>1621.5045719674299</v>
      </c>
      <c r="H313" s="2">
        <v>1423.7087014040701</v>
      </c>
      <c r="I313" s="2">
        <v>3160.9677569908899</v>
      </c>
      <c r="J313" s="2">
        <v>1080.4525007423699</v>
      </c>
      <c r="K313" s="2">
        <v>5674.2647900584898</v>
      </c>
      <c r="L313" s="2">
        <v>2537.7836070282401</v>
      </c>
      <c r="M313" s="2">
        <v>714.40252322248296</v>
      </c>
      <c r="N313" s="3">
        <f t="shared" si="12"/>
        <v>36186.832387517847</v>
      </c>
      <c r="O313" s="2">
        <v>11.2268533288408</v>
      </c>
      <c r="P313" s="2">
        <v>3.1172705243789198</v>
      </c>
      <c r="Q313" s="2">
        <v>0.70231182286608596</v>
      </c>
      <c r="R313" s="2">
        <v>4.6095801322170704</v>
      </c>
      <c r="S313" s="2">
        <v>11.3603967317386</v>
      </c>
      <c r="T313" s="2">
        <v>0</v>
      </c>
      <c r="U313" s="2">
        <v>2.4759333523725902</v>
      </c>
      <c r="V313" s="2">
        <v>10.7779186160374</v>
      </c>
      <c r="W313" s="2">
        <v>0.76190234424081904</v>
      </c>
      <c r="X313" s="2">
        <v>0</v>
      </c>
      <c r="Y313" s="2">
        <v>3.92041420370226</v>
      </c>
      <c r="Z313" s="2">
        <v>9.5675861572615908</v>
      </c>
      <c r="AA313" s="3">
        <f t="shared" si="13"/>
        <v>58.520167213656123</v>
      </c>
      <c r="AB313" t="s">
        <v>45</v>
      </c>
      <c r="AC313">
        <v>49.21</v>
      </c>
      <c r="AD313">
        <v>26.79</v>
      </c>
      <c r="AE313">
        <v>66.849999999999994</v>
      </c>
      <c r="AF313">
        <v>49.5</v>
      </c>
      <c r="AG313">
        <v>59.06</v>
      </c>
      <c r="AH313">
        <v>26.21</v>
      </c>
      <c r="AI313">
        <v>24.38</v>
      </c>
      <c r="AJ313">
        <v>42.15</v>
      </c>
      <c r="AK313">
        <v>20.85</v>
      </c>
      <c r="AL313">
        <v>66.739999999999995</v>
      </c>
      <c r="AM313">
        <v>35.57</v>
      </c>
      <c r="AN313">
        <v>17.64</v>
      </c>
      <c r="AO313" s="1">
        <f t="shared" si="14"/>
        <v>484.95</v>
      </c>
    </row>
    <row r="314" spans="1:41" x14ac:dyDescent="0.25">
      <c r="A314" t="s">
        <v>357</v>
      </c>
      <c r="B314" s="2">
        <v>3859.9545346206401</v>
      </c>
      <c r="C314" s="2">
        <v>899.75279887173895</v>
      </c>
      <c r="D314" s="2">
        <v>2775.92826981794</v>
      </c>
      <c r="E314" s="2">
        <v>3961.2897062452798</v>
      </c>
      <c r="F314" s="2">
        <v>0</v>
      </c>
      <c r="G314" s="2">
        <v>296.607263040703</v>
      </c>
      <c r="H314" s="2">
        <v>46.764008633493297</v>
      </c>
      <c r="I314" s="2">
        <v>265.15183950069002</v>
      </c>
      <c r="J314" s="2">
        <v>12286.525294016301</v>
      </c>
      <c r="K314" s="2">
        <v>1189.85410326286</v>
      </c>
      <c r="L314" s="2">
        <v>2421.10533489199</v>
      </c>
      <c r="M314" s="2">
        <v>5201.0808077833699</v>
      </c>
      <c r="N314" s="3">
        <f t="shared" si="12"/>
        <v>33204.013960685006</v>
      </c>
      <c r="O314" s="2">
        <v>1.02639521866529</v>
      </c>
      <c r="P314" s="2">
        <v>0.63514262360168094</v>
      </c>
      <c r="Q314" s="2">
        <v>0.36504935920577702</v>
      </c>
      <c r="R314" s="2">
        <v>9.4355997769270203</v>
      </c>
      <c r="S314" s="2">
        <v>7.57158209348695</v>
      </c>
      <c r="T314" s="2">
        <v>2.6432309312584699</v>
      </c>
      <c r="U314" s="2">
        <v>5.3105995419896903</v>
      </c>
      <c r="V314" s="2">
        <v>0.54213419160901699</v>
      </c>
      <c r="W314" s="2">
        <v>4.0443972003795601</v>
      </c>
      <c r="X314" s="2">
        <v>2.32396935141265</v>
      </c>
      <c r="Y314" s="2">
        <v>8.4698765250398697E-2</v>
      </c>
      <c r="Z314" s="2">
        <v>1.0833365854505099</v>
      </c>
      <c r="AA314" s="3">
        <f t="shared" si="13"/>
        <v>35.066135639237011</v>
      </c>
      <c r="AB314" t="s">
        <v>63</v>
      </c>
      <c r="AC314">
        <v>77.38</v>
      </c>
      <c r="AD314">
        <v>18.09</v>
      </c>
      <c r="AE314">
        <v>55.61</v>
      </c>
      <c r="AF314">
        <v>80.14</v>
      </c>
      <c r="AG314">
        <v>0.72</v>
      </c>
      <c r="AH314">
        <v>6.21</v>
      </c>
      <c r="AI314">
        <v>1.48</v>
      </c>
      <c r="AJ314">
        <v>5.41</v>
      </c>
      <c r="AK314">
        <v>246.19</v>
      </c>
      <c r="AL314">
        <v>24.07</v>
      </c>
      <c r="AM314">
        <v>48.53</v>
      </c>
      <c r="AN314">
        <v>104.22</v>
      </c>
      <c r="AO314" s="1">
        <f t="shared" si="14"/>
        <v>668.05</v>
      </c>
    </row>
    <row r="315" spans="1:41" x14ac:dyDescent="0.25">
      <c r="A315" t="s">
        <v>358</v>
      </c>
      <c r="B315" s="2">
        <v>3852.9115653675199</v>
      </c>
      <c r="C315" s="2">
        <v>5820.8664552732298</v>
      </c>
      <c r="D315" s="2">
        <v>1779.14799198994</v>
      </c>
      <c r="E315" s="2">
        <v>3068.5882932619402</v>
      </c>
      <c r="F315" s="2">
        <v>8122.90343247293</v>
      </c>
      <c r="G315" s="2">
        <v>5100.8953016363203</v>
      </c>
      <c r="H315" s="2">
        <v>1681.2402913578101</v>
      </c>
      <c r="I315" s="2">
        <v>4358.4100184757199</v>
      </c>
      <c r="J315" s="2">
        <v>2797.1995139646001</v>
      </c>
      <c r="K315" s="2">
        <v>4203.0102170308401</v>
      </c>
      <c r="L315" s="2">
        <v>3078.7103114290999</v>
      </c>
      <c r="M315" s="2">
        <v>573.73700652085404</v>
      </c>
      <c r="N315" s="3">
        <f t="shared" si="12"/>
        <v>44437.620398780804</v>
      </c>
      <c r="O315" s="2">
        <v>2.04113062604968</v>
      </c>
      <c r="P315" s="2">
        <v>1.3818302953396999</v>
      </c>
      <c r="Q315" s="2">
        <v>1.86939614720192</v>
      </c>
      <c r="R315" s="2">
        <v>4.5586665205804602</v>
      </c>
      <c r="S315" s="2">
        <v>0.42851843000058998</v>
      </c>
      <c r="T315" s="2">
        <v>1.4490959796135701</v>
      </c>
      <c r="U315" s="2">
        <v>7.6683012744047803</v>
      </c>
      <c r="V315" s="2">
        <v>1.0077152174064601</v>
      </c>
      <c r="W315" s="2">
        <v>5.0567416819064404</v>
      </c>
      <c r="X315" s="2">
        <v>0.55127704182346804</v>
      </c>
      <c r="Y315" s="2">
        <v>1.0282541508291401</v>
      </c>
      <c r="Z315" s="2">
        <v>0.35911300961164899</v>
      </c>
      <c r="AA315" s="3">
        <f t="shared" si="13"/>
        <v>27.400040374767858</v>
      </c>
      <c r="AB315" t="s">
        <v>45</v>
      </c>
      <c r="AC315">
        <v>48.67</v>
      </c>
      <c r="AD315">
        <v>68.3</v>
      </c>
      <c r="AE315">
        <v>27.89</v>
      </c>
      <c r="AF315">
        <v>40.93</v>
      </c>
      <c r="AG315">
        <v>91.27</v>
      </c>
      <c r="AH315">
        <v>61.1</v>
      </c>
      <c r="AI315">
        <v>27.21</v>
      </c>
      <c r="AJ315">
        <v>53.68</v>
      </c>
      <c r="AK315">
        <v>38.270000000000003</v>
      </c>
      <c r="AL315">
        <v>52.08</v>
      </c>
      <c r="AM315">
        <v>40.880000000000003</v>
      </c>
      <c r="AN315">
        <v>15.78</v>
      </c>
      <c r="AO315" s="1">
        <f t="shared" si="14"/>
        <v>566.05999999999995</v>
      </c>
    </row>
    <row r="316" spans="1:41" x14ac:dyDescent="0.25">
      <c r="A316" t="s">
        <v>359</v>
      </c>
      <c r="B316" s="2">
        <v>3848.5546757084899</v>
      </c>
      <c r="C316" s="2">
        <v>12342.443543731701</v>
      </c>
      <c r="D316" s="2">
        <v>167.748160762201</v>
      </c>
      <c r="E316" s="2">
        <v>130.31470039018899</v>
      </c>
      <c r="F316" s="2">
        <v>0</v>
      </c>
      <c r="G316" s="2">
        <v>2088.5499596510499</v>
      </c>
      <c r="H316" s="2">
        <v>1793.4324596664301</v>
      </c>
      <c r="I316" s="2">
        <v>6039.42139347597</v>
      </c>
      <c r="J316" s="2">
        <v>3227.94241096204</v>
      </c>
      <c r="K316" s="2">
        <v>1592.1727080143201</v>
      </c>
      <c r="L316" s="2">
        <v>5151.8464559664399</v>
      </c>
      <c r="M316" s="2">
        <v>1621.6547701858501</v>
      </c>
      <c r="N316" s="3">
        <f t="shared" si="12"/>
        <v>38004.081238514686</v>
      </c>
      <c r="O316" s="2">
        <v>2.83401805372853</v>
      </c>
      <c r="P316" s="2">
        <v>20.936968656591102</v>
      </c>
      <c r="Q316" s="2">
        <v>1.6111238226851201</v>
      </c>
      <c r="R316" s="2">
        <v>9.9420052430720602</v>
      </c>
      <c r="S316" s="2">
        <v>1.0731410565834201</v>
      </c>
      <c r="T316" s="2">
        <v>0</v>
      </c>
      <c r="U316" s="2">
        <v>1.3159643462601101</v>
      </c>
      <c r="V316" s="2">
        <v>3.0450053881658699</v>
      </c>
      <c r="W316" s="2">
        <v>1.7771677083536099</v>
      </c>
      <c r="X316" s="2">
        <v>1.04898681291184</v>
      </c>
      <c r="Y316" s="2">
        <v>8.3011031325960598</v>
      </c>
      <c r="Z316" s="2">
        <v>5.9209522272642197</v>
      </c>
      <c r="AA316" s="3">
        <f t="shared" si="13"/>
        <v>57.80643644821194</v>
      </c>
      <c r="AB316" t="s">
        <v>45</v>
      </c>
      <c r="AC316">
        <v>48.63</v>
      </c>
      <c r="AD316">
        <v>134.47</v>
      </c>
      <c r="AE316">
        <v>11.77</v>
      </c>
      <c r="AF316">
        <v>11.8</v>
      </c>
      <c r="AG316">
        <v>10.09</v>
      </c>
      <c r="AH316">
        <v>30.88</v>
      </c>
      <c r="AI316">
        <v>28.03</v>
      </c>
      <c r="AJ316">
        <v>70.59</v>
      </c>
      <c r="AK316">
        <v>42.37</v>
      </c>
      <c r="AL316">
        <v>26.02</v>
      </c>
      <c r="AM316">
        <v>61.96</v>
      </c>
      <c r="AN316">
        <v>26.51</v>
      </c>
      <c r="AO316" s="1">
        <f t="shared" si="14"/>
        <v>503.11999999999995</v>
      </c>
    </row>
    <row r="317" spans="1:41" x14ac:dyDescent="0.25">
      <c r="A317" t="s">
        <v>360</v>
      </c>
      <c r="B317" s="2">
        <v>3840.2978292063699</v>
      </c>
      <c r="C317" s="2">
        <v>6759.4487190954696</v>
      </c>
      <c r="D317" s="2">
        <v>2554.97280850066</v>
      </c>
      <c r="E317" s="2">
        <v>845.37940284443505</v>
      </c>
      <c r="F317" s="2">
        <v>3737.0898905815102</v>
      </c>
      <c r="G317" s="2">
        <v>5397.2693027059004</v>
      </c>
      <c r="H317" s="2">
        <v>0</v>
      </c>
      <c r="I317" s="2">
        <v>2511.7182507790999</v>
      </c>
      <c r="J317" s="2">
        <v>4503.4695703335301</v>
      </c>
      <c r="K317" s="2">
        <v>2448.1665419904698</v>
      </c>
      <c r="L317" s="2">
        <v>2981.9494817238801</v>
      </c>
      <c r="M317" s="2">
        <v>4417.3921844132401</v>
      </c>
      <c r="N317" s="3">
        <f t="shared" si="12"/>
        <v>39997.153982174568</v>
      </c>
      <c r="O317" s="2">
        <v>7.4896980627180199E-2</v>
      </c>
      <c r="P317" s="2">
        <v>1.4749726490853901</v>
      </c>
      <c r="Q317" s="2">
        <v>7.9616013418406801</v>
      </c>
      <c r="R317" s="2">
        <v>11.427576241520899</v>
      </c>
      <c r="S317" s="2">
        <v>8.5376883433176491</v>
      </c>
      <c r="T317" s="2">
        <v>2.9697423637768301</v>
      </c>
      <c r="U317" s="2">
        <v>6.9772138267606296</v>
      </c>
      <c r="V317" s="2">
        <v>2.9443802309285401</v>
      </c>
      <c r="W317" s="2">
        <v>1.1619119403976299</v>
      </c>
      <c r="X317" s="2">
        <v>2.35278439710082</v>
      </c>
      <c r="Y317" s="2">
        <v>4.1982126546174596</v>
      </c>
      <c r="Z317" s="2">
        <v>0</v>
      </c>
      <c r="AA317" s="3">
        <f t="shared" si="13"/>
        <v>50.080980969973709</v>
      </c>
      <c r="AB317" t="s">
        <v>45</v>
      </c>
      <c r="AC317">
        <v>48.45</v>
      </c>
      <c r="AD317">
        <v>77.69</v>
      </c>
      <c r="AE317">
        <v>35.94</v>
      </c>
      <c r="AF317">
        <v>19.05</v>
      </c>
      <c r="AG317">
        <v>47.82</v>
      </c>
      <c r="AH317">
        <v>64.12</v>
      </c>
      <c r="AI317">
        <v>10.34</v>
      </c>
      <c r="AJ317">
        <v>35.26</v>
      </c>
      <c r="AK317">
        <v>55.13</v>
      </c>
      <c r="AL317">
        <v>34.630000000000003</v>
      </c>
      <c r="AM317">
        <v>40.06</v>
      </c>
      <c r="AN317">
        <v>54.17</v>
      </c>
      <c r="AO317" s="1">
        <f t="shared" si="14"/>
        <v>522.66</v>
      </c>
    </row>
    <row r="318" spans="1:41" x14ac:dyDescent="0.25">
      <c r="A318" t="s">
        <v>361</v>
      </c>
      <c r="B318" s="2">
        <v>3837.4325290269799</v>
      </c>
      <c r="C318" s="2">
        <v>388.06248650504301</v>
      </c>
      <c r="D318" s="2">
        <v>4058.8803223375799</v>
      </c>
      <c r="E318" s="2">
        <v>0</v>
      </c>
      <c r="F318" s="2">
        <v>5501.8487368185297</v>
      </c>
      <c r="G318" s="2">
        <v>467.04031418039199</v>
      </c>
      <c r="H318" s="2">
        <v>1210.0422380664299</v>
      </c>
      <c r="I318" s="2">
        <v>955.54059785478296</v>
      </c>
      <c r="J318" s="2">
        <v>3695.08571802401</v>
      </c>
      <c r="K318" s="2">
        <v>13825.0439753828</v>
      </c>
      <c r="L318" s="2">
        <v>0</v>
      </c>
      <c r="M318" s="2">
        <v>260.63438763700799</v>
      </c>
      <c r="N318" s="3">
        <f t="shared" si="12"/>
        <v>34199.611305833554</v>
      </c>
      <c r="O318" s="2">
        <v>0.67441118592454097</v>
      </c>
      <c r="P318" s="2">
        <v>2.9284114934643402</v>
      </c>
      <c r="Q318" s="2">
        <v>3.9391381725124099</v>
      </c>
      <c r="R318" s="2">
        <v>5.0614523134617402</v>
      </c>
      <c r="S318" s="2">
        <v>1.3729492244944601</v>
      </c>
      <c r="T318" s="2">
        <v>7.1559498492283504</v>
      </c>
      <c r="U318" s="2">
        <v>1.6747931056579499</v>
      </c>
      <c r="V318" s="2">
        <v>2.1845654012864801</v>
      </c>
      <c r="W318" s="2">
        <v>0.95098254540523897</v>
      </c>
      <c r="X318" s="2">
        <v>2.42903634571802</v>
      </c>
      <c r="Y318" s="2">
        <v>13.0284746957216</v>
      </c>
      <c r="Z318" s="2">
        <v>2.9175023873034398</v>
      </c>
      <c r="AA318" s="3">
        <f t="shared" si="13"/>
        <v>44.317666720178579</v>
      </c>
      <c r="AB318" t="s">
        <v>63</v>
      </c>
      <c r="AC318">
        <v>76.849999999999994</v>
      </c>
      <c r="AD318">
        <v>8.0500000000000007</v>
      </c>
      <c r="AE318">
        <v>81.540000000000006</v>
      </c>
      <c r="AF318">
        <v>0.54</v>
      </c>
      <c r="AG318">
        <v>110.22</v>
      </c>
      <c r="AH318">
        <v>10.08</v>
      </c>
      <c r="AI318">
        <v>24.4</v>
      </c>
      <c r="AJ318">
        <v>19.39</v>
      </c>
      <c r="AK318">
        <v>74.010000000000005</v>
      </c>
      <c r="AL318">
        <v>276.79000000000002</v>
      </c>
      <c r="AM318">
        <v>1.26</v>
      </c>
      <c r="AN318">
        <v>5.49</v>
      </c>
      <c r="AO318" s="1">
        <f t="shared" si="14"/>
        <v>688.61999999999989</v>
      </c>
    </row>
    <row r="319" spans="1:41" x14ac:dyDescent="0.25">
      <c r="A319" t="s">
        <v>362</v>
      </c>
      <c r="B319" s="2">
        <v>3820.5591562018699</v>
      </c>
      <c r="C319" s="2">
        <v>4047.46088527856</v>
      </c>
      <c r="D319" s="2">
        <v>1653.6669961388</v>
      </c>
      <c r="E319" s="2">
        <v>2424.1705763843001</v>
      </c>
      <c r="F319" s="2">
        <v>1880.6941339303501</v>
      </c>
      <c r="G319" s="2">
        <v>799.21697400241897</v>
      </c>
      <c r="H319" s="2">
        <v>3925.8548522711199</v>
      </c>
      <c r="I319" s="2">
        <v>18637.569958390501</v>
      </c>
      <c r="J319" s="2">
        <v>3186.8484044594602</v>
      </c>
      <c r="K319" s="2">
        <v>2560.00010357883</v>
      </c>
      <c r="L319" s="2">
        <v>0</v>
      </c>
      <c r="M319" s="2">
        <v>461.19432414792698</v>
      </c>
      <c r="N319" s="3">
        <f t="shared" si="12"/>
        <v>43397.236364784127</v>
      </c>
      <c r="O319" s="2">
        <v>6.5596628754391801</v>
      </c>
      <c r="P319" s="2">
        <v>2.2033033370743098</v>
      </c>
      <c r="Q319" s="2">
        <v>3.6174197559056198</v>
      </c>
      <c r="R319" s="2">
        <v>1.2692294026420201</v>
      </c>
      <c r="S319" s="2">
        <v>5.6465156775040501</v>
      </c>
      <c r="T319" s="2">
        <v>0.737850967205119</v>
      </c>
      <c r="U319" s="2">
        <v>5.0478401795287802</v>
      </c>
      <c r="V319" s="2">
        <v>4.65262365990099</v>
      </c>
      <c r="W319" s="2">
        <v>0</v>
      </c>
      <c r="X319" s="2">
        <v>8.0229294293253695</v>
      </c>
      <c r="Y319" s="2">
        <v>3.3595771017495899</v>
      </c>
      <c r="Z319" s="2">
        <v>3.7902981537669</v>
      </c>
      <c r="AA319" s="3">
        <f t="shared" si="13"/>
        <v>44.907250540041929</v>
      </c>
      <c r="AB319" t="s">
        <v>63</v>
      </c>
      <c r="AC319">
        <v>77.05</v>
      </c>
      <c r="AD319">
        <v>81.23</v>
      </c>
      <c r="AE319">
        <v>33.44</v>
      </c>
      <c r="AF319">
        <v>48.68</v>
      </c>
      <c r="AG319">
        <v>38.159999999999997</v>
      </c>
      <c r="AH319">
        <v>16.09</v>
      </c>
      <c r="AI319">
        <v>79.06</v>
      </c>
      <c r="AJ319">
        <v>373.21</v>
      </c>
      <c r="AK319">
        <v>63.74</v>
      </c>
      <c r="AL319">
        <v>52.03</v>
      </c>
      <c r="AM319">
        <v>0.36</v>
      </c>
      <c r="AN319">
        <v>9.6</v>
      </c>
      <c r="AO319" s="1">
        <f t="shared" si="14"/>
        <v>872.65</v>
      </c>
    </row>
    <row r="320" spans="1:41" x14ac:dyDescent="0.25">
      <c r="A320" t="s">
        <v>363</v>
      </c>
      <c r="B320" s="2">
        <v>3815.1880681528501</v>
      </c>
      <c r="C320" s="2">
        <v>445.32782753834999</v>
      </c>
      <c r="D320" s="2">
        <v>8243.9887117102098</v>
      </c>
      <c r="E320" s="2">
        <v>5478.4285434185304</v>
      </c>
      <c r="F320" s="2">
        <v>795.12554396495295</v>
      </c>
      <c r="G320" s="2">
        <v>2343.2446000408399</v>
      </c>
      <c r="H320" s="2">
        <v>2664.7300467950199</v>
      </c>
      <c r="I320" s="2">
        <v>1246.8516342681901</v>
      </c>
      <c r="J320" s="2">
        <v>5916.6129953953496</v>
      </c>
      <c r="K320" s="2">
        <v>1207.8578617210301</v>
      </c>
      <c r="L320" s="2">
        <v>2416.75926294082</v>
      </c>
      <c r="M320" s="2">
        <v>1070.35351063587</v>
      </c>
      <c r="N320" s="3">
        <f t="shared" si="12"/>
        <v>35644.468606582006</v>
      </c>
      <c r="O320" s="2">
        <v>14.5569441236927</v>
      </c>
      <c r="P320" s="2">
        <v>5.0279068808486498</v>
      </c>
      <c r="Q320" s="2">
        <v>2.3216995994727099</v>
      </c>
      <c r="R320" s="2">
        <v>1.60973135851662</v>
      </c>
      <c r="S320" s="2">
        <v>4.6902941346262903</v>
      </c>
      <c r="T320" s="2">
        <v>0.98287108989461403</v>
      </c>
      <c r="U320" s="2">
        <v>0</v>
      </c>
      <c r="V320" s="2">
        <v>2.5431725147964901</v>
      </c>
      <c r="W320" s="2">
        <v>2.0226519269345999</v>
      </c>
      <c r="X320" s="2">
        <v>5.4759104016609097</v>
      </c>
      <c r="Y320" s="2">
        <v>2.0455218256288701</v>
      </c>
      <c r="Z320" s="2">
        <v>4.4419035575679402</v>
      </c>
      <c r="AA320" s="3">
        <f t="shared" si="13"/>
        <v>45.718607413640392</v>
      </c>
      <c r="AB320" t="s">
        <v>63</v>
      </c>
      <c r="AC320">
        <v>77.67</v>
      </c>
      <c r="AD320">
        <v>9.4600000000000009</v>
      </c>
      <c r="AE320">
        <v>165.15</v>
      </c>
      <c r="AF320">
        <v>109.76</v>
      </c>
      <c r="AG320">
        <v>16.37</v>
      </c>
      <c r="AH320">
        <v>46.97</v>
      </c>
      <c r="AI320">
        <v>53.3</v>
      </c>
      <c r="AJ320">
        <v>25.21</v>
      </c>
      <c r="AK320">
        <v>118.61</v>
      </c>
      <c r="AL320">
        <v>24.7</v>
      </c>
      <c r="AM320">
        <v>48.61</v>
      </c>
      <c r="AN320">
        <v>21.87</v>
      </c>
      <c r="AO320" s="1">
        <f t="shared" si="14"/>
        <v>717.68000000000006</v>
      </c>
    </row>
    <row r="321" spans="1:41" x14ac:dyDescent="0.25">
      <c r="A321" t="s">
        <v>364</v>
      </c>
      <c r="B321" s="2">
        <v>3796.5073807399899</v>
      </c>
      <c r="C321" s="2">
        <v>13010.9315278097</v>
      </c>
      <c r="D321" s="2">
        <v>10471.3731836883</v>
      </c>
      <c r="E321" s="2">
        <v>1662.0706988504501</v>
      </c>
      <c r="F321" s="2">
        <v>1254.53636861014</v>
      </c>
      <c r="G321" s="2">
        <v>0</v>
      </c>
      <c r="H321" s="2">
        <v>1685.1033837465</v>
      </c>
      <c r="I321" s="2">
        <v>5854.7500606161102</v>
      </c>
      <c r="J321" s="2">
        <v>8624.5984797867604</v>
      </c>
      <c r="K321" s="2">
        <v>960.628558375382</v>
      </c>
      <c r="L321" s="2">
        <v>833.70407519943501</v>
      </c>
      <c r="M321" s="2">
        <v>1201.1195361322</v>
      </c>
      <c r="N321" s="3">
        <f t="shared" si="12"/>
        <v>49355.323253554969</v>
      </c>
      <c r="O321" s="2">
        <v>1.7138223566983899</v>
      </c>
      <c r="P321" s="2">
        <v>1.2025602886346201</v>
      </c>
      <c r="Q321" s="2">
        <v>2.98060409061718</v>
      </c>
      <c r="R321" s="2">
        <v>0.64773590684697901</v>
      </c>
      <c r="S321" s="2">
        <v>0.23117454611722399</v>
      </c>
      <c r="T321" s="2">
        <v>0.152697406777908</v>
      </c>
      <c r="U321" s="2">
        <v>3.5199030111856602</v>
      </c>
      <c r="V321" s="2">
        <v>2.72128263688206</v>
      </c>
      <c r="W321" s="2">
        <v>0</v>
      </c>
      <c r="X321" s="2">
        <v>5.2621137056181002</v>
      </c>
      <c r="Y321" s="2">
        <v>1.9674089625179101</v>
      </c>
      <c r="Z321" s="2">
        <v>6.6506971542444804</v>
      </c>
      <c r="AA321" s="3">
        <f t="shared" si="13"/>
        <v>27.050000066140512</v>
      </c>
      <c r="AB321" t="s">
        <v>45</v>
      </c>
      <c r="AC321">
        <v>48.06</v>
      </c>
      <c r="AD321">
        <v>140.19999999999999</v>
      </c>
      <c r="AE321">
        <v>114.86</v>
      </c>
      <c r="AF321">
        <v>26.67</v>
      </c>
      <c r="AG321">
        <v>22.59</v>
      </c>
      <c r="AH321">
        <v>10.039999999999999</v>
      </c>
      <c r="AI321">
        <v>27.05</v>
      </c>
      <c r="AJ321">
        <v>68.69</v>
      </c>
      <c r="AK321">
        <v>96.24</v>
      </c>
      <c r="AL321">
        <v>19.899999999999999</v>
      </c>
      <c r="AM321">
        <v>18.43</v>
      </c>
      <c r="AN321">
        <v>22.36</v>
      </c>
      <c r="AO321" s="1">
        <f t="shared" si="14"/>
        <v>615.08999999999992</v>
      </c>
    </row>
    <row r="322" spans="1:41" x14ac:dyDescent="0.25">
      <c r="A322" t="s">
        <v>365</v>
      </c>
      <c r="B322" s="2">
        <v>3792.6438049590602</v>
      </c>
      <c r="C322" s="2">
        <v>8484.1741051299905</v>
      </c>
      <c r="D322" s="2">
        <v>3667.0494651775998</v>
      </c>
      <c r="E322" s="2">
        <v>6570.7091066475596</v>
      </c>
      <c r="F322" s="2">
        <v>2928.1699234313601</v>
      </c>
      <c r="G322" s="2">
        <v>3615.8168637254498</v>
      </c>
      <c r="H322" s="2">
        <v>8996.2012628207704</v>
      </c>
      <c r="I322" s="2">
        <v>6022.1220294896902</v>
      </c>
      <c r="J322" s="2">
        <v>9509.8271846751104</v>
      </c>
      <c r="K322" s="2">
        <v>2473.69346437783</v>
      </c>
      <c r="L322" s="2">
        <v>8235.2472947527294</v>
      </c>
      <c r="M322" s="2">
        <v>2910.3387258375501</v>
      </c>
      <c r="N322" s="3">
        <f t="shared" si="12"/>
        <v>67205.993231024695</v>
      </c>
      <c r="O322" s="2">
        <v>5.1914201304913696</v>
      </c>
      <c r="P322" s="2">
        <v>10.2235593322646</v>
      </c>
      <c r="Q322" s="2">
        <v>4.9587094372768297</v>
      </c>
      <c r="R322" s="2">
        <v>0.87985066500264097</v>
      </c>
      <c r="S322" s="2">
        <v>2.0116716735684799</v>
      </c>
      <c r="T322" s="2">
        <v>8.2449262578565605</v>
      </c>
      <c r="U322" s="2">
        <v>1.5083365517673</v>
      </c>
      <c r="V322" s="2">
        <v>0.13158140443087399</v>
      </c>
      <c r="W322" s="2">
        <v>6.1620007326672397</v>
      </c>
      <c r="X322" s="2">
        <v>2.4687753904293701</v>
      </c>
      <c r="Y322" s="2">
        <v>11.7389126742179</v>
      </c>
      <c r="Z322" s="2">
        <v>5.2667707187302399</v>
      </c>
      <c r="AA322" s="3">
        <f t="shared" si="13"/>
        <v>58.786514968703408</v>
      </c>
      <c r="AB322" t="s">
        <v>45</v>
      </c>
      <c r="AC322">
        <v>48.22</v>
      </c>
      <c r="AD322">
        <v>95.39</v>
      </c>
      <c r="AE322">
        <v>46.92</v>
      </c>
      <c r="AF322">
        <v>75.75</v>
      </c>
      <c r="AG322">
        <v>39.43</v>
      </c>
      <c r="AH322">
        <v>46.6</v>
      </c>
      <c r="AI322">
        <v>100.06</v>
      </c>
      <c r="AJ322">
        <v>70.27</v>
      </c>
      <c r="AK322">
        <v>105.44</v>
      </c>
      <c r="AL322">
        <v>34.880000000000003</v>
      </c>
      <c r="AM322">
        <v>92.95</v>
      </c>
      <c r="AN322">
        <v>39.4</v>
      </c>
      <c r="AO322" s="1">
        <f t="shared" si="14"/>
        <v>795.31000000000017</v>
      </c>
    </row>
    <row r="323" spans="1:41" x14ac:dyDescent="0.25">
      <c r="A323" t="s">
        <v>366</v>
      </c>
      <c r="B323" s="2">
        <v>3790.2531738580701</v>
      </c>
      <c r="C323" s="2">
        <v>169.18346578092601</v>
      </c>
      <c r="D323" s="2">
        <v>1645.8153647730301</v>
      </c>
      <c r="E323" s="2">
        <v>8663.9777432911305</v>
      </c>
      <c r="F323" s="2">
        <v>3765.0823625407802</v>
      </c>
      <c r="G323" s="2">
        <v>0</v>
      </c>
      <c r="H323" s="2">
        <v>2619.78774562537</v>
      </c>
      <c r="I323" s="2">
        <v>8881.1751424331596</v>
      </c>
      <c r="J323" s="2">
        <v>816.83359511128106</v>
      </c>
      <c r="K323" s="2">
        <v>1002.67279057245</v>
      </c>
      <c r="L323" s="2">
        <v>10685.0112228526</v>
      </c>
      <c r="M323" s="2">
        <v>2154.35222967359</v>
      </c>
      <c r="N323" s="3">
        <f t="shared" ref="N323:N386" si="15">SUM(B323:M323)</f>
        <v>44194.144836512387</v>
      </c>
      <c r="O323" s="2">
        <v>4.1326089471907101</v>
      </c>
      <c r="P323" s="2">
        <v>3.12571450870391</v>
      </c>
      <c r="Q323" s="2">
        <v>2.5833401893971302</v>
      </c>
      <c r="R323" s="2">
        <v>8.0369939165938398</v>
      </c>
      <c r="S323" s="2">
        <v>2.4988725209835501</v>
      </c>
      <c r="T323" s="2">
        <v>0</v>
      </c>
      <c r="U323" s="2">
        <v>2.22304832015074E-2</v>
      </c>
      <c r="V323" s="2">
        <v>5.0416517455559404</v>
      </c>
      <c r="W323" s="2">
        <v>0</v>
      </c>
      <c r="X323" s="2">
        <v>19.132964727514501</v>
      </c>
      <c r="Y323" s="2">
        <v>0</v>
      </c>
      <c r="Z323" s="2">
        <v>7.0484210492490798</v>
      </c>
      <c r="AA323" s="3">
        <f t="shared" si="13"/>
        <v>51.622798088390162</v>
      </c>
      <c r="AB323" t="s">
        <v>45</v>
      </c>
      <c r="AC323">
        <v>48.15</v>
      </c>
      <c r="AD323">
        <v>11.89</v>
      </c>
      <c r="AE323">
        <v>26.6</v>
      </c>
      <c r="AF323">
        <v>97.08</v>
      </c>
      <c r="AG323">
        <v>47.8</v>
      </c>
      <c r="AH323">
        <v>9.99</v>
      </c>
      <c r="AI323">
        <v>36.24</v>
      </c>
      <c r="AJ323">
        <v>99.11</v>
      </c>
      <c r="AK323">
        <v>18.16</v>
      </c>
      <c r="AL323">
        <v>21.02</v>
      </c>
      <c r="AM323">
        <v>116.85</v>
      </c>
      <c r="AN323">
        <v>31.94</v>
      </c>
      <c r="AO323" s="1">
        <f t="shared" si="14"/>
        <v>564.83000000000004</v>
      </c>
    </row>
    <row r="324" spans="1:41" x14ac:dyDescent="0.25">
      <c r="A324" t="s">
        <v>367</v>
      </c>
      <c r="B324" s="2">
        <v>3779.9585531288999</v>
      </c>
      <c r="C324" s="2">
        <v>880.17618829686705</v>
      </c>
      <c r="D324" s="2">
        <v>1908.31293346341</v>
      </c>
      <c r="E324" s="2">
        <v>1070.70646236737</v>
      </c>
      <c r="F324" s="2">
        <v>1571.8857352909699</v>
      </c>
      <c r="G324" s="2">
        <v>1874.07723512866</v>
      </c>
      <c r="H324" s="2">
        <v>5727.5719275100701</v>
      </c>
      <c r="I324" s="2">
        <v>2786.5107666157901</v>
      </c>
      <c r="J324" s="2">
        <v>2686.6846176275899</v>
      </c>
      <c r="K324" s="2">
        <v>6769.7379883169397</v>
      </c>
      <c r="L324" s="2">
        <v>1092.3740389607301</v>
      </c>
      <c r="M324" s="2">
        <v>4381.7032480202097</v>
      </c>
      <c r="N324" s="3">
        <f t="shared" si="15"/>
        <v>34529.699694727504</v>
      </c>
      <c r="O324" s="2">
        <v>2.5090335784339901</v>
      </c>
      <c r="P324" s="2">
        <v>3.8338915686584198</v>
      </c>
      <c r="Q324" s="2">
        <v>8.7481078187242804</v>
      </c>
      <c r="R324" s="2">
        <v>2.1699330217623398</v>
      </c>
      <c r="S324" s="2">
        <v>1.18543321719015</v>
      </c>
      <c r="T324" s="2">
        <v>0.57478958697270899</v>
      </c>
      <c r="U324" s="2">
        <v>6.8993127755335104</v>
      </c>
      <c r="V324" s="2">
        <v>4.1603171265037</v>
      </c>
      <c r="W324" s="2">
        <v>5.7993325868600198</v>
      </c>
      <c r="X324" s="2">
        <v>0.120283160528666</v>
      </c>
      <c r="Y324" s="2">
        <v>1.1803921535433399</v>
      </c>
      <c r="Z324" s="2">
        <v>1.39925296633826</v>
      </c>
      <c r="AA324" s="3">
        <f t="shared" ref="AA324:AA387" si="16">SUM(O324:Z324)</f>
        <v>38.580079561049381</v>
      </c>
      <c r="AB324" t="s">
        <v>63</v>
      </c>
      <c r="AC324">
        <v>75.87</v>
      </c>
      <c r="AD324">
        <v>17.98</v>
      </c>
      <c r="AE324">
        <v>38.99</v>
      </c>
      <c r="AF324">
        <v>21.69</v>
      </c>
      <c r="AG324">
        <v>31.62</v>
      </c>
      <c r="AH324">
        <v>37.590000000000003</v>
      </c>
      <c r="AI324">
        <v>115.19</v>
      </c>
      <c r="AJ324">
        <v>56.19</v>
      </c>
      <c r="AK324">
        <v>54.28</v>
      </c>
      <c r="AL324">
        <v>135.49</v>
      </c>
      <c r="AM324">
        <v>22.04</v>
      </c>
      <c r="AN324">
        <v>87.82</v>
      </c>
      <c r="AO324" s="1">
        <f t="shared" si="14"/>
        <v>694.75</v>
      </c>
    </row>
    <row r="325" spans="1:41" x14ac:dyDescent="0.25">
      <c r="A325" t="s">
        <v>368</v>
      </c>
      <c r="B325" s="2">
        <v>3779.1489443822102</v>
      </c>
      <c r="C325" s="2">
        <v>1191.45601246714</v>
      </c>
      <c r="D325" s="2">
        <v>5571.5825141149598</v>
      </c>
      <c r="E325" s="2">
        <v>585.19721498247395</v>
      </c>
      <c r="F325" s="2">
        <v>8688.6694266628201</v>
      </c>
      <c r="G325" s="2">
        <v>2057.4241565270599</v>
      </c>
      <c r="H325" s="2">
        <v>3608.9147216168699</v>
      </c>
      <c r="I325" s="2">
        <v>514.926329559853</v>
      </c>
      <c r="J325" s="2">
        <v>1424.5644721819001</v>
      </c>
      <c r="K325" s="2">
        <v>1426.2801651632899</v>
      </c>
      <c r="L325" s="2">
        <v>1798.28297757716</v>
      </c>
      <c r="M325" s="2">
        <v>0</v>
      </c>
      <c r="N325" s="3">
        <f t="shared" si="15"/>
        <v>30646.446935235741</v>
      </c>
      <c r="O325" s="2">
        <v>11.3204246415436</v>
      </c>
      <c r="P325" s="2">
        <v>2.2436555218502301</v>
      </c>
      <c r="Q325" s="2">
        <v>1.7903967478527101</v>
      </c>
      <c r="R325" s="2">
        <v>0.56933778771563504</v>
      </c>
      <c r="S325" s="2">
        <v>10.096930664059</v>
      </c>
      <c r="T325" s="2">
        <v>2.0928762940474499</v>
      </c>
      <c r="U325" s="2">
        <v>3.0730261675160402</v>
      </c>
      <c r="V325" s="2">
        <v>2.8166491744458599</v>
      </c>
      <c r="W325" s="2">
        <v>5.2628169345072697</v>
      </c>
      <c r="X325" s="2">
        <v>0.91667570882235305</v>
      </c>
      <c r="Y325" s="2">
        <v>2.6135960223070001</v>
      </c>
      <c r="Z325" s="2">
        <v>9.2477530751314205</v>
      </c>
      <c r="AA325" s="3">
        <f t="shared" si="16"/>
        <v>52.044138739798569</v>
      </c>
      <c r="AB325" t="s">
        <v>63</v>
      </c>
      <c r="AC325">
        <v>76.680000000000007</v>
      </c>
      <c r="AD325">
        <v>24.11</v>
      </c>
      <c r="AE325">
        <v>111.62</v>
      </c>
      <c r="AF325">
        <v>11.81</v>
      </c>
      <c r="AG325">
        <v>174.77</v>
      </c>
      <c r="AH325">
        <v>41.43</v>
      </c>
      <c r="AI325">
        <v>72.540000000000006</v>
      </c>
      <c r="AJ325">
        <v>10.57</v>
      </c>
      <c r="AK325">
        <v>29.04</v>
      </c>
      <c r="AL325">
        <v>28.63</v>
      </c>
      <c r="AM325">
        <v>36.25</v>
      </c>
      <c r="AN325">
        <v>0.9</v>
      </c>
      <c r="AO325" s="1">
        <f t="shared" ref="AO325:AO388" si="17">SUM(AC325:AN325)</f>
        <v>618.35</v>
      </c>
    </row>
    <row r="326" spans="1:41" x14ac:dyDescent="0.25">
      <c r="A326" t="s">
        <v>369</v>
      </c>
      <c r="B326" s="2">
        <v>3771.7788931106702</v>
      </c>
      <c r="C326" s="2">
        <v>1907.9509083013199</v>
      </c>
      <c r="D326" s="2">
        <v>11325.533430200199</v>
      </c>
      <c r="E326" s="2">
        <v>1226.4251146912</v>
      </c>
      <c r="F326" s="2">
        <v>2598.1714864876999</v>
      </c>
      <c r="G326" s="2">
        <v>858.178933115414</v>
      </c>
      <c r="H326" s="2">
        <v>5397.2217914230796</v>
      </c>
      <c r="I326" s="2">
        <v>0</v>
      </c>
      <c r="J326" s="2">
        <v>0</v>
      </c>
      <c r="K326" s="2">
        <v>5663.02035626411</v>
      </c>
      <c r="L326" s="2">
        <v>2312.2210270068999</v>
      </c>
      <c r="M326" s="2">
        <v>2108.8742397246301</v>
      </c>
      <c r="N326" s="3">
        <f t="shared" si="15"/>
        <v>37169.37618032522</v>
      </c>
      <c r="O326" s="2">
        <v>2.0148547714113501</v>
      </c>
      <c r="P326" s="2">
        <v>3.1307946801598998</v>
      </c>
      <c r="Q326" s="2">
        <v>0</v>
      </c>
      <c r="R326" s="2">
        <v>0.189565808515478</v>
      </c>
      <c r="S326" s="2">
        <v>0.65012451542405003</v>
      </c>
      <c r="T326" s="2">
        <v>3.4687446672391098</v>
      </c>
      <c r="U326" s="2">
        <v>3.6441471625929198</v>
      </c>
      <c r="V326" s="2">
        <v>4.0386876690103</v>
      </c>
      <c r="W326" s="2">
        <v>3.1871871027827798</v>
      </c>
      <c r="X326" s="2">
        <v>6.0995546747656801</v>
      </c>
      <c r="Y326" s="2">
        <v>6.6894553849572898</v>
      </c>
      <c r="Z326" s="2">
        <v>6.5509321733332104</v>
      </c>
      <c r="AA326" s="3">
        <f t="shared" si="16"/>
        <v>39.664048610192069</v>
      </c>
      <c r="AB326" t="s">
        <v>45</v>
      </c>
      <c r="AC326">
        <v>47.86</v>
      </c>
      <c r="AD326">
        <v>29.27</v>
      </c>
      <c r="AE326">
        <v>123.25</v>
      </c>
      <c r="AF326">
        <v>22.31</v>
      </c>
      <c r="AG326">
        <v>36.03</v>
      </c>
      <c r="AH326">
        <v>18.78</v>
      </c>
      <c r="AI326">
        <v>64.17</v>
      </c>
      <c r="AJ326">
        <v>10.24</v>
      </c>
      <c r="AK326">
        <v>10.19</v>
      </c>
      <c r="AL326">
        <v>66.98</v>
      </c>
      <c r="AM326">
        <v>33.47</v>
      </c>
      <c r="AN326">
        <v>31.43</v>
      </c>
      <c r="AO326" s="1">
        <f t="shared" si="17"/>
        <v>493.98000000000008</v>
      </c>
    </row>
    <row r="327" spans="1:41" x14ac:dyDescent="0.25">
      <c r="A327" t="s">
        <v>370</v>
      </c>
      <c r="B327" s="2">
        <v>3771.0566323907401</v>
      </c>
      <c r="C327" s="2">
        <v>0</v>
      </c>
      <c r="D327" s="2">
        <v>1135.3943516881</v>
      </c>
      <c r="E327" s="2">
        <v>3541.6438642554599</v>
      </c>
      <c r="F327" s="2">
        <v>7703.8921229977504</v>
      </c>
      <c r="G327" s="2">
        <v>0</v>
      </c>
      <c r="H327" s="2">
        <v>6638.8683648297001</v>
      </c>
      <c r="I327" s="2">
        <v>2277.6939398736799</v>
      </c>
      <c r="J327" s="2">
        <v>7507.3840564944803</v>
      </c>
      <c r="K327" s="2">
        <v>6460.1008664350002</v>
      </c>
      <c r="L327" s="2">
        <v>8374.5970750936303</v>
      </c>
      <c r="M327" s="2">
        <v>5629.5347142567798</v>
      </c>
      <c r="N327" s="3">
        <f t="shared" si="15"/>
        <v>53040.165988315319</v>
      </c>
      <c r="O327" s="2">
        <v>5.9791905031989998</v>
      </c>
      <c r="P327" s="2">
        <v>6.69920468736602</v>
      </c>
      <c r="Q327" s="2">
        <v>10.291299252122201</v>
      </c>
      <c r="R327" s="2">
        <v>5.9082712528146404</v>
      </c>
      <c r="S327" s="2">
        <v>10.7582376161472</v>
      </c>
      <c r="T327" s="2">
        <v>7.6088581239327796E-2</v>
      </c>
      <c r="U327" s="2">
        <v>2.3799398076075899</v>
      </c>
      <c r="V327" s="2">
        <v>0.27486133324279299</v>
      </c>
      <c r="W327" s="2">
        <v>1.01861618903593</v>
      </c>
      <c r="X327" s="2">
        <v>0.89209649391587098</v>
      </c>
      <c r="Y327" s="2">
        <v>1.9585588011248001</v>
      </c>
      <c r="Z327" s="2">
        <v>0.44487557246647302</v>
      </c>
      <c r="AA327" s="3">
        <f t="shared" si="16"/>
        <v>46.681240090281854</v>
      </c>
      <c r="AB327" t="s">
        <v>45</v>
      </c>
      <c r="AC327">
        <v>48.01</v>
      </c>
      <c r="AD327">
        <v>10.34</v>
      </c>
      <c r="AE327">
        <v>21.9</v>
      </c>
      <c r="AF327">
        <v>45.71</v>
      </c>
      <c r="AG327">
        <v>87.58</v>
      </c>
      <c r="AH327">
        <v>10.039999999999999</v>
      </c>
      <c r="AI327">
        <v>76.53</v>
      </c>
      <c r="AJ327">
        <v>32.82</v>
      </c>
      <c r="AK327">
        <v>85.17</v>
      </c>
      <c r="AL327">
        <v>74.650000000000006</v>
      </c>
      <c r="AM327">
        <v>93.84</v>
      </c>
      <c r="AN327">
        <v>66.34</v>
      </c>
      <c r="AO327" s="1">
        <f t="shared" si="17"/>
        <v>652.93000000000006</v>
      </c>
    </row>
    <row r="328" spans="1:41" x14ac:dyDescent="0.25">
      <c r="A328" t="s">
        <v>371</v>
      </c>
      <c r="B328" s="2">
        <v>3754.2349437872699</v>
      </c>
      <c r="C328" s="2">
        <v>9547.9219034544403</v>
      </c>
      <c r="D328" s="2">
        <v>1002.76103882059</v>
      </c>
      <c r="E328" s="2">
        <v>0</v>
      </c>
      <c r="F328" s="2">
        <v>1000.79649177848</v>
      </c>
      <c r="G328" s="2">
        <v>2839.1921361177501</v>
      </c>
      <c r="H328" s="2">
        <v>4249.7518745719299</v>
      </c>
      <c r="I328" s="2">
        <v>3063.4188029982602</v>
      </c>
      <c r="J328" s="2">
        <v>1989.02427879079</v>
      </c>
      <c r="K328" s="2">
        <v>1153.3528391520199</v>
      </c>
      <c r="L328" s="2">
        <v>2269.5518739356198</v>
      </c>
      <c r="M328" s="2">
        <v>2451.35434723854</v>
      </c>
      <c r="N328" s="3">
        <f t="shared" si="15"/>
        <v>33321.360530645688</v>
      </c>
      <c r="O328" s="2">
        <v>8.1901757326272406</v>
      </c>
      <c r="P328" s="2">
        <v>4.8464816743890697</v>
      </c>
      <c r="Q328" s="2">
        <v>14.911944828035701</v>
      </c>
      <c r="R328" s="2">
        <v>0.15329666529000699</v>
      </c>
      <c r="S328" s="2">
        <v>0</v>
      </c>
      <c r="T328" s="2">
        <v>0.39126263116333998</v>
      </c>
      <c r="U328" s="2">
        <v>6.1604031596678404</v>
      </c>
      <c r="V328" s="2">
        <v>2.3459102469823701</v>
      </c>
      <c r="W328" s="2">
        <v>0</v>
      </c>
      <c r="X328" s="2">
        <v>27.516201602286898</v>
      </c>
      <c r="Y328" s="2">
        <v>0</v>
      </c>
      <c r="Z328" s="2">
        <v>6.1830565362061503</v>
      </c>
      <c r="AA328" s="3">
        <f t="shared" si="16"/>
        <v>70.698733076648622</v>
      </c>
      <c r="AB328" t="s">
        <v>63</v>
      </c>
      <c r="AC328">
        <v>75.91</v>
      </c>
      <c r="AD328">
        <v>191.41</v>
      </c>
      <c r="AE328">
        <v>21.41</v>
      </c>
      <c r="AF328">
        <v>0.09</v>
      </c>
      <c r="AG328">
        <v>20.02</v>
      </c>
      <c r="AH328">
        <v>56.89</v>
      </c>
      <c r="AI328">
        <v>85.63</v>
      </c>
      <c r="AJ328">
        <v>61.55</v>
      </c>
      <c r="AK328">
        <v>39.799999999999997</v>
      </c>
      <c r="AL328">
        <v>25.6</v>
      </c>
      <c r="AM328">
        <v>45.4</v>
      </c>
      <c r="AN328">
        <v>49.67</v>
      </c>
      <c r="AO328" s="1">
        <f t="shared" si="17"/>
        <v>673.37999999999988</v>
      </c>
    </row>
    <row r="329" spans="1:41" x14ac:dyDescent="0.25">
      <c r="A329" t="s">
        <v>372</v>
      </c>
      <c r="B329" s="2">
        <v>3749.93779065532</v>
      </c>
      <c r="C329" s="2">
        <v>7251.5789736327597</v>
      </c>
      <c r="D329" s="2">
        <v>6409.5688038882599</v>
      </c>
      <c r="E329" s="2">
        <v>0</v>
      </c>
      <c r="F329" s="2">
        <v>753.16445525908102</v>
      </c>
      <c r="G329" s="2">
        <v>2363.9866696919298</v>
      </c>
      <c r="H329" s="2">
        <v>641.53206278889195</v>
      </c>
      <c r="I329" s="2">
        <v>1330.85586489765</v>
      </c>
      <c r="J329" s="2">
        <v>10508.843469547201</v>
      </c>
      <c r="K329" s="2">
        <v>1142.9694699520301</v>
      </c>
      <c r="L329" s="2">
        <v>2751.7107580440502</v>
      </c>
      <c r="M329" s="2">
        <v>2280.1018330660199</v>
      </c>
      <c r="N329" s="3">
        <f t="shared" si="15"/>
        <v>39184.250151423199</v>
      </c>
      <c r="O329" s="2">
        <v>1.02207321561589</v>
      </c>
      <c r="P329" s="2">
        <v>4.9355587830511496</v>
      </c>
      <c r="Q329" s="2">
        <v>0.51331173632620697</v>
      </c>
      <c r="R329" s="2">
        <v>2.59258833404495</v>
      </c>
      <c r="S329" s="2">
        <v>1.96177331043291</v>
      </c>
      <c r="T329" s="2">
        <v>1.1949637369955399</v>
      </c>
      <c r="U329" s="2">
        <v>7.54248834971356</v>
      </c>
      <c r="V329" s="2">
        <v>2.0387669672761999</v>
      </c>
      <c r="W329" s="2">
        <v>3.3461660628652798</v>
      </c>
      <c r="X329" s="2">
        <v>9.6489658985241995</v>
      </c>
      <c r="Y329" s="2">
        <v>5.0333720783185498</v>
      </c>
      <c r="Z329" s="2">
        <v>6.7246450627085501</v>
      </c>
      <c r="AA329" s="3">
        <f t="shared" si="16"/>
        <v>46.554673535872979</v>
      </c>
      <c r="AB329" t="s">
        <v>63</v>
      </c>
      <c r="AC329">
        <v>75.180000000000007</v>
      </c>
      <c r="AD329">
        <v>145.49</v>
      </c>
      <c r="AE329">
        <v>128.29</v>
      </c>
      <c r="AF329">
        <v>0.27</v>
      </c>
      <c r="AG329">
        <v>15.26</v>
      </c>
      <c r="AH329">
        <v>47.46</v>
      </c>
      <c r="AI329">
        <v>13.56</v>
      </c>
      <c r="AJ329">
        <v>26.89</v>
      </c>
      <c r="AK329">
        <v>210.54</v>
      </c>
      <c r="AL329">
        <v>23.76</v>
      </c>
      <c r="AM329">
        <v>55.58</v>
      </c>
      <c r="AN329">
        <v>46.25</v>
      </c>
      <c r="AO329" s="1">
        <f t="shared" si="17"/>
        <v>788.53</v>
      </c>
    </row>
    <row r="330" spans="1:41" x14ac:dyDescent="0.25">
      <c r="A330" t="s">
        <v>373</v>
      </c>
      <c r="B330" s="2">
        <v>3742.7966808855299</v>
      </c>
      <c r="C330" s="2">
        <v>1608.921975596</v>
      </c>
      <c r="D330" s="2">
        <v>1923.2046688707401</v>
      </c>
      <c r="E330" s="2">
        <v>5578.9146042638904</v>
      </c>
      <c r="F330" s="2">
        <v>6468.9799345709698</v>
      </c>
      <c r="G330" s="2">
        <v>399.35903198072498</v>
      </c>
      <c r="H330" s="2">
        <v>3131.5666746163602</v>
      </c>
      <c r="I330" s="2">
        <v>0</v>
      </c>
      <c r="J330" s="2">
        <v>890.583484336639</v>
      </c>
      <c r="K330" s="2">
        <v>2549.96441851805</v>
      </c>
      <c r="L330" s="2">
        <v>101.743140537877</v>
      </c>
      <c r="M330" s="2">
        <v>227.80692569222299</v>
      </c>
      <c r="N330" s="3">
        <f t="shared" si="15"/>
        <v>26623.841539869009</v>
      </c>
      <c r="O330" s="2">
        <v>7.3385399120091304</v>
      </c>
      <c r="P330" s="2">
        <v>1.3102943071130699</v>
      </c>
      <c r="Q330" s="2">
        <v>8.6372479283632693</v>
      </c>
      <c r="R330" s="2">
        <v>3.2539691497934</v>
      </c>
      <c r="S330" s="2">
        <v>1.9933419263172101</v>
      </c>
      <c r="T330" s="2">
        <v>0</v>
      </c>
      <c r="U330" s="2">
        <v>8.1502068105306802E-2</v>
      </c>
      <c r="V330" s="2">
        <v>0</v>
      </c>
      <c r="W330" s="2">
        <v>12.0957360923196</v>
      </c>
      <c r="X330" s="2">
        <v>6.5975486445066398</v>
      </c>
      <c r="Y330" s="2">
        <v>3.6204651557457699</v>
      </c>
      <c r="Z330" s="2">
        <v>2.2189186935492402</v>
      </c>
      <c r="AA330" s="3">
        <f t="shared" si="16"/>
        <v>47.147563877822634</v>
      </c>
      <c r="AB330" t="s">
        <v>63</v>
      </c>
      <c r="AC330">
        <v>75.58</v>
      </c>
      <c r="AD330">
        <v>32.36</v>
      </c>
      <c r="AE330">
        <v>39.29</v>
      </c>
      <c r="AF330">
        <v>111.94</v>
      </c>
      <c r="AG330">
        <v>129.56</v>
      </c>
      <c r="AH330">
        <v>8</v>
      </c>
      <c r="AI330">
        <v>62.73</v>
      </c>
      <c r="AJ330">
        <v>0</v>
      </c>
      <c r="AK330">
        <v>18.989999999999998</v>
      </c>
      <c r="AL330">
        <v>51.63</v>
      </c>
      <c r="AM330">
        <v>2.4</v>
      </c>
      <c r="AN330">
        <v>4.83</v>
      </c>
      <c r="AO330" s="1">
        <f t="shared" si="17"/>
        <v>537.31000000000006</v>
      </c>
    </row>
    <row r="331" spans="1:41" x14ac:dyDescent="0.25">
      <c r="A331" t="s">
        <v>374</v>
      </c>
      <c r="B331" s="2">
        <v>3737.09415066479</v>
      </c>
      <c r="C331" s="2">
        <v>3649.79722650955</v>
      </c>
      <c r="D331" s="2">
        <v>3052.9456874417801</v>
      </c>
      <c r="E331" s="2">
        <v>2289.50126103293</v>
      </c>
      <c r="F331" s="2">
        <v>0</v>
      </c>
      <c r="G331" s="2">
        <v>1203.45875108832</v>
      </c>
      <c r="H331" s="2">
        <v>0</v>
      </c>
      <c r="I331" s="2">
        <v>1983.1482670718799</v>
      </c>
      <c r="J331" s="2">
        <v>2183.6856371757599</v>
      </c>
      <c r="K331" s="2">
        <v>4796.9502668610503</v>
      </c>
      <c r="L331" s="2">
        <v>5430.4990265979304</v>
      </c>
      <c r="M331" s="2">
        <v>1239.94703257585</v>
      </c>
      <c r="N331" s="3">
        <f t="shared" si="15"/>
        <v>29567.027307019842</v>
      </c>
      <c r="O331" s="2">
        <v>0.66475327969020903</v>
      </c>
      <c r="P331" s="2">
        <v>5.9557274208713</v>
      </c>
      <c r="Q331" s="2">
        <v>0</v>
      </c>
      <c r="R331" s="2">
        <v>2.4923949755174499</v>
      </c>
      <c r="S331" s="2">
        <v>8.8201402687943897</v>
      </c>
      <c r="T331" s="2">
        <v>1.2424068656692</v>
      </c>
      <c r="U331" s="2">
        <v>0</v>
      </c>
      <c r="V331" s="2">
        <v>1.79649050804112</v>
      </c>
      <c r="W331" s="2">
        <v>0</v>
      </c>
      <c r="X331" s="2">
        <v>4.3440792960765497</v>
      </c>
      <c r="Y331" s="2">
        <v>6.4850444183452698</v>
      </c>
      <c r="Z331" s="2">
        <v>0</v>
      </c>
      <c r="AA331" s="3">
        <f t="shared" si="16"/>
        <v>31.801037033005485</v>
      </c>
      <c r="AB331" t="s">
        <v>63</v>
      </c>
      <c r="AC331">
        <v>74.849999999999994</v>
      </c>
      <c r="AD331">
        <v>73.540000000000006</v>
      </c>
      <c r="AE331">
        <v>61.06</v>
      </c>
      <c r="AF331">
        <v>46.07</v>
      </c>
      <c r="AG331">
        <v>0.81</v>
      </c>
      <c r="AH331">
        <v>24.26</v>
      </c>
      <c r="AI331">
        <v>0</v>
      </c>
      <c r="AJ331">
        <v>39.86</v>
      </c>
      <c r="AK331">
        <v>43.68</v>
      </c>
      <c r="AL331">
        <v>96.39</v>
      </c>
      <c r="AM331">
        <v>109.25</v>
      </c>
      <c r="AN331">
        <v>24.8</v>
      </c>
      <c r="AO331" s="1">
        <f t="shared" si="17"/>
        <v>594.56999999999994</v>
      </c>
    </row>
    <row r="332" spans="1:41" x14ac:dyDescent="0.25">
      <c r="A332" t="s">
        <v>375</v>
      </c>
      <c r="B332" s="2">
        <v>3735.30750967114</v>
      </c>
      <c r="C332" s="2">
        <v>1151.99128724601</v>
      </c>
      <c r="D332" s="2">
        <v>1439.7900627946301</v>
      </c>
      <c r="E332" s="2">
        <v>3036.6033845813599</v>
      </c>
      <c r="F332" s="2">
        <v>3571.11602939151</v>
      </c>
      <c r="G332" s="2">
        <v>189.03419473201501</v>
      </c>
      <c r="H332" s="2">
        <v>2678.7431779209801</v>
      </c>
      <c r="I332" s="2">
        <v>6571.1677379040302</v>
      </c>
      <c r="J332" s="2">
        <v>1225.1591931138901</v>
      </c>
      <c r="K332" s="2">
        <v>1193.5684502909101</v>
      </c>
      <c r="L332" s="2">
        <v>620.06249013935997</v>
      </c>
      <c r="M332" s="2">
        <v>0</v>
      </c>
      <c r="N332" s="3">
        <f t="shared" si="15"/>
        <v>25412.543517785834</v>
      </c>
      <c r="O332" s="2">
        <v>2.69684463817023</v>
      </c>
      <c r="P332" s="2">
        <v>1.56529333040395</v>
      </c>
      <c r="Q332" s="2">
        <v>10.006451904305701</v>
      </c>
      <c r="R332" s="2">
        <v>2.7001522915928202</v>
      </c>
      <c r="S332" s="2">
        <v>5.2051954930634698</v>
      </c>
      <c r="T332" s="2">
        <v>1.14360696660213</v>
      </c>
      <c r="U332" s="2">
        <v>0</v>
      </c>
      <c r="V332" s="2">
        <v>0.30043326678089</v>
      </c>
      <c r="W332" s="2">
        <v>3.2922681687456201</v>
      </c>
      <c r="X332" s="2">
        <v>14.853490230351801</v>
      </c>
      <c r="Y332" s="2">
        <v>2.5677839895224599</v>
      </c>
      <c r="Z332" s="2">
        <v>1.1560979813702601</v>
      </c>
      <c r="AA332" s="3">
        <f t="shared" si="16"/>
        <v>45.487618260909329</v>
      </c>
      <c r="AB332" t="s">
        <v>63</v>
      </c>
      <c r="AC332">
        <v>74.989999999999995</v>
      </c>
      <c r="AD332">
        <v>23.22</v>
      </c>
      <c r="AE332">
        <v>29.79</v>
      </c>
      <c r="AF332">
        <v>61.01</v>
      </c>
      <c r="AG332">
        <v>71.98</v>
      </c>
      <c r="AH332">
        <v>3.98</v>
      </c>
      <c r="AI332">
        <v>53.58</v>
      </c>
      <c r="AJ332">
        <v>131.53</v>
      </c>
      <c r="AK332">
        <v>24.88</v>
      </c>
      <c r="AL332">
        <v>25.23</v>
      </c>
      <c r="AM332">
        <v>12.69</v>
      </c>
      <c r="AN332">
        <v>0.18</v>
      </c>
      <c r="AO332" s="1">
        <f t="shared" si="17"/>
        <v>513.06000000000006</v>
      </c>
    </row>
    <row r="333" spans="1:41" x14ac:dyDescent="0.25">
      <c r="A333" t="s">
        <v>376</v>
      </c>
      <c r="B333" s="2">
        <v>3718.7146458044299</v>
      </c>
      <c r="C333" s="2">
        <v>1236.9835089595099</v>
      </c>
      <c r="D333" s="2">
        <v>2826.7607989208</v>
      </c>
      <c r="E333" s="2">
        <v>2918.8563130164598</v>
      </c>
      <c r="F333" s="2">
        <v>6402.9814770320399</v>
      </c>
      <c r="G333" s="2">
        <v>4276.0058231944704</v>
      </c>
      <c r="H333" s="2">
        <v>646.07353942515101</v>
      </c>
      <c r="I333" s="2">
        <v>1210.7863993748999</v>
      </c>
      <c r="J333" s="2">
        <v>259.512895465143</v>
      </c>
      <c r="K333" s="2">
        <v>785.67007177363701</v>
      </c>
      <c r="L333" s="2">
        <v>1424.1250220122899</v>
      </c>
      <c r="M333" s="2">
        <v>6473.66657841709</v>
      </c>
      <c r="N333" s="3">
        <f t="shared" si="15"/>
        <v>32180.137073395927</v>
      </c>
      <c r="O333" s="2">
        <v>0</v>
      </c>
      <c r="P333" s="2">
        <v>1.48796573018696</v>
      </c>
      <c r="Q333" s="2">
        <v>1.83362801019476</v>
      </c>
      <c r="R333" s="2">
        <v>2.53298897374163</v>
      </c>
      <c r="S333" s="2">
        <v>0</v>
      </c>
      <c r="T333" s="2">
        <v>1.7759530716896399</v>
      </c>
      <c r="U333" s="2">
        <v>9.3740026986952394</v>
      </c>
      <c r="V333" s="2">
        <v>0</v>
      </c>
      <c r="W333" s="2">
        <v>5.8623530572217097</v>
      </c>
      <c r="X333" s="2">
        <v>3.5981999782704399</v>
      </c>
      <c r="Y333" s="2">
        <v>0</v>
      </c>
      <c r="Z333" s="2">
        <v>10.7779169341732</v>
      </c>
      <c r="AA333" s="3">
        <f t="shared" si="16"/>
        <v>37.243008454173584</v>
      </c>
      <c r="AB333" t="s">
        <v>63</v>
      </c>
      <c r="AC333">
        <v>74.38</v>
      </c>
      <c r="AD333">
        <v>24.92</v>
      </c>
      <c r="AE333">
        <v>56.72</v>
      </c>
      <c r="AF333">
        <v>58.65</v>
      </c>
      <c r="AG333">
        <v>128.06</v>
      </c>
      <c r="AH333">
        <v>85.72</v>
      </c>
      <c r="AI333">
        <v>13.84</v>
      </c>
      <c r="AJ333">
        <v>24.22</v>
      </c>
      <c r="AK333">
        <v>5.74</v>
      </c>
      <c r="AL333">
        <v>16.079999999999998</v>
      </c>
      <c r="AM333">
        <v>28.5</v>
      </c>
      <c r="AN333">
        <v>130.47</v>
      </c>
      <c r="AO333" s="1">
        <f t="shared" si="17"/>
        <v>647.29999999999995</v>
      </c>
    </row>
    <row r="334" spans="1:41" x14ac:dyDescent="0.25">
      <c r="A334" t="s">
        <v>377</v>
      </c>
      <c r="B334" s="2">
        <v>3716.47859998481</v>
      </c>
      <c r="C334" s="2">
        <v>2375.79383887534</v>
      </c>
      <c r="D334" s="2">
        <v>2797.2615848002201</v>
      </c>
      <c r="E334" s="2">
        <v>3701.2456506452399</v>
      </c>
      <c r="F334" s="2">
        <v>5434.9746747548397</v>
      </c>
      <c r="G334" s="2">
        <v>8101.0636893702103</v>
      </c>
      <c r="H334" s="2">
        <v>0</v>
      </c>
      <c r="I334" s="2">
        <v>3979.8958868548398</v>
      </c>
      <c r="J334" s="2">
        <v>0</v>
      </c>
      <c r="K334" s="2">
        <v>197.03852056796401</v>
      </c>
      <c r="L334" s="2">
        <v>3232.6100367439399</v>
      </c>
      <c r="M334" s="2">
        <v>2860.0849209911598</v>
      </c>
      <c r="N334" s="3">
        <f t="shared" si="15"/>
        <v>36396.447403588565</v>
      </c>
      <c r="O334" s="2">
        <v>6.7218585882663904</v>
      </c>
      <c r="P334" s="2">
        <v>2.3463923657856198</v>
      </c>
      <c r="Q334" s="2">
        <v>3.0482234424191201</v>
      </c>
      <c r="R334" s="2">
        <v>9.9343359385405297</v>
      </c>
      <c r="S334" s="2">
        <v>1.4898286984973099</v>
      </c>
      <c r="T334" s="2">
        <v>1.89832426537229</v>
      </c>
      <c r="U334" s="2">
        <v>5.17881956383673</v>
      </c>
      <c r="V334" s="2">
        <v>4.9292067047309196</v>
      </c>
      <c r="W334" s="2">
        <v>10.030916745862401</v>
      </c>
      <c r="X334" s="2">
        <v>10.652272564885401</v>
      </c>
      <c r="Y334" s="2">
        <v>5.0675524395513101</v>
      </c>
      <c r="Z334" s="2">
        <v>2.3808762123787899</v>
      </c>
      <c r="AA334" s="3">
        <f t="shared" si="16"/>
        <v>63.678607530126804</v>
      </c>
      <c r="AB334" t="s">
        <v>45</v>
      </c>
      <c r="AC334">
        <v>47.51</v>
      </c>
      <c r="AD334">
        <v>33.9</v>
      </c>
      <c r="AE334">
        <v>38.17</v>
      </c>
      <c r="AF334">
        <v>47.51</v>
      </c>
      <c r="AG334">
        <v>64.44</v>
      </c>
      <c r="AH334">
        <v>91.11</v>
      </c>
      <c r="AI334">
        <v>10.29</v>
      </c>
      <c r="AJ334">
        <v>50.04</v>
      </c>
      <c r="AK334">
        <v>10.54</v>
      </c>
      <c r="AL334">
        <v>12.52</v>
      </c>
      <c r="AM334">
        <v>42.62</v>
      </c>
      <c r="AN334">
        <v>38.75</v>
      </c>
      <c r="AO334" s="1">
        <f t="shared" si="17"/>
        <v>487.40000000000003</v>
      </c>
    </row>
    <row r="335" spans="1:41" x14ac:dyDescent="0.25">
      <c r="A335" t="s">
        <v>378</v>
      </c>
      <c r="B335" s="2">
        <v>3698.3182697153302</v>
      </c>
      <c r="C335" s="2">
        <v>1799.8124099754</v>
      </c>
      <c r="D335" s="2">
        <v>240.59511549987599</v>
      </c>
      <c r="E335" s="2">
        <v>177.39476082041199</v>
      </c>
      <c r="F335" s="2">
        <v>11764.6219492904</v>
      </c>
      <c r="G335" s="2">
        <v>3491.0331518512298</v>
      </c>
      <c r="H335" s="2">
        <v>4002.4834477520999</v>
      </c>
      <c r="I335" s="2">
        <v>1941.21879943619</v>
      </c>
      <c r="J335" s="2">
        <v>1820.61791285903</v>
      </c>
      <c r="K335" s="2">
        <v>0</v>
      </c>
      <c r="L335" s="2">
        <v>21617.116956863301</v>
      </c>
      <c r="M335" s="2">
        <v>4799.6187268910699</v>
      </c>
      <c r="N335" s="3">
        <f t="shared" si="15"/>
        <v>55352.831500954337</v>
      </c>
      <c r="O335" s="2">
        <v>0</v>
      </c>
      <c r="P335" s="2">
        <v>0.29927981038948398</v>
      </c>
      <c r="Q335" s="2">
        <v>7.8317524264965099</v>
      </c>
      <c r="R335" s="2">
        <v>1.8147140493545</v>
      </c>
      <c r="S335" s="2">
        <v>2.8684683395161099</v>
      </c>
      <c r="T335" s="2">
        <v>0.14658619769423301</v>
      </c>
      <c r="U335" s="2">
        <v>3.6633919949077098</v>
      </c>
      <c r="V335" s="2">
        <v>1.24283809739631</v>
      </c>
      <c r="W335" s="2">
        <v>6.0060390861666599</v>
      </c>
      <c r="X335" s="2">
        <v>7.7386400693895396</v>
      </c>
      <c r="Y335" s="2">
        <v>3.6186844854129601</v>
      </c>
      <c r="Z335" s="2">
        <v>0</v>
      </c>
      <c r="AA335" s="3">
        <f t="shared" si="16"/>
        <v>35.230394556724015</v>
      </c>
      <c r="AB335" t="s">
        <v>63</v>
      </c>
      <c r="AC335">
        <v>73.98</v>
      </c>
      <c r="AD335">
        <v>36.090000000000003</v>
      </c>
      <c r="AE335">
        <v>5.54</v>
      </c>
      <c r="AF335">
        <v>3.74</v>
      </c>
      <c r="AG335">
        <v>235.57</v>
      </c>
      <c r="AH335">
        <v>69.930000000000007</v>
      </c>
      <c r="AI335">
        <v>80.42</v>
      </c>
      <c r="AJ335">
        <v>39.020000000000003</v>
      </c>
      <c r="AK335">
        <v>37.049999999999997</v>
      </c>
      <c r="AL335">
        <v>0.72</v>
      </c>
      <c r="AM335">
        <v>432.72</v>
      </c>
      <c r="AN335">
        <v>96</v>
      </c>
      <c r="AO335" s="1">
        <f t="shared" si="17"/>
        <v>1110.7800000000002</v>
      </c>
    </row>
    <row r="336" spans="1:41" x14ac:dyDescent="0.25">
      <c r="A336" t="s">
        <v>379</v>
      </c>
      <c r="B336" s="2">
        <v>3677.9776647488302</v>
      </c>
      <c r="C336" s="2">
        <v>5500.8672229957501</v>
      </c>
      <c r="D336" s="2">
        <v>2002.3693266845701</v>
      </c>
      <c r="E336" s="2">
        <v>1349.1453317957501</v>
      </c>
      <c r="F336" s="2">
        <v>2092.0284897663701</v>
      </c>
      <c r="G336" s="2">
        <v>7626.9263680247104</v>
      </c>
      <c r="H336" s="2">
        <v>572.53430296459396</v>
      </c>
      <c r="I336" s="2">
        <v>2621.9621142533301</v>
      </c>
      <c r="J336" s="2">
        <v>2171.5178692161699</v>
      </c>
      <c r="K336" s="2">
        <v>2556.4242397599701</v>
      </c>
      <c r="L336" s="2">
        <v>7624.6788046429401</v>
      </c>
      <c r="M336" s="2">
        <v>6393.0060945431296</v>
      </c>
      <c r="N336" s="3">
        <f t="shared" si="15"/>
        <v>44189.437829396113</v>
      </c>
      <c r="O336" s="2">
        <v>3.2644478387567801</v>
      </c>
      <c r="P336" s="2">
        <v>6.4171176470687596</v>
      </c>
      <c r="Q336" s="2">
        <v>10.0182985015706</v>
      </c>
      <c r="R336" s="2">
        <v>9.8037141223357995</v>
      </c>
      <c r="S336" s="2">
        <v>2.3351584470754401</v>
      </c>
      <c r="T336" s="2">
        <v>0.80292450798207504</v>
      </c>
      <c r="U336" s="2">
        <v>16.0478748289561</v>
      </c>
      <c r="V336" s="2">
        <v>7.6111604587135204</v>
      </c>
      <c r="W336" s="2">
        <v>0</v>
      </c>
      <c r="X336" s="2">
        <v>8.6635341674233004</v>
      </c>
      <c r="Y336" s="2">
        <v>6.4994542243471498</v>
      </c>
      <c r="Z336" s="2">
        <v>1.5967090702693501</v>
      </c>
      <c r="AA336" s="3">
        <f t="shared" si="16"/>
        <v>73.06039381449888</v>
      </c>
      <c r="AB336" t="s">
        <v>45</v>
      </c>
      <c r="AC336">
        <v>46.97</v>
      </c>
      <c r="AD336">
        <v>65.349999999999994</v>
      </c>
      <c r="AE336">
        <v>30.57</v>
      </c>
      <c r="AF336">
        <v>23.99</v>
      </c>
      <c r="AG336">
        <v>31.07</v>
      </c>
      <c r="AH336">
        <v>86.31</v>
      </c>
      <c r="AI336">
        <v>16.57</v>
      </c>
      <c r="AJ336">
        <v>36.61</v>
      </c>
      <c r="AK336">
        <v>31.71</v>
      </c>
      <c r="AL336">
        <v>36.01</v>
      </c>
      <c r="AM336">
        <v>86.59</v>
      </c>
      <c r="AN336">
        <v>74.03</v>
      </c>
      <c r="AO336" s="1">
        <f t="shared" si="17"/>
        <v>565.78</v>
      </c>
    </row>
    <row r="337" spans="1:41" x14ac:dyDescent="0.25">
      <c r="A337" t="s">
        <v>380</v>
      </c>
      <c r="B337" s="2">
        <v>3652.20960807039</v>
      </c>
      <c r="C337" s="2">
        <v>4536.6353303087899</v>
      </c>
      <c r="D337" s="2">
        <v>3553.5522467311098</v>
      </c>
      <c r="E337" s="2">
        <v>0</v>
      </c>
      <c r="F337" s="2">
        <v>83.009247016051901</v>
      </c>
      <c r="G337" s="2">
        <v>720.39582536883097</v>
      </c>
      <c r="H337" s="2">
        <v>1188.6079133455</v>
      </c>
      <c r="I337" s="2">
        <v>15958.1657358955</v>
      </c>
      <c r="J337" s="2">
        <v>2323.4752715784998</v>
      </c>
      <c r="K337" s="2">
        <v>692.49239683890801</v>
      </c>
      <c r="L337" s="2">
        <v>907.58485015414601</v>
      </c>
      <c r="M337" s="2">
        <v>3640.1394165356401</v>
      </c>
      <c r="N337" s="3">
        <f t="shared" si="15"/>
        <v>37256.267841843364</v>
      </c>
      <c r="O337" s="2">
        <v>8.1288081089097801</v>
      </c>
      <c r="P337" s="2">
        <v>16.2912529652736</v>
      </c>
      <c r="Q337" s="2">
        <v>1.3309585738663401</v>
      </c>
      <c r="R337" s="2">
        <v>0</v>
      </c>
      <c r="S337" s="2">
        <v>6.8824676320596296</v>
      </c>
      <c r="T337" s="2">
        <v>2.47996160728046</v>
      </c>
      <c r="U337" s="2">
        <v>2.1597871662060402</v>
      </c>
      <c r="V337" s="2">
        <v>3.8266002316690999</v>
      </c>
      <c r="W337" s="2">
        <v>5.9308817444774498</v>
      </c>
      <c r="X337" s="2">
        <v>5.7472512523533998</v>
      </c>
      <c r="Y337" s="2">
        <v>4.2127239896530204</v>
      </c>
      <c r="Z337" s="2">
        <v>2.55909714578369</v>
      </c>
      <c r="AA337" s="3">
        <f t="shared" si="16"/>
        <v>59.549790417532499</v>
      </c>
      <c r="AB337" t="s">
        <v>45</v>
      </c>
      <c r="AC337">
        <v>46.97</v>
      </c>
      <c r="AD337">
        <v>56.21</v>
      </c>
      <c r="AE337">
        <v>45.63</v>
      </c>
      <c r="AF337">
        <v>9.99</v>
      </c>
      <c r="AG337">
        <v>11.18</v>
      </c>
      <c r="AH337">
        <v>17.350000000000001</v>
      </c>
      <c r="AI337">
        <v>22.03</v>
      </c>
      <c r="AJ337">
        <v>169.78</v>
      </c>
      <c r="AK337">
        <v>33.53</v>
      </c>
      <c r="AL337">
        <v>17.22</v>
      </c>
      <c r="AM337">
        <v>19.32</v>
      </c>
      <c r="AN337">
        <v>46.55</v>
      </c>
      <c r="AO337" s="1">
        <f t="shared" si="17"/>
        <v>495.76</v>
      </c>
    </row>
    <row r="338" spans="1:41" x14ac:dyDescent="0.25">
      <c r="A338" t="s">
        <v>381</v>
      </c>
      <c r="B338" s="2">
        <v>3650.8794033006502</v>
      </c>
      <c r="C338" s="2">
        <v>836.33554133833798</v>
      </c>
      <c r="D338" s="2">
        <v>4743.3651698267204</v>
      </c>
      <c r="E338" s="2">
        <v>2438.05278569757</v>
      </c>
      <c r="F338" s="2">
        <v>1597.2912617361801</v>
      </c>
      <c r="G338" s="2">
        <v>1649.9389226636499</v>
      </c>
      <c r="H338" s="2">
        <v>8773.4534450673691</v>
      </c>
      <c r="I338" s="2">
        <v>1293.1184147648601</v>
      </c>
      <c r="J338" s="2">
        <v>1702.2334414786401</v>
      </c>
      <c r="K338" s="2">
        <v>753.84082833802597</v>
      </c>
      <c r="L338" s="2">
        <v>0</v>
      </c>
      <c r="M338" s="2">
        <v>27.263463113924399</v>
      </c>
      <c r="N338" s="3">
        <f t="shared" si="15"/>
        <v>27465.772677325927</v>
      </c>
      <c r="O338" s="2">
        <v>2.9032113080404098</v>
      </c>
      <c r="P338" s="2">
        <v>2.5220426849027202</v>
      </c>
      <c r="Q338" s="2">
        <v>2.4464557664769901</v>
      </c>
      <c r="R338" s="2">
        <v>5.9319519919491599</v>
      </c>
      <c r="S338" s="2">
        <v>2.5371206177300598</v>
      </c>
      <c r="T338" s="2">
        <v>15.381992661833801</v>
      </c>
      <c r="U338" s="2">
        <v>3.39105325323322</v>
      </c>
      <c r="V338" s="2">
        <v>1.7745953285311</v>
      </c>
      <c r="W338" s="2">
        <v>3.4116837843096701</v>
      </c>
      <c r="X338" s="2">
        <v>1.0809960690092399</v>
      </c>
      <c r="Y338" s="2">
        <v>5.5515244561759696</v>
      </c>
      <c r="Z338" s="2">
        <v>0</v>
      </c>
      <c r="AA338" s="3">
        <f t="shared" si="16"/>
        <v>46.932627922192339</v>
      </c>
      <c r="AB338" t="s">
        <v>63</v>
      </c>
      <c r="AC338">
        <v>73.290000000000006</v>
      </c>
      <c r="AD338">
        <v>17.010000000000002</v>
      </c>
      <c r="AE338">
        <v>95.15</v>
      </c>
      <c r="AF338">
        <v>49.32</v>
      </c>
      <c r="AG338">
        <v>32.229999999999997</v>
      </c>
      <c r="AH338">
        <v>34.44</v>
      </c>
      <c r="AI338">
        <v>175.84</v>
      </c>
      <c r="AJ338">
        <v>26.06</v>
      </c>
      <c r="AK338">
        <v>34.42</v>
      </c>
      <c r="AL338">
        <v>15.26</v>
      </c>
      <c r="AM338">
        <v>0.54</v>
      </c>
      <c r="AN338">
        <v>0.56000000000000005</v>
      </c>
      <c r="AO338" s="1">
        <f t="shared" si="17"/>
        <v>554.11999999999989</v>
      </c>
    </row>
    <row r="339" spans="1:41" x14ac:dyDescent="0.25">
      <c r="A339" t="s">
        <v>382</v>
      </c>
      <c r="B339" s="2">
        <v>3634.9765567710801</v>
      </c>
      <c r="C339" s="2">
        <v>5010.80872192067</v>
      </c>
      <c r="D339" s="2">
        <v>2662.2710356162202</v>
      </c>
      <c r="E339" s="2">
        <v>3708.5493329242099</v>
      </c>
      <c r="F339" s="2">
        <v>3139.3054661096298</v>
      </c>
      <c r="G339" s="2">
        <v>387.21047994848198</v>
      </c>
      <c r="H339" s="2">
        <v>4675.54744893111</v>
      </c>
      <c r="I339" s="2">
        <v>2216.0787527345901</v>
      </c>
      <c r="J339" s="2">
        <v>2743.20874755656</v>
      </c>
      <c r="K339" s="2">
        <v>6779.7840016210102</v>
      </c>
      <c r="L339" s="2">
        <v>0</v>
      </c>
      <c r="M339" s="2">
        <v>950.38337020746701</v>
      </c>
      <c r="N339" s="3">
        <f t="shared" si="15"/>
        <v>35908.123914341028</v>
      </c>
      <c r="O339" s="2">
        <v>0</v>
      </c>
      <c r="P339" s="2">
        <v>1.457874219534</v>
      </c>
      <c r="Q339" s="2">
        <v>0.95617376980888802</v>
      </c>
      <c r="R339" s="2">
        <v>0.883688046342891</v>
      </c>
      <c r="S339" s="2">
        <v>2.0345263601424901</v>
      </c>
      <c r="T339" s="2">
        <v>0</v>
      </c>
      <c r="U339" s="2">
        <v>0.46138116557909098</v>
      </c>
      <c r="V339" s="2">
        <v>2.3379498986779099</v>
      </c>
      <c r="W339" s="2">
        <v>5.3411395334992999</v>
      </c>
      <c r="X339" s="2">
        <v>3.89428539540733</v>
      </c>
      <c r="Y339" s="2">
        <v>1.4889367349845299</v>
      </c>
      <c r="Z339" s="2">
        <v>0.32741788182763298</v>
      </c>
      <c r="AA339" s="3">
        <f t="shared" si="16"/>
        <v>19.183373005804064</v>
      </c>
      <c r="AB339" t="s">
        <v>63</v>
      </c>
      <c r="AC339">
        <v>72.7</v>
      </c>
      <c r="AD339">
        <v>100.4</v>
      </c>
      <c r="AE339">
        <v>53.35</v>
      </c>
      <c r="AF339">
        <v>74.27</v>
      </c>
      <c r="AG339">
        <v>63.07</v>
      </c>
      <c r="AH339">
        <v>7.76</v>
      </c>
      <c r="AI339">
        <v>93.61</v>
      </c>
      <c r="AJ339">
        <v>44.61</v>
      </c>
      <c r="AK339">
        <v>55.42</v>
      </c>
      <c r="AL339">
        <v>135.96</v>
      </c>
      <c r="AM339">
        <v>0.18</v>
      </c>
      <c r="AN339">
        <v>19.11</v>
      </c>
      <c r="AO339" s="1">
        <f t="shared" si="17"/>
        <v>720.44</v>
      </c>
    </row>
    <row r="340" spans="1:41" x14ac:dyDescent="0.25">
      <c r="A340" t="s">
        <v>383</v>
      </c>
      <c r="B340" s="2">
        <v>3626.7286032152301</v>
      </c>
      <c r="C340" s="2">
        <v>4005.4009024291699</v>
      </c>
      <c r="D340" s="2">
        <v>4168.7790750564</v>
      </c>
      <c r="E340" s="2">
        <v>651.87858892390295</v>
      </c>
      <c r="F340" s="2">
        <v>2311.3028922461599</v>
      </c>
      <c r="G340" s="2">
        <v>297.58587535272301</v>
      </c>
      <c r="H340" s="2">
        <v>5638.6079971549298</v>
      </c>
      <c r="I340" s="2">
        <v>6631.4469812689504</v>
      </c>
      <c r="J340" s="2">
        <v>1629.15849205365</v>
      </c>
      <c r="K340" s="2">
        <v>1317.5423598053601</v>
      </c>
      <c r="L340" s="2">
        <v>1941.96616967043</v>
      </c>
      <c r="M340" s="2">
        <v>980.02009057457803</v>
      </c>
      <c r="N340" s="3">
        <f t="shared" si="15"/>
        <v>33200.41802775149</v>
      </c>
      <c r="O340" s="2">
        <v>0</v>
      </c>
      <c r="P340" s="2">
        <v>3.79473936251323</v>
      </c>
      <c r="Q340" s="2">
        <v>1.4528613632620599</v>
      </c>
      <c r="R340" s="2">
        <v>8.0387903816061694</v>
      </c>
      <c r="S340" s="2">
        <v>6.3365205674233103</v>
      </c>
      <c r="T340" s="2">
        <v>3.7969866002542498</v>
      </c>
      <c r="U340" s="2">
        <v>5.0793736040045001</v>
      </c>
      <c r="V340" s="2">
        <v>1.40703575534738</v>
      </c>
      <c r="W340" s="2">
        <v>2.5860856260282601</v>
      </c>
      <c r="X340" s="2">
        <v>7.3502293747260303</v>
      </c>
      <c r="Y340" s="2">
        <v>2.99264728894499</v>
      </c>
      <c r="Z340" s="2">
        <v>1.0679372485486101</v>
      </c>
      <c r="AA340" s="3">
        <f t="shared" si="16"/>
        <v>43.903207172658782</v>
      </c>
      <c r="AB340" t="s">
        <v>63</v>
      </c>
      <c r="AC340">
        <v>72.540000000000006</v>
      </c>
      <c r="AD340">
        <v>80.48</v>
      </c>
      <c r="AE340">
        <v>83.56</v>
      </c>
      <c r="AF340">
        <v>13.85</v>
      </c>
      <c r="AG340">
        <v>46.87</v>
      </c>
      <c r="AH340">
        <v>6.32</v>
      </c>
      <c r="AI340">
        <v>113.32</v>
      </c>
      <c r="AJ340">
        <v>132.82</v>
      </c>
      <c r="AK340">
        <v>32.869999999999997</v>
      </c>
      <c r="AL340">
        <v>27.08</v>
      </c>
      <c r="AM340">
        <v>39.11</v>
      </c>
      <c r="AN340">
        <v>19.8</v>
      </c>
      <c r="AO340" s="1">
        <f t="shared" si="17"/>
        <v>668.62</v>
      </c>
    </row>
    <row r="341" spans="1:41" x14ac:dyDescent="0.25">
      <c r="A341" t="s">
        <v>384</v>
      </c>
      <c r="B341" s="2">
        <v>3609.6494754901701</v>
      </c>
      <c r="C341" s="2">
        <v>2174.9953900318501</v>
      </c>
      <c r="D341" s="2">
        <v>900.82135565351405</v>
      </c>
      <c r="E341" s="2">
        <v>0</v>
      </c>
      <c r="F341" s="2">
        <v>5332.2982397630703</v>
      </c>
      <c r="G341" s="2">
        <v>2263.0743760495602</v>
      </c>
      <c r="H341" s="2">
        <v>1437.6569350439299</v>
      </c>
      <c r="I341" s="2">
        <v>4241.2352839840696</v>
      </c>
      <c r="J341" s="2">
        <v>5694.3174964957198</v>
      </c>
      <c r="K341" s="2">
        <v>782.70809327332495</v>
      </c>
      <c r="L341" s="2">
        <v>7259.8719638557404</v>
      </c>
      <c r="M341" s="2">
        <v>4173.6686439607902</v>
      </c>
      <c r="N341" s="3">
        <f t="shared" si="15"/>
        <v>37870.297253601741</v>
      </c>
      <c r="O341" s="2">
        <v>0</v>
      </c>
      <c r="P341" s="2">
        <v>0.19901332102985</v>
      </c>
      <c r="Q341" s="2">
        <v>3.9734461406783201</v>
      </c>
      <c r="R341" s="2">
        <v>8.5858940788548406</v>
      </c>
      <c r="S341" s="2">
        <v>3.6824388165584501</v>
      </c>
      <c r="T341" s="2">
        <v>1.6120982697544799</v>
      </c>
      <c r="U341" s="2">
        <v>12.136976247153299</v>
      </c>
      <c r="V341" s="2">
        <v>3.4870575278714102</v>
      </c>
      <c r="W341" s="2">
        <v>11.6109015029863</v>
      </c>
      <c r="X341" s="2">
        <v>2.3899109023910401</v>
      </c>
      <c r="Y341" s="2">
        <v>2.37771225286513</v>
      </c>
      <c r="Z341" s="2">
        <v>1.2258608287942301</v>
      </c>
      <c r="AA341" s="3">
        <f t="shared" si="16"/>
        <v>51.281309888937351</v>
      </c>
      <c r="AB341" t="s">
        <v>45</v>
      </c>
      <c r="AC341">
        <v>46.09</v>
      </c>
      <c r="AD341">
        <v>31.79</v>
      </c>
      <c r="AE341">
        <v>19.2</v>
      </c>
      <c r="AF341">
        <v>10.44</v>
      </c>
      <c r="AG341">
        <v>63.52</v>
      </c>
      <c r="AH341">
        <v>32.729999999999997</v>
      </c>
      <c r="AI341">
        <v>25.02</v>
      </c>
      <c r="AJ341">
        <v>52.61</v>
      </c>
      <c r="AK341">
        <v>67.540000000000006</v>
      </c>
      <c r="AL341">
        <v>17.97</v>
      </c>
      <c r="AM341">
        <v>82.74</v>
      </c>
      <c r="AN341">
        <v>51.83</v>
      </c>
      <c r="AO341" s="1">
        <f t="shared" si="17"/>
        <v>501.47999999999996</v>
      </c>
    </row>
    <row r="342" spans="1:41" x14ac:dyDescent="0.25">
      <c r="A342" t="s">
        <v>385</v>
      </c>
      <c r="B342" s="2">
        <v>3606.8345326254498</v>
      </c>
      <c r="C342" s="2">
        <v>6195.6684472949601</v>
      </c>
      <c r="D342" s="2">
        <v>5646.8166714497002</v>
      </c>
      <c r="E342" s="2">
        <v>637.73199483509404</v>
      </c>
      <c r="F342" s="2">
        <v>12147.8486174629</v>
      </c>
      <c r="G342" s="2">
        <v>0</v>
      </c>
      <c r="H342" s="2">
        <v>811.22756764175006</v>
      </c>
      <c r="I342" s="2">
        <v>1517.34678169019</v>
      </c>
      <c r="J342" s="2">
        <v>179.14114092708601</v>
      </c>
      <c r="K342" s="2">
        <v>2383.0048893342801</v>
      </c>
      <c r="L342" s="2">
        <v>4207.39497009363</v>
      </c>
      <c r="M342" s="2">
        <v>7189.9303924647502</v>
      </c>
      <c r="N342" s="3">
        <f t="shared" si="15"/>
        <v>44522.946005819787</v>
      </c>
      <c r="O342" s="2">
        <v>9.7028278086756695E-2</v>
      </c>
      <c r="P342" s="2">
        <v>5.3185041301781304</v>
      </c>
      <c r="Q342" s="2">
        <v>6.7905942350366102</v>
      </c>
      <c r="R342" s="2">
        <v>1.7947776588103601</v>
      </c>
      <c r="S342" s="2">
        <v>0.23106717208426</v>
      </c>
      <c r="T342" s="2">
        <v>1.99600401701108</v>
      </c>
      <c r="U342" s="2">
        <v>3.9451841781372998</v>
      </c>
      <c r="V342" s="2">
        <v>15.673442860602201</v>
      </c>
      <c r="W342" s="2">
        <v>3.6211077325452199</v>
      </c>
      <c r="X342" s="2">
        <v>2.34233134836381</v>
      </c>
      <c r="Y342" s="2">
        <v>3.0851103286504298</v>
      </c>
      <c r="Z342" s="2">
        <v>3.8867158255402399</v>
      </c>
      <c r="AA342" s="3">
        <f t="shared" si="16"/>
        <v>48.7818677650464</v>
      </c>
      <c r="AB342" t="s">
        <v>45</v>
      </c>
      <c r="AC342">
        <v>46.11</v>
      </c>
      <c r="AD342">
        <v>72.25</v>
      </c>
      <c r="AE342">
        <v>66.81</v>
      </c>
      <c r="AF342">
        <v>16.47</v>
      </c>
      <c r="AG342">
        <v>131.52000000000001</v>
      </c>
      <c r="AH342">
        <v>10.09</v>
      </c>
      <c r="AI342">
        <v>18.309999999999999</v>
      </c>
      <c r="AJ342">
        <v>25.97</v>
      </c>
      <c r="AK342">
        <v>11.99</v>
      </c>
      <c r="AL342">
        <v>33.979999999999997</v>
      </c>
      <c r="AM342">
        <v>52.27</v>
      </c>
      <c r="AN342">
        <v>82.09</v>
      </c>
      <c r="AO342" s="1">
        <f t="shared" si="17"/>
        <v>567.86</v>
      </c>
    </row>
    <row r="343" spans="1:41" x14ac:dyDescent="0.25">
      <c r="A343" t="s">
        <v>386</v>
      </c>
      <c r="B343" s="2">
        <v>3597.3761924770802</v>
      </c>
      <c r="C343" s="2">
        <v>1232.84253345152</v>
      </c>
      <c r="D343" s="2">
        <v>716.07290792276103</v>
      </c>
      <c r="E343" s="2">
        <v>1207.3134705927</v>
      </c>
      <c r="F343" s="2">
        <v>10393.6725582123</v>
      </c>
      <c r="G343" s="2">
        <v>1032.8774727315999</v>
      </c>
      <c r="H343" s="2">
        <v>4941.25552881967</v>
      </c>
      <c r="I343" s="2">
        <v>3709.0373947789499</v>
      </c>
      <c r="J343" s="2">
        <v>0</v>
      </c>
      <c r="K343" s="2">
        <v>10827.395919598101</v>
      </c>
      <c r="L343" s="2">
        <v>1496.4270109320801</v>
      </c>
      <c r="M343" s="2">
        <v>461.457177660632</v>
      </c>
      <c r="N343" s="3">
        <f t="shared" si="15"/>
        <v>39615.728167177396</v>
      </c>
      <c r="O343" s="2">
        <v>8.3379295928536301</v>
      </c>
      <c r="P343" s="2">
        <v>13.191725866588101</v>
      </c>
      <c r="Q343" s="2">
        <v>7.85543887496907</v>
      </c>
      <c r="R343" s="2">
        <v>0.44844251875827001</v>
      </c>
      <c r="S343" s="2">
        <v>10.698774713019899</v>
      </c>
      <c r="T343" s="2">
        <v>2.97953337755493</v>
      </c>
      <c r="U343" s="2">
        <v>0</v>
      </c>
      <c r="V343" s="2">
        <v>1.2909595467877499</v>
      </c>
      <c r="W343" s="2">
        <v>0</v>
      </c>
      <c r="X343" s="2">
        <v>3.3521748196322498</v>
      </c>
      <c r="Y343" s="2">
        <v>2.4082109988390399</v>
      </c>
      <c r="Z343" s="2">
        <v>2.5051577753645198</v>
      </c>
      <c r="AA343" s="3">
        <f t="shared" si="16"/>
        <v>53.068348084367457</v>
      </c>
      <c r="AB343" t="s">
        <v>45</v>
      </c>
      <c r="AC343">
        <v>46.42</v>
      </c>
      <c r="AD343">
        <v>23.02</v>
      </c>
      <c r="AE343">
        <v>17.559999999999999</v>
      </c>
      <c r="AF343">
        <v>22.12</v>
      </c>
      <c r="AG343">
        <v>114.48</v>
      </c>
      <c r="AH343">
        <v>20.47</v>
      </c>
      <c r="AI343">
        <v>59.41</v>
      </c>
      <c r="AJ343">
        <v>47.19</v>
      </c>
      <c r="AK343">
        <v>9.99</v>
      </c>
      <c r="AL343">
        <v>118.47</v>
      </c>
      <c r="AM343">
        <v>25.11</v>
      </c>
      <c r="AN343">
        <v>14.76</v>
      </c>
      <c r="AO343" s="1">
        <f t="shared" si="17"/>
        <v>519</v>
      </c>
    </row>
    <row r="344" spans="1:41" x14ac:dyDescent="0.25">
      <c r="A344" t="s">
        <v>387</v>
      </c>
      <c r="B344" s="2">
        <v>3587.85731239095</v>
      </c>
      <c r="C344" s="2">
        <v>9796.1700805441196</v>
      </c>
      <c r="D344" s="2">
        <v>2351.75785635685</v>
      </c>
      <c r="E344" s="2">
        <v>14376.0157240517</v>
      </c>
      <c r="F344" s="2">
        <v>3578.0448649730802</v>
      </c>
      <c r="G344" s="2">
        <v>12942.677717008701</v>
      </c>
      <c r="H344" s="2">
        <v>0</v>
      </c>
      <c r="I344" s="2">
        <v>4160.0861118173098</v>
      </c>
      <c r="J344" s="2">
        <v>5878.6491829555198</v>
      </c>
      <c r="K344" s="2">
        <v>0</v>
      </c>
      <c r="L344" s="2">
        <v>2470.9778762562</v>
      </c>
      <c r="M344" s="2">
        <v>5804.39032511812</v>
      </c>
      <c r="N344" s="3">
        <f t="shared" si="15"/>
        <v>64946.627051472555</v>
      </c>
      <c r="O344" s="2">
        <v>5.1773422580494</v>
      </c>
      <c r="P344" s="2">
        <v>12.4536070158813</v>
      </c>
      <c r="Q344" s="2">
        <v>1.7079814318644</v>
      </c>
      <c r="R344" s="2">
        <v>13.0375040292127</v>
      </c>
      <c r="S344" s="2">
        <v>4.1461689900493797</v>
      </c>
      <c r="T344" s="2">
        <v>2.7004427612498598</v>
      </c>
      <c r="U344" s="2">
        <v>6.3117221327196704</v>
      </c>
      <c r="V344" s="2">
        <v>3.2748361124500001</v>
      </c>
      <c r="W344" s="2">
        <v>3.8508527707051399</v>
      </c>
      <c r="X344" s="2">
        <v>2.4476020108923899</v>
      </c>
      <c r="Y344" s="2">
        <v>7.21537535770823</v>
      </c>
      <c r="Z344" s="2">
        <v>6.9433012744480997</v>
      </c>
      <c r="AA344" s="3">
        <f t="shared" si="16"/>
        <v>69.266736145230567</v>
      </c>
      <c r="AB344" t="s">
        <v>45</v>
      </c>
      <c r="AC344">
        <v>46.17</v>
      </c>
      <c r="AD344">
        <v>108.61</v>
      </c>
      <c r="AE344">
        <v>33.61</v>
      </c>
      <c r="AF344">
        <v>154.46</v>
      </c>
      <c r="AG344">
        <v>46.03</v>
      </c>
      <c r="AH344">
        <v>139.57</v>
      </c>
      <c r="AI344">
        <v>10.34</v>
      </c>
      <c r="AJ344">
        <v>51.8</v>
      </c>
      <c r="AK344">
        <v>68.98</v>
      </c>
      <c r="AL344">
        <v>10.14</v>
      </c>
      <c r="AM344">
        <v>35.1</v>
      </c>
      <c r="AN344">
        <v>68.39</v>
      </c>
      <c r="AO344" s="1">
        <f t="shared" si="17"/>
        <v>773.2</v>
      </c>
    </row>
    <row r="345" spans="1:41" x14ac:dyDescent="0.25">
      <c r="A345" t="s">
        <v>388</v>
      </c>
      <c r="B345" s="2">
        <v>3575.45199959314</v>
      </c>
      <c r="C345" s="2">
        <v>4405.2558897243798</v>
      </c>
      <c r="D345" s="2">
        <v>655.550165392792</v>
      </c>
      <c r="E345" s="2">
        <v>2856.7443126552798</v>
      </c>
      <c r="F345" s="2">
        <v>5721.1277223772804</v>
      </c>
      <c r="G345" s="2">
        <v>5401.3201239923301</v>
      </c>
      <c r="H345" s="2">
        <v>1050.50046736389</v>
      </c>
      <c r="I345" s="2">
        <v>1980.8785456564301</v>
      </c>
      <c r="J345" s="2">
        <v>1105.5574661375299</v>
      </c>
      <c r="K345" s="2">
        <v>0</v>
      </c>
      <c r="L345" s="2">
        <v>1359.5503417023101</v>
      </c>
      <c r="M345" s="2">
        <v>5499.5756084478699</v>
      </c>
      <c r="N345" s="3">
        <f t="shared" si="15"/>
        <v>33611.512643043228</v>
      </c>
      <c r="O345" s="2">
        <v>3.5454397049913999</v>
      </c>
      <c r="P345" s="2">
        <v>1.4703342937567301E-3</v>
      </c>
      <c r="Q345" s="2">
        <v>5.2646249359544397</v>
      </c>
      <c r="R345" s="2">
        <v>6.6405374198329099</v>
      </c>
      <c r="S345" s="2">
        <v>0.52853033527644899</v>
      </c>
      <c r="T345" s="2">
        <v>0.51827160493406199</v>
      </c>
      <c r="U345" s="2">
        <v>6.2304923344648797</v>
      </c>
      <c r="V345" s="2">
        <v>13.867738052459201</v>
      </c>
      <c r="W345" s="2">
        <v>2.0325569923822302</v>
      </c>
      <c r="X345" s="2">
        <v>2.0429275399409299</v>
      </c>
      <c r="Y345" s="2">
        <v>0</v>
      </c>
      <c r="Z345" s="2">
        <v>3.0200401335534499</v>
      </c>
      <c r="AA345" s="3">
        <f t="shared" si="16"/>
        <v>43.692629388083716</v>
      </c>
      <c r="AB345" t="s">
        <v>63</v>
      </c>
      <c r="AC345">
        <v>71.88</v>
      </c>
      <c r="AD345">
        <v>88.21</v>
      </c>
      <c r="AE345">
        <v>13.66</v>
      </c>
      <c r="AF345">
        <v>57.77</v>
      </c>
      <c r="AG345">
        <v>114.53</v>
      </c>
      <c r="AH345">
        <v>108.13</v>
      </c>
      <c r="AI345">
        <v>21.65</v>
      </c>
      <c r="AJ345">
        <v>40.880000000000003</v>
      </c>
      <c r="AK345">
        <v>22.39</v>
      </c>
      <c r="AL345">
        <v>0.27</v>
      </c>
      <c r="AM345">
        <v>27.2</v>
      </c>
      <c r="AN345">
        <v>110.36</v>
      </c>
      <c r="AO345" s="1">
        <f t="shared" si="17"/>
        <v>676.93</v>
      </c>
    </row>
    <row r="346" spans="1:41" x14ac:dyDescent="0.25">
      <c r="A346" t="s">
        <v>389</v>
      </c>
      <c r="B346" s="2">
        <v>3574.5177670828102</v>
      </c>
      <c r="C346" s="2">
        <v>5611.3909540421801</v>
      </c>
      <c r="D346" s="2">
        <v>1262.7415661740299</v>
      </c>
      <c r="E346" s="2">
        <v>1386.77874755163</v>
      </c>
      <c r="F346" s="2">
        <v>192.74044936419901</v>
      </c>
      <c r="G346" s="2">
        <v>7415.63027433754</v>
      </c>
      <c r="H346" s="2">
        <v>669.96604416431001</v>
      </c>
      <c r="I346" s="2">
        <v>2958.0740013106101</v>
      </c>
      <c r="J346" s="2">
        <v>3353.2287156146499</v>
      </c>
      <c r="K346" s="2">
        <v>3661.1050148455602</v>
      </c>
      <c r="L346" s="2">
        <v>788.63339457514098</v>
      </c>
      <c r="M346" s="2">
        <v>2673.7742558838399</v>
      </c>
      <c r="N346" s="3">
        <f t="shared" si="15"/>
        <v>33548.581184946503</v>
      </c>
      <c r="O346" s="2">
        <v>7.69080098956481</v>
      </c>
      <c r="P346" s="2">
        <v>0</v>
      </c>
      <c r="Q346" s="2">
        <v>6.8371157628054497</v>
      </c>
      <c r="R346" s="2">
        <v>1.23882611681128</v>
      </c>
      <c r="S346" s="2">
        <v>9.5060883446549909</v>
      </c>
      <c r="T346" s="2">
        <v>5.2680103694705096</v>
      </c>
      <c r="U346" s="2">
        <v>2.2839457620192398</v>
      </c>
      <c r="V346" s="2">
        <v>4.8561643757365598</v>
      </c>
      <c r="W346" s="2">
        <v>1.2077816665542001</v>
      </c>
      <c r="X346" s="2">
        <v>1.8539348454475799</v>
      </c>
      <c r="Y346" s="2">
        <v>7.9853798131097902</v>
      </c>
      <c r="Z346" s="2">
        <v>2.1060431118213598</v>
      </c>
      <c r="AA346" s="3">
        <f t="shared" si="16"/>
        <v>50.834091157995772</v>
      </c>
      <c r="AB346" t="s">
        <v>63</v>
      </c>
      <c r="AC346">
        <v>72.22</v>
      </c>
      <c r="AD346">
        <v>112.24</v>
      </c>
      <c r="AE346">
        <v>25.89</v>
      </c>
      <c r="AF346">
        <v>27.92</v>
      </c>
      <c r="AG346">
        <v>4.76</v>
      </c>
      <c r="AH346">
        <v>148.86000000000001</v>
      </c>
      <c r="AI346">
        <v>13.67</v>
      </c>
      <c r="AJ346">
        <v>59.63</v>
      </c>
      <c r="AK346">
        <v>67.260000000000005</v>
      </c>
      <c r="AL346">
        <v>73.42</v>
      </c>
      <c r="AM346">
        <v>16.5</v>
      </c>
      <c r="AN346">
        <v>53.75</v>
      </c>
      <c r="AO346" s="1">
        <f t="shared" si="17"/>
        <v>676.12</v>
      </c>
    </row>
    <row r="347" spans="1:41" x14ac:dyDescent="0.25">
      <c r="A347" t="s">
        <v>390</v>
      </c>
      <c r="B347" s="2">
        <v>3548.7589209081202</v>
      </c>
      <c r="C347" s="2">
        <v>1003.06814959209</v>
      </c>
      <c r="D347" s="2">
        <v>6666.6723509329304</v>
      </c>
      <c r="E347" s="2">
        <v>11745.257469571799</v>
      </c>
      <c r="F347" s="2">
        <v>3645.1614310571599</v>
      </c>
      <c r="G347" s="2">
        <v>3158.1358966955399</v>
      </c>
      <c r="H347" s="2">
        <v>7168.9190993051498</v>
      </c>
      <c r="I347" s="2">
        <v>0</v>
      </c>
      <c r="J347" s="2">
        <v>979.38215252589703</v>
      </c>
      <c r="K347" s="2">
        <v>6769.5640991626296</v>
      </c>
      <c r="L347" s="2">
        <v>4623.6048343662796</v>
      </c>
      <c r="M347" s="2">
        <v>2779.5410252843099</v>
      </c>
      <c r="N347" s="3">
        <f t="shared" si="15"/>
        <v>52088.065429401904</v>
      </c>
      <c r="O347" s="2">
        <v>3.19359091202152</v>
      </c>
      <c r="P347" s="2">
        <v>3.4535781236646499</v>
      </c>
      <c r="Q347" s="2">
        <v>4.0968342443097097</v>
      </c>
      <c r="R347" s="2">
        <v>3.9900973170422498</v>
      </c>
      <c r="S347" s="2">
        <v>3.3654485910862002</v>
      </c>
      <c r="T347" s="2">
        <v>4.0955657468651498</v>
      </c>
      <c r="U347" s="2">
        <v>4.4640817388935599</v>
      </c>
      <c r="V347" s="2">
        <v>5.8035799462100801</v>
      </c>
      <c r="W347" s="2">
        <v>2.9107535615428102</v>
      </c>
      <c r="X347" s="2">
        <v>3.2357127464195998</v>
      </c>
      <c r="Y347" s="2">
        <v>7.5161451660826302</v>
      </c>
      <c r="Z347" s="2">
        <v>1.9386951215564301</v>
      </c>
      <c r="AA347" s="3">
        <f t="shared" si="16"/>
        <v>48.064083215694588</v>
      </c>
      <c r="AB347" t="s">
        <v>45</v>
      </c>
      <c r="AC347">
        <v>45.68</v>
      </c>
      <c r="AD347">
        <v>20.23</v>
      </c>
      <c r="AE347">
        <v>76.91</v>
      </c>
      <c r="AF347">
        <v>127.65</v>
      </c>
      <c r="AG347">
        <v>46.65</v>
      </c>
      <c r="AH347">
        <v>41.83</v>
      </c>
      <c r="AI347">
        <v>81.93</v>
      </c>
      <c r="AJ347">
        <v>10.29</v>
      </c>
      <c r="AK347">
        <v>19.940000000000001</v>
      </c>
      <c r="AL347">
        <v>77.89</v>
      </c>
      <c r="AM347">
        <v>56.63</v>
      </c>
      <c r="AN347">
        <v>37.89</v>
      </c>
      <c r="AO347" s="1">
        <f t="shared" si="17"/>
        <v>643.52</v>
      </c>
    </row>
    <row r="348" spans="1:41" x14ac:dyDescent="0.25">
      <c r="A348" t="s">
        <v>391</v>
      </c>
      <c r="B348" s="2">
        <v>3527.06276546463</v>
      </c>
      <c r="C348" s="2">
        <v>3884.9923518860701</v>
      </c>
      <c r="D348" s="2">
        <v>138.458020572642</v>
      </c>
      <c r="E348" s="2">
        <v>8852.7671990557192</v>
      </c>
      <c r="F348" s="2">
        <v>1530.33732416971</v>
      </c>
      <c r="G348" s="2">
        <v>1273.8619563178199</v>
      </c>
      <c r="H348" s="2">
        <v>533.89340981934799</v>
      </c>
      <c r="I348" s="2">
        <v>592.224083503477</v>
      </c>
      <c r="J348" s="2">
        <v>1118.6505994793299</v>
      </c>
      <c r="K348" s="2">
        <v>4845.03189525164</v>
      </c>
      <c r="L348" s="2">
        <v>3006.8271894678801</v>
      </c>
      <c r="M348" s="2">
        <v>1673.4512215704001</v>
      </c>
      <c r="N348" s="3">
        <f t="shared" si="15"/>
        <v>30977.558016558673</v>
      </c>
      <c r="O348" s="2">
        <v>2.9983248128504298</v>
      </c>
      <c r="P348" s="2">
        <v>3.5969676030454099</v>
      </c>
      <c r="Q348" s="2">
        <v>1.73323653285739</v>
      </c>
      <c r="R348" s="2">
        <v>0</v>
      </c>
      <c r="S348" s="2">
        <v>1.87270053689117</v>
      </c>
      <c r="T348" s="2">
        <v>0.908776844145883</v>
      </c>
      <c r="U348" s="2">
        <v>5.6132177801023699</v>
      </c>
      <c r="V348" s="2">
        <v>0</v>
      </c>
      <c r="W348" s="2">
        <v>2.5659025077314399</v>
      </c>
      <c r="X348" s="2">
        <v>10.074695444999101</v>
      </c>
      <c r="Y348" s="2">
        <v>2.0325142290992502</v>
      </c>
      <c r="Z348" s="2">
        <v>2.3530247414942198</v>
      </c>
      <c r="AA348" s="3">
        <f t="shared" si="16"/>
        <v>33.749361033216658</v>
      </c>
      <c r="AB348" t="s">
        <v>63</v>
      </c>
      <c r="AC348">
        <v>70.83</v>
      </c>
      <c r="AD348">
        <v>78.06</v>
      </c>
      <c r="AE348">
        <v>2.96</v>
      </c>
      <c r="AF348">
        <v>177.06</v>
      </c>
      <c r="AG348">
        <v>30.8</v>
      </c>
      <c r="AH348">
        <v>25.57</v>
      </c>
      <c r="AI348">
        <v>11.22</v>
      </c>
      <c r="AJ348">
        <v>11.86</v>
      </c>
      <c r="AK348">
        <v>22.65</v>
      </c>
      <c r="AL348">
        <v>97.91</v>
      </c>
      <c r="AM348">
        <v>60.41</v>
      </c>
      <c r="AN348">
        <v>33.75</v>
      </c>
      <c r="AO348" s="1">
        <f t="shared" si="17"/>
        <v>623.07999999999993</v>
      </c>
    </row>
    <row r="349" spans="1:41" x14ac:dyDescent="0.25">
      <c r="A349" t="s">
        <v>392</v>
      </c>
      <c r="B349" s="2">
        <v>3520.1663094010601</v>
      </c>
      <c r="C349" s="2">
        <v>5865.0460241861902</v>
      </c>
      <c r="D349" s="2">
        <v>208.95706838032501</v>
      </c>
      <c r="E349" s="2">
        <v>3548.0971996623198</v>
      </c>
      <c r="F349" s="2">
        <v>1486.7707192933699</v>
      </c>
      <c r="G349" s="2">
        <v>993.29139747576801</v>
      </c>
      <c r="H349" s="2">
        <v>4010.5227672433498</v>
      </c>
      <c r="I349" s="2">
        <v>17439.338023321801</v>
      </c>
      <c r="J349" s="2">
        <v>1926.4838770584299</v>
      </c>
      <c r="K349" s="2">
        <v>1967.3649428640099</v>
      </c>
      <c r="L349" s="2">
        <v>646.098828904181</v>
      </c>
      <c r="M349" s="2">
        <v>7944.8566993806899</v>
      </c>
      <c r="N349" s="3">
        <f t="shared" si="15"/>
        <v>49556.993857171496</v>
      </c>
      <c r="O349" s="2">
        <v>6.1633766701505701</v>
      </c>
      <c r="P349" s="2">
        <v>2.5665739772168199</v>
      </c>
      <c r="Q349" s="2">
        <v>1.34742761890201</v>
      </c>
      <c r="R349" s="2">
        <v>1.0649580330109101</v>
      </c>
      <c r="S349" s="2">
        <v>2.27258792703867</v>
      </c>
      <c r="T349" s="2">
        <v>0.49171441017107198</v>
      </c>
      <c r="U349" s="2">
        <v>2.2576385288193599</v>
      </c>
      <c r="V349" s="2">
        <v>17.095807608945201</v>
      </c>
      <c r="W349" s="2">
        <v>2.3928224192158898</v>
      </c>
      <c r="X349" s="2">
        <v>0</v>
      </c>
      <c r="Y349" s="2">
        <v>6.4162568091508101</v>
      </c>
      <c r="Z349" s="2">
        <v>0.89830442110713304</v>
      </c>
      <c r="AA349" s="3">
        <f t="shared" si="16"/>
        <v>42.967468423728448</v>
      </c>
      <c r="AB349" t="s">
        <v>45</v>
      </c>
      <c r="AC349">
        <v>45.55</v>
      </c>
      <c r="AD349">
        <v>68.8</v>
      </c>
      <c r="AE349">
        <v>12.18</v>
      </c>
      <c r="AF349">
        <v>45.58</v>
      </c>
      <c r="AG349">
        <v>25.01</v>
      </c>
      <c r="AH349">
        <v>19.98</v>
      </c>
      <c r="AI349">
        <v>50.25</v>
      </c>
      <c r="AJ349">
        <v>185.29</v>
      </c>
      <c r="AK349">
        <v>29.41</v>
      </c>
      <c r="AL349">
        <v>29.67</v>
      </c>
      <c r="AM349">
        <v>16.809999999999999</v>
      </c>
      <c r="AN349">
        <v>89.49</v>
      </c>
      <c r="AO349" s="1">
        <f t="shared" si="17"/>
        <v>618.02</v>
      </c>
    </row>
    <row r="350" spans="1:41" x14ac:dyDescent="0.25">
      <c r="A350" t="s">
        <v>393</v>
      </c>
      <c r="B350" s="2">
        <v>3514.2237235611801</v>
      </c>
      <c r="C350" s="2">
        <v>0</v>
      </c>
      <c r="D350" s="2">
        <v>1001.64103652841</v>
      </c>
      <c r="E350" s="2">
        <v>1480.9394847087301</v>
      </c>
      <c r="F350" s="2">
        <v>1166.5513990289601</v>
      </c>
      <c r="G350" s="2">
        <v>4301.0868918491396</v>
      </c>
      <c r="H350" s="2">
        <v>2437.9859611136799</v>
      </c>
      <c r="I350" s="2">
        <v>754.644678895109</v>
      </c>
      <c r="J350" s="2">
        <v>16213.067770718701</v>
      </c>
      <c r="K350" s="2">
        <v>1951.59923366208</v>
      </c>
      <c r="L350" s="2">
        <v>477.43669155523997</v>
      </c>
      <c r="M350" s="2">
        <v>0</v>
      </c>
      <c r="N350" s="3">
        <f t="shared" si="15"/>
        <v>33299.176871621225</v>
      </c>
      <c r="O350" s="2">
        <v>6.8714861381724202</v>
      </c>
      <c r="P350" s="2">
        <v>4.1502976545771197</v>
      </c>
      <c r="Q350" s="2">
        <v>1.24115502739585E-2</v>
      </c>
      <c r="R350" s="2">
        <v>2.0138482759644201</v>
      </c>
      <c r="S350" s="2">
        <v>2.8193572294288001</v>
      </c>
      <c r="T350" s="2">
        <v>5.3230389445940904</v>
      </c>
      <c r="U350" s="2">
        <v>1.5623063620831501</v>
      </c>
      <c r="V350" s="2">
        <v>0</v>
      </c>
      <c r="W350" s="2">
        <v>2.1216636835704099</v>
      </c>
      <c r="X350" s="2">
        <v>0.16394237270057099</v>
      </c>
      <c r="Y350" s="2">
        <v>4.2836668709423904</v>
      </c>
      <c r="Z350" s="2">
        <v>4.36234957490485</v>
      </c>
      <c r="AA350" s="3">
        <f t="shared" si="16"/>
        <v>33.684368657212183</v>
      </c>
      <c r="AB350" t="s">
        <v>63</v>
      </c>
      <c r="AC350">
        <v>70.930000000000007</v>
      </c>
      <c r="AD350">
        <v>0.45</v>
      </c>
      <c r="AE350">
        <v>20.13</v>
      </c>
      <c r="AF350">
        <v>29.89</v>
      </c>
      <c r="AG350">
        <v>23.61</v>
      </c>
      <c r="AH350">
        <v>86.58</v>
      </c>
      <c r="AI350">
        <v>48.94</v>
      </c>
      <c r="AJ350">
        <v>15.1</v>
      </c>
      <c r="AK350">
        <v>324.55</v>
      </c>
      <c r="AL350">
        <v>39.130000000000003</v>
      </c>
      <c r="AM350">
        <v>10.01</v>
      </c>
      <c r="AN350">
        <v>0.45</v>
      </c>
      <c r="AO350" s="1">
        <f t="shared" si="17"/>
        <v>669.7700000000001</v>
      </c>
    </row>
    <row r="351" spans="1:41" x14ac:dyDescent="0.25">
      <c r="A351" t="s">
        <v>394</v>
      </c>
      <c r="B351" s="2">
        <v>3506.5730586300001</v>
      </c>
      <c r="C351" s="2">
        <v>5522.7622921766697</v>
      </c>
      <c r="D351" s="2">
        <v>11220.078043653901</v>
      </c>
      <c r="E351" s="2">
        <v>2376.31593419615</v>
      </c>
      <c r="F351" s="2">
        <v>1131.59033472344</v>
      </c>
      <c r="G351" s="2">
        <v>1388.54870886616</v>
      </c>
      <c r="H351" s="2">
        <v>2197.2654145097999</v>
      </c>
      <c r="I351" s="2">
        <v>1569.07590494233</v>
      </c>
      <c r="J351" s="2">
        <v>8344.2160417631803</v>
      </c>
      <c r="K351" s="2">
        <v>2512.4329172170701</v>
      </c>
      <c r="L351" s="2">
        <v>3884.0152573925898</v>
      </c>
      <c r="M351" s="2">
        <v>302.23124526457599</v>
      </c>
      <c r="N351" s="3">
        <f t="shared" si="15"/>
        <v>43955.10515333587</v>
      </c>
      <c r="O351" s="2">
        <v>4.5394448464047397</v>
      </c>
      <c r="P351" s="2">
        <v>5.6739211847941498</v>
      </c>
      <c r="Q351" s="2">
        <v>0.60333162220145298</v>
      </c>
      <c r="R351" s="2">
        <v>0</v>
      </c>
      <c r="S351" s="2">
        <v>7.59792896583438</v>
      </c>
      <c r="T351" s="2">
        <v>1.0282694640732799</v>
      </c>
      <c r="U351" s="2">
        <v>8.6560747999671594</v>
      </c>
      <c r="V351" s="2">
        <v>0</v>
      </c>
      <c r="W351" s="2">
        <v>7.7064715680659903</v>
      </c>
      <c r="X351" s="2">
        <v>1.10915863796314</v>
      </c>
      <c r="Y351" s="2">
        <v>4.6567264409584803</v>
      </c>
      <c r="Z351" s="2">
        <v>0</v>
      </c>
      <c r="AA351" s="3">
        <f t="shared" si="16"/>
        <v>41.571327530262778</v>
      </c>
      <c r="AB351" t="s">
        <v>45</v>
      </c>
      <c r="AC351">
        <v>45.31</v>
      </c>
      <c r="AD351">
        <v>65.52</v>
      </c>
      <c r="AE351">
        <v>122.25</v>
      </c>
      <c r="AF351">
        <v>33.76</v>
      </c>
      <c r="AG351">
        <v>21.71</v>
      </c>
      <c r="AH351">
        <v>23.98</v>
      </c>
      <c r="AI351">
        <v>32.42</v>
      </c>
      <c r="AJ351">
        <v>25.69</v>
      </c>
      <c r="AK351">
        <v>93.84</v>
      </c>
      <c r="AL351">
        <v>35.22</v>
      </c>
      <c r="AM351">
        <v>49.09</v>
      </c>
      <c r="AN351">
        <v>13.02</v>
      </c>
      <c r="AO351" s="1">
        <f t="shared" si="17"/>
        <v>561.81000000000006</v>
      </c>
    </row>
    <row r="352" spans="1:41" x14ac:dyDescent="0.25">
      <c r="A352" t="s">
        <v>395</v>
      </c>
      <c r="B352" s="2">
        <v>3480.7801125999899</v>
      </c>
      <c r="C352" s="2">
        <v>1775.1853015749</v>
      </c>
      <c r="D352" s="2">
        <v>1781.3146777004199</v>
      </c>
      <c r="E352" s="2">
        <v>9414.5996285086003</v>
      </c>
      <c r="F352" s="2">
        <v>1692.40699563577</v>
      </c>
      <c r="G352" s="2">
        <v>3094.0896729651099</v>
      </c>
      <c r="H352" s="2">
        <v>53.252807381324601</v>
      </c>
      <c r="I352" s="2">
        <v>1706.74643176781</v>
      </c>
      <c r="J352" s="2">
        <v>7013.02230921511</v>
      </c>
      <c r="K352" s="2">
        <v>2714.1177927132999</v>
      </c>
      <c r="L352" s="2">
        <v>3137.7831487835301</v>
      </c>
      <c r="M352" s="2">
        <v>158.20592964975</v>
      </c>
      <c r="N352" s="3">
        <f t="shared" si="15"/>
        <v>36021.504808495607</v>
      </c>
      <c r="O352" s="2">
        <v>3.5820838354360101</v>
      </c>
      <c r="P352" s="2">
        <v>2.0575292908518699</v>
      </c>
      <c r="Q352" s="2">
        <v>7.9327848535986396</v>
      </c>
      <c r="R352" s="2">
        <v>7.8288326142353002</v>
      </c>
      <c r="S352" s="2">
        <v>2.4684241314809698</v>
      </c>
      <c r="T352" s="2">
        <v>9.2425808574003998</v>
      </c>
      <c r="U352" s="2">
        <v>0</v>
      </c>
      <c r="V352" s="2">
        <v>0</v>
      </c>
      <c r="W352" s="2">
        <v>0</v>
      </c>
      <c r="X352" s="2">
        <v>0</v>
      </c>
      <c r="Y352" s="2">
        <v>4.42106665621594</v>
      </c>
      <c r="Z352" s="2">
        <v>10.8983206436691</v>
      </c>
      <c r="AA352" s="3">
        <f t="shared" si="16"/>
        <v>48.431622882888234</v>
      </c>
      <c r="AB352" t="s">
        <v>45</v>
      </c>
      <c r="AC352">
        <v>45</v>
      </c>
      <c r="AD352">
        <v>27.9</v>
      </c>
      <c r="AE352">
        <v>28.21</v>
      </c>
      <c r="AF352">
        <v>104.54</v>
      </c>
      <c r="AG352">
        <v>27.07</v>
      </c>
      <c r="AH352">
        <v>41.44</v>
      </c>
      <c r="AI352">
        <v>10.53</v>
      </c>
      <c r="AJ352">
        <v>27.06</v>
      </c>
      <c r="AK352">
        <v>80.13</v>
      </c>
      <c r="AL352">
        <v>37.14</v>
      </c>
      <c r="AM352">
        <v>41.62</v>
      </c>
      <c r="AN352">
        <v>12.13</v>
      </c>
      <c r="AO352" s="1">
        <f t="shared" si="17"/>
        <v>482.77</v>
      </c>
    </row>
    <row r="353" spans="1:41" x14ac:dyDescent="0.25">
      <c r="A353" t="s">
        <v>396</v>
      </c>
      <c r="B353" s="2">
        <v>3471.3270057438699</v>
      </c>
      <c r="C353" s="2">
        <v>1403.7421656103299</v>
      </c>
      <c r="D353" s="2">
        <v>6860.45576776499</v>
      </c>
      <c r="E353" s="2">
        <v>6964.6386160245502</v>
      </c>
      <c r="F353" s="2">
        <v>2176.0124594311901</v>
      </c>
      <c r="G353" s="2">
        <v>696.42644927328001</v>
      </c>
      <c r="H353" s="2">
        <v>561.24570482480499</v>
      </c>
      <c r="I353" s="2">
        <v>2275.7464284120701</v>
      </c>
      <c r="J353" s="2">
        <v>3400.58143758494</v>
      </c>
      <c r="K353" s="2">
        <v>4640.5431572285897</v>
      </c>
      <c r="L353" s="2">
        <v>616.10435164862804</v>
      </c>
      <c r="M353" s="2">
        <v>3964.2736825968</v>
      </c>
      <c r="N353" s="3">
        <f t="shared" si="15"/>
        <v>37031.09722614404</v>
      </c>
      <c r="O353" s="2">
        <v>0.87288486210210503</v>
      </c>
      <c r="P353" s="2">
        <v>1.3121382283237899</v>
      </c>
      <c r="Q353" s="2">
        <v>2.3782826369574099</v>
      </c>
      <c r="R353" s="2">
        <v>2.0584034940441298</v>
      </c>
      <c r="S353" s="2">
        <v>1.99750936971318</v>
      </c>
      <c r="T353" s="2">
        <v>12.184588047536</v>
      </c>
      <c r="U353" s="2">
        <v>2.8796248325146498</v>
      </c>
      <c r="V353" s="2">
        <v>2.71286249805119</v>
      </c>
      <c r="W353" s="2">
        <v>1.77516640471197</v>
      </c>
      <c r="X353" s="2">
        <v>3.1038447355097101</v>
      </c>
      <c r="Y353" s="2">
        <v>1.51528384195121</v>
      </c>
      <c r="Z353" s="2">
        <v>2.5129185103816001</v>
      </c>
      <c r="AA353" s="3">
        <f t="shared" si="16"/>
        <v>35.303507461796954</v>
      </c>
      <c r="AB353" t="s">
        <v>45</v>
      </c>
      <c r="AC353">
        <v>44.76</v>
      </c>
      <c r="AD353">
        <v>24.13</v>
      </c>
      <c r="AE353">
        <v>78.75</v>
      </c>
      <c r="AF353">
        <v>79.790000000000006</v>
      </c>
      <c r="AG353">
        <v>31.86</v>
      </c>
      <c r="AH353">
        <v>17.61</v>
      </c>
      <c r="AI353">
        <v>15.76</v>
      </c>
      <c r="AJ353">
        <v>32.9</v>
      </c>
      <c r="AK353">
        <v>44.1</v>
      </c>
      <c r="AL353">
        <v>56.6</v>
      </c>
      <c r="AM353">
        <v>16.260000000000002</v>
      </c>
      <c r="AN353">
        <v>49.79</v>
      </c>
      <c r="AO353" s="1">
        <f t="shared" si="17"/>
        <v>492.31000000000006</v>
      </c>
    </row>
    <row r="354" spans="1:41" x14ac:dyDescent="0.25">
      <c r="A354" t="s">
        <v>397</v>
      </c>
      <c r="B354" s="2">
        <v>3455.2347843284201</v>
      </c>
      <c r="C354" s="2">
        <v>16341.1811570195</v>
      </c>
      <c r="D354" s="2">
        <v>3358.4508230114702</v>
      </c>
      <c r="E354" s="2">
        <v>3479.0589271437698</v>
      </c>
      <c r="F354" s="2">
        <v>9506.9163059839302</v>
      </c>
      <c r="G354" s="2">
        <v>1833.09317714651</v>
      </c>
      <c r="H354" s="2">
        <v>1374.1294668586399</v>
      </c>
      <c r="I354" s="2">
        <v>1282.9599301507701</v>
      </c>
      <c r="J354" s="2">
        <v>1233.5237661215599</v>
      </c>
      <c r="K354" s="2">
        <v>4341.9641991375902</v>
      </c>
      <c r="L354" s="2">
        <v>569.28455787603195</v>
      </c>
      <c r="M354" s="2">
        <v>7803.6098200340703</v>
      </c>
      <c r="N354" s="3">
        <f t="shared" si="15"/>
        <v>54579.406914812265</v>
      </c>
      <c r="O354" s="2">
        <v>8.8121350324022192</v>
      </c>
      <c r="P354" s="2">
        <v>3.4203595630596402</v>
      </c>
      <c r="Q354" s="2">
        <v>0</v>
      </c>
      <c r="R354" s="2">
        <v>5.7242555357136196</v>
      </c>
      <c r="S354" s="2">
        <v>1.8352035212473701</v>
      </c>
      <c r="T354" s="2">
        <v>3.5054248787292801</v>
      </c>
      <c r="U354" s="2">
        <v>7.7642413110821602</v>
      </c>
      <c r="V354" s="2">
        <v>2.9030797967863999</v>
      </c>
      <c r="W354" s="2">
        <v>9.87851161725815</v>
      </c>
      <c r="X354" s="2">
        <v>6.0642626637754304</v>
      </c>
      <c r="Y354" s="2">
        <v>2.4011229494737401</v>
      </c>
      <c r="Z354" s="2">
        <v>2.36475145289472</v>
      </c>
      <c r="AA354" s="3">
        <f t="shared" si="16"/>
        <v>54.673348322422726</v>
      </c>
      <c r="AB354" t="s">
        <v>45</v>
      </c>
      <c r="AC354">
        <v>45</v>
      </c>
      <c r="AD354">
        <v>173.61</v>
      </c>
      <c r="AE354">
        <v>43.58</v>
      </c>
      <c r="AF354">
        <v>45.09</v>
      </c>
      <c r="AG354">
        <v>105.16</v>
      </c>
      <c r="AH354">
        <v>28.53</v>
      </c>
      <c r="AI354">
        <v>24.14</v>
      </c>
      <c r="AJ354">
        <v>22.97</v>
      </c>
      <c r="AK354">
        <v>22.83</v>
      </c>
      <c r="AL354">
        <v>53.76</v>
      </c>
      <c r="AM354">
        <v>15.84</v>
      </c>
      <c r="AN354">
        <v>88.18</v>
      </c>
      <c r="AO354" s="1">
        <f t="shared" si="17"/>
        <v>668.69</v>
      </c>
    </row>
    <row r="355" spans="1:41" x14ac:dyDescent="0.25">
      <c r="A355" t="s">
        <v>398</v>
      </c>
      <c r="B355" s="2">
        <v>3453.3070013226402</v>
      </c>
      <c r="C355" s="2">
        <v>1978.94837865162</v>
      </c>
      <c r="D355" s="2">
        <v>6880.2721006884703</v>
      </c>
      <c r="E355" s="2">
        <v>7540.05564173517</v>
      </c>
      <c r="F355" s="2">
        <v>1498.24970101025</v>
      </c>
      <c r="G355" s="2">
        <v>904.59156396398203</v>
      </c>
      <c r="H355" s="2">
        <v>10165.287491818301</v>
      </c>
      <c r="I355" s="2">
        <v>5403.0661172354903</v>
      </c>
      <c r="J355" s="2">
        <v>4322.1488096158901</v>
      </c>
      <c r="K355" s="2">
        <v>4156.1164489590101</v>
      </c>
      <c r="L355" s="2">
        <v>893.22562296576098</v>
      </c>
      <c r="M355" s="2">
        <v>376.27967656981201</v>
      </c>
      <c r="N355" s="3">
        <f t="shared" si="15"/>
        <v>47571.548554536392</v>
      </c>
      <c r="O355" s="2">
        <v>7.5487152120796797</v>
      </c>
      <c r="P355" s="2">
        <v>0.44502927791074698</v>
      </c>
      <c r="Q355" s="2">
        <v>14.7118398369239</v>
      </c>
      <c r="R355" s="2">
        <v>3.1423655418499301</v>
      </c>
      <c r="S355" s="2">
        <v>0.51208284207556098</v>
      </c>
      <c r="T355" s="2">
        <v>1.2598222037859801</v>
      </c>
      <c r="U355" s="2">
        <v>0</v>
      </c>
      <c r="V355" s="2">
        <v>19.745048407061201</v>
      </c>
      <c r="W355" s="2">
        <v>0</v>
      </c>
      <c r="X355" s="2">
        <v>5.8746535030700002</v>
      </c>
      <c r="Y355" s="2">
        <v>3.9404029994138798</v>
      </c>
      <c r="Z355" s="2">
        <v>13.5509888225636</v>
      </c>
      <c r="AA355" s="3">
        <f t="shared" si="16"/>
        <v>70.730948646734475</v>
      </c>
      <c r="AB355" t="s">
        <v>45</v>
      </c>
      <c r="AC355">
        <v>44.93</v>
      </c>
      <c r="AD355">
        <v>29.83</v>
      </c>
      <c r="AE355">
        <v>79.55</v>
      </c>
      <c r="AF355">
        <v>85.6</v>
      </c>
      <c r="AG355">
        <v>25.03</v>
      </c>
      <c r="AH355">
        <v>19.14</v>
      </c>
      <c r="AI355">
        <v>111.65</v>
      </c>
      <c r="AJ355">
        <v>65.03</v>
      </c>
      <c r="AK355">
        <v>53.22</v>
      </c>
      <c r="AL355">
        <v>51.86</v>
      </c>
      <c r="AM355">
        <v>19.13</v>
      </c>
      <c r="AN355">
        <v>14.46</v>
      </c>
      <c r="AO355" s="1">
        <f t="shared" si="17"/>
        <v>599.43000000000006</v>
      </c>
    </row>
    <row r="356" spans="1:41" x14ac:dyDescent="0.25">
      <c r="A356" t="s">
        <v>399</v>
      </c>
      <c r="B356" s="2">
        <v>3449.0651233265999</v>
      </c>
      <c r="C356" s="2">
        <v>2093.3402857677302</v>
      </c>
      <c r="D356" s="2">
        <v>762.12057478800295</v>
      </c>
      <c r="E356" s="2">
        <v>5637.5628241371596</v>
      </c>
      <c r="F356" s="2">
        <v>569.12251222831401</v>
      </c>
      <c r="G356" s="2">
        <v>1678.5719883654499</v>
      </c>
      <c r="H356" s="2">
        <v>1839.09255845657</v>
      </c>
      <c r="I356" s="2">
        <v>4103.51746297093</v>
      </c>
      <c r="J356" s="2">
        <v>9375.3494240647196</v>
      </c>
      <c r="K356" s="2">
        <v>10784.515674541</v>
      </c>
      <c r="L356" s="2">
        <v>0</v>
      </c>
      <c r="M356" s="2">
        <v>705.83310765470299</v>
      </c>
      <c r="N356" s="3">
        <f t="shared" si="15"/>
        <v>40998.091536301181</v>
      </c>
      <c r="O356" s="2">
        <v>1.87973760392642</v>
      </c>
      <c r="P356" s="2">
        <v>1.2168457301117701</v>
      </c>
      <c r="Q356" s="2">
        <v>0.11742617586215</v>
      </c>
      <c r="R356" s="2">
        <v>0.20654997696211699</v>
      </c>
      <c r="S356" s="2">
        <v>5.6011202320399303</v>
      </c>
      <c r="T356" s="2">
        <v>15.9437326289738</v>
      </c>
      <c r="U356" s="2">
        <v>6.47751502517304</v>
      </c>
      <c r="V356" s="2">
        <v>0</v>
      </c>
      <c r="W356" s="2">
        <v>9.5314842363956291</v>
      </c>
      <c r="X356" s="2">
        <v>4.7673781205269599</v>
      </c>
      <c r="Y356" s="2">
        <v>5.5785814637831601</v>
      </c>
      <c r="Z356" s="2">
        <v>1.62030010082247</v>
      </c>
      <c r="AA356" s="3">
        <f t="shared" si="16"/>
        <v>52.940671294577442</v>
      </c>
      <c r="AB356" t="s">
        <v>45</v>
      </c>
      <c r="AC356">
        <v>44.59</v>
      </c>
      <c r="AD356">
        <v>31.03</v>
      </c>
      <c r="AE356">
        <v>17.670000000000002</v>
      </c>
      <c r="AF356">
        <v>66.42</v>
      </c>
      <c r="AG356">
        <v>15.99</v>
      </c>
      <c r="AH356">
        <v>27.58</v>
      </c>
      <c r="AI356">
        <v>28.74</v>
      </c>
      <c r="AJ356">
        <v>51.03</v>
      </c>
      <c r="AK356">
        <v>104.25</v>
      </c>
      <c r="AL356">
        <v>118.09</v>
      </c>
      <c r="AM356">
        <v>10.29</v>
      </c>
      <c r="AN356">
        <v>17.149999999999999</v>
      </c>
      <c r="AO356" s="1">
        <f t="shared" si="17"/>
        <v>532.83000000000004</v>
      </c>
    </row>
    <row r="357" spans="1:41" x14ac:dyDescent="0.25">
      <c r="A357" t="s">
        <v>400</v>
      </c>
      <c r="B357" s="2">
        <v>3445.9937301584</v>
      </c>
      <c r="C357" s="2">
        <v>4441.6872383785703</v>
      </c>
      <c r="D357" s="2">
        <v>2546.53366298522</v>
      </c>
      <c r="E357" s="2">
        <v>11615.1267457799</v>
      </c>
      <c r="F357" s="2">
        <v>1018.3613153858</v>
      </c>
      <c r="G357" s="2">
        <v>5838.5305482692802</v>
      </c>
      <c r="H357" s="2">
        <v>1481.53954734282</v>
      </c>
      <c r="I357" s="2">
        <v>2562.3533930807698</v>
      </c>
      <c r="J357" s="2">
        <v>4650.8681063520198</v>
      </c>
      <c r="K357" s="2">
        <v>9916.5744957969291</v>
      </c>
      <c r="L357" s="2">
        <v>3706.7384193522498</v>
      </c>
      <c r="M357" s="2">
        <v>5786.2035365663996</v>
      </c>
      <c r="N357" s="3">
        <f t="shared" si="15"/>
        <v>57010.510739448357</v>
      </c>
      <c r="O357" s="2">
        <v>7.4798109692232897</v>
      </c>
      <c r="P357" s="2">
        <v>4.6699257517368302</v>
      </c>
      <c r="Q357" s="2">
        <v>2.9546452760277901</v>
      </c>
      <c r="R357" s="2">
        <v>1.02933057455317</v>
      </c>
      <c r="S357" s="2">
        <v>0</v>
      </c>
      <c r="T357" s="2">
        <v>7.4423758266806201</v>
      </c>
      <c r="U357" s="2">
        <v>2.9374556329806198</v>
      </c>
      <c r="V357" s="2">
        <v>1.1806148704021799</v>
      </c>
      <c r="W357" s="2">
        <v>2.26204942294128</v>
      </c>
      <c r="X357" s="2">
        <v>6.3247100562659799</v>
      </c>
      <c r="Y357" s="2">
        <v>0</v>
      </c>
      <c r="Z357" s="2">
        <v>7.65849534244186</v>
      </c>
      <c r="AA357" s="3">
        <f t="shared" si="16"/>
        <v>43.939413723253622</v>
      </c>
      <c r="AB357" t="s">
        <v>45</v>
      </c>
      <c r="AC357">
        <v>44.85</v>
      </c>
      <c r="AD357">
        <v>54.66</v>
      </c>
      <c r="AE357">
        <v>35.61</v>
      </c>
      <c r="AF357">
        <v>126.25</v>
      </c>
      <c r="AG357">
        <v>20.18</v>
      </c>
      <c r="AH357">
        <v>68.78</v>
      </c>
      <c r="AI357">
        <v>24.96</v>
      </c>
      <c r="AJ357">
        <v>35.72</v>
      </c>
      <c r="AK357">
        <v>56.65</v>
      </c>
      <c r="AL357">
        <v>109.51</v>
      </c>
      <c r="AM357">
        <v>47.06</v>
      </c>
      <c r="AN357">
        <v>68.260000000000005</v>
      </c>
      <c r="AO357" s="1">
        <f t="shared" si="17"/>
        <v>692.49</v>
      </c>
    </row>
    <row r="358" spans="1:41" x14ac:dyDescent="0.25">
      <c r="A358" t="s">
        <v>401</v>
      </c>
      <c r="B358" s="2">
        <v>3442.6164641984801</v>
      </c>
      <c r="C358" s="2">
        <v>286.36250384428098</v>
      </c>
      <c r="D358" s="2">
        <v>3429.0226313008802</v>
      </c>
      <c r="E358" s="2">
        <v>0</v>
      </c>
      <c r="F358" s="2">
        <v>920.91969310595096</v>
      </c>
      <c r="G358" s="2">
        <v>3499.3608804876899</v>
      </c>
      <c r="H358" s="2">
        <v>17300.288508658999</v>
      </c>
      <c r="I358" s="2">
        <v>8028.96075929577</v>
      </c>
      <c r="J358" s="2">
        <v>3023.8824542755901</v>
      </c>
      <c r="K358" s="2">
        <v>3236.0653458604202</v>
      </c>
      <c r="L358" s="2">
        <v>22111.499049839698</v>
      </c>
      <c r="M358" s="2">
        <v>2921.3158395433902</v>
      </c>
      <c r="N358" s="3">
        <f t="shared" si="15"/>
        <v>68200.294130411145</v>
      </c>
      <c r="O358" s="2">
        <v>2.77073411172357</v>
      </c>
      <c r="P358" s="2">
        <v>0</v>
      </c>
      <c r="Q358" s="2">
        <v>2.62130717124198</v>
      </c>
      <c r="R358" s="2">
        <v>7.1682644934294997</v>
      </c>
      <c r="S358" s="2">
        <v>22.702381468471302</v>
      </c>
      <c r="T358" s="2">
        <v>3.13111613644669</v>
      </c>
      <c r="U358" s="2">
        <v>2.2930550650377799</v>
      </c>
      <c r="V358" s="2">
        <v>5.9434463976576097</v>
      </c>
      <c r="W358" s="2">
        <v>9.7086747773705806</v>
      </c>
      <c r="X358" s="2">
        <v>4.3845181437703902</v>
      </c>
      <c r="Y358" s="2">
        <v>3.40496818740572</v>
      </c>
      <c r="Z358" s="2">
        <v>1.95112654100111</v>
      </c>
      <c r="AA358" s="3">
        <f t="shared" si="16"/>
        <v>66.079592493556248</v>
      </c>
      <c r="AB358" t="s">
        <v>45</v>
      </c>
      <c r="AC358">
        <v>44.57</v>
      </c>
      <c r="AD358">
        <v>12.86</v>
      </c>
      <c r="AE358">
        <v>44.44</v>
      </c>
      <c r="AF358">
        <v>10.39</v>
      </c>
      <c r="AG358">
        <v>20.350000000000001</v>
      </c>
      <c r="AH358">
        <v>45.19</v>
      </c>
      <c r="AI358">
        <v>183.15</v>
      </c>
      <c r="AJ358">
        <v>90.58</v>
      </c>
      <c r="AK358">
        <v>40.729999999999997</v>
      </c>
      <c r="AL358">
        <v>42.61</v>
      </c>
      <c r="AM358">
        <v>231.31</v>
      </c>
      <c r="AN358">
        <v>39.31</v>
      </c>
      <c r="AO358" s="1">
        <f t="shared" si="17"/>
        <v>805.49</v>
      </c>
    </row>
    <row r="359" spans="1:41" x14ac:dyDescent="0.25">
      <c r="A359" t="s">
        <v>402</v>
      </c>
      <c r="B359" s="2">
        <v>3441.1679215848399</v>
      </c>
      <c r="C359" s="2">
        <v>1304.8567793485299</v>
      </c>
      <c r="D359" s="2">
        <v>397.65887979751102</v>
      </c>
      <c r="E359" s="2">
        <v>3172.7695539504002</v>
      </c>
      <c r="F359" s="2">
        <v>2404.0024654532999</v>
      </c>
      <c r="G359" s="2">
        <v>3849.6299858314001</v>
      </c>
      <c r="H359" s="2">
        <v>1359.3639327693199</v>
      </c>
      <c r="I359" s="2">
        <v>972.79424660959899</v>
      </c>
      <c r="J359" s="2">
        <v>1038.1045221894999</v>
      </c>
      <c r="K359" s="2">
        <v>3227.7002157963302</v>
      </c>
      <c r="L359" s="2">
        <v>2806.48018105765</v>
      </c>
      <c r="M359" s="2">
        <v>9479.7127335160003</v>
      </c>
      <c r="N359" s="3">
        <f t="shared" si="15"/>
        <v>33454.241417904377</v>
      </c>
      <c r="O359" s="2">
        <v>3.1397754997344798</v>
      </c>
      <c r="P359" s="2">
        <v>5.5561911347220398</v>
      </c>
      <c r="Q359" s="2">
        <v>2.40782293818121</v>
      </c>
      <c r="R359" s="2">
        <v>1.7920880629817599</v>
      </c>
      <c r="S359" s="2">
        <v>3.1420217538333</v>
      </c>
      <c r="T359" s="2">
        <v>8.8074071905748106</v>
      </c>
      <c r="U359" s="2">
        <v>2.0763165110178599</v>
      </c>
      <c r="V359" s="2">
        <v>0.58675617707190697</v>
      </c>
      <c r="W359" s="2">
        <v>0.67581185044630299</v>
      </c>
      <c r="X359" s="2">
        <v>0.97085868011723198</v>
      </c>
      <c r="Y359" s="2">
        <v>7.7091004297480197</v>
      </c>
      <c r="Z359" s="2">
        <v>7.8258910187636799</v>
      </c>
      <c r="AA359" s="3">
        <f t="shared" si="16"/>
        <v>44.690041247192603</v>
      </c>
      <c r="AB359" t="s">
        <v>63</v>
      </c>
      <c r="AC359">
        <v>69.2</v>
      </c>
      <c r="AD359">
        <v>26.64</v>
      </c>
      <c r="AE359">
        <v>8.23</v>
      </c>
      <c r="AF359">
        <v>63.64</v>
      </c>
      <c r="AG359">
        <v>48.46</v>
      </c>
      <c r="AH359">
        <v>77.81</v>
      </c>
      <c r="AI359">
        <v>27.47</v>
      </c>
      <c r="AJ359">
        <v>19.55</v>
      </c>
      <c r="AK359">
        <v>20.87</v>
      </c>
      <c r="AL359">
        <v>64.650000000000006</v>
      </c>
      <c r="AM359">
        <v>56.86</v>
      </c>
      <c r="AN359">
        <v>190.32</v>
      </c>
      <c r="AO359" s="1">
        <f t="shared" si="17"/>
        <v>673.7</v>
      </c>
    </row>
    <row r="360" spans="1:41" x14ac:dyDescent="0.25">
      <c r="A360" t="s">
        <v>403</v>
      </c>
      <c r="B360" s="2">
        <v>3409.92572858521</v>
      </c>
      <c r="C360" s="2">
        <v>15256.969121836901</v>
      </c>
      <c r="D360" s="2">
        <v>6882.9117166573196</v>
      </c>
      <c r="E360" s="2">
        <v>0</v>
      </c>
      <c r="F360" s="2">
        <v>2739.1064365755601</v>
      </c>
      <c r="G360" s="2">
        <v>3725.9773958718902</v>
      </c>
      <c r="H360" s="2">
        <v>3482.0531663727202</v>
      </c>
      <c r="I360" s="2">
        <v>4586.0540837867302</v>
      </c>
      <c r="J360" s="2">
        <v>5944.5140609416203</v>
      </c>
      <c r="K360" s="2">
        <v>1035.0496612305899</v>
      </c>
      <c r="L360" s="2">
        <v>10436.906381398299</v>
      </c>
      <c r="M360" s="2">
        <v>986.06302059457005</v>
      </c>
      <c r="N360" s="3">
        <f t="shared" si="15"/>
        <v>58485.530773851409</v>
      </c>
      <c r="O360" s="2">
        <v>1.46507684854433</v>
      </c>
      <c r="P360" s="2">
        <v>11.512911832881001</v>
      </c>
      <c r="Q360" s="2">
        <v>7.1900124278921496</v>
      </c>
      <c r="R360" s="2">
        <v>0</v>
      </c>
      <c r="S360" s="2">
        <v>1.6882145444585599</v>
      </c>
      <c r="T360" s="2">
        <v>7.9883384259193999</v>
      </c>
      <c r="U360" s="2">
        <v>4.4396868106587002</v>
      </c>
      <c r="V360" s="2">
        <v>4.9074532668310704</v>
      </c>
      <c r="W360" s="2">
        <v>1.4367897523350699</v>
      </c>
      <c r="X360" s="2">
        <v>5.5828894667892301</v>
      </c>
      <c r="Y360" s="2">
        <v>1.9578268685023299</v>
      </c>
      <c r="Z360" s="2">
        <v>1.4791251235953</v>
      </c>
      <c r="AA360" s="3">
        <f t="shared" si="16"/>
        <v>49.64832536840715</v>
      </c>
      <c r="AB360" t="s">
        <v>45</v>
      </c>
      <c r="AC360">
        <v>44.19</v>
      </c>
      <c r="AD360">
        <v>163.16</v>
      </c>
      <c r="AE360">
        <v>79.22</v>
      </c>
      <c r="AF360">
        <v>9.99</v>
      </c>
      <c r="AG360">
        <v>37.49</v>
      </c>
      <c r="AH360">
        <v>47.65</v>
      </c>
      <c r="AI360">
        <v>45.07</v>
      </c>
      <c r="AJ360">
        <v>56.11</v>
      </c>
      <c r="AK360">
        <v>69.540000000000006</v>
      </c>
      <c r="AL360">
        <v>20.65</v>
      </c>
      <c r="AM360">
        <v>114.46</v>
      </c>
      <c r="AN360">
        <v>19.96</v>
      </c>
      <c r="AO360" s="1">
        <f t="shared" si="17"/>
        <v>707.49</v>
      </c>
    </row>
    <row r="361" spans="1:41" x14ac:dyDescent="0.25">
      <c r="A361" t="s">
        <v>404</v>
      </c>
      <c r="B361" s="2">
        <v>3409.5851415110601</v>
      </c>
      <c r="C361" s="2">
        <v>191.602433484784</v>
      </c>
      <c r="D361" s="2">
        <v>1789.73743749294</v>
      </c>
      <c r="E361" s="2">
        <v>3130.1749974260601</v>
      </c>
      <c r="F361" s="2">
        <v>2071.3184658144</v>
      </c>
      <c r="G361" s="2">
        <v>516.29354573017099</v>
      </c>
      <c r="H361" s="2">
        <v>5202.7856877523</v>
      </c>
      <c r="I361" s="2">
        <v>1457.2447776087299</v>
      </c>
      <c r="J361" s="2">
        <v>3797.1784247905598</v>
      </c>
      <c r="K361" s="2">
        <v>655.33341222529202</v>
      </c>
      <c r="L361" s="2">
        <v>1927.5213949747599</v>
      </c>
      <c r="M361" s="2">
        <v>1324.8482913855801</v>
      </c>
      <c r="N361" s="3">
        <f t="shared" si="15"/>
        <v>25473.624010196636</v>
      </c>
      <c r="O361" s="2">
        <v>0.68345385360815702</v>
      </c>
      <c r="P361" s="2">
        <v>1.97194541765408</v>
      </c>
      <c r="Q361" s="2">
        <v>1.59012167100346</v>
      </c>
      <c r="R361" s="2">
        <v>5.9253091942425602</v>
      </c>
      <c r="S361" s="2">
        <v>14.1552003851168</v>
      </c>
      <c r="T361" s="2">
        <v>0</v>
      </c>
      <c r="U361" s="2">
        <v>0</v>
      </c>
      <c r="V361" s="2">
        <v>9.1465863236204292</v>
      </c>
      <c r="W361" s="2">
        <v>11.3061721436356</v>
      </c>
      <c r="X361" s="2">
        <v>2.1244246559156399</v>
      </c>
      <c r="Y361" s="2">
        <v>0.333697565107058</v>
      </c>
      <c r="Z361" s="2">
        <v>0</v>
      </c>
      <c r="AA361" s="3">
        <f t="shared" si="16"/>
        <v>47.236911209903781</v>
      </c>
      <c r="AB361" t="s">
        <v>63</v>
      </c>
      <c r="AC361">
        <v>68.290000000000006</v>
      </c>
      <c r="AD361">
        <v>4.0199999999999996</v>
      </c>
      <c r="AE361">
        <v>35.979999999999997</v>
      </c>
      <c r="AF361">
        <v>63.16</v>
      </c>
      <c r="AG361">
        <v>42.79</v>
      </c>
      <c r="AH361">
        <v>10.34</v>
      </c>
      <c r="AI361">
        <v>104.06</v>
      </c>
      <c r="AJ361">
        <v>30.06</v>
      </c>
      <c r="AK361">
        <v>77.040000000000006</v>
      </c>
      <c r="AL361">
        <v>13.39</v>
      </c>
      <c r="AM361">
        <v>38.65</v>
      </c>
      <c r="AN361">
        <v>26.5</v>
      </c>
      <c r="AO361" s="1">
        <f t="shared" si="17"/>
        <v>514.28</v>
      </c>
    </row>
    <row r="362" spans="1:41" x14ac:dyDescent="0.25">
      <c r="A362" t="s">
        <v>405</v>
      </c>
      <c r="B362" s="2">
        <v>3398.94249392651</v>
      </c>
      <c r="C362" s="2">
        <v>1242.0901780040001</v>
      </c>
      <c r="D362" s="2">
        <v>8489.3152614851097</v>
      </c>
      <c r="E362" s="2">
        <v>1957.67727482996</v>
      </c>
      <c r="F362" s="2">
        <v>3157.4395107600499</v>
      </c>
      <c r="G362" s="2">
        <v>0</v>
      </c>
      <c r="H362" s="2">
        <v>1942.4052910970199</v>
      </c>
      <c r="I362" s="2">
        <v>5713.63096649198</v>
      </c>
      <c r="J362" s="2">
        <v>1566.2513065726</v>
      </c>
      <c r="K362" s="2">
        <v>4120.7768703676902</v>
      </c>
      <c r="L362" s="2">
        <v>1092.1517646094701</v>
      </c>
      <c r="M362" s="2">
        <v>266.062344105465</v>
      </c>
      <c r="N362" s="3">
        <f t="shared" si="15"/>
        <v>32946.74326224986</v>
      </c>
      <c r="O362" s="2">
        <v>7.6833019604448802</v>
      </c>
      <c r="P362" s="2">
        <v>2.66030120388421</v>
      </c>
      <c r="Q362" s="2">
        <v>0</v>
      </c>
      <c r="R362" s="2">
        <v>3.6347031200459301</v>
      </c>
      <c r="S362" s="2">
        <v>3.0020996112016598</v>
      </c>
      <c r="T362" s="2">
        <v>5.7511003481823497</v>
      </c>
      <c r="U362" s="2">
        <v>3.9693291022317698</v>
      </c>
      <c r="V362" s="2">
        <v>3.5430748975951798</v>
      </c>
      <c r="W362" s="2">
        <v>2.1394968505725198</v>
      </c>
      <c r="X362" s="2">
        <v>0</v>
      </c>
      <c r="Y362" s="2">
        <v>0.53202280630378995</v>
      </c>
      <c r="Z362" s="2">
        <v>3.4608231710314898</v>
      </c>
      <c r="AA362" s="3">
        <f t="shared" si="16"/>
        <v>36.376253071493778</v>
      </c>
      <c r="AB362" t="s">
        <v>63</v>
      </c>
      <c r="AC362">
        <v>68.7</v>
      </c>
      <c r="AD362">
        <v>25.13</v>
      </c>
      <c r="AE362">
        <v>169.8</v>
      </c>
      <c r="AF362">
        <v>39.520000000000003</v>
      </c>
      <c r="AG362">
        <v>63.52</v>
      </c>
      <c r="AH362">
        <v>0.54</v>
      </c>
      <c r="AI362">
        <v>39.22</v>
      </c>
      <c r="AJ362">
        <v>114.64</v>
      </c>
      <c r="AK362">
        <v>31.61</v>
      </c>
      <c r="AL362">
        <v>82.42</v>
      </c>
      <c r="AM362">
        <v>21.95</v>
      </c>
      <c r="AN362">
        <v>5.7</v>
      </c>
      <c r="AO362" s="1">
        <f t="shared" si="17"/>
        <v>662.75</v>
      </c>
    </row>
    <row r="363" spans="1:41" x14ac:dyDescent="0.25">
      <c r="A363" t="s">
        <v>406</v>
      </c>
      <c r="B363" s="2">
        <v>3384.99772910499</v>
      </c>
      <c r="C363" s="2">
        <v>1635.53218117396</v>
      </c>
      <c r="D363" s="2">
        <v>8815.5828262574305</v>
      </c>
      <c r="E363" s="2">
        <v>2071.36422652377</v>
      </c>
      <c r="F363" s="2">
        <v>1506.81967587913</v>
      </c>
      <c r="G363" s="2">
        <v>9129.5567954450198</v>
      </c>
      <c r="H363" s="2">
        <v>2751.76917177615</v>
      </c>
      <c r="I363" s="2">
        <v>1692.6711824347999</v>
      </c>
      <c r="J363" s="2">
        <v>2254.8281883497302</v>
      </c>
      <c r="K363" s="2">
        <v>4458.5162886807802</v>
      </c>
      <c r="L363" s="2">
        <v>154.62078867346699</v>
      </c>
      <c r="M363" s="2">
        <v>7169.6999527685703</v>
      </c>
      <c r="N363" s="3">
        <f t="shared" si="15"/>
        <v>45025.959007067802</v>
      </c>
      <c r="O363" s="2">
        <v>11.295301962824301</v>
      </c>
      <c r="P363" s="2">
        <v>2.1901019494732599</v>
      </c>
      <c r="Q363" s="2">
        <v>3.44883720604042</v>
      </c>
      <c r="R363" s="2">
        <v>2.4124344135351001</v>
      </c>
      <c r="S363" s="2">
        <v>10.7773160307983</v>
      </c>
      <c r="T363" s="2">
        <v>6.9341883190612998</v>
      </c>
      <c r="U363" s="2">
        <v>0.67528047031181504</v>
      </c>
      <c r="V363" s="2">
        <v>6.4737182822022801</v>
      </c>
      <c r="W363" s="2">
        <v>2.4596235057621501</v>
      </c>
      <c r="X363" s="2">
        <v>6.7576337673522904</v>
      </c>
      <c r="Y363" s="2">
        <v>8.3248466038092097</v>
      </c>
      <c r="Z363" s="2">
        <v>2.1041843487886398</v>
      </c>
      <c r="AA363" s="3">
        <f t="shared" si="16"/>
        <v>63.853466859959063</v>
      </c>
      <c r="AB363" t="s">
        <v>45</v>
      </c>
      <c r="AC363">
        <v>44.44</v>
      </c>
      <c r="AD363">
        <v>26.5</v>
      </c>
      <c r="AE363">
        <v>98.35</v>
      </c>
      <c r="AF363">
        <v>30.86</v>
      </c>
      <c r="AG363">
        <v>25.61</v>
      </c>
      <c r="AH363">
        <v>101.64</v>
      </c>
      <c r="AI363">
        <v>37.56</v>
      </c>
      <c r="AJ363">
        <v>27.27</v>
      </c>
      <c r="AK363">
        <v>32.69</v>
      </c>
      <c r="AL363">
        <v>54.93</v>
      </c>
      <c r="AM363">
        <v>11.99</v>
      </c>
      <c r="AN363">
        <v>81.84</v>
      </c>
      <c r="AO363" s="1">
        <f t="shared" si="17"/>
        <v>573.67999999999995</v>
      </c>
    </row>
    <row r="364" spans="1:41" x14ac:dyDescent="0.25">
      <c r="A364" t="s">
        <v>407</v>
      </c>
      <c r="B364" s="2">
        <v>3379.33580679124</v>
      </c>
      <c r="C364" s="2">
        <v>2745.1992096690901</v>
      </c>
      <c r="D364" s="2">
        <v>5447.5489657716898</v>
      </c>
      <c r="E364" s="2">
        <v>3872.4132531536402</v>
      </c>
      <c r="F364" s="2">
        <v>3820.1211797537999</v>
      </c>
      <c r="G364" s="2">
        <v>4168.80131343831</v>
      </c>
      <c r="H364" s="2">
        <v>4640.8209733014401</v>
      </c>
      <c r="I364" s="2">
        <v>1074.15668788017</v>
      </c>
      <c r="J364" s="2">
        <v>1048.04183371983</v>
      </c>
      <c r="K364" s="2">
        <v>4415.7218804153399</v>
      </c>
      <c r="L364" s="2">
        <v>6784.1535291832297</v>
      </c>
      <c r="M364" s="2">
        <v>925.47671651977498</v>
      </c>
      <c r="N364" s="3">
        <f t="shared" si="15"/>
        <v>42321.791349597559</v>
      </c>
      <c r="O364" s="2">
        <v>0.99126267350169694</v>
      </c>
      <c r="P364" s="2">
        <v>14.014411372409</v>
      </c>
      <c r="Q364" s="2">
        <v>14.616981926619401</v>
      </c>
      <c r="R364" s="2">
        <v>1.70511111514615</v>
      </c>
      <c r="S364" s="2">
        <v>4.4226803997013704</v>
      </c>
      <c r="T364" s="2">
        <v>1.9499062218295899</v>
      </c>
      <c r="U364" s="2">
        <v>5.5218659015848601</v>
      </c>
      <c r="V364" s="2">
        <v>7.4766945225243999</v>
      </c>
      <c r="W364" s="2">
        <v>13.031490618544501</v>
      </c>
      <c r="X364" s="2">
        <v>3.4718252045114002</v>
      </c>
      <c r="Y364" s="2">
        <v>5.2440018213519002</v>
      </c>
      <c r="Z364" s="2">
        <v>0.98278808622634295</v>
      </c>
      <c r="AA364" s="3">
        <f t="shared" si="16"/>
        <v>73.429019863950614</v>
      </c>
      <c r="AB364" t="s">
        <v>63</v>
      </c>
      <c r="AC364">
        <v>67.69</v>
      </c>
      <c r="AD364">
        <v>56.27</v>
      </c>
      <c r="AE364">
        <v>110.31</v>
      </c>
      <c r="AF364">
        <v>77.64</v>
      </c>
      <c r="AG364">
        <v>76.87</v>
      </c>
      <c r="AH364">
        <v>83.56</v>
      </c>
      <c r="AI364">
        <v>93.36</v>
      </c>
      <c r="AJ364">
        <v>22.22</v>
      </c>
      <c r="AK364">
        <v>22.24</v>
      </c>
      <c r="AL364">
        <v>88.68</v>
      </c>
      <c r="AM364">
        <v>136.24</v>
      </c>
      <c r="AN364">
        <v>18.61</v>
      </c>
      <c r="AO364" s="1">
        <f t="shared" si="17"/>
        <v>853.69000000000017</v>
      </c>
    </row>
    <row r="365" spans="1:41" x14ac:dyDescent="0.25">
      <c r="A365" t="s">
        <v>408</v>
      </c>
      <c r="B365" s="2">
        <v>3370.7711293887501</v>
      </c>
      <c r="C365" s="2">
        <v>1068.23101846241</v>
      </c>
      <c r="D365" s="2">
        <v>884.44879895706902</v>
      </c>
      <c r="E365" s="2">
        <v>3186.3983248958598</v>
      </c>
      <c r="F365" s="2">
        <v>1608.7594357350999</v>
      </c>
      <c r="G365" s="2">
        <v>325.92556794415299</v>
      </c>
      <c r="H365" s="2">
        <v>0</v>
      </c>
      <c r="I365" s="2">
        <v>3448.0619674770401</v>
      </c>
      <c r="J365" s="2">
        <v>3517.6309367048202</v>
      </c>
      <c r="K365" s="2">
        <v>713.858485297691</v>
      </c>
      <c r="L365" s="2">
        <v>3597.6569770270899</v>
      </c>
      <c r="M365" s="2">
        <v>11417.6686248187</v>
      </c>
      <c r="N365" s="3">
        <f t="shared" si="15"/>
        <v>33139.411266708681</v>
      </c>
      <c r="O365" s="2">
        <v>2.0368676789266198</v>
      </c>
      <c r="P365" s="2">
        <v>5.2067060959063598</v>
      </c>
      <c r="Q365" s="2">
        <v>3.1999042179220099</v>
      </c>
      <c r="R365" s="2">
        <v>0</v>
      </c>
      <c r="S365" s="2">
        <v>5.7369457029413997</v>
      </c>
      <c r="T365" s="2">
        <v>2.2026660320419</v>
      </c>
      <c r="U365" s="2">
        <v>1.7377745320576099</v>
      </c>
      <c r="V365" s="2">
        <v>3.2014589907221001</v>
      </c>
      <c r="W365" s="2">
        <v>3.9225417259122599</v>
      </c>
      <c r="X365" s="2">
        <v>3.2831690386657399</v>
      </c>
      <c r="Y365" s="2">
        <v>2.6952604717914599</v>
      </c>
      <c r="Z365" s="2">
        <v>2.9410607771690001</v>
      </c>
      <c r="AA365" s="3">
        <f t="shared" si="16"/>
        <v>36.164355264056461</v>
      </c>
      <c r="AB365" t="s">
        <v>63</v>
      </c>
      <c r="AC365">
        <v>67.69</v>
      </c>
      <c r="AD365">
        <v>21.92</v>
      </c>
      <c r="AE365">
        <v>18.059999999999999</v>
      </c>
      <c r="AF365">
        <v>63.74</v>
      </c>
      <c r="AG365">
        <v>32.72</v>
      </c>
      <c r="AH365">
        <v>6.79</v>
      </c>
      <c r="AI365">
        <v>0.18</v>
      </c>
      <c r="AJ365">
        <v>69.34</v>
      </c>
      <c r="AK365">
        <v>70.72</v>
      </c>
      <c r="AL365">
        <v>14.64</v>
      </c>
      <c r="AM365">
        <v>72.23</v>
      </c>
      <c r="AN365">
        <v>228.63</v>
      </c>
      <c r="AO365" s="1">
        <f t="shared" si="17"/>
        <v>666.66</v>
      </c>
    </row>
    <row r="366" spans="1:41" x14ac:dyDescent="0.25">
      <c r="A366" t="s">
        <v>409</v>
      </c>
      <c r="B366" s="2">
        <v>3370.4289990338598</v>
      </c>
      <c r="C366" s="2">
        <v>3230.8943796859699</v>
      </c>
      <c r="D366" s="2">
        <v>122.790326447011</v>
      </c>
      <c r="E366" s="2">
        <v>0</v>
      </c>
      <c r="F366" s="2">
        <v>5989.9164718445099</v>
      </c>
      <c r="G366" s="2">
        <v>1082.5047352000699</v>
      </c>
      <c r="H366" s="2">
        <v>1207.8858835400799</v>
      </c>
      <c r="I366" s="2">
        <v>13715.8643944096</v>
      </c>
      <c r="J366" s="2">
        <v>4438.1544206634699</v>
      </c>
      <c r="K366" s="2">
        <v>1595.1867572537799</v>
      </c>
      <c r="L366" s="2">
        <v>2604.2510221739799</v>
      </c>
      <c r="M366" s="2">
        <v>2058.2017634412</v>
      </c>
      <c r="N366" s="3">
        <f t="shared" si="15"/>
        <v>39416.079153693528</v>
      </c>
      <c r="O366" s="2">
        <v>0.424986845478315</v>
      </c>
      <c r="P366" s="2">
        <v>2.9126795799495899</v>
      </c>
      <c r="Q366" s="2">
        <v>3.3182568587750398</v>
      </c>
      <c r="R366" s="2">
        <v>8.9484833344053207</v>
      </c>
      <c r="S366" s="2">
        <v>3.47549781535115</v>
      </c>
      <c r="T366" s="2">
        <v>0.13538349449893899</v>
      </c>
      <c r="U366" s="2">
        <v>0.41646557264742901</v>
      </c>
      <c r="V366" s="2">
        <v>3.1521526100665702</v>
      </c>
      <c r="W366" s="2">
        <v>1.1446638292945901</v>
      </c>
      <c r="X366" s="2">
        <v>4.4375116612483598</v>
      </c>
      <c r="Y366" s="2">
        <v>10.086660861434501</v>
      </c>
      <c r="Z366" s="2">
        <v>3.3065622216989499</v>
      </c>
      <c r="AA366" s="3">
        <f t="shared" si="16"/>
        <v>41.75930468484875</v>
      </c>
      <c r="AB366" t="s">
        <v>63</v>
      </c>
      <c r="AC366">
        <v>67.510000000000005</v>
      </c>
      <c r="AD366">
        <v>64.89</v>
      </c>
      <c r="AE366">
        <v>2.82</v>
      </c>
      <c r="AF366">
        <v>0.81</v>
      </c>
      <c r="AG366">
        <v>120.16</v>
      </c>
      <c r="AH366">
        <v>21.75</v>
      </c>
      <c r="AI366">
        <v>24.25</v>
      </c>
      <c r="AJ366">
        <v>274.68</v>
      </c>
      <c r="AK366">
        <v>88.96</v>
      </c>
      <c r="AL366">
        <v>32.369999999999997</v>
      </c>
      <c r="AM366">
        <v>53.09</v>
      </c>
      <c r="AN366">
        <v>41.54</v>
      </c>
      <c r="AO366" s="1">
        <f t="shared" si="17"/>
        <v>792.83</v>
      </c>
    </row>
    <row r="367" spans="1:41" x14ac:dyDescent="0.25">
      <c r="A367" t="s">
        <v>410</v>
      </c>
      <c r="B367" s="2">
        <v>3354.6261365026298</v>
      </c>
      <c r="C367" s="2">
        <v>4952.8507097859601</v>
      </c>
      <c r="D367" s="2">
        <v>2505.08906049087</v>
      </c>
      <c r="E367" s="2">
        <v>4270.1507430641504</v>
      </c>
      <c r="F367" s="2">
        <v>2139.3404194001</v>
      </c>
      <c r="G367" s="2">
        <v>469.93374550120001</v>
      </c>
      <c r="H367" s="2">
        <v>13376.011538250699</v>
      </c>
      <c r="I367" s="2">
        <v>6227.0679392642696</v>
      </c>
      <c r="J367" s="2">
        <v>232.659100673181</v>
      </c>
      <c r="K367" s="2">
        <v>3106.2791017657601</v>
      </c>
      <c r="L367" s="2">
        <v>3295.0859612179702</v>
      </c>
      <c r="M367" s="2">
        <v>0</v>
      </c>
      <c r="N367" s="3">
        <f t="shared" si="15"/>
        <v>43929.094455916791</v>
      </c>
      <c r="O367" s="2">
        <v>9.4630847581159205</v>
      </c>
      <c r="P367" s="2">
        <v>1.58829788315756</v>
      </c>
      <c r="Q367" s="2">
        <v>5.7934179615150798</v>
      </c>
      <c r="R367" s="2">
        <v>7.1274233694779801</v>
      </c>
      <c r="S367" s="2">
        <v>2.24538691228839</v>
      </c>
      <c r="T367" s="2">
        <v>2.9681240000395199</v>
      </c>
      <c r="U367" s="2">
        <v>2.1511735515457402</v>
      </c>
      <c r="V367" s="2">
        <v>5.8948458748148704</v>
      </c>
      <c r="W367" s="2">
        <v>3.4301889636676299</v>
      </c>
      <c r="X367" s="2">
        <v>2.7544860543477001</v>
      </c>
      <c r="Y367" s="2">
        <v>0.17998306964515201</v>
      </c>
      <c r="Z367" s="2">
        <v>2.51454694779608</v>
      </c>
      <c r="AA367" s="3">
        <f t="shared" si="16"/>
        <v>46.110959346411626</v>
      </c>
      <c r="AB367" t="s">
        <v>45</v>
      </c>
      <c r="AC367">
        <v>44.04</v>
      </c>
      <c r="AD367">
        <v>59.62</v>
      </c>
      <c r="AE367">
        <v>35.35</v>
      </c>
      <c r="AF367">
        <v>53.1</v>
      </c>
      <c r="AG367">
        <v>31.54</v>
      </c>
      <c r="AH367">
        <v>14.84</v>
      </c>
      <c r="AI367">
        <v>143.91</v>
      </c>
      <c r="AJ367">
        <v>72.569999999999993</v>
      </c>
      <c r="AK367">
        <v>12.52</v>
      </c>
      <c r="AL367">
        <v>41.21</v>
      </c>
      <c r="AM367">
        <v>43</v>
      </c>
      <c r="AN367">
        <v>10.14</v>
      </c>
      <c r="AO367" s="1">
        <f t="shared" si="17"/>
        <v>561.83999999999992</v>
      </c>
    </row>
    <row r="368" spans="1:41" x14ac:dyDescent="0.25">
      <c r="A368" t="s">
        <v>411</v>
      </c>
      <c r="B368" s="2">
        <v>3347.9243752635098</v>
      </c>
      <c r="C368" s="2">
        <v>1053.4657976230701</v>
      </c>
      <c r="D368" s="2">
        <v>884.01760763831703</v>
      </c>
      <c r="E368" s="2">
        <v>15721.916517538901</v>
      </c>
      <c r="F368" s="2">
        <v>1696.62406173451</v>
      </c>
      <c r="G368" s="2">
        <v>919.49190652963398</v>
      </c>
      <c r="H368" s="2">
        <v>1457.68040263022</v>
      </c>
      <c r="I368" s="2">
        <v>370.08620050780797</v>
      </c>
      <c r="J368" s="2">
        <v>1952.61345792716</v>
      </c>
      <c r="K368" s="2">
        <v>1817.5944946736599</v>
      </c>
      <c r="L368" s="2">
        <v>1958.6330670342099</v>
      </c>
      <c r="M368" s="2">
        <v>776.340682372017</v>
      </c>
      <c r="N368" s="3">
        <f t="shared" si="15"/>
        <v>31956.38857147302</v>
      </c>
      <c r="O368" s="2">
        <v>4.1485278364142602</v>
      </c>
      <c r="P368" s="2">
        <v>12.423213686043599</v>
      </c>
      <c r="Q368" s="2">
        <v>1.36070853074744</v>
      </c>
      <c r="R368" s="2">
        <v>0</v>
      </c>
      <c r="S368" s="2">
        <v>0.31416069305920302</v>
      </c>
      <c r="T368" s="2">
        <v>1.93999523479724</v>
      </c>
      <c r="U368" s="2">
        <v>0</v>
      </c>
      <c r="V368" s="2">
        <v>5.9471142079239403</v>
      </c>
      <c r="W368" s="2">
        <v>25.174738204328101</v>
      </c>
      <c r="X368" s="2">
        <v>1.0288526398575399</v>
      </c>
      <c r="Y368" s="2">
        <v>0.15316809971456999</v>
      </c>
      <c r="Z368" s="2">
        <v>2.77895903135262</v>
      </c>
      <c r="AA368" s="3">
        <f t="shared" si="16"/>
        <v>55.269438164238515</v>
      </c>
      <c r="AB368" t="s">
        <v>63</v>
      </c>
      <c r="AC368">
        <v>67.41</v>
      </c>
      <c r="AD368">
        <v>22.25</v>
      </c>
      <c r="AE368">
        <v>17.88</v>
      </c>
      <c r="AF368">
        <v>314.44</v>
      </c>
      <c r="AG368">
        <v>34.03</v>
      </c>
      <c r="AH368">
        <v>18.579999999999998</v>
      </c>
      <c r="AI368">
        <v>29.16</v>
      </c>
      <c r="AJ368">
        <v>7.96</v>
      </c>
      <c r="AK368">
        <v>41.4</v>
      </c>
      <c r="AL368">
        <v>36.54</v>
      </c>
      <c r="AM368">
        <v>39.270000000000003</v>
      </c>
      <c r="AN368">
        <v>15.81</v>
      </c>
      <c r="AO368" s="1">
        <f t="shared" si="17"/>
        <v>644.7299999999999</v>
      </c>
    </row>
    <row r="369" spans="1:41" x14ac:dyDescent="0.25">
      <c r="A369" t="s">
        <v>412</v>
      </c>
      <c r="B369" s="2">
        <v>3345.7129463341398</v>
      </c>
      <c r="C369" s="2">
        <v>0</v>
      </c>
      <c r="D369" s="2">
        <v>3976.7878272788998</v>
      </c>
      <c r="E369" s="2">
        <v>8944.2827650211602</v>
      </c>
      <c r="F369" s="2">
        <v>1558.4640573316599</v>
      </c>
      <c r="G369" s="2">
        <v>5165.2552392682701</v>
      </c>
      <c r="H369" s="2">
        <v>2079.6700931487098</v>
      </c>
      <c r="I369" s="2">
        <v>5036.2374066735001</v>
      </c>
      <c r="J369" s="2">
        <v>4011.2238621892802</v>
      </c>
      <c r="K369" s="2">
        <v>0</v>
      </c>
      <c r="L369" s="2">
        <v>571.57926425534095</v>
      </c>
      <c r="M369" s="2">
        <v>1376.2827752145499</v>
      </c>
      <c r="N369" s="3">
        <f t="shared" si="15"/>
        <v>36065.496236715517</v>
      </c>
      <c r="O369" s="2">
        <v>2.8211397107399399</v>
      </c>
      <c r="P369" s="2">
        <v>3.0838229139524498</v>
      </c>
      <c r="Q369" s="2">
        <v>1.2361202788790999</v>
      </c>
      <c r="R369" s="2">
        <v>1.6142177556475601</v>
      </c>
      <c r="S369" s="2">
        <v>13.6797547555829</v>
      </c>
      <c r="T369" s="2">
        <v>2.8011074895132899</v>
      </c>
      <c r="U369" s="2">
        <v>1.65979264120074</v>
      </c>
      <c r="V369" s="2">
        <v>4.5864263414376696</v>
      </c>
      <c r="W369" s="2">
        <v>0.27543778972070598</v>
      </c>
      <c r="X369" s="2">
        <v>1.57111342986056</v>
      </c>
      <c r="Y369" s="2">
        <v>0.74832101851660904</v>
      </c>
      <c r="Z369" s="2">
        <v>2.2381453906253999</v>
      </c>
      <c r="AA369" s="3">
        <f t="shared" si="16"/>
        <v>36.315399515676923</v>
      </c>
      <c r="AB369" t="s">
        <v>45</v>
      </c>
      <c r="AC369">
        <v>43.6</v>
      </c>
      <c r="AD369">
        <v>10.19</v>
      </c>
      <c r="AE369">
        <v>49.86</v>
      </c>
      <c r="AF369">
        <v>99.54</v>
      </c>
      <c r="AG369">
        <v>26.28</v>
      </c>
      <c r="AH369">
        <v>61.8</v>
      </c>
      <c r="AI369">
        <v>30.89</v>
      </c>
      <c r="AJ369">
        <v>60.61</v>
      </c>
      <c r="AK369">
        <v>50.16</v>
      </c>
      <c r="AL369">
        <v>10.09</v>
      </c>
      <c r="AM369">
        <v>15.76</v>
      </c>
      <c r="AN369">
        <v>23.91</v>
      </c>
      <c r="AO369" s="1">
        <f t="shared" si="17"/>
        <v>482.68999999999994</v>
      </c>
    </row>
    <row r="370" spans="1:41" x14ac:dyDescent="0.25">
      <c r="A370" t="s">
        <v>413</v>
      </c>
      <c r="B370" s="2">
        <v>3321.5640271954499</v>
      </c>
      <c r="C370" s="2">
        <v>7893.8911339572996</v>
      </c>
      <c r="D370" s="2">
        <v>0</v>
      </c>
      <c r="E370" s="2">
        <v>6464.5961077209904</v>
      </c>
      <c r="F370" s="2">
        <v>1029.78800417414</v>
      </c>
      <c r="G370" s="2">
        <v>1976.5551033725901</v>
      </c>
      <c r="H370" s="2">
        <v>768.30099789806195</v>
      </c>
      <c r="I370" s="2">
        <v>5263.5580307257997</v>
      </c>
      <c r="J370" s="2">
        <v>3322.5194961447401</v>
      </c>
      <c r="K370" s="2">
        <v>2864.9953270618698</v>
      </c>
      <c r="L370" s="2">
        <v>4418.2476396390603</v>
      </c>
      <c r="M370" s="2">
        <v>2724.6368184735502</v>
      </c>
      <c r="N370" s="3">
        <f t="shared" si="15"/>
        <v>40048.652686363552</v>
      </c>
      <c r="O370" s="2">
        <v>9.3798552596913503</v>
      </c>
      <c r="P370" s="2">
        <v>0</v>
      </c>
      <c r="Q370" s="2">
        <v>3.57171938576748</v>
      </c>
      <c r="R370" s="2">
        <v>0</v>
      </c>
      <c r="S370" s="2">
        <v>4.2106205067860296</v>
      </c>
      <c r="T370" s="2">
        <v>3.1052798647427702</v>
      </c>
      <c r="U370" s="2">
        <v>0.67663609924881196</v>
      </c>
      <c r="V370" s="2">
        <v>0.55743585693305797</v>
      </c>
      <c r="W370" s="2">
        <v>0.95255403943369599</v>
      </c>
      <c r="X370" s="2">
        <v>6.0754197468370599</v>
      </c>
      <c r="Y370" s="2">
        <v>7.2578599561164401</v>
      </c>
      <c r="Z370" s="2">
        <v>1.4472795115747199</v>
      </c>
      <c r="AA370" s="3">
        <f t="shared" si="16"/>
        <v>37.234660227131414</v>
      </c>
      <c r="AB370" t="s">
        <v>63</v>
      </c>
      <c r="AC370">
        <v>67.34</v>
      </c>
      <c r="AD370">
        <v>157.88</v>
      </c>
      <c r="AE370">
        <v>0.36</v>
      </c>
      <c r="AF370">
        <v>129.30000000000001</v>
      </c>
      <c r="AG370">
        <v>21.05</v>
      </c>
      <c r="AH370">
        <v>39.9</v>
      </c>
      <c r="AI370">
        <v>15.47</v>
      </c>
      <c r="AJ370">
        <v>105.37</v>
      </c>
      <c r="AK370">
        <v>66.55</v>
      </c>
      <c r="AL370">
        <v>57.93</v>
      </c>
      <c r="AM370">
        <v>89.1</v>
      </c>
      <c r="AN370">
        <v>54.68</v>
      </c>
      <c r="AO370" s="1">
        <f t="shared" si="17"/>
        <v>804.93</v>
      </c>
    </row>
    <row r="371" spans="1:41" x14ac:dyDescent="0.25">
      <c r="A371" t="s">
        <v>414</v>
      </c>
      <c r="B371" s="2">
        <v>3320.8422180286898</v>
      </c>
      <c r="C371" s="2">
        <v>6829.2475943988002</v>
      </c>
      <c r="D371" s="2">
        <v>8466.5301767867804</v>
      </c>
      <c r="E371" s="2">
        <v>3208.78567831494</v>
      </c>
      <c r="F371" s="2">
        <v>2135.2510362327998</v>
      </c>
      <c r="G371" s="2">
        <v>0</v>
      </c>
      <c r="H371" s="2">
        <v>2079.3386037876098</v>
      </c>
      <c r="I371" s="2">
        <v>2897.30167354277</v>
      </c>
      <c r="J371" s="2">
        <v>257.97857665477602</v>
      </c>
      <c r="K371" s="2">
        <v>10203.5078112643</v>
      </c>
      <c r="L371" s="2">
        <v>7762.5836012789996</v>
      </c>
      <c r="M371" s="2">
        <v>816.03839420058603</v>
      </c>
      <c r="N371" s="3">
        <f t="shared" si="15"/>
        <v>47977.405364491053</v>
      </c>
      <c r="O371" s="2">
        <v>2.54622323684214</v>
      </c>
      <c r="P371" s="2">
        <v>4.5981867434272896</v>
      </c>
      <c r="Q371" s="2">
        <v>3.8783871806599199</v>
      </c>
      <c r="R371" s="2">
        <v>2.4777865794996399</v>
      </c>
      <c r="S371" s="2">
        <v>5.5091612496382103</v>
      </c>
      <c r="T371" s="2">
        <v>1.37437716544927</v>
      </c>
      <c r="U371" s="2">
        <v>1.3220975001783399</v>
      </c>
      <c r="V371" s="2">
        <v>0</v>
      </c>
      <c r="W371" s="2">
        <v>0.49755009673130102</v>
      </c>
      <c r="X371" s="2">
        <v>4.0227709078903802</v>
      </c>
      <c r="Y371" s="2">
        <v>5.84176672811261</v>
      </c>
      <c r="Z371" s="2">
        <v>4.8742240950477198</v>
      </c>
      <c r="AA371" s="3">
        <f t="shared" si="16"/>
        <v>36.942531483476827</v>
      </c>
      <c r="AB371" t="s">
        <v>63</v>
      </c>
      <c r="AC371">
        <v>66.69</v>
      </c>
      <c r="AD371">
        <v>137.05000000000001</v>
      </c>
      <c r="AE371">
        <v>169.7</v>
      </c>
      <c r="AF371">
        <v>64.45</v>
      </c>
      <c r="AG371">
        <v>43.26</v>
      </c>
      <c r="AH371">
        <v>0.18</v>
      </c>
      <c r="AI371">
        <v>41.78</v>
      </c>
      <c r="AJ371">
        <v>57.96</v>
      </c>
      <c r="AK371">
        <v>5.25</v>
      </c>
      <c r="AL371">
        <v>204.53</v>
      </c>
      <c r="AM371">
        <v>155.80000000000001</v>
      </c>
      <c r="AN371">
        <v>16.79</v>
      </c>
      <c r="AO371" s="1">
        <f t="shared" si="17"/>
        <v>963.44</v>
      </c>
    </row>
    <row r="372" spans="1:41" x14ac:dyDescent="0.25">
      <c r="A372" t="s">
        <v>415</v>
      </c>
      <c r="B372" s="2">
        <v>3301.9078634101002</v>
      </c>
      <c r="C372" s="2">
        <v>1130.8220205631501</v>
      </c>
      <c r="D372" s="2">
        <v>4007.9063307084798</v>
      </c>
      <c r="E372" s="2">
        <v>578.12352076805905</v>
      </c>
      <c r="F372" s="2">
        <v>4204.5847488441505</v>
      </c>
      <c r="G372" s="2">
        <v>2343.9178264594998</v>
      </c>
      <c r="H372" s="2">
        <v>1219.10277343086</v>
      </c>
      <c r="I372" s="2">
        <v>2848.9528098400901</v>
      </c>
      <c r="J372" s="2">
        <v>1363.94891214687</v>
      </c>
      <c r="K372" s="2">
        <v>705.78048372754097</v>
      </c>
      <c r="L372" s="2">
        <v>1746.2145439706301</v>
      </c>
      <c r="M372" s="2">
        <v>1514.7410168092699</v>
      </c>
      <c r="N372" s="3">
        <f t="shared" si="15"/>
        <v>24966.002850678695</v>
      </c>
      <c r="O372" s="2">
        <v>2.0827253676127899</v>
      </c>
      <c r="P372" s="2">
        <v>3.0258409111395501</v>
      </c>
      <c r="Q372" s="2">
        <v>4.6494308887830904</v>
      </c>
      <c r="R372" s="2">
        <v>2.3920261170518899</v>
      </c>
      <c r="S372" s="2">
        <v>1.09292321360107</v>
      </c>
      <c r="T372" s="2">
        <v>1.7572512405260201</v>
      </c>
      <c r="U372" s="2">
        <v>0</v>
      </c>
      <c r="V372" s="2">
        <v>2.4386111100457999</v>
      </c>
      <c r="W372" s="2">
        <v>1.5614825010886501E-2</v>
      </c>
      <c r="X372" s="2">
        <v>6.2743139541757698</v>
      </c>
      <c r="Y372" s="2">
        <v>1.96400888431592</v>
      </c>
      <c r="Z372" s="2">
        <v>0.120692704432247</v>
      </c>
      <c r="AA372" s="3">
        <f t="shared" si="16"/>
        <v>25.813439216695034</v>
      </c>
      <c r="AB372" t="s">
        <v>63</v>
      </c>
      <c r="AC372">
        <v>66.31</v>
      </c>
      <c r="AD372">
        <v>22.98</v>
      </c>
      <c r="AE372">
        <v>80.61</v>
      </c>
      <c r="AF372">
        <v>11.85</v>
      </c>
      <c r="AG372">
        <v>84.28</v>
      </c>
      <c r="AH372">
        <v>47.06</v>
      </c>
      <c r="AI372">
        <v>24.4</v>
      </c>
      <c r="AJ372">
        <v>57.25</v>
      </c>
      <c r="AK372">
        <v>27.37</v>
      </c>
      <c r="AL372">
        <v>14.75</v>
      </c>
      <c r="AM372">
        <v>35.119999999999997</v>
      </c>
      <c r="AN372">
        <v>30.39</v>
      </c>
      <c r="AO372" s="1">
        <f t="shared" si="17"/>
        <v>502.36999999999995</v>
      </c>
    </row>
    <row r="373" spans="1:41" x14ac:dyDescent="0.25">
      <c r="A373" t="s">
        <v>416</v>
      </c>
      <c r="B373" s="2">
        <v>3300.7798224334801</v>
      </c>
      <c r="C373" s="2">
        <v>92.476340933215596</v>
      </c>
      <c r="D373" s="2">
        <v>7393.9105018796899</v>
      </c>
      <c r="E373" s="2">
        <v>0</v>
      </c>
      <c r="F373" s="2">
        <v>13272.311350436899</v>
      </c>
      <c r="G373" s="2">
        <v>1904.86874324408</v>
      </c>
      <c r="H373" s="2">
        <v>4184.0186495687503</v>
      </c>
      <c r="I373" s="2">
        <v>1106.66551721826</v>
      </c>
      <c r="J373" s="2">
        <v>1629.25485223546</v>
      </c>
      <c r="K373" s="2">
        <v>4901.5984817628096</v>
      </c>
      <c r="L373" s="2">
        <v>2056.6735056325201</v>
      </c>
      <c r="M373" s="2">
        <v>9239.4059411054204</v>
      </c>
      <c r="N373" s="3">
        <f t="shared" si="15"/>
        <v>49081.963706450588</v>
      </c>
      <c r="O373" s="2">
        <v>3.4686136723393699</v>
      </c>
      <c r="P373" s="2">
        <v>0</v>
      </c>
      <c r="Q373" s="2">
        <v>2.0218365864297398</v>
      </c>
      <c r="R373" s="2">
        <v>2.8072930340503599</v>
      </c>
      <c r="S373" s="2">
        <v>7.7589501584334801</v>
      </c>
      <c r="T373" s="2">
        <v>0.53880583260496295</v>
      </c>
      <c r="U373" s="2">
        <v>0</v>
      </c>
      <c r="V373" s="2">
        <v>9.3400310241526299</v>
      </c>
      <c r="W373" s="2">
        <v>1.4500142818457</v>
      </c>
      <c r="X373" s="2">
        <v>0</v>
      </c>
      <c r="Y373" s="2">
        <v>13.1026322460961</v>
      </c>
      <c r="Z373" s="2">
        <v>3.2743625272470598</v>
      </c>
      <c r="AA373" s="3">
        <f t="shared" si="16"/>
        <v>43.762539363199402</v>
      </c>
      <c r="AB373" t="s">
        <v>45</v>
      </c>
      <c r="AC373">
        <v>43.2</v>
      </c>
      <c r="AD373">
        <v>10.92</v>
      </c>
      <c r="AE373">
        <v>84.08</v>
      </c>
      <c r="AF373">
        <v>10.14</v>
      </c>
      <c r="AG373">
        <v>143.12</v>
      </c>
      <c r="AH373">
        <v>29.09</v>
      </c>
      <c r="AI373">
        <v>51.84</v>
      </c>
      <c r="AJ373">
        <v>21.56</v>
      </c>
      <c r="AK373">
        <v>26.39</v>
      </c>
      <c r="AL373">
        <v>59.01</v>
      </c>
      <c r="AM373">
        <v>31.26</v>
      </c>
      <c r="AN373">
        <v>102.59</v>
      </c>
      <c r="AO373" s="1">
        <f t="shared" si="17"/>
        <v>613.19999999999993</v>
      </c>
    </row>
    <row r="374" spans="1:41" x14ac:dyDescent="0.25">
      <c r="A374" t="s">
        <v>417</v>
      </c>
      <c r="B374" s="2">
        <v>3294.3814045107301</v>
      </c>
      <c r="C374" s="2">
        <v>2257.3762427155102</v>
      </c>
      <c r="D374" s="2">
        <v>5082.6470782063097</v>
      </c>
      <c r="E374" s="2">
        <v>989.44786901741998</v>
      </c>
      <c r="F374" s="2">
        <v>12888.778533897501</v>
      </c>
      <c r="G374" s="2">
        <v>4894.1949511530702</v>
      </c>
      <c r="H374" s="2">
        <v>4622.2350381302003</v>
      </c>
      <c r="I374" s="2">
        <v>8505.6807709955992</v>
      </c>
      <c r="J374" s="2">
        <v>19375.363712340601</v>
      </c>
      <c r="K374" s="2">
        <v>521.70105651053598</v>
      </c>
      <c r="L374" s="2">
        <v>5900.8005084260103</v>
      </c>
      <c r="M374" s="2">
        <v>1339.6328766926799</v>
      </c>
      <c r="N374" s="3">
        <f t="shared" si="15"/>
        <v>69672.240042596168</v>
      </c>
      <c r="O374" s="2">
        <v>0.88710026133526299</v>
      </c>
      <c r="P374" s="2">
        <v>0.28971291795360099</v>
      </c>
      <c r="Q374" s="2">
        <v>0</v>
      </c>
      <c r="R374" s="2">
        <v>1.94275270406659</v>
      </c>
      <c r="S374" s="2">
        <v>1.6002391008106001</v>
      </c>
      <c r="T374" s="2">
        <v>4.0852795314629402</v>
      </c>
      <c r="U374" s="2">
        <v>7.6587777024514097</v>
      </c>
      <c r="V374" s="2">
        <v>5.8353980299339598</v>
      </c>
      <c r="W374" s="2">
        <v>2.8734628869876002</v>
      </c>
      <c r="X374" s="2">
        <v>3.1534748850550498</v>
      </c>
      <c r="Y374" s="2">
        <v>2.08020401806258</v>
      </c>
      <c r="Z374" s="2">
        <v>3.4761555970241398</v>
      </c>
      <c r="AA374" s="3">
        <f t="shared" si="16"/>
        <v>33.882557635143733</v>
      </c>
      <c r="AB374" t="s">
        <v>45</v>
      </c>
      <c r="AC374">
        <v>42.99</v>
      </c>
      <c r="AD374">
        <v>32.619999999999997</v>
      </c>
      <c r="AE374">
        <v>60.82</v>
      </c>
      <c r="AF374">
        <v>19.989999999999998</v>
      </c>
      <c r="AG374">
        <v>138.97999999999999</v>
      </c>
      <c r="AH374">
        <v>59.19</v>
      </c>
      <c r="AI374">
        <v>56.62</v>
      </c>
      <c r="AJ374">
        <v>95.35</v>
      </c>
      <c r="AK374">
        <v>203.9</v>
      </c>
      <c r="AL374">
        <v>15.41</v>
      </c>
      <c r="AM374">
        <v>69.150000000000006</v>
      </c>
      <c r="AN374">
        <v>23.59</v>
      </c>
      <c r="AO374" s="1">
        <f t="shared" si="17"/>
        <v>818.6099999999999</v>
      </c>
    </row>
    <row r="375" spans="1:41" x14ac:dyDescent="0.25">
      <c r="A375" t="s">
        <v>418</v>
      </c>
      <c r="B375" s="2">
        <v>3287.7476182985802</v>
      </c>
      <c r="C375" s="2">
        <v>183.91849291391699</v>
      </c>
      <c r="D375" s="2">
        <v>2323.3362903178099</v>
      </c>
      <c r="E375" s="2">
        <v>1268.19326331102</v>
      </c>
      <c r="F375" s="2">
        <v>2325.73232082799</v>
      </c>
      <c r="G375" s="2">
        <v>1295.4535078705801</v>
      </c>
      <c r="H375" s="2">
        <v>1530.7946648109501</v>
      </c>
      <c r="I375" s="2">
        <v>3662.1038590585099</v>
      </c>
      <c r="J375" s="2">
        <v>4468.3443511996502</v>
      </c>
      <c r="K375" s="2">
        <v>1943.2530662118099</v>
      </c>
      <c r="L375" s="2">
        <v>9813.6949394588191</v>
      </c>
      <c r="M375" s="2">
        <v>10648.848041842901</v>
      </c>
      <c r="N375" s="3">
        <f t="shared" si="15"/>
        <v>42751.420416122543</v>
      </c>
      <c r="O375" s="2">
        <v>0.63504323271613605</v>
      </c>
      <c r="P375" s="2">
        <v>7.7250073356530597</v>
      </c>
      <c r="Q375" s="2">
        <v>0</v>
      </c>
      <c r="R375" s="2">
        <v>8.8737244258416403</v>
      </c>
      <c r="S375" s="2">
        <v>2.5829817641663402</v>
      </c>
      <c r="T375" s="2">
        <v>1.6272485229382601</v>
      </c>
      <c r="U375" s="2">
        <v>1.8960744539525201</v>
      </c>
      <c r="V375" s="2">
        <v>11.0795646828094</v>
      </c>
      <c r="W375" s="2">
        <v>0</v>
      </c>
      <c r="X375" s="2">
        <v>0</v>
      </c>
      <c r="Y375" s="2">
        <v>0.50854778772923703</v>
      </c>
      <c r="Z375" s="2">
        <v>3.91475552004303</v>
      </c>
      <c r="AA375" s="3">
        <f t="shared" si="16"/>
        <v>38.842947725849619</v>
      </c>
      <c r="AB375" t="s">
        <v>45</v>
      </c>
      <c r="AC375">
        <v>42.92</v>
      </c>
      <c r="AD375">
        <v>12.23</v>
      </c>
      <c r="AE375">
        <v>33.229999999999997</v>
      </c>
      <c r="AF375">
        <v>23.13</v>
      </c>
      <c r="AG375">
        <v>33.4</v>
      </c>
      <c r="AH375">
        <v>23.05</v>
      </c>
      <c r="AI375">
        <v>25.4</v>
      </c>
      <c r="AJ375">
        <v>47.22</v>
      </c>
      <c r="AK375">
        <v>54.68</v>
      </c>
      <c r="AL375">
        <v>29.43</v>
      </c>
      <c r="AM375">
        <v>108.18</v>
      </c>
      <c r="AN375">
        <v>116.68</v>
      </c>
      <c r="AO375" s="1">
        <f t="shared" si="17"/>
        <v>549.54999999999995</v>
      </c>
    </row>
    <row r="376" spans="1:41" x14ac:dyDescent="0.25">
      <c r="A376" t="s">
        <v>419</v>
      </c>
      <c r="B376" s="2">
        <v>3278.7093219040098</v>
      </c>
      <c r="C376" s="2">
        <v>9006.2850630581306</v>
      </c>
      <c r="D376" s="2">
        <v>152.027695716241</v>
      </c>
      <c r="E376" s="2">
        <v>1586.63180873651</v>
      </c>
      <c r="F376" s="2">
        <v>404.54056701035302</v>
      </c>
      <c r="G376" s="2">
        <v>6466.7582175986699</v>
      </c>
      <c r="H376" s="2">
        <v>0</v>
      </c>
      <c r="I376" s="2">
        <v>2227.21680377848</v>
      </c>
      <c r="J376" s="2">
        <v>2468.4541803830898</v>
      </c>
      <c r="K376" s="2">
        <v>0</v>
      </c>
      <c r="L376" s="2">
        <v>1121.54482778174</v>
      </c>
      <c r="M376" s="2">
        <v>1947.8898070739001</v>
      </c>
      <c r="N376" s="3">
        <f t="shared" si="15"/>
        <v>28660.058293041129</v>
      </c>
      <c r="O376" s="2">
        <v>4.31826194811556</v>
      </c>
      <c r="P376" s="2">
        <v>7.0809033466834999</v>
      </c>
      <c r="Q376" s="2">
        <v>1.4461416036057599</v>
      </c>
      <c r="R376" s="2">
        <v>4.5864197193793101</v>
      </c>
      <c r="S376" s="2">
        <v>9.3612680907893999</v>
      </c>
      <c r="T376" s="2">
        <v>4.4452694591148498</v>
      </c>
      <c r="U376" s="2">
        <v>4.7569745020771403</v>
      </c>
      <c r="V376" s="2">
        <v>3.4671647040634501</v>
      </c>
      <c r="W376" s="2">
        <v>0</v>
      </c>
      <c r="X376" s="2">
        <v>2.9113060121965</v>
      </c>
      <c r="Y376" s="2">
        <v>0.87691398010549004</v>
      </c>
      <c r="Z376" s="2">
        <v>9.6729313378232504</v>
      </c>
      <c r="AA376" s="3">
        <f t="shared" si="16"/>
        <v>52.92355470395421</v>
      </c>
      <c r="AB376" t="s">
        <v>63</v>
      </c>
      <c r="AC376">
        <v>66.03</v>
      </c>
      <c r="AD376">
        <v>180.86</v>
      </c>
      <c r="AE376">
        <v>3.24</v>
      </c>
      <c r="AF376">
        <v>32.19</v>
      </c>
      <c r="AG376">
        <v>9</v>
      </c>
      <c r="AH376">
        <v>129.79</v>
      </c>
      <c r="AI376">
        <v>0.45</v>
      </c>
      <c r="AJ376">
        <v>44.92</v>
      </c>
      <c r="AK376">
        <v>49.38</v>
      </c>
      <c r="AL376">
        <v>0.27</v>
      </c>
      <c r="AM376">
        <v>22.53</v>
      </c>
      <c r="AN376">
        <v>39.86</v>
      </c>
      <c r="AO376" s="1">
        <f t="shared" si="17"/>
        <v>578.52</v>
      </c>
    </row>
    <row r="377" spans="1:41" x14ac:dyDescent="0.25">
      <c r="A377" t="s">
        <v>420</v>
      </c>
      <c r="B377" s="2">
        <v>3269.1581837139001</v>
      </c>
      <c r="C377" s="2">
        <v>1280.14328931107</v>
      </c>
      <c r="D377" s="2">
        <v>2064.7023034979802</v>
      </c>
      <c r="E377" s="2">
        <v>8978.5629162024597</v>
      </c>
      <c r="F377" s="2">
        <v>0</v>
      </c>
      <c r="G377" s="2">
        <v>573.99965080978097</v>
      </c>
      <c r="H377" s="2">
        <v>10683.6333177139</v>
      </c>
      <c r="I377" s="2">
        <v>3419.3667824905401</v>
      </c>
      <c r="J377" s="2">
        <v>2182.5197594705201</v>
      </c>
      <c r="K377" s="2">
        <v>1274.47925039441</v>
      </c>
      <c r="L377" s="2">
        <v>6772.6769648970003</v>
      </c>
      <c r="M377" s="2">
        <v>782.30446211062394</v>
      </c>
      <c r="N377" s="3">
        <f t="shared" si="15"/>
        <v>41281.546880612186</v>
      </c>
      <c r="O377" s="2">
        <v>3.0303344398846401</v>
      </c>
      <c r="P377" s="2">
        <v>1.81657033141573</v>
      </c>
      <c r="Q377" s="2">
        <v>5.9666663440960201</v>
      </c>
      <c r="R377" s="2">
        <v>1.62269971587704</v>
      </c>
      <c r="S377" s="2">
        <v>7.2014072339670996</v>
      </c>
      <c r="T377" s="2">
        <v>2.73867988240222</v>
      </c>
      <c r="U377" s="2">
        <v>4.7375610518862397</v>
      </c>
      <c r="V377" s="2">
        <v>4.5024821726982003</v>
      </c>
      <c r="W377" s="2">
        <v>0.50372567124253298</v>
      </c>
      <c r="X377" s="2">
        <v>14.2052179110902</v>
      </c>
      <c r="Y377" s="2">
        <v>3.1666635503499001</v>
      </c>
      <c r="Z377" s="2">
        <v>5.3264394449478898</v>
      </c>
      <c r="AA377" s="3">
        <f t="shared" si="16"/>
        <v>54.818447749857711</v>
      </c>
      <c r="AB377" t="s">
        <v>45</v>
      </c>
      <c r="AC377">
        <v>42.89</v>
      </c>
      <c r="AD377">
        <v>22.9</v>
      </c>
      <c r="AE377">
        <v>30.94</v>
      </c>
      <c r="AF377">
        <v>99.88</v>
      </c>
      <c r="AG377">
        <v>10.39</v>
      </c>
      <c r="AH377">
        <v>15.88</v>
      </c>
      <c r="AI377">
        <v>117.08</v>
      </c>
      <c r="AJ377">
        <v>44.44</v>
      </c>
      <c r="AK377">
        <v>31.87</v>
      </c>
      <c r="AL377">
        <v>23.49</v>
      </c>
      <c r="AM377">
        <v>77.92</v>
      </c>
      <c r="AN377">
        <v>18.12</v>
      </c>
      <c r="AO377" s="1">
        <f t="shared" si="17"/>
        <v>535.79999999999995</v>
      </c>
    </row>
    <row r="378" spans="1:41" x14ac:dyDescent="0.25">
      <c r="A378" t="s">
        <v>421</v>
      </c>
      <c r="B378" s="2">
        <v>3268.0477681960001</v>
      </c>
      <c r="C378" s="2">
        <v>1510.4763430027101</v>
      </c>
      <c r="D378" s="2">
        <v>7954.3544383178296</v>
      </c>
      <c r="E378" s="2">
        <v>4921.3326424008501</v>
      </c>
      <c r="F378" s="2">
        <v>4849.5864053873902</v>
      </c>
      <c r="G378" s="2">
        <v>7116.2536485566998</v>
      </c>
      <c r="H378" s="2">
        <v>3312.8653131595102</v>
      </c>
      <c r="I378" s="2">
        <v>2582.7746122833501</v>
      </c>
      <c r="J378" s="2">
        <v>1862.8793133499701</v>
      </c>
      <c r="K378" s="2">
        <v>226.62994451823499</v>
      </c>
      <c r="L378" s="2">
        <v>2749.4611368153801</v>
      </c>
      <c r="M378" s="2">
        <v>6973.4007691201596</v>
      </c>
      <c r="N378" s="3">
        <f t="shared" si="15"/>
        <v>47328.062335108087</v>
      </c>
      <c r="O378" s="2">
        <v>0.49611888075549998</v>
      </c>
      <c r="P378" s="2">
        <v>2.8325941327548598</v>
      </c>
      <c r="Q378" s="2">
        <v>0.826152730533948</v>
      </c>
      <c r="R378" s="2">
        <v>0.445400618179768</v>
      </c>
      <c r="S378" s="2">
        <v>0</v>
      </c>
      <c r="T378" s="2">
        <v>0.61336690837667296</v>
      </c>
      <c r="U378" s="2">
        <v>1.8222037574576999</v>
      </c>
      <c r="V378" s="2">
        <v>1.37244274577296</v>
      </c>
      <c r="W378" s="2">
        <v>2.14202940813834</v>
      </c>
      <c r="X378" s="2">
        <v>2.18679319006104</v>
      </c>
      <c r="Y378" s="2">
        <v>7.8895625280865698</v>
      </c>
      <c r="Z378" s="2">
        <v>9.8051481547929793</v>
      </c>
      <c r="AA378" s="3">
        <f t="shared" si="16"/>
        <v>30.431813054910336</v>
      </c>
      <c r="AB378" t="s">
        <v>45</v>
      </c>
      <c r="AC378">
        <v>42.73</v>
      </c>
      <c r="AD378">
        <v>25.25</v>
      </c>
      <c r="AE378">
        <v>89.59</v>
      </c>
      <c r="AF378">
        <v>59.26</v>
      </c>
      <c r="AG378">
        <v>58.49</v>
      </c>
      <c r="AH378">
        <v>81.209999999999994</v>
      </c>
      <c r="AI378">
        <v>43.22</v>
      </c>
      <c r="AJ378">
        <v>35.92</v>
      </c>
      <c r="AK378">
        <v>28.77</v>
      </c>
      <c r="AL378">
        <v>12.41</v>
      </c>
      <c r="AM378">
        <v>37.89</v>
      </c>
      <c r="AN378">
        <v>80.23</v>
      </c>
      <c r="AO378" s="1">
        <f t="shared" si="17"/>
        <v>594.97</v>
      </c>
    </row>
    <row r="379" spans="1:41" x14ac:dyDescent="0.25">
      <c r="A379" t="s">
        <v>422</v>
      </c>
      <c r="B379" s="2">
        <v>3265.7314708880899</v>
      </c>
      <c r="C379" s="2">
        <v>362.62670854377501</v>
      </c>
      <c r="D379" s="2">
        <v>0</v>
      </c>
      <c r="E379" s="2">
        <v>3942.96350451833</v>
      </c>
      <c r="F379" s="2">
        <v>8145.6021667280502</v>
      </c>
      <c r="G379" s="2">
        <v>1768.23125382533</v>
      </c>
      <c r="H379" s="2">
        <v>5796.7103856741196</v>
      </c>
      <c r="I379" s="2">
        <v>5062.4114100267298</v>
      </c>
      <c r="J379" s="2">
        <v>1823.3990732582699</v>
      </c>
      <c r="K379" s="2">
        <v>4484.5499968335098</v>
      </c>
      <c r="L379" s="2">
        <v>10120.5804305689</v>
      </c>
      <c r="M379" s="2">
        <v>8826.2167904941598</v>
      </c>
      <c r="N379" s="3">
        <f t="shared" si="15"/>
        <v>53599.023191359265</v>
      </c>
      <c r="O379" s="2">
        <v>2.20082645072443</v>
      </c>
      <c r="P379" s="2">
        <v>2.2835440753465899</v>
      </c>
      <c r="Q379" s="2">
        <v>0</v>
      </c>
      <c r="R379" s="2">
        <v>5.5226875364194197E-2</v>
      </c>
      <c r="S379" s="2">
        <v>4.5165564331607104</v>
      </c>
      <c r="T379" s="2">
        <v>0</v>
      </c>
      <c r="U379" s="2">
        <v>3.74190838444258</v>
      </c>
      <c r="V379" s="2">
        <v>6.2284195638734596</v>
      </c>
      <c r="W379" s="2">
        <v>0.41374289081882398</v>
      </c>
      <c r="X379" s="2">
        <v>2.8273943202807001</v>
      </c>
      <c r="Y379" s="2">
        <v>1.07434531515189</v>
      </c>
      <c r="Z379" s="2">
        <v>5.5287301102750197</v>
      </c>
      <c r="AA379" s="3">
        <f t="shared" si="16"/>
        <v>28.870694419438401</v>
      </c>
      <c r="AB379" t="s">
        <v>45</v>
      </c>
      <c r="AC379">
        <v>42.8</v>
      </c>
      <c r="AD379">
        <v>13.77</v>
      </c>
      <c r="AE379">
        <v>9.99</v>
      </c>
      <c r="AF379">
        <v>49.47</v>
      </c>
      <c r="AG379">
        <v>91.7</v>
      </c>
      <c r="AH379">
        <v>27.68</v>
      </c>
      <c r="AI379">
        <v>68.16</v>
      </c>
      <c r="AJ379">
        <v>60.97</v>
      </c>
      <c r="AK379">
        <v>28.28</v>
      </c>
      <c r="AL379">
        <v>54.99</v>
      </c>
      <c r="AM379">
        <v>111.3</v>
      </c>
      <c r="AN379">
        <v>98.56</v>
      </c>
      <c r="AO379" s="1">
        <f t="shared" si="17"/>
        <v>657.66999999999985</v>
      </c>
    </row>
    <row r="380" spans="1:41" x14ac:dyDescent="0.25">
      <c r="A380" t="s">
        <v>423</v>
      </c>
      <c r="B380" s="2">
        <v>3238.4498921507202</v>
      </c>
      <c r="C380" s="2">
        <v>579.337438903367</v>
      </c>
      <c r="D380" s="2">
        <v>7433.7034563339303</v>
      </c>
      <c r="E380" s="2">
        <v>5119.2048632102196</v>
      </c>
      <c r="F380" s="2">
        <v>254.06115751106299</v>
      </c>
      <c r="G380" s="2">
        <v>3220.8790174924402</v>
      </c>
      <c r="H380" s="2">
        <v>4956.1719292125699</v>
      </c>
      <c r="I380" s="2">
        <v>4604.0798861418598</v>
      </c>
      <c r="J380" s="2">
        <v>5171.0984865102901</v>
      </c>
      <c r="K380" s="2">
        <v>584.62983788309498</v>
      </c>
      <c r="L380" s="2">
        <v>389.23913877874298</v>
      </c>
      <c r="M380" s="2">
        <v>6106.5575826211098</v>
      </c>
      <c r="N380" s="3">
        <f t="shared" si="15"/>
        <v>41657.412686749405</v>
      </c>
      <c r="O380" s="2">
        <v>3.2347608675256199</v>
      </c>
      <c r="P380" s="2">
        <v>7.99718584153546</v>
      </c>
      <c r="Q380" s="2">
        <v>10.892353257864301</v>
      </c>
      <c r="R380" s="2">
        <v>0</v>
      </c>
      <c r="S380" s="2">
        <v>2.5478960955781198</v>
      </c>
      <c r="T380" s="2">
        <v>2.24360775838954</v>
      </c>
      <c r="U380" s="2">
        <v>12.724210535545801</v>
      </c>
      <c r="V380" s="2">
        <v>24.811815540153901</v>
      </c>
      <c r="W380" s="2">
        <v>2.1788300472656399</v>
      </c>
      <c r="X380" s="2">
        <v>6.31981310974792</v>
      </c>
      <c r="Y380" s="2">
        <v>3.0090138817648602</v>
      </c>
      <c r="Z380" s="2">
        <v>0</v>
      </c>
      <c r="AA380" s="3">
        <f t="shared" si="16"/>
        <v>75.95948693537116</v>
      </c>
      <c r="AB380" t="s">
        <v>63</v>
      </c>
      <c r="AC380">
        <v>65.14</v>
      </c>
      <c r="AD380">
        <v>12.32</v>
      </c>
      <c r="AE380">
        <v>149.66999999999999</v>
      </c>
      <c r="AF380">
        <v>102.4</v>
      </c>
      <c r="AG380">
        <v>5.37</v>
      </c>
      <c r="AH380">
        <v>64.69</v>
      </c>
      <c r="AI380">
        <v>100.31</v>
      </c>
      <c r="AJ380">
        <v>94.35</v>
      </c>
      <c r="AK380">
        <v>103.71</v>
      </c>
      <c r="AL380">
        <v>12.33</v>
      </c>
      <c r="AM380">
        <v>8.16</v>
      </c>
      <c r="AN380">
        <v>122.14</v>
      </c>
      <c r="AO380" s="1">
        <f t="shared" si="17"/>
        <v>840.59</v>
      </c>
    </row>
    <row r="381" spans="1:41" x14ac:dyDescent="0.25">
      <c r="A381" t="s">
        <v>424</v>
      </c>
      <c r="B381" s="2">
        <v>3229.6593074232401</v>
      </c>
      <c r="C381" s="2">
        <v>11030.686552212601</v>
      </c>
      <c r="D381" s="2">
        <v>5985.1916858519498</v>
      </c>
      <c r="E381" s="2">
        <v>9438.29516329539</v>
      </c>
      <c r="F381" s="2">
        <v>6577.9333542332597</v>
      </c>
      <c r="G381" s="2">
        <v>656.34630906428504</v>
      </c>
      <c r="H381" s="2">
        <v>6897.8701292653104</v>
      </c>
      <c r="I381" s="2">
        <v>9025.4938879585497</v>
      </c>
      <c r="J381" s="2">
        <v>10036.880116672301</v>
      </c>
      <c r="K381" s="2">
        <v>4349.1155362288</v>
      </c>
      <c r="L381" s="2">
        <v>134.067464653852</v>
      </c>
      <c r="M381" s="2">
        <v>0</v>
      </c>
      <c r="N381" s="3">
        <f t="shared" si="15"/>
        <v>67361.539506859539</v>
      </c>
      <c r="O381" s="2">
        <v>1.7830045802918699</v>
      </c>
      <c r="P381" s="2">
        <v>8.2757768770034801</v>
      </c>
      <c r="Q381" s="2">
        <v>17.2081290405511</v>
      </c>
      <c r="R381" s="2">
        <v>0.99894504173479703</v>
      </c>
      <c r="S381" s="2">
        <v>2.12202872311344</v>
      </c>
      <c r="T381" s="2">
        <v>3.05859506639991</v>
      </c>
      <c r="U381" s="2">
        <v>14.508727714102299</v>
      </c>
      <c r="V381" s="2">
        <v>7.0637198392772502</v>
      </c>
      <c r="W381" s="2">
        <v>5.67599198572782</v>
      </c>
      <c r="X381" s="2">
        <v>2.8352250198707698</v>
      </c>
      <c r="Y381" s="2">
        <v>0.51886584025660298</v>
      </c>
      <c r="Z381" s="2">
        <v>0</v>
      </c>
      <c r="AA381" s="3">
        <f t="shared" si="16"/>
        <v>64.049009728329338</v>
      </c>
      <c r="AB381" t="s">
        <v>45</v>
      </c>
      <c r="AC381">
        <v>42.39</v>
      </c>
      <c r="AD381">
        <v>120.75</v>
      </c>
      <c r="AE381">
        <v>70.75</v>
      </c>
      <c r="AF381">
        <v>104.43</v>
      </c>
      <c r="AG381">
        <v>75.92</v>
      </c>
      <c r="AH381">
        <v>16.760000000000002</v>
      </c>
      <c r="AI381">
        <v>79.72</v>
      </c>
      <c r="AJ381">
        <v>100.65</v>
      </c>
      <c r="AK381">
        <v>110.66</v>
      </c>
      <c r="AL381">
        <v>53.64</v>
      </c>
      <c r="AM381">
        <v>11.39</v>
      </c>
      <c r="AN381">
        <v>9.99</v>
      </c>
      <c r="AO381" s="1">
        <f t="shared" si="17"/>
        <v>797.05</v>
      </c>
    </row>
    <row r="382" spans="1:41" x14ac:dyDescent="0.25">
      <c r="A382" t="s">
        <v>425</v>
      </c>
      <c r="B382" s="2">
        <v>3220.5065239485498</v>
      </c>
      <c r="C382" s="2">
        <v>345.05409897037202</v>
      </c>
      <c r="D382" s="2">
        <v>3919.5481360971498</v>
      </c>
      <c r="E382" s="2">
        <v>4880.6738702786297</v>
      </c>
      <c r="F382" s="2">
        <v>1307.75331662694</v>
      </c>
      <c r="G382" s="2">
        <v>529.32536493907196</v>
      </c>
      <c r="H382" s="2">
        <v>5294.38686553558</v>
      </c>
      <c r="I382" s="2">
        <v>13951.723545675601</v>
      </c>
      <c r="J382" s="2">
        <v>1153.18307342618</v>
      </c>
      <c r="K382" s="2">
        <v>10745.1519218167</v>
      </c>
      <c r="L382" s="2">
        <v>1097.3214725999201</v>
      </c>
      <c r="M382" s="2">
        <v>9826.5406848903203</v>
      </c>
      <c r="N382" s="3">
        <f t="shared" si="15"/>
        <v>56271.168874805022</v>
      </c>
      <c r="O382" s="2">
        <v>7.9270641088475298</v>
      </c>
      <c r="P382" s="2">
        <v>5.9997260200392999</v>
      </c>
      <c r="Q382" s="2">
        <v>0.19811570403241999</v>
      </c>
      <c r="R382" s="2">
        <v>7.1282718625303598</v>
      </c>
      <c r="S382" s="2">
        <v>3.7627443922492398</v>
      </c>
      <c r="T382" s="2">
        <v>2.34904625961101</v>
      </c>
      <c r="U382" s="2">
        <v>7.7803231055712798</v>
      </c>
      <c r="V382" s="2">
        <v>3.6424320198181599</v>
      </c>
      <c r="W382" s="2">
        <v>6.0840958700652701</v>
      </c>
      <c r="X382" s="2">
        <v>1.7825324232539399</v>
      </c>
      <c r="Y382" s="2">
        <v>1.5712482348914101</v>
      </c>
      <c r="Z382" s="2">
        <v>2.3706891049275902</v>
      </c>
      <c r="AA382" s="3">
        <f t="shared" si="16"/>
        <v>50.596289105837513</v>
      </c>
      <c r="AB382" t="s">
        <v>63</v>
      </c>
      <c r="AC382">
        <v>65.14</v>
      </c>
      <c r="AD382">
        <v>7.46</v>
      </c>
      <c r="AE382">
        <v>78.489999999999995</v>
      </c>
      <c r="AF382">
        <v>98.34</v>
      </c>
      <c r="AG382">
        <v>26.52</v>
      </c>
      <c r="AH382">
        <v>10.87</v>
      </c>
      <c r="AI382">
        <v>106.62</v>
      </c>
      <c r="AJ382">
        <v>279.39999999999998</v>
      </c>
      <c r="AK382">
        <v>23.71</v>
      </c>
      <c r="AL382">
        <v>215.1</v>
      </c>
      <c r="AM382">
        <v>22.14</v>
      </c>
      <c r="AN382">
        <v>196.81</v>
      </c>
      <c r="AO382" s="1">
        <f t="shared" si="17"/>
        <v>1130.5999999999999</v>
      </c>
    </row>
    <row r="383" spans="1:41" x14ac:dyDescent="0.25">
      <c r="A383" t="s">
        <v>426</v>
      </c>
      <c r="B383" s="2">
        <v>3213.1212825491398</v>
      </c>
      <c r="C383" s="2">
        <v>8491.3285342315394</v>
      </c>
      <c r="D383" s="2">
        <v>6551.0784157364496</v>
      </c>
      <c r="E383" s="2">
        <v>1255.29280616298</v>
      </c>
      <c r="F383" s="2">
        <v>0</v>
      </c>
      <c r="G383" s="2">
        <v>3028.27445976631</v>
      </c>
      <c r="H383" s="2">
        <v>6302.5439006720298</v>
      </c>
      <c r="I383" s="2">
        <v>4211.4929633974898</v>
      </c>
      <c r="J383" s="2">
        <v>2016.6598704462699</v>
      </c>
      <c r="K383" s="2">
        <v>230.19506075116701</v>
      </c>
      <c r="L383" s="2">
        <v>8782.2012910625999</v>
      </c>
      <c r="M383" s="2">
        <v>1819.02728489285</v>
      </c>
      <c r="N383" s="3">
        <f t="shared" si="15"/>
        <v>45901.215869668828</v>
      </c>
      <c r="O383" s="2">
        <v>2.4967489902204498</v>
      </c>
      <c r="P383" s="2">
        <v>3.7852672833763399</v>
      </c>
      <c r="Q383" s="2">
        <v>0.49771404536333202</v>
      </c>
      <c r="R383" s="2">
        <v>7.0581270683681199</v>
      </c>
      <c r="S383" s="2">
        <v>2.3805144404346499</v>
      </c>
      <c r="T383" s="2">
        <v>0.93896222086073899</v>
      </c>
      <c r="U383" s="2">
        <v>1.66610867734202</v>
      </c>
      <c r="V383" s="2">
        <v>1.9826006522356101</v>
      </c>
      <c r="W383" s="2">
        <v>12.4675307683227</v>
      </c>
      <c r="X383" s="2">
        <v>1.5770070004358601</v>
      </c>
      <c r="Y383" s="2">
        <v>9.55654950595118</v>
      </c>
      <c r="Z383" s="2">
        <v>4.8030812761889097</v>
      </c>
      <c r="AA383" s="3">
        <f t="shared" si="16"/>
        <v>49.210211929099913</v>
      </c>
      <c r="AB383" t="s">
        <v>45</v>
      </c>
      <c r="AC383">
        <v>42.28</v>
      </c>
      <c r="AD383">
        <v>95.11</v>
      </c>
      <c r="AE383">
        <v>75.56</v>
      </c>
      <c r="AF383">
        <v>22.95</v>
      </c>
      <c r="AG383">
        <v>10.14</v>
      </c>
      <c r="AH383">
        <v>40.33</v>
      </c>
      <c r="AI383">
        <v>73.12</v>
      </c>
      <c r="AJ383">
        <v>52.21</v>
      </c>
      <c r="AK383">
        <v>30.81</v>
      </c>
      <c r="AL383">
        <v>12.4</v>
      </c>
      <c r="AM383">
        <v>98.32</v>
      </c>
      <c r="AN383">
        <v>28.44</v>
      </c>
      <c r="AO383" s="1">
        <f t="shared" si="17"/>
        <v>581.66999999999996</v>
      </c>
    </row>
    <row r="384" spans="1:41" x14ac:dyDescent="0.25">
      <c r="A384" t="s">
        <v>427</v>
      </c>
      <c r="B384" s="2">
        <v>3200.9874661277199</v>
      </c>
      <c r="C384" s="2">
        <v>19292.9748621582</v>
      </c>
      <c r="D384" s="2">
        <v>503.11957760412099</v>
      </c>
      <c r="E384" s="2">
        <v>6326.65047712877</v>
      </c>
      <c r="F384" s="2">
        <v>1892.0300438429199</v>
      </c>
      <c r="G384" s="2">
        <v>697.91707155072504</v>
      </c>
      <c r="H384" s="2">
        <v>12804.0720713758</v>
      </c>
      <c r="I384" s="2">
        <v>12923.906189581299</v>
      </c>
      <c r="J384" s="2">
        <v>2708.7460273831398</v>
      </c>
      <c r="K384" s="2">
        <v>11633.949080616499</v>
      </c>
      <c r="L384" s="2">
        <v>72.461697053896899</v>
      </c>
      <c r="M384" s="2">
        <v>3559.80017434918</v>
      </c>
      <c r="N384" s="3">
        <f t="shared" si="15"/>
        <v>75616.614738772259</v>
      </c>
      <c r="O384" s="2">
        <v>7.09242537516191</v>
      </c>
      <c r="P384" s="2">
        <v>2.8500594156288099</v>
      </c>
      <c r="Q384" s="2">
        <v>7.1011164065917898</v>
      </c>
      <c r="R384" s="2">
        <v>3.87592870497995</v>
      </c>
      <c r="S384" s="2">
        <v>9.1241324578433698</v>
      </c>
      <c r="T384" s="2">
        <v>3.32712028127722</v>
      </c>
      <c r="U384" s="2">
        <v>1.92592682758012</v>
      </c>
      <c r="V384" s="2">
        <v>3.2106705921427201</v>
      </c>
      <c r="W384" s="2">
        <v>6.1872202706086901</v>
      </c>
      <c r="X384" s="2">
        <v>13.498584759362499</v>
      </c>
      <c r="Y384" s="2">
        <v>0</v>
      </c>
      <c r="Z384" s="2">
        <v>1.7315168886957999</v>
      </c>
      <c r="AA384" s="3">
        <f t="shared" si="16"/>
        <v>59.924701979872886</v>
      </c>
      <c r="AB384" t="s">
        <v>45</v>
      </c>
      <c r="AC384">
        <v>42.4</v>
      </c>
      <c r="AD384">
        <v>203.07</v>
      </c>
      <c r="AE384">
        <v>15.43</v>
      </c>
      <c r="AF384">
        <v>73.459999999999994</v>
      </c>
      <c r="AG384">
        <v>29.42</v>
      </c>
      <c r="AH384">
        <v>17.170000000000002</v>
      </c>
      <c r="AI384">
        <v>138.13999999999999</v>
      </c>
      <c r="AJ384">
        <v>139.43</v>
      </c>
      <c r="AK384">
        <v>37.43</v>
      </c>
      <c r="AL384">
        <v>127.03</v>
      </c>
      <c r="AM384">
        <v>10.72</v>
      </c>
      <c r="AN384">
        <v>45.69</v>
      </c>
      <c r="AO384" s="1">
        <f t="shared" si="17"/>
        <v>879.38999999999987</v>
      </c>
    </row>
    <row r="385" spans="1:41" x14ac:dyDescent="0.25">
      <c r="A385" t="s">
        <v>428</v>
      </c>
      <c r="B385" s="2">
        <v>3194.8568694546798</v>
      </c>
      <c r="C385" s="2">
        <v>2969.7429878152202</v>
      </c>
      <c r="D385" s="2">
        <v>3803.1913967527298</v>
      </c>
      <c r="E385" s="2">
        <v>17835.237137490902</v>
      </c>
      <c r="F385" s="2">
        <v>529.67437236021397</v>
      </c>
      <c r="G385" s="2">
        <v>1841.0946931846499</v>
      </c>
      <c r="H385" s="2">
        <v>1805.91537117605</v>
      </c>
      <c r="I385" s="2">
        <v>4046.0721518653199</v>
      </c>
      <c r="J385" s="2">
        <v>9030.9846674034798</v>
      </c>
      <c r="K385" s="2">
        <v>12791.4419303622</v>
      </c>
      <c r="L385" s="2">
        <v>10950.195923266199</v>
      </c>
      <c r="M385" s="2">
        <v>6680.7306379457104</v>
      </c>
      <c r="N385" s="3">
        <f t="shared" si="15"/>
        <v>75479.13813907736</v>
      </c>
      <c r="O385" s="2">
        <v>15.4850986935829</v>
      </c>
      <c r="P385" s="2">
        <v>0</v>
      </c>
      <c r="Q385" s="2">
        <v>8.6825385545256708</v>
      </c>
      <c r="R385" s="2">
        <v>7.7674822778183001</v>
      </c>
      <c r="S385" s="2">
        <v>2.6144307611540198</v>
      </c>
      <c r="T385" s="2">
        <v>13.9588602137172</v>
      </c>
      <c r="U385" s="2">
        <v>1.66699424767605</v>
      </c>
      <c r="V385" s="2">
        <v>7.6003405482135102</v>
      </c>
      <c r="W385" s="2">
        <v>8.4020139955752597</v>
      </c>
      <c r="X385" s="2">
        <v>7.3322578173721098</v>
      </c>
      <c r="Y385" s="2">
        <v>2.1783942108197598</v>
      </c>
      <c r="Z385" s="2">
        <v>2.0032214508511701</v>
      </c>
      <c r="AA385" s="3">
        <f t="shared" si="16"/>
        <v>77.691632771305962</v>
      </c>
      <c r="AB385" t="s">
        <v>45</v>
      </c>
      <c r="AC385">
        <v>42.74</v>
      </c>
      <c r="AD385">
        <v>39.69</v>
      </c>
      <c r="AE385">
        <v>48.48</v>
      </c>
      <c r="AF385">
        <v>188.75</v>
      </c>
      <c r="AG385">
        <v>15.44</v>
      </c>
      <c r="AH385">
        <v>29.11</v>
      </c>
      <c r="AI385">
        <v>28.15</v>
      </c>
      <c r="AJ385">
        <v>50.86</v>
      </c>
      <c r="AK385">
        <v>100.75</v>
      </c>
      <c r="AL385">
        <v>138.31</v>
      </c>
      <c r="AM385">
        <v>119.65</v>
      </c>
      <c r="AN385">
        <v>76.95</v>
      </c>
      <c r="AO385" s="1">
        <f t="shared" si="17"/>
        <v>878.88</v>
      </c>
    </row>
    <row r="386" spans="1:41" x14ac:dyDescent="0.25">
      <c r="A386" t="s">
        <v>429</v>
      </c>
      <c r="B386" s="2">
        <v>3183.1307271434698</v>
      </c>
      <c r="C386" s="2">
        <v>9886.8383125806704</v>
      </c>
      <c r="D386" s="2">
        <v>0</v>
      </c>
      <c r="E386" s="2">
        <v>426.56524082052999</v>
      </c>
      <c r="F386" s="2">
        <v>6727.8458847926304</v>
      </c>
      <c r="G386" s="2">
        <v>96.012035062808494</v>
      </c>
      <c r="H386" s="2">
        <v>1073.35737725841</v>
      </c>
      <c r="I386" s="2">
        <v>1643.7860028165501</v>
      </c>
      <c r="J386" s="2">
        <v>3012.9831614895702</v>
      </c>
      <c r="K386" s="2">
        <v>3157.04653529493</v>
      </c>
      <c r="L386" s="2">
        <v>1931.3202290603999</v>
      </c>
      <c r="M386" s="2">
        <v>9686.1885793287292</v>
      </c>
      <c r="N386" s="3">
        <f t="shared" si="15"/>
        <v>40825.074085648695</v>
      </c>
      <c r="O386" s="2">
        <v>1.01191374995822</v>
      </c>
      <c r="P386" s="2">
        <v>22.191862699424401</v>
      </c>
      <c r="Q386" s="2">
        <v>2.8938169438962702</v>
      </c>
      <c r="R386" s="2">
        <v>0</v>
      </c>
      <c r="S386" s="2">
        <v>18.6479439181232</v>
      </c>
      <c r="T386" s="2">
        <v>2.9540859594445901</v>
      </c>
      <c r="U386" s="2">
        <v>0</v>
      </c>
      <c r="V386" s="2">
        <v>3.4429715543487101</v>
      </c>
      <c r="W386" s="2">
        <v>0.76781108056840797</v>
      </c>
      <c r="X386" s="2">
        <v>0</v>
      </c>
      <c r="Y386" s="2">
        <v>0.91177816354298502</v>
      </c>
      <c r="Z386" s="2">
        <v>1.44637510378159</v>
      </c>
      <c r="AA386" s="3">
        <f t="shared" si="16"/>
        <v>54.26855917308837</v>
      </c>
      <c r="AB386" t="s">
        <v>45</v>
      </c>
      <c r="AC386">
        <v>41.93</v>
      </c>
      <c r="AD386">
        <v>110.01</v>
      </c>
      <c r="AE386">
        <v>10.14</v>
      </c>
      <c r="AF386">
        <v>14.26</v>
      </c>
      <c r="AG386">
        <v>78.22</v>
      </c>
      <c r="AH386">
        <v>11.11</v>
      </c>
      <c r="AI386">
        <v>20.73</v>
      </c>
      <c r="AJ386">
        <v>26.63</v>
      </c>
      <c r="AK386">
        <v>40.17</v>
      </c>
      <c r="AL386">
        <v>41.57</v>
      </c>
      <c r="AM386">
        <v>29.36</v>
      </c>
      <c r="AN386">
        <v>106.96</v>
      </c>
      <c r="AO386" s="1">
        <f t="shared" si="17"/>
        <v>531.09</v>
      </c>
    </row>
    <row r="387" spans="1:41" x14ac:dyDescent="0.25">
      <c r="A387" t="s">
        <v>430</v>
      </c>
      <c r="B387" s="2">
        <v>3178.8215934974301</v>
      </c>
      <c r="C387" s="2">
        <v>914.33159698967302</v>
      </c>
      <c r="D387" s="2">
        <v>737.37079974951598</v>
      </c>
      <c r="E387" s="2">
        <v>1021.90333719164</v>
      </c>
      <c r="F387" s="2">
        <v>1296.29610418419</v>
      </c>
      <c r="G387" s="2">
        <v>4282.4023672067196</v>
      </c>
      <c r="H387" s="2">
        <v>1245.9849220676299</v>
      </c>
      <c r="I387" s="2">
        <v>1541.7649376766601</v>
      </c>
      <c r="J387" s="2">
        <v>1934.527617768</v>
      </c>
      <c r="K387" s="2">
        <v>2248.1457645453202</v>
      </c>
      <c r="L387" s="2">
        <v>4448.9081582173103</v>
      </c>
      <c r="M387" s="2">
        <v>1512.9778467508399</v>
      </c>
      <c r="N387" s="3">
        <f t="shared" ref="N387:N450" si="18">SUM(B387:M387)</f>
        <v>24363.43504584493</v>
      </c>
      <c r="O387" s="2">
        <v>1.6518152277634499</v>
      </c>
      <c r="P387" s="2">
        <v>2.6953380764285302</v>
      </c>
      <c r="Q387" s="2">
        <v>3.0109425477922498</v>
      </c>
      <c r="R387" s="2">
        <v>2.16160151837403</v>
      </c>
      <c r="S387" s="2">
        <v>7.8269983545400201</v>
      </c>
      <c r="T387" s="2">
        <v>1.78166627897685</v>
      </c>
      <c r="U387" s="2">
        <v>11.7573461734712</v>
      </c>
      <c r="V387" s="2">
        <v>4.7584167208446404</v>
      </c>
      <c r="W387" s="2">
        <v>7.3483994533288097</v>
      </c>
      <c r="X387" s="2">
        <v>4.1078645006229104</v>
      </c>
      <c r="Y387" s="2">
        <v>7.1844921140595099</v>
      </c>
      <c r="Z387" s="2">
        <v>0.93804255693290794</v>
      </c>
      <c r="AA387" s="3">
        <f t="shared" si="16"/>
        <v>55.222923523135108</v>
      </c>
      <c r="AB387" t="s">
        <v>63</v>
      </c>
      <c r="AC387">
        <v>63.76</v>
      </c>
      <c r="AD387">
        <v>18.57</v>
      </c>
      <c r="AE387">
        <v>15.12</v>
      </c>
      <c r="AF387">
        <v>20.71</v>
      </c>
      <c r="AG387">
        <v>26.66</v>
      </c>
      <c r="AH387">
        <v>85.84</v>
      </c>
      <c r="AI387">
        <v>26</v>
      </c>
      <c r="AJ387">
        <v>31.29</v>
      </c>
      <c r="AK387">
        <v>39.42</v>
      </c>
      <c r="AL387">
        <v>45.43</v>
      </c>
      <c r="AM387">
        <v>89.7</v>
      </c>
      <c r="AN387">
        <v>30.35</v>
      </c>
      <c r="AO387" s="1">
        <f t="shared" si="17"/>
        <v>492.85</v>
      </c>
    </row>
    <row r="388" spans="1:41" x14ac:dyDescent="0.25">
      <c r="A388" t="s">
        <v>431</v>
      </c>
      <c r="B388" s="2">
        <v>3169.35300044003</v>
      </c>
      <c r="C388" s="2">
        <v>8068.9539227547903</v>
      </c>
      <c r="D388" s="2">
        <v>4041.42587929299</v>
      </c>
      <c r="E388" s="2">
        <v>1070.26000707869</v>
      </c>
      <c r="F388" s="2">
        <v>2645.4904177784902</v>
      </c>
      <c r="G388" s="2">
        <v>4388.5162588893199</v>
      </c>
      <c r="H388" s="2">
        <v>8243.09669724786</v>
      </c>
      <c r="I388" s="2">
        <v>820.98302124522502</v>
      </c>
      <c r="J388" s="2">
        <v>2391.8933793434599</v>
      </c>
      <c r="K388" s="2">
        <v>619.61660600945595</v>
      </c>
      <c r="L388" s="2">
        <v>1705.2420462267901</v>
      </c>
      <c r="M388" s="2">
        <v>3423.8922235611199</v>
      </c>
      <c r="N388" s="3">
        <f t="shared" si="18"/>
        <v>40588.723459868226</v>
      </c>
      <c r="O388" s="2">
        <v>3.7588519412835</v>
      </c>
      <c r="P388" s="2">
        <v>4.3349252436608596</v>
      </c>
      <c r="Q388" s="2">
        <v>0.79725221091278897</v>
      </c>
      <c r="R388" s="2">
        <v>9.4284292424347296</v>
      </c>
      <c r="S388" s="2">
        <v>4.9960213261549002</v>
      </c>
      <c r="T388" s="2">
        <v>2.5443669402811602</v>
      </c>
      <c r="U388" s="2">
        <v>1.1940213307566001</v>
      </c>
      <c r="V388" s="2">
        <v>3.6964276357916299</v>
      </c>
      <c r="W388" s="2">
        <v>7.5455192655005501</v>
      </c>
      <c r="X388" s="2">
        <v>2.29380214086274</v>
      </c>
      <c r="Y388" s="2">
        <v>5.9978157879684701</v>
      </c>
      <c r="Z388" s="2">
        <v>1.29493066804928</v>
      </c>
      <c r="AA388" s="3">
        <f t="shared" ref="AA388:AA451" si="19">SUM(O388:Z388)</f>
        <v>47.882363733657208</v>
      </c>
      <c r="AB388" t="s">
        <v>45</v>
      </c>
      <c r="AC388">
        <v>41.89</v>
      </c>
      <c r="AD388">
        <v>90.93</v>
      </c>
      <c r="AE388">
        <v>50.46</v>
      </c>
      <c r="AF388">
        <v>21.2</v>
      </c>
      <c r="AG388">
        <v>36.700000000000003</v>
      </c>
      <c r="AH388">
        <v>54.03</v>
      </c>
      <c r="AI388">
        <v>92.53</v>
      </c>
      <c r="AJ388">
        <v>18.399999999999999</v>
      </c>
      <c r="AK388">
        <v>34.31</v>
      </c>
      <c r="AL388">
        <v>16.34</v>
      </c>
      <c r="AM388">
        <v>27.35</v>
      </c>
      <c r="AN388">
        <v>44.33</v>
      </c>
      <c r="AO388" s="1">
        <f t="shared" si="17"/>
        <v>528.47</v>
      </c>
    </row>
    <row r="389" spans="1:41" x14ac:dyDescent="0.25">
      <c r="A389" t="s">
        <v>432</v>
      </c>
      <c r="B389" s="2">
        <v>3164.5314825216501</v>
      </c>
      <c r="C389" s="2">
        <v>768.182378995146</v>
      </c>
      <c r="D389" s="2">
        <v>0</v>
      </c>
      <c r="E389" s="2">
        <v>2690.9044773611899</v>
      </c>
      <c r="F389" s="2">
        <v>1087.9691179936799</v>
      </c>
      <c r="G389" s="2">
        <v>636.95376521516198</v>
      </c>
      <c r="H389" s="2">
        <v>1458.7277609581299</v>
      </c>
      <c r="I389" s="2">
        <v>1987.7436905711299</v>
      </c>
      <c r="J389" s="2">
        <v>582.86166919183597</v>
      </c>
      <c r="K389" s="2">
        <v>1416.45127260086</v>
      </c>
      <c r="L389" s="2">
        <v>8049.9032858967203</v>
      </c>
      <c r="M389" s="2">
        <v>594.42535512975701</v>
      </c>
      <c r="N389" s="3">
        <f t="shared" si="18"/>
        <v>22438.654256435264</v>
      </c>
      <c r="O389" s="2">
        <v>1.7194039929609199</v>
      </c>
      <c r="P389" s="2">
        <v>2.0112412782906599</v>
      </c>
      <c r="Q389" s="2">
        <v>0.662507064186725</v>
      </c>
      <c r="R389" s="2">
        <v>2.5486307218422999</v>
      </c>
      <c r="S389" s="2">
        <v>4.5751718552373104</v>
      </c>
      <c r="T389" s="2">
        <v>4.5432155114438402</v>
      </c>
      <c r="U389" s="2">
        <v>11.5236199911614</v>
      </c>
      <c r="V389" s="2">
        <v>8.5958492063488698</v>
      </c>
      <c r="W389" s="2">
        <v>10.7012396757465</v>
      </c>
      <c r="X389" s="2">
        <v>2.7624982012644299</v>
      </c>
      <c r="Y389" s="2">
        <v>1.4078728783126999</v>
      </c>
      <c r="Z389" s="2">
        <v>2.9796369280359101</v>
      </c>
      <c r="AA389" s="3">
        <f t="shared" si="19"/>
        <v>54.030887304831566</v>
      </c>
      <c r="AB389" t="s">
        <v>63</v>
      </c>
      <c r="AC389">
        <v>63.48</v>
      </c>
      <c r="AD389">
        <v>15.65</v>
      </c>
      <c r="AE389">
        <v>0.09</v>
      </c>
      <c r="AF389">
        <v>54.09</v>
      </c>
      <c r="AG389">
        <v>22.21</v>
      </c>
      <c r="AH389">
        <v>13.19</v>
      </c>
      <c r="AI389">
        <v>30.26</v>
      </c>
      <c r="AJ389">
        <v>40.57</v>
      </c>
      <c r="AK389">
        <v>12.65</v>
      </c>
      <c r="AL389">
        <v>28.61</v>
      </c>
      <c r="AM389">
        <v>161.18</v>
      </c>
      <c r="AN389">
        <v>12.17</v>
      </c>
      <c r="AO389" s="1">
        <f t="shared" ref="AO389:AO452" si="20">SUM(AC389:AN389)</f>
        <v>454.15000000000003</v>
      </c>
    </row>
    <row r="390" spans="1:41" x14ac:dyDescent="0.25">
      <c r="A390" t="s">
        <v>433</v>
      </c>
      <c r="B390" s="2">
        <v>3154.2768002486901</v>
      </c>
      <c r="C390" s="2">
        <v>892.53385525159399</v>
      </c>
      <c r="D390" s="2">
        <v>2378.8702796170601</v>
      </c>
      <c r="E390" s="2">
        <v>1644.2179364953199</v>
      </c>
      <c r="F390" s="2">
        <v>5030.8027792850498</v>
      </c>
      <c r="G390" s="2">
        <v>2864.8842270821801</v>
      </c>
      <c r="H390" s="2">
        <v>0</v>
      </c>
      <c r="I390" s="2">
        <v>1044.95899283319</v>
      </c>
      <c r="J390" s="2">
        <v>2079.6720038011099</v>
      </c>
      <c r="K390" s="2">
        <v>5292.9419019481102</v>
      </c>
      <c r="L390" s="2">
        <v>4799.4806616906599</v>
      </c>
      <c r="M390" s="2">
        <v>1599.18639335842</v>
      </c>
      <c r="N390" s="3">
        <f t="shared" si="18"/>
        <v>30781.82583161139</v>
      </c>
      <c r="O390" s="2">
        <v>1.21695340024776</v>
      </c>
      <c r="P390" s="2">
        <v>5.7623540617950404</v>
      </c>
      <c r="Q390" s="2">
        <v>0.68584764013352195</v>
      </c>
      <c r="R390" s="2">
        <v>9.6378563903809997</v>
      </c>
      <c r="S390" s="2">
        <v>0.460559547138504</v>
      </c>
      <c r="T390" s="2">
        <v>33.2627825685462</v>
      </c>
      <c r="U390" s="2">
        <v>0.37426250224686702</v>
      </c>
      <c r="V390" s="2">
        <v>6.0250198329377103</v>
      </c>
      <c r="W390" s="2">
        <v>1.5078571817272099</v>
      </c>
      <c r="X390" s="2">
        <v>0</v>
      </c>
      <c r="Y390" s="2">
        <v>7.6288952173069298</v>
      </c>
      <c r="Z390" s="2">
        <v>7.7464476365111796</v>
      </c>
      <c r="AA390" s="3">
        <f t="shared" si="19"/>
        <v>74.308835978971928</v>
      </c>
      <c r="AB390" t="s">
        <v>63</v>
      </c>
      <c r="AC390">
        <v>63.28</v>
      </c>
      <c r="AD390">
        <v>18.399999999999999</v>
      </c>
      <c r="AE390">
        <v>47.67</v>
      </c>
      <c r="AF390">
        <v>33.799999999999997</v>
      </c>
      <c r="AG390">
        <v>100.71</v>
      </c>
      <c r="AH390">
        <v>60.36</v>
      </c>
      <c r="AI390">
        <v>0.09</v>
      </c>
      <c r="AJ390">
        <v>21.53</v>
      </c>
      <c r="AK390">
        <v>41.78</v>
      </c>
      <c r="AL390">
        <v>105.86</v>
      </c>
      <c r="AM390">
        <v>96.72</v>
      </c>
      <c r="AN390">
        <v>32.72</v>
      </c>
      <c r="AO390" s="1">
        <f t="shared" si="20"/>
        <v>622.92000000000007</v>
      </c>
    </row>
    <row r="391" spans="1:41" x14ac:dyDescent="0.25">
      <c r="A391" t="s">
        <v>434</v>
      </c>
      <c r="B391" s="2">
        <v>3146.5382001862899</v>
      </c>
      <c r="C391" s="2">
        <v>10855.339594012799</v>
      </c>
      <c r="D391" s="2">
        <v>4029.6213164700198</v>
      </c>
      <c r="E391" s="2">
        <v>2150.6511065907898</v>
      </c>
      <c r="F391" s="2">
        <v>4657.9546933010297</v>
      </c>
      <c r="G391" s="2">
        <v>7203.2155307576604</v>
      </c>
      <c r="H391" s="2">
        <v>2521.32066221185</v>
      </c>
      <c r="I391" s="2">
        <v>7669.2695696775399</v>
      </c>
      <c r="J391" s="2">
        <v>2509.8059972720598</v>
      </c>
      <c r="K391" s="2">
        <v>5905.7835679407699</v>
      </c>
      <c r="L391" s="2">
        <v>11262.464572958401</v>
      </c>
      <c r="M391" s="2">
        <v>2821.7044075564099</v>
      </c>
      <c r="N391" s="3">
        <f t="shared" si="18"/>
        <v>64733.669218935625</v>
      </c>
      <c r="O391" s="2">
        <v>0</v>
      </c>
      <c r="P391" s="2">
        <v>14.938221767171401</v>
      </c>
      <c r="Q391" s="2">
        <v>2.4320553331683299</v>
      </c>
      <c r="R391" s="2">
        <v>1.3127365976574501</v>
      </c>
      <c r="S391" s="2">
        <v>1.1977993814953201</v>
      </c>
      <c r="T391" s="2">
        <v>5.1299620579004301</v>
      </c>
      <c r="U391" s="2">
        <v>2.1575231220194899</v>
      </c>
      <c r="V391" s="2">
        <v>2.80988767999676</v>
      </c>
      <c r="W391" s="2">
        <v>0</v>
      </c>
      <c r="X391" s="2">
        <v>7.8092736220837899</v>
      </c>
      <c r="Y391" s="2">
        <v>0.55677780665875398</v>
      </c>
      <c r="Z391" s="2">
        <v>1.9737166835231199</v>
      </c>
      <c r="AA391" s="3">
        <f t="shared" si="19"/>
        <v>40.317954051674846</v>
      </c>
      <c r="AB391" t="s">
        <v>45</v>
      </c>
      <c r="AC391">
        <v>41.46</v>
      </c>
      <c r="AD391">
        <v>119.3</v>
      </c>
      <c r="AE391">
        <v>50.44</v>
      </c>
      <c r="AF391">
        <v>31.6</v>
      </c>
      <c r="AG391">
        <v>56.67</v>
      </c>
      <c r="AH391">
        <v>82.33</v>
      </c>
      <c r="AI391">
        <v>35.36</v>
      </c>
      <c r="AJ391">
        <v>86.84</v>
      </c>
      <c r="AK391">
        <v>35.090000000000003</v>
      </c>
      <c r="AL391">
        <v>69.45</v>
      </c>
      <c r="AM391">
        <v>122.67</v>
      </c>
      <c r="AN391">
        <v>38.31</v>
      </c>
      <c r="AO391" s="1">
        <f t="shared" si="20"/>
        <v>769.52</v>
      </c>
    </row>
    <row r="392" spans="1:41" x14ac:dyDescent="0.25">
      <c r="A392" t="s">
        <v>435</v>
      </c>
      <c r="B392" s="2">
        <v>3136.9678311060302</v>
      </c>
      <c r="C392" s="2">
        <v>3151.8550970348001</v>
      </c>
      <c r="D392" s="2">
        <v>9607.1909745076191</v>
      </c>
      <c r="E392" s="2">
        <v>1340.2954204831999</v>
      </c>
      <c r="F392" s="2">
        <v>1897.04170551113</v>
      </c>
      <c r="G392" s="2">
        <v>1965.78317625107</v>
      </c>
      <c r="H392" s="2">
        <v>5065.3672040908796</v>
      </c>
      <c r="I392" s="2">
        <v>2025.34921788525</v>
      </c>
      <c r="J392" s="2">
        <v>4419.3720003218004</v>
      </c>
      <c r="K392" s="2">
        <v>1203.3158969559399</v>
      </c>
      <c r="L392" s="2">
        <v>4333.6958026019602</v>
      </c>
      <c r="M392" s="2">
        <v>6151.5865725062704</v>
      </c>
      <c r="N392" s="3">
        <f t="shared" si="18"/>
        <v>44297.820899255945</v>
      </c>
      <c r="O392" s="2">
        <v>1.31283770052287</v>
      </c>
      <c r="P392" s="2">
        <v>8.8783464720588707</v>
      </c>
      <c r="Q392" s="2">
        <v>3.9109988764255101</v>
      </c>
      <c r="R392" s="2">
        <v>2.1314541221440102</v>
      </c>
      <c r="S392" s="2">
        <v>14.9485566550514</v>
      </c>
      <c r="T392" s="2">
        <v>1.7637945808491</v>
      </c>
      <c r="U392" s="2">
        <v>3.0855155407169401</v>
      </c>
      <c r="V392" s="2">
        <v>1.21154053756687</v>
      </c>
      <c r="W392" s="2">
        <v>6.43102746982143</v>
      </c>
      <c r="X392" s="2">
        <v>10.4836039738073</v>
      </c>
      <c r="Y392" s="2">
        <v>1.1742724073758899</v>
      </c>
      <c r="Z392" s="2">
        <v>9.0329416906701496</v>
      </c>
      <c r="AA392" s="3">
        <f t="shared" si="19"/>
        <v>64.364890027010347</v>
      </c>
      <c r="AB392" t="s">
        <v>45</v>
      </c>
      <c r="AC392">
        <v>41.46</v>
      </c>
      <c r="AD392">
        <v>41.96</v>
      </c>
      <c r="AE392">
        <v>106.27</v>
      </c>
      <c r="AF392">
        <v>23.55</v>
      </c>
      <c r="AG392">
        <v>29.72</v>
      </c>
      <c r="AH392">
        <v>29.75</v>
      </c>
      <c r="AI392">
        <v>60.85</v>
      </c>
      <c r="AJ392">
        <v>30.35</v>
      </c>
      <c r="AK392">
        <v>54.54</v>
      </c>
      <c r="AL392">
        <v>22.58</v>
      </c>
      <c r="AM392">
        <v>53.43</v>
      </c>
      <c r="AN392">
        <v>72.010000000000005</v>
      </c>
      <c r="AO392" s="1">
        <f t="shared" si="20"/>
        <v>566.47000000000014</v>
      </c>
    </row>
    <row r="393" spans="1:41" x14ac:dyDescent="0.25">
      <c r="A393" t="s">
        <v>436</v>
      </c>
      <c r="B393" s="2">
        <v>3106.5521467600602</v>
      </c>
      <c r="C393" s="2">
        <v>1339.36734795287</v>
      </c>
      <c r="D393" s="2">
        <v>354.34385116020701</v>
      </c>
      <c r="E393" s="2">
        <v>1362.32844869107</v>
      </c>
      <c r="F393" s="2">
        <v>2499.6714200040001</v>
      </c>
      <c r="G393" s="2">
        <v>66.640694455277298</v>
      </c>
      <c r="H393" s="2">
        <v>466.76358816548901</v>
      </c>
      <c r="I393" s="2">
        <v>4574.8185720781703</v>
      </c>
      <c r="J393" s="2">
        <v>4887.1411709661197</v>
      </c>
      <c r="K393" s="2">
        <v>9280.9184610747507</v>
      </c>
      <c r="L393" s="2">
        <v>0</v>
      </c>
      <c r="M393" s="2">
        <v>1010.7994159449401</v>
      </c>
      <c r="N393" s="3">
        <f t="shared" si="18"/>
        <v>28949.345117252953</v>
      </c>
      <c r="O393" s="2">
        <v>0.67249903485552198</v>
      </c>
      <c r="P393" s="2">
        <v>1.4875694401441699</v>
      </c>
      <c r="Q393" s="2">
        <v>0.99274569599119999</v>
      </c>
      <c r="R393" s="2">
        <v>3.7987415124397601</v>
      </c>
      <c r="S393" s="2">
        <v>5.2847439103161298</v>
      </c>
      <c r="T393" s="2">
        <v>6.2801845300419901</v>
      </c>
      <c r="U393" s="2">
        <v>3.6663717504230799</v>
      </c>
      <c r="V393" s="2">
        <v>0.70428180037213595</v>
      </c>
      <c r="W393" s="2">
        <v>3.0268067917078598</v>
      </c>
      <c r="X393" s="2">
        <v>3.5092961611356199</v>
      </c>
      <c r="Y393" s="2">
        <v>0.95810568843655697</v>
      </c>
      <c r="Z393" s="2">
        <v>7.0410303329078099</v>
      </c>
      <c r="AA393" s="3">
        <f t="shared" si="19"/>
        <v>37.422376648771838</v>
      </c>
      <c r="AB393" t="s">
        <v>63</v>
      </c>
      <c r="AC393">
        <v>62.23</v>
      </c>
      <c r="AD393">
        <v>26.98</v>
      </c>
      <c r="AE393">
        <v>7.19</v>
      </c>
      <c r="AF393">
        <v>27.62</v>
      </c>
      <c r="AG393">
        <v>50.54</v>
      </c>
      <c r="AH393">
        <v>1.97</v>
      </c>
      <c r="AI393">
        <v>9.6999999999999993</v>
      </c>
      <c r="AJ393">
        <v>91.59</v>
      </c>
      <c r="AK393">
        <v>98.12</v>
      </c>
      <c r="AL393">
        <v>185.98</v>
      </c>
      <c r="AM393">
        <v>0.09</v>
      </c>
      <c r="AN393">
        <v>20.94</v>
      </c>
      <c r="AO393" s="1">
        <f t="shared" si="20"/>
        <v>582.95000000000005</v>
      </c>
    </row>
    <row r="394" spans="1:41" x14ac:dyDescent="0.25">
      <c r="A394" t="s">
        <v>437</v>
      </c>
      <c r="B394" s="2">
        <v>3096.09180788196</v>
      </c>
      <c r="C394" s="2">
        <v>5216.4389230975203</v>
      </c>
      <c r="D394" s="2">
        <v>0</v>
      </c>
      <c r="E394" s="2">
        <v>7974.6941512825597</v>
      </c>
      <c r="F394" s="2">
        <v>586.66249894381303</v>
      </c>
      <c r="G394" s="2">
        <v>1268.3810900216899</v>
      </c>
      <c r="H394" s="2">
        <v>731.13497846472205</v>
      </c>
      <c r="I394" s="2">
        <v>1357.16231895704</v>
      </c>
      <c r="J394" s="2">
        <v>3233.3755806334998</v>
      </c>
      <c r="K394" s="2">
        <v>14920.154720541601</v>
      </c>
      <c r="L394" s="2">
        <v>6191.6119548759398</v>
      </c>
      <c r="M394" s="2">
        <v>1152.58212530892</v>
      </c>
      <c r="N394" s="3">
        <f t="shared" si="18"/>
        <v>45728.290150009263</v>
      </c>
      <c r="O394" s="2">
        <v>1.6744593124226901</v>
      </c>
      <c r="P394" s="2">
        <v>1.0152231869011501</v>
      </c>
      <c r="Q394" s="2">
        <v>9.0797113996934495</v>
      </c>
      <c r="R394" s="2">
        <v>0.22786924498441299</v>
      </c>
      <c r="S394" s="2">
        <v>6.4231285295517804</v>
      </c>
      <c r="T394" s="2">
        <v>1.41550009022954</v>
      </c>
      <c r="U394" s="2">
        <v>4.3334860055220101</v>
      </c>
      <c r="V394" s="2">
        <v>0.28934991884310901</v>
      </c>
      <c r="W394" s="2">
        <v>2.4189596537267102</v>
      </c>
      <c r="X394" s="2">
        <v>0.72764116169589899</v>
      </c>
      <c r="Y394" s="2">
        <v>1.60362793892564</v>
      </c>
      <c r="Z394" s="2">
        <v>2.1221897055429899</v>
      </c>
      <c r="AA394" s="3">
        <f t="shared" si="19"/>
        <v>31.331146148039377</v>
      </c>
      <c r="AB394" t="s">
        <v>45</v>
      </c>
      <c r="AC394">
        <v>41.06</v>
      </c>
      <c r="AD394">
        <v>62.26</v>
      </c>
      <c r="AE394">
        <v>10.49</v>
      </c>
      <c r="AF394">
        <v>89.79</v>
      </c>
      <c r="AG394">
        <v>16.21</v>
      </c>
      <c r="AH394">
        <v>22.78</v>
      </c>
      <c r="AI394">
        <v>17.559999999999999</v>
      </c>
      <c r="AJ394">
        <v>23.62</v>
      </c>
      <c r="AK394">
        <v>42.48</v>
      </c>
      <c r="AL394">
        <v>159.25</v>
      </c>
      <c r="AM394">
        <v>72.010000000000005</v>
      </c>
      <c r="AN394">
        <v>21.67</v>
      </c>
      <c r="AO394" s="1">
        <f t="shared" si="20"/>
        <v>579.17999999999995</v>
      </c>
    </row>
    <row r="395" spans="1:41" x14ac:dyDescent="0.25">
      <c r="A395" t="s">
        <v>438</v>
      </c>
      <c r="B395" s="2">
        <v>3090.7150679889801</v>
      </c>
      <c r="C395" s="2">
        <v>2176.6664752670699</v>
      </c>
      <c r="D395" s="2">
        <v>6034.8204195762401</v>
      </c>
      <c r="E395" s="2">
        <v>13880.2552771182</v>
      </c>
      <c r="F395" s="2">
        <v>722.43450133913302</v>
      </c>
      <c r="G395" s="2">
        <v>3224.0465634685102</v>
      </c>
      <c r="H395" s="2">
        <v>0</v>
      </c>
      <c r="I395" s="2">
        <v>4390.2940751898996</v>
      </c>
      <c r="J395" s="2">
        <v>1012.73771734556</v>
      </c>
      <c r="K395" s="2">
        <v>0</v>
      </c>
      <c r="L395" s="2">
        <v>5308.5571435172496</v>
      </c>
      <c r="M395" s="2">
        <v>6846.5433446977404</v>
      </c>
      <c r="N395" s="3">
        <f t="shared" si="18"/>
        <v>46687.070585508583</v>
      </c>
      <c r="O395" s="2">
        <v>8.0677640901315399</v>
      </c>
      <c r="P395" s="2">
        <v>1.8654960697545799</v>
      </c>
      <c r="Q395" s="2">
        <v>0</v>
      </c>
      <c r="R395" s="2">
        <v>6.9603907045148903</v>
      </c>
      <c r="S395" s="2">
        <v>4.14235363704221</v>
      </c>
      <c r="T395" s="2">
        <v>3.3761143518959802</v>
      </c>
      <c r="U395" s="2">
        <v>7.3130572222961501</v>
      </c>
      <c r="V395" s="2">
        <v>5.1025627483979799</v>
      </c>
      <c r="W395" s="2">
        <v>13.755083518443501</v>
      </c>
      <c r="X395" s="2">
        <v>3.2259289940979898</v>
      </c>
      <c r="Y395" s="2">
        <v>4.1935084126847304</v>
      </c>
      <c r="Z395" s="2">
        <v>0.99968822740366103</v>
      </c>
      <c r="AA395" s="3">
        <f t="shared" si="19"/>
        <v>59.00194797666321</v>
      </c>
      <c r="AB395" t="s">
        <v>45</v>
      </c>
      <c r="AC395">
        <v>41.35</v>
      </c>
      <c r="AD395">
        <v>31.86</v>
      </c>
      <c r="AE395">
        <v>70.34</v>
      </c>
      <c r="AF395">
        <v>149.15</v>
      </c>
      <c r="AG395">
        <v>17.47</v>
      </c>
      <c r="AH395">
        <v>42.44</v>
      </c>
      <c r="AI395">
        <v>10.39</v>
      </c>
      <c r="AJ395">
        <v>54.2</v>
      </c>
      <c r="AK395">
        <v>20.82</v>
      </c>
      <c r="AL395">
        <v>10.19</v>
      </c>
      <c r="AM395">
        <v>63.33</v>
      </c>
      <c r="AN395">
        <v>78.510000000000005</v>
      </c>
      <c r="AO395" s="1">
        <f t="shared" si="20"/>
        <v>590.05000000000007</v>
      </c>
    </row>
    <row r="396" spans="1:41" x14ac:dyDescent="0.25">
      <c r="A396" t="s">
        <v>439</v>
      </c>
      <c r="B396" s="2">
        <v>3076.7081448071299</v>
      </c>
      <c r="C396" s="2">
        <v>654.15244048242596</v>
      </c>
      <c r="D396" s="2">
        <v>1338.35038042255</v>
      </c>
      <c r="E396" s="2">
        <v>2174.5443725284299</v>
      </c>
      <c r="F396" s="2">
        <v>670.428302914048</v>
      </c>
      <c r="G396" s="2">
        <v>0</v>
      </c>
      <c r="H396" s="2">
        <v>3241.8946984883501</v>
      </c>
      <c r="I396" s="2">
        <v>1611.39319821513</v>
      </c>
      <c r="J396" s="2">
        <v>3041.6386618255701</v>
      </c>
      <c r="K396" s="2">
        <v>1690.6279749446701</v>
      </c>
      <c r="L396" s="2">
        <v>2862.9239787587599</v>
      </c>
      <c r="M396" s="2">
        <v>0</v>
      </c>
      <c r="N396" s="3">
        <f t="shared" si="18"/>
        <v>20362.662153387064</v>
      </c>
      <c r="O396" s="2">
        <v>4.5530241478630202</v>
      </c>
      <c r="P396" s="2">
        <v>3.5747637482471699</v>
      </c>
      <c r="Q396" s="2">
        <v>0</v>
      </c>
      <c r="R396" s="2">
        <v>1.6753393900361</v>
      </c>
      <c r="S396" s="2">
        <v>5.3180588745094601</v>
      </c>
      <c r="T396" s="2">
        <v>0.188675645199228</v>
      </c>
      <c r="U396" s="2">
        <v>0.43837192638393102</v>
      </c>
      <c r="V396" s="2">
        <v>2.40182681674814</v>
      </c>
      <c r="W396" s="2">
        <v>4.5277276550983698</v>
      </c>
      <c r="X396" s="2">
        <v>9.0813637022889608</v>
      </c>
      <c r="Y396" s="2">
        <v>2.5825875037535</v>
      </c>
      <c r="Z396" s="2">
        <v>0.11610068656172701</v>
      </c>
      <c r="AA396" s="3">
        <f t="shared" si="19"/>
        <v>34.457840096689608</v>
      </c>
      <c r="AB396" t="s">
        <v>63</v>
      </c>
      <c r="AC396">
        <v>61.99</v>
      </c>
      <c r="AD396">
        <v>13.46</v>
      </c>
      <c r="AE396">
        <v>26.78</v>
      </c>
      <c r="AF396">
        <v>43.68</v>
      </c>
      <c r="AG396">
        <v>13.96</v>
      </c>
      <c r="AH396">
        <v>0.09</v>
      </c>
      <c r="AI396">
        <v>64.930000000000007</v>
      </c>
      <c r="AJ396">
        <v>32.51</v>
      </c>
      <c r="AK396">
        <v>61.29</v>
      </c>
      <c r="AL396">
        <v>34.72</v>
      </c>
      <c r="AM396">
        <v>57.53</v>
      </c>
      <c r="AN396">
        <v>0.09</v>
      </c>
      <c r="AO396" s="1">
        <f t="shared" si="20"/>
        <v>411.03000000000003</v>
      </c>
    </row>
    <row r="397" spans="1:41" x14ac:dyDescent="0.25">
      <c r="A397" t="s">
        <v>440</v>
      </c>
      <c r="B397" s="2">
        <v>3067.76578678942</v>
      </c>
      <c r="C397" s="2">
        <v>9901.0240066298993</v>
      </c>
      <c r="D397" s="2">
        <v>14071.0527980844</v>
      </c>
      <c r="E397" s="2">
        <v>1240.3956944238901</v>
      </c>
      <c r="F397" s="2">
        <v>3137.6922294610799</v>
      </c>
      <c r="G397" s="2">
        <v>7110.2228053096096</v>
      </c>
      <c r="H397" s="2">
        <v>1855.0924553943501</v>
      </c>
      <c r="I397" s="2">
        <v>7765.5163262033402</v>
      </c>
      <c r="J397" s="2">
        <v>3317.7696623818902</v>
      </c>
      <c r="K397" s="2">
        <v>4845.7699401486398</v>
      </c>
      <c r="L397" s="2">
        <v>931.40394499393904</v>
      </c>
      <c r="M397" s="2">
        <v>4270.5300677876303</v>
      </c>
      <c r="N397" s="3">
        <f t="shared" si="18"/>
        <v>61514.235717608084</v>
      </c>
      <c r="O397" s="2">
        <v>1.0788372426063999</v>
      </c>
      <c r="P397" s="2">
        <v>0</v>
      </c>
      <c r="Q397" s="2">
        <v>0</v>
      </c>
      <c r="R397" s="2">
        <v>0</v>
      </c>
      <c r="S397" s="2">
        <v>10.1360630983239</v>
      </c>
      <c r="T397" s="2">
        <v>2.5668255596532199</v>
      </c>
      <c r="U397" s="2">
        <v>5.0989799255504096</v>
      </c>
      <c r="V397" s="2">
        <v>9.6304570119541602</v>
      </c>
      <c r="W397" s="2">
        <v>2.2285165043572999</v>
      </c>
      <c r="X397" s="2">
        <v>0.449550438539705</v>
      </c>
      <c r="Y397" s="2">
        <v>2.4449576986073498</v>
      </c>
      <c r="Z397" s="2">
        <v>9.4273288371934196</v>
      </c>
      <c r="AA397" s="3">
        <f t="shared" si="19"/>
        <v>43.061516316785863</v>
      </c>
      <c r="AB397" t="s">
        <v>45</v>
      </c>
      <c r="AC397">
        <v>40.770000000000003</v>
      </c>
      <c r="AD397">
        <v>109.01</v>
      </c>
      <c r="AE397">
        <v>150.71</v>
      </c>
      <c r="AF397">
        <v>22.4</v>
      </c>
      <c r="AG397">
        <v>41.92</v>
      </c>
      <c r="AH397">
        <v>81.25</v>
      </c>
      <c r="AI397">
        <v>28.85</v>
      </c>
      <c r="AJ397">
        <v>88.15</v>
      </c>
      <c r="AK397">
        <v>43.32</v>
      </c>
      <c r="AL397">
        <v>58.5</v>
      </c>
      <c r="AM397">
        <v>19.46</v>
      </c>
      <c r="AN397">
        <v>53.2</v>
      </c>
      <c r="AO397" s="1">
        <f t="shared" si="20"/>
        <v>737.54000000000019</v>
      </c>
    </row>
    <row r="398" spans="1:41" x14ac:dyDescent="0.25">
      <c r="A398" t="s">
        <v>441</v>
      </c>
      <c r="B398" s="2">
        <v>3060.0014225721402</v>
      </c>
      <c r="C398" s="2">
        <v>808.04593431247304</v>
      </c>
      <c r="D398" s="2">
        <v>2588.2084369771401</v>
      </c>
      <c r="E398" s="2">
        <v>9036.9053554628899</v>
      </c>
      <c r="F398" s="2">
        <v>823.54494978406501</v>
      </c>
      <c r="G398" s="2">
        <v>4088.4941725159701</v>
      </c>
      <c r="H398" s="2">
        <v>1038.4194471998501</v>
      </c>
      <c r="I398" s="2">
        <v>17.466398889541399</v>
      </c>
      <c r="J398" s="2">
        <v>1536.2439144479599</v>
      </c>
      <c r="K398" s="2">
        <v>4091.2616952139701</v>
      </c>
      <c r="L398" s="2">
        <v>2379.9379902997598</v>
      </c>
      <c r="M398" s="2">
        <v>2212.8832420837198</v>
      </c>
      <c r="N398" s="3">
        <f t="shared" si="18"/>
        <v>31681.41295975948</v>
      </c>
      <c r="O398" s="2">
        <v>1.3535899324298699</v>
      </c>
      <c r="P398" s="2">
        <v>0</v>
      </c>
      <c r="Q398" s="2">
        <v>8.2090239676647705E-2</v>
      </c>
      <c r="R398" s="2">
        <v>10.0797409187757</v>
      </c>
      <c r="S398" s="2">
        <v>3.63252314048921</v>
      </c>
      <c r="T398" s="2">
        <v>0.28352786149540199</v>
      </c>
      <c r="U398" s="2">
        <v>6.7711581040183599</v>
      </c>
      <c r="V398" s="2">
        <v>2.3705194319843699</v>
      </c>
      <c r="W398" s="2">
        <v>2.1054483247130298</v>
      </c>
      <c r="X398" s="2">
        <v>1.48002997993317</v>
      </c>
      <c r="Y398" s="2">
        <v>1.4708893749673699</v>
      </c>
      <c r="Z398" s="2">
        <v>2.5430098265414398</v>
      </c>
      <c r="AA398" s="3">
        <f t="shared" si="19"/>
        <v>32.172527135024573</v>
      </c>
      <c r="AB398" t="s">
        <v>63</v>
      </c>
      <c r="AC398">
        <v>61.4</v>
      </c>
      <c r="AD398">
        <v>16.18</v>
      </c>
      <c r="AE398">
        <v>51.87</v>
      </c>
      <c r="AF398">
        <v>181.73</v>
      </c>
      <c r="AG398">
        <v>16.84</v>
      </c>
      <c r="AH398">
        <v>81.87</v>
      </c>
      <c r="AI398">
        <v>21.41</v>
      </c>
      <c r="AJ398">
        <v>0.63</v>
      </c>
      <c r="AK398">
        <v>31.01</v>
      </c>
      <c r="AL398">
        <v>82.02</v>
      </c>
      <c r="AM398">
        <v>47.78</v>
      </c>
      <c r="AN398">
        <v>44.53</v>
      </c>
      <c r="AO398" s="1">
        <f t="shared" si="20"/>
        <v>637.26999999999987</v>
      </c>
    </row>
    <row r="399" spans="1:41" x14ac:dyDescent="0.25">
      <c r="A399" t="s">
        <v>442</v>
      </c>
      <c r="B399" s="2">
        <v>3054.9233665921302</v>
      </c>
      <c r="C399" s="2">
        <v>4401.7679497715399</v>
      </c>
      <c r="D399" s="2">
        <v>5126.9492785743196</v>
      </c>
      <c r="E399" s="2">
        <v>0</v>
      </c>
      <c r="F399" s="2">
        <v>4971.4978606648301</v>
      </c>
      <c r="G399" s="2">
        <v>25811.388155826298</v>
      </c>
      <c r="H399" s="2">
        <v>7390.2629411010403</v>
      </c>
      <c r="I399" s="2">
        <v>4501.3490334909202</v>
      </c>
      <c r="J399" s="2">
        <v>3974.3292538822402</v>
      </c>
      <c r="K399" s="2">
        <v>1163.2738165641499</v>
      </c>
      <c r="L399" s="2">
        <v>4629.98159850921</v>
      </c>
      <c r="M399" s="2">
        <v>3986.5794986526498</v>
      </c>
      <c r="N399" s="3">
        <f t="shared" si="18"/>
        <v>69012.302753629323</v>
      </c>
      <c r="O399" s="2">
        <v>0.19822952652067199</v>
      </c>
      <c r="P399" s="2">
        <v>4.6016426428750004</v>
      </c>
      <c r="Q399" s="2">
        <v>2.12367762881544</v>
      </c>
      <c r="R399" s="2">
        <v>1.41436925814509</v>
      </c>
      <c r="S399" s="2">
        <v>3.0029927572944102</v>
      </c>
      <c r="T399" s="2">
        <v>0</v>
      </c>
      <c r="U399" s="2">
        <v>2.4899454302735702</v>
      </c>
      <c r="V399" s="2">
        <v>1.3161627606767199</v>
      </c>
      <c r="W399" s="2">
        <v>0</v>
      </c>
      <c r="X399" s="2">
        <v>19.661562816453401</v>
      </c>
      <c r="Y399" s="2">
        <v>0.49309697000435498</v>
      </c>
      <c r="Z399" s="2">
        <v>7.6311458739066103</v>
      </c>
      <c r="AA399" s="3">
        <f t="shared" si="19"/>
        <v>42.932825664965264</v>
      </c>
      <c r="AB399" t="s">
        <v>45</v>
      </c>
      <c r="AC399">
        <v>40.590000000000003</v>
      </c>
      <c r="AD399">
        <v>54.26</v>
      </c>
      <c r="AE399">
        <v>61.41</v>
      </c>
      <c r="AF399">
        <v>10.09</v>
      </c>
      <c r="AG399">
        <v>59.91</v>
      </c>
      <c r="AH399">
        <v>268.11</v>
      </c>
      <c r="AI399">
        <v>84.05</v>
      </c>
      <c r="AJ399">
        <v>55.11</v>
      </c>
      <c r="AK399">
        <v>49.74</v>
      </c>
      <c r="AL399">
        <v>22.63</v>
      </c>
      <c r="AM399">
        <v>56.34</v>
      </c>
      <c r="AN399">
        <v>50.26</v>
      </c>
      <c r="AO399" s="1">
        <f t="shared" si="20"/>
        <v>812.5</v>
      </c>
    </row>
    <row r="400" spans="1:41" x14ac:dyDescent="0.25">
      <c r="A400" t="s">
        <v>443</v>
      </c>
      <c r="B400" s="2">
        <v>3044.8411284403801</v>
      </c>
      <c r="C400" s="2">
        <v>2515.3023555619902</v>
      </c>
      <c r="D400" s="2">
        <v>9053.4860945885193</v>
      </c>
      <c r="E400" s="2">
        <v>549.01178139591696</v>
      </c>
      <c r="F400" s="2">
        <v>116.516967703272</v>
      </c>
      <c r="G400" s="2">
        <v>1143.85031763797</v>
      </c>
      <c r="H400" s="2">
        <v>0</v>
      </c>
      <c r="I400" s="2">
        <v>2215.9711318971099</v>
      </c>
      <c r="J400" s="2">
        <v>6304.11953267637</v>
      </c>
      <c r="K400" s="2">
        <v>4062.3573205412599</v>
      </c>
      <c r="L400" s="2">
        <v>34.973887222654398</v>
      </c>
      <c r="M400" s="2">
        <v>5113.2199452355799</v>
      </c>
      <c r="N400" s="3">
        <f t="shared" si="18"/>
        <v>34153.650462901023</v>
      </c>
      <c r="O400" s="2">
        <v>15.7366499405419</v>
      </c>
      <c r="P400" s="2">
        <v>3.6628918307073399</v>
      </c>
      <c r="Q400" s="2">
        <v>6.4197359354295402</v>
      </c>
      <c r="R400" s="2">
        <v>4.39385626060968</v>
      </c>
      <c r="S400" s="2">
        <v>3.3910648116922801</v>
      </c>
      <c r="T400" s="2">
        <v>0</v>
      </c>
      <c r="U400" s="2">
        <v>2.64683146018562</v>
      </c>
      <c r="V400" s="2">
        <v>3.61950499790647</v>
      </c>
      <c r="W400" s="2">
        <v>6.1558558834372397</v>
      </c>
      <c r="X400" s="2">
        <v>1.8709171291926101</v>
      </c>
      <c r="Y400" s="2">
        <v>10.348603237854499</v>
      </c>
      <c r="Z400" s="2">
        <v>0.65615718718314198</v>
      </c>
      <c r="AA400" s="3">
        <f t="shared" si="19"/>
        <v>58.902068674740313</v>
      </c>
      <c r="AB400" t="s">
        <v>63</v>
      </c>
      <c r="AC400">
        <v>62.34</v>
      </c>
      <c r="AD400">
        <v>50.68</v>
      </c>
      <c r="AE400">
        <v>181.71</v>
      </c>
      <c r="AF400">
        <v>11.45</v>
      </c>
      <c r="AG400">
        <v>2.7</v>
      </c>
      <c r="AH400">
        <v>22.88</v>
      </c>
      <c r="AI400">
        <v>0.27</v>
      </c>
      <c r="AJ400">
        <v>44.68</v>
      </c>
      <c r="AK400">
        <v>126.73</v>
      </c>
      <c r="AL400">
        <v>81.44</v>
      </c>
      <c r="AM400">
        <v>1.69</v>
      </c>
      <c r="AN400">
        <v>102.37</v>
      </c>
      <c r="AO400" s="1">
        <f t="shared" si="20"/>
        <v>688.94</v>
      </c>
    </row>
    <row r="401" spans="1:41" x14ac:dyDescent="0.25">
      <c r="A401" t="s">
        <v>444</v>
      </c>
      <c r="B401" s="2">
        <v>3044.12955789632</v>
      </c>
      <c r="C401" s="2">
        <v>5608.5997966800096</v>
      </c>
      <c r="D401" s="2">
        <v>1820.0874873069899</v>
      </c>
      <c r="E401" s="2">
        <v>6536.3851883121097</v>
      </c>
      <c r="F401" s="2">
        <v>11834.693985194601</v>
      </c>
      <c r="G401" s="2">
        <v>3108.1310714777201</v>
      </c>
      <c r="H401" s="2">
        <v>5906.1075020541502</v>
      </c>
      <c r="I401" s="2">
        <v>3024.3080512260299</v>
      </c>
      <c r="J401" s="2">
        <v>956.58306250925705</v>
      </c>
      <c r="K401" s="2">
        <v>2179.7394665824399</v>
      </c>
      <c r="L401" s="2">
        <v>0</v>
      </c>
      <c r="M401" s="2">
        <v>17032.794857503701</v>
      </c>
      <c r="N401" s="3">
        <f t="shared" si="18"/>
        <v>61051.560026743326</v>
      </c>
      <c r="O401" s="2">
        <v>3.1244544186930798</v>
      </c>
      <c r="P401" s="2">
        <v>6.0502145718449398</v>
      </c>
      <c r="Q401" s="2">
        <v>0.794037150268742</v>
      </c>
      <c r="R401" s="2">
        <v>4.7536869574612499</v>
      </c>
      <c r="S401" s="2">
        <v>5.1569435772455403</v>
      </c>
      <c r="T401" s="2">
        <v>4.9486443390441197</v>
      </c>
      <c r="U401" s="2">
        <v>5.8426318873785403</v>
      </c>
      <c r="V401" s="2">
        <v>2.3462697759075799</v>
      </c>
      <c r="W401" s="2">
        <v>1.4582585256305001</v>
      </c>
      <c r="X401" s="2">
        <v>0</v>
      </c>
      <c r="Y401" s="2">
        <v>6.7823349542092801</v>
      </c>
      <c r="Z401" s="2">
        <v>0</v>
      </c>
      <c r="AA401" s="3">
        <f t="shared" si="19"/>
        <v>41.257476157683577</v>
      </c>
      <c r="AB401" t="s">
        <v>45</v>
      </c>
      <c r="AC401">
        <v>40.64</v>
      </c>
      <c r="AD401">
        <v>66.430000000000007</v>
      </c>
      <c r="AE401">
        <v>28.25</v>
      </c>
      <c r="AF401">
        <v>75.61</v>
      </c>
      <c r="AG401">
        <v>128.63999999999999</v>
      </c>
      <c r="AH401">
        <v>41.33</v>
      </c>
      <c r="AI401">
        <v>69.36</v>
      </c>
      <c r="AJ401">
        <v>40.39</v>
      </c>
      <c r="AK401">
        <v>19.66</v>
      </c>
      <c r="AL401">
        <v>31.79</v>
      </c>
      <c r="AM401">
        <v>10.34</v>
      </c>
      <c r="AN401">
        <v>180.32</v>
      </c>
      <c r="AO401" s="1">
        <f t="shared" si="20"/>
        <v>732.76</v>
      </c>
    </row>
    <row r="402" spans="1:41" x14ac:dyDescent="0.25">
      <c r="A402" t="s">
        <v>445</v>
      </c>
      <c r="B402" s="2">
        <v>3033.9138676760399</v>
      </c>
      <c r="C402" s="2">
        <v>1390.4851532438499</v>
      </c>
      <c r="D402" s="2">
        <v>3074.26047495081</v>
      </c>
      <c r="E402" s="2">
        <v>6708.6928877566197</v>
      </c>
      <c r="F402" s="2">
        <v>466.139369951937</v>
      </c>
      <c r="G402" s="2">
        <v>2693.5422976200998</v>
      </c>
      <c r="H402" s="2">
        <v>2022.38216764668</v>
      </c>
      <c r="I402" s="2">
        <v>1555.3825648664599</v>
      </c>
      <c r="J402" s="2">
        <v>7015.8681275859799</v>
      </c>
      <c r="K402" s="2">
        <v>1408.1401439609499</v>
      </c>
      <c r="L402" s="2">
        <v>2162.1538389085899</v>
      </c>
      <c r="M402" s="2">
        <v>3006.3393139955601</v>
      </c>
      <c r="N402" s="3">
        <f t="shared" si="18"/>
        <v>34537.300208163579</v>
      </c>
      <c r="O402" s="2">
        <v>3.9943245684525598E-2</v>
      </c>
      <c r="P402" s="2">
        <v>0.50344420374837895</v>
      </c>
      <c r="Q402" s="2">
        <v>3.4513419554178699</v>
      </c>
      <c r="R402" s="2">
        <v>0.71689639816804196</v>
      </c>
      <c r="S402" s="2">
        <v>8.3547867999133594</v>
      </c>
      <c r="T402" s="2">
        <v>3.4146213832047598</v>
      </c>
      <c r="U402" s="2">
        <v>4.1727945548558498</v>
      </c>
      <c r="V402" s="2">
        <v>1.75518850317875</v>
      </c>
      <c r="W402" s="2">
        <v>8.5673361969616906</v>
      </c>
      <c r="X402" s="2">
        <v>13.699528229583199</v>
      </c>
      <c r="Y402" s="2">
        <v>6.5887218350632901</v>
      </c>
      <c r="Z402" s="2">
        <v>0</v>
      </c>
      <c r="AA402" s="3">
        <f t="shared" si="19"/>
        <v>51.264603305779715</v>
      </c>
      <c r="AB402" t="s">
        <v>63</v>
      </c>
      <c r="AC402">
        <v>60.77</v>
      </c>
      <c r="AD402">
        <v>27.91</v>
      </c>
      <c r="AE402">
        <v>61.86</v>
      </c>
      <c r="AF402">
        <v>134.27000000000001</v>
      </c>
      <c r="AG402">
        <v>10.15</v>
      </c>
      <c r="AH402">
        <v>54.24</v>
      </c>
      <c r="AI402">
        <v>40.909999999999997</v>
      </c>
      <c r="AJ402">
        <v>31.3</v>
      </c>
      <c r="AK402">
        <v>141.13</v>
      </c>
      <c r="AL402">
        <v>29.44</v>
      </c>
      <c r="AM402">
        <v>43.89</v>
      </c>
      <c r="AN402">
        <v>60.14</v>
      </c>
      <c r="AO402" s="1">
        <f t="shared" si="20"/>
        <v>696.01</v>
      </c>
    </row>
    <row r="403" spans="1:41" x14ac:dyDescent="0.25">
      <c r="A403" t="s">
        <v>446</v>
      </c>
      <c r="B403" s="2">
        <v>3013.8637204503202</v>
      </c>
      <c r="C403" s="2">
        <v>5442.0462118873002</v>
      </c>
      <c r="D403" s="2">
        <v>2645.0466203425199</v>
      </c>
      <c r="E403" s="2">
        <v>939.79638911628899</v>
      </c>
      <c r="F403" s="2">
        <v>2768.7401444440402</v>
      </c>
      <c r="G403" s="2">
        <v>358.88840929829797</v>
      </c>
      <c r="H403" s="2">
        <v>1310.66184875503</v>
      </c>
      <c r="I403" s="2">
        <v>73.425385808563306</v>
      </c>
      <c r="J403" s="2">
        <v>2450.9555019852401</v>
      </c>
      <c r="K403" s="2">
        <v>6844.0765665313802</v>
      </c>
      <c r="L403" s="2">
        <v>3072.8509043655699</v>
      </c>
      <c r="M403" s="2">
        <v>0</v>
      </c>
      <c r="N403" s="3">
        <f t="shared" si="18"/>
        <v>28920.351702984553</v>
      </c>
      <c r="O403" s="2">
        <v>1.03215653593362</v>
      </c>
      <c r="P403" s="2">
        <v>4.0041397159419096</v>
      </c>
      <c r="Q403" s="2">
        <v>4.5730624335602101</v>
      </c>
      <c r="R403" s="2">
        <v>2.5138338971653198</v>
      </c>
      <c r="S403" s="2">
        <v>3.0910617585174198</v>
      </c>
      <c r="T403" s="2">
        <v>2.2911325471785799</v>
      </c>
      <c r="U403" s="2">
        <v>0.45645794565334102</v>
      </c>
      <c r="V403" s="2">
        <v>9.3192170610108693</v>
      </c>
      <c r="W403" s="2">
        <v>5.6767968671431603</v>
      </c>
      <c r="X403" s="2">
        <v>14.2252633822412</v>
      </c>
      <c r="Y403" s="2">
        <v>1.2371877847753801</v>
      </c>
      <c r="Z403" s="2">
        <v>3.7783087566906102</v>
      </c>
      <c r="AA403" s="3">
        <f t="shared" si="19"/>
        <v>52.198618685811624</v>
      </c>
      <c r="AB403" t="s">
        <v>63</v>
      </c>
      <c r="AC403">
        <v>60.46</v>
      </c>
      <c r="AD403">
        <v>109.31</v>
      </c>
      <c r="AE403">
        <v>53.37</v>
      </c>
      <c r="AF403">
        <v>19.07</v>
      </c>
      <c r="AG403">
        <v>55.74</v>
      </c>
      <c r="AH403">
        <v>7.45</v>
      </c>
      <c r="AI403">
        <v>26.31</v>
      </c>
      <c r="AJ403">
        <v>2.38</v>
      </c>
      <c r="AK403">
        <v>49.56</v>
      </c>
      <c r="AL403">
        <v>138.25</v>
      </c>
      <c r="AM403">
        <v>61.64</v>
      </c>
      <c r="AN403">
        <v>0.36</v>
      </c>
      <c r="AO403" s="1">
        <f t="shared" si="20"/>
        <v>583.9</v>
      </c>
    </row>
    <row r="404" spans="1:41" x14ac:dyDescent="0.25">
      <c r="A404" t="s">
        <v>447</v>
      </c>
      <c r="B404" s="2">
        <v>3006.42850853442</v>
      </c>
      <c r="C404" s="2">
        <v>1776.06029582879</v>
      </c>
      <c r="D404" s="2">
        <v>5754.5876114191697</v>
      </c>
      <c r="E404" s="2">
        <v>0</v>
      </c>
      <c r="F404" s="2">
        <v>8452.6649273433195</v>
      </c>
      <c r="G404" s="2">
        <v>2212.40177105456</v>
      </c>
      <c r="H404" s="2">
        <v>7630.5091478753102</v>
      </c>
      <c r="I404" s="2">
        <v>746.21543954977403</v>
      </c>
      <c r="J404" s="2">
        <v>7785.6329191075001</v>
      </c>
      <c r="K404" s="2">
        <v>1401.19653137248</v>
      </c>
      <c r="L404" s="2">
        <v>3706.48815396178</v>
      </c>
      <c r="M404" s="2">
        <v>2207.4278554110701</v>
      </c>
      <c r="N404" s="3">
        <f t="shared" si="18"/>
        <v>44679.613161458175</v>
      </c>
      <c r="O404" s="2">
        <v>0.70213662788119502</v>
      </c>
      <c r="P404" s="2">
        <v>2.0551832817481701</v>
      </c>
      <c r="Q404" s="2">
        <v>4.23738300162342</v>
      </c>
      <c r="R404" s="2">
        <v>7.9100328773042996</v>
      </c>
      <c r="S404" s="2">
        <v>2.6568565072455801</v>
      </c>
      <c r="T404" s="2">
        <v>8.1765750982527994</v>
      </c>
      <c r="U404" s="2">
        <v>0.97170929824557295</v>
      </c>
      <c r="V404" s="2">
        <v>0</v>
      </c>
      <c r="W404" s="2">
        <v>0.76056461025300603</v>
      </c>
      <c r="X404" s="2">
        <v>0</v>
      </c>
      <c r="Y404" s="2">
        <v>3.5129127741110802</v>
      </c>
      <c r="Z404" s="2">
        <v>2.0107567526117598</v>
      </c>
      <c r="AA404" s="3">
        <f t="shared" si="19"/>
        <v>32.994110829276885</v>
      </c>
      <c r="AB404" t="s">
        <v>45</v>
      </c>
      <c r="AC404">
        <v>40.11</v>
      </c>
      <c r="AD404">
        <v>27.91</v>
      </c>
      <c r="AE404">
        <v>67.790000000000006</v>
      </c>
      <c r="AF404">
        <v>10.39</v>
      </c>
      <c r="AG404">
        <v>94.67</v>
      </c>
      <c r="AH404">
        <v>32.57</v>
      </c>
      <c r="AI404">
        <v>86.35</v>
      </c>
      <c r="AJ404">
        <v>17.46</v>
      </c>
      <c r="AK404">
        <v>87.9</v>
      </c>
      <c r="AL404">
        <v>24.01</v>
      </c>
      <c r="AM404">
        <v>47.26</v>
      </c>
      <c r="AN404">
        <v>32.22</v>
      </c>
      <c r="AO404" s="1">
        <f t="shared" si="20"/>
        <v>568.64</v>
      </c>
    </row>
    <row r="405" spans="1:41" x14ac:dyDescent="0.25">
      <c r="A405" t="s">
        <v>448</v>
      </c>
      <c r="B405" s="2">
        <v>3001.0849421953399</v>
      </c>
      <c r="C405" s="2">
        <v>1499.1989920384999</v>
      </c>
      <c r="D405" s="2">
        <v>2614.7839651938698</v>
      </c>
      <c r="E405" s="2">
        <v>636.293817494378</v>
      </c>
      <c r="F405" s="2">
        <v>508.66230298750401</v>
      </c>
      <c r="G405" s="2">
        <v>2965.8603391015699</v>
      </c>
      <c r="H405" s="2">
        <v>6505.67324225434</v>
      </c>
      <c r="I405" s="2">
        <v>0</v>
      </c>
      <c r="J405" s="2">
        <v>893.30722397604904</v>
      </c>
      <c r="K405" s="2">
        <v>1313.14409911756</v>
      </c>
      <c r="L405" s="2">
        <v>4230.8858866956798</v>
      </c>
      <c r="M405" s="2">
        <v>1146.96057897999</v>
      </c>
      <c r="N405" s="3">
        <f t="shared" si="18"/>
        <v>25315.855390034776</v>
      </c>
      <c r="O405" s="2">
        <v>13.14380565437</v>
      </c>
      <c r="P405" s="2">
        <v>4.4773344378970696</v>
      </c>
      <c r="Q405" s="2">
        <v>7.2788783270609496</v>
      </c>
      <c r="R405" s="2">
        <v>3.5803148071865301</v>
      </c>
      <c r="S405" s="2">
        <v>0.73713089963858702</v>
      </c>
      <c r="T405" s="2">
        <v>0</v>
      </c>
      <c r="U405" s="2">
        <v>3.99696629552786</v>
      </c>
      <c r="V405" s="2">
        <v>3.7734962384714601</v>
      </c>
      <c r="W405" s="2">
        <v>3.7895294985782102</v>
      </c>
      <c r="X405" s="2">
        <v>1.4330735312540199</v>
      </c>
      <c r="Y405" s="2">
        <v>12.695392289546801</v>
      </c>
      <c r="Z405" s="2">
        <v>1.6542609470126399</v>
      </c>
      <c r="AA405" s="3">
        <f t="shared" si="19"/>
        <v>56.560182926544122</v>
      </c>
      <c r="AB405" t="s">
        <v>63</v>
      </c>
      <c r="AC405">
        <v>61.3</v>
      </c>
      <c r="AD405">
        <v>30.45</v>
      </c>
      <c r="AE405">
        <v>53.02</v>
      </c>
      <c r="AF405">
        <v>13.1</v>
      </c>
      <c r="AG405">
        <v>10.27</v>
      </c>
      <c r="AH405">
        <v>59.32</v>
      </c>
      <c r="AI405">
        <v>130.47999999999999</v>
      </c>
      <c r="AJ405">
        <v>0.36</v>
      </c>
      <c r="AK405">
        <v>18.239999999999998</v>
      </c>
      <c r="AL405">
        <v>26.46</v>
      </c>
      <c r="AM405">
        <v>85.79</v>
      </c>
      <c r="AN405">
        <v>23.12</v>
      </c>
      <c r="AO405" s="1">
        <f t="shared" si="20"/>
        <v>511.91</v>
      </c>
    </row>
    <row r="406" spans="1:41" x14ac:dyDescent="0.25">
      <c r="A406" t="s">
        <v>449</v>
      </c>
      <c r="B406" s="2">
        <v>2999.13917714732</v>
      </c>
      <c r="C406" s="2">
        <v>1143.8370383880099</v>
      </c>
      <c r="D406" s="2">
        <v>15887.675628629901</v>
      </c>
      <c r="E406" s="2">
        <v>2881.5290064830301</v>
      </c>
      <c r="F406" s="2">
        <v>2184.48331069901</v>
      </c>
      <c r="G406" s="2">
        <v>1042.00439840389</v>
      </c>
      <c r="H406" s="2">
        <v>2214.0954795184298</v>
      </c>
      <c r="I406" s="2">
        <v>567.44107300247197</v>
      </c>
      <c r="J406" s="2">
        <v>209.557142238149</v>
      </c>
      <c r="K406" s="2">
        <v>1322.9845691824701</v>
      </c>
      <c r="L406" s="2">
        <v>585.16192171566604</v>
      </c>
      <c r="M406" s="2">
        <v>3760.2067827523501</v>
      </c>
      <c r="N406" s="3">
        <f t="shared" si="18"/>
        <v>34798.115528160692</v>
      </c>
      <c r="O406" s="2">
        <v>7.9748988992829402</v>
      </c>
      <c r="P406" s="2">
        <v>1.6458452516613</v>
      </c>
      <c r="Q406" s="2">
        <v>17.2021859470259</v>
      </c>
      <c r="R406" s="2">
        <v>7.2566689153256396</v>
      </c>
      <c r="S406" s="2">
        <v>4.1750978725423904</v>
      </c>
      <c r="T406" s="2">
        <v>9.6593633462979707</v>
      </c>
      <c r="U406" s="2">
        <v>3.5108184478728801</v>
      </c>
      <c r="V406" s="2">
        <v>0.76849529211437995</v>
      </c>
      <c r="W406" s="2">
        <v>0.98650351097834399</v>
      </c>
      <c r="X406" s="2">
        <v>0</v>
      </c>
      <c r="Y406" s="2">
        <v>3.1308301716818701</v>
      </c>
      <c r="Z406" s="2">
        <v>5.6497940778941</v>
      </c>
      <c r="AA406" s="3">
        <f t="shared" si="19"/>
        <v>61.960501732677713</v>
      </c>
      <c r="AB406" t="s">
        <v>63</v>
      </c>
      <c r="AC406">
        <v>60.72</v>
      </c>
      <c r="AD406">
        <v>23.06</v>
      </c>
      <c r="AE406">
        <v>319.38</v>
      </c>
      <c r="AF406">
        <v>58.36</v>
      </c>
      <c r="AG406">
        <v>44.15</v>
      </c>
      <c r="AH406">
        <v>21.76</v>
      </c>
      <c r="AI406">
        <v>44.66</v>
      </c>
      <c r="AJ406">
        <v>11.45</v>
      </c>
      <c r="AK406">
        <v>4.29</v>
      </c>
      <c r="AL406">
        <v>26.46</v>
      </c>
      <c r="AM406">
        <v>12.08</v>
      </c>
      <c r="AN406">
        <v>75.760000000000005</v>
      </c>
      <c r="AO406" s="1">
        <f t="shared" si="20"/>
        <v>702.13</v>
      </c>
    </row>
    <row r="407" spans="1:41" x14ac:dyDescent="0.25">
      <c r="A407" t="s">
        <v>450</v>
      </c>
      <c r="B407" s="2">
        <v>2992.3000528944499</v>
      </c>
      <c r="C407" s="2">
        <v>1979.9721302430601</v>
      </c>
      <c r="D407" s="2">
        <v>2662.5335209087202</v>
      </c>
      <c r="E407" s="2">
        <v>1035.67503646263</v>
      </c>
      <c r="F407" s="2">
        <v>0</v>
      </c>
      <c r="G407" s="2">
        <v>702.85627254225199</v>
      </c>
      <c r="H407" s="2">
        <v>3798.9053569323901</v>
      </c>
      <c r="I407" s="2">
        <v>2598.2855852396201</v>
      </c>
      <c r="J407" s="2">
        <v>1351.2193444967099</v>
      </c>
      <c r="K407" s="2">
        <v>3747.14458537873</v>
      </c>
      <c r="L407" s="2">
        <v>7119.4640561879696</v>
      </c>
      <c r="M407" s="2">
        <v>527.09957257180395</v>
      </c>
      <c r="N407" s="3">
        <f t="shared" si="18"/>
        <v>28515.455513858331</v>
      </c>
      <c r="O407" s="2">
        <v>11.820131831792899</v>
      </c>
      <c r="P407" s="2">
        <v>8.0672439254365997</v>
      </c>
      <c r="Q407" s="2">
        <v>2.7891488810691398</v>
      </c>
      <c r="R407" s="2">
        <v>6.1415074385253003</v>
      </c>
      <c r="S407" s="2">
        <v>2.2436727893825399</v>
      </c>
      <c r="T407" s="2">
        <v>1.4701396179953099</v>
      </c>
      <c r="U407" s="2">
        <v>0.27362151983033201</v>
      </c>
      <c r="V407" s="2">
        <v>2.59009636336922</v>
      </c>
      <c r="W407" s="2">
        <v>5.7101138896328001</v>
      </c>
      <c r="X407" s="2">
        <v>1.9680865317148299</v>
      </c>
      <c r="Y407" s="2">
        <v>4.14776295196482</v>
      </c>
      <c r="Z407" s="2">
        <v>3.5479567365453599</v>
      </c>
      <c r="AA407" s="3">
        <f t="shared" si="19"/>
        <v>50.76948247725916</v>
      </c>
      <c r="AB407" t="s">
        <v>63</v>
      </c>
      <c r="AC407">
        <v>60.94</v>
      </c>
      <c r="AD407">
        <v>40.409999999999997</v>
      </c>
      <c r="AE407">
        <v>53.53</v>
      </c>
      <c r="AF407">
        <v>21.35</v>
      </c>
      <c r="AG407">
        <v>0.27</v>
      </c>
      <c r="AH407">
        <v>14.24</v>
      </c>
      <c r="AI407">
        <v>76.069999999999993</v>
      </c>
      <c r="AJ407">
        <v>52.25</v>
      </c>
      <c r="AK407">
        <v>27.58</v>
      </c>
      <c r="AL407">
        <v>75.14</v>
      </c>
      <c r="AM407">
        <v>142.85</v>
      </c>
      <c r="AN407">
        <v>10.92</v>
      </c>
      <c r="AO407" s="1">
        <f t="shared" si="20"/>
        <v>575.54999999999995</v>
      </c>
    </row>
    <row r="408" spans="1:41" x14ac:dyDescent="0.25">
      <c r="A408" t="s">
        <v>451</v>
      </c>
      <c r="B408" s="2">
        <v>2984.64627444085</v>
      </c>
      <c r="C408" s="2">
        <v>543.17465603236496</v>
      </c>
      <c r="D408" s="2">
        <v>6960.4912027714799</v>
      </c>
      <c r="E408" s="2">
        <v>1656.9031160793299</v>
      </c>
      <c r="F408" s="2">
        <v>0</v>
      </c>
      <c r="G408" s="2">
        <v>1882.5086564513699</v>
      </c>
      <c r="H408" s="2">
        <v>1019.7702380956</v>
      </c>
      <c r="I408" s="2">
        <v>6984.8467191567197</v>
      </c>
      <c r="J408" s="2">
        <v>3752.1440153861799</v>
      </c>
      <c r="K408" s="2">
        <v>3511.1673056043601</v>
      </c>
      <c r="L408" s="2">
        <v>2588.6284100296798</v>
      </c>
      <c r="M408" s="2">
        <v>3113.1131280323598</v>
      </c>
      <c r="N408" s="3">
        <f t="shared" si="18"/>
        <v>34997.393722080291</v>
      </c>
      <c r="O408" s="2">
        <v>14.435201264581099</v>
      </c>
      <c r="P408" s="2">
        <v>0.62673566490001598</v>
      </c>
      <c r="Q408" s="2">
        <v>0.59841423966996099</v>
      </c>
      <c r="R408" s="2">
        <v>0.69600795592312303</v>
      </c>
      <c r="S408" s="2">
        <v>0.27503907931335703</v>
      </c>
      <c r="T408" s="2">
        <v>4.0450211601948496</v>
      </c>
      <c r="U408" s="2">
        <v>8.7939176451456298</v>
      </c>
      <c r="V408" s="2">
        <v>2.47848880314486</v>
      </c>
      <c r="W408" s="2">
        <v>2.4180920475332099</v>
      </c>
      <c r="X408" s="2">
        <v>3.5555150607616599</v>
      </c>
      <c r="Y408" s="2">
        <v>3.7079030416196699</v>
      </c>
      <c r="Z408" s="2">
        <v>0</v>
      </c>
      <c r="AA408" s="3">
        <f t="shared" si="19"/>
        <v>41.630335962787434</v>
      </c>
      <c r="AB408" t="s">
        <v>63</v>
      </c>
      <c r="AC408">
        <v>61.05</v>
      </c>
      <c r="AD408">
        <v>10.97</v>
      </c>
      <c r="AE408">
        <v>139.31</v>
      </c>
      <c r="AF408">
        <v>33.229999999999997</v>
      </c>
      <c r="AG408">
        <v>0.09</v>
      </c>
      <c r="AH408">
        <v>38.11</v>
      </c>
      <c r="AI408">
        <v>21.21</v>
      </c>
      <c r="AJ408">
        <v>139.97</v>
      </c>
      <c r="AK408">
        <v>75.33</v>
      </c>
      <c r="AL408">
        <v>70.599999999999994</v>
      </c>
      <c r="AM408">
        <v>52.14</v>
      </c>
      <c r="AN408">
        <v>62.28</v>
      </c>
      <c r="AO408" s="1">
        <f t="shared" si="20"/>
        <v>704.29</v>
      </c>
    </row>
    <row r="409" spans="1:41" x14ac:dyDescent="0.25">
      <c r="A409" t="s">
        <v>452</v>
      </c>
      <c r="B409" s="2">
        <v>2982.6596544108602</v>
      </c>
      <c r="C409" s="2">
        <v>1878.1854309856301</v>
      </c>
      <c r="D409" s="2">
        <v>40.311125958245697</v>
      </c>
      <c r="E409" s="2">
        <v>3968.49776021978</v>
      </c>
      <c r="F409" s="2">
        <v>4389.2965524883402</v>
      </c>
      <c r="G409" s="2">
        <v>2792.0730427511298</v>
      </c>
      <c r="H409" s="2">
        <v>880.35375926362997</v>
      </c>
      <c r="I409" s="2">
        <v>1916.52824532047</v>
      </c>
      <c r="J409" s="2">
        <v>1251.92416874739</v>
      </c>
      <c r="K409" s="2">
        <v>3860.5144322078099</v>
      </c>
      <c r="L409" s="2">
        <v>2641.90520579138</v>
      </c>
      <c r="M409" s="2">
        <v>0</v>
      </c>
      <c r="N409" s="3">
        <f t="shared" si="18"/>
        <v>26602.249378144668</v>
      </c>
      <c r="O409" s="2">
        <v>0</v>
      </c>
      <c r="P409" s="2">
        <v>2.4246834929154999</v>
      </c>
      <c r="Q409" s="2">
        <v>0</v>
      </c>
      <c r="R409" s="2">
        <v>0</v>
      </c>
      <c r="S409" s="2">
        <v>0</v>
      </c>
      <c r="T409" s="2">
        <v>5.0643761777684499</v>
      </c>
      <c r="U409" s="2">
        <v>7.1160901495022797</v>
      </c>
      <c r="V409" s="2">
        <v>4.4281870435437698</v>
      </c>
      <c r="W409" s="2">
        <v>12.4186707286479</v>
      </c>
      <c r="X409" s="2">
        <v>1.0285495163881799</v>
      </c>
      <c r="Y409" s="2">
        <v>0.40476288323536203</v>
      </c>
      <c r="Z409" s="2">
        <v>6.9069937343110297</v>
      </c>
      <c r="AA409" s="3">
        <f t="shared" si="19"/>
        <v>39.792313726312472</v>
      </c>
      <c r="AB409" t="s">
        <v>63</v>
      </c>
      <c r="AC409">
        <v>59.66</v>
      </c>
      <c r="AD409">
        <v>37.85</v>
      </c>
      <c r="AE409">
        <v>0.82</v>
      </c>
      <c r="AF409">
        <v>79.38</v>
      </c>
      <c r="AG409">
        <v>87.8</v>
      </c>
      <c r="AH409">
        <v>56.4</v>
      </c>
      <c r="AI409">
        <v>18.34</v>
      </c>
      <c r="AJ409">
        <v>38.79</v>
      </c>
      <c r="AK409">
        <v>26.21</v>
      </c>
      <c r="AL409">
        <v>77.400000000000006</v>
      </c>
      <c r="AM409">
        <v>52.93</v>
      </c>
      <c r="AN409">
        <v>0.63</v>
      </c>
      <c r="AO409" s="1">
        <f t="shared" si="20"/>
        <v>536.20999999999992</v>
      </c>
    </row>
    <row r="410" spans="1:41" x14ac:dyDescent="0.25">
      <c r="A410" t="s">
        <v>453</v>
      </c>
      <c r="B410" s="2">
        <v>2978.9266264988501</v>
      </c>
      <c r="C410" s="2">
        <v>4570.71345923426</v>
      </c>
      <c r="D410" s="2">
        <v>3379.70020244937</v>
      </c>
      <c r="E410" s="2">
        <v>565.02121998109499</v>
      </c>
      <c r="F410" s="2">
        <v>0</v>
      </c>
      <c r="G410" s="2">
        <v>12183.6825098888</v>
      </c>
      <c r="H410" s="2">
        <v>537.74167577416904</v>
      </c>
      <c r="I410" s="2">
        <v>2153.0238641626502</v>
      </c>
      <c r="J410" s="2">
        <v>6015.2344766504802</v>
      </c>
      <c r="K410" s="2">
        <v>2470.3323313879901</v>
      </c>
      <c r="L410" s="2">
        <v>0</v>
      </c>
      <c r="M410" s="2">
        <v>2065.3871447184301</v>
      </c>
      <c r="N410" s="3">
        <f t="shared" si="18"/>
        <v>36919.763510746096</v>
      </c>
      <c r="O410" s="2">
        <v>0.77515605828713896</v>
      </c>
      <c r="P410" s="2">
        <v>1.1993513411877701</v>
      </c>
      <c r="Q410" s="2">
        <v>3.3513703562649302</v>
      </c>
      <c r="R410" s="2">
        <v>3.5704511610388798</v>
      </c>
      <c r="S410" s="2">
        <v>0.27910730048406701</v>
      </c>
      <c r="T410" s="2">
        <v>3.5190378726990499</v>
      </c>
      <c r="U410" s="2">
        <v>1.6894089701769499</v>
      </c>
      <c r="V410" s="2">
        <v>3.15110883031458</v>
      </c>
      <c r="W410" s="2">
        <v>0.55095183535430803</v>
      </c>
      <c r="X410" s="2">
        <v>5.9153209253238499</v>
      </c>
      <c r="Y410" s="2">
        <v>1.65634228760089</v>
      </c>
      <c r="Z410" s="2">
        <v>1.7875619170808299</v>
      </c>
      <c r="AA410" s="3">
        <f t="shared" si="19"/>
        <v>27.445168855813243</v>
      </c>
      <c r="AB410" t="s">
        <v>45</v>
      </c>
      <c r="AC410">
        <v>39.83</v>
      </c>
      <c r="AD410">
        <v>55.8</v>
      </c>
      <c r="AE410">
        <v>43.99</v>
      </c>
      <c r="AF410">
        <v>15.85</v>
      </c>
      <c r="AG410">
        <v>10.039999999999999</v>
      </c>
      <c r="AH410">
        <v>132.03</v>
      </c>
      <c r="AI410">
        <v>15.47</v>
      </c>
      <c r="AJ410">
        <v>31.73</v>
      </c>
      <c r="AK410">
        <v>70.2</v>
      </c>
      <c r="AL410">
        <v>35</v>
      </c>
      <c r="AM410">
        <v>10.09</v>
      </c>
      <c r="AN410">
        <v>30.75</v>
      </c>
      <c r="AO410" s="1">
        <f t="shared" si="20"/>
        <v>490.78</v>
      </c>
    </row>
    <row r="411" spans="1:41" x14ac:dyDescent="0.25">
      <c r="A411" t="s">
        <v>454</v>
      </c>
      <c r="B411" s="2">
        <v>2963.7777545437398</v>
      </c>
      <c r="C411" s="2">
        <v>4053.2638949155098</v>
      </c>
      <c r="D411" s="2">
        <v>1466.6524199995799</v>
      </c>
      <c r="E411" s="2">
        <v>1341.6132042572499</v>
      </c>
      <c r="F411" s="2">
        <v>5211.1424418204697</v>
      </c>
      <c r="G411" s="2">
        <v>12081.808957122699</v>
      </c>
      <c r="H411" s="2">
        <v>1542.4712042446199</v>
      </c>
      <c r="I411" s="2">
        <v>2372.8986132835798</v>
      </c>
      <c r="J411" s="2">
        <v>58.510829132110402</v>
      </c>
      <c r="K411" s="2">
        <v>613.22762444473699</v>
      </c>
      <c r="L411" s="2">
        <v>1974.7431876529099</v>
      </c>
      <c r="M411" s="2">
        <v>2970.7255628417602</v>
      </c>
      <c r="N411" s="3">
        <f t="shared" si="18"/>
        <v>36650.835694258967</v>
      </c>
      <c r="O411" s="2">
        <v>7.1140451070111101</v>
      </c>
      <c r="P411" s="2">
        <v>3.2092619279034098</v>
      </c>
      <c r="Q411" s="2">
        <v>15.3760023684705</v>
      </c>
      <c r="R411" s="2">
        <v>2.3617755802182301</v>
      </c>
      <c r="S411" s="2">
        <v>7.2351726623501103</v>
      </c>
      <c r="T411" s="2">
        <v>4.6628793960707497</v>
      </c>
      <c r="U411" s="2">
        <v>4.7223766352131902</v>
      </c>
      <c r="V411" s="2">
        <v>8.1251826715321602</v>
      </c>
      <c r="W411" s="2">
        <v>6.4780980352591602</v>
      </c>
      <c r="X411" s="2">
        <v>4.5171435404549101</v>
      </c>
      <c r="Y411" s="2">
        <v>1.63705695177901E-2</v>
      </c>
      <c r="Z411" s="2">
        <v>0</v>
      </c>
      <c r="AA411" s="3">
        <f t="shared" si="19"/>
        <v>63.818308494001315</v>
      </c>
      <c r="AB411" t="s">
        <v>45</v>
      </c>
      <c r="AC411">
        <v>40.03</v>
      </c>
      <c r="AD411">
        <v>50.73</v>
      </c>
      <c r="AE411">
        <v>25.46</v>
      </c>
      <c r="AF411">
        <v>23.56</v>
      </c>
      <c r="AG411">
        <v>62.51</v>
      </c>
      <c r="AH411">
        <v>131.06</v>
      </c>
      <c r="AI411">
        <v>25.67</v>
      </c>
      <c r="AJ411">
        <v>34.17</v>
      </c>
      <c r="AK411">
        <v>10.93</v>
      </c>
      <c r="AL411">
        <v>16.38</v>
      </c>
      <c r="AM411">
        <v>29.79</v>
      </c>
      <c r="AN411">
        <v>39.700000000000003</v>
      </c>
      <c r="AO411" s="1">
        <f t="shared" si="20"/>
        <v>489.99000000000007</v>
      </c>
    </row>
    <row r="412" spans="1:41" x14ac:dyDescent="0.25">
      <c r="A412" t="s">
        <v>455</v>
      </c>
      <c r="B412" s="2">
        <v>2959.5105010471998</v>
      </c>
      <c r="C412" s="2">
        <v>530.99407278560102</v>
      </c>
      <c r="D412" s="2">
        <v>1452.70056578555</v>
      </c>
      <c r="E412" s="2">
        <v>1676.7650263497701</v>
      </c>
      <c r="F412" s="2">
        <v>484.55297683433599</v>
      </c>
      <c r="G412" s="2">
        <v>1468.20692436072</v>
      </c>
      <c r="H412" s="2">
        <v>3648.4029344483802</v>
      </c>
      <c r="I412" s="2">
        <v>1305.2489647643499</v>
      </c>
      <c r="J412" s="2">
        <v>580.74416134325497</v>
      </c>
      <c r="K412" s="2">
        <v>1108.6401218467799</v>
      </c>
      <c r="L412" s="2">
        <v>7593.9956390033403</v>
      </c>
      <c r="M412" s="2">
        <v>3147.6678033328999</v>
      </c>
      <c r="N412" s="3">
        <f t="shared" si="18"/>
        <v>25957.429691902184</v>
      </c>
      <c r="O412" s="2">
        <v>3.16993346733795</v>
      </c>
      <c r="P412" s="2">
        <v>16.0194200958172</v>
      </c>
      <c r="Q412" s="2">
        <v>5.2429817095426303</v>
      </c>
      <c r="R412" s="2">
        <v>6.95564984514046</v>
      </c>
      <c r="S412" s="2">
        <v>1.53346749778442</v>
      </c>
      <c r="T412" s="2">
        <v>6.8536040375609701</v>
      </c>
      <c r="U412" s="2">
        <v>10.487282319652</v>
      </c>
      <c r="V412" s="2">
        <v>4.2832203050181397</v>
      </c>
      <c r="W412" s="2">
        <v>3.0313809676931598</v>
      </c>
      <c r="X412" s="2">
        <v>6.77061736815293</v>
      </c>
      <c r="Y412" s="2">
        <v>0.73696659117854102</v>
      </c>
      <c r="Z412" s="2">
        <v>1.2591891369392001</v>
      </c>
      <c r="AA412" s="3">
        <f t="shared" si="19"/>
        <v>66.343713341817605</v>
      </c>
      <c r="AB412" t="s">
        <v>63</v>
      </c>
      <c r="AC412">
        <v>59.56</v>
      </c>
      <c r="AD412">
        <v>12.15</v>
      </c>
      <c r="AE412">
        <v>29.6</v>
      </c>
      <c r="AF412">
        <v>34.17</v>
      </c>
      <c r="AG412">
        <v>9.8800000000000008</v>
      </c>
      <c r="AH412">
        <v>30.01</v>
      </c>
      <c r="AI412">
        <v>73.97</v>
      </c>
      <c r="AJ412">
        <v>26.57</v>
      </c>
      <c r="AK412">
        <v>11.98</v>
      </c>
      <c r="AL412">
        <v>22.81</v>
      </c>
      <c r="AM412">
        <v>151.97</v>
      </c>
      <c r="AN412">
        <v>63.14</v>
      </c>
      <c r="AO412" s="1">
        <f t="shared" si="20"/>
        <v>525.81000000000006</v>
      </c>
    </row>
    <row r="413" spans="1:41" x14ac:dyDescent="0.25">
      <c r="A413" t="s">
        <v>456</v>
      </c>
      <c r="B413" s="2">
        <v>2957.1304978460898</v>
      </c>
      <c r="C413" s="2">
        <v>3523.5727648101001</v>
      </c>
      <c r="D413" s="2">
        <v>2404.0901647900901</v>
      </c>
      <c r="E413" s="2">
        <v>1351.05988714462</v>
      </c>
      <c r="F413" s="2">
        <v>8364.2728183944891</v>
      </c>
      <c r="G413" s="2">
        <v>3037.7481667683101</v>
      </c>
      <c r="H413" s="2">
        <v>3986.26148415229</v>
      </c>
      <c r="I413" s="2">
        <v>2644.5880770785898</v>
      </c>
      <c r="J413" s="2">
        <v>615.99446737804601</v>
      </c>
      <c r="K413" s="2">
        <v>4209.4787089950196</v>
      </c>
      <c r="L413" s="2">
        <v>2524.2829129525098</v>
      </c>
      <c r="M413" s="2">
        <v>9050.9641055696993</v>
      </c>
      <c r="N413" s="3">
        <f t="shared" si="18"/>
        <v>44669.444055879852</v>
      </c>
      <c r="O413" s="2">
        <v>8.3547731299042898</v>
      </c>
      <c r="P413" s="2">
        <v>1.5290331584169501</v>
      </c>
      <c r="Q413" s="2">
        <v>5.2995355861716096</v>
      </c>
      <c r="R413" s="2">
        <v>3.7624800047468399</v>
      </c>
      <c r="S413" s="2">
        <v>4.8318146475542196</v>
      </c>
      <c r="T413" s="2">
        <v>5.5644862836001199</v>
      </c>
      <c r="U413" s="2">
        <v>3.5077177531103501</v>
      </c>
      <c r="V413" s="2">
        <v>0</v>
      </c>
      <c r="W413" s="2">
        <v>5.1898695047485601</v>
      </c>
      <c r="X413" s="2">
        <v>3.6883456903207201</v>
      </c>
      <c r="Y413" s="2">
        <v>3.3952976393271199</v>
      </c>
      <c r="Z413" s="2">
        <v>1.8193392783028799</v>
      </c>
      <c r="AA413" s="3">
        <f t="shared" si="19"/>
        <v>46.942692676203656</v>
      </c>
      <c r="AB413" t="s">
        <v>45</v>
      </c>
      <c r="AC413">
        <v>40.020000000000003</v>
      </c>
      <c r="AD413">
        <v>45.33</v>
      </c>
      <c r="AE413">
        <v>34.340000000000003</v>
      </c>
      <c r="AF413">
        <v>23.71</v>
      </c>
      <c r="AG413">
        <v>93.89</v>
      </c>
      <c r="AH413">
        <v>40.67</v>
      </c>
      <c r="AI413">
        <v>50.06</v>
      </c>
      <c r="AJ413">
        <v>36.44</v>
      </c>
      <c r="AK413">
        <v>16.45</v>
      </c>
      <c r="AL413">
        <v>52.29</v>
      </c>
      <c r="AM413">
        <v>35.44</v>
      </c>
      <c r="AN413">
        <v>100.6</v>
      </c>
      <c r="AO413" s="1">
        <f t="shared" si="20"/>
        <v>569.24</v>
      </c>
    </row>
    <row r="414" spans="1:41" x14ac:dyDescent="0.25">
      <c r="A414" t="s">
        <v>457</v>
      </c>
      <c r="B414" s="2">
        <v>2956.2258217397398</v>
      </c>
      <c r="C414" s="2">
        <v>1069.9834824536799</v>
      </c>
      <c r="D414" s="2">
        <v>3262.55111251986</v>
      </c>
      <c r="E414" s="2">
        <v>2923.02061739897</v>
      </c>
      <c r="F414" s="2">
        <v>251.23732533372899</v>
      </c>
      <c r="G414" s="2">
        <v>339.47649209621102</v>
      </c>
      <c r="H414" s="2">
        <v>589.59353968792198</v>
      </c>
      <c r="I414" s="2">
        <v>3572.94216207719</v>
      </c>
      <c r="J414" s="2">
        <v>2461.30042458756</v>
      </c>
      <c r="K414" s="2">
        <v>5632.0524594032104</v>
      </c>
      <c r="L414" s="2">
        <v>4293.7218804979802</v>
      </c>
      <c r="M414" s="2">
        <v>7410.3766820839801</v>
      </c>
      <c r="N414" s="3">
        <f t="shared" si="18"/>
        <v>34762.48199988003</v>
      </c>
      <c r="O414" s="2">
        <v>6.4924084991561504</v>
      </c>
      <c r="P414" s="2">
        <v>6.3969650244158096</v>
      </c>
      <c r="Q414" s="2">
        <v>2.9094659474131399</v>
      </c>
      <c r="R414" s="2">
        <v>7.3597348288870698E-2</v>
      </c>
      <c r="S414" s="2">
        <v>3.3758352432168599</v>
      </c>
      <c r="T414" s="2">
        <v>1.34448276056168</v>
      </c>
      <c r="U414" s="2">
        <v>2.2783239235436299</v>
      </c>
      <c r="V414" s="2">
        <v>5.4566642406714898</v>
      </c>
      <c r="W414" s="2">
        <v>1.06803157053313</v>
      </c>
      <c r="X414" s="2">
        <v>2.2522340793015498</v>
      </c>
      <c r="Y414" s="2">
        <v>1.3997101061128501</v>
      </c>
      <c r="Z414" s="2">
        <v>16.1991047264803</v>
      </c>
      <c r="AA414" s="3">
        <f t="shared" si="19"/>
        <v>49.246823469695457</v>
      </c>
      <c r="AB414" t="s">
        <v>63</v>
      </c>
      <c r="AC414">
        <v>59.77</v>
      </c>
      <c r="AD414">
        <v>22.03</v>
      </c>
      <c r="AE414">
        <v>65.53</v>
      </c>
      <c r="AF414">
        <v>58.57</v>
      </c>
      <c r="AG414">
        <v>5.4</v>
      </c>
      <c r="AH414">
        <v>6.98</v>
      </c>
      <c r="AI414">
        <v>12.07</v>
      </c>
      <c r="AJ414">
        <v>72</v>
      </c>
      <c r="AK414">
        <v>49.42</v>
      </c>
      <c r="AL414">
        <v>112.93</v>
      </c>
      <c r="AM414">
        <v>86.06</v>
      </c>
      <c r="AN414">
        <v>149.75</v>
      </c>
      <c r="AO414" s="1">
        <f t="shared" si="20"/>
        <v>700.51</v>
      </c>
    </row>
    <row r="415" spans="1:41" x14ac:dyDescent="0.25">
      <c r="A415" t="s">
        <v>458</v>
      </c>
      <c r="B415" s="2">
        <v>2956.1217055444699</v>
      </c>
      <c r="C415" s="2">
        <v>794.576767543899</v>
      </c>
      <c r="D415" s="2">
        <v>3599.7994080613298</v>
      </c>
      <c r="E415" s="2">
        <v>1470.3765552105399</v>
      </c>
      <c r="F415" s="2">
        <v>3885.5792666707498</v>
      </c>
      <c r="G415" s="2">
        <v>3422.8879895299301</v>
      </c>
      <c r="H415" s="2">
        <v>3034.2142888093699</v>
      </c>
      <c r="I415" s="2">
        <v>3970.84762396425</v>
      </c>
      <c r="J415" s="2">
        <v>2618.2316204324702</v>
      </c>
      <c r="K415" s="2">
        <v>185.86997550282899</v>
      </c>
      <c r="L415" s="2">
        <v>1310.26907733997</v>
      </c>
      <c r="M415" s="2">
        <v>362.02117185072399</v>
      </c>
      <c r="N415" s="3">
        <f t="shared" si="18"/>
        <v>27610.795450460533</v>
      </c>
      <c r="O415" s="2">
        <v>4.9349136188260996</v>
      </c>
      <c r="P415" s="2">
        <v>5.3942749937934797</v>
      </c>
      <c r="Q415" s="2">
        <v>5.0132797319274802</v>
      </c>
      <c r="R415" s="2">
        <v>4.4726380734739601</v>
      </c>
      <c r="S415" s="2">
        <v>3.00604228130085</v>
      </c>
      <c r="T415" s="2">
        <v>15.9019010018961</v>
      </c>
      <c r="U415" s="2">
        <v>5.9705363489289098</v>
      </c>
      <c r="V415" s="2">
        <v>7.6438301840657301</v>
      </c>
      <c r="W415" s="2">
        <v>9.0265912244469106</v>
      </c>
      <c r="X415" s="2">
        <v>0</v>
      </c>
      <c r="Y415" s="2">
        <v>0.337633808321189</v>
      </c>
      <c r="Z415" s="2">
        <v>3.0201884047605101</v>
      </c>
      <c r="AA415" s="3">
        <f t="shared" si="19"/>
        <v>64.721829671741204</v>
      </c>
      <c r="AB415" t="s">
        <v>63</v>
      </c>
      <c r="AC415">
        <v>59.59</v>
      </c>
      <c r="AD415">
        <v>16.440000000000001</v>
      </c>
      <c r="AE415">
        <v>72.540000000000006</v>
      </c>
      <c r="AF415">
        <v>29.87</v>
      </c>
      <c r="AG415">
        <v>78.08</v>
      </c>
      <c r="AH415">
        <v>69.900000000000006</v>
      </c>
      <c r="AI415">
        <v>61.24</v>
      </c>
      <c r="AJ415">
        <v>80.14</v>
      </c>
      <c r="AK415">
        <v>53.28</v>
      </c>
      <c r="AL415">
        <v>3.72</v>
      </c>
      <c r="AM415">
        <v>26.31</v>
      </c>
      <c r="AN415">
        <v>7.62</v>
      </c>
      <c r="AO415" s="1">
        <f t="shared" si="20"/>
        <v>558.7299999999999</v>
      </c>
    </row>
    <row r="416" spans="1:41" x14ac:dyDescent="0.25">
      <c r="A416" t="s">
        <v>459</v>
      </c>
      <c r="B416" s="2">
        <v>2945.1252792062201</v>
      </c>
      <c r="C416" s="2">
        <v>1133.3128952434899</v>
      </c>
      <c r="D416" s="2">
        <v>0</v>
      </c>
      <c r="E416" s="2">
        <v>3925.59894992097</v>
      </c>
      <c r="F416" s="2">
        <v>3628.7674724493099</v>
      </c>
      <c r="G416" s="2">
        <v>2339.4233499523398</v>
      </c>
      <c r="H416" s="2">
        <v>7805.0746553969402</v>
      </c>
      <c r="I416" s="2">
        <v>0</v>
      </c>
      <c r="J416" s="2">
        <v>919.65059807098896</v>
      </c>
      <c r="K416" s="2">
        <v>6864.9749617488897</v>
      </c>
      <c r="L416" s="2">
        <v>2073.5893015609399</v>
      </c>
      <c r="M416" s="2">
        <v>2004.3273173857301</v>
      </c>
      <c r="N416" s="3">
        <f t="shared" si="18"/>
        <v>33639.844780935819</v>
      </c>
      <c r="O416" s="2">
        <v>6.8208932122332904</v>
      </c>
      <c r="P416" s="2">
        <v>10.5017473296289</v>
      </c>
      <c r="Q416" s="2">
        <v>7.6416288519008004</v>
      </c>
      <c r="R416" s="2">
        <v>2.7551055208547699</v>
      </c>
      <c r="S416" s="2">
        <v>0.41014179976902299</v>
      </c>
      <c r="T416" s="2">
        <v>3.3101369742031301</v>
      </c>
      <c r="U416" s="2">
        <v>0.59282590958997206</v>
      </c>
      <c r="V416" s="2">
        <v>4.5375477712909102</v>
      </c>
      <c r="W416" s="2">
        <v>3.0803139426245001</v>
      </c>
      <c r="X416" s="2">
        <v>4.0505141614628801</v>
      </c>
      <c r="Y416" s="2">
        <v>15.647126290604</v>
      </c>
      <c r="Z416" s="2">
        <v>9.1546950974858099</v>
      </c>
      <c r="AA416" s="3">
        <f t="shared" si="19"/>
        <v>68.502676861647984</v>
      </c>
      <c r="AB416" t="s">
        <v>63</v>
      </c>
      <c r="AC416">
        <v>59.55</v>
      </c>
      <c r="AD416">
        <v>23.67</v>
      </c>
      <c r="AE416">
        <v>0.72</v>
      </c>
      <c r="AF416">
        <v>78.790000000000006</v>
      </c>
      <c r="AG416">
        <v>72.67</v>
      </c>
      <c r="AH416">
        <v>47.16</v>
      </c>
      <c r="AI416">
        <v>156.21</v>
      </c>
      <c r="AJ416">
        <v>0.45</v>
      </c>
      <c r="AK416">
        <v>18.760000000000002</v>
      </c>
      <c r="AL416">
        <v>137.75</v>
      </c>
      <c r="AM416">
        <v>42.92</v>
      </c>
      <c r="AN416">
        <v>41</v>
      </c>
      <c r="AO416" s="1">
        <f t="shared" si="20"/>
        <v>679.65</v>
      </c>
    </row>
    <row r="417" spans="1:41" x14ac:dyDescent="0.25">
      <c r="A417" t="s">
        <v>460</v>
      </c>
      <c r="B417" s="2">
        <v>2931.9900792445201</v>
      </c>
      <c r="C417" s="2">
        <v>391.66827045546199</v>
      </c>
      <c r="D417" s="2">
        <v>3800.2417800194598</v>
      </c>
      <c r="E417" s="2">
        <v>5090.0987123314599</v>
      </c>
      <c r="F417" s="2">
        <v>2049.3550143912398</v>
      </c>
      <c r="G417" s="2">
        <v>1637.2023179507501</v>
      </c>
      <c r="H417" s="2">
        <v>6007.92215641657</v>
      </c>
      <c r="I417" s="2">
        <v>4812.09588846303</v>
      </c>
      <c r="J417" s="2">
        <v>14918.272676626701</v>
      </c>
      <c r="K417" s="2">
        <v>1189.3201049714901</v>
      </c>
      <c r="L417" s="2">
        <v>8283.3114979981892</v>
      </c>
      <c r="M417" s="2">
        <v>287.65311113865403</v>
      </c>
      <c r="N417" s="3">
        <f t="shared" si="18"/>
        <v>51399.131610007535</v>
      </c>
      <c r="O417" s="2">
        <v>3.1209212341124601</v>
      </c>
      <c r="P417" s="2">
        <v>2.76838349573468</v>
      </c>
      <c r="Q417" s="2">
        <v>11.4442803118756</v>
      </c>
      <c r="R417" s="2">
        <v>0.57101300682380396</v>
      </c>
      <c r="S417" s="2">
        <v>1.14320833237416</v>
      </c>
      <c r="T417" s="2">
        <v>1.32676561408209</v>
      </c>
      <c r="U417" s="2">
        <v>2.5219492577788101</v>
      </c>
      <c r="V417" s="2">
        <v>1.06712724802947</v>
      </c>
      <c r="W417" s="2">
        <v>1.09374250041738</v>
      </c>
      <c r="X417" s="2">
        <v>9.5711302186957408</v>
      </c>
      <c r="Y417" s="2">
        <v>6.0699895702386497</v>
      </c>
      <c r="Z417" s="2">
        <v>2.3835324668018298</v>
      </c>
      <c r="AA417" s="3">
        <f t="shared" si="19"/>
        <v>43.082043256964674</v>
      </c>
      <c r="AB417" t="s">
        <v>45</v>
      </c>
      <c r="AC417">
        <v>39.51</v>
      </c>
      <c r="AD417">
        <v>14.06</v>
      </c>
      <c r="AE417">
        <v>48.6</v>
      </c>
      <c r="AF417">
        <v>60.95</v>
      </c>
      <c r="AG417">
        <v>30.59</v>
      </c>
      <c r="AH417">
        <v>26.47</v>
      </c>
      <c r="AI417">
        <v>70.22</v>
      </c>
      <c r="AJ417">
        <v>58.22</v>
      </c>
      <c r="AK417">
        <v>159.28</v>
      </c>
      <c r="AL417">
        <v>22.39</v>
      </c>
      <c r="AM417">
        <v>93.18</v>
      </c>
      <c r="AN417">
        <v>13.02</v>
      </c>
      <c r="AO417" s="1">
        <f t="shared" si="20"/>
        <v>636.49</v>
      </c>
    </row>
    <row r="418" spans="1:41" x14ac:dyDescent="0.25">
      <c r="A418" t="s">
        <v>461</v>
      </c>
      <c r="B418" s="2">
        <v>2931.85116638913</v>
      </c>
      <c r="C418" s="2">
        <v>7272.7829014741401</v>
      </c>
      <c r="D418" s="2">
        <v>3878.2232480029302</v>
      </c>
      <c r="E418" s="2">
        <v>5463.9238604979801</v>
      </c>
      <c r="F418" s="2">
        <v>2291.9293550337002</v>
      </c>
      <c r="G418" s="2">
        <v>4136.0406281268597</v>
      </c>
      <c r="H418" s="2">
        <v>0</v>
      </c>
      <c r="I418" s="2">
        <v>15865.8867687927</v>
      </c>
      <c r="J418" s="2">
        <v>5368.62916021616</v>
      </c>
      <c r="K418" s="2">
        <v>7135.5960744286804</v>
      </c>
      <c r="L418" s="2">
        <v>3821.2757434919099</v>
      </c>
      <c r="M418" s="2">
        <v>632.343462924866</v>
      </c>
      <c r="N418" s="3">
        <f t="shared" si="18"/>
        <v>58798.482369379053</v>
      </c>
      <c r="O418" s="2">
        <v>1.8335998565582901</v>
      </c>
      <c r="P418" s="2">
        <v>1.0064490595995399</v>
      </c>
      <c r="Q418" s="2">
        <v>15.3924747063745</v>
      </c>
      <c r="R418" s="2">
        <v>0</v>
      </c>
      <c r="S418" s="2">
        <v>6.0990439233731797</v>
      </c>
      <c r="T418" s="2">
        <v>3.1086435203136</v>
      </c>
      <c r="U418" s="2">
        <v>0.99568590319319905</v>
      </c>
      <c r="V418" s="2">
        <v>8.4079058279656298</v>
      </c>
      <c r="W418" s="2">
        <v>3.6884806656345002</v>
      </c>
      <c r="X418" s="2">
        <v>4.4593380549576098</v>
      </c>
      <c r="Y418" s="2">
        <v>2.2285369692299</v>
      </c>
      <c r="Z418" s="2">
        <v>4.4754706702484404</v>
      </c>
      <c r="AA418" s="3">
        <f t="shared" si="19"/>
        <v>51.695629157448394</v>
      </c>
      <c r="AB418" t="s">
        <v>45</v>
      </c>
      <c r="AC418">
        <v>39.409999999999997</v>
      </c>
      <c r="AD418">
        <v>82.82</v>
      </c>
      <c r="AE418">
        <v>49.58</v>
      </c>
      <c r="AF418">
        <v>64.63</v>
      </c>
      <c r="AG418">
        <v>33.26</v>
      </c>
      <c r="AH418">
        <v>51.56</v>
      </c>
      <c r="AI418">
        <v>10.039999999999999</v>
      </c>
      <c r="AJ418">
        <v>169.1</v>
      </c>
      <c r="AK418">
        <v>63.88</v>
      </c>
      <c r="AL418">
        <v>81.599999999999994</v>
      </c>
      <c r="AM418">
        <v>48.36</v>
      </c>
      <c r="AN418">
        <v>16.57</v>
      </c>
      <c r="AO418" s="1">
        <f t="shared" si="20"/>
        <v>710.81000000000006</v>
      </c>
    </row>
    <row r="419" spans="1:41" x14ac:dyDescent="0.25">
      <c r="A419" t="s">
        <v>462</v>
      </c>
      <c r="B419" s="2">
        <v>2915.4000601970702</v>
      </c>
      <c r="C419" s="2">
        <v>1100.5731604397299</v>
      </c>
      <c r="D419" s="2">
        <v>7426.8796911283798</v>
      </c>
      <c r="E419" s="2">
        <v>29342.090949038</v>
      </c>
      <c r="F419" s="2">
        <v>1081.2408954180501</v>
      </c>
      <c r="G419" s="2">
        <v>6287.7449469610601</v>
      </c>
      <c r="H419" s="2">
        <v>7350.8296719487798</v>
      </c>
      <c r="I419" s="2">
        <v>19385.5849901039</v>
      </c>
      <c r="J419" s="2">
        <v>1262.6788821113901</v>
      </c>
      <c r="K419" s="2">
        <v>5724.3410722635099</v>
      </c>
      <c r="L419" s="2">
        <v>1633.8514313937101</v>
      </c>
      <c r="M419" s="2">
        <v>3762.9375732468502</v>
      </c>
      <c r="N419" s="3">
        <f t="shared" si="18"/>
        <v>87274.153324250423</v>
      </c>
      <c r="O419" s="2">
        <v>2.5836856884861401</v>
      </c>
      <c r="P419" s="2">
        <v>0</v>
      </c>
      <c r="Q419" s="2">
        <v>1.90486359827054</v>
      </c>
      <c r="R419" s="2">
        <v>8.1506377067669291</v>
      </c>
      <c r="S419" s="2">
        <v>2.8395875169948201</v>
      </c>
      <c r="T419" s="2">
        <v>0.59733546146605598</v>
      </c>
      <c r="U419" s="2">
        <v>4.1653384520380898</v>
      </c>
      <c r="V419" s="2">
        <v>3.4186344517010099</v>
      </c>
      <c r="W419" s="2">
        <v>3.1004230955031198</v>
      </c>
      <c r="X419" s="2">
        <v>1.7718972561380899</v>
      </c>
      <c r="Y419" s="2">
        <v>0.93627017842846805</v>
      </c>
      <c r="Z419" s="2">
        <v>4.3494325161982497</v>
      </c>
      <c r="AA419" s="3">
        <f t="shared" si="19"/>
        <v>33.818105921991517</v>
      </c>
      <c r="AB419" t="s">
        <v>45</v>
      </c>
      <c r="AC419">
        <v>39.299999999999997</v>
      </c>
      <c r="AD419">
        <v>21</v>
      </c>
      <c r="AE419">
        <v>84.36</v>
      </c>
      <c r="AF419">
        <v>303.87</v>
      </c>
      <c r="AG419">
        <v>20.96</v>
      </c>
      <c r="AH419">
        <v>72.92</v>
      </c>
      <c r="AI419">
        <v>83.75</v>
      </c>
      <c r="AJ419">
        <v>204.05</v>
      </c>
      <c r="AK419">
        <v>22.82</v>
      </c>
      <c r="AL419">
        <v>67.34</v>
      </c>
      <c r="AM419">
        <v>26.38</v>
      </c>
      <c r="AN419">
        <v>47.87</v>
      </c>
      <c r="AO419" s="1">
        <f t="shared" si="20"/>
        <v>994.62000000000012</v>
      </c>
    </row>
    <row r="420" spans="1:41" x14ac:dyDescent="0.25">
      <c r="A420" t="s">
        <v>463</v>
      </c>
      <c r="B420" s="2">
        <v>2907.1376080505802</v>
      </c>
      <c r="C420" s="2">
        <v>0</v>
      </c>
      <c r="D420" s="2">
        <v>2015.81569066974</v>
      </c>
      <c r="E420" s="2">
        <v>1808.3055884272101</v>
      </c>
      <c r="F420" s="2">
        <v>0</v>
      </c>
      <c r="G420" s="2">
        <v>9305.7070438810606</v>
      </c>
      <c r="H420" s="2">
        <v>0</v>
      </c>
      <c r="I420" s="2">
        <v>1911.1452604399201</v>
      </c>
      <c r="J420" s="2">
        <v>1134.6726017745</v>
      </c>
      <c r="K420" s="2">
        <v>17257.8446748397</v>
      </c>
      <c r="L420" s="2">
        <v>6324.9440416030502</v>
      </c>
      <c r="M420" s="2">
        <v>2993.2362480327101</v>
      </c>
      <c r="N420" s="3">
        <f t="shared" si="18"/>
        <v>45658.808757718463</v>
      </c>
      <c r="O420" s="2">
        <v>0.66002798530016904</v>
      </c>
      <c r="P420" s="2">
        <v>0.34294238932614901</v>
      </c>
      <c r="Q420" s="2">
        <v>3.1317352760388499</v>
      </c>
      <c r="R420" s="2">
        <v>5.9236217196471399</v>
      </c>
      <c r="S420" s="2">
        <v>0</v>
      </c>
      <c r="T420" s="2">
        <v>0</v>
      </c>
      <c r="U420" s="2">
        <v>1.43104919900872</v>
      </c>
      <c r="V420" s="2">
        <v>0</v>
      </c>
      <c r="W420" s="2">
        <v>1.1869325394719901</v>
      </c>
      <c r="X420" s="2">
        <v>7.1411962475111901</v>
      </c>
      <c r="Y420" s="2">
        <v>3.5763922948529502E-2</v>
      </c>
      <c r="Z420" s="2">
        <v>3.53204717351537</v>
      </c>
      <c r="AA420" s="3">
        <f t="shared" si="19"/>
        <v>23.385316452768109</v>
      </c>
      <c r="AB420" t="s">
        <v>45</v>
      </c>
      <c r="AC420">
        <v>39.119999999999997</v>
      </c>
      <c r="AD420">
        <v>10.039999999999999</v>
      </c>
      <c r="AE420">
        <v>30.35</v>
      </c>
      <c r="AF420">
        <v>28.38</v>
      </c>
      <c r="AG420">
        <v>9.99</v>
      </c>
      <c r="AH420">
        <v>103.05</v>
      </c>
      <c r="AI420">
        <v>10.09</v>
      </c>
      <c r="AJ420">
        <v>29.11</v>
      </c>
      <c r="AK420">
        <v>21.44</v>
      </c>
      <c r="AL420">
        <v>182.97</v>
      </c>
      <c r="AM420">
        <v>73.290000000000006</v>
      </c>
      <c r="AN420">
        <v>40.130000000000003</v>
      </c>
      <c r="AO420" s="1">
        <f t="shared" si="20"/>
        <v>577.95999999999992</v>
      </c>
    </row>
    <row r="421" spans="1:41" x14ac:dyDescent="0.25">
      <c r="A421" t="s">
        <v>464</v>
      </c>
      <c r="B421" s="2">
        <v>2903.95565881926</v>
      </c>
      <c r="C421" s="2">
        <v>954.71696754038703</v>
      </c>
      <c r="D421" s="2">
        <v>2180.6216168678998</v>
      </c>
      <c r="E421" s="2">
        <v>4139.1077653680904</v>
      </c>
      <c r="F421" s="2">
        <v>467.44564127784599</v>
      </c>
      <c r="G421" s="2">
        <v>626.31706529304404</v>
      </c>
      <c r="H421" s="2">
        <v>7119.0146311110102</v>
      </c>
      <c r="I421" s="2">
        <v>4166.2516814362598</v>
      </c>
      <c r="J421" s="2">
        <v>1750.12032933871</v>
      </c>
      <c r="K421" s="2">
        <v>1667.5826504076599</v>
      </c>
      <c r="L421" s="2">
        <v>863.97731029016404</v>
      </c>
      <c r="M421" s="2">
        <v>3540.5840026997598</v>
      </c>
      <c r="N421" s="3">
        <f t="shared" si="18"/>
        <v>30379.695320450093</v>
      </c>
      <c r="O421" s="2">
        <v>0.49152855686347602</v>
      </c>
      <c r="P421" s="2">
        <v>0</v>
      </c>
      <c r="Q421" s="2">
        <v>3.26431943027892</v>
      </c>
      <c r="R421" s="2">
        <v>0.71421869319567</v>
      </c>
      <c r="S421" s="2">
        <v>1.75997995924587</v>
      </c>
      <c r="T421" s="2">
        <v>4.3924499676256197</v>
      </c>
      <c r="U421" s="2">
        <v>6.8550150048188998</v>
      </c>
      <c r="V421" s="2">
        <v>0</v>
      </c>
      <c r="W421" s="2">
        <v>0.76278939760638897</v>
      </c>
      <c r="X421" s="2">
        <v>8.0547639376626101</v>
      </c>
      <c r="Y421" s="2">
        <v>1.5098236053381899</v>
      </c>
      <c r="Z421" s="2">
        <v>11.776856244577001</v>
      </c>
      <c r="AA421" s="3">
        <f t="shared" si="19"/>
        <v>39.58174479721265</v>
      </c>
      <c r="AB421" t="s">
        <v>63</v>
      </c>
      <c r="AC421">
        <v>58.17</v>
      </c>
      <c r="AD421">
        <v>19.100000000000001</v>
      </c>
      <c r="AE421">
        <v>43.98</v>
      </c>
      <c r="AF421">
        <v>82.89</v>
      </c>
      <c r="AG421">
        <v>9.5399999999999991</v>
      </c>
      <c r="AH421">
        <v>12.99</v>
      </c>
      <c r="AI421">
        <v>143.03</v>
      </c>
      <c r="AJ421">
        <v>83.34</v>
      </c>
      <c r="AK421">
        <v>35.11</v>
      </c>
      <c r="AL421">
        <v>34.17</v>
      </c>
      <c r="AM421">
        <v>17.46</v>
      </c>
      <c r="AN421">
        <v>71.900000000000006</v>
      </c>
      <c r="AO421" s="1">
        <f t="shared" si="20"/>
        <v>611.67999999999995</v>
      </c>
    </row>
    <row r="422" spans="1:41" x14ac:dyDescent="0.25">
      <c r="A422" t="s">
        <v>465</v>
      </c>
      <c r="B422" s="2">
        <v>2884.1396050600301</v>
      </c>
      <c r="C422" s="2">
        <v>0</v>
      </c>
      <c r="D422" s="2">
        <v>1492.0653863407299</v>
      </c>
      <c r="E422" s="2">
        <v>460.56551578784001</v>
      </c>
      <c r="F422" s="2">
        <v>0</v>
      </c>
      <c r="G422" s="2">
        <v>595.84403975643295</v>
      </c>
      <c r="H422" s="2">
        <v>14682.491212208401</v>
      </c>
      <c r="I422" s="2">
        <v>1081.1595106488101</v>
      </c>
      <c r="J422" s="2">
        <v>2110.2150839208498</v>
      </c>
      <c r="K422" s="2">
        <v>4674.3483305698501</v>
      </c>
      <c r="L422" s="2">
        <v>3683.7689842458999</v>
      </c>
      <c r="M422" s="2">
        <v>9906.15586584013</v>
      </c>
      <c r="N422" s="3">
        <f t="shared" si="18"/>
        <v>41570.753534378971</v>
      </c>
      <c r="O422" s="2">
        <v>1.30050210859517</v>
      </c>
      <c r="P422" s="2">
        <v>11.948426777476</v>
      </c>
      <c r="Q422" s="2">
        <v>6.6661524141208801</v>
      </c>
      <c r="R422" s="2">
        <v>5.5801825196188304</v>
      </c>
      <c r="S422" s="2">
        <v>2.4549195673733899</v>
      </c>
      <c r="T422" s="2">
        <v>3.1976387500722798</v>
      </c>
      <c r="U422" s="2">
        <v>3.8971377912169598</v>
      </c>
      <c r="V422" s="2">
        <v>4.76924841026596</v>
      </c>
      <c r="W422" s="2">
        <v>1.15881731511282</v>
      </c>
      <c r="X422" s="2">
        <v>4.4270490381113801</v>
      </c>
      <c r="Y422" s="2">
        <v>6.61567408317205</v>
      </c>
      <c r="Z422" s="2">
        <v>2.3714217548312502</v>
      </c>
      <c r="AA422" s="3">
        <f t="shared" si="19"/>
        <v>54.387170529966973</v>
      </c>
      <c r="AB422" t="s">
        <v>45</v>
      </c>
      <c r="AC422">
        <v>38.94</v>
      </c>
      <c r="AD422">
        <v>10.59</v>
      </c>
      <c r="AE422">
        <v>25.27</v>
      </c>
      <c r="AF422">
        <v>14.9</v>
      </c>
      <c r="AG422">
        <v>10.14</v>
      </c>
      <c r="AH422">
        <v>16.149999999999999</v>
      </c>
      <c r="AI422">
        <v>157.02000000000001</v>
      </c>
      <c r="AJ422">
        <v>21.06</v>
      </c>
      <c r="AK422">
        <v>31.2</v>
      </c>
      <c r="AL422">
        <v>56.99</v>
      </c>
      <c r="AM422">
        <v>47.18</v>
      </c>
      <c r="AN422">
        <v>109.21</v>
      </c>
      <c r="AO422" s="1">
        <f t="shared" si="20"/>
        <v>538.65</v>
      </c>
    </row>
    <row r="423" spans="1:41" x14ac:dyDescent="0.25">
      <c r="A423" t="s">
        <v>466</v>
      </c>
      <c r="B423" s="2">
        <v>2880.5601473369102</v>
      </c>
      <c r="C423" s="2">
        <v>1570.1692052800099</v>
      </c>
      <c r="D423" s="2">
        <v>18988.641482245199</v>
      </c>
      <c r="E423" s="2">
        <v>2442.2573656227701</v>
      </c>
      <c r="F423" s="2">
        <v>7407.0899948944298</v>
      </c>
      <c r="G423" s="2">
        <v>7431.3372834243501</v>
      </c>
      <c r="H423" s="2">
        <v>32.969094433416998</v>
      </c>
      <c r="I423" s="2">
        <v>0</v>
      </c>
      <c r="J423" s="2">
        <v>13920.9538144217</v>
      </c>
      <c r="K423" s="2">
        <v>1294.91878435174</v>
      </c>
      <c r="L423" s="2">
        <v>619.00835623050898</v>
      </c>
      <c r="M423" s="2">
        <v>2641.7248853607898</v>
      </c>
      <c r="N423" s="3">
        <f t="shared" si="18"/>
        <v>59229.630413601823</v>
      </c>
      <c r="O423" s="2">
        <v>4.0570973669260901</v>
      </c>
      <c r="P423" s="2">
        <v>3.4059522577167498</v>
      </c>
      <c r="Q423" s="2">
        <v>1.31712101095586</v>
      </c>
      <c r="R423" s="2">
        <v>0</v>
      </c>
      <c r="S423" s="2">
        <v>3.3784956542289999</v>
      </c>
      <c r="T423" s="2">
        <v>5.7908011863358499</v>
      </c>
      <c r="U423" s="2">
        <v>5.1215097224450803</v>
      </c>
      <c r="V423" s="2">
        <v>6.0558289100256202</v>
      </c>
      <c r="W423" s="2">
        <v>2.7286539946005499</v>
      </c>
      <c r="X423" s="2">
        <v>1.21937959277747</v>
      </c>
      <c r="Y423" s="2">
        <v>0</v>
      </c>
      <c r="Z423" s="2">
        <v>8.4304170060854204</v>
      </c>
      <c r="AA423" s="3">
        <f t="shared" si="19"/>
        <v>41.505256702097689</v>
      </c>
      <c r="AB423" t="s">
        <v>63</v>
      </c>
      <c r="AC423">
        <v>58.07</v>
      </c>
      <c r="AD423">
        <v>31.78</v>
      </c>
      <c r="AE423">
        <v>379.96</v>
      </c>
      <c r="AF423">
        <v>48.86</v>
      </c>
      <c r="AG423">
        <v>148.52000000000001</v>
      </c>
      <c r="AH423">
        <v>149.18</v>
      </c>
      <c r="AI423">
        <v>1.2</v>
      </c>
      <c r="AJ423">
        <v>0.63</v>
      </c>
      <c r="AK423">
        <v>278.69</v>
      </c>
      <c r="AL423">
        <v>26.08</v>
      </c>
      <c r="AM423">
        <v>12.4</v>
      </c>
      <c r="AN423">
        <v>53.65</v>
      </c>
      <c r="AO423" s="1">
        <f t="shared" si="20"/>
        <v>1189.02</v>
      </c>
    </row>
    <row r="424" spans="1:41" x14ac:dyDescent="0.25">
      <c r="A424" t="s">
        <v>467</v>
      </c>
      <c r="B424" s="2">
        <v>2878.8882208054602</v>
      </c>
      <c r="C424" s="2">
        <v>4257.4720365067697</v>
      </c>
      <c r="D424" s="2">
        <v>7732.5853759387101</v>
      </c>
      <c r="E424" s="2">
        <v>2275.0992404160202</v>
      </c>
      <c r="F424" s="2">
        <v>1812.2159924131599</v>
      </c>
      <c r="G424" s="2">
        <v>3516.5704980589398</v>
      </c>
      <c r="H424" s="2">
        <v>72.911350511659606</v>
      </c>
      <c r="I424" s="2">
        <v>2561.5443962509798</v>
      </c>
      <c r="J424" s="2">
        <v>1281.7386136361699</v>
      </c>
      <c r="K424" s="2">
        <v>9068.5377559679</v>
      </c>
      <c r="L424" s="2">
        <v>0</v>
      </c>
      <c r="M424" s="2">
        <v>1371.5502546370201</v>
      </c>
      <c r="N424" s="3">
        <f t="shared" si="18"/>
        <v>36829.11373514279</v>
      </c>
      <c r="O424" s="2">
        <v>3.47829510201155</v>
      </c>
      <c r="P424" s="2">
        <v>0</v>
      </c>
      <c r="Q424" s="2">
        <v>1.50168608381399</v>
      </c>
      <c r="R424" s="2">
        <v>0.75398369878624205</v>
      </c>
      <c r="S424" s="2">
        <v>11.237173257968699</v>
      </c>
      <c r="T424" s="2">
        <v>6.0858342836789303</v>
      </c>
      <c r="U424" s="2">
        <v>5.4677842907521299</v>
      </c>
      <c r="V424" s="2">
        <v>0.87894098624567096</v>
      </c>
      <c r="W424" s="2">
        <v>1.91873427740364</v>
      </c>
      <c r="X424" s="2">
        <v>6.0333664987558198</v>
      </c>
      <c r="Y424" s="2">
        <v>3.2276586600215098</v>
      </c>
      <c r="Z424" s="2">
        <v>0.33841544344485103</v>
      </c>
      <c r="AA424" s="3">
        <f t="shared" si="19"/>
        <v>40.921872582883033</v>
      </c>
      <c r="AB424" t="s">
        <v>45</v>
      </c>
      <c r="AC424">
        <v>38.979999999999997</v>
      </c>
      <c r="AD424">
        <v>52.57</v>
      </c>
      <c r="AE424">
        <v>87.42</v>
      </c>
      <c r="AF424">
        <v>32.799999999999997</v>
      </c>
      <c r="AG424">
        <v>28.72</v>
      </c>
      <c r="AH424">
        <v>45.51</v>
      </c>
      <c r="AI424">
        <v>11.02</v>
      </c>
      <c r="AJ424">
        <v>35.659999999999997</v>
      </c>
      <c r="AK424">
        <v>22.91</v>
      </c>
      <c r="AL424">
        <v>101.03</v>
      </c>
      <c r="AM424">
        <v>10.19</v>
      </c>
      <c r="AN424">
        <v>23.76</v>
      </c>
      <c r="AO424" s="1">
        <f t="shared" si="20"/>
        <v>490.57</v>
      </c>
    </row>
    <row r="425" spans="1:41" x14ac:dyDescent="0.25">
      <c r="A425" t="s">
        <v>468</v>
      </c>
      <c r="B425" s="2">
        <v>2876.3446293603602</v>
      </c>
      <c r="C425" s="2">
        <v>0</v>
      </c>
      <c r="D425" s="2">
        <v>1740.9937674187499</v>
      </c>
      <c r="E425" s="2">
        <v>1045.43562624336</v>
      </c>
      <c r="F425" s="2">
        <v>3699.5033443478301</v>
      </c>
      <c r="G425" s="2">
        <v>251.18260186479199</v>
      </c>
      <c r="H425" s="2">
        <v>580.77332235809104</v>
      </c>
      <c r="I425" s="2">
        <v>2375.6436722233302</v>
      </c>
      <c r="J425" s="2">
        <v>462.21705821178801</v>
      </c>
      <c r="K425" s="2">
        <v>1128.44069807858</v>
      </c>
      <c r="L425" s="2">
        <v>876.44102858225006</v>
      </c>
      <c r="M425" s="2">
        <v>624.085827022682</v>
      </c>
      <c r="N425" s="3">
        <f t="shared" si="18"/>
        <v>15661.061575711816</v>
      </c>
      <c r="O425" s="2">
        <v>1.6877798722917401</v>
      </c>
      <c r="P425" s="2">
        <v>0</v>
      </c>
      <c r="Q425" s="2">
        <v>1.19401295283961</v>
      </c>
      <c r="R425" s="2">
        <v>9.4180220151430607</v>
      </c>
      <c r="S425" s="2">
        <v>7.3625903057702802</v>
      </c>
      <c r="T425" s="2">
        <v>1.6254625072617199</v>
      </c>
      <c r="U425" s="2">
        <v>5.3947186288922202</v>
      </c>
      <c r="V425" s="2">
        <v>2.2513001770730101</v>
      </c>
      <c r="W425" s="2">
        <v>15.2549507914629</v>
      </c>
      <c r="X425" s="2">
        <v>1.2388673678982101</v>
      </c>
      <c r="Y425" s="2">
        <v>3.11972066706103</v>
      </c>
      <c r="Z425" s="2">
        <v>0</v>
      </c>
      <c r="AA425" s="3">
        <f t="shared" si="19"/>
        <v>48.547425285693777</v>
      </c>
      <c r="AB425" t="s">
        <v>63</v>
      </c>
      <c r="AC425">
        <v>57.72</v>
      </c>
      <c r="AD425">
        <v>0</v>
      </c>
      <c r="AE425">
        <v>35</v>
      </c>
      <c r="AF425">
        <v>21.82</v>
      </c>
      <c r="AG425">
        <v>74.72</v>
      </c>
      <c r="AH425">
        <v>5.22</v>
      </c>
      <c r="AI425">
        <v>12.16</v>
      </c>
      <c r="AJ425">
        <v>47.79</v>
      </c>
      <c r="AK425">
        <v>10.7</v>
      </c>
      <c r="AL425">
        <v>22.76</v>
      </c>
      <c r="AM425">
        <v>17.899999999999999</v>
      </c>
      <c r="AN425">
        <v>12.5</v>
      </c>
      <c r="AO425" s="1">
        <f t="shared" si="20"/>
        <v>318.28999999999996</v>
      </c>
    </row>
    <row r="426" spans="1:41" x14ac:dyDescent="0.25">
      <c r="A426" t="s">
        <v>469</v>
      </c>
      <c r="B426" s="2">
        <v>2860.83971977377</v>
      </c>
      <c r="C426" s="2">
        <v>2873.7414341263702</v>
      </c>
      <c r="D426" s="2">
        <v>1569.20089948693</v>
      </c>
      <c r="E426" s="2">
        <v>1577.0028340736901</v>
      </c>
      <c r="F426" s="2">
        <v>4454.1671451437496</v>
      </c>
      <c r="G426" s="2">
        <v>10280.7051732608</v>
      </c>
      <c r="H426" s="2">
        <v>1011.38977720619</v>
      </c>
      <c r="I426" s="2">
        <v>361.70343611060599</v>
      </c>
      <c r="J426" s="2">
        <v>3266.6578134247502</v>
      </c>
      <c r="K426" s="2">
        <v>6195.8562093847604</v>
      </c>
      <c r="L426" s="2">
        <v>5117.7558756585504</v>
      </c>
      <c r="M426" s="2">
        <v>4332.2590457409196</v>
      </c>
      <c r="N426" s="3">
        <f t="shared" si="18"/>
        <v>43901.279363391084</v>
      </c>
      <c r="O426" s="2">
        <v>2.3567858488691402</v>
      </c>
      <c r="P426" s="2">
        <v>11.6933636869607</v>
      </c>
      <c r="Q426" s="2">
        <v>0.16114696995965699</v>
      </c>
      <c r="R426" s="2">
        <v>3.2940978738448901</v>
      </c>
      <c r="S426" s="2">
        <v>9.2675578014140392</v>
      </c>
      <c r="T426" s="2">
        <v>3.62988181331457</v>
      </c>
      <c r="U426" s="2">
        <v>2.10985684844798</v>
      </c>
      <c r="V426" s="2">
        <v>3.57728139613597</v>
      </c>
      <c r="W426" s="2">
        <v>1.0057230946908799</v>
      </c>
      <c r="X426" s="2">
        <v>10.983406112932499</v>
      </c>
      <c r="Y426" s="2">
        <v>6.4370260219312998</v>
      </c>
      <c r="Z426" s="2">
        <v>4.3563456545482904</v>
      </c>
      <c r="AA426" s="3">
        <f t="shared" si="19"/>
        <v>58.872473123049922</v>
      </c>
      <c r="AB426" t="s">
        <v>63</v>
      </c>
      <c r="AC426">
        <v>57.49</v>
      </c>
      <c r="AD426">
        <v>58.56</v>
      </c>
      <c r="AE426">
        <v>31.49</v>
      </c>
      <c r="AF426">
        <v>31.92</v>
      </c>
      <c r="AG426">
        <v>90</v>
      </c>
      <c r="AH426">
        <v>205.98</v>
      </c>
      <c r="AI426">
        <v>20.51</v>
      </c>
      <c r="AJ426">
        <v>7.6</v>
      </c>
      <c r="AK426">
        <v>65.52</v>
      </c>
      <c r="AL426">
        <v>124.91</v>
      </c>
      <c r="AM426">
        <v>102.99</v>
      </c>
      <c r="AN426">
        <v>87.11</v>
      </c>
      <c r="AO426" s="1">
        <f t="shared" si="20"/>
        <v>884.08</v>
      </c>
    </row>
    <row r="427" spans="1:41" x14ac:dyDescent="0.25">
      <c r="A427" t="s">
        <v>470</v>
      </c>
      <c r="B427" s="2">
        <v>2855.97476120284</v>
      </c>
      <c r="C427" s="2">
        <v>2172.4712925659201</v>
      </c>
      <c r="D427" s="2">
        <v>1113.05724053206</v>
      </c>
      <c r="E427" s="2">
        <v>5320.4328889174103</v>
      </c>
      <c r="F427" s="2">
        <v>370.111075327511</v>
      </c>
      <c r="G427" s="2">
        <v>1240.60945863542</v>
      </c>
      <c r="H427" s="2">
        <v>2840.2569555770401</v>
      </c>
      <c r="I427" s="2">
        <v>3199.2663958121898</v>
      </c>
      <c r="J427" s="2">
        <v>9302.5994499196695</v>
      </c>
      <c r="K427" s="2">
        <v>207.364766794134</v>
      </c>
      <c r="L427" s="2">
        <v>2617.7044690972998</v>
      </c>
      <c r="M427" s="2">
        <v>0</v>
      </c>
      <c r="N427" s="3">
        <f t="shared" si="18"/>
        <v>31239.848754381492</v>
      </c>
      <c r="O427" s="2">
        <v>4.4601895030249201</v>
      </c>
      <c r="P427" s="2">
        <v>2.16113855313248</v>
      </c>
      <c r="Q427" s="2">
        <v>0.13962476642806201</v>
      </c>
      <c r="R427" s="2">
        <v>12.4100433669674</v>
      </c>
      <c r="S427" s="2">
        <v>4.8612582817851901</v>
      </c>
      <c r="T427" s="2">
        <v>1.28167013728879</v>
      </c>
      <c r="U427" s="2">
        <v>15.304359915930201</v>
      </c>
      <c r="V427" s="2">
        <v>2.4736242835173399</v>
      </c>
      <c r="W427" s="2">
        <v>4.11848010458184</v>
      </c>
      <c r="X427" s="2">
        <v>7.1574781491509301</v>
      </c>
      <c r="Y427" s="2">
        <v>6.3325142060312096</v>
      </c>
      <c r="Z427" s="2">
        <v>4.6892190160501697</v>
      </c>
      <c r="AA427" s="3">
        <f t="shared" si="19"/>
        <v>65.389600283888541</v>
      </c>
      <c r="AB427" t="s">
        <v>63</v>
      </c>
      <c r="AC427">
        <v>57.57</v>
      </c>
      <c r="AD427">
        <v>43.73</v>
      </c>
      <c r="AE427">
        <v>22.37</v>
      </c>
      <c r="AF427">
        <v>107.59</v>
      </c>
      <c r="AG427">
        <v>7.87</v>
      </c>
      <c r="AH427">
        <v>25</v>
      </c>
      <c r="AI427">
        <v>58.26</v>
      </c>
      <c r="AJ427">
        <v>64.27</v>
      </c>
      <c r="AK427">
        <v>186.51</v>
      </c>
      <c r="AL427">
        <v>4.88</v>
      </c>
      <c r="AM427">
        <v>52.99</v>
      </c>
      <c r="AN427">
        <v>0.45</v>
      </c>
      <c r="AO427" s="1">
        <f t="shared" si="20"/>
        <v>631.49</v>
      </c>
    </row>
    <row r="428" spans="1:41" x14ac:dyDescent="0.25">
      <c r="A428" t="s">
        <v>471</v>
      </c>
      <c r="B428" s="2">
        <v>2849.7003176815701</v>
      </c>
      <c r="C428" s="2">
        <v>1411.63908022545</v>
      </c>
      <c r="D428" s="2">
        <v>2140.4281724417201</v>
      </c>
      <c r="E428" s="2">
        <v>15147.766669857099</v>
      </c>
      <c r="F428" s="2">
        <v>5736.2437296727903</v>
      </c>
      <c r="G428" s="2">
        <v>8260.2848255362896</v>
      </c>
      <c r="H428" s="2">
        <v>0</v>
      </c>
      <c r="I428" s="2">
        <v>396.08190173100002</v>
      </c>
      <c r="J428" s="2">
        <v>0</v>
      </c>
      <c r="K428" s="2">
        <v>1418.92049076069</v>
      </c>
      <c r="L428" s="2">
        <v>2088.0074407863299</v>
      </c>
      <c r="M428" s="2">
        <v>4244.7158662854599</v>
      </c>
      <c r="N428" s="3">
        <f t="shared" si="18"/>
        <v>43693.788494978391</v>
      </c>
      <c r="O428" s="2">
        <v>3.18536996966633</v>
      </c>
      <c r="P428" s="2">
        <v>6.8845274324466201</v>
      </c>
      <c r="Q428" s="2">
        <v>11.017074898985999</v>
      </c>
      <c r="R428" s="2">
        <v>2.22939395845692</v>
      </c>
      <c r="S428" s="2">
        <v>2.8781658264123098</v>
      </c>
      <c r="T428" s="2">
        <v>0.49376029252074299</v>
      </c>
      <c r="U428" s="2">
        <v>19.9388043867432</v>
      </c>
      <c r="V428" s="2">
        <v>11.096851956527599</v>
      </c>
      <c r="W428" s="2">
        <v>3.1481972961472402</v>
      </c>
      <c r="X428" s="2">
        <v>7.3003205830866698</v>
      </c>
      <c r="Y428" s="2">
        <v>3.4275259733353201</v>
      </c>
      <c r="Z428" s="2">
        <v>4.09984122440577</v>
      </c>
      <c r="AA428" s="3">
        <f t="shared" si="19"/>
        <v>75.699833798734716</v>
      </c>
      <c r="AB428" t="s">
        <v>63</v>
      </c>
      <c r="AC428">
        <v>57.36</v>
      </c>
      <c r="AD428">
        <v>28.87</v>
      </c>
      <c r="AE428">
        <v>43.9</v>
      </c>
      <c r="AF428">
        <v>303.23</v>
      </c>
      <c r="AG428">
        <v>115.01</v>
      </c>
      <c r="AH428">
        <v>165.31</v>
      </c>
      <c r="AI428">
        <v>1.8</v>
      </c>
      <c r="AJ428">
        <v>9.02</v>
      </c>
      <c r="AK428">
        <v>0.36</v>
      </c>
      <c r="AL428">
        <v>29.1</v>
      </c>
      <c r="AM428">
        <v>42.14</v>
      </c>
      <c r="AN428">
        <v>85.35</v>
      </c>
      <c r="AO428" s="1">
        <f t="shared" si="20"/>
        <v>881.45</v>
      </c>
    </row>
    <row r="429" spans="1:41" x14ac:dyDescent="0.25">
      <c r="A429" t="s">
        <v>472</v>
      </c>
      <c r="B429" s="2">
        <v>2848.7867959432101</v>
      </c>
      <c r="C429" s="2">
        <v>181.298640002399</v>
      </c>
      <c r="D429" s="2">
        <v>5632.69719919201</v>
      </c>
      <c r="E429" s="2">
        <v>4484.6191897480803</v>
      </c>
      <c r="F429" s="2">
        <v>5828.1013545944297</v>
      </c>
      <c r="G429" s="2">
        <v>545.05162645930602</v>
      </c>
      <c r="H429" s="2">
        <v>1013.7011006245</v>
      </c>
      <c r="I429" s="2">
        <v>1593.1621125312199</v>
      </c>
      <c r="J429" s="2">
        <v>2451.95231539629</v>
      </c>
      <c r="K429" s="2">
        <v>1093.8030298042199</v>
      </c>
      <c r="L429" s="2">
        <v>2017.4519004762201</v>
      </c>
      <c r="M429" s="2">
        <v>114.437638189704</v>
      </c>
      <c r="N429" s="3">
        <f t="shared" si="18"/>
        <v>27805.062902961592</v>
      </c>
      <c r="O429" s="2">
        <v>6.3534865480797897</v>
      </c>
      <c r="P429" s="2">
        <v>7.0926624174783299</v>
      </c>
      <c r="Q429" s="2">
        <v>2.9839290324915302</v>
      </c>
      <c r="R429" s="2">
        <v>1.48674577461853</v>
      </c>
      <c r="S429" s="2">
        <v>2.3694598557979498</v>
      </c>
      <c r="T429" s="2">
        <v>6.34545001547826</v>
      </c>
      <c r="U429" s="2">
        <v>8.1916907226995495</v>
      </c>
      <c r="V429" s="2">
        <v>0.91870712656857001</v>
      </c>
      <c r="W429" s="2">
        <v>1.89248217575258</v>
      </c>
      <c r="X429" s="2">
        <v>8.5076392150509204</v>
      </c>
      <c r="Y429" s="2">
        <v>8.0265795800151203</v>
      </c>
      <c r="Z429" s="2">
        <v>16.620968712061501</v>
      </c>
      <c r="AA429" s="3">
        <f t="shared" si="19"/>
        <v>70.789801176092638</v>
      </c>
      <c r="AB429" t="s">
        <v>63</v>
      </c>
      <c r="AC429">
        <v>57.61</v>
      </c>
      <c r="AD429">
        <v>4.3600000000000003</v>
      </c>
      <c r="AE429">
        <v>112.93</v>
      </c>
      <c r="AF429">
        <v>89.88</v>
      </c>
      <c r="AG429">
        <v>116.85</v>
      </c>
      <c r="AH429">
        <v>11.55</v>
      </c>
      <c r="AI429">
        <v>21.09</v>
      </c>
      <c r="AJ429">
        <v>31.97</v>
      </c>
      <c r="AK429">
        <v>49.22</v>
      </c>
      <c r="AL429">
        <v>22.69</v>
      </c>
      <c r="AM429">
        <v>41.17</v>
      </c>
      <c r="AN429">
        <v>3.83</v>
      </c>
      <c r="AO429" s="1">
        <f t="shared" si="20"/>
        <v>563.15000000000009</v>
      </c>
    </row>
    <row r="430" spans="1:41" x14ac:dyDescent="0.25">
      <c r="A430" t="s">
        <v>473</v>
      </c>
      <c r="B430" s="2">
        <v>2848.39934066862</v>
      </c>
      <c r="C430" s="2">
        <v>3275.5342249018399</v>
      </c>
      <c r="D430" s="2">
        <v>4148.8465270805</v>
      </c>
      <c r="E430" s="2">
        <v>137.41236464691599</v>
      </c>
      <c r="F430" s="2">
        <v>294.443299450984</v>
      </c>
      <c r="G430" s="2">
        <v>1481.63499197838</v>
      </c>
      <c r="H430" s="2">
        <v>1962.4048095472999</v>
      </c>
      <c r="I430" s="2">
        <v>6094.2344365811696</v>
      </c>
      <c r="J430" s="2">
        <v>1703.47135062557</v>
      </c>
      <c r="K430" s="2">
        <v>1120.92485486489</v>
      </c>
      <c r="L430" s="2">
        <v>401.628319198844</v>
      </c>
      <c r="M430" s="2">
        <v>96.794127028239302</v>
      </c>
      <c r="N430" s="3">
        <f t="shared" si="18"/>
        <v>23565.72864657325</v>
      </c>
      <c r="O430" s="2">
        <v>5.33621026403992</v>
      </c>
      <c r="P430" s="2">
        <v>4.4541519785676202</v>
      </c>
      <c r="Q430" s="2">
        <v>0</v>
      </c>
      <c r="R430" s="2">
        <v>0.86464294419631205</v>
      </c>
      <c r="S430" s="2">
        <v>0.94394258892160998</v>
      </c>
      <c r="T430" s="2">
        <v>10.560205795135801</v>
      </c>
      <c r="U430" s="2">
        <v>1.95661920335148</v>
      </c>
      <c r="V430" s="2">
        <v>3.6623764719039502</v>
      </c>
      <c r="W430" s="2">
        <v>2.32931870155931</v>
      </c>
      <c r="X430" s="2">
        <v>11.302065416727901</v>
      </c>
      <c r="Y430" s="2">
        <v>0</v>
      </c>
      <c r="Z430" s="2">
        <v>2.4443007952704501</v>
      </c>
      <c r="AA430" s="3">
        <f t="shared" si="19"/>
        <v>43.853834159674356</v>
      </c>
      <c r="AB430" t="s">
        <v>63</v>
      </c>
      <c r="AC430">
        <v>57.52</v>
      </c>
      <c r="AD430">
        <v>65.97</v>
      </c>
      <c r="AE430">
        <v>82.98</v>
      </c>
      <c r="AF430">
        <v>2.85</v>
      </c>
      <c r="AG430">
        <v>5.99</v>
      </c>
      <c r="AH430">
        <v>30.63</v>
      </c>
      <c r="AI430">
        <v>39.44</v>
      </c>
      <c r="AJ430">
        <v>122.26</v>
      </c>
      <c r="AK430">
        <v>34.35</v>
      </c>
      <c r="AL430">
        <v>23.5</v>
      </c>
      <c r="AM430">
        <v>8.0399999999999991</v>
      </c>
      <c r="AN430">
        <v>2.21</v>
      </c>
      <c r="AO430" s="1">
        <f t="shared" si="20"/>
        <v>475.74</v>
      </c>
    </row>
    <row r="431" spans="1:41" x14ac:dyDescent="0.25">
      <c r="A431" t="s">
        <v>474</v>
      </c>
      <c r="B431" s="2">
        <v>2840.5350197736502</v>
      </c>
      <c r="C431" s="2">
        <v>5386.5350920824803</v>
      </c>
      <c r="D431" s="2">
        <v>2938.3117131244198</v>
      </c>
      <c r="E431" s="2">
        <v>243.06068979880999</v>
      </c>
      <c r="F431" s="2">
        <v>7434.2782940059597</v>
      </c>
      <c r="G431" s="2">
        <v>0</v>
      </c>
      <c r="H431" s="2">
        <v>157.44830663709899</v>
      </c>
      <c r="I431" s="2">
        <v>1203.34685342835</v>
      </c>
      <c r="J431" s="2">
        <v>0</v>
      </c>
      <c r="K431" s="2">
        <v>398.17078758223101</v>
      </c>
      <c r="L431" s="2">
        <v>475.36473974205398</v>
      </c>
      <c r="M431" s="2">
        <v>1865.69571043119</v>
      </c>
      <c r="N431" s="3">
        <f t="shared" si="18"/>
        <v>22942.747206606244</v>
      </c>
      <c r="O431" s="2">
        <v>4.2300134018573701</v>
      </c>
      <c r="P431" s="2">
        <v>1.6434500351146599</v>
      </c>
      <c r="Q431" s="2">
        <v>4.12607928404974</v>
      </c>
      <c r="R431" s="2">
        <v>2.5860811034401898</v>
      </c>
      <c r="S431" s="2">
        <v>1.0638261291742399</v>
      </c>
      <c r="T431" s="2">
        <v>3.0201748773873098</v>
      </c>
      <c r="U431" s="2">
        <v>12.217500574746399</v>
      </c>
      <c r="V431" s="2">
        <v>2.2695003541773402</v>
      </c>
      <c r="W431" s="2">
        <v>3.2997024815523699</v>
      </c>
      <c r="X431" s="2">
        <v>1.1049643556405599</v>
      </c>
      <c r="Y431" s="2">
        <v>4.9608906597615796</v>
      </c>
      <c r="Z431" s="2">
        <v>6.4098308847269596</v>
      </c>
      <c r="AA431" s="3">
        <f t="shared" si="19"/>
        <v>46.93201414162872</v>
      </c>
      <c r="AB431" t="s">
        <v>63</v>
      </c>
      <c r="AC431">
        <v>57.27</v>
      </c>
      <c r="AD431">
        <v>107.92</v>
      </c>
      <c r="AE431">
        <v>59.23</v>
      </c>
      <c r="AF431">
        <v>5.15</v>
      </c>
      <c r="AG431">
        <v>148.88</v>
      </c>
      <c r="AH431">
        <v>0.36</v>
      </c>
      <c r="AI431">
        <v>4.33</v>
      </c>
      <c r="AJ431">
        <v>24.35</v>
      </c>
      <c r="AK431">
        <v>0.36</v>
      </c>
      <c r="AL431">
        <v>8.16</v>
      </c>
      <c r="AM431">
        <v>9.9700000000000006</v>
      </c>
      <c r="AN431">
        <v>37.950000000000003</v>
      </c>
      <c r="AO431" s="1">
        <f t="shared" si="20"/>
        <v>463.93000000000006</v>
      </c>
    </row>
    <row r="432" spans="1:41" x14ac:dyDescent="0.25">
      <c r="A432" t="s">
        <v>475</v>
      </c>
      <c r="B432" s="2">
        <v>2805.13155952739</v>
      </c>
      <c r="C432" s="2">
        <v>4482.9076599168902</v>
      </c>
      <c r="D432" s="2">
        <v>1325.1178693428601</v>
      </c>
      <c r="E432" s="2">
        <v>176.00059145656701</v>
      </c>
      <c r="F432" s="2">
        <v>6762.7932190301699</v>
      </c>
      <c r="G432" s="2">
        <v>294.71146188372597</v>
      </c>
      <c r="H432" s="2">
        <v>2112.2498147736301</v>
      </c>
      <c r="I432" s="2">
        <v>2872.6254660203499</v>
      </c>
      <c r="J432" s="2">
        <v>3461.1714938452101</v>
      </c>
      <c r="K432" s="2">
        <v>2462.8372714739098</v>
      </c>
      <c r="L432" s="2">
        <v>4682.6650396654604</v>
      </c>
      <c r="M432" s="2">
        <v>565.35637251699495</v>
      </c>
      <c r="N432" s="3">
        <f t="shared" si="18"/>
        <v>32003.567819453157</v>
      </c>
      <c r="O432" s="2">
        <v>1.75564019225674</v>
      </c>
      <c r="P432" s="2">
        <v>0.778177711439344</v>
      </c>
      <c r="Q432" s="2">
        <v>4.3648259514141099</v>
      </c>
      <c r="R432" s="2">
        <v>7.4800445703428</v>
      </c>
      <c r="S432" s="2">
        <v>2.4940974479332998</v>
      </c>
      <c r="T432" s="2">
        <v>0</v>
      </c>
      <c r="U432" s="2">
        <v>5.2528878086303203</v>
      </c>
      <c r="V432" s="2">
        <v>0.78391480405389602</v>
      </c>
      <c r="W432" s="2">
        <v>3.16137651583001</v>
      </c>
      <c r="X432" s="2">
        <v>3.43713052878454</v>
      </c>
      <c r="Y432" s="2">
        <v>2.99873087000431</v>
      </c>
      <c r="Z432" s="2">
        <v>4.7553878389073203</v>
      </c>
      <c r="AA432" s="3">
        <f t="shared" si="19"/>
        <v>37.262214239596688</v>
      </c>
      <c r="AB432" t="s">
        <v>63</v>
      </c>
      <c r="AC432">
        <v>56.3</v>
      </c>
      <c r="AD432">
        <v>89.75</v>
      </c>
      <c r="AE432">
        <v>26.97</v>
      </c>
      <c r="AF432">
        <v>4.26</v>
      </c>
      <c r="AG432">
        <v>135.53</v>
      </c>
      <c r="AH432">
        <v>5.9</v>
      </c>
      <c r="AI432">
        <v>42.8</v>
      </c>
      <c r="AJ432">
        <v>57.55</v>
      </c>
      <c r="AK432">
        <v>69.599999999999994</v>
      </c>
      <c r="AL432">
        <v>49.62</v>
      </c>
      <c r="AM432">
        <v>93.93</v>
      </c>
      <c r="AN432">
        <v>11.77</v>
      </c>
      <c r="AO432" s="1">
        <f t="shared" si="20"/>
        <v>643.98</v>
      </c>
    </row>
    <row r="433" spans="1:41" x14ac:dyDescent="0.25">
      <c r="A433" t="s">
        <v>476</v>
      </c>
      <c r="B433" s="2">
        <v>2800.2496949246402</v>
      </c>
      <c r="C433" s="2">
        <v>1039.1211633087501</v>
      </c>
      <c r="D433" s="2">
        <v>2513.9734195419801</v>
      </c>
      <c r="E433" s="2">
        <v>556.07175781119497</v>
      </c>
      <c r="F433" s="2">
        <v>3458.42771384254</v>
      </c>
      <c r="G433" s="2">
        <v>688.642738173353</v>
      </c>
      <c r="H433" s="2">
        <v>3973.7359463861499</v>
      </c>
      <c r="I433" s="2">
        <v>3676.81374108624</v>
      </c>
      <c r="J433" s="2">
        <v>2953.1578614365599</v>
      </c>
      <c r="K433" s="2">
        <v>5952.1998146600199</v>
      </c>
      <c r="L433" s="2">
        <v>3909.9797565091299</v>
      </c>
      <c r="M433" s="2">
        <v>1298.72295720688</v>
      </c>
      <c r="N433" s="3">
        <f t="shared" si="18"/>
        <v>32821.096564887441</v>
      </c>
      <c r="O433" s="2">
        <v>8.9255038042048298</v>
      </c>
      <c r="P433" s="2">
        <v>0.52835982542726501</v>
      </c>
      <c r="Q433" s="2">
        <v>0</v>
      </c>
      <c r="R433" s="2">
        <v>4.7425763693259704</v>
      </c>
      <c r="S433" s="2">
        <v>6.6356414053475001</v>
      </c>
      <c r="T433" s="2">
        <v>5.1664274541631903</v>
      </c>
      <c r="U433" s="2">
        <v>1.8942387414476201</v>
      </c>
      <c r="V433" s="2">
        <v>0.86225149282147995</v>
      </c>
      <c r="W433" s="2">
        <v>11.862155091198501</v>
      </c>
      <c r="X433" s="2">
        <v>11.6416344945406</v>
      </c>
      <c r="Y433" s="2">
        <v>4.0082563981209498</v>
      </c>
      <c r="Z433" s="2">
        <v>7.4775032816045401</v>
      </c>
      <c r="AA433" s="3">
        <f t="shared" si="19"/>
        <v>63.744548358202451</v>
      </c>
      <c r="AB433" t="s">
        <v>63</v>
      </c>
      <c r="AC433">
        <v>56.83</v>
      </c>
      <c r="AD433">
        <v>20.89</v>
      </c>
      <c r="AE433">
        <v>50.28</v>
      </c>
      <c r="AF433">
        <v>11.59</v>
      </c>
      <c r="AG433">
        <v>69.81</v>
      </c>
      <c r="AH433">
        <v>14.32</v>
      </c>
      <c r="AI433">
        <v>79.66</v>
      </c>
      <c r="AJ433">
        <v>73.63</v>
      </c>
      <c r="AK433">
        <v>60.16</v>
      </c>
      <c r="AL433">
        <v>120.14</v>
      </c>
      <c r="AM433">
        <v>78.650000000000006</v>
      </c>
      <c r="AN433">
        <v>26.7</v>
      </c>
      <c r="AO433" s="1">
        <f t="shared" si="20"/>
        <v>662.66</v>
      </c>
    </row>
    <row r="434" spans="1:41" x14ac:dyDescent="0.25">
      <c r="A434" t="s">
        <v>477</v>
      </c>
      <c r="B434" s="2">
        <v>2794.11827742785</v>
      </c>
      <c r="C434" s="2">
        <v>7700.7262231351797</v>
      </c>
      <c r="D434" s="2">
        <v>13052.5207333951</v>
      </c>
      <c r="E434" s="2">
        <v>0</v>
      </c>
      <c r="F434" s="2">
        <v>3694.19115516487</v>
      </c>
      <c r="G434" s="2">
        <v>5848.5298131647396</v>
      </c>
      <c r="H434" s="2">
        <v>3184.5030843230302</v>
      </c>
      <c r="I434" s="2">
        <v>2819.8920016291099</v>
      </c>
      <c r="J434" s="2">
        <v>3219.7254240651801</v>
      </c>
      <c r="K434" s="2">
        <v>1137.11077333098</v>
      </c>
      <c r="L434" s="2">
        <v>2033.98076347799</v>
      </c>
      <c r="M434" s="2">
        <v>17301.236024811202</v>
      </c>
      <c r="N434" s="3">
        <f t="shared" si="18"/>
        <v>62786.53427392523</v>
      </c>
      <c r="O434" s="2">
        <v>2.0842207166437299</v>
      </c>
      <c r="P434" s="2">
        <v>2.4117317829513101</v>
      </c>
      <c r="Q434" s="2">
        <v>0.98664760254518702</v>
      </c>
      <c r="R434" s="2">
        <v>0</v>
      </c>
      <c r="S434" s="2">
        <v>6.9537020882949401</v>
      </c>
      <c r="T434" s="2">
        <v>4.8761164686536498</v>
      </c>
      <c r="U434" s="2">
        <v>7.0239066193457598</v>
      </c>
      <c r="V434" s="2">
        <v>5.4215935485330803E-2</v>
      </c>
      <c r="W434" s="2">
        <v>3.0796142952433501</v>
      </c>
      <c r="X434" s="2">
        <v>2.1982098126728502</v>
      </c>
      <c r="Y434" s="2">
        <v>1.3524603262211601</v>
      </c>
      <c r="Z434" s="2">
        <v>0.20608662590643001</v>
      </c>
      <c r="AA434" s="3">
        <f t="shared" si="19"/>
        <v>31.226912273963695</v>
      </c>
      <c r="AB434" t="s">
        <v>45</v>
      </c>
      <c r="AC434">
        <v>38.090000000000003</v>
      </c>
      <c r="AD434">
        <v>87.15</v>
      </c>
      <c r="AE434">
        <v>140.57</v>
      </c>
      <c r="AF434">
        <v>9.99</v>
      </c>
      <c r="AG434">
        <v>47.29</v>
      </c>
      <c r="AH434">
        <v>68.73</v>
      </c>
      <c r="AI434">
        <v>42.24</v>
      </c>
      <c r="AJ434">
        <v>38.24</v>
      </c>
      <c r="AK434">
        <v>42.39</v>
      </c>
      <c r="AL434">
        <v>21.52</v>
      </c>
      <c r="AM434">
        <v>30.43</v>
      </c>
      <c r="AN434">
        <v>183.06</v>
      </c>
      <c r="AO434" s="1">
        <f t="shared" si="20"/>
        <v>749.7</v>
      </c>
    </row>
    <row r="435" spans="1:41" x14ac:dyDescent="0.25">
      <c r="A435" t="s">
        <v>478</v>
      </c>
      <c r="B435" s="2">
        <v>2787.96298285782</v>
      </c>
      <c r="C435" s="2">
        <v>219.691362684902</v>
      </c>
      <c r="D435" s="2">
        <v>4524.24719234452</v>
      </c>
      <c r="E435" s="2">
        <v>4023.6692817616699</v>
      </c>
      <c r="F435" s="2">
        <v>1919.1156009992201</v>
      </c>
      <c r="G435" s="2">
        <v>2594.2673566554199</v>
      </c>
      <c r="H435" s="2">
        <v>12171.2359355604</v>
      </c>
      <c r="I435" s="2">
        <v>558.47591266771701</v>
      </c>
      <c r="J435" s="2">
        <v>219.11486056797301</v>
      </c>
      <c r="K435" s="2">
        <v>2981.0660668211299</v>
      </c>
      <c r="L435" s="2">
        <v>3698.33006222315</v>
      </c>
      <c r="M435" s="2">
        <v>58.959031453367402</v>
      </c>
      <c r="N435" s="3">
        <f t="shared" si="18"/>
        <v>35756.135646597293</v>
      </c>
      <c r="O435" s="2">
        <v>1.88215078912172</v>
      </c>
      <c r="P435" s="2">
        <v>7.94595551304245</v>
      </c>
      <c r="Q435" s="2">
        <v>1.7164216287890599</v>
      </c>
      <c r="R435" s="2">
        <v>8.3463471426622107</v>
      </c>
      <c r="S435" s="2">
        <v>10.277484955774099</v>
      </c>
      <c r="T435" s="2">
        <v>0</v>
      </c>
      <c r="U435" s="2">
        <v>1.02236587694044</v>
      </c>
      <c r="V435" s="2">
        <v>1.1898439586888001</v>
      </c>
      <c r="W435" s="2">
        <v>3.2942247951412198</v>
      </c>
      <c r="X435" s="2">
        <v>10.081643364590899</v>
      </c>
      <c r="Y435" s="2">
        <v>1.77400017533452</v>
      </c>
      <c r="Z435" s="2">
        <v>4.5059460819841402</v>
      </c>
      <c r="AA435" s="3">
        <f t="shared" si="19"/>
        <v>52.036384282069555</v>
      </c>
      <c r="AB435" t="s">
        <v>63</v>
      </c>
      <c r="AC435">
        <v>55.94</v>
      </c>
      <c r="AD435">
        <v>5.12</v>
      </c>
      <c r="AE435">
        <v>90.68</v>
      </c>
      <c r="AF435">
        <v>81.290000000000006</v>
      </c>
      <c r="AG435">
        <v>39.39</v>
      </c>
      <c r="AH435">
        <v>51.9</v>
      </c>
      <c r="AI435">
        <v>243.62</v>
      </c>
      <c r="AJ435">
        <v>11.36</v>
      </c>
      <c r="AK435">
        <v>4.76</v>
      </c>
      <c r="AL435">
        <v>60.63</v>
      </c>
      <c r="AM435">
        <v>74.16</v>
      </c>
      <c r="AN435">
        <v>1.63</v>
      </c>
      <c r="AO435" s="1">
        <f t="shared" si="20"/>
        <v>720.48</v>
      </c>
    </row>
    <row r="436" spans="1:41" x14ac:dyDescent="0.25">
      <c r="A436" t="s">
        <v>479</v>
      </c>
      <c r="B436" s="2">
        <v>2786.7654836872398</v>
      </c>
      <c r="C436" s="2">
        <v>2012.1594236875401</v>
      </c>
      <c r="D436" s="2">
        <v>0</v>
      </c>
      <c r="E436" s="2">
        <v>178.85483024703001</v>
      </c>
      <c r="F436" s="2">
        <v>2806.1738403281402</v>
      </c>
      <c r="G436" s="2">
        <v>211.600781705461</v>
      </c>
      <c r="H436" s="2">
        <v>3834.9829444574698</v>
      </c>
      <c r="I436" s="2">
        <v>1557.4201632716899</v>
      </c>
      <c r="J436" s="2">
        <v>3204.17399394821</v>
      </c>
      <c r="K436" s="2">
        <v>10844.911213417001</v>
      </c>
      <c r="L436" s="2">
        <v>3430.8978773246099</v>
      </c>
      <c r="M436" s="2">
        <v>4706.9723457222299</v>
      </c>
      <c r="N436" s="3">
        <f t="shared" si="18"/>
        <v>35574.912897796625</v>
      </c>
      <c r="O436" s="2">
        <v>3.5978175251693099</v>
      </c>
      <c r="P436" s="2">
        <v>2.9673532148742301</v>
      </c>
      <c r="Q436" s="2">
        <v>0.36237559866461799</v>
      </c>
      <c r="R436" s="2">
        <v>2.7187858914804499</v>
      </c>
      <c r="S436" s="2">
        <v>0.60396182376412999</v>
      </c>
      <c r="T436" s="2">
        <v>5.7311384553195603</v>
      </c>
      <c r="U436" s="2">
        <v>1.6132063217747099</v>
      </c>
      <c r="V436" s="2">
        <v>0.12291434603161799</v>
      </c>
      <c r="W436" s="2">
        <v>3.1542654721697998</v>
      </c>
      <c r="X436" s="2">
        <v>2.7574882380466899</v>
      </c>
      <c r="Y436" s="2">
        <v>15.8476336212728</v>
      </c>
      <c r="Z436" s="2">
        <v>1.49350130605079</v>
      </c>
      <c r="AA436" s="3">
        <f t="shared" si="19"/>
        <v>40.970441814618702</v>
      </c>
      <c r="AB436" t="s">
        <v>63</v>
      </c>
      <c r="AC436">
        <v>56.1</v>
      </c>
      <c r="AD436">
        <v>40.53</v>
      </c>
      <c r="AE436">
        <v>0.09</v>
      </c>
      <c r="AF436">
        <v>3.85</v>
      </c>
      <c r="AG436">
        <v>56.23</v>
      </c>
      <c r="AH436">
        <v>4.78</v>
      </c>
      <c r="AI436">
        <v>76.88</v>
      </c>
      <c r="AJ436">
        <v>31.25</v>
      </c>
      <c r="AK436">
        <v>64.459999999999994</v>
      </c>
      <c r="AL436">
        <v>217.17</v>
      </c>
      <c r="AM436">
        <v>70.06</v>
      </c>
      <c r="AN436">
        <v>94.32</v>
      </c>
      <c r="AO436" s="1">
        <f t="shared" si="20"/>
        <v>715.7199999999998</v>
      </c>
    </row>
    <row r="437" spans="1:41" x14ac:dyDescent="0.25">
      <c r="A437" t="s">
        <v>480</v>
      </c>
      <c r="B437" s="2">
        <v>2784.0573073106002</v>
      </c>
      <c r="C437" s="2">
        <v>2534.45570000208</v>
      </c>
      <c r="D437" s="2">
        <v>832.83008891299698</v>
      </c>
      <c r="E437" s="2">
        <v>4874.9388718857999</v>
      </c>
      <c r="F437" s="2">
        <v>1034.86365140558</v>
      </c>
      <c r="G437" s="2">
        <v>3489.9704534264501</v>
      </c>
      <c r="H437" s="2">
        <v>3306.1766591075998</v>
      </c>
      <c r="I437" s="2">
        <v>1151.74962703698</v>
      </c>
      <c r="J437" s="2">
        <v>6061.4133619190397</v>
      </c>
      <c r="K437" s="2">
        <v>3564.2806023205299</v>
      </c>
      <c r="L437" s="2">
        <v>4678.4283778687804</v>
      </c>
      <c r="M437" s="2">
        <v>2537.58271410002</v>
      </c>
      <c r="N437" s="3">
        <f t="shared" si="18"/>
        <v>36850.747415296457</v>
      </c>
      <c r="O437" s="2">
        <v>1.6662614049804001</v>
      </c>
      <c r="P437" s="2">
        <v>1.78700212841275</v>
      </c>
      <c r="Q437" s="2">
        <v>2.4019274623676199</v>
      </c>
      <c r="R437" s="2">
        <v>2.1320747856861999</v>
      </c>
      <c r="S437" s="2">
        <v>11.5702566187506</v>
      </c>
      <c r="T437" s="2">
        <v>3.4130448416328099</v>
      </c>
      <c r="U437" s="2">
        <v>5.6392139430458403</v>
      </c>
      <c r="V437" s="2">
        <v>3.2274499548236899</v>
      </c>
      <c r="W437" s="2">
        <v>4.5895463727090897</v>
      </c>
      <c r="X437" s="2">
        <v>0</v>
      </c>
      <c r="Y437" s="2">
        <v>11.1253790807302</v>
      </c>
      <c r="Z437" s="2">
        <v>3.9896013712009899</v>
      </c>
      <c r="AA437" s="3">
        <f t="shared" si="19"/>
        <v>51.541757964340185</v>
      </c>
      <c r="AB437" t="s">
        <v>45</v>
      </c>
      <c r="AC437">
        <v>37.94</v>
      </c>
      <c r="AD437">
        <v>35.44</v>
      </c>
      <c r="AE437">
        <v>18.47</v>
      </c>
      <c r="AF437">
        <v>58.89</v>
      </c>
      <c r="AG437">
        <v>20.94</v>
      </c>
      <c r="AH437">
        <v>45.09</v>
      </c>
      <c r="AI437">
        <v>43.36</v>
      </c>
      <c r="AJ437">
        <v>21.71</v>
      </c>
      <c r="AK437">
        <v>70.86</v>
      </c>
      <c r="AL437">
        <v>45.64</v>
      </c>
      <c r="AM437">
        <v>57.38</v>
      </c>
      <c r="AN437">
        <v>35.57</v>
      </c>
      <c r="AO437" s="1">
        <f t="shared" si="20"/>
        <v>491.28999999999996</v>
      </c>
    </row>
    <row r="438" spans="1:41" x14ac:dyDescent="0.25">
      <c r="A438" t="s">
        <v>481</v>
      </c>
      <c r="B438" s="2">
        <v>2783.5264101275998</v>
      </c>
      <c r="C438" s="2">
        <v>4149.0439827850796</v>
      </c>
      <c r="D438" s="2">
        <v>1807.21854198913</v>
      </c>
      <c r="E438" s="2">
        <v>8900.2779044006093</v>
      </c>
      <c r="F438" s="2">
        <v>2171.41773302192</v>
      </c>
      <c r="G438" s="2">
        <v>1985.0052082740699</v>
      </c>
      <c r="H438" s="2">
        <v>0</v>
      </c>
      <c r="I438" s="2">
        <v>779.01094447763501</v>
      </c>
      <c r="J438" s="2">
        <v>6816.8328231811802</v>
      </c>
      <c r="K438" s="2">
        <v>1039.5797473206601</v>
      </c>
      <c r="L438" s="2">
        <v>1976.0451977543801</v>
      </c>
      <c r="M438" s="2">
        <v>3299.4373124338499</v>
      </c>
      <c r="N438" s="3">
        <f t="shared" si="18"/>
        <v>35707.395805766115</v>
      </c>
      <c r="O438" s="2">
        <v>0.16980958602572899</v>
      </c>
      <c r="P438" s="2">
        <v>1.0629645893500901</v>
      </c>
      <c r="Q438" s="2">
        <v>8.8647815066400604</v>
      </c>
      <c r="R438" s="2">
        <v>4.8538072668260401</v>
      </c>
      <c r="S438" s="2">
        <v>11.110561805362799</v>
      </c>
      <c r="T438" s="2">
        <v>26.329860665812099</v>
      </c>
      <c r="U438" s="2">
        <v>2.8335838860464801</v>
      </c>
      <c r="V438" s="2">
        <v>1.51343735531757</v>
      </c>
      <c r="W438" s="2">
        <v>7.4914798226181496</v>
      </c>
      <c r="X438" s="2">
        <v>24.749389868556001</v>
      </c>
      <c r="Y438" s="2">
        <v>4.8177505037671802</v>
      </c>
      <c r="Z438" s="2">
        <v>7.9156682072292099</v>
      </c>
      <c r="AA438" s="3">
        <f t="shared" si="19"/>
        <v>101.71309506355144</v>
      </c>
      <c r="AB438" t="s">
        <v>63</v>
      </c>
      <c r="AC438">
        <v>55.77</v>
      </c>
      <c r="AD438">
        <v>83.18</v>
      </c>
      <c r="AE438">
        <v>36.97</v>
      </c>
      <c r="AF438">
        <v>178.47</v>
      </c>
      <c r="AG438">
        <v>44.52</v>
      </c>
      <c r="AH438">
        <v>42.15</v>
      </c>
      <c r="AI438">
        <v>0.27</v>
      </c>
      <c r="AJ438">
        <v>15.78</v>
      </c>
      <c r="AK438">
        <v>137.06</v>
      </c>
      <c r="AL438">
        <v>23.05</v>
      </c>
      <c r="AM438">
        <v>39.99</v>
      </c>
      <c r="AN438">
        <v>66.72</v>
      </c>
      <c r="AO438" s="1">
        <f t="shared" si="20"/>
        <v>723.92999999999984</v>
      </c>
    </row>
    <row r="439" spans="1:41" x14ac:dyDescent="0.25">
      <c r="A439" t="s">
        <v>482</v>
      </c>
      <c r="B439" s="2">
        <v>2767.8672156672901</v>
      </c>
      <c r="C439" s="2">
        <v>7346.8206731077998</v>
      </c>
      <c r="D439" s="2">
        <v>4653.3043921594599</v>
      </c>
      <c r="E439" s="2">
        <v>1342.55383012879</v>
      </c>
      <c r="F439" s="2">
        <v>6523.9975636781601</v>
      </c>
      <c r="G439" s="2">
        <v>6880.8380072229302</v>
      </c>
      <c r="H439" s="2">
        <v>5177.2755756535398</v>
      </c>
      <c r="I439" s="2">
        <v>2172.66828451637</v>
      </c>
      <c r="J439" s="2">
        <v>6011.1527050906998</v>
      </c>
      <c r="K439" s="2">
        <v>3019.1202815955598</v>
      </c>
      <c r="L439" s="2">
        <v>5165.9456100793304</v>
      </c>
      <c r="M439" s="2">
        <v>7373.1681745201704</v>
      </c>
      <c r="N439" s="3">
        <f t="shared" si="18"/>
        <v>58434.712313420103</v>
      </c>
      <c r="O439" s="2">
        <v>5.3362426554888396</v>
      </c>
      <c r="P439" s="2">
        <v>8.3823778999074499</v>
      </c>
      <c r="Q439" s="2">
        <v>0.36587244411541597</v>
      </c>
      <c r="R439" s="2">
        <v>0.164517439469094</v>
      </c>
      <c r="S439" s="2">
        <v>8.5175444984440691</v>
      </c>
      <c r="T439" s="2">
        <v>0.49327100019917702</v>
      </c>
      <c r="U439" s="2">
        <v>1.1839868670712701</v>
      </c>
      <c r="V439" s="2">
        <v>3.8711723561791098</v>
      </c>
      <c r="W439" s="2">
        <v>2.5272788445557501</v>
      </c>
      <c r="X439" s="2">
        <v>0</v>
      </c>
      <c r="Y439" s="2">
        <v>2.0798218778178201</v>
      </c>
      <c r="Z439" s="2">
        <v>0</v>
      </c>
      <c r="AA439" s="3">
        <f t="shared" si="19"/>
        <v>32.922085883247988</v>
      </c>
      <c r="AB439" t="s">
        <v>45</v>
      </c>
      <c r="AC439">
        <v>37.97</v>
      </c>
      <c r="AD439">
        <v>83.91</v>
      </c>
      <c r="AE439">
        <v>56.58</v>
      </c>
      <c r="AF439">
        <v>23.47</v>
      </c>
      <c r="AG439">
        <v>75.680000000000007</v>
      </c>
      <c r="AH439">
        <v>78.849999999999994</v>
      </c>
      <c r="AI439">
        <v>61.87</v>
      </c>
      <c r="AJ439">
        <v>31.92</v>
      </c>
      <c r="AK439">
        <v>70.260000000000005</v>
      </c>
      <c r="AL439">
        <v>40.19</v>
      </c>
      <c r="AM439">
        <v>61.8</v>
      </c>
      <c r="AN439">
        <v>83.73</v>
      </c>
      <c r="AO439" s="1">
        <f t="shared" si="20"/>
        <v>706.23</v>
      </c>
    </row>
    <row r="440" spans="1:41" x14ac:dyDescent="0.25">
      <c r="A440" t="s">
        <v>483</v>
      </c>
      <c r="B440" s="2">
        <v>2764.7999953917601</v>
      </c>
      <c r="C440" s="2">
        <v>2304.5529204732202</v>
      </c>
      <c r="D440" s="2">
        <v>2821.3584934773598</v>
      </c>
      <c r="E440" s="2">
        <v>4226.9988267509598</v>
      </c>
      <c r="F440" s="2">
        <v>12950.9259641671</v>
      </c>
      <c r="G440" s="2">
        <v>1415.69625014337</v>
      </c>
      <c r="H440" s="2">
        <v>242.684289279106</v>
      </c>
      <c r="I440" s="2">
        <v>0</v>
      </c>
      <c r="J440" s="2">
        <v>3612.5793413357701</v>
      </c>
      <c r="K440" s="2">
        <v>2839.83184171736</v>
      </c>
      <c r="L440" s="2">
        <v>0</v>
      </c>
      <c r="M440" s="2">
        <v>1806.66022295376</v>
      </c>
      <c r="N440" s="3">
        <f t="shared" si="18"/>
        <v>34986.08814568977</v>
      </c>
      <c r="O440" s="2">
        <v>3.6625459945566798</v>
      </c>
      <c r="P440" s="2">
        <v>4.1902543078327099</v>
      </c>
      <c r="Q440" s="2">
        <v>1.3595090095762801</v>
      </c>
      <c r="R440" s="2">
        <v>1.53247601885216</v>
      </c>
      <c r="S440" s="2">
        <v>0.60034724464164002</v>
      </c>
      <c r="T440" s="2">
        <v>5.2138408192193699</v>
      </c>
      <c r="U440" s="2">
        <v>3.8976057057708</v>
      </c>
      <c r="V440" s="2">
        <v>4.6678545917046801</v>
      </c>
      <c r="W440" s="2">
        <v>2.06572475776241</v>
      </c>
      <c r="X440" s="2">
        <v>1.64880611738459</v>
      </c>
      <c r="Y440" s="2">
        <v>3.1747689028491002</v>
      </c>
      <c r="Z440" s="2">
        <v>0</v>
      </c>
      <c r="AA440" s="3">
        <f t="shared" si="19"/>
        <v>32.01373347015042</v>
      </c>
      <c r="AB440" t="s">
        <v>63</v>
      </c>
      <c r="AC440">
        <v>55.66</v>
      </c>
      <c r="AD440">
        <v>46.55</v>
      </c>
      <c r="AE440">
        <v>56.62</v>
      </c>
      <c r="AF440">
        <v>84.72</v>
      </c>
      <c r="AG440">
        <v>259.11</v>
      </c>
      <c r="AH440">
        <v>28.86</v>
      </c>
      <c r="AI440">
        <v>5.22</v>
      </c>
      <c r="AJ440">
        <v>0.45</v>
      </c>
      <c r="AK440">
        <v>72.53</v>
      </c>
      <c r="AL440">
        <v>56.98</v>
      </c>
      <c r="AM440">
        <v>0.36</v>
      </c>
      <c r="AN440">
        <v>36.14</v>
      </c>
      <c r="AO440" s="1">
        <f t="shared" si="20"/>
        <v>703.2</v>
      </c>
    </row>
    <row r="441" spans="1:41" x14ac:dyDescent="0.25">
      <c r="A441" t="s">
        <v>484</v>
      </c>
      <c r="B441" s="2">
        <v>2762.8968046216601</v>
      </c>
      <c r="C441" s="2">
        <v>2286.7852680772298</v>
      </c>
      <c r="D441" s="2">
        <v>7662.4283826472001</v>
      </c>
      <c r="E441" s="2">
        <v>103.183232656181</v>
      </c>
      <c r="F441" s="2">
        <v>3793.3784953460799</v>
      </c>
      <c r="G441" s="2">
        <v>3887.6421823798401</v>
      </c>
      <c r="H441" s="2">
        <v>4698.7999856306797</v>
      </c>
      <c r="I441" s="2">
        <v>3197.7687395605199</v>
      </c>
      <c r="J441" s="2">
        <v>2429.1010556309998</v>
      </c>
      <c r="K441" s="2">
        <v>680.880436173568</v>
      </c>
      <c r="L441" s="2">
        <v>9435.8933854845109</v>
      </c>
      <c r="M441" s="2">
        <v>2442.8074807633102</v>
      </c>
      <c r="N441" s="3">
        <f t="shared" si="18"/>
        <v>43381.565448971785</v>
      </c>
      <c r="O441" s="2">
        <v>4.5421735283988598</v>
      </c>
      <c r="P441" s="2">
        <v>1.26346150504199</v>
      </c>
      <c r="Q441" s="2">
        <v>2.3988115961832999</v>
      </c>
      <c r="R441" s="2">
        <v>0</v>
      </c>
      <c r="S441" s="2">
        <v>2.0321787841018901</v>
      </c>
      <c r="T441" s="2">
        <v>5.57033396690891</v>
      </c>
      <c r="U441" s="2">
        <v>0.76241401474118997</v>
      </c>
      <c r="V441" s="2">
        <v>7.0419306149329701</v>
      </c>
      <c r="W441" s="2">
        <v>2.6648042604469699</v>
      </c>
      <c r="X441" s="2">
        <v>5.1543124897493797</v>
      </c>
      <c r="Y441" s="2">
        <v>12.557924507478299</v>
      </c>
      <c r="Z441" s="2">
        <v>1.90980710487955</v>
      </c>
      <c r="AA441" s="3">
        <f t="shared" si="19"/>
        <v>45.898152372863308</v>
      </c>
      <c r="AB441" t="s">
        <v>45</v>
      </c>
      <c r="AC441">
        <v>37.869999999999997</v>
      </c>
      <c r="AD441">
        <v>32.96</v>
      </c>
      <c r="AE441">
        <v>86.77</v>
      </c>
      <c r="AF441">
        <v>11.03</v>
      </c>
      <c r="AG441">
        <v>48.08</v>
      </c>
      <c r="AH441">
        <v>49.17</v>
      </c>
      <c r="AI441">
        <v>57.03</v>
      </c>
      <c r="AJ441">
        <v>42.37</v>
      </c>
      <c r="AK441">
        <v>34.44</v>
      </c>
      <c r="AL441">
        <v>17.100000000000001</v>
      </c>
      <c r="AM441">
        <v>105</v>
      </c>
      <c r="AN441">
        <v>34.520000000000003</v>
      </c>
      <c r="AO441" s="1">
        <f t="shared" si="20"/>
        <v>556.33999999999992</v>
      </c>
    </row>
    <row r="442" spans="1:41" x14ac:dyDescent="0.25">
      <c r="A442" t="s">
        <v>485</v>
      </c>
      <c r="B442" s="2">
        <v>2756.7619458128202</v>
      </c>
      <c r="C442" s="2">
        <v>6634.86891238321</v>
      </c>
      <c r="D442" s="2">
        <v>6109.6114032228097</v>
      </c>
      <c r="E442" s="2">
        <v>3365.9955525547398</v>
      </c>
      <c r="F442" s="2">
        <v>5876.9982501232698</v>
      </c>
      <c r="G442" s="2">
        <v>900.45935608509399</v>
      </c>
      <c r="H442" s="2">
        <v>3048.9834607447701</v>
      </c>
      <c r="I442" s="2">
        <v>2270.9611980607501</v>
      </c>
      <c r="J442" s="2">
        <v>2810.6639661208401</v>
      </c>
      <c r="K442" s="2">
        <v>1410.1017763924899</v>
      </c>
      <c r="L442" s="2">
        <v>210.60906677290501</v>
      </c>
      <c r="M442" s="2">
        <v>1745.52028356596</v>
      </c>
      <c r="N442" s="3">
        <f t="shared" si="18"/>
        <v>37141.535171839663</v>
      </c>
      <c r="O442" s="2">
        <v>1.9807550130954099</v>
      </c>
      <c r="P442" s="2">
        <v>1.6000973455472001</v>
      </c>
      <c r="Q442" s="2">
        <v>0.5469667339423</v>
      </c>
      <c r="R442" s="2">
        <v>15.50794461758</v>
      </c>
      <c r="S442" s="2">
        <v>4.1059089302174098E-2</v>
      </c>
      <c r="T442" s="2">
        <v>0</v>
      </c>
      <c r="U442" s="2">
        <v>2.2654691517158398</v>
      </c>
      <c r="V442" s="2">
        <v>3.2386696775738302</v>
      </c>
      <c r="W442" s="2">
        <v>0.15994980087633501</v>
      </c>
      <c r="X442" s="2">
        <v>9.0858995175728303</v>
      </c>
      <c r="Y442" s="2">
        <v>13.392509192801</v>
      </c>
      <c r="Z442" s="2">
        <v>1.4984240281257</v>
      </c>
      <c r="AA442" s="3">
        <f t="shared" si="19"/>
        <v>49.31774416813262</v>
      </c>
      <c r="AB442" t="s">
        <v>45</v>
      </c>
      <c r="AC442">
        <v>37.659999999999997</v>
      </c>
      <c r="AD442">
        <v>76.44</v>
      </c>
      <c r="AE442">
        <v>71.14</v>
      </c>
      <c r="AF442">
        <v>44.45</v>
      </c>
      <c r="AG442">
        <v>68.81</v>
      </c>
      <c r="AH442">
        <v>19</v>
      </c>
      <c r="AI442">
        <v>40.630000000000003</v>
      </c>
      <c r="AJ442">
        <v>32.9</v>
      </c>
      <c r="AK442">
        <v>38.15</v>
      </c>
      <c r="AL442">
        <v>24.6</v>
      </c>
      <c r="AM442">
        <v>12.8</v>
      </c>
      <c r="AN442">
        <v>27.55</v>
      </c>
      <c r="AO442" s="1">
        <f t="shared" si="20"/>
        <v>494.13</v>
      </c>
    </row>
    <row r="443" spans="1:41" x14ac:dyDescent="0.25">
      <c r="A443" t="s">
        <v>486</v>
      </c>
      <c r="B443" s="2">
        <v>2739.6992986530599</v>
      </c>
      <c r="C443" s="2">
        <v>2192.1493517448798</v>
      </c>
      <c r="D443" s="2">
        <v>2655.62825210869</v>
      </c>
      <c r="E443" s="2">
        <v>2513.7618728654302</v>
      </c>
      <c r="F443" s="2">
        <v>1606.18262962156</v>
      </c>
      <c r="G443" s="2">
        <v>9312.9039409527795</v>
      </c>
      <c r="H443" s="2">
        <v>5004.7162113597897</v>
      </c>
      <c r="I443" s="2">
        <v>4260.0226452831303</v>
      </c>
      <c r="J443" s="2">
        <v>11211.491631335</v>
      </c>
      <c r="K443" s="2">
        <v>845.14754110958995</v>
      </c>
      <c r="L443" s="2">
        <v>0</v>
      </c>
      <c r="M443" s="2">
        <v>7177.7861780850699</v>
      </c>
      <c r="N443" s="3">
        <f t="shared" si="18"/>
        <v>49519.489553118983</v>
      </c>
      <c r="O443" s="2">
        <v>6.05631631864114</v>
      </c>
      <c r="P443" s="2">
        <v>3.0620196025330699</v>
      </c>
      <c r="Q443" s="2">
        <v>3.1563500279568002</v>
      </c>
      <c r="R443" s="2">
        <v>0</v>
      </c>
      <c r="S443" s="2">
        <v>1.5259643500782301</v>
      </c>
      <c r="T443" s="2">
        <v>5.0144848970507999E-2</v>
      </c>
      <c r="U443" s="2">
        <v>1.79739735716052</v>
      </c>
      <c r="V443" s="2">
        <v>1.5358371700786599</v>
      </c>
      <c r="W443" s="2">
        <v>3.7877092126220901</v>
      </c>
      <c r="X443" s="2">
        <v>7.8362844350117902</v>
      </c>
      <c r="Y443" s="2">
        <v>6.8097328715499899</v>
      </c>
      <c r="Z443" s="2">
        <v>3.2195853408065198</v>
      </c>
      <c r="AA443" s="3">
        <f t="shared" si="19"/>
        <v>38.837341535409323</v>
      </c>
      <c r="AB443" t="s">
        <v>45</v>
      </c>
      <c r="AC443">
        <v>37.74</v>
      </c>
      <c r="AD443">
        <v>32.119999999999997</v>
      </c>
      <c r="AE443">
        <v>36.75</v>
      </c>
      <c r="AF443">
        <v>35.130000000000003</v>
      </c>
      <c r="AG443">
        <v>26.16</v>
      </c>
      <c r="AH443">
        <v>103.17</v>
      </c>
      <c r="AI443">
        <v>60.14</v>
      </c>
      <c r="AJ443">
        <v>52.7</v>
      </c>
      <c r="AK443">
        <v>122.31</v>
      </c>
      <c r="AL443">
        <v>18.850000000000001</v>
      </c>
      <c r="AM443">
        <v>10.34</v>
      </c>
      <c r="AN443">
        <v>81.97</v>
      </c>
      <c r="AO443" s="1">
        <f t="shared" si="20"/>
        <v>617.38</v>
      </c>
    </row>
    <row r="444" spans="1:41" x14ac:dyDescent="0.25">
      <c r="A444" t="s">
        <v>487</v>
      </c>
      <c r="B444" s="2">
        <v>2732.8689264511299</v>
      </c>
      <c r="C444" s="2">
        <v>9985.1599343713006</v>
      </c>
      <c r="D444" s="2">
        <v>3017.3557656307598</v>
      </c>
      <c r="E444" s="2">
        <v>8059.3865007278901</v>
      </c>
      <c r="F444" s="2">
        <v>8224.3387377586205</v>
      </c>
      <c r="G444" s="2">
        <v>11124.930362806501</v>
      </c>
      <c r="H444" s="2">
        <v>7475.06391826448</v>
      </c>
      <c r="I444" s="2">
        <v>610.96546569891495</v>
      </c>
      <c r="J444" s="2">
        <v>8801.4471534390104</v>
      </c>
      <c r="K444" s="2">
        <v>1351.40687896698</v>
      </c>
      <c r="L444" s="2">
        <v>146.611334059646</v>
      </c>
      <c r="M444" s="2">
        <v>0</v>
      </c>
      <c r="N444" s="3">
        <f t="shared" si="18"/>
        <v>61529.534978175245</v>
      </c>
      <c r="O444" s="2">
        <v>0</v>
      </c>
      <c r="P444" s="2">
        <v>2.0533583133956701</v>
      </c>
      <c r="Q444" s="2">
        <v>3.6706806857365502</v>
      </c>
      <c r="R444" s="2">
        <v>11.7137763517311</v>
      </c>
      <c r="S444" s="2">
        <v>2.9650117507189999</v>
      </c>
      <c r="T444" s="2">
        <v>1.89798808453792</v>
      </c>
      <c r="U444" s="2">
        <v>1.2910779087044899</v>
      </c>
      <c r="V444" s="2">
        <v>1.27559059319336</v>
      </c>
      <c r="W444" s="2">
        <v>18.491535170025799</v>
      </c>
      <c r="X444" s="2">
        <v>14.4129224504217</v>
      </c>
      <c r="Y444" s="2">
        <v>0</v>
      </c>
      <c r="Z444" s="2">
        <v>13.0452249847727</v>
      </c>
      <c r="AA444" s="3">
        <f t="shared" si="19"/>
        <v>70.817166293238301</v>
      </c>
      <c r="AB444" t="s">
        <v>63</v>
      </c>
      <c r="AC444">
        <v>54.66</v>
      </c>
      <c r="AD444">
        <v>199.99</v>
      </c>
      <c r="AE444">
        <v>60.72</v>
      </c>
      <c r="AF444">
        <v>162.28</v>
      </c>
      <c r="AG444">
        <v>164.77</v>
      </c>
      <c r="AH444">
        <v>222.68</v>
      </c>
      <c r="AI444">
        <v>149.69999999999999</v>
      </c>
      <c r="AJ444">
        <v>12.4</v>
      </c>
      <c r="AK444">
        <v>177.75</v>
      </c>
      <c r="AL444">
        <v>28.39</v>
      </c>
      <c r="AM444">
        <v>2.94</v>
      </c>
      <c r="AN444">
        <v>1.26</v>
      </c>
      <c r="AO444" s="1">
        <f t="shared" si="20"/>
        <v>1237.5400000000002</v>
      </c>
    </row>
    <row r="445" spans="1:41" x14ac:dyDescent="0.25">
      <c r="A445" t="s">
        <v>488</v>
      </c>
      <c r="B445" s="2">
        <v>2716.6821889533799</v>
      </c>
      <c r="C445" s="2">
        <v>9871.3820755065699</v>
      </c>
      <c r="D445" s="2">
        <v>913.57417002674094</v>
      </c>
      <c r="E445" s="2">
        <v>2742.3756521794598</v>
      </c>
      <c r="F445" s="2">
        <v>9664.9007889105706</v>
      </c>
      <c r="G445" s="2">
        <v>0</v>
      </c>
      <c r="H445" s="2">
        <v>4277.6342346723004</v>
      </c>
      <c r="I445" s="2">
        <v>1466.21692701189</v>
      </c>
      <c r="J445" s="2">
        <v>1059.85770668232</v>
      </c>
      <c r="K445" s="2">
        <v>4463.6963227573997</v>
      </c>
      <c r="L445" s="2">
        <v>0</v>
      </c>
      <c r="M445" s="2">
        <v>4295.8905319780397</v>
      </c>
      <c r="N445" s="3">
        <f t="shared" si="18"/>
        <v>41472.21059867867</v>
      </c>
      <c r="O445" s="2">
        <v>21.828792220356299</v>
      </c>
      <c r="P445" s="2">
        <v>1.21397317217468</v>
      </c>
      <c r="Q445" s="2">
        <v>1.6423869431728699</v>
      </c>
      <c r="R445" s="2">
        <v>7.04268370630587</v>
      </c>
      <c r="S445" s="2">
        <v>6.3282900814687499</v>
      </c>
      <c r="T445" s="2">
        <v>0</v>
      </c>
      <c r="U445" s="2">
        <v>5.8443608166515197</v>
      </c>
      <c r="V445" s="2">
        <v>1.1021194289635701</v>
      </c>
      <c r="W445" s="2">
        <v>0</v>
      </c>
      <c r="X445" s="2">
        <v>2.8680532665737202</v>
      </c>
      <c r="Y445" s="2">
        <v>3.8678156460067101</v>
      </c>
      <c r="Z445" s="2">
        <v>3.5444019525756398</v>
      </c>
      <c r="AA445" s="3">
        <f t="shared" si="19"/>
        <v>55.282877234249618</v>
      </c>
      <c r="AB445" t="s">
        <v>45</v>
      </c>
      <c r="AC445">
        <v>38.26</v>
      </c>
      <c r="AD445">
        <v>108.81</v>
      </c>
      <c r="AE445">
        <v>19.23</v>
      </c>
      <c r="AF445">
        <v>37.82</v>
      </c>
      <c r="AG445">
        <v>106.99</v>
      </c>
      <c r="AH445">
        <v>9.99</v>
      </c>
      <c r="AI445">
        <v>53.07</v>
      </c>
      <c r="AJ445">
        <v>24.76</v>
      </c>
      <c r="AK445">
        <v>20.59</v>
      </c>
      <c r="AL445">
        <v>54.78</v>
      </c>
      <c r="AM445">
        <v>10.19</v>
      </c>
      <c r="AN445">
        <v>53.15</v>
      </c>
      <c r="AO445" s="1">
        <f t="shared" si="20"/>
        <v>537.64</v>
      </c>
    </row>
    <row r="446" spans="1:41" x14ac:dyDescent="0.25">
      <c r="A446" t="s">
        <v>489</v>
      </c>
      <c r="B446" s="2">
        <v>2715.6704689364001</v>
      </c>
      <c r="C446" s="2">
        <v>2007.8823718579499</v>
      </c>
      <c r="D446" s="2">
        <v>1811.8703177489001</v>
      </c>
      <c r="E446" s="2">
        <v>3502.5547456900399</v>
      </c>
      <c r="F446" s="2">
        <v>679.68749688381297</v>
      </c>
      <c r="G446" s="2">
        <v>10248.8274059756</v>
      </c>
      <c r="H446" s="2">
        <v>1494.7834511261401</v>
      </c>
      <c r="I446" s="2">
        <v>857.55804585784699</v>
      </c>
      <c r="J446" s="2">
        <v>1241.4411887802501</v>
      </c>
      <c r="K446" s="2">
        <v>40.0968549666757</v>
      </c>
      <c r="L446" s="2">
        <v>5168.3263205179001</v>
      </c>
      <c r="M446" s="2">
        <v>0</v>
      </c>
      <c r="N446" s="3">
        <f t="shared" si="18"/>
        <v>29768.698668341516</v>
      </c>
      <c r="O446" s="2">
        <v>9.8058320102141199</v>
      </c>
      <c r="P446" s="2">
        <v>5.0996901393999599</v>
      </c>
      <c r="Q446" s="2">
        <v>3.5724154792602101</v>
      </c>
      <c r="R446" s="2">
        <v>7.1302607367976298</v>
      </c>
      <c r="S446" s="2">
        <v>5.2604400755169296</v>
      </c>
      <c r="T446" s="2">
        <v>2.46390513202368</v>
      </c>
      <c r="U446" s="2">
        <v>2.5752686406916299</v>
      </c>
      <c r="V446" s="2">
        <v>11.556987665938401</v>
      </c>
      <c r="W446" s="2">
        <v>1.58679527102413</v>
      </c>
      <c r="X446" s="2">
        <v>1.7703427519028401</v>
      </c>
      <c r="Y446" s="2">
        <v>2.19132682005388</v>
      </c>
      <c r="Z446" s="2">
        <v>0</v>
      </c>
      <c r="AA446" s="3">
        <f t="shared" si="19"/>
        <v>53.013264722823415</v>
      </c>
      <c r="AB446" t="s">
        <v>63</v>
      </c>
      <c r="AC446">
        <v>55.22</v>
      </c>
      <c r="AD446">
        <v>40.700000000000003</v>
      </c>
      <c r="AE446">
        <v>36.6</v>
      </c>
      <c r="AF446">
        <v>70.78</v>
      </c>
      <c r="AG446">
        <v>14.14</v>
      </c>
      <c r="AH446">
        <v>205.25</v>
      </c>
      <c r="AI446">
        <v>30.17</v>
      </c>
      <c r="AJ446">
        <v>18.239999999999998</v>
      </c>
      <c r="AK446">
        <v>25.02</v>
      </c>
      <c r="AL446">
        <v>1</v>
      </c>
      <c r="AM446">
        <v>103.65</v>
      </c>
      <c r="AN446">
        <v>0</v>
      </c>
      <c r="AO446" s="1">
        <f t="shared" si="20"/>
        <v>600.77</v>
      </c>
    </row>
    <row r="447" spans="1:41" x14ac:dyDescent="0.25">
      <c r="A447" t="s">
        <v>490</v>
      </c>
      <c r="B447" s="2">
        <v>2715.3375061021502</v>
      </c>
      <c r="C447" s="2">
        <v>6640.8493020673905</v>
      </c>
      <c r="D447" s="2">
        <v>0</v>
      </c>
      <c r="E447" s="2">
        <v>2106.1794697057699</v>
      </c>
      <c r="F447" s="2">
        <v>5522.5583823050301</v>
      </c>
      <c r="G447" s="2">
        <v>15010.314405708301</v>
      </c>
      <c r="H447" s="2">
        <v>6792.7639177318397</v>
      </c>
      <c r="I447" s="2">
        <v>7729.9443435155999</v>
      </c>
      <c r="J447" s="2">
        <v>370.06935976718501</v>
      </c>
      <c r="K447" s="2">
        <v>7341.0582114364497</v>
      </c>
      <c r="L447" s="2">
        <v>519.968997384727</v>
      </c>
      <c r="M447" s="2">
        <v>1521.0685904081399</v>
      </c>
      <c r="N447" s="3">
        <f t="shared" si="18"/>
        <v>56270.112486132588</v>
      </c>
      <c r="O447" s="2">
        <v>2.5722554116698499</v>
      </c>
      <c r="P447" s="2">
        <v>0</v>
      </c>
      <c r="Q447" s="2">
        <v>15.4523273075222</v>
      </c>
      <c r="R447" s="2">
        <v>3.6709666443802398</v>
      </c>
      <c r="S447" s="2">
        <v>2.7942295042890999</v>
      </c>
      <c r="T447" s="2">
        <v>1.1240114033983899</v>
      </c>
      <c r="U447" s="2">
        <v>3.6495074346033398</v>
      </c>
      <c r="V447" s="2">
        <v>4.69915540337783</v>
      </c>
      <c r="W447" s="2">
        <v>0</v>
      </c>
      <c r="X447" s="2">
        <v>1.94272369815694</v>
      </c>
      <c r="Y447" s="2">
        <v>8.4555852961693496</v>
      </c>
      <c r="Z447" s="2">
        <v>0</v>
      </c>
      <c r="AA447" s="3">
        <f t="shared" si="19"/>
        <v>44.360762103567239</v>
      </c>
      <c r="AB447" t="s">
        <v>45</v>
      </c>
      <c r="AC447">
        <v>37.299999999999997</v>
      </c>
      <c r="AD447">
        <v>76.400000000000006</v>
      </c>
      <c r="AE447">
        <v>10.79</v>
      </c>
      <c r="AF447">
        <v>31.26</v>
      </c>
      <c r="AG447">
        <v>65.37</v>
      </c>
      <c r="AH447">
        <v>160.19999999999999</v>
      </c>
      <c r="AI447">
        <v>78.12</v>
      </c>
      <c r="AJ447">
        <v>87.54</v>
      </c>
      <c r="AK447">
        <v>13.7</v>
      </c>
      <c r="AL447">
        <v>83.51</v>
      </c>
      <c r="AM447">
        <v>15.64</v>
      </c>
      <c r="AN447">
        <v>25.21</v>
      </c>
      <c r="AO447" s="1">
        <f t="shared" si="20"/>
        <v>685.04000000000008</v>
      </c>
    </row>
    <row r="448" spans="1:41" x14ac:dyDescent="0.25">
      <c r="A448" t="s">
        <v>491</v>
      </c>
      <c r="B448" s="2">
        <v>2714.2820639032202</v>
      </c>
      <c r="C448" s="2">
        <v>3523.34412274128</v>
      </c>
      <c r="D448" s="2">
        <v>10834.030419214499</v>
      </c>
      <c r="E448" s="2">
        <v>3637.4264026445398</v>
      </c>
      <c r="F448" s="2">
        <v>11634.742967005001</v>
      </c>
      <c r="G448" s="2">
        <v>0</v>
      </c>
      <c r="H448" s="2">
        <v>7155.8268848016296</v>
      </c>
      <c r="I448" s="2">
        <v>1849.2081651348699</v>
      </c>
      <c r="J448" s="2">
        <v>5989.4002984655499</v>
      </c>
      <c r="K448" s="2">
        <v>6504.5465334775599</v>
      </c>
      <c r="L448" s="2">
        <v>1716.41494433157</v>
      </c>
      <c r="M448" s="2">
        <v>1904.54532975913</v>
      </c>
      <c r="N448" s="3">
        <f t="shared" si="18"/>
        <v>57463.76813147885</v>
      </c>
      <c r="O448" s="2">
        <v>5.7680933471313303</v>
      </c>
      <c r="P448" s="2">
        <v>2.5522484480987702</v>
      </c>
      <c r="Q448" s="2">
        <v>12.0263043404398</v>
      </c>
      <c r="R448" s="2">
        <v>0.49088402898251798</v>
      </c>
      <c r="S448" s="2">
        <v>2.1235093785202799</v>
      </c>
      <c r="T448" s="2">
        <v>11.296588246356</v>
      </c>
      <c r="U448" s="2">
        <v>9.51660976716669</v>
      </c>
      <c r="V448" s="2">
        <v>2.0347120032183001</v>
      </c>
      <c r="W448" s="2">
        <v>0.29407671390913598</v>
      </c>
      <c r="X448" s="2">
        <v>3.5194841981652298</v>
      </c>
      <c r="Y448" s="2">
        <v>2.187216479415</v>
      </c>
      <c r="Z448" s="2">
        <v>12.9363502802405</v>
      </c>
      <c r="AA448" s="3">
        <f t="shared" si="19"/>
        <v>64.746077231643554</v>
      </c>
      <c r="AB448" t="s">
        <v>63</v>
      </c>
      <c r="AC448">
        <v>54.84</v>
      </c>
      <c r="AD448">
        <v>70.75</v>
      </c>
      <c r="AE448">
        <v>217.87</v>
      </c>
      <c r="AF448">
        <v>72.849999999999994</v>
      </c>
      <c r="AG448">
        <v>232.97</v>
      </c>
      <c r="AH448">
        <v>1.08</v>
      </c>
      <c r="AI448">
        <v>144.02000000000001</v>
      </c>
      <c r="AJ448">
        <v>37.270000000000003</v>
      </c>
      <c r="AK448">
        <v>119.89</v>
      </c>
      <c r="AL448">
        <v>130.46</v>
      </c>
      <c r="AM448">
        <v>34.61</v>
      </c>
      <c r="AN448">
        <v>39.270000000000003</v>
      </c>
      <c r="AO448" s="1">
        <f t="shared" si="20"/>
        <v>1155.8799999999999</v>
      </c>
    </row>
    <row r="449" spans="1:41" x14ac:dyDescent="0.25">
      <c r="A449" t="s">
        <v>492</v>
      </c>
      <c r="B449" s="2">
        <v>2683.5314775454399</v>
      </c>
      <c r="C449" s="2">
        <v>9419.1868340709098</v>
      </c>
      <c r="D449" s="2">
        <v>1550.16120757105</v>
      </c>
      <c r="E449" s="2">
        <v>8066.4641162100397</v>
      </c>
      <c r="F449" s="2">
        <v>1222.7017250977599</v>
      </c>
      <c r="G449" s="2">
        <v>7526.2023235819997</v>
      </c>
      <c r="H449" s="2">
        <v>3513.6545672151401</v>
      </c>
      <c r="I449" s="2">
        <v>421.594404094477</v>
      </c>
      <c r="J449" s="2">
        <v>2939.9702470491002</v>
      </c>
      <c r="K449" s="2">
        <v>1746.20300945134</v>
      </c>
      <c r="L449" s="2">
        <v>519.43324881960996</v>
      </c>
      <c r="M449" s="2">
        <v>448.77215385108002</v>
      </c>
      <c r="N449" s="3">
        <f t="shared" si="18"/>
        <v>40057.875314557947</v>
      </c>
      <c r="O449" s="2">
        <v>2.5260634639779802</v>
      </c>
      <c r="P449" s="2">
        <v>3.1529439369603001</v>
      </c>
      <c r="Q449" s="2">
        <v>9.1244664597398799</v>
      </c>
      <c r="R449" s="2">
        <v>6.6908583842119302</v>
      </c>
      <c r="S449" s="2">
        <v>9.8543990240203296</v>
      </c>
      <c r="T449" s="2">
        <v>1.2764883125214199</v>
      </c>
      <c r="U449" s="2">
        <v>0.95425237143201702</v>
      </c>
      <c r="V449" s="2">
        <v>3.8207232889811999</v>
      </c>
      <c r="W449" s="2">
        <v>2.0006129386204399</v>
      </c>
      <c r="X449" s="2">
        <v>0</v>
      </c>
      <c r="Y449" s="2">
        <v>3.0465353363188199</v>
      </c>
      <c r="Z449" s="2">
        <v>1.4256697621218299</v>
      </c>
      <c r="AA449" s="3">
        <f t="shared" si="19"/>
        <v>43.87301327890615</v>
      </c>
      <c r="AB449" t="s">
        <v>45</v>
      </c>
      <c r="AC449">
        <v>36.979999999999997</v>
      </c>
      <c r="AD449">
        <v>104.39</v>
      </c>
      <c r="AE449">
        <v>26</v>
      </c>
      <c r="AF449">
        <v>91.01</v>
      </c>
      <c r="AG449">
        <v>22.72</v>
      </c>
      <c r="AH449">
        <v>85.36</v>
      </c>
      <c r="AI449">
        <v>45.18</v>
      </c>
      <c r="AJ449">
        <v>14.41</v>
      </c>
      <c r="AK449">
        <v>39.54</v>
      </c>
      <c r="AL449">
        <v>27.46</v>
      </c>
      <c r="AM449">
        <v>15.39</v>
      </c>
      <c r="AN449">
        <v>14.58</v>
      </c>
      <c r="AO449" s="1">
        <f t="shared" si="20"/>
        <v>523.0200000000001</v>
      </c>
    </row>
    <row r="450" spans="1:41" x14ac:dyDescent="0.25">
      <c r="A450" t="s">
        <v>493</v>
      </c>
      <c r="B450" s="2">
        <v>2681.8932252816398</v>
      </c>
      <c r="C450" s="2">
        <v>3470.2149932944399</v>
      </c>
      <c r="D450" s="2">
        <v>2017.1932539317199</v>
      </c>
      <c r="E450" s="2">
        <v>7508.0361897051498</v>
      </c>
      <c r="F450" s="2">
        <v>13397.0570255943</v>
      </c>
      <c r="G450" s="2">
        <v>1347.47561798263</v>
      </c>
      <c r="H450" s="2">
        <v>0</v>
      </c>
      <c r="I450" s="2">
        <v>6420.8430523604802</v>
      </c>
      <c r="J450" s="2">
        <v>849.34519934308196</v>
      </c>
      <c r="K450" s="2">
        <v>1626.1413336883199</v>
      </c>
      <c r="L450" s="2">
        <v>2213.0361521907798</v>
      </c>
      <c r="M450" s="2">
        <v>9643.6601312723396</v>
      </c>
      <c r="N450" s="3">
        <f t="shared" si="18"/>
        <v>51174.896174644877</v>
      </c>
      <c r="O450" s="2">
        <v>3.6340537935726198</v>
      </c>
      <c r="P450" s="2">
        <v>1.54322352634426</v>
      </c>
      <c r="Q450" s="2">
        <v>0.91833293880009503</v>
      </c>
      <c r="R450" s="2">
        <v>3.2366599353691798</v>
      </c>
      <c r="S450" s="2">
        <v>9.1120415897510405</v>
      </c>
      <c r="T450" s="2">
        <v>2.4772078051373301</v>
      </c>
      <c r="U450" s="2">
        <v>10.186456392048401</v>
      </c>
      <c r="V450" s="2">
        <v>6.7760226826212797</v>
      </c>
      <c r="W450" s="2">
        <v>14.820016654978501</v>
      </c>
      <c r="X450" s="2">
        <v>7.6784243168811104</v>
      </c>
      <c r="Y450" s="2">
        <v>0</v>
      </c>
      <c r="Z450" s="2">
        <v>0</v>
      </c>
      <c r="AA450" s="3">
        <f t="shared" si="19"/>
        <v>60.382439635503822</v>
      </c>
      <c r="AB450" t="s">
        <v>45</v>
      </c>
      <c r="AC450">
        <v>37.01</v>
      </c>
      <c r="AD450">
        <v>44.8</v>
      </c>
      <c r="AE450">
        <v>30.22</v>
      </c>
      <c r="AF450">
        <v>85.28</v>
      </c>
      <c r="AG450">
        <v>144.47</v>
      </c>
      <c r="AH450">
        <v>23.62</v>
      </c>
      <c r="AI450">
        <v>10.54</v>
      </c>
      <c r="AJ450">
        <v>74.55</v>
      </c>
      <c r="AK450">
        <v>19.239999999999998</v>
      </c>
      <c r="AL450">
        <v>26.66</v>
      </c>
      <c r="AM450">
        <v>32.130000000000003</v>
      </c>
      <c r="AN450">
        <v>106.43</v>
      </c>
      <c r="AO450" s="1">
        <f t="shared" si="20"/>
        <v>634.95000000000005</v>
      </c>
    </row>
    <row r="451" spans="1:41" x14ac:dyDescent="0.25">
      <c r="A451" t="s">
        <v>494</v>
      </c>
      <c r="B451" s="2">
        <v>2671.60470038113</v>
      </c>
      <c r="C451" s="2">
        <v>0</v>
      </c>
      <c r="D451" s="2">
        <v>759.91607321403103</v>
      </c>
      <c r="E451" s="2">
        <v>1017.5564546588899</v>
      </c>
      <c r="F451" s="2">
        <v>1094.9806723507199</v>
      </c>
      <c r="G451" s="2">
        <v>9405.5001807423796</v>
      </c>
      <c r="H451" s="2">
        <v>8221.3863732361006</v>
      </c>
      <c r="I451" s="2">
        <v>15045.4846452739</v>
      </c>
      <c r="J451" s="2">
        <v>2068.8172131996698</v>
      </c>
      <c r="K451" s="2">
        <v>5346.8637495500598</v>
      </c>
      <c r="L451" s="2">
        <v>2249.20110056667</v>
      </c>
      <c r="M451" s="2">
        <v>2128.7195021221</v>
      </c>
      <c r="N451" s="3">
        <f t="shared" ref="N451:N514" si="21">SUM(B451:M451)</f>
        <v>50010.03066529565</v>
      </c>
      <c r="O451" s="2">
        <v>14.691192006096299</v>
      </c>
      <c r="P451" s="2">
        <v>0</v>
      </c>
      <c r="Q451" s="2">
        <v>2.0222615593558402</v>
      </c>
      <c r="R451" s="2">
        <v>1.8091076167442699</v>
      </c>
      <c r="S451" s="2">
        <v>11.694487467176501</v>
      </c>
      <c r="T451" s="2">
        <v>1.4111859659191801</v>
      </c>
      <c r="U451" s="2">
        <v>9.21802892978139</v>
      </c>
      <c r="V451" s="2">
        <v>9.0545612338743506</v>
      </c>
      <c r="W451" s="2">
        <v>0.25510784580259499</v>
      </c>
      <c r="X451" s="2">
        <v>1.8730632058935199</v>
      </c>
      <c r="Y451" s="2">
        <v>3.9834585878635802</v>
      </c>
      <c r="Z451" s="2">
        <v>2.3115911369762698</v>
      </c>
      <c r="AA451" s="3">
        <f t="shared" si="19"/>
        <v>58.324045555483806</v>
      </c>
      <c r="AB451" t="s">
        <v>45</v>
      </c>
      <c r="AC451">
        <v>37.46</v>
      </c>
      <c r="AD451">
        <v>9.99</v>
      </c>
      <c r="AE451">
        <v>17.739999999999998</v>
      </c>
      <c r="AF451">
        <v>20.27</v>
      </c>
      <c r="AG451">
        <v>21.54</v>
      </c>
      <c r="AH451">
        <v>104.15</v>
      </c>
      <c r="AI451">
        <v>92.71</v>
      </c>
      <c r="AJ451">
        <v>160.94999999999999</v>
      </c>
      <c r="AK451">
        <v>30.73</v>
      </c>
      <c r="AL451">
        <v>63.56</v>
      </c>
      <c r="AM451">
        <v>32.69</v>
      </c>
      <c r="AN451">
        <v>31.43</v>
      </c>
      <c r="AO451" s="1">
        <f t="shared" si="20"/>
        <v>623.21999999999991</v>
      </c>
    </row>
    <row r="452" spans="1:41" x14ac:dyDescent="0.25">
      <c r="A452" t="s">
        <v>495</v>
      </c>
      <c r="B452" s="2">
        <v>2664.1806155333602</v>
      </c>
      <c r="C452" s="2">
        <v>2752.2062641764401</v>
      </c>
      <c r="D452" s="2">
        <v>0</v>
      </c>
      <c r="E452" s="2">
        <v>2726.00921847892</v>
      </c>
      <c r="F452" s="2">
        <v>0</v>
      </c>
      <c r="G452" s="2">
        <v>465.76263564728902</v>
      </c>
      <c r="H452" s="2">
        <v>21057.2058019545</v>
      </c>
      <c r="I452" s="2">
        <v>1361.75655091666</v>
      </c>
      <c r="J452" s="2">
        <v>625.95040740593595</v>
      </c>
      <c r="K452" s="2">
        <v>3673.5727358284198</v>
      </c>
      <c r="L452" s="2">
        <v>6845.4142211645703</v>
      </c>
      <c r="M452" s="2">
        <v>0</v>
      </c>
      <c r="N452" s="3">
        <f t="shared" si="21"/>
        <v>42172.058451106102</v>
      </c>
      <c r="O452" s="2">
        <v>0.93381234367688604</v>
      </c>
      <c r="P452" s="2">
        <v>2.1473421814261799</v>
      </c>
      <c r="Q452" s="2">
        <v>2.3192007684598299</v>
      </c>
      <c r="R452" s="2">
        <v>29.1862013732745</v>
      </c>
      <c r="S452" s="2">
        <v>2.4211923694727999</v>
      </c>
      <c r="T452" s="2">
        <v>10.0677147062346</v>
      </c>
      <c r="U452" s="2">
        <v>5.2852479323594599</v>
      </c>
      <c r="V452" s="2">
        <v>2.58793391777531</v>
      </c>
      <c r="W452" s="2">
        <v>1.6942189990690799</v>
      </c>
      <c r="X452" s="2">
        <v>6.3602708796638803</v>
      </c>
      <c r="Y452" s="2">
        <v>10.175949090316699</v>
      </c>
      <c r="Z452" s="2">
        <v>1.3432462630074899</v>
      </c>
      <c r="AA452" s="3">
        <f t="shared" ref="AA452:AA515" si="22">SUM(O452:Z452)</f>
        <v>74.522330824736713</v>
      </c>
      <c r="AB452" t="s">
        <v>45</v>
      </c>
      <c r="AC452">
        <v>36.69</v>
      </c>
      <c r="AD452">
        <v>37.67</v>
      </c>
      <c r="AE452">
        <v>10.14</v>
      </c>
      <c r="AF452">
        <v>38.76</v>
      </c>
      <c r="AG452">
        <v>10.14</v>
      </c>
      <c r="AH452">
        <v>15.2</v>
      </c>
      <c r="AI452">
        <v>220.87</v>
      </c>
      <c r="AJ452">
        <v>23.76</v>
      </c>
      <c r="AK452">
        <v>16.350000000000001</v>
      </c>
      <c r="AL452">
        <v>47.08</v>
      </c>
      <c r="AM452">
        <v>79</v>
      </c>
      <c r="AN452">
        <v>10.09</v>
      </c>
      <c r="AO452" s="1">
        <f t="shared" si="20"/>
        <v>545.75</v>
      </c>
    </row>
    <row r="453" spans="1:41" x14ac:dyDescent="0.25">
      <c r="A453" t="s">
        <v>496</v>
      </c>
      <c r="B453" s="2">
        <v>2657.0657973409602</v>
      </c>
      <c r="C453" s="2">
        <v>2472.7962055589301</v>
      </c>
      <c r="D453" s="2">
        <v>2118.8720230625399</v>
      </c>
      <c r="E453" s="2">
        <v>2475.5882562800798</v>
      </c>
      <c r="F453" s="2">
        <v>10243.9469995576</v>
      </c>
      <c r="G453" s="2">
        <v>2313.5773998950399</v>
      </c>
      <c r="H453" s="2">
        <v>675.73399775471705</v>
      </c>
      <c r="I453" s="2">
        <v>4338.73785794572</v>
      </c>
      <c r="J453" s="2">
        <v>2108.5911793905302</v>
      </c>
      <c r="K453" s="2">
        <v>6068.3343208926899</v>
      </c>
      <c r="L453" s="2">
        <v>0</v>
      </c>
      <c r="M453" s="2">
        <v>1456.6769284940401</v>
      </c>
      <c r="N453" s="3">
        <f t="shared" si="21"/>
        <v>36929.920966172846</v>
      </c>
      <c r="O453" s="2">
        <v>13.542683869861699</v>
      </c>
      <c r="P453" s="2">
        <v>2.02749718650966</v>
      </c>
      <c r="Q453" s="2">
        <v>2.7657299509712701</v>
      </c>
      <c r="R453" s="2">
        <v>3.5659693864956101</v>
      </c>
      <c r="S453" s="2">
        <v>1.4444526178502499</v>
      </c>
      <c r="T453" s="2">
        <v>1.04597812464074</v>
      </c>
      <c r="U453" s="2">
        <v>6.2296029987255697E-2</v>
      </c>
      <c r="V453" s="2">
        <v>5.6513521367588497</v>
      </c>
      <c r="W453" s="2">
        <v>2.1466572271678901</v>
      </c>
      <c r="X453" s="2">
        <v>2.0223789169503101</v>
      </c>
      <c r="Y453" s="2">
        <v>8.4012463983701995</v>
      </c>
      <c r="Z453" s="2">
        <v>5.0627195292329903</v>
      </c>
      <c r="AA453" s="3">
        <f t="shared" si="22"/>
        <v>47.738961374796723</v>
      </c>
      <c r="AB453" t="s">
        <v>45</v>
      </c>
      <c r="AC453">
        <v>37.270000000000003</v>
      </c>
      <c r="AD453">
        <v>34.869999999999997</v>
      </c>
      <c r="AE453">
        <v>31.33</v>
      </c>
      <c r="AF453">
        <v>34.950000000000003</v>
      </c>
      <c r="AG453">
        <v>112.53</v>
      </c>
      <c r="AH453">
        <v>33.229999999999997</v>
      </c>
      <c r="AI453">
        <v>16.8</v>
      </c>
      <c r="AJ453">
        <v>53.68</v>
      </c>
      <c r="AK453">
        <v>31.23</v>
      </c>
      <c r="AL453">
        <v>70.83</v>
      </c>
      <c r="AM453">
        <v>10.44</v>
      </c>
      <c r="AN453">
        <v>24.86</v>
      </c>
      <c r="AO453" s="1">
        <f t="shared" ref="AO453:AO516" si="23">SUM(AC453:AN453)</f>
        <v>492.02000000000004</v>
      </c>
    </row>
    <row r="454" spans="1:41" x14ac:dyDescent="0.25">
      <c r="A454" t="s">
        <v>497</v>
      </c>
      <c r="B454" s="2">
        <v>2656.2202296416499</v>
      </c>
      <c r="C454" s="2">
        <v>5020.8481662131098</v>
      </c>
      <c r="D454" s="2">
        <v>6952.2303503711</v>
      </c>
      <c r="E454" s="2">
        <v>781.94881113973202</v>
      </c>
      <c r="F454" s="2">
        <v>4023.1227886648699</v>
      </c>
      <c r="G454" s="2">
        <v>9598.2695734581393</v>
      </c>
      <c r="H454" s="2">
        <v>3072.4203109366699</v>
      </c>
      <c r="I454" s="2">
        <v>139.461171901005</v>
      </c>
      <c r="J454" s="2">
        <v>969.76748970440894</v>
      </c>
      <c r="K454" s="2">
        <v>360.16690505424702</v>
      </c>
      <c r="L454" s="2">
        <v>0</v>
      </c>
      <c r="M454" s="2">
        <v>3086.9402573873899</v>
      </c>
      <c r="N454" s="3">
        <f t="shared" si="21"/>
        <v>36661.396054472323</v>
      </c>
      <c r="O454" s="2">
        <v>3.09840661132107</v>
      </c>
      <c r="P454" s="2">
        <v>6.7882289476368598</v>
      </c>
      <c r="Q454" s="2">
        <v>0</v>
      </c>
      <c r="R454" s="2">
        <v>8.8734912947390097</v>
      </c>
      <c r="S454" s="2">
        <v>2.1278797721677698</v>
      </c>
      <c r="T454" s="2">
        <v>7.2540714897223699</v>
      </c>
      <c r="U454" s="2">
        <v>2.40855167368096</v>
      </c>
      <c r="V454" s="2">
        <v>2.80422426625795</v>
      </c>
      <c r="W454" s="2">
        <v>1.98175052623379</v>
      </c>
      <c r="X454" s="2">
        <v>5.19305786061277</v>
      </c>
      <c r="Y454" s="2">
        <v>1.6325829019520099</v>
      </c>
      <c r="Z454" s="2">
        <v>0.47030252737971801</v>
      </c>
      <c r="AA454" s="3">
        <f t="shared" si="22"/>
        <v>42.632547871704276</v>
      </c>
      <c r="AB454" t="s">
        <v>45</v>
      </c>
      <c r="AC454">
        <v>36.76</v>
      </c>
      <c r="AD454">
        <v>60.55</v>
      </c>
      <c r="AE454">
        <v>79.52</v>
      </c>
      <c r="AF454">
        <v>18.260000000000002</v>
      </c>
      <c r="AG454">
        <v>50.38</v>
      </c>
      <c r="AH454">
        <v>106.38</v>
      </c>
      <c r="AI454">
        <v>40.869999999999997</v>
      </c>
      <c r="AJ454">
        <v>11.54</v>
      </c>
      <c r="AK454">
        <v>19.79</v>
      </c>
      <c r="AL454">
        <v>13.9</v>
      </c>
      <c r="AM454">
        <v>10.09</v>
      </c>
      <c r="AN454">
        <v>40.909999999999997</v>
      </c>
      <c r="AO454" s="1">
        <f t="shared" si="23"/>
        <v>488.94999999999993</v>
      </c>
    </row>
    <row r="455" spans="1:41" x14ac:dyDescent="0.25">
      <c r="A455" t="s">
        <v>498</v>
      </c>
      <c r="B455" s="2">
        <v>2652.1865319429799</v>
      </c>
      <c r="C455" s="2">
        <v>914.95750633225498</v>
      </c>
      <c r="D455" s="2">
        <v>2571.8957954341699</v>
      </c>
      <c r="E455" s="2">
        <v>1358.4845041134599</v>
      </c>
      <c r="F455" s="2">
        <v>9178.4840273669197</v>
      </c>
      <c r="G455" s="2">
        <v>0</v>
      </c>
      <c r="H455" s="2">
        <v>3968.1708755105901</v>
      </c>
      <c r="I455" s="2">
        <v>7054.7007652595503</v>
      </c>
      <c r="J455" s="2">
        <v>12032.921965166999</v>
      </c>
      <c r="K455" s="2">
        <v>1307.08110881162</v>
      </c>
      <c r="L455" s="2">
        <v>3677.7701533494001</v>
      </c>
      <c r="M455" s="2">
        <v>0</v>
      </c>
      <c r="N455" s="3">
        <f t="shared" si="21"/>
        <v>44716.653233287943</v>
      </c>
      <c r="O455" s="2">
        <v>11.3454093130348</v>
      </c>
      <c r="P455" s="2">
        <v>0</v>
      </c>
      <c r="Q455" s="2">
        <v>1.62106050525312</v>
      </c>
      <c r="R455" s="2">
        <v>6.7626306766882598</v>
      </c>
      <c r="S455" s="2">
        <v>4.0784852095051098</v>
      </c>
      <c r="T455" s="2">
        <v>8.7969383034174093</v>
      </c>
      <c r="U455" s="2">
        <v>1.6404097537024001</v>
      </c>
      <c r="V455" s="2">
        <v>7.4393290305509696</v>
      </c>
      <c r="W455" s="2">
        <v>1.1330785941678601</v>
      </c>
      <c r="X455" s="2">
        <v>6.83914565826583E-2</v>
      </c>
      <c r="Y455" s="2">
        <v>0</v>
      </c>
      <c r="Z455" s="2">
        <v>6.1644132037191302</v>
      </c>
      <c r="AA455" s="3">
        <f t="shared" si="22"/>
        <v>49.050146046621727</v>
      </c>
      <c r="AB455" t="s">
        <v>45</v>
      </c>
      <c r="AC455">
        <v>37.119999999999997</v>
      </c>
      <c r="AD455">
        <v>19.14</v>
      </c>
      <c r="AE455">
        <v>35.81</v>
      </c>
      <c r="AF455">
        <v>23.93</v>
      </c>
      <c r="AG455">
        <v>102.03</v>
      </c>
      <c r="AH455">
        <v>10.44</v>
      </c>
      <c r="AI455">
        <v>49.78</v>
      </c>
      <c r="AJ455">
        <v>80.94</v>
      </c>
      <c r="AK455">
        <v>130.41999999999999</v>
      </c>
      <c r="AL455">
        <v>23.12</v>
      </c>
      <c r="AM455">
        <v>46.77</v>
      </c>
      <c r="AN455">
        <v>10.34</v>
      </c>
      <c r="AO455" s="1">
        <f t="shared" si="23"/>
        <v>569.84</v>
      </c>
    </row>
    <row r="456" spans="1:41" x14ac:dyDescent="0.25">
      <c r="A456" t="s">
        <v>499</v>
      </c>
      <c r="B456" s="2">
        <v>2649.2181265337299</v>
      </c>
      <c r="C456" s="2">
        <v>0</v>
      </c>
      <c r="D456" s="2">
        <v>3140.36813393497</v>
      </c>
      <c r="E456" s="2">
        <v>1854.6753820521201</v>
      </c>
      <c r="F456" s="2">
        <v>4098.9891229913201</v>
      </c>
      <c r="G456" s="2">
        <v>4041.60681433942</v>
      </c>
      <c r="H456" s="2">
        <v>4342.7912798770303</v>
      </c>
      <c r="I456" s="2">
        <v>1866.41139531607</v>
      </c>
      <c r="J456" s="2">
        <v>5936.4228959338798</v>
      </c>
      <c r="K456" s="2">
        <v>3433.7884708680299</v>
      </c>
      <c r="L456" s="2">
        <v>2424.0948835732302</v>
      </c>
      <c r="M456" s="2">
        <v>15101.2151582892</v>
      </c>
      <c r="N456" s="3">
        <f t="shared" si="21"/>
        <v>48889.581663709003</v>
      </c>
      <c r="O456" s="2">
        <v>8.3431450486188705</v>
      </c>
      <c r="P456" s="2">
        <v>0</v>
      </c>
      <c r="Q456" s="2">
        <v>0</v>
      </c>
      <c r="R456" s="2">
        <v>3.6721276390503399</v>
      </c>
      <c r="S456" s="2">
        <v>1.8555075096616001</v>
      </c>
      <c r="T456" s="2">
        <v>8.5342409891705806</v>
      </c>
      <c r="U456" s="2">
        <v>8.4525907471550692</v>
      </c>
      <c r="V456" s="2">
        <v>0.66077371757145698</v>
      </c>
      <c r="W456" s="2">
        <v>2.0353986216737301</v>
      </c>
      <c r="X456" s="2">
        <v>4.1934299656362901</v>
      </c>
      <c r="Y456" s="2">
        <v>3.5174677872813702</v>
      </c>
      <c r="Z456" s="2">
        <v>2.0310895097113599</v>
      </c>
      <c r="AA456" s="3">
        <f t="shared" si="22"/>
        <v>43.295771535530662</v>
      </c>
      <c r="AB456" t="s">
        <v>45</v>
      </c>
      <c r="AC456">
        <v>36.94</v>
      </c>
      <c r="AD456">
        <v>9.99</v>
      </c>
      <c r="AE456">
        <v>41.4</v>
      </c>
      <c r="AF456">
        <v>28.74</v>
      </c>
      <c r="AG456">
        <v>51.08</v>
      </c>
      <c r="AH456">
        <v>50.86</v>
      </c>
      <c r="AI456">
        <v>53.87</v>
      </c>
      <c r="AJ456">
        <v>28.71</v>
      </c>
      <c r="AK456">
        <v>69.510000000000005</v>
      </c>
      <c r="AL456">
        <v>44.58</v>
      </c>
      <c r="AM456">
        <v>34.44</v>
      </c>
      <c r="AN456">
        <v>161.16</v>
      </c>
      <c r="AO456" s="1">
        <f t="shared" si="23"/>
        <v>611.28</v>
      </c>
    </row>
    <row r="457" spans="1:41" x14ac:dyDescent="0.25">
      <c r="A457" t="s">
        <v>500</v>
      </c>
      <c r="B457" s="2">
        <v>2644.0301297556498</v>
      </c>
      <c r="C457" s="2">
        <v>93.547267192621803</v>
      </c>
      <c r="D457" s="2">
        <v>1527.6786215786999</v>
      </c>
      <c r="E457" s="2">
        <v>7626.5798475764204</v>
      </c>
      <c r="F457" s="2">
        <v>5462.8463606281803</v>
      </c>
      <c r="G457" s="2">
        <v>5051.5374398930398</v>
      </c>
      <c r="H457" s="2">
        <v>4477.0473120607303</v>
      </c>
      <c r="I457" s="2">
        <v>1521.66011119413</v>
      </c>
      <c r="J457" s="2">
        <v>3717.0503523696002</v>
      </c>
      <c r="K457" s="2">
        <v>1930.62432936706</v>
      </c>
      <c r="L457" s="2">
        <v>1169.2891900521499</v>
      </c>
      <c r="M457" s="2">
        <v>1107.0187872218501</v>
      </c>
      <c r="N457" s="3">
        <f t="shared" si="21"/>
        <v>36328.909748890139</v>
      </c>
      <c r="O457" s="2">
        <v>0</v>
      </c>
      <c r="P457" s="2">
        <v>2.8002933677279702</v>
      </c>
      <c r="Q457" s="2">
        <v>9.8398306503437496</v>
      </c>
      <c r="R457" s="2">
        <v>4.81486042671541</v>
      </c>
      <c r="S457" s="2">
        <v>4.4755457405315502</v>
      </c>
      <c r="T457" s="2">
        <v>2.9850432128505102</v>
      </c>
      <c r="U457" s="2">
        <v>2.12345000892907</v>
      </c>
      <c r="V457" s="2">
        <v>1.61842719732716</v>
      </c>
      <c r="W457" s="2">
        <v>7.4600957524417897</v>
      </c>
      <c r="X457" s="2">
        <v>3.9996209897059898</v>
      </c>
      <c r="Y457" s="2">
        <v>2.6652945997444002</v>
      </c>
      <c r="Z457" s="2">
        <v>9.8586816054654296</v>
      </c>
      <c r="AA457" s="3">
        <f t="shared" si="22"/>
        <v>52.641143551783024</v>
      </c>
      <c r="AB457" t="s">
        <v>45</v>
      </c>
      <c r="AC457">
        <v>36.44</v>
      </c>
      <c r="AD457">
        <v>11.08</v>
      </c>
      <c r="AE457">
        <v>25.77</v>
      </c>
      <c r="AF457">
        <v>86.51</v>
      </c>
      <c r="AG457">
        <v>64.87</v>
      </c>
      <c r="AH457">
        <v>60.66</v>
      </c>
      <c r="AI457">
        <v>54.92</v>
      </c>
      <c r="AJ457">
        <v>25.31</v>
      </c>
      <c r="AK457">
        <v>47.57</v>
      </c>
      <c r="AL457">
        <v>29.5</v>
      </c>
      <c r="AM457">
        <v>21.84</v>
      </c>
      <c r="AN457">
        <v>21.57</v>
      </c>
      <c r="AO457" s="1">
        <f t="shared" si="23"/>
        <v>486.04</v>
      </c>
    </row>
    <row r="458" spans="1:41" x14ac:dyDescent="0.25">
      <c r="A458" t="s">
        <v>501</v>
      </c>
      <c r="B458" s="2">
        <v>2621.5192560211299</v>
      </c>
      <c r="C458" s="2">
        <v>14257.6377980262</v>
      </c>
      <c r="D458" s="2">
        <v>3574.15049141086</v>
      </c>
      <c r="E458" s="2">
        <v>10804.294989092001</v>
      </c>
      <c r="F458" s="2">
        <v>1657.01826253688</v>
      </c>
      <c r="G458" s="2">
        <v>1866.16831587508</v>
      </c>
      <c r="H458" s="2">
        <v>1695.3016452971301</v>
      </c>
      <c r="I458" s="2">
        <v>5169.5290024165297</v>
      </c>
      <c r="J458" s="2">
        <v>2362.4713681066</v>
      </c>
      <c r="K458" s="2">
        <v>6299.0047767937904</v>
      </c>
      <c r="L458" s="2">
        <v>0</v>
      </c>
      <c r="M458" s="2">
        <v>2234.9482332632401</v>
      </c>
      <c r="N458" s="3">
        <f t="shared" si="21"/>
        <v>52542.044138839447</v>
      </c>
      <c r="O458" s="2">
        <v>0.98158799299878496</v>
      </c>
      <c r="P458" s="2">
        <v>17.569088124052598</v>
      </c>
      <c r="Q458" s="2">
        <v>4.2863323859308897</v>
      </c>
      <c r="R458" s="2">
        <v>1.59992710304416</v>
      </c>
      <c r="S458" s="2">
        <v>0.24887079916193899</v>
      </c>
      <c r="T458" s="2">
        <v>0.15214646327856701</v>
      </c>
      <c r="U458" s="2">
        <v>2.24897430767327</v>
      </c>
      <c r="V458" s="2">
        <v>1.5621460231500499</v>
      </c>
      <c r="W458" s="2">
        <v>0.23015089319803</v>
      </c>
      <c r="X458" s="2">
        <v>1.9154041002473102E-2</v>
      </c>
      <c r="Y458" s="2">
        <v>0</v>
      </c>
      <c r="Z458" s="2">
        <v>7.7305923904201101</v>
      </c>
      <c r="AA458" s="3">
        <f t="shared" si="22"/>
        <v>36.628970523910866</v>
      </c>
      <c r="AB458" t="s">
        <v>63</v>
      </c>
      <c r="AC458">
        <v>52.53</v>
      </c>
      <c r="AD458">
        <v>286.77999999999997</v>
      </c>
      <c r="AE458">
        <v>71.95</v>
      </c>
      <c r="AF458">
        <v>216.28</v>
      </c>
      <c r="AG458">
        <v>33.25</v>
      </c>
      <c r="AH458">
        <v>37.43</v>
      </c>
      <c r="AI458">
        <v>34.19</v>
      </c>
      <c r="AJ458">
        <v>103.58</v>
      </c>
      <c r="AK458">
        <v>47.35</v>
      </c>
      <c r="AL458">
        <v>126.09</v>
      </c>
      <c r="AM458">
        <v>0</v>
      </c>
      <c r="AN458">
        <v>45.42</v>
      </c>
      <c r="AO458" s="1">
        <f t="shared" si="23"/>
        <v>1054.8499999999999</v>
      </c>
    </row>
    <row r="459" spans="1:41" x14ac:dyDescent="0.25">
      <c r="A459" t="s">
        <v>502</v>
      </c>
      <c r="B459" s="2">
        <v>2619.3913987236701</v>
      </c>
      <c r="C459" s="2">
        <v>3326.2347721998199</v>
      </c>
      <c r="D459" s="2">
        <v>326.51334316822903</v>
      </c>
      <c r="E459" s="2">
        <v>3716.5955465755601</v>
      </c>
      <c r="F459" s="2">
        <v>4891.0646399145398</v>
      </c>
      <c r="G459" s="2">
        <v>3835.3985314183101</v>
      </c>
      <c r="H459" s="2">
        <v>2030.04821742537</v>
      </c>
      <c r="I459" s="2">
        <v>16810.735696904601</v>
      </c>
      <c r="J459" s="2">
        <v>1061.15895601488</v>
      </c>
      <c r="K459" s="2">
        <v>1151.4435786004201</v>
      </c>
      <c r="L459" s="2">
        <v>6552.2934141666901</v>
      </c>
      <c r="M459" s="2">
        <v>1095.8093610788901</v>
      </c>
      <c r="N459" s="3">
        <f t="shared" si="21"/>
        <v>47416.687456190979</v>
      </c>
      <c r="O459" s="2">
        <v>5.1492585059937799</v>
      </c>
      <c r="P459" s="2">
        <v>4.1694291210353898</v>
      </c>
      <c r="Q459" s="2">
        <v>0</v>
      </c>
      <c r="R459" s="2">
        <v>4.2174598641835601</v>
      </c>
      <c r="S459" s="2">
        <v>1.0604251939088101</v>
      </c>
      <c r="T459" s="2">
        <v>4.7905443369006102</v>
      </c>
      <c r="U459" s="2">
        <v>8.6854111519963695</v>
      </c>
      <c r="V459" s="2">
        <v>14.2466718733961</v>
      </c>
      <c r="W459" s="2">
        <v>1.92635171405437</v>
      </c>
      <c r="X459" s="2">
        <v>2.4644595346639999</v>
      </c>
      <c r="Y459" s="2">
        <v>10.455421559154701</v>
      </c>
      <c r="Z459" s="2">
        <v>3.23890881215535</v>
      </c>
      <c r="AA459" s="3">
        <f t="shared" si="22"/>
        <v>60.404341667443042</v>
      </c>
      <c r="AB459" t="s">
        <v>45</v>
      </c>
      <c r="AC459">
        <v>36.49</v>
      </c>
      <c r="AD459">
        <v>43.51</v>
      </c>
      <c r="AE459">
        <v>13.26</v>
      </c>
      <c r="AF459">
        <v>47.41</v>
      </c>
      <c r="AG459">
        <v>59.01</v>
      </c>
      <c r="AH459">
        <v>48.6</v>
      </c>
      <c r="AI459">
        <v>30.75</v>
      </c>
      <c r="AJ459">
        <v>178.85</v>
      </c>
      <c r="AK459">
        <v>20.71</v>
      </c>
      <c r="AL459">
        <v>21.66</v>
      </c>
      <c r="AM459">
        <v>76.069999999999993</v>
      </c>
      <c r="AN459">
        <v>21.15</v>
      </c>
      <c r="AO459" s="1">
        <f t="shared" si="23"/>
        <v>597.46999999999991</v>
      </c>
    </row>
    <row r="460" spans="1:41" x14ac:dyDescent="0.25">
      <c r="A460" t="s">
        <v>503</v>
      </c>
      <c r="B460" s="2">
        <v>2609.5401880114</v>
      </c>
      <c r="C460" s="2">
        <v>1901.7599612961601</v>
      </c>
      <c r="D460" s="2">
        <v>736.32577974282594</v>
      </c>
      <c r="E460" s="2">
        <v>3036.5818936494702</v>
      </c>
      <c r="F460" s="2">
        <v>3808.7656422049299</v>
      </c>
      <c r="G460" s="2">
        <v>0</v>
      </c>
      <c r="H460" s="2">
        <v>3316.5168686301199</v>
      </c>
      <c r="I460" s="2">
        <v>0</v>
      </c>
      <c r="J460" s="2">
        <v>0</v>
      </c>
      <c r="K460" s="2">
        <v>3552.1192765332398</v>
      </c>
      <c r="L460" s="2">
        <v>443.34634679115601</v>
      </c>
      <c r="M460" s="2">
        <v>1355.0492069254899</v>
      </c>
      <c r="N460" s="3">
        <f t="shared" si="21"/>
        <v>20760.005163784794</v>
      </c>
      <c r="O460" s="2">
        <v>2.0758993351812598</v>
      </c>
      <c r="P460" s="2">
        <v>5.8074591223832499</v>
      </c>
      <c r="Q460" s="2">
        <v>2.0471436453119201</v>
      </c>
      <c r="R460" s="2">
        <v>3.1524412887721698</v>
      </c>
      <c r="S460" s="2">
        <v>0.31737215331076801</v>
      </c>
      <c r="T460" s="2">
        <v>1.8298133604447799</v>
      </c>
      <c r="U460" s="2">
        <v>0.39836954375324601</v>
      </c>
      <c r="V460" s="2">
        <v>3.41074423041385</v>
      </c>
      <c r="W460" s="2">
        <v>5.1946572271023399</v>
      </c>
      <c r="X460" s="2">
        <v>2.5869112914742902</v>
      </c>
      <c r="Y460" s="2">
        <v>3.6425120969067799</v>
      </c>
      <c r="Z460" s="2">
        <v>7.2906843717848497</v>
      </c>
      <c r="AA460" s="3">
        <f t="shared" si="22"/>
        <v>37.754007666839506</v>
      </c>
      <c r="AB460" t="s">
        <v>63</v>
      </c>
      <c r="AC460">
        <v>52.47</v>
      </c>
      <c r="AD460">
        <v>38.58</v>
      </c>
      <c r="AE460">
        <v>15.01</v>
      </c>
      <c r="AF460">
        <v>61.1</v>
      </c>
      <c r="AG460">
        <v>76.27</v>
      </c>
      <c r="AH460">
        <v>0.18</v>
      </c>
      <c r="AI460">
        <v>66.430000000000007</v>
      </c>
      <c r="AJ460">
        <v>0.36</v>
      </c>
      <c r="AK460">
        <v>0.54</v>
      </c>
      <c r="AL460">
        <v>71.33</v>
      </c>
      <c r="AM460">
        <v>9.24</v>
      </c>
      <c r="AN460">
        <v>27.84</v>
      </c>
      <c r="AO460" s="1">
        <f t="shared" si="23"/>
        <v>419.35</v>
      </c>
    </row>
    <row r="461" spans="1:41" x14ac:dyDescent="0.25">
      <c r="A461" t="s">
        <v>504</v>
      </c>
      <c r="B461" s="2">
        <v>2585.72936272676</v>
      </c>
      <c r="C461" s="2">
        <v>2580.6580167185002</v>
      </c>
      <c r="D461" s="2">
        <v>11937.387596767499</v>
      </c>
      <c r="E461" s="2">
        <v>593.65799400442199</v>
      </c>
      <c r="F461" s="2">
        <v>128.21930946283101</v>
      </c>
      <c r="G461" s="2">
        <v>11860.159287300199</v>
      </c>
      <c r="H461" s="2">
        <v>12268.387610362301</v>
      </c>
      <c r="I461" s="2">
        <v>826.16879686133996</v>
      </c>
      <c r="J461" s="2">
        <v>0</v>
      </c>
      <c r="K461" s="2">
        <v>2804.87304578263</v>
      </c>
      <c r="L461" s="2">
        <v>0</v>
      </c>
      <c r="M461" s="2">
        <v>4181.3505303207703</v>
      </c>
      <c r="N461" s="3">
        <f t="shared" si="21"/>
        <v>49766.591550307254</v>
      </c>
      <c r="O461" s="2">
        <v>2.2340471266719701</v>
      </c>
      <c r="P461" s="2">
        <v>4.6865671207412101</v>
      </c>
      <c r="Q461" s="2">
        <v>1.7213287119343299</v>
      </c>
      <c r="R461" s="2">
        <v>3.10536080754563</v>
      </c>
      <c r="S461" s="2">
        <v>3.41632336805392</v>
      </c>
      <c r="T461" s="2">
        <v>0</v>
      </c>
      <c r="U461" s="2">
        <v>3.7493271754102202</v>
      </c>
      <c r="V461" s="2">
        <v>0.210110356099768</v>
      </c>
      <c r="W461" s="2">
        <v>1.1257619493417499</v>
      </c>
      <c r="X461" s="2">
        <v>12.0410634956698</v>
      </c>
      <c r="Y461" s="2">
        <v>14.738680617025</v>
      </c>
      <c r="Z461" s="2">
        <v>6.7544726734163101</v>
      </c>
      <c r="AA461" s="3">
        <f t="shared" si="22"/>
        <v>53.7830434019099</v>
      </c>
      <c r="AB461" t="s">
        <v>45</v>
      </c>
      <c r="AC461">
        <v>36</v>
      </c>
      <c r="AD461">
        <v>36.049999999999997</v>
      </c>
      <c r="AE461">
        <v>129.47</v>
      </c>
      <c r="AF461">
        <v>16.13</v>
      </c>
      <c r="AG461">
        <v>11.48</v>
      </c>
      <c r="AH461">
        <v>128.6</v>
      </c>
      <c r="AI461">
        <v>132.88</v>
      </c>
      <c r="AJ461">
        <v>18.309999999999999</v>
      </c>
      <c r="AK461">
        <v>10.09</v>
      </c>
      <c r="AL461">
        <v>38.69</v>
      </c>
      <c r="AM461">
        <v>10.74</v>
      </c>
      <c r="AN461">
        <v>52.16</v>
      </c>
      <c r="AO461" s="1">
        <f t="shared" si="23"/>
        <v>620.6</v>
      </c>
    </row>
    <row r="462" spans="1:41" x14ac:dyDescent="0.25">
      <c r="A462" t="s">
        <v>505</v>
      </c>
      <c r="B462" s="2">
        <v>2579.7995652605</v>
      </c>
      <c r="C462" s="2">
        <v>2738.7757750798701</v>
      </c>
      <c r="D462" s="2">
        <v>3234.3784770515899</v>
      </c>
      <c r="E462" s="2">
        <v>0</v>
      </c>
      <c r="F462" s="2">
        <v>5023.95891595167</v>
      </c>
      <c r="G462" s="2">
        <v>2493.5051286451699</v>
      </c>
      <c r="H462" s="2">
        <v>5901.9762854782402</v>
      </c>
      <c r="I462" s="2">
        <v>5145.9268838684102</v>
      </c>
      <c r="J462" s="2">
        <v>1839.56319290902</v>
      </c>
      <c r="K462" s="2">
        <v>300.14016246316697</v>
      </c>
      <c r="L462" s="2">
        <v>4477.6381473102501</v>
      </c>
      <c r="M462" s="2">
        <v>14506.9806787535</v>
      </c>
      <c r="N462" s="3">
        <f t="shared" si="21"/>
        <v>48242.643212771385</v>
      </c>
      <c r="O462" s="2">
        <v>1.8149028612451801</v>
      </c>
      <c r="P462" s="2">
        <v>8.0081325768760898</v>
      </c>
      <c r="Q462" s="2">
        <v>0.79629963158976502</v>
      </c>
      <c r="R462" s="2">
        <v>6.8339651341526801</v>
      </c>
      <c r="S462" s="2">
        <v>6.7348168644545696</v>
      </c>
      <c r="T462" s="2">
        <v>5.8465419619425099</v>
      </c>
      <c r="U462" s="2">
        <v>7.8173701133960796</v>
      </c>
      <c r="V462" s="2">
        <v>1.64858132223656</v>
      </c>
      <c r="W462" s="2">
        <v>0</v>
      </c>
      <c r="X462" s="2">
        <v>3.3589401743450198</v>
      </c>
      <c r="Y462" s="2">
        <v>0.60612786506162897</v>
      </c>
      <c r="Z462" s="2">
        <v>4.1332613652466303</v>
      </c>
      <c r="AA462" s="3">
        <f t="shared" si="22"/>
        <v>47.598939870546715</v>
      </c>
      <c r="AB462" t="s">
        <v>45</v>
      </c>
      <c r="AC462">
        <v>35.89</v>
      </c>
      <c r="AD462">
        <v>37.83</v>
      </c>
      <c r="AE462">
        <v>42.39</v>
      </c>
      <c r="AF462">
        <v>10.34</v>
      </c>
      <c r="AG462">
        <v>60.58</v>
      </c>
      <c r="AH462">
        <v>35.229999999999997</v>
      </c>
      <c r="AI462">
        <v>69.41</v>
      </c>
      <c r="AJ462">
        <v>61.55</v>
      </c>
      <c r="AK462">
        <v>28.39</v>
      </c>
      <c r="AL462">
        <v>13.2</v>
      </c>
      <c r="AM462">
        <v>54.82</v>
      </c>
      <c r="AN462">
        <v>155.31</v>
      </c>
      <c r="AO462" s="1">
        <f t="shared" si="23"/>
        <v>604.93999999999994</v>
      </c>
    </row>
    <row r="463" spans="1:41" x14ac:dyDescent="0.25">
      <c r="A463" t="s">
        <v>506</v>
      </c>
      <c r="B463" s="2">
        <v>2576.39893536516</v>
      </c>
      <c r="C463" s="2">
        <v>14059.186523865201</v>
      </c>
      <c r="D463" s="2">
        <v>2112.4918557184701</v>
      </c>
      <c r="E463" s="2">
        <v>6012.90252356163</v>
      </c>
      <c r="F463" s="2">
        <v>5262.9148754181997</v>
      </c>
      <c r="G463" s="2">
        <v>3173.3239843043498</v>
      </c>
      <c r="H463" s="2">
        <v>6008.7761189100202</v>
      </c>
      <c r="I463" s="2">
        <v>1101.2264970261199</v>
      </c>
      <c r="J463" s="2">
        <v>101.207090018854</v>
      </c>
      <c r="K463" s="2">
        <v>2900.19152831672</v>
      </c>
      <c r="L463" s="2">
        <v>10894.6648325515</v>
      </c>
      <c r="M463" s="2">
        <v>2257.5245459479902</v>
      </c>
      <c r="N463" s="3">
        <f t="shared" si="21"/>
        <v>56460.80931100421</v>
      </c>
      <c r="O463" s="2">
        <v>1.9729026396129601</v>
      </c>
      <c r="P463" s="2">
        <v>3.1838474175341198</v>
      </c>
      <c r="Q463" s="2">
        <v>1.7335087633247299</v>
      </c>
      <c r="R463" s="2">
        <v>2.0023133130392301</v>
      </c>
      <c r="S463" s="2">
        <v>15.2331834659803</v>
      </c>
      <c r="T463" s="2">
        <v>1.34091532210338</v>
      </c>
      <c r="U463" s="2">
        <v>7.4697963622644901</v>
      </c>
      <c r="V463" s="2">
        <v>0.81971571106266705</v>
      </c>
      <c r="W463" s="2">
        <v>2.0501261121141399</v>
      </c>
      <c r="X463" s="2">
        <v>0</v>
      </c>
      <c r="Y463" s="2">
        <v>4.8027951915278404</v>
      </c>
      <c r="Z463" s="2">
        <v>3.2804491317346001</v>
      </c>
      <c r="AA463" s="3">
        <f t="shared" si="22"/>
        <v>43.88955343029847</v>
      </c>
      <c r="AB463" t="s">
        <v>63</v>
      </c>
      <c r="AC463">
        <v>51.72</v>
      </c>
      <c r="AD463">
        <v>281.56</v>
      </c>
      <c r="AE463">
        <v>42.44</v>
      </c>
      <c r="AF463">
        <v>120.53</v>
      </c>
      <c r="AG463">
        <v>106.7</v>
      </c>
      <c r="AH463">
        <v>63.66</v>
      </c>
      <c r="AI463">
        <v>120.9</v>
      </c>
      <c r="AJ463">
        <v>22.13</v>
      </c>
      <c r="AK463">
        <v>2.31</v>
      </c>
      <c r="AL463">
        <v>58.02</v>
      </c>
      <c r="AM463">
        <v>218.35</v>
      </c>
      <c r="AN463">
        <v>45.52</v>
      </c>
      <c r="AO463" s="1">
        <f t="shared" si="23"/>
        <v>1133.8399999999999</v>
      </c>
    </row>
    <row r="464" spans="1:41" x14ac:dyDescent="0.25">
      <c r="A464" t="s">
        <v>507</v>
      </c>
      <c r="B464" s="2">
        <v>2571.3019420405199</v>
      </c>
      <c r="C464" s="2">
        <v>3425.38912088403</v>
      </c>
      <c r="D464" s="2">
        <v>67.974859937191894</v>
      </c>
      <c r="E464" s="2">
        <v>2539.5395104733102</v>
      </c>
      <c r="F464" s="2">
        <v>4146.4912720705697</v>
      </c>
      <c r="G464" s="2">
        <v>4349.2434608452404</v>
      </c>
      <c r="H464" s="2">
        <v>1407.6190893375699</v>
      </c>
      <c r="I464" s="2">
        <v>16750.058544117801</v>
      </c>
      <c r="J464" s="2">
        <v>4140.2745288024798</v>
      </c>
      <c r="K464" s="2">
        <v>2530.2283309524901</v>
      </c>
      <c r="L464" s="2">
        <v>1186.1786973753101</v>
      </c>
      <c r="M464" s="2">
        <v>2274.3057626476798</v>
      </c>
      <c r="N464" s="3">
        <f t="shared" si="21"/>
        <v>45388.605119484193</v>
      </c>
      <c r="O464" s="2">
        <v>1.3021839143070399</v>
      </c>
      <c r="P464" s="2">
        <v>13.125889118983</v>
      </c>
      <c r="Q464" s="2">
        <v>1.9423163726946999</v>
      </c>
      <c r="R464" s="2">
        <v>3.1398828734787001</v>
      </c>
      <c r="S464" s="2">
        <v>0.94529314197894998</v>
      </c>
      <c r="T464" s="2">
        <v>0</v>
      </c>
      <c r="U464" s="2">
        <v>2.45465186042148</v>
      </c>
      <c r="V464" s="2">
        <v>25.310829670785498</v>
      </c>
      <c r="W464" s="2">
        <v>0.23996709103932101</v>
      </c>
      <c r="X464" s="2">
        <v>4.4702515072350604</v>
      </c>
      <c r="Y464" s="2">
        <v>0.51112896242357198</v>
      </c>
      <c r="Z464" s="2">
        <v>0</v>
      </c>
      <c r="AA464" s="3">
        <f t="shared" si="22"/>
        <v>53.442394513347324</v>
      </c>
      <c r="AB464" t="s">
        <v>45</v>
      </c>
      <c r="AC464">
        <v>35.81</v>
      </c>
      <c r="AD464">
        <v>44.95</v>
      </c>
      <c r="AE464">
        <v>10.77</v>
      </c>
      <c r="AF464">
        <v>35.590000000000003</v>
      </c>
      <c r="AG464">
        <v>51.51</v>
      </c>
      <c r="AH464">
        <v>53.49</v>
      </c>
      <c r="AI464">
        <v>24.22</v>
      </c>
      <c r="AJ464">
        <v>178.8</v>
      </c>
      <c r="AK464">
        <v>51.45</v>
      </c>
      <c r="AL464">
        <v>35.549999999999997</v>
      </c>
      <c r="AM464">
        <v>21.91</v>
      </c>
      <c r="AN464">
        <v>32.74</v>
      </c>
      <c r="AO464" s="1">
        <f t="shared" si="23"/>
        <v>576.79</v>
      </c>
    </row>
    <row r="465" spans="1:41" x14ac:dyDescent="0.25">
      <c r="A465" t="s">
        <v>508</v>
      </c>
      <c r="B465" s="2">
        <v>2556.6221548794401</v>
      </c>
      <c r="C465" s="2">
        <v>401.23586036165699</v>
      </c>
      <c r="D465" s="2">
        <v>9771.22230097379</v>
      </c>
      <c r="E465" s="2">
        <v>903.48497248628303</v>
      </c>
      <c r="F465" s="2">
        <v>22435.079117387999</v>
      </c>
      <c r="G465" s="2">
        <v>14490.1428341883</v>
      </c>
      <c r="H465" s="2">
        <v>6164.50284478924</v>
      </c>
      <c r="I465" s="2">
        <v>435.09534669364803</v>
      </c>
      <c r="J465" s="2">
        <v>2145.99251134612</v>
      </c>
      <c r="K465" s="2">
        <v>458.56375876433401</v>
      </c>
      <c r="L465" s="2">
        <v>8710.1271908695908</v>
      </c>
      <c r="M465" s="2">
        <v>4686.2536497256497</v>
      </c>
      <c r="N465" s="3">
        <f t="shared" si="21"/>
        <v>73158.322542466049</v>
      </c>
      <c r="O465" s="2">
        <v>2.8394863193068098</v>
      </c>
      <c r="P465" s="2">
        <v>4.3277102228021498</v>
      </c>
      <c r="Q465" s="2">
        <v>0.72431527437935395</v>
      </c>
      <c r="R465" s="2">
        <v>4.0575768845215396</v>
      </c>
      <c r="S465" s="2">
        <v>1.42348988421711</v>
      </c>
      <c r="T465" s="2">
        <v>4.4292903392949299</v>
      </c>
      <c r="U465" s="2">
        <v>4.1728094014814898</v>
      </c>
      <c r="V465" s="2">
        <v>2.1734606102673699</v>
      </c>
      <c r="W465" s="2">
        <v>0</v>
      </c>
      <c r="X465" s="2">
        <v>7.5946831718140198</v>
      </c>
      <c r="Y465" s="2">
        <v>2.7500912681477399</v>
      </c>
      <c r="Z465" s="2">
        <v>1.6697732222264801</v>
      </c>
      <c r="AA465" s="3">
        <f t="shared" si="22"/>
        <v>36.16268659845899</v>
      </c>
      <c r="AB465" t="s">
        <v>45</v>
      </c>
      <c r="AC465">
        <v>35.71</v>
      </c>
      <c r="AD465">
        <v>14.26</v>
      </c>
      <c r="AE465">
        <v>107.76</v>
      </c>
      <c r="AF465">
        <v>19.28</v>
      </c>
      <c r="AG465">
        <v>234.45</v>
      </c>
      <c r="AH465">
        <v>155.15</v>
      </c>
      <c r="AI465">
        <v>71.89</v>
      </c>
      <c r="AJ465">
        <v>14.5</v>
      </c>
      <c r="AK465">
        <v>31.45</v>
      </c>
      <c r="AL465">
        <v>14.98</v>
      </c>
      <c r="AM465">
        <v>97.25</v>
      </c>
      <c r="AN465">
        <v>56.96</v>
      </c>
      <c r="AO465" s="1">
        <f t="shared" si="23"/>
        <v>853.6400000000001</v>
      </c>
    </row>
    <row r="466" spans="1:41" x14ac:dyDescent="0.25">
      <c r="A466" t="s">
        <v>509</v>
      </c>
      <c r="B466" s="2">
        <v>2546.1403839653999</v>
      </c>
      <c r="C466" s="2">
        <v>9058.5757187166291</v>
      </c>
      <c r="D466" s="2">
        <v>1725.9943386694399</v>
      </c>
      <c r="E466" s="2">
        <v>3566.4707449970001</v>
      </c>
      <c r="F466" s="2">
        <v>4248.1793062730503</v>
      </c>
      <c r="G466" s="2">
        <v>3730.0912242163599</v>
      </c>
      <c r="H466" s="2">
        <v>4533.7308258487501</v>
      </c>
      <c r="I466" s="2">
        <v>678.68786324256405</v>
      </c>
      <c r="J466" s="2">
        <v>0</v>
      </c>
      <c r="K466" s="2">
        <v>14286.785793066399</v>
      </c>
      <c r="L466" s="2">
        <v>298.55266813040402</v>
      </c>
      <c r="M466" s="2">
        <v>2038.81767690683</v>
      </c>
      <c r="N466" s="3">
        <f t="shared" si="21"/>
        <v>46712.026544032829</v>
      </c>
      <c r="O466" s="2">
        <v>3.9773586761001698</v>
      </c>
      <c r="P466" s="2">
        <v>3.1210780564055098</v>
      </c>
      <c r="Q466" s="2">
        <v>0.73048957592255603</v>
      </c>
      <c r="R466" s="2">
        <v>10.740169296200699</v>
      </c>
      <c r="S466" s="2">
        <v>1.81258744533907</v>
      </c>
      <c r="T466" s="2">
        <v>2.0995021452728602</v>
      </c>
      <c r="U466" s="2">
        <v>0.86887689410218805</v>
      </c>
      <c r="V466" s="2">
        <v>0.36887012994062202</v>
      </c>
      <c r="W466" s="2">
        <v>0</v>
      </c>
      <c r="X466" s="2">
        <v>5.0068898481818804</v>
      </c>
      <c r="Y466" s="2">
        <v>0</v>
      </c>
      <c r="Z466" s="2">
        <v>5.3709228811566296</v>
      </c>
      <c r="AA466" s="3">
        <f t="shared" si="22"/>
        <v>34.096744948622188</v>
      </c>
      <c r="AB466" t="s">
        <v>45</v>
      </c>
      <c r="AC466">
        <v>35.659999999999997</v>
      </c>
      <c r="AD466">
        <v>100.78</v>
      </c>
      <c r="AE466">
        <v>27.3</v>
      </c>
      <c r="AF466">
        <v>46.21</v>
      </c>
      <c r="AG466">
        <v>52.58</v>
      </c>
      <c r="AH466">
        <v>47.45</v>
      </c>
      <c r="AI466">
        <v>55.38</v>
      </c>
      <c r="AJ466">
        <v>16.829999999999998</v>
      </c>
      <c r="AK466">
        <v>9.99</v>
      </c>
      <c r="AL466">
        <v>153.16</v>
      </c>
      <c r="AM466">
        <v>12.98</v>
      </c>
      <c r="AN466">
        <v>30.68</v>
      </c>
      <c r="AO466" s="1">
        <f t="shared" si="23"/>
        <v>589</v>
      </c>
    </row>
    <row r="467" spans="1:41" x14ac:dyDescent="0.25">
      <c r="A467" t="s">
        <v>510</v>
      </c>
      <c r="B467" s="2">
        <v>2541.70883069089</v>
      </c>
      <c r="C467" s="2">
        <v>4334.6912050917999</v>
      </c>
      <c r="D467" s="2">
        <v>3300.52131117606</v>
      </c>
      <c r="E467" s="2">
        <v>1710.73113803826</v>
      </c>
      <c r="F467" s="2">
        <v>6029.0038033690398</v>
      </c>
      <c r="G467" s="2">
        <v>1104.9977687205801</v>
      </c>
      <c r="H467" s="2">
        <v>0</v>
      </c>
      <c r="I467" s="2">
        <v>8341.2083483109891</v>
      </c>
      <c r="J467" s="2">
        <v>5738.9063709374896</v>
      </c>
      <c r="K467" s="2">
        <v>1732.7037094079201</v>
      </c>
      <c r="L467" s="2">
        <v>0</v>
      </c>
      <c r="M467" s="2">
        <v>4138.0733951476504</v>
      </c>
      <c r="N467" s="3">
        <f t="shared" si="21"/>
        <v>38972.545880890684</v>
      </c>
      <c r="O467" s="2">
        <v>9.1257674915265703</v>
      </c>
      <c r="P467" s="2">
        <v>2.48220056975005</v>
      </c>
      <c r="Q467" s="2">
        <v>0</v>
      </c>
      <c r="R467" s="2">
        <v>8.6299273674315202</v>
      </c>
      <c r="S467" s="2">
        <v>8.9580029760186903</v>
      </c>
      <c r="T467" s="2">
        <v>7.8497787536894803</v>
      </c>
      <c r="U467" s="2">
        <v>0.51032015719160595</v>
      </c>
      <c r="V467" s="2">
        <v>25.464032510333102</v>
      </c>
      <c r="W467" s="2">
        <v>0.80140036969517003</v>
      </c>
      <c r="X467" s="2">
        <v>4.6428571638619403</v>
      </c>
      <c r="Y467" s="2">
        <v>10.6832487875115</v>
      </c>
      <c r="Z467" s="2">
        <v>0</v>
      </c>
      <c r="AA467" s="3">
        <f t="shared" si="22"/>
        <v>79.147536147009646</v>
      </c>
      <c r="AB467" t="s">
        <v>45</v>
      </c>
      <c r="AC467">
        <v>35.909999999999997</v>
      </c>
      <c r="AD467">
        <v>53.49</v>
      </c>
      <c r="AE467">
        <v>43</v>
      </c>
      <c r="AF467">
        <v>27.55</v>
      </c>
      <c r="AG467">
        <v>70.739999999999995</v>
      </c>
      <c r="AH467">
        <v>21.44</v>
      </c>
      <c r="AI467">
        <v>10.039999999999999</v>
      </c>
      <c r="AJ467">
        <v>94.71</v>
      </c>
      <c r="AK467">
        <v>67.430000000000007</v>
      </c>
      <c r="AL467">
        <v>27.57</v>
      </c>
      <c r="AM467">
        <v>10.54</v>
      </c>
      <c r="AN467">
        <v>51.38</v>
      </c>
      <c r="AO467" s="1">
        <f t="shared" si="23"/>
        <v>513.80000000000007</v>
      </c>
    </row>
    <row r="468" spans="1:41" x14ac:dyDescent="0.25">
      <c r="A468" t="s">
        <v>511</v>
      </c>
      <c r="B468" s="2">
        <v>2541.0482853683998</v>
      </c>
      <c r="C468" s="2">
        <v>206.88988807655801</v>
      </c>
      <c r="D468" s="2">
        <v>12938.4654632524</v>
      </c>
      <c r="E468" s="2">
        <v>1096.24510192804</v>
      </c>
      <c r="F468" s="2">
        <v>5167.7538213341104</v>
      </c>
      <c r="G468" s="2">
        <v>5906.8573829936204</v>
      </c>
      <c r="H468" s="2">
        <v>393.429312069133</v>
      </c>
      <c r="I468" s="2">
        <v>4081.37890008144</v>
      </c>
      <c r="J468" s="2">
        <v>6087.0086919774403</v>
      </c>
      <c r="K468" s="2">
        <v>518.62492908046704</v>
      </c>
      <c r="L468" s="2">
        <v>18204.754754789399</v>
      </c>
      <c r="M468" s="2">
        <v>539.06354176908803</v>
      </c>
      <c r="N468" s="3">
        <f t="shared" si="21"/>
        <v>57681.520072720101</v>
      </c>
      <c r="O468" s="2">
        <v>1.1908920473679301</v>
      </c>
      <c r="P468" s="2">
        <v>12.203456453384501</v>
      </c>
      <c r="Q468" s="2">
        <v>4.0115967249459903</v>
      </c>
      <c r="R468" s="2">
        <v>0.76364606888949405</v>
      </c>
      <c r="S468" s="2">
        <v>1.5282179430828799</v>
      </c>
      <c r="T468" s="2">
        <v>3.7760345827934798</v>
      </c>
      <c r="U468" s="2">
        <v>4.1171921727684797</v>
      </c>
      <c r="V468" s="2">
        <v>2.5000184895077799</v>
      </c>
      <c r="W468" s="2">
        <v>12.565591363108201</v>
      </c>
      <c r="X468" s="2">
        <v>0.426910055883853</v>
      </c>
      <c r="Y468" s="2">
        <v>2.8641077362024001</v>
      </c>
      <c r="Z468" s="2">
        <v>9.2518333736059795</v>
      </c>
      <c r="AA468" s="3">
        <f t="shared" si="22"/>
        <v>55.199497011540956</v>
      </c>
      <c r="AB468" t="s">
        <v>45</v>
      </c>
      <c r="AC468">
        <v>35.51</v>
      </c>
      <c r="AD468">
        <v>12.71</v>
      </c>
      <c r="AE468">
        <v>139.63</v>
      </c>
      <c r="AF468">
        <v>21.01</v>
      </c>
      <c r="AG468">
        <v>61.77</v>
      </c>
      <c r="AH468">
        <v>69.260000000000005</v>
      </c>
      <c r="AI468">
        <v>14.18</v>
      </c>
      <c r="AJ468">
        <v>50.96</v>
      </c>
      <c r="AK468">
        <v>71.52</v>
      </c>
      <c r="AL468">
        <v>15.23</v>
      </c>
      <c r="AM468">
        <v>192.19</v>
      </c>
      <c r="AN468">
        <v>15.89</v>
      </c>
      <c r="AO468" s="1">
        <f t="shared" si="23"/>
        <v>699.86</v>
      </c>
    </row>
    <row r="469" spans="1:41" x14ac:dyDescent="0.25">
      <c r="A469" t="s">
        <v>512</v>
      </c>
      <c r="B469" s="2">
        <v>2537.5613664980201</v>
      </c>
      <c r="C469" s="2">
        <v>0</v>
      </c>
      <c r="D469" s="2">
        <v>989.61112030709705</v>
      </c>
      <c r="E469" s="2">
        <v>4797.3529806360302</v>
      </c>
      <c r="F469" s="2">
        <v>1523.5981315033901</v>
      </c>
      <c r="G469" s="2">
        <v>8466.55862085835</v>
      </c>
      <c r="H469" s="2">
        <v>2099.41670518928</v>
      </c>
      <c r="I469" s="2">
        <v>2324.4596827598898</v>
      </c>
      <c r="J469" s="2">
        <v>793.30639824123205</v>
      </c>
      <c r="K469" s="2">
        <v>450.50713945688898</v>
      </c>
      <c r="L469" s="2">
        <v>2714.1520211370498</v>
      </c>
      <c r="M469" s="2">
        <v>4097.0524625754197</v>
      </c>
      <c r="N469" s="3">
        <f t="shared" si="21"/>
        <v>30793.57662916265</v>
      </c>
      <c r="O469" s="2">
        <v>0.63696107031577498</v>
      </c>
      <c r="P469" s="2">
        <v>5.8313500868501</v>
      </c>
      <c r="Q469" s="2">
        <v>2.3769788035962001</v>
      </c>
      <c r="R469" s="2">
        <v>0</v>
      </c>
      <c r="S469" s="2">
        <v>11.321918062858501</v>
      </c>
      <c r="T469" s="2">
        <v>3.4190034768714801</v>
      </c>
      <c r="U469" s="2">
        <v>6.0557519445405603</v>
      </c>
      <c r="V469" s="2">
        <v>0.83777419055998303</v>
      </c>
      <c r="W469" s="2">
        <v>0.70883044620861602</v>
      </c>
      <c r="X469" s="2">
        <v>0</v>
      </c>
      <c r="Y469" s="2">
        <v>2.0928321226721902</v>
      </c>
      <c r="Z469" s="2">
        <v>4.3470104824273896</v>
      </c>
      <c r="AA469" s="3">
        <f t="shared" si="22"/>
        <v>37.628410686900793</v>
      </c>
      <c r="AB469" t="s">
        <v>63</v>
      </c>
      <c r="AC469">
        <v>50.85</v>
      </c>
      <c r="AD469">
        <v>0.54</v>
      </c>
      <c r="AE469">
        <v>20.07</v>
      </c>
      <c r="AF469">
        <v>95.96</v>
      </c>
      <c r="AG469">
        <v>31.56</v>
      </c>
      <c r="AH469">
        <v>169.7</v>
      </c>
      <c r="AI469">
        <v>42.63</v>
      </c>
      <c r="AJ469">
        <v>46.59</v>
      </c>
      <c r="AK469">
        <v>15.97</v>
      </c>
      <c r="AL469">
        <v>9.02</v>
      </c>
      <c r="AM469">
        <v>54.57</v>
      </c>
      <c r="AN469">
        <v>82.41</v>
      </c>
      <c r="AO469" s="1">
        <f t="shared" si="23"/>
        <v>619.87</v>
      </c>
    </row>
    <row r="470" spans="1:41" x14ac:dyDescent="0.25">
      <c r="A470" t="s">
        <v>513</v>
      </c>
      <c r="B470" s="2">
        <v>2535.8240626956799</v>
      </c>
      <c r="C470" s="2">
        <v>1805.32734663509</v>
      </c>
      <c r="D470" s="2">
        <v>1245.0737649094799</v>
      </c>
      <c r="E470" s="2">
        <v>4922.5630605345696</v>
      </c>
      <c r="F470" s="2">
        <v>1429.99232582226</v>
      </c>
      <c r="G470" s="2">
        <v>7033.7232107613199</v>
      </c>
      <c r="H470" s="2">
        <v>2747.34023924849</v>
      </c>
      <c r="I470" s="2">
        <v>1509.6167619439</v>
      </c>
      <c r="J470" s="2">
        <v>296.02267639271298</v>
      </c>
      <c r="K470" s="2">
        <v>851.16359142427996</v>
      </c>
      <c r="L470" s="2">
        <v>8115.84214125175</v>
      </c>
      <c r="M470" s="2">
        <v>5918.4202399378501</v>
      </c>
      <c r="N470" s="3">
        <f t="shared" si="21"/>
        <v>38410.909421557386</v>
      </c>
      <c r="O470" s="2">
        <v>2.4123930943105001</v>
      </c>
      <c r="P470" s="2">
        <v>6.4908996828241303</v>
      </c>
      <c r="Q470" s="2">
        <v>4.3940340025639699</v>
      </c>
      <c r="R470" s="2">
        <v>3.1052353358276599</v>
      </c>
      <c r="S470" s="2">
        <v>2.8850340286637599</v>
      </c>
      <c r="T470" s="2">
        <v>2.1097284578897399</v>
      </c>
      <c r="U470" s="2">
        <v>13.507255853297901</v>
      </c>
      <c r="V470" s="2">
        <v>4.1658817240225403</v>
      </c>
      <c r="W470" s="2">
        <v>11.5674954708317</v>
      </c>
      <c r="X470" s="2">
        <v>1.58924795593846</v>
      </c>
      <c r="Y470" s="2">
        <v>6.6465313213472799</v>
      </c>
      <c r="Z470" s="2">
        <v>6.8669012521613304</v>
      </c>
      <c r="AA470" s="3">
        <f t="shared" si="22"/>
        <v>65.740638179678982</v>
      </c>
      <c r="AB470" t="s">
        <v>45</v>
      </c>
      <c r="AC470">
        <v>35.5</v>
      </c>
      <c r="AD470">
        <v>28.4</v>
      </c>
      <c r="AE470">
        <v>22.7</v>
      </c>
      <c r="AF470">
        <v>59.42</v>
      </c>
      <c r="AG470">
        <v>24.44</v>
      </c>
      <c r="AH470">
        <v>80.48</v>
      </c>
      <c r="AI470">
        <v>38.17</v>
      </c>
      <c r="AJ470">
        <v>25.34</v>
      </c>
      <c r="AK470">
        <v>13.56</v>
      </c>
      <c r="AL470">
        <v>18.61</v>
      </c>
      <c r="AM470">
        <v>91.5</v>
      </c>
      <c r="AN470">
        <v>69.53</v>
      </c>
      <c r="AO470" s="1">
        <f t="shared" si="23"/>
        <v>507.65</v>
      </c>
    </row>
    <row r="471" spans="1:41" x14ac:dyDescent="0.25">
      <c r="A471" t="s">
        <v>514</v>
      </c>
      <c r="B471" s="2">
        <v>2521.6564009183599</v>
      </c>
      <c r="C471" s="2">
        <v>4580.4992076949202</v>
      </c>
      <c r="D471" s="2">
        <v>3431.7444044900099</v>
      </c>
      <c r="E471" s="2">
        <v>1157.74452363708</v>
      </c>
      <c r="F471" s="2">
        <v>2238.8922635607</v>
      </c>
      <c r="G471" s="2">
        <v>3586.4884116604899</v>
      </c>
      <c r="H471" s="2">
        <v>197.18279521987901</v>
      </c>
      <c r="I471" s="2">
        <v>0</v>
      </c>
      <c r="J471" s="2">
        <v>1626.57390014925</v>
      </c>
      <c r="K471" s="2">
        <v>168.824424336357</v>
      </c>
      <c r="L471" s="2">
        <v>10182.4792265704</v>
      </c>
      <c r="M471" s="2">
        <v>2301.1314568297898</v>
      </c>
      <c r="N471" s="3">
        <f t="shared" si="21"/>
        <v>31993.217015067239</v>
      </c>
      <c r="O471" s="2">
        <v>2.6183679010833698</v>
      </c>
      <c r="P471" s="2">
        <v>29.7051047263529</v>
      </c>
      <c r="Q471" s="2">
        <v>4.2892293932815404</v>
      </c>
      <c r="R471" s="2">
        <v>1.1525707918529799</v>
      </c>
      <c r="S471" s="2">
        <v>7.9446308626284399</v>
      </c>
      <c r="T471" s="2">
        <v>0</v>
      </c>
      <c r="U471" s="2">
        <v>0.88742700757786896</v>
      </c>
      <c r="V471" s="2">
        <v>8.7905686548523196E-2</v>
      </c>
      <c r="W471" s="2">
        <v>1.3155318264981299</v>
      </c>
      <c r="X471" s="2">
        <v>4.4686842068135997</v>
      </c>
      <c r="Y471" s="2">
        <v>2.9687621613766302</v>
      </c>
      <c r="Z471" s="2">
        <v>9.2466962901619496</v>
      </c>
      <c r="AA471" s="3">
        <f t="shared" si="22"/>
        <v>64.684910854175939</v>
      </c>
      <c r="AB471" t="s">
        <v>63</v>
      </c>
      <c r="AC471">
        <v>50.71</v>
      </c>
      <c r="AD471">
        <v>94.32</v>
      </c>
      <c r="AE471">
        <v>69.09</v>
      </c>
      <c r="AF471">
        <v>23.34</v>
      </c>
      <c r="AG471">
        <v>45.5</v>
      </c>
      <c r="AH471">
        <v>71.739999999999995</v>
      </c>
      <c r="AI471">
        <v>4.05</v>
      </c>
      <c r="AJ471">
        <v>0.09</v>
      </c>
      <c r="AK471">
        <v>32.72</v>
      </c>
      <c r="AL471">
        <v>3.83</v>
      </c>
      <c r="AM471">
        <v>203.93</v>
      </c>
      <c r="AN471">
        <v>46.94</v>
      </c>
      <c r="AO471" s="1">
        <f t="shared" si="23"/>
        <v>646.26</v>
      </c>
    </row>
    <row r="472" spans="1:41" x14ac:dyDescent="0.25">
      <c r="A472" t="s">
        <v>515</v>
      </c>
      <c r="B472" s="2">
        <v>2520.8365625136498</v>
      </c>
      <c r="C472" s="2">
        <v>2184.6183563453501</v>
      </c>
      <c r="D472" s="2">
        <v>1116.95532784751</v>
      </c>
      <c r="E472" s="2">
        <v>4171.9816073055999</v>
      </c>
      <c r="F472" s="2">
        <v>528.92080924393395</v>
      </c>
      <c r="G472" s="2">
        <v>12455.536020458099</v>
      </c>
      <c r="H472" s="2">
        <v>6037.1974671723801</v>
      </c>
      <c r="I472" s="2">
        <v>1062.5870347657001</v>
      </c>
      <c r="J472" s="2">
        <v>500.56223868529997</v>
      </c>
      <c r="K472" s="2">
        <v>5106.5251458714301</v>
      </c>
      <c r="L472" s="2">
        <v>5422.4176067673598</v>
      </c>
      <c r="M472" s="2">
        <v>11396.697556699801</v>
      </c>
      <c r="N472" s="3">
        <f t="shared" si="21"/>
        <v>52504.835733676111</v>
      </c>
      <c r="O472" s="2">
        <v>3.8603657953922701</v>
      </c>
      <c r="P472" s="2">
        <v>0</v>
      </c>
      <c r="Q472" s="2">
        <v>4.98019156540383</v>
      </c>
      <c r="R472" s="2">
        <v>0.26224626397659401</v>
      </c>
      <c r="S472" s="2">
        <v>1.39116366681115</v>
      </c>
      <c r="T472" s="2">
        <v>4.6436697182951203</v>
      </c>
      <c r="U472" s="2">
        <v>2.3860194948051299</v>
      </c>
      <c r="V472" s="2">
        <v>0</v>
      </c>
      <c r="W472" s="2">
        <v>1.2932063958778199</v>
      </c>
      <c r="X472" s="2">
        <v>0</v>
      </c>
      <c r="Y472" s="2">
        <v>0</v>
      </c>
      <c r="Z472" s="2">
        <v>0</v>
      </c>
      <c r="AA472" s="3">
        <f t="shared" si="22"/>
        <v>18.816862900561919</v>
      </c>
      <c r="AB472" t="s">
        <v>45</v>
      </c>
      <c r="AC472">
        <v>35.4</v>
      </c>
      <c r="AD472">
        <v>31.84</v>
      </c>
      <c r="AE472">
        <v>21.41</v>
      </c>
      <c r="AF472">
        <v>51.76</v>
      </c>
      <c r="AG472">
        <v>15.38</v>
      </c>
      <c r="AH472">
        <v>134.80000000000001</v>
      </c>
      <c r="AI472">
        <v>70.52</v>
      </c>
      <c r="AJ472">
        <v>20.62</v>
      </c>
      <c r="AK472">
        <v>15.1</v>
      </c>
      <c r="AL472">
        <v>61.06</v>
      </c>
      <c r="AM472">
        <v>64.22</v>
      </c>
      <c r="AN472">
        <v>123.96</v>
      </c>
      <c r="AO472" s="1">
        <f t="shared" si="23"/>
        <v>646.07000000000005</v>
      </c>
    </row>
    <row r="473" spans="1:41" x14ac:dyDescent="0.25">
      <c r="A473" t="s">
        <v>516</v>
      </c>
      <c r="B473" s="2">
        <v>2510.70345280931</v>
      </c>
      <c r="C473" s="2">
        <v>7197.3810290458096</v>
      </c>
      <c r="D473" s="2">
        <v>3800.6656481620998</v>
      </c>
      <c r="E473" s="2">
        <v>2393.26310394965</v>
      </c>
      <c r="F473" s="2">
        <v>549.39261467756899</v>
      </c>
      <c r="G473" s="2">
        <v>0</v>
      </c>
      <c r="H473" s="2">
        <v>0</v>
      </c>
      <c r="I473" s="2">
        <v>7999.9510069922899</v>
      </c>
      <c r="J473" s="2">
        <v>1157.8099913562301</v>
      </c>
      <c r="K473" s="2">
        <v>30303.1523107672</v>
      </c>
      <c r="L473" s="2">
        <v>1177.59362206488</v>
      </c>
      <c r="M473" s="2">
        <v>4823.4080517940101</v>
      </c>
      <c r="N473" s="3">
        <f t="shared" si="21"/>
        <v>61913.320831619043</v>
      </c>
      <c r="O473" s="2">
        <v>2.4451879768903102</v>
      </c>
      <c r="P473" s="2">
        <v>7.6755196015722804</v>
      </c>
      <c r="Q473" s="2">
        <v>5.6434626220443</v>
      </c>
      <c r="R473" s="2">
        <v>3.5769447420712499</v>
      </c>
      <c r="S473" s="2">
        <v>4.0761379306280796</v>
      </c>
      <c r="T473" s="2">
        <v>0.59928804360221899</v>
      </c>
      <c r="U473" s="2">
        <v>0.59397462366741705</v>
      </c>
      <c r="V473" s="2">
        <v>2.7455939427096898</v>
      </c>
      <c r="W473" s="2">
        <v>0</v>
      </c>
      <c r="X473" s="2">
        <v>0</v>
      </c>
      <c r="Y473" s="2">
        <v>7.2917151057707796</v>
      </c>
      <c r="Z473" s="2">
        <v>4.7819559665285398</v>
      </c>
      <c r="AA473" s="3">
        <f t="shared" si="22"/>
        <v>39.429780555484868</v>
      </c>
      <c r="AB473" t="s">
        <v>45</v>
      </c>
      <c r="AC473">
        <v>35.25</v>
      </c>
      <c r="AD473">
        <v>82.37</v>
      </c>
      <c r="AE473">
        <v>48.3</v>
      </c>
      <c r="AF473">
        <v>34.130000000000003</v>
      </c>
      <c r="AG473">
        <v>15.74</v>
      </c>
      <c r="AH473">
        <v>10.039999999999999</v>
      </c>
      <c r="AI473">
        <v>10.039999999999999</v>
      </c>
      <c r="AJ473">
        <v>90.14</v>
      </c>
      <c r="AK473">
        <v>21.57</v>
      </c>
      <c r="AL473">
        <v>313.02999999999997</v>
      </c>
      <c r="AM473">
        <v>22.17</v>
      </c>
      <c r="AN473">
        <v>58.48</v>
      </c>
      <c r="AO473" s="1">
        <f t="shared" si="23"/>
        <v>741.25999999999988</v>
      </c>
    </row>
    <row r="474" spans="1:41" x14ac:dyDescent="0.25">
      <c r="A474" t="s">
        <v>517</v>
      </c>
      <c r="B474" s="2">
        <v>2491.1300122662401</v>
      </c>
      <c r="C474" s="2">
        <v>1725.24599950578</v>
      </c>
      <c r="D474" s="2">
        <v>9376.8199707296499</v>
      </c>
      <c r="E474" s="2">
        <v>1119.6170878335899</v>
      </c>
      <c r="F474" s="2">
        <v>1485.78408719391</v>
      </c>
      <c r="G474" s="2">
        <v>5635.0230353276902</v>
      </c>
      <c r="H474" s="2">
        <v>6657.6303158095197</v>
      </c>
      <c r="I474" s="2">
        <v>105.415191301932</v>
      </c>
      <c r="J474" s="2">
        <v>13966.013429714299</v>
      </c>
      <c r="K474" s="2">
        <v>5018.04051669005</v>
      </c>
      <c r="L474" s="2">
        <v>1272.7475700037</v>
      </c>
      <c r="M474" s="2">
        <v>2731.5730918745298</v>
      </c>
      <c r="N474" s="3">
        <f t="shared" si="21"/>
        <v>51585.0403082509</v>
      </c>
      <c r="O474" s="2">
        <v>19.491974032300501</v>
      </c>
      <c r="P474" s="2">
        <v>5.9318137295934497</v>
      </c>
      <c r="Q474" s="2">
        <v>11.031165500423301</v>
      </c>
      <c r="R474" s="2">
        <v>0</v>
      </c>
      <c r="S474" s="2">
        <v>1.91342071727462</v>
      </c>
      <c r="T474" s="2">
        <v>4.5705707135202598</v>
      </c>
      <c r="U474" s="2">
        <v>0</v>
      </c>
      <c r="V474" s="2">
        <v>0.52350032655304402</v>
      </c>
      <c r="W474" s="2">
        <v>5.1337575769187902</v>
      </c>
      <c r="X474" s="2">
        <v>5.0357886560715004</v>
      </c>
      <c r="Y474" s="2">
        <v>2.3289639372831501</v>
      </c>
      <c r="Z474" s="2">
        <v>2.36543822043352</v>
      </c>
      <c r="AA474" s="3">
        <f t="shared" si="22"/>
        <v>58.326393410372134</v>
      </c>
      <c r="AB474" t="s">
        <v>45</v>
      </c>
      <c r="AC474">
        <v>35.909999999999997</v>
      </c>
      <c r="AD474">
        <v>27.55</v>
      </c>
      <c r="AE474">
        <v>104.36</v>
      </c>
      <c r="AF474">
        <v>21.19</v>
      </c>
      <c r="AG474">
        <v>24.95</v>
      </c>
      <c r="AH474">
        <v>66.599999999999994</v>
      </c>
      <c r="AI474">
        <v>76.569999999999993</v>
      </c>
      <c r="AJ474">
        <v>11.1</v>
      </c>
      <c r="AK474">
        <v>149.96</v>
      </c>
      <c r="AL474">
        <v>60.48</v>
      </c>
      <c r="AM474">
        <v>22.87</v>
      </c>
      <c r="AN474">
        <v>37.46</v>
      </c>
      <c r="AO474" s="1">
        <f t="shared" si="23"/>
        <v>639</v>
      </c>
    </row>
    <row r="475" spans="1:41" x14ac:dyDescent="0.25">
      <c r="A475" t="s">
        <v>518</v>
      </c>
      <c r="B475" s="2">
        <v>2487.1270302431599</v>
      </c>
      <c r="C475" s="2">
        <v>1451.35374109289</v>
      </c>
      <c r="D475" s="2">
        <v>3149.6493311925601</v>
      </c>
      <c r="E475" s="2">
        <v>5706.0185883332797</v>
      </c>
      <c r="F475" s="2">
        <v>2329.82292070427</v>
      </c>
      <c r="G475" s="2">
        <v>2314.35506008312</v>
      </c>
      <c r="H475" s="2">
        <v>4844.2376737104696</v>
      </c>
      <c r="I475" s="2">
        <v>6876.7474901742798</v>
      </c>
      <c r="J475" s="2">
        <v>5516.8297170589803</v>
      </c>
      <c r="K475" s="2">
        <v>492.53055118696898</v>
      </c>
      <c r="L475" s="2">
        <v>0</v>
      </c>
      <c r="M475" s="2">
        <v>6617.6033997667</v>
      </c>
      <c r="N475" s="3">
        <f t="shared" si="21"/>
        <v>41786.275503546683</v>
      </c>
      <c r="O475" s="2">
        <v>2.1155427653810102</v>
      </c>
      <c r="P475" s="2">
        <v>1.4969310803185201</v>
      </c>
      <c r="Q475" s="2">
        <v>1.8227419445019999</v>
      </c>
      <c r="R475" s="2">
        <v>9.1186161588210002</v>
      </c>
      <c r="S475" s="2">
        <v>10.6306478877322</v>
      </c>
      <c r="T475" s="2">
        <v>2.0758772480648</v>
      </c>
      <c r="U475" s="2">
        <v>2.04245543865528</v>
      </c>
      <c r="V475" s="2">
        <v>9.6200865144874399</v>
      </c>
      <c r="W475" s="2">
        <v>7.0578241535100403</v>
      </c>
      <c r="X475" s="2">
        <v>0.27405706886159797</v>
      </c>
      <c r="Y475" s="2">
        <v>0.25553938851446201</v>
      </c>
      <c r="Z475" s="2">
        <v>2.1143899103834798</v>
      </c>
      <c r="AA475" s="3">
        <f t="shared" si="22"/>
        <v>48.624709559231832</v>
      </c>
      <c r="AB475" t="s">
        <v>45</v>
      </c>
      <c r="AC475">
        <v>35.020000000000003</v>
      </c>
      <c r="AD475">
        <v>24.61</v>
      </c>
      <c r="AE475">
        <v>41.59</v>
      </c>
      <c r="AF475">
        <v>67.56</v>
      </c>
      <c r="AG475">
        <v>33.840000000000003</v>
      </c>
      <c r="AH475">
        <v>33.29</v>
      </c>
      <c r="AI475">
        <v>58.59</v>
      </c>
      <c r="AJ475">
        <v>79.260000000000005</v>
      </c>
      <c r="AK475">
        <v>65.56</v>
      </c>
      <c r="AL475">
        <v>14.97</v>
      </c>
      <c r="AM475">
        <v>10.039999999999999</v>
      </c>
      <c r="AN475">
        <v>76.319999999999993</v>
      </c>
      <c r="AO475" s="1">
        <f t="shared" si="23"/>
        <v>540.65000000000009</v>
      </c>
    </row>
    <row r="476" spans="1:41" x14ac:dyDescent="0.25">
      <c r="A476" t="s">
        <v>519</v>
      </c>
      <c r="B476" s="2">
        <v>2482.7178368377599</v>
      </c>
      <c r="C476" s="2">
        <v>430.89199919694198</v>
      </c>
      <c r="D476" s="2">
        <v>3406.0633660496001</v>
      </c>
      <c r="E476" s="2">
        <v>64.795262014905603</v>
      </c>
      <c r="F476" s="2">
        <v>193.90724292672701</v>
      </c>
      <c r="G476" s="2">
        <v>743.27016475763298</v>
      </c>
      <c r="H476" s="2">
        <v>4947.2854057039604</v>
      </c>
      <c r="I476" s="2">
        <v>148.97386561996399</v>
      </c>
      <c r="J476" s="2">
        <v>7272.10772674292</v>
      </c>
      <c r="K476" s="2">
        <v>915.23915252365805</v>
      </c>
      <c r="L476" s="2">
        <v>0</v>
      </c>
      <c r="M476" s="2">
        <v>1015.06574979706</v>
      </c>
      <c r="N476" s="3">
        <f t="shared" si="21"/>
        <v>21620.317772171133</v>
      </c>
      <c r="O476" s="2">
        <v>0</v>
      </c>
      <c r="P476" s="2">
        <v>8.2856515226553604</v>
      </c>
      <c r="Q476" s="2">
        <v>4.5894250669473697</v>
      </c>
      <c r="R476" s="2">
        <v>6.4737485772783501</v>
      </c>
      <c r="S476" s="2">
        <v>4.8653788631096004</v>
      </c>
      <c r="T476" s="2">
        <v>0.46728643084591798</v>
      </c>
      <c r="U476" s="2">
        <v>0.18877530674582901</v>
      </c>
      <c r="V476" s="2">
        <v>1.37333536455882</v>
      </c>
      <c r="W476" s="2">
        <v>8.2238312807871505</v>
      </c>
      <c r="X476" s="2">
        <v>4.3238367117486698</v>
      </c>
      <c r="Y476" s="2">
        <v>0.113011480187382</v>
      </c>
      <c r="Z476" s="2">
        <v>0</v>
      </c>
      <c r="AA476" s="3">
        <f t="shared" si="22"/>
        <v>38.904280604864447</v>
      </c>
      <c r="AB476" t="s">
        <v>63</v>
      </c>
      <c r="AC476">
        <v>49.66</v>
      </c>
      <c r="AD476">
        <v>9.43</v>
      </c>
      <c r="AE476">
        <v>68.59</v>
      </c>
      <c r="AF476">
        <v>1.93</v>
      </c>
      <c r="AG476">
        <v>4.33</v>
      </c>
      <c r="AH476">
        <v>14.97</v>
      </c>
      <c r="AI476">
        <v>99.05</v>
      </c>
      <c r="AJ476">
        <v>3.16</v>
      </c>
      <c r="AK476">
        <v>146.27000000000001</v>
      </c>
      <c r="AL476">
        <v>18.77</v>
      </c>
      <c r="AM476">
        <v>0.09</v>
      </c>
      <c r="AN476">
        <v>20.32</v>
      </c>
      <c r="AO476" s="1">
        <f t="shared" si="23"/>
        <v>436.57</v>
      </c>
    </row>
    <row r="477" spans="1:41" x14ac:dyDescent="0.25">
      <c r="A477" t="s">
        <v>520</v>
      </c>
      <c r="B477" s="2">
        <v>2479.0813355836499</v>
      </c>
      <c r="C477" s="2">
        <v>1156.87550115615</v>
      </c>
      <c r="D477" s="2">
        <v>5033.47367841914</v>
      </c>
      <c r="E477" s="2">
        <v>582.35518611903001</v>
      </c>
      <c r="F477" s="2">
        <v>1443.4502999952399</v>
      </c>
      <c r="G477" s="2">
        <v>4648.8576143421897</v>
      </c>
      <c r="H477" s="2">
        <v>2954.6788740311699</v>
      </c>
      <c r="I477" s="2">
        <v>3854.5481223070501</v>
      </c>
      <c r="J477" s="2">
        <v>2324.7527875662199</v>
      </c>
      <c r="K477" s="2">
        <v>1307.1092206855701</v>
      </c>
      <c r="L477" s="2">
        <v>2533.8369422382002</v>
      </c>
      <c r="M477" s="2">
        <v>2586.0746380903602</v>
      </c>
      <c r="N477" s="3">
        <f t="shared" si="21"/>
        <v>30905.094200533968</v>
      </c>
      <c r="O477" s="2">
        <v>5.7177543670715396</v>
      </c>
      <c r="P477" s="2">
        <v>0</v>
      </c>
      <c r="Q477" s="2">
        <v>1.4969777078208699</v>
      </c>
      <c r="R477" s="2">
        <v>2.8572723375833</v>
      </c>
      <c r="S477" s="2">
        <v>2.7872154966323301</v>
      </c>
      <c r="T477" s="2">
        <v>4.8314534506662596</v>
      </c>
      <c r="U477" s="2">
        <v>0.67233588190862903</v>
      </c>
      <c r="V477" s="2">
        <v>3.0195263926601998</v>
      </c>
      <c r="W477" s="2">
        <v>2.5249717358342201</v>
      </c>
      <c r="X477" s="2">
        <v>12.805568788114901</v>
      </c>
      <c r="Y477" s="2">
        <v>6.7934597636160401</v>
      </c>
      <c r="Z477" s="2">
        <v>10.527829705341199</v>
      </c>
      <c r="AA477" s="3">
        <f t="shared" si="22"/>
        <v>54.034365627249493</v>
      </c>
      <c r="AB477" t="s">
        <v>63</v>
      </c>
      <c r="AC477">
        <v>50.14</v>
      </c>
      <c r="AD477">
        <v>23.14</v>
      </c>
      <c r="AE477">
        <v>100.86</v>
      </c>
      <c r="AF477">
        <v>11.93</v>
      </c>
      <c r="AG477">
        <v>29.15</v>
      </c>
      <c r="AH477">
        <v>93.43</v>
      </c>
      <c r="AI477">
        <v>59.19</v>
      </c>
      <c r="AJ477">
        <v>77.459999999999994</v>
      </c>
      <c r="AK477">
        <v>46.77</v>
      </c>
      <c r="AL477">
        <v>27.33</v>
      </c>
      <c r="AM477">
        <v>51.31</v>
      </c>
      <c r="AN477">
        <v>52.73</v>
      </c>
      <c r="AO477" s="1">
        <f t="shared" si="23"/>
        <v>623.44000000000005</v>
      </c>
    </row>
    <row r="478" spans="1:41" x14ac:dyDescent="0.25">
      <c r="A478" t="s">
        <v>521</v>
      </c>
      <c r="B478" s="2">
        <v>2477.3680749303699</v>
      </c>
      <c r="C478" s="2">
        <v>1223.3217886090499</v>
      </c>
      <c r="D478" s="2">
        <v>2801.51980668235</v>
      </c>
      <c r="E478" s="2">
        <v>2487.47285800911</v>
      </c>
      <c r="F478" s="2">
        <v>3063.7899063766299</v>
      </c>
      <c r="G478" s="2">
        <v>3931.33125946572</v>
      </c>
      <c r="H478" s="2">
        <v>2203.98811443256</v>
      </c>
      <c r="I478" s="2">
        <v>0</v>
      </c>
      <c r="J478" s="2">
        <v>3618.1658293506698</v>
      </c>
      <c r="K478" s="2">
        <v>7491.2648685504901</v>
      </c>
      <c r="L478" s="2">
        <v>5884.7473164166304</v>
      </c>
      <c r="M478" s="2">
        <v>14018.201380348801</v>
      </c>
      <c r="N478" s="3">
        <f t="shared" si="21"/>
        <v>49201.17120317238</v>
      </c>
      <c r="O478" s="2">
        <v>0.11943663461191099</v>
      </c>
      <c r="P478" s="2">
        <v>4.9676094575883196</v>
      </c>
      <c r="Q478" s="2">
        <v>0.88486159044733304</v>
      </c>
      <c r="R478" s="2">
        <v>2.3806872382486</v>
      </c>
      <c r="S478" s="2">
        <v>6.0658268777042998</v>
      </c>
      <c r="T478" s="2">
        <v>12.1040400143011</v>
      </c>
      <c r="U478" s="2">
        <v>1.86095451860789</v>
      </c>
      <c r="V478" s="2">
        <v>1.6035021010658701</v>
      </c>
      <c r="W478" s="2">
        <v>3.4195208412028402</v>
      </c>
      <c r="X478" s="2">
        <v>11.2703632316754</v>
      </c>
      <c r="Y478" s="2">
        <v>10.571987782955</v>
      </c>
      <c r="Z478" s="2">
        <v>0</v>
      </c>
      <c r="AA478" s="3">
        <f t="shared" si="22"/>
        <v>55.248790288408564</v>
      </c>
      <c r="AB478" t="s">
        <v>45</v>
      </c>
      <c r="AC478">
        <v>34.82</v>
      </c>
      <c r="AD478">
        <v>22.48</v>
      </c>
      <c r="AE478">
        <v>38.06</v>
      </c>
      <c r="AF478">
        <v>35.020000000000003</v>
      </c>
      <c r="AG478">
        <v>40.98</v>
      </c>
      <c r="AH478">
        <v>49.96</v>
      </c>
      <c r="AI478">
        <v>32.130000000000003</v>
      </c>
      <c r="AJ478">
        <v>10.09</v>
      </c>
      <c r="AK478">
        <v>46.38</v>
      </c>
      <c r="AL478">
        <v>85.51</v>
      </c>
      <c r="AM478">
        <v>69.39</v>
      </c>
      <c r="AN478">
        <v>150.18</v>
      </c>
      <c r="AO478" s="1">
        <f t="shared" si="23"/>
        <v>615</v>
      </c>
    </row>
    <row r="479" spans="1:41" x14ac:dyDescent="0.25">
      <c r="A479" t="s">
        <v>522</v>
      </c>
      <c r="B479" s="2">
        <v>2475.8560372787501</v>
      </c>
      <c r="C479" s="2">
        <v>57.6634128763909</v>
      </c>
      <c r="D479" s="2">
        <v>2073.73215974503</v>
      </c>
      <c r="E479" s="2">
        <v>2111.8930968746499</v>
      </c>
      <c r="F479" s="2">
        <v>588.31869974899803</v>
      </c>
      <c r="G479" s="2">
        <v>3005.02268982532</v>
      </c>
      <c r="H479" s="2">
        <v>1465.4677666089201</v>
      </c>
      <c r="I479" s="2">
        <v>1999.4292945546299</v>
      </c>
      <c r="J479" s="2">
        <v>277.29512938975603</v>
      </c>
      <c r="K479" s="2">
        <v>4978.5238788179604</v>
      </c>
      <c r="L479" s="2">
        <v>2439.48129031907</v>
      </c>
      <c r="M479" s="2">
        <v>5793.4613858577504</v>
      </c>
      <c r="N479" s="3">
        <f t="shared" si="21"/>
        <v>27266.144841897225</v>
      </c>
      <c r="O479" s="2">
        <v>1.0065021341102001</v>
      </c>
      <c r="P479" s="2">
        <v>2.3284465218821602</v>
      </c>
      <c r="Q479" s="2">
        <v>0</v>
      </c>
      <c r="R479" s="2">
        <v>5.5960313440633698</v>
      </c>
      <c r="S479" s="2">
        <v>2.43298942421427</v>
      </c>
      <c r="T479" s="2">
        <v>15.2244057347552</v>
      </c>
      <c r="U479" s="2">
        <v>0.39825077446295198</v>
      </c>
      <c r="V479" s="2">
        <v>1.8501349658778701</v>
      </c>
      <c r="W479" s="2">
        <v>2.2847376520379599</v>
      </c>
      <c r="X479" s="2">
        <v>0.43509252091081702</v>
      </c>
      <c r="Y479" s="2">
        <v>7.9938556589027296</v>
      </c>
      <c r="Z479" s="2">
        <v>0</v>
      </c>
      <c r="AA479" s="3">
        <f t="shared" si="22"/>
        <v>39.550446731217527</v>
      </c>
      <c r="AB479" t="s">
        <v>63</v>
      </c>
      <c r="AC479">
        <v>49.7</v>
      </c>
      <c r="AD479">
        <v>1.43</v>
      </c>
      <c r="AE479">
        <v>41.48</v>
      </c>
      <c r="AF479">
        <v>42.78</v>
      </c>
      <c r="AG479">
        <v>12.05</v>
      </c>
      <c r="AH479">
        <v>61.56</v>
      </c>
      <c r="AI479">
        <v>29.41</v>
      </c>
      <c r="AJ479">
        <v>40.18</v>
      </c>
      <c r="AK479">
        <v>5.83</v>
      </c>
      <c r="AL479">
        <v>99.67</v>
      </c>
      <c r="AM479">
        <v>49.52</v>
      </c>
      <c r="AN479">
        <v>115.88</v>
      </c>
      <c r="AO479" s="1">
        <f t="shared" si="23"/>
        <v>549.49</v>
      </c>
    </row>
    <row r="480" spans="1:41" x14ac:dyDescent="0.25">
      <c r="A480" t="s">
        <v>523</v>
      </c>
      <c r="B480" s="2">
        <v>2464.98702251652</v>
      </c>
      <c r="C480" s="2">
        <v>522.20055484009799</v>
      </c>
      <c r="D480" s="2">
        <v>7115.9563186348796</v>
      </c>
      <c r="E480" s="2">
        <v>0</v>
      </c>
      <c r="F480" s="2">
        <v>1739.7093866185901</v>
      </c>
      <c r="G480" s="2">
        <v>2274.9865398217999</v>
      </c>
      <c r="H480" s="2">
        <v>13715.4861338137</v>
      </c>
      <c r="I480" s="2">
        <v>4594.0897661857298</v>
      </c>
      <c r="J480" s="2">
        <v>1012.0040781238901</v>
      </c>
      <c r="K480" s="2">
        <v>1722.2592634990201</v>
      </c>
      <c r="L480" s="2">
        <v>0</v>
      </c>
      <c r="M480" s="2">
        <v>4700.2298618729401</v>
      </c>
      <c r="N480" s="3">
        <f t="shared" si="21"/>
        <v>39861.908925927171</v>
      </c>
      <c r="O480" s="2">
        <v>4.8051726563607504</v>
      </c>
      <c r="P480" s="2">
        <v>1.8703589448255</v>
      </c>
      <c r="Q480" s="2">
        <v>0.97331306217001101</v>
      </c>
      <c r="R480" s="2">
        <v>8.2823468784955399</v>
      </c>
      <c r="S480" s="2">
        <v>1.10341799387183</v>
      </c>
      <c r="T480" s="2">
        <v>7.0798095504458098</v>
      </c>
      <c r="U480" s="2">
        <v>3.72368628597662</v>
      </c>
      <c r="V480" s="2">
        <v>2.7194428156147001</v>
      </c>
      <c r="W480" s="2">
        <v>3.0393996200947799</v>
      </c>
      <c r="X480" s="2">
        <v>1.7103193550018301</v>
      </c>
      <c r="Y480" s="2">
        <v>5.4669356159379703</v>
      </c>
      <c r="Z480" s="2">
        <v>1.7496241282312499</v>
      </c>
      <c r="AA480" s="3">
        <f t="shared" si="22"/>
        <v>42.523826907026582</v>
      </c>
      <c r="AB480" t="s">
        <v>63</v>
      </c>
      <c r="AC480">
        <v>49.75</v>
      </c>
      <c r="AD480">
        <v>10.64</v>
      </c>
      <c r="AE480">
        <v>142.41</v>
      </c>
      <c r="AF480">
        <v>0.81</v>
      </c>
      <c r="AG480">
        <v>34.979999999999997</v>
      </c>
      <c r="AH480">
        <v>46.22</v>
      </c>
      <c r="AI480">
        <v>274.68</v>
      </c>
      <c r="AJ480">
        <v>92.17</v>
      </c>
      <c r="AK480">
        <v>20.62</v>
      </c>
      <c r="AL480">
        <v>34.64</v>
      </c>
      <c r="AM480">
        <v>0.54</v>
      </c>
      <c r="AN480">
        <v>94.2</v>
      </c>
      <c r="AO480" s="1">
        <f t="shared" si="23"/>
        <v>801.66</v>
      </c>
    </row>
    <row r="481" spans="1:41" x14ac:dyDescent="0.25">
      <c r="A481" t="s">
        <v>524</v>
      </c>
      <c r="B481" s="2">
        <v>2464.06851850967</v>
      </c>
      <c r="C481" s="2">
        <v>0</v>
      </c>
      <c r="D481" s="2">
        <v>2124.0954444166</v>
      </c>
      <c r="E481" s="2">
        <v>4983.3892692302497</v>
      </c>
      <c r="F481" s="2">
        <v>1024.5144045278901</v>
      </c>
      <c r="G481" s="2">
        <v>7622.2112695978003</v>
      </c>
      <c r="H481" s="2">
        <v>810.62908762534403</v>
      </c>
      <c r="I481" s="2">
        <v>0</v>
      </c>
      <c r="J481" s="2">
        <v>698.87127961196404</v>
      </c>
      <c r="K481" s="2">
        <v>6938.6971773745099</v>
      </c>
      <c r="L481" s="2">
        <v>1895.29071422994</v>
      </c>
      <c r="M481" s="2">
        <v>4858.37260520156</v>
      </c>
      <c r="N481" s="3">
        <f t="shared" si="21"/>
        <v>33420.139770325528</v>
      </c>
      <c r="O481" s="2">
        <v>11.524832806190901</v>
      </c>
      <c r="P481" s="2">
        <v>1.9681515509226</v>
      </c>
      <c r="Q481" s="2">
        <v>1.1447467267334599</v>
      </c>
      <c r="R481" s="2">
        <v>0.34417098692967901</v>
      </c>
      <c r="S481" s="2">
        <v>1.7705750165984699</v>
      </c>
      <c r="T481" s="2">
        <v>0</v>
      </c>
      <c r="U481" s="2">
        <v>1.3848330854687001</v>
      </c>
      <c r="V481" s="2">
        <v>0.97755337479375803</v>
      </c>
      <c r="W481" s="2">
        <v>5.5580965245293497</v>
      </c>
      <c r="X481" s="2">
        <v>7.7465521766077901</v>
      </c>
      <c r="Y481" s="2">
        <v>0</v>
      </c>
      <c r="Z481" s="2">
        <v>9.3289008862868901</v>
      </c>
      <c r="AA481" s="3">
        <f t="shared" si="22"/>
        <v>41.748413135061597</v>
      </c>
      <c r="AB481" t="s">
        <v>63</v>
      </c>
      <c r="AC481">
        <v>50.38</v>
      </c>
      <c r="AD481">
        <v>0.18</v>
      </c>
      <c r="AE481">
        <v>42.68</v>
      </c>
      <c r="AF481">
        <v>99.77</v>
      </c>
      <c r="AG481">
        <v>20.68</v>
      </c>
      <c r="AH481">
        <v>152.46</v>
      </c>
      <c r="AI481">
        <v>16.399999999999999</v>
      </c>
      <c r="AJ481">
        <v>0.09</v>
      </c>
      <c r="AK481">
        <v>14.52</v>
      </c>
      <c r="AL481">
        <v>139.5</v>
      </c>
      <c r="AM481">
        <v>37.92</v>
      </c>
      <c r="AN481">
        <v>98.08</v>
      </c>
      <c r="AO481" s="1">
        <f t="shared" si="23"/>
        <v>672.65999999999985</v>
      </c>
    </row>
    <row r="482" spans="1:41" x14ac:dyDescent="0.25">
      <c r="A482" t="s">
        <v>525</v>
      </c>
      <c r="B482" s="2">
        <v>2453.33247599176</v>
      </c>
      <c r="C482" s="2">
        <v>3654.4623358690701</v>
      </c>
      <c r="D482" s="2">
        <v>1550.6787106146501</v>
      </c>
      <c r="E482" s="2">
        <v>802.31543286232397</v>
      </c>
      <c r="F482" s="2">
        <v>6178.4911286865899</v>
      </c>
      <c r="G482" s="2">
        <v>7822.6516322321504</v>
      </c>
      <c r="H482" s="2">
        <v>1503.2144940829</v>
      </c>
      <c r="I482" s="2">
        <v>6353.1836985731597</v>
      </c>
      <c r="J482" s="2">
        <v>4938.5578071804102</v>
      </c>
      <c r="K482" s="2">
        <v>443.52538948688601</v>
      </c>
      <c r="L482" s="2">
        <v>2678.4675280026299</v>
      </c>
      <c r="M482" s="2">
        <v>1624.48476022463</v>
      </c>
      <c r="N482" s="3">
        <f t="shared" si="21"/>
        <v>40003.365393807158</v>
      </c>
      <c r="O482" s="2">
        <v>9.4384704435636699</v>
      </c>
      <c r="P482" s="2">
        <v>2.2881243744211601</v>
      </c>
      <c r="Q482" s="2">
        <v>0</v>
      </c>
      <c r="R482" s="2">
        <v>11.801099005419401</v>
      </c>
      <c r="S482" s="2">
        <v>3.0760691555671298</v>
      </c>
      <c r="T482" s="2">
        <v>3.2217280647367601</v>
      </c>
      <c r="U482" s="2">
        <v>2.60694536792787</v>
      </c>
      <c r="V482" s="2">
        <v>3.5701285699735199</v>
      </c>
      <c r="W482" s="2">
        <v>3.58775023866328</v>
      </c>
      <c r="X482" s="2">
        <v>3.1551763794445198</v>
      </c>
      <c r="Y482" s="2">
        <v>0</v>
      </c>
      <c r="Z482" s="2">
        <v>5.1328674222086601</v>
      </c>
      <c r="AA482" s="3">
        <f t="shared" si="22"/>
        <v>47.878359021925974</v>
      </c>
      <c r="AB482" t="s">
        <v>63</v>
      </c>
      <c r="AC482">
        <v>49.98</v>
      </c>
      <c r="AD482">
        <v>73.37</v>
      </c>
      <c r="AE482">
        <v>31.02</v>
      </c>
      <c r="AF482">
        <v>17.14</v>
      </c>
      <c r="AG482">
        <v>123.94</v>
      </c>
      <c r="AH482">
        <v>156.82</v>
      </c>
      <c r="AI482">
        <v>30.35</v>
      </c>
      <c r="AJ482">
        <v>127.44</v>
      </c>
      <c r="AK482">
        <v>99.14</v>
      </c>
      <c r="AL482">
        <v>9.24</v>
      </c>
      <c r="AM482">
        <v>53.58</v>
      </c>
      <c r="AN482">
        <v>33.04</v>
      </c>
      <c r="AO482" s="1">
        <f t="shared" si="23"/>
        <v>805.06</v>
      </c>
    </row>
    <row r="483" spans="1:41" x14ac:dyDescent="0.25">
      <c r="A483" t="s">
        <v>526</v>
      </c>
      <c r="B483" s="2">
        <v>2453.10239248683</v>
      </c>
      <c r="C483" s="2">
        <v>5809.9511190598396</v>
      </c>
      <c r="D483" s="2">
        <v>1123.50589427358</v>
      </c>
      <c r="E483" s="2">
        <v>4927.6632937699897</v>
      </c>
      <c r="F483" s="2">
        <v>1483.7567028021699</v>
      </c>
      <c r="G483" s="2">
        <v>1373.5755861012899</v>
      </c>
      <c r="H483" s="2">
        <v>2451.0879645137502</v>
      </c>
      <c r="I483" s="2">
        <v>8154.8074696640097</v>
      </c>
      <c r="J483" s="2">
        <v>3755.6153884775299</v>
      </c>
      <c r="K483" s="2">
        <v>3391.1703106316199</v>
      </c>
      <c r="L483" s="2">
        <v>5336.9406995058498</v>
      </c>
      <c r="M483" s="2">
        <v>0</v>
      </c>
      <c r="N483" s="3">
        <f t="shared" si="21"/>
        <v>40261.176821286463</v>
      </c>
      <c r="O483" s="2">
        <v>4.18295301880491</v>
      </c>
      <c r="P483" s="2">
        <v>1.27323418540745</v>
      </c>
      <c r="Q483" s="2">
        <v>1.32204259867273</v>
      </c>
      <c r="R483" s="2">
        <v>1.727518120856</v>
      </c>
      <c r="S483" s="2">
        <v>8.5360093576771696</v>
      </c>
      <c r="T483" s="2">
        <v>2.8746887298700701</v>
      </c>
      <c r="U483" s="2">
        <v>12.223813998868399</v>
      </c>
      <c r="V483" s="2">
        <v>2.66331347782317</v>
      </c>
      <c r="W483" s="2">
        <v>2.5170953363200002</v>
      </c>
      <c r="X483" s="2">
        <v>2.73437876133853</v>
      </c>
      <c r="Y483" s="2">
        <v>1.89822377085651</v>
      </c>
      <c r="Z483" s="2">
        <v>0</v>
      </c>
      <c r="AA483" s="3">
        <f t="shared" si="22"/>
        <v>41.953271356494945</v>
      </c>
      <c r="AB483" t="s">
        <v>45</v>
      </c>
      <c r="AC483">
        <v>34.78</v>
      </c>
      <c r="AD483">
        <v>68.19</v>
      </c>
      <c r="AE483">
        <v>21.33</v>
      </c>
      <c r="AF483">
        <v>59.37</v>
      </c>
      <c r="AG483">
        <v>25.28</v>
      </c>
      <c r="AH483">
        <v>23.88</v>
      </c>
      <c r="AI483">
        <v>35.159999999999997</v>
      </c>
      <c r="AJ483">
        <v>91.69</v>
      </c>
      <c r="AK483">
        <v>47.7</v>
      </c>
      <c r="AL483">
        <v>44.06</v>
      </c>
      <c r="AM483">
        <v>63.46</v>
      </c>
      <c r="AN483">
        <v>9.99</v>
      </c>
      <c r="AO483" s="1">
        <f t="shared" si="23"/>
        <v>524.89</v>
      </c>
    </row>
    <row r="484" spans="1:41" x14ac:dyDescent="0.25">
      <c r="A484" t="s">
        <v>527</v>
      </c>
      <c r="B484" s="2">
        <v>2449.0164536382899</v>
      </c>
      <c r="C484" s="2">
        <v>8248.5997619759291</v>
      </c>
      <c r="D484" s="2">
        <v>2325.41859339339</v>
      </c>
      <c r="E484" s="2">
        <v>463.98487394000102</v>
      </c>
      <c r="F484" s="2">
        <v>2344.4086186316599</v>
      </c>
      <c r="G484" s="2">
        <v>0</v>
      </c>
      <c r="H484" s="2">
        <v>2037.68672123225</v>
      </c>
      <c r="I484" s="2">
        <v>5177.0969097101797</v>
      </c>
      <c r="J484" s="2">
        <v>11500.482995632799</v>
      </c>
      <c r="K484" s="2">
        <v>2029.3977792895901</v>
      </c>
      <c r="L484" s="2">
        <v>0</v>
      </c>
      <c r="M484" s="2">
        <v>3910.4518797421201</v>
      </c>
      <c r="N484" s="3">
        <f t="shared" si="21"/>
        <v>40486.544587186203</v>
      </c>
      <c r="O484" s="2">
        <v>10.4503255961479</v>
      </c>
      <c r="P484" s="2">
        <v>4.9580606235822096</v>
      </c>
      <c r="Q484" s="2">
        <v>4.3494108888887704</v>
      </c>
      <c r="R484" s="2">
        <v>8.0912679618995096</v>
      </c>
      <c r="S484" s="2">
        <v>3.9586003798249898</v>
      </c>
      <c r="T484" s="2">
        <v>13.6657109343284</v>
      </c>
      <c r="U484" s="2">
        <v>6.3576354485557403</v>
      </c>
      <c r="V484" s="2">
        <v>10.5968538616199</v>
      </c>
      <c r="W484" s="2">
        <v>3.13268388184943</v>
      </c>
      <c r="X484" s="2">
        <v>0</v>
      </c>
      <c r="Y484" s="2">
        <v>3.3636873970829799</v>
      </c>
      <c r="Z484" s="2">
        <v>0.79573113711110299</v>
      </c>
      <c r="AA484" s="3">
        <f t="shared" si="22"/>
        <v>69.719968110890932</v>
      </c>
      <c r="AB484" t="s">
        <v>45</v>
      </c>
      <c r="AC484">
        <v>35.04</v>
      </c>
      <c r="AD484">
        <v>92.73</v>
      </c>
      <c r="AE484">
        <v>33.5</v>
      </c>
      <c r="AF484">
        <v>15.08</v>
      </c>
      <c r="AG484">
        <v>33.64</v>
      </c>
      <c r="AH484">
        <v>10.69</v>
      </c>
      <c r="AI484">
        <v>30.72</v>
      </c>
      <c r="AJ484">
        <v>62.32</v>
      </c>
      <c r="AK484">
        <v>125.2</v>
      </c>
      <c r="AL484">
        <v>30.29</v>
      </c>
      <c r="AM484">
        <v>10.19</v>
      </c>
      <c r="AN484">
        <v>49.15</v>
      </c>
      <c r="AO484" s="1">
        <f t="shared" si="23"/>
        <v>528.55000000000007</v>
      </c>
    </row>
    <row r="485" spans="1:41" x14ac:dyDescent="0.25">
      <c r="A485" t="s">
        <v>528</v>
      </c>
      <c r="B485" s="2">
        <v>2434.2694044079499</v>
      </c>
      <c r="C485" s="2">
        <v>6573.4013116770502</v>
      </c>
      <c r="D485" s="2">
        <v>803.607046744336</v>
      </c>
      <c r="E485" s="2">
        <v>1972.5312278584699</v>
      </c>
      <c r="F485" s="2">
        <v>622.03199611884804</v>
      </c>
      <c r="G485" s="2">
        <v>4192.1185464542104</v>
      </c>
      <c r="H485" s="2">
        <v>0</v>
      </c>
      <c r="I485" s="2">
        <v>4484.0368395243204</v>
      </c>
      <c r="J485" s="2">
        <v>718.73318059592498</v>
      </c>
      <c r="K485" s="2">
        <v>0</v>
      </c>
      <c r="L485" s="2">
        <v>3734.83918916431</v>
      </c>
      <c r="M485" s="2">
        <v>3044.77871597182</v>
      </c>
      <c r="N485" s="3">
        <f t="shared" si="21"/>
        <v>28580.347458517244</v>
      </c>
      <c r="O485" s="2">
        <v>6.7323927111920696</v>
      </c>
      <c r="P485" s="2">
        <v>3.5371924838166899</v>
      </c>
      <c r="Q485" s="2">
        <v>10.5276797611196</v>
      </c>
      <c r="R485" s="2">
        <v>0</v>
      </c>
      <c r="S485" s="2">
        <v>2.2455220430516301</v>
      </c>
      <c r="T485" s="2">
        <v>2.9904877843784901</v>
      </c>
      <c r="U485" s="2">
        <v>10.9809641581866</v>
      </c>
      <c r="V485" s="2">
        <v>0.48250811158864998</v>
      </c>
      <c r="W485" s="2">
        <v>1.8688767940823099</v>
      </c>
      <c r="X485" s="2">
        <v>8.9446301249272206</v>
      </c>
      <c r="Y485" s="2">
        <v>0.430560011183443</v>
      </c>
      <c r="Z485" s="2">
        <v>10.0162528419574</v>
      </c>
      <c r="AA485" s="3">
        <f t="shared" si="22"/>
        <v>58.757066825484102</v>
      </c>
      <c r="AB485" t="s">
        <v>63</v>
      </c>
      <c r="AC485">
        <v>49.33</v>
      </c>
      <c r="AD485">
        <v>131.84</v>
      </c>
      <c r="AE485">
        <v>17.07</v>
      </c>
      <c r="AF485">
        <v>39.46</v>
      </c>
      <c r="AG485">
        <v>12.73</v>
      </c>
      <c r="AH485">
        <v>84.13</v>
      </c>
      <c r="AI485">
        <v>0.99</v>
      </c>
      <c r="AJ485">
        <v>89.79</v>
      </c>
      <c r="AK485">
        <v>14.56</v>
      </c>
      <c r="AL485">
        <v>0.81</v>
      </c>
      <c r="AM485">
        <v>74.790000000000006</v>
      </c>
      <c r="AN485">
        <v>61.89</v>
      </c>
      <c r="AO485" s="1">
        <f t="shared" si="23"/>
        <v>577.39</v>
      </c>
    </row>
    <row r="486" spans="1:41" x14ac:dyDescent="0.25">
      <c r="A486" t="s">
        <v>529</v>
      </c>
      <c r="B486" s="2">
        <v>2420.65518894773</v>
      </c>
      <c r="C486" s="2">
        <v>3017.4691757766</v>
      </c>
      <c r="D486" s="2">
        <v>4545.9754931185898</v>
      </c>
      <c r="E486" s="2">
        <v>2046.9332913210201</v>
      </c>
      <c r="F486" s="2">
        <v>4834.72442263626</v>
      </c>
      <c r="G486" s="2">
        <v>1120.59217482239</v>
      </c>
      <c r="H486" s="2">
        <v>1530.0311254051001</v>
      </c>
      <c r="I486" s="2">
        <v>0</v>
      </c>
      <c r="J486" s="2">
        <v>11167.3393936666</v>
      </c>
      <c r="K486" s="2">
        <v>4616.8257986204098</v>
      </c>
      <c r="L486" s="2">
        <v>1037.13130551565</v>
      </c>
      <c r="M486" s="2">
        <v>12037.0434359055</v>
      </c>
      <c r="N486" s="3">
        <f t="shared" si="21"/>
        <v>48374.720805735851</v>
      </c>
      <c r="O486" s="2">
        <v>2.14389333981664</v>
      </c>
      <c r="P486" s="2">
        <v>1.4719525061001899</v>
      </c>
      <c r="Q486" s="2">
        <v>13.584265939082499</v>
      </c>
      <c r="R486" s="2">
        <v>1.8573890020066799</v>
      </c>
      <c r="S486" s="2">
        <v>3.49169860247365</v>
      </c>
      <c r="T486" s="2">
        <v>0</v>
      </c>
      <c r="U486" s="2">
        <v>0</v>
      </c>
      <c r="V486" s="2">
        <v>0</v>
      </c>
      <c r="W486" s="2">
        <v>1.50237834066056</v>
      </c>
      <c r="X486" s="2">
        <v>0</v>
      </c>
      <c r="Y486" s="2">
        <v>3.3509795225096601</v>
      </c>
      <c r="Z486" s="2">
        <v>0</v>
      </c>
      <c r="AA486" s="3">
        <f t="shared" si="22"/>
        <v>27.402557252649881</v>
      </c>
      <c r="AB486" t="s">
        <v>45</v>
      </c>
      <c r="AC486">
        <v>34.35</v>
      </c>
      <c r="AD486">
        <v>40.270000000000003</v>
      </c>
      <c r="AE486">
        <v>56.15</v>
      </c>
      <c r="AF486">
        <v>30.56</v>
      </c>
      <c r="AG486">
        <v>58.54</v>
      </c>
      <c r="AH486">
        <v>21.2</v>
      </c>
      <c r="AI486">
        <v>25.3</v>
      </c>
      <c r="AJ486">
        <v>9.99</v>
      </c>
      <c r="AK486">
        <v>121.77</v>
      </c>
      <c r="AL486">
        <v>56.16</v>
      </c>
      <c r="AM486">
        <v>20.57</v>
      </c>
      <c r="AN486">
        <v>130.37</v>
      </c>
      <c r="AO486" s="1">
        <f t="shared" si="23"/>
        <v>605.23</v>
      </c>
    </row>
    <row r="487" spans="1:41" x14ac:dyDescent="0.25">
      <c r="A487" t="s">
        <v>530</v>
      </c>
      <c r="B487" s="2">
        <v>2419.8056211930598</v>
      </c>
      <c r="C487" s="2">
        <v>673.73278476883695</v>
      </c>
      <c r="D487" s="2">
        <v>5458.0655497324797</v>
      </c>
      <c r="E487" s="2">
        <v>1447.47221697907</v>
      </c>
      <c r="F487" s="2">
        <v>1043.4966340840499</v>
      </c>
      <c r="G487" s="2">
        <v>2673.8985426375698</v>
      </c>
      <c r="H487" s="2">
        <v>8358.40059161914</v>
      </c>
      <c r="I487" s="2">
        <v>1746.8235042020499</v>
      </c>
      <c r="J487" s="2">
        <v>7762.3783169656199</v>
      </c>
      <c r="K487" s="2">
        <v>0</v>
      </c>
      <c r="L487" s="2">
        <v>349.51805774820298</v>
      </c>
      <c r="M487" s="2">
        <v>4457.0233639960197</v>
      </c>
      <c r="N487" s="3">
        <f t="shared" si="21"/>
        <v>36390.615183926093</v>
      </c>
      <c r="O487" s="2">
        <v>11.7056285622972</v>
      </c>
      <c r="P487" s="2">
        <v>4.2636927173555597</v>
      </c>
      <c r="Q487" s="2">
        <v>2.3652094762151901</v>
      </c>
      <c r="R487" s="2">
        <v>2.6366912497140498</v>
      </c>
      <c r="S487" s="2">
        <v>0.237176700834837</v>
      </c>
      <c r="T487" s="2">
        <v>1.71300125662846</v>
      </c>
      <c r="U487" s="2">
        <v>4.5023554575323397</v>
      </c>
      <c r="V487" s="2">
        <v>2.9985265517250101</v>
      </c>
      <c r="W487" s="2">
        <v>12.685761773571899</v>
      </c>
      <c r="X487" s="2">
        <v>2.5003113734370901</v>
      </c>
      <c r="Y487" s="2">
        <v>5.73926894828484</v>
      </c>
      <c r="Z487" s="2">
        <v>3.6426164076501801</v>
      </c>
      <c r="AA487" s="3">
        <f t="shared" si="22"/>
        <v>54.990240475246658</v>
      </c>
      <c r="AB487" t="s">
        <v>63</v>
      </c>
      <c r="AC487">
        <v>49.48</v>
      </c>
      <c r="AD487">
        <v>13.93</v>
      </c>
      <c r="AE487">
        <v>109.45</v>
      </c>
      <c r="AF487">
        <v>29.23</v>
      </c>
      <c r="AG487">
        <v>20.97</v>
      </c>
      <c r="AH487">
        <v>53.66</v>
      </c>
      <c r="AI487">
        <v>167.63</v>
      </c>
      <c r="AJ487">
        <v>35.21</v>
      </c>
      <c r="AK487">
        <v>156.43</v>
      </c>
      <c r="AL487">
        <v>0.27</v>
      </c>
      <c r="AM487">
        <v>7.54</v>
      </c>
      <c r="AN487">
        <v>89.52</v>
      </c>
      <c r="AO487" s="1">
        <f t="shared" si="23"/>
        <v>733.31999999999994</v>
      </c>
    </row>
    <row r="488" spans="1:41" x14ac:dyDescent="0.25">
      <c r="A488" t="s">
        <v>531</v>
      </c>
      <c r="B488" s="2">
        <v>2419.5221415943602</v>
      </c>
      <c r="C488" s="2">
        <v>0</v>
      </c>
      <c r="D488" s="2">
        <v>2553.8446209714298</v>
      </c>
      <c r="E488" s="2">
        <v>7167.8206064317201</v>
      </c>
      <c r="F488" s="2">
        <v>838.91578414754201</v>
      </c>
      <c r="G488" s="2">
        <v>0</v>
      </c>
      <c r="H488" s="2">
        <v>3115.4657831591699</v>
      </c>
      <c r="I488" s="2">
        <v>924.05046008703698</v>
      </c>
      <c r="J488" s="2">
        <v>2407.56275993188</v>
      </c>
      <c r="K488" s="2">
        <v>1332.2027739257101</v>
      </c>
      <c r="L488" s="2">
        <v>242.585017052529</v>
      </c>
      <c r="M488" s="2">
        <v>635.61265936680297</v>
      </c>
      <c r="N488" s="3">
        <f t="shared" si="21"/>
        <v>21637.58260666818</v>
      </c>
      <c r="O488" s="2">
        <v>5.5552304643046897</v>
      </c>
      <c r="P488" s="2">
        <v>7.47158076634702</v>
      </c>
      <c r="Q488" s="2">
        <v>6.6349697430285204</v>
      </c>
      <c r="R488" s="2">
        <v>1.8742891012087599</v>
      </c>
      <c r="S488" s="2">
        <v>5.2939333362418104</v>
      </c>
      <c r="T488" s="2">
        <v>1.4480652139208801</v>
      </c>
      <c r="U488" s="2">
        <v>1.3028542137296699</v>
      </c>
      <c r="V488" s="2">
        <v>3.7610543148662501</v>
      </c>
      <c r="W488" s="2">
        <v>0.539007338108073</v>
      </c>
      <c r="X488" s="2">
        <v>4.0587277067092602</v>
      </c>
      <c r="Y488" s="2">
        <v>21.548896991193701</v>
      </c>
      <c r="Z488" s="2">
        <v>1.23896835613753</v>
      </c>
      <c r="AA488" s="3">
        <f t="shared" si="22"/>
        <v>60.727577545796166</v>
      </c>
      <c r="AB488" t="s">
        <v>63</v>
      </c>
      <c r="AC488">
        <v>48.94</v>
      </c>
      <c r="AD488">
        <v>0.72</v>
      </c>
      <c r="AE488">
        <v>51.71</v>
      </c>
      <c r="AF488">
        <v>143.54</v>
      </c>
      <c r="AG488">
        <v>17.32</v>
      </c>
      <c r="AH488">
        <v>0.18</v>
      </c>
      <c r="AI488">
        <v>62.5</v>
      </c>
      <c r="AJ488">
        <v>18.86</v>
      </c>
      <c r="AK488">
        <v>48.25</v>
      </c>
      <c r="AL488">
        <v>27.11</v>
      </c>
      <c r="AM488">
        <v>6.84</v>
      </c>
      <c r="AN488">
        <v>12.9</v>
      </c>
      <c r="AO488" s="1">
        <f t="shared" si="23"/>
        <v>438.87</v>
      </c>
    </row>
    <row r="489" spans="1:41" x14ac:dyDescent="0.25">
      <c r="A489" t="s">
        <v>532</v>
      </c>
      <c r="B489" s="2">
        <v>2416.4655465543901</v>
      </c>
      <c r="C489" s="2">
        <v>2486.9139245703</v>
      </c>
      <c r="D489" s="2">
        <v>10394.0212595372</v>
      </c>
      <c r="E489" s="2">
        <v>5205.4683983818204</v>
      </c>
      <c r="F489" s="2">
        <v>3223.54393864648</v>
      </c>
      <c r="G489" s="2">
        <v>1009.78264804198</v>
      </c>
      <c r="H489" s="2">
        <v>0</v>
      </c>
      <c r="I489" s="2">
        <v>2385.9150319967798</v>
      </c>
      <c r="J489" s="2">
        <v>5233.8723943863597</v>
      </c>
      <c r="K489" s="2">
        <v>4932.6696265138298</v>
      </c>
      <c r="L489" s="2">
        <v>1647.26604323275</v>
      </c>
      <c r="M489" s="2">
        <v>1029.6448699648699</v>
      </c>
      <c r="N489" s="3">
        <f t="shared" si="21"/>
        <v>39965.563681826752</v>
      </c>
      <c r="O489" s="2">
        <v>2.9070479407210699</v>
      </c>
      <c r="P489" s="2">
        <v>2.6194140313926901</v>
      </c>
      <c r="Q489" s="2">
        <v>6.3637244437634702E-2</v>
      </c>
      <c r="R489" s="2">
        <v>1.7044653906107099</v>
      </c>
      <c r="S489" s="2">
        <v>0</v>
      </c>
      <c r="T489" s="2">
        <v>5.6537299438624</v>
      </c>
      <c r="U489" s="2">
        <v>12.2775015091554</v>
      </c>
      <c r="V489" s="2">
        <v>3.2763733954374097E-2</v>
      </c>
      <c r="W489" s="2">
        <v>6.2539042671323601</v>
      </c>
      <c r="X489" s="2">
        <v>1.2625045064248901</v>
      </c>
      <c r="Y489" s="2">
        <v>3.3176595480976698</v>
      </c>
      <c r="Z489" s="2">
        <v>0</v>
      </c>
      <c r="AA489" s="3">
        <f t="shared" si="22"/>
        <v>36.092628115789203</v>
      </c>
      <c r="AB489" t="s">
        <v>45</v>
      </c>
      <c r="AC489">
        <v>34.31</v>
      </c>
      <c r="AD489">
        <v>35.01</v>
      </c>
      <c r="AE489">
        <v>113.99</v>
      </c>
      <c r="AF489">
        <v>62.15</v>
      </c>
      <c r="AG489">
        <v>42.23</v>
      </c>
      <c r="AH489">
        <v>20.39</v>
      </c>
      <c r="AI489">
        <v>10.64</v>
      </c>
      <c r="AJ489">
        <v>33.9</v>
      </c>
      <c r="AK489">
        <v>62.68</v>
      </c>
      <c r="AL489">
        <v>59.42</v>
      </c>
      <c r="AM489">
        <v>26.67</v>
      </c>
      <c r="AN489">
        <v>20.29</v>
      </c>
      <c r="AO489" s="1">
        <f t="shared" si="23"/>
        <v>521.67999999999995</v>
      </c>
    </row>
    <row r="490" spans="1:41" x14ac:dyDescent="0.25">
      <c r="A490" t="s">
        <v>533</v>
      </c>
      <c r="B490" s="2">
        <v>2410.3108191811002</v>
      </c>
      <c r="C490" s="2">
        <v>2408.6953878302702</v>
      </c>
      <c r="D490" s="2">
        <v>828.65579351630799</v>
      </c>
      <c r="E490" s="2">
        <v>1030.9087478766301</v>
      </c>
      <c r="F490" s="2">
        <v>6259.1292161595402</v>
      </c>
      <c r="G490" s="2">
        <v>348.90585351561799</v>
      </c>
      <c r="H490" s="2">
        <v>2174.5119984545399</v>
      </c>
      <c r="I490" s="2">
        <v>2958.3441201000901</v>
      </c>
      <c r="J490" s="2">
        <v>278.742447111611</v>
      </c>
      <c r="K490" s="2">
        <v>1817.54103848677</v>
      </c>
      <c r="L490" s="2">
        <v>3801.01643313778</v>
      </c>
      <c r="M490" s="2">
        <v>3977.5296542003598</v>
      </c>
      <c r="N490" s="3">
        <f t="shared" si="21"/>
        <v>28294.291509570623</v>
      </c>
      <c r="O490" s="2">
        <v>2.1985713471725701</v>
      </c>
      <c r="P490" s="2">
        <v>9.2249744935416693</v>
      </c>
      <c r="Q490" s="2">
        <v>0.36573962387919901</v>
      </c>
      <c r="R490" s="2">
        <v>0</v>
      </c>
      <c r="S490" s="2">
        <v>1.1500202321189801</v>
      </c>
      <c r="T490" s="2">
        <v>2.9702032243963399</v>
      </c>
      <c r="U490" s="2">
        <v>3.22172794945882</v>
      </c>
      <c r="V490" s="2">
        <v>0</v>
      </c>
      <c r="W490" s="2">
        <v>5.42349828825059</v>
      </c>
      <c r="X490" s="2">
        <v>3.9481500236362099</v>
      </c>
      <c r="Y490" s="2">
        <v>3.0395970770565</v>
      </c>
      <c r="Z490" s="2">
        <v>1.9937234912944899</v>
      </c>
      <c r="AA490" s="3">
        <f t="shared" si="22"/>
        <v>33.536205750805365</v>
      </c>
      <c r="AB490" t="s">
        <v>63</v>
      </c>
      <c r="AC490">
        <v>48.49</v>
      </c>
      <c r="AD490">
        <v>49.08</v>
      </c>
      <c r="AE490">
        <v>16.670000000000002</v>
      </c>
      <c r="AF490">
        <v>20.62</v>
      </c>
      <c r="AG490">
        <v>125.38</v>
      </c>
      <c r="AH490">
        <v>7.25</v>
      </c>
      <c r="AI490">
        <v>43.86</v>
      </c>
      <c r="AJ490">
        <v>59.18</v>
      </c>
      <c r="AK490">
        <v>6.12</v>
      </c>
      <c r="AL490">
        <v>36.72</v>
      </c>
      <c r="AM490">
        <v>76.400000000000006</v>
      </c>
      <c r="AN490">
        <v>79.739999999999995</v>
      </c>
      <c r="AO490" s="1">
        <f t="shared" si="23"/>
        <v>569.51</v>
      </c>
    </row>
    <row r="491" spans="1:41" x14ac:dyDescent="0.25">
      <c r="A491" t="s">
        <v>534</v>
      </c>
      <c r="B491" s="2">
        <v>2404.7679936725899</v>
      </c>
      <c r="C491" s="2">
        <v>2058.1881372498501</v>
      </c>
      <c r="D491" s="2">
        <v>1036.2703654470999</v>
      </c>
      <c r="E491" s="2">
        <v>1190.9347829231399</v>
      </c>
      <c r="F491" s="2">
        <v>3420.1616593219801</v>
      </c>
      <c r="G491" s="2">
        <v>0</v>
      </c>
      <c r="H491" s="2">
        <v>0</v>
      </c>
      <c r="I491" s="2">
        <v>3840.6210296374802</v>
      </c>
      <c r="J491" s="2">
        <v>3485.6907784311702</v>
      </c>
      <c r="K491" s="2">
        <v>2903.6654772685001</v>
      </c>
      <c r="L491" s="2">
        <v>0</v>
      </c>
      <c r="M491" s="2">
        <v>2528.4469152740298</v>
      </c>
      <c r="N491" s="3">
        <f t="shared" si="21"/>
        <v>22868.747139225841</v>
      </c>
      <c r="O491" s="2">
        <v>0</v>
      </c>
      <c r="P491" s="2">
        <v>12.529117604686901</v>
      </c>
      <c r="Q491" s="2">
        <v>7.8451028037548101</v>
      </c>
      <c r="R491" s="2">
        <v>3.8143818815458501</v>
      </c>
      <c r="S491" s="2">
        <v>1.8356210607239101</v>
      </c>
      <c r="T491" s="2">
        <v>0</v>
      </c>
      <c r="U491" s="2">
        <v>0</v>
      </c>
      <c r="V491" s="2">
        <v>2.7188818232998999</v>
      </c>
      <c r="W491" s="2">
        <v>2.9595058554413201</v>
      </c>
      <c r="X491" s="2">
        <v>6.5798958658398501</v>
      </c>
      <c r="Y491" s="2">
        <v>3.1186397980132798</v>
      </c>
      <c r="Z491" s="2">
        <v>1.6048716437476001</v>
      </c>
      <c r="AA491" s="3">
        <f t="shared" si="22"/>
        <v>43.006018337053419</v>
      </c>
      <c r="AB491" t="s">
        <v>63</v>
      </c>
      <c r="AC491">
        <v>48.1</v>
      </c>
      <c r="AD491">
        <v>42.35</v>
      </c>
      <c r="AE491">
        <v>21.46</v>
      </c>
      <c r="AF491">
        <v>24.18</v>
      </c>
      <c r="AG491">
        <v>68.599999999999994</v>
      </c>
      <c r="AH491">
        <v>0</v>
      </c>
      <c r="AI491">
        <v>0</v>
      </c>
      <c r="AJ491">
        <v>77.09</v>
      </c>
      <c r="AK491">
        <v>69.989999999999995</v>
      </c>
      <c r="AL491">
        <v>58.71</v>
      </c>
      <c r="AM491">
        <v>0.36</v>
      </c>
      <c r="AN491">
        <v>50.76</v>
      </c>
      <c r="AO491" s="1">
        <f t="shared" si="23"/>
        <v>461.59999999999997</v>
      </c>
    </row>
    <row r="492" spans="1:41" x14ac:dyDescent="0.25">
      <c r="A492" t="s">
        <v>535</v>
      </c>
      <c r="B492" s="2">
        <v>2395.89903355767</v>
      </c>
      <c r="C492" s="2">
        <v>5557.9617919703796</v>
      </c>
      <c r="D492" s="2">
        <v>3448.76782922444</v>
      </c>
      <c r="E492" s="2">
        <v>5990.1820437541601</v>
      </c>
      <c r="F492" s="2">
        <v>3194.82917441773</v>
      </c>
      <c r="G492" s="2">
        <v>929.21271137572501</v>
      </c>
      <c r="H492" s="2">
        <v>1540.31389247625</v>
      </c>
      <c r="I492" s="2">
        <v>796.14690035823298</v>
      </c>
      <c r="J492" s="2">
        <v>5619.5964817096801</v>
      </c>
      <c r="K492" s="2">
        <v>6116.1135678849496</v>
      </c>
      <c r="L492" s="2">
        <v>5174.8086448760196</v>
      </c>
      <c r="M492" s="2">
        <v>285.63457873235302</v>
      </c>
      <c r="N492" s="3">
        <f t="shared" si="21"/>
        <v>41049.466650337585</v>
      </c>
      <c r="O492" s="2">
        <v>0.52928155027384605</v>
      </c>
      <c r="P492" s="2">
        <v>7.5672095076933203</v>
      </c>
      <c r="Q492" s="2">
        <v>5.6760656135118897</v>
      </c>
      <c r="R492" s="2">
        <v>2.0512314430030201</v>
      </c>
      <c r="S492" s="2">
        <v>5.2490205007885704</v>
      </c>
      <c r="T492" s="2">
        <v>2.91639089585586</v>
      </c>
      <c r="U492" s="2">
        <v>12.0173253527566</v>
      </c>
      <c r="V492" s="2">
        <v>1.0201896525149099</v>
      </c>
      <c r="W492" s="2">
        <v>2.94194613826514</v>
      </c>
      <c r="X492" s="2">
        <v>2.0707346531496702</v>
      </c>
      <c r="Y492" s="2">
        <v>12.1892441985161</v>
      </c>
      <c r="Z492" s="2">
        <v>1.4102177762566801</v>
      </c>
      <c r="AA492" s="3">
        <f t="shared" si="22"/>
        <v>55.638857282585597</v>
      </c>
      <c r="AB492" t="s">
        <v>45</v>
      </c>
      <c r="AC492">
        <v>34</v>
      </c>
      <c r="AD492">
        <v>65.97</v>
      </c>
      <c r="AE492">
        <v>44.78</v>
      </c>
      <c r="AF492">
        <v>70.05</v>
      </c>
      <c r="AG492">
        <v>42.24</v>
      </c>
      <c r="AH492">
        <v>19.440000000000001</v>
      </c>
      <c r="AI492">
        <v>26.05</v>
      </c>
      <c r="AJ492">
        <v>18.059999999999999</v>
      </c>
      <c r="AK492">
        <v>66.34</v>
      </c>
      <c r="AL492">
        <v>71.31</v>
      </c>
      <c r="AM492">
        <v>62.39</v>
      </c>
      <c r="AN492">
        <v>12.95</v>
      </c>
      <c r="AO492" s="1">
        <f t="shared" si="23"/>
        <v>533.58000000000015</v>
      </c>
    </row>
    <row r="493" spans="1:41" x14ac:dyDescent="0.25">
      <c r="A493" t="s">
        <v>536</v>
      </c>
      <c r="B493" s="2">
        <v>2381.3945490686001</v>
      </c>
      <c r="C493" s="2">
        <v>1011.16462240691</v>
      </c>
      <c r="D493" s="2">
        <v>284.16651318106102</v>
      </c>
      <c r="E493" s="2">
        <v>1345.7129938215101</v>
      </c>
      <c r="F493" s="2">
        <v>2631.7999559231098</v>
      </c>
      <c r="G493" s="2">
        <v>6591.8251584469899</v>
      </c>
      <c r="H493" s="2">
        <v>720.00460606128399</v>
      </c>
      <c r="I493" s="2">
        <v>1513.2574360954</v>
      </c>
      <c r="J493" s="2">
        <v>2017.5309212833499</v>
      </c>
      <c r="K493" s="2">
        <v>0</v>
      </c>
      <c r="L493" s="2">
        <v>9048.7226734245705</v>
      </c>
      <c r="M493" s="2">
        <v>6497.6371928774697</v>
      </c>
      <c r="N493" s="3">
        <f t="shared" si="21"/>
        <v>34043.216622590255</v>
      </c>
      <c r="O493" s="2">
        <v>0.71317395723080201</v>
      </c>
      <c r="P493" s="2">
        <v>6.2025156357707898</v>
      </c>
      <c r="Q493" s="2">
        <v>3.24142907749094</v>
      </c>
      <c r="R493" s="2">
        <v>1.14807802004443</v>
      </c>
      <c r="S493" s="2">
        <v>0.85987222496250304</v>
      </c>
      <c r="T493" s="2">
        <v>1.7199862807816699</v>
      </c>
      <c r="U493" s="2">
        <v>7.7550819129345197</v>
      </c>
      <c r="V493" s="2">
        <v>1.57951841499465</v>
      </c>
      <c r="W493" s="2">
        <v>1.3650209252288701</v>
      </c>
      <c r="X493" s="2">
        <v>12.7038328331606</v>
      </c>
      <c r="Y493" s="2">
        <v>0</v>
      </c>
      <c r="Z493" s="2">
        <v>7.5474769873333099</v>
      </c>
      <c r="AA493" s="3">
        <f t="shared" si="22"/>
        <v>44.835986269933088</v>
      </c>
      <c r="AB493" t="s">
        <v>63</v>
      </c>
      <c r="AC493">
        <v>47.73</v>
      </c>
      <c r="AD493">
        <v>20.87</v>
      </c>
      <c r="AE493">
        <v>6.06</v>
      </c>
      <c r="AF493">
        <v>27.1</v>
      </c>
      <c r="AG493">
        <v>52.73</v>
      </c>
      <c r="AH493">
        <v>132.02000000000001</v>
      </c>
      <c r="AI493">
        <v>15.14</v>
      </c>
      <c r="AJ493">
        <v>30.46</v>
      </c>
      <c r="AK493">
        <v>40.54</v>
      </c>
      <c r="AL493">
        <v>1.17</v>
      </c>
      <c r="AM493">
        <v>180.98</v>
      </c>
      <c r="AN493">
        <v>130.68</v>
      </c>
      <c r="AO493" s="1">
        <f t="shared" si="23"/>
        <v>685.48</v>
      </c>
    </row>
    <row r="494" spans="1:41" x14ac:dyDescent="0.25">
      <c r="A494" t="s">
        <v>537</v>
      </c>
      <c r="B494" s="2">
        <v>2378.9551754690101</v>
      </c>
      <c r="C494" s="2">
        <v>1447.9734045521</v>
      </c>
      <c r="D494" s="2">
        <v>4210.8503556706301</v>
      </c>
      <c r="E494" s="2">
        <v>1739.6218589106099</v>
      </c>
      <c r="F494" s="2">
        <v>4383.3273455880098</v>
      </c>
      <c r="G494" s="2">
        <v>1791.0964870777</v>
      </c>
      <c r="H494" s="2">
        <v>5654.4924997985399</v>
      </c>
      <c r="I494" s="2">
        <v>3754.4524806458699</v>
      </c>
      <c r="J494" s="2">
        <v>1028.9168886739101</v>
      </c>
      <c r="K494" s="2">
        <v>6549.2998166371899</v>
      </c>
      <c r="L494" s="2">
        <v>2999.77099210707</v>
      </c>
      <c r="M494" s="2">
        <v>0</v>
      </c>
      <c r="N494" s="3">
        <f t="shared" si="21"/>
        <v>35938.757305130639</v>
      </c>
      <c r="O494" s="2">
        <v>4.28727597159991</v>
      </c>
      <c r="P494" s="2">
        <v>14.6455583542353</v>
      </c>
      <c r="Q494" s="2">
        <v>0.87695418863658803</v>
      </c>
      <c r="R494" s="2">
        <v>0</v>
      </c>
      <c r="S494" s="2">
        <v>2.9332364932812101</v>
      </c>
      <c r="T494" s="2">
        <v>4.7752105199905097</v>
      </c>
      <c r="U494" s="2">
        <v>3.0229330667507899</v>
      </c>
      <c r="V494" s="2">
        <v>1.9443784203657</v>
      </c>
      <c r="W494" s="2">
        <v>3.3188316166380099</v>
      </c>
      <c r="X494" s="2">
        <v>1.2860442297724299</v>
      </c>
      <c r="Y494" s="2">
        <v>2.73778291212622</v>
      </c>
      <c r="Z494" s="2">
        <v>2.6542913779985402</v>
      </c>
      <c r="AA494" s="3">
        <f t="shared" si="22"/>
        <v>42.482497151395208</v>
      </c>
      <c r="AB494" t="s">
        <v>63</v>
      </c>
      <c r="AC494">
        <v>48.03</v>
      </c>
      <c r="AD494">
        <v>30.31</v>
      </c>
      <c r="AE494">
        <v>84.31</v>
      </c>
      <c r="AF494">
        <v>34.799999999999997</v>
      </c>
      <c r="AG494">
        <v>87.95</v>
      </c>
      <c r="AH494">
        <v>36.29</v>
      </c>
      <c r="AI494">
        <v>113.46</v>
      </c>
      <c r="AJ494">
        <v>75.28</v>
      </c>
      <c r="AK494">
        <v>20.94</v>
      </c>
      <c r="AL494">
        <v>131.18</v>
      </c>
      <c r="AM494">
        <v>60.27</v>
      </c>
      <c r="AN494">
        <v>0.27</v>
      </c>
      <c r="AO494" s="1">
        <f t="shared" si="23"/>
        <v>723.08999999999992</v>
      </c>
    </row>
    <row r="495" spans="1:41" x14ac:dyDescent="0.25">
      <c r="A495" t="s">
        <v>538</v>
      </c>
      <c r="B495" s="2">
        <v>2373.4220718884799</v>
      </c>
      <c r="C495" s="2">
        <v>8051.0450499755698</v>
      </c>
      <c r="D495" s="2">
        <v>1652.70663756662</v>
      </c>
      <c r="E495" s="2">
        <v>881.53690877290001</v>
      </c>
      <c r="F495" s="2">
        <v>3091.1058983232301</v>
      </c>
      <c r="G495" s="2">
        <v>3144.2440921703101</v>
      </c>
      <c r="H495" s="2">
        <v>0</v>
      </c>
      <c r="I495" s="2">
        <v>0</v>
      </c>
      <c r="J495" s="2">
        <v>627.52095365098899</v>
      </c>
      <c r="K495" s="2">
        <v>446.19855278280602</v>
      </c>
      <c r="L495" s="2">
        <v>1319.05000884898</v>
      </c>
      <c r="M495" s="2">
        <v>1684.9003099532999</v>
      </c>
      <c r="N495" s="3">
        <f t="shared" si="21"/>
        <v>23271.730483933188</v>
      </c>
      <c r="O495" s="2">
        <v>3.1877034212299802</v>
      </c>
      <c r="P495" s="2">
        <v>7.6013611370948597</v>
      </c>
      <c r="Q495" s="2">
        <v>1.6395558762981</v>
      </c>
      <c r="R495" s="2">
        <v>3.19094651329344</v>
      </c>
      <c r="S495" s="2">
        <v>14.295013523851001</v>
      </c>
      <c r="T495" s="2">
        <v>2.5385266180170798</v>
      </c>
      <c r="U495" s="2">
        <v>10.549566903112201</v>
      </c>
      <c r="V495" s="2">
        <v>0</v>
      </c>
      <c r="W495" s="2">
        <v>2.4556422174594501</v>
      </c>
      <c r="X495" s="2">
        <v>0.69892521122900098</v>
      </c>
      <c r="Y495" s="2">
        <v>5.77415771727477</v>
      </c>
      <c r="Z495" s="2">
        <v>14.3017957751736</v>
      </c>
      <c r="AA495" s="3">
        <f t="shared" si="22"/>
        <v>66.233194914033476</v>
      </c>
      <c r="AB495" t="s">
        <v>63</v>
      </c>
      <c r="AC495">
        <v>47.84</v>
      </c>
      <c r="AD495">
        <v>161.76</v>
      </c>
      <c r="AE495">
        <v>33.24</v>
      </c>
      <c r="AF495">
        <v>18</v>
      </c>
      <c r="AG495">
        <v>63.19</v>
      </c>
      <c r="AH495">
        <v>63.17</v>
      </c>
      <c r="AI495">
        <v>0.99</v>
      </c>
      <c r="AJ495">
        <v>0</v>
      </c>
      <c r="AK495">
        <v>12.83</v>
      </c>
      <c r="AL495">
        <v>9.0299999999999994</v>
      </c>
      <c r="AM495">
        <v>26.94</v>
      </c>
      <c r="AN495">
        <v>35.049999999999997</v>
      </c>
      <c r="AO495" s="1">
        <f t="shared" si="23"/>
        <v>472.04</v>
      </c>
    </row>
    <row r="496" spans="1:41" x14ac:dyDescent="0.25">
      <c r="A496" t="s">
        <v>539</v>
      </c>
      <c r="B496" s="2">
        <v>2365.2225729289298</v>
      </c>
      <c r="C496" s="2">
        <v>973.05545558549295</v>
      </c>
      <c r="D496" s="2">
        <v>5833.4494751641696</v>
      </c>
      <c r="E496" s="2">
        <v>5351.5623036122397</v>
      </c>
      <c r="F496" s="2">
        <v>1037.1755001382001</v>
      </c>
      <c r="G496" s="2">
        <v>5383.2916083219498</v>
      </c>
      <c r="H496" s="2">
        <v>2574.6563019493901</v>
      </c>
      <c r="I496" s="2">
        <v>750.13720368027202</v>
      </c>
      <c r="J496" s="2">
        <v>1919.7498960125299</v>
      </c>
      <c r="K496" s="2">
        <v>9569.9129430611101</v>
      </c>
      <c r="L496" s="2">
        <v>2061.8238263455301</v>
      </c>
      <c r="M496" s="2">
        <v>5205.6031146834403</v>
      </c>
      <c r="N496" s="3">
        <f t="shared" si="21"/>
        <v>43025.640201483257</v>
      </c>
      <c r="O496" s="2">
        <v>1.65440449965144</v>
      </c>
      <c r="P496" s="2">
        <v>7.3715011461023501</v>
      </c>
      <c r="Q496" s="2">
        <v>2.7498321836738602</v>
      </c>
      <c r="R496" s="2">
        <v>1.8133369514384601</v>
      </c>
      <c r="S496" s="2">
        <v>1.0609175454085</v>
      </c>
      <c r="T496" s="2">
        <v>0</v>
      </c>
      <c r="U496" s="2">
        <v>2.57814581315125</v>
      </c>
      <c r="V496" s="2">
        <v>1.66589695703298</v>
      </c>
      <c r="W496" s="2">
        <v>1.3687772207990201</v>
      </c>
      <c r="X496" s="2">
        <v>3.49291773448271</v>
      </c>
      <c r="Y496" s="2">
        <v>5.5362509651635898</v>
      </c>
      <c r="Z496" s="2">
        <v>6.7615891749838903</v>
      </c>
      <c r="AA496" s="3">
        <f t="shared" si="22"/>
        <v>36.053570191888049</v>
      </c>
      <c r="AB496" t="s">
        <v>45</v>
      </c>
      <c r="AC496">
        <v>33.75</v>
      </c>
      <c r="AD496">
        <v>20.13</v>
      </c>
      <c r="AE496">
        <v>68.48</v>
      </c>
      <c r="AF496">
        <v>63.61</v>
      </c>
      <c r="AG496">
        <v>20.47</v>
      </c>
      <c r="AH496">
        <v>63.83</v>
      </c>
      <c r="AI496">
        <v>35.89</v>
      </c>
      <c r="AJ496">
        <v>17.600000000000001</v>
      </c>
      <c r="AK496">
        <v>29.29</v>
      </c>
      <c r="AL496">
        <v>105.89</v>
      </c>
      <c r="AM496">
        <v>30.91</v>
      </c>
      <c r="AN496">
        <v>62.4</v>
      </c>
      <c r="AO496" s="1">
        <f t="shared" si="23"/>
        <v>552.25</v>
      </c>
    </row>
    <row r="497" spans="1:41" x14ac:dyDescent="0.25">
      <c r="A497" t="s">
        <v>540</v>
      </c>
      <c r="B497" s="2">
        <v>2363.6407390210802</v>
      </c>
      <c r="C497" s="2">
        <v>957.01842496326606</v>
      </c>
      <c r="D497" s="2">
        <v>7256.6325867802998</v>
      </c>
      <c r="E497" s="2">
        <v>1222.00203894067</v>
      </c>
      <c r="F497" s="2">
        <v>4817.6188611175803</v>
      </c>
      <c r="G497" s="2">
        <v>0</v>
      </c>
      <c r="H497" s="2">
        <v>4323.2947855676803</v>
      </c>
      <c r="I497" s="2">
        <v>2707.7794186752999</v>
      </c>
      <c r="J497" s="2">
        <v>168.16955017456399</v>
      </c>
      <c r="K497" s="2">
        <v>2370.7734160740902</v>
      </c>
      <c r="L497" s="2">
        <v>4323.2249266927101</v>
      </c>
      <c r="M497" s="2">
        <v>280.36898538600201</v>
      </c>
      <c r="N497" s="3">
        <f t="shared" si="21"/>
        <v>30790.523733393238</v>
      </c>
      <c r="O497" s="2">
        <v>0.60680998816503595</v>
      </c>
      <c r="P497" s="2">
        <v>0</v>
      </c>
      <c r="Q497" s="2">
        <v>0.63977609852221196</v>
      </c>
      <c r="R497" s="2">
        <v>12.9314613533978</v>
      </c>
      <c r="S497" s="2">
        <v>0.597415776308167</v>
      </c>
      <c r="T497" s="2">
        <v>5.8263433198671404</v>
      </c>
      <c r="U497" s="2">
        <v>4.4286934864219001</v>
      </c>
      <c r="V497" s="2">
        <v>0.66235897186784798</v>
      </c>
      <c r="W497" s="2">
        <v>0</v>
      </c>
      <c r="X497" s="2">
        <v>0</v>
      </c>
      <c r="Y497" s="2">
        <v>5.3973432276444502</v>
      </c>
      <c r="Z497" s="2">
        <v>5.6172892331734001</v>
      </c>
      <c r="AA497" s="3">
        <f t="shared" si="22"/>
        <v>36.707491455367958</v>
      </c>
      <c r="AB497" t="s">
        <v>63</v>
      </c>
      <c r="AC497">
        <v>47.37</v>
      </c>
      <c r="AD497">
        <v>19.16</v>
      </c>
      <c r="AE497">
        <v>145.22999999999999</v>
      </c>
      <c r="AF497">
        <v>25.63</v>
      </c>
      <c r="AG497">
        <v>96.45</v>
      </c>
      <c r="AH497">
        <v>0.54</v>
      </c>
      <c r="AI497">
        <v>86.93</v>
      </c>
      <c r="AJ497">
        <v>54.25</v>
      </c>
      <c r="AK497">
        <v>3.38</v>
      </c>
      <c r="AL497">
        <v>47.42</v>
      </c>
      <c r="AM497">
        <v>87.02</v>
      </c>
      <c r="AN497">
        <v>6.16</v>
      </c>
      <c r="AO497" s="1">
        <f t="shared" si="23"/>
        <v>619.54</v>
      </c>
    </row>
    <row r="498" spans="1:41" x14ac:dyDescent="0.25">
      <c r="A498" t="s">
        <v>541</v>
      </c>
      <c r="B498" s="2">
        <v>2360.2969478001801</v>
      </c>
      <c r="C498" s="2">
        <v>138.958108612964</v>
      </c>
      <c r="D498" s="2">
        <v>3939.5663878341902</v>
      </c>
      <c r="E498" s="2">
        <v>282.77706836982298</v>
      </c>
      <c r="F498" s="2">
        <v>1026.1494074432501</v>
      </c>
      <c r="G498" s="2">
        <v>1357.14150598628</v>
      </c>
      <c r="H498" s="2">
        <v>4307.2762741282204</v>
      </c>
      <c r="I498" s="2">
        <v>6274.8929174451096</v>
      </c>
      <c r="J498" s="2">
        <v>3625.4387062304099</v>
      </c>
      <c r="K498" s="2">
        <v>1787.6625273401601</v>
      </c>
      <c r="L498" s="2">
        <v>869.98034178986995</v>
      </c>
      <c r="M498" s="2">
        <v>642.35339829696795</v>
      </c>
      <c r="N498" s="3">
        <f t="shared" si="21"/>
        <v>26612.49359127742</v>
      </c>
      <c r="O498" s="2">
        <v>5.3967752102279603</v>
      </c>
      <c r="P498" s="2">
        <v>4.30008745944202</v>
      </c>
      <c r="Q498" s="2">
        <v>12.021885803474399</v>
      </c>
      <c r="R498" s="2">
        <v>0.68602082060053504</v>
      </c>
      <c r="S498" s="2">
        <v>0</v>
      </c>
      <c r="T498" s="2">
        <v>1.42311505047092</v>
      </c>
      <c r="U498" s="2">
        <v>5.9387064667548799</v>
      </c>
      <c r="V498" s="2">
        <v>3.5829672018161798</v>
      </c>
      <c r="W498" s="2">
        <v>6.0725038946100796</v>
      </c>
      <c r="X498" s="2">
        <v>0</v>
      </c>
      <c r="Y498" s="2">
        <v>0.97720383553786705</v>
      </c>
      <c r="Z498" s="2">
        <v>0.19017258002706799</v>
      </c>
      <c r="AA498" s="3">
        <f t="shared" si="22"/>
        <v>40.589438322961904</v>
      </c>
      <c r="AB498" t="s">
        <v>63</v>
      </c>
      <c r="AC498">
        <v>47.76</v>
      </c>
      <c r="AD498">
        <v>3.23</v>
      </c>
      <c r="AE498">
        <v>79.97</v>
      </c>
      <c r="AF498">
        <v>5.75</v>
      </c>
      <c r="AG498">
        <v>20.54</v>
      </c>
      <c r="AH498">
        <v>27.34</v>
      </c>
      <c r="AI498">
        <v>86.7</v>
      </c>
      <c r="AJ498">
        <v>125.86</v>
      </c>
      <c r="AK498">
        <v>73.150000000000006</v>
      </c>
      <c r="AL498">
        <v>35.76</v>
      </c>
      <c r="AM498">
        <v>17.489999999999998</v>
      </c>
      <c r="AN498">
        <v>12.95</v>
      </c>
      <c r="AO498" s="1">
        <f t="shared" si="23"/>
        <v>536.5</v>
      </c>
    </row>
    <row r="499" spans="1:41" x14ac:dyDescent="0.25">
      <c r="A499" t="s">
        <v>542</v>
      </c>
      <c r="B499" s="2">
        <v>2357.9286271221799</v>
      </c>
      <c r="C499" s="2">
        <v>8887.0334357318497</v>
      </c>
      <c r="D499" s="2">
        <v>81.716145556117496</v>
      </c>
      <c r="E499" s="2">
        <v>0</v>
      </c>
      <c r="F499" s="2">
        <v>0</v>
      </c>
      <c r="G499" s="2">
        <v>796.85501150380401</v>
      </c>
      <c r="H499" s="2">
        <v>1102.5194435569599</v>
      </c>
      <c r="I499" s="2">
        <v>4378.5680880711398</v>
      </c>
      <c r="J499" s="2">
        <v>3945.4313861729001</v>
      </c>
      <c r="K499" s="2">
        <v>4287.7040872077496</v>
      </c>
      <c r="L499" s="2">
        <v>5114.5141794021602</v>
      </c>
      <c r="M499" s="2">
        <v>5572.0148661150797</v>
      </c>
      <c r="N499" s="3">
        <f t="shared" si="21"/>
        <v>36524.285270439941</v>
      </c>
      <c r="O499" s="2">
        <v>7.4319013986251399</v>
      </c>
      <c r="P499" s="2">
        <v>12.499327546795801</v>
      </c>
      <c r="Q499" s="2">
        <v>1.3575775850217999</v>
      </c>
      <c r="R499" s="2">
        <v>0</v>
      </c>
      <c r="S499" s="2">
        <v>12.765289126070501</v>
      </c>
      <c r="T499" s="2">
        <v>3.6151604968329498</v>
      </c>
      <c r="U499" s="2">
        <v>0</v>
      </c>
      <c r="V499" s="2">
        <v>1.8493933686136801</v>
      </c>
      <c r="W499" s="2">
        <v>2.8375164104506201</v>
      </c>
      <c r="X499" s="2">
        <v>3.4379361513164701</v>
      </c>
      <c r="Y499" s="2">
        <v>6.2212402765247496</v>
      </c>
      <c r="Z499" s="2">
        <v>22.281134537629899</v>
      </c>
      <c r="AA499" s="3">
        <f t="shared" si="22"/>
        <v>74.296476897881604</v>
      </c>
      <c r="AB499" t="s">
        <v>45</v>
      </c>
      <c r="AC499">
        <v>33.97</v>
      </c>
      <c r="AD499">
        <v>99.52</v>
      </c>
      <c r="AE499">
        <v>10.91</v>
      </c>
      <c r="AF499">
        <v>9.99</v>
      </c>
      <c r="AG499">
        <v>10.64</v>
      </c>
      <c r="AH499">
        <v>18.16</v>
      </c>
      <c r="AI499">
        <v>21.02</v>
      </c>
      <c r="AJ499">
        <v>53.88</v>
      </c>
      <c r="AK499">
        <v>49.6</v>
      </c>
      <c r="AL499">
        <v>53.07</v>
      </c>
      <c r="AM499">
        <v>61.49</v>
      </c>
      <c r="AN499">
        <v>66.87</v>
      </c>
      <c r="AO499" s="1">
        <f t="shared" si="23"/>
        <v>489.12000000000006</v>
      </c>
    </row>
    <row r="500" spans="1:41" x14ac:dyDescent="0.25">
      <c r="A500" t="s">
        <v>543</v>
      </c>
      <c r="B500" s="2">
        <v>2356.2353904372899</v>
      </c>
      <c r="C500" s="2">
        <v>444.144766978245</v>
      </c>
      <c r="D500" s="2">
        <v>1273.6092919420701</v>
      </c>
      <c r="E500" s="2">
        <v>2452.7716652847898</v>
      </c>
      <c r="F500" s="2">
        <v>473.78596059090103</v>
      </c>
      <c r="G500" s="2">
        <v>2454.1920067075598</v>
      </c>
      <c r="H500" s="2">
        <v>11892.715862044401</v>
      </c>
      <c r="I500" s="2">
        <v>0</v>
      </c>
      <c r="J500" s="2">
        <v>2231.8878659352599</v>
      </c>
      <c r="K500" s="2">
        <v>12513.6841554806</v>
      </c>
      <c r="L500" s="2">
        <v>7348.4293672154499</v>
      </c>
      <c r="M500" s="2">
        <v>6469.1805273355903</v>
      </c>
      <c r="N500" s="3">
        <f t="shared" si="21"/>
        <v>49910.636859952159</v>
      </c>
      <c r="O500" s="2">
        <v>6.1531846532817802</v>
      </c>
      <c r="P500" s="2">
        <v>3.5167974218726599</v>
      </c>
      <c r="Q500" s="2">
        <v>0</v>
      </c>
      <c r="R500" s="2">
        <v>8.16628888073806</v>
      </c>
      <c r="S500" s="2">
        <v>1.2421875596815699</v>
      </c>
      <c r="T500" s="2">
        <v>2.2058896415178699</v>
      </c>
      <c r="U500" s="2">
        <v>2.1846447018094901</v>
      </c>
      <c r="V500" s="2">
        <v>2.8069360332672799</v>
      </c>
      <c r="W500" s="2">
        <v>1.78295658636596</v>
      </c>
      <c r="X500" s="2">
        <v>2.4840304106582898</v>
      </c>
      <c r="Y500" s="2">
        <v>3.7049902037974398</v>
      </c>
      <c r="Z500" s="2">
        <v>17.471149395344401</v>
      </c>
      <c r="AA500" s="3">
        <f t="shared" si="22"/>
        <v>51.719055488334803</v>
      </c>
      <c r="AB500" t="s">
        <v>45</v>
      </c>
      <c r="AC500">
        <v>33.909999999999997</v>
      </c>
      <c r="AD500">
        <v>14.64</v>
      </c>
      <c r="AE500">
        <v>22.73</v>
      </c>
      <c r="AF500">
        <v>34.97</v>
      </c>
      <c r="AG500">
        <v>14.83</v>
      </c>
      <c r="AH500">
        <v>34.69</v>
      </c>
      <c r="AI500">
        <v>129.07</v>
      </c>
      <c r="AJ500">
        <v>10.14</v>
      </c>
      <c r="AK500">
        <v>32.409999999999997</v>
      </c>
      <c r="AL500">
        <v>135.28</v>
      </c>
      <c r="AM500">
        <v>83.68</v>
      </c>
      <c r="AN500">
        <v>75.59</v>
      </c>
      <c r="AO500" s="1">
        <f t="shared" si="23"/>
        <v>621.93999999999994</v>
      </c>
    </row>
    <row r="501" spans="1:41" x14ac:dyDescent="0.25">
      <c r="A501" t="s">
        <v>544</v>
      </c>
      <c r="B501" s="2">
        <v>2342.2709740372902</v>
      </c>
      <c r="C501" s="2">
        <v>3642.6828982009301</v>
      </c>
      <c r="D501" s="2">
        <v>5303.2712090642999</v>
      </c>
      <c r="E501" s="2">
        <v>1509.9737288066201</v>
      </c>
      <c r="F501" s="2">
        <v>11942.540496882501</v>
      </c>
      <c r="G501" s="2">
        <v>6878.9140568747098</v>
      </c>
      <c r="H501" s="2">
        <v>607.44775080689703</v>
      </c>
      <c r="I501" s="2">
        <v>3545.6678142619999</v>
      </c>
      <c r="J501" s="2">
        <v>4958.6203521037296</v>
      </c>
      <c r="K501" s="2">
        <v>1781.5612648900999</v>
      </c>
      <c r="L501" s="2">
        <v>7509.8609742260396</v>
      </c>
      <c r="M501" s="2">
        <v>4227.7262008109901</v>
      </c>
      <c r="N501" s="3">
        <f t="shared" si="21"/>
        <v>54250.537720966109</v>
      </c>
      <c r="O501" s="2">
        <v>2.19055853268542</v>
      </c>
      <c r="P501" s="2">
        <v>7.4327812615538598</v>
      </c>
      <c r="Q501" s="2">
        <v>2.6631744983454402</v>
      </c>
      <c r="R501" s="2">
        <v>2.1242841049421899</v>
      </c>
      <c r="S501" s="2">
        <v>8.1628770464248195</v>
      </c>
      <c r="T501" s="2">
        <v>1.87460279050253</v>
      </c>
      <c r="U501" s="2">
        <v>0</v>
      </c>
      <c r="V501" s="2">
        <v>0</v>
      </c>
      <c r="W501" s="2">
        <v>3.3075112801226201</v>
      </c>
      <c r="X501" s="2">
        <v>4.6203000300069199</v>
      </c>
      <c r="Y501" s="2">
        <v>0.82867994267759304</v>
      </c>
      <c r="Z501" s="2">
        <v>2.0004266652905001</v>
      </c>
      <c r="AA501" s="3">
        <f t="shared" si="22"/>
        <v>35.205196152551885</v>
      </c>
      <c r="AB501" t="s">
        <v>45</v>
      </c>
      <c r="AC501">
        <v>33.57</v>
      </c>
      <c r="AD501">
        <v>46.82</v>
      </c>
      <c r="AE501">
        <v>63.18</v>
      </c>
      <c r="AF501">
        <v>25.24</v>
      </c>
      <c r="AG501">
        <v>129.87</v>
      </c>
      <c r="AH501">
        <v>78.88</v>
      </c>
      <c r="AI501">
        <v>16.07</v>
      </c>
      <c r="AJ501">
        <v>45.45</v>
      </c>
      <c r="AK501">
        <v>59.78</v>
      </c>
      <c r="AL501">
        <v>28.06</v>
      </c>
      <c r="AM501">
        <v>85.14</v>
      </c>
      <c r="AN501">
        <v>52.42</v>
      </c>
      <c r="AO501" s="1">
        <f t="shared" si="23"/>
        <v>664.4799999999999</v>
      </c>
    </row>
    <row r="502" spans="1:41" x14ac:dyDescent="0.25">
      <c r="A502" t="s">
        <v>545</v>
      </c>
      <c r="B502" s="2">
        <v>2341.0734652524998</v>
      </c>
      <c r="C502" s="2">
        <v>54.201471248647501</v>
      </c>
      <c r="D502" s="2">
        <v>1781.1363617387501</v>
      </c>
      <c r="E502" s="2">
        <v>12763.0053895933</v>
      </c>
      <c r="F502" s="2">
        <v>1169.93867040488</v>
      </c>
      <c r="G502" s="2">
        <v>1750.4410593141199</v>
      </c>
      <c r="H502" s="2">
        <v>2908.62391592942</v>
      </c>
      <c r="I502" s="2">
        <v>4365.1880092143401</v>
      </c>
      <c r="J502" s="2">
        <v>5456.8997437094604</v>
      </c>
      <c r="K502" s="2">
        <v>5354.7830115392298</v>
      </c>
      <c r="L502" s="2">
        <v>1.34780070613015</v>
      </c>
      <c r="M502" s="2">
        <v>865.53899424848998</v>
      </c>
      <c r="N502" s="3">
        <f t="shared" si="21"/>
        <v>38812.177892899264</v>
      </c>
      <c r="O502" s="2">
        <v>1.87558524763151</v>
      </c>
      <c r="P502" s="2">
        <v>15.6286717825773</v>
      </c>
      <c r="Q502" s="2">
        <v>1.5090579399883699</v>
      </c>
      <c r="R502" s="2">
        <v>2.6412261741898599</v>
      </c>
      <c r="S502" s="2">
        <v>0.90623773186566103</v>
      </c>
      <c r="T502" s="2">
        <v>12.5181200845175</v>
      </c>
      <c r="U502" s="2">
        <v>0</v>
      </c>
      <c r="V502" s="2">
        <v>2.53966986703495</v>
      </c>
      <c r="W502" s="2">
        <v>6.07914386635042</v>
      </c>
      <c r="X502" s="2">
        <v>5.1524190507609502</v>
      </c>
      <c r="Y502" s="2">
        <v>1.0088047463316701</v>
      </c>
      <c r="Z502" s="2">
        <v>1.5198170109867299</v>
      </c>
      <c r="AA502" s="3">
        <f t="shared" si="22"/>
        <v>51.378753502234922</v>
      </c>
      <c r="AB502" t="s">
        <v>45</v>
      </c>
      <c r="AC502">
        <v>33.51</v>
      </c>
      <c r="AD502">
        <v>11.34</v>
      </c>
      <c r="AE502">
        <v>27.91</v>
      </c>
      <c r="AF502">
        <v>137.78</v>
      </c>
      <c r="AG502">
        <v>21.74</v>
      </c>
      <c r="AH502">
        <v>28.15</v>
      </c>
      <c r="AI502">
        <v>39.08</v>
      </c>
      <c r="AJ502">
        <v>53.8</v>
      </c>
      <c r="AK502">
        <v>64.91</v>
      </c>
      <c r="AL502">
        <v>63.84</v>
      </c>
      <c r="AM502">
        <v>10.11</v>
      </c>
      <c r="AN502">
        <v>18.75</v>
      </c>
      <c r="AO502" s="1">
        <f t="shared" si="23"/>
        <v>510.92000000000007</v>
      </c>
    </row>
    <row r="503" spans="1:41" x14ac:dyDescent="0.25">
      <c r="A503" t="s">
        <v>546</v>
      </c>
      <c r="B503" s="2">
        <v>2337.97443018178</v>
      </c>
      <c r="C503" s="2">
        <v>5015.1257096347199</v>
      </c>
      <c r="D503" s="2">
        <v>411.852309416156</v>
      </c>
      <c r="E503" s="2">
        <v>2794.7160573167598</v>
      </c>
      <c r="F503" s="2">
        <v>308.225259317449</v>
      </c>
      <c r="G503" s="2">
        <v>993.08153919425001</v>
      </c>
      <c r="H503" s="2">
        <v>3422.1650331781402</v>
      </c>
      <c r="I503" s="2">
        <v>1076.56215979581</v>
      </c>
      <c r="J503" s="2">
        <v>0</v>
      </c>
      <c r="K503" s="2">
        <v>7710.1031825261098</v>
      </c>
      <c r="L503" s="2">
        <v>2759.4499324614699</v>
      </c>
      <c r="M503" s="2">
        <v>1262.6530001440699</v>
      </c>
      <c r="N503" s="3">
        <f t="shared" si="21"/>
        <v>28091.908613166717</v>
      </c>
      <c r="O503" s="2">
        <v>0</v>
      </c>
      <c r="P503" s="2">
        <v>0</v>
      </c>
      <c r="Q503" s="2">
        <v>0.70797162013201298</v>
      </c>
      <c r="R503" s="2">
        <v>7.5183427973906101</v>
      </c>
      <c r="S503" s="2">
        <v>8.4113910610302192</v>
      </c>
      <c r="T503" s="2">
        <v>0</v>
      </c>
      <c r="U503" s="2">
        <v>3.9643094990894898</v>
      </c>
      <c r="V503" s="2">
        <v>10.886252143290299</v>
      </c>
      <c r="W503" s="2">
        <v>3.5482457095117899</v>
      </c>
      <c r="X503" s="2">
        <v>7.5510032751911602</v>
      </c>
      <c r="Y503" s="2">
        <v>0.44583917042093102</v>
      </c>
      <c r="Z503" s="2">
        <v>10.3087032956432</v>
      </c>
      <c r="AA503" s="3">
        <f t="shared" si="22"/>
        <v>53.342058571699717</v>
      </c>
      <c r="AB503" t="s">
        <v>63</v>
      </c>
      <c r="AC503">
        <v>46.76</v>
      </c>
      <c r="AD503">
        <v>100.32</v>
      </c>
      <c r="AE503">
        <v>8.33</v>
      </c>
      <c r="AF503">
        <v>56.62</v>
      </c>
      <c r="AG503">
        <v>6.99</v>
      </c>
      <c r="AH503">
        <v>19.88</v>
      </c>
      <c r="AI503">
        <v>68.819999999999993</v>
      </c>
      <c r="AJ503">
        <v>22.53</v>
      </c>
      <c r="AK503">
        <v>0.36</v>
      </c>
      <c r="AL503">
        <v>154.94</v>
      </c>
      <c r="AM503">
        <v>55.29</v>
      </c>
      <c r="AN503">
        <v>26.25</v>
      </c>
      <c r="AO503" s="1">
        <f t="shared" si="23"/>
        <v>567.09</v>
      </c>
    </row>
    <row r="504" spans="1:41" x14ac:dyDescent="0.25">
      <c r="A504" t="s">
        <v>547</v>
      </c>
      <c r="B504" s="2">
        <v>2332.65040420884</v>
      </c>
      <c r="C504" s="2">
        <v>2655.5717159563701</v>
      </c>
      <c r="D504" s="2">
        <v>907.44853707359698</v>
      </c>
      <c r="E504" s="2">
        <v>5760.1299614151503</v>
      </c>
      <c r="F504" s="2">
        <v>1121.4051261142699</v>
      </c>
      <c r="G504" s="2">
        <v>5240.8321575300097</v>
      </c>
      <c r="H504" s="2">
        <v>421.70338403602898</v>
      </c>
      <c r="I504" s="2">
        <v>721.54417550033099</v>
      </c>
      <c r="J504" s="2">
        <v>1561.2485876078199</v>
      </c>
      <c r="K504" s="2">
        <v>15053.0764301908</v>
      </c>
      <c r="L504" s="2">
        <v>1986.80381579921</v>
      </c>
      <c r="M504" s="2">
        <v>662.11516690507301</v>
      </c>
      <c r="N504" s="3">
        <f t="shared" si="21"/>
        <v>38424.529462337501</v>
      </c>
      <c r="O504" s="2">
        <v>8.5157765494672208</v>
      </c>
      <c r="P504" s="2">
        <v>1.77421887133112</v>
      </c>
      <c r="Q504" s="2">
        <v>0</v>
      </c>
      <c r="R504" s="2">
        <v>14.824236731957299</v>
      </c>
      <c r="S504" s="2">
        <v>2.1079634771807898</v>
      </c>
      <c r="T504" s="2">
        <v>1.18943510871907</v>
      </c>
      <c r="U504" s="2">
        <v>4.9781656686682902</v>
      </c>
      <c r="V504" s="2">
        <v>2.4162485155598601</v>
      </c>
      <c r="W504" s="2">
        <v>0.99078650275510305</v>
      </c>
      <c r="X504" s="2">
        <v>0</v>
      </c>
      <c r="Y504" s="2">
        <v>2.0050684741156499</v>
      </c>
      <c r="Z504" s="2">
        <v>2.1952550000539799</v>
      </c>
      <c r="AA504" s="3">
        <f t="shared" si="22"/>
        <v>40.997154899808386</v>
      </c>
      <c r="AB504" t="s">
        <v>45</v>
      </c>
      <c r="AC504">
        <v>33.770000000000003</v>
      </c>
      <c r="AD504">
        <v>36.65</v>
      </c>
      <c r="AE504">
        <v>19.07</v>
      </c>
      <c r="AF504">
        <v>68.349999999999994</v>
      </c>
      <c r="AG504">
        <v>21.36</v>
      </c>
      <c r="AH504">
        <v>62.5</v>
      </c>
      <c r="AI504">
        <v>14.46</v>
      </c>
      <c r="AJ504">
        <v>17.36</v>
      </c>
      <c r="AK504">
        <v>25.66</v>
      </c>
      <c r="AL504">
        <v>160.53</v>
      </c>
      <c r="AM504">
        <v>30.01</v>
      </c>
      <c r="AN504">
        <v>16.77</v>
      </c>
      <c r="AO504" s="1">
        <f t="shared" si="23"/>
        <v>506.49</v>
      </c>
    </row>
    <row r="505" spans="1:41" x14ac:dyDescent="0.25">
      <c r="A505" t="s">
        <v>548</v>
      </c>
      <c r="B505" s="2">
        <v>2326.4966848210502</v>
      </c>
      <c r="C505" s="2">
        <v>2517.65872709613</v>
      </c>
      <c r="D505" s="2">
        <v>3115.4112325964502</v>
      </c>
      <c r="E505" s="2">
        <v>7943.0273614175703</v>
      </c>
      <c r="F505" s="2">
        <v>1490.60491096844</v>
      </c>
      <c r="G505" s="2">
        <v>603.74720042649199</v>
      </c>
      <c r="H505" s="2">
        <v>2742.50694694097</v>
      </c>
      <c r="I505" s="2">
        <v>481.90627874861798</v>
      </c>
      <c r="J505" s="2">
        <v>4773.8236945725503</v>
      </c>
      <c r="K505" s="2">
        <v>4400.7169674927</v>
      </c>
      <c r="L505" s="2">
        <v>7270.3192390639597</v>
      </c>
      <c r="M505" s="2">
        <v>5723.26972688347</v>
      </c>
      <c r="N505" s="3">
        <f t="shared" si="21"/>
        <v>43389.488971028397</v>
      </c>
      <c r="O505" s="2">
        <v>6.3056958521386601</v>
      </c>
      <c r="P505" s="2">
        <v>0.84631232342607798</v>
      </c>
      <c r="Q505" s="2">
        <v>3.26026387854833E-2</v>
      </c>
      <c r="R505" s="2">
        <v>2.0232316267473598</v>
      </c>
      <c r="S505" s="2">
        <v>2.2075679562750299</v>
      </c>
      <c r="T505" s="2">
        <v>1.4902948665289699</v>
      </c>
      <c r="U505" s="2">
        <v>1.47786188260588</v>
      </c>
      <c r="V505" s="2">
        <v>1.9093401893372799</v>
      </c>
      <c r="W505" s="2">
        <v>4.80502057730821</v>
      </c>
      <c r="X505" s="2">
        <v>2.22070720305911</v>
      </c>
      <c r="Y505" s="2">
        <v>5.5907452612876698</v>
      </c>
      <c r="Z505" s="2">
        <v>5.9166279871315598E-2</v>
      </c>
      <c r="AA505" s="3">
        <f t="shared" si="22"/>
        <v>28.968546657371046</v>
      </c>
      <c r="AB505" t="s">
        <v>45</v>
      </c>
      <c r="AC505">
        <v>33.61</v>
      </c>
      <c r="AD505">
        <v>35.22</v>
      </c>
      <c r="AE505">
        <v>41.2</v>
      </c>
      <c r="AF505">
        <v>89.58</v>
      </c>
      <c r="AG505">
        <v>25.05</v>
      </c>
      <c r="AH505">
        <v>16.13</v>
      </c>
      <c r="AI505">
        <v>37.520000000000003</v>
      </c>
      <c r="AJ505">
        <v>14.91</v>
      </c>
      <c r="AK505">
        <v>57.98</v>
      </c>
      <c r="AL505">
        <v>54.15</v>
      </c>
      <c r="AM505">
        <v>83</v>
      </c>
      <c r="AN505">
        <v>67.28</v>
      </c>
      <c r="AO505" s="1">
        <f t="shared" si="23"/>
        <v>555.63</v>
      </c>
    </row>
    <row r="506" spans="1:41" x14ac:dyDescent="0.25">
      <c r="A506" t="s">
        <v>549</v>
      </c>
      <c r="B506" s="2">
        <v>2306.0879412095401</v>
      </c>
      <c r="C506" s="2">
        <v>1648.6803446018901</v>
      </c>
      <c r="D506" s="2">
        <v>5047.59315224891</v>
      </c>
      <c r="E506" s="2">
        <v>651.818957705819</v>
      </c>
      <c r="F506" s="2">
        <v>5437.3249976833704</v>
      </c>
      <c r="G506" s="2">
        <v>2578.0207054483899</v>
      </c>
      <c r="H506" s="2">
        <v>5396.5579917963096</v>
      </c>
      <c r="I506" s="2">
        <v>861.34696914791095</v>
      </c>
      <c r="J506" s="2">
        <v>1823.2106436387201</v>
      </c>
      <c r="K506" s="2">
        <v>3782.5672990932098</v>
      </c>
      <c r="L506" s="2">
        <v>9355.4564923097296</v>
      </c>
      <c r="M506" s="2">
        <v>994.074274080946</v>
      </c>
      <c r="N506" s="3">
        <f t="shared" si="21"/>
        <v>39882.739768964741</v>
      </c>
      <c r="O506" s="2">
        <v>11.001870716609201</v>
      </c>
      <c r="P506" s="2">
        <v>1.98036300326051</v>
      </c>
      <c r="Q506" s="2">
        <v>2.0550403161139399</v>
      </c>
      <c r="R506" s="2">
        <v>13.254911756774399</v>
      </c>
      <c r="S506" s="2">
        <v>11.0783372632186</v>
      </c>
      <c r="T506" s="2">
        <v>4.9814628114764599</v>
      </c>
      <c r="U506" s="2">
        <v>2.8062031553606399</v>
      </c>
      <c r="V506" s="2">
        <v>1.0504759484302899</v>
      </c>
      <c r="W506" s="2">
        <v>9.54629124756977E-2</v>
      </c>
      <c r="X506" s="2">
        <v>1.83770508244344</v>
      </c>
      <c r="Y506" s="2">
        <v>5.4018756554408602</v>
      </c>
      <c r="Z506" s="2">
        <v>5.1389087542344196</v>
      </c>
      <c r="AA506" s="3">
        <f t="shared" si="22"/>
        <v>60.682617375838461</v>
      </c>
      <c r="AB506" t="s">
        <v>45</v>
      </c>
      <c r="AC506">
        <v>33.659999999999997</v>
      </c>
      <c r="AD506">
        <v>26.58</v>
      </c>
      <c r="AE506">
        <v>60.62</v>
      </c>
      <c r="AF506">
        <v>17.21</v>
      </c>
      <c r="AG506">
        <v>64.97</v>
      </c>
      <c r="AH506">
        <v>36.03</v>
      </c>
      <c r="AI506">
        <v>64.11</v>
      </c>
      <c r="AJ506">
        <v>18.71</v>
      </c>
      <c r="AK506">
        <v>28.28</v>
      </c>
      <c r="AL506">
        <v>47.92</v>
      </c>
      <c r="AM506">
        <v>103.85</v>
      </c>
      <c r="AN506">
        <v>20.239999999999998</v>
      </c>
      <c r="AO506" s="1">
        <f t="shared" si="23"/>
        <v>522.17999999999995</v>
      </c>
    </row>
    <row r="507" spans="1:41" x14ac:dyDescent="0.25">
      <c r="A507" t="s">
        <v>550</v>
      </c>
      <c r="B507" s="2">
        <v>2291.65042052441</v>
      </c>
      <c r="C507" s="2">
        <v>1702.10099565312</v>
      </c>
      <c r="D507" s="2">
        <v>2634.6338495078398</v>
      </c>
      <c r="E507" s="2">
        <v>2146.4826331909298</v>
      </c>
      <c r="F507" s="2">
        <v>1316.8126063662901</v>
      </c>
      <c r="G507" s="2">
        <v>10961.503796341</v>
      </c>
      <c r="H507" s="2">
        <v>1115.0973574494799</v>
      </c>
      <c r="I507" s="2">
        <v>1312.89343476357</v>
      </c>
      <c r="J507" s="2">
        <v>1358.0378286279499</v>
      </c>
      <c r="K507" s="2">
        <v>1679.8782177142</v>
      </c>
      <c r="L507" s="2">
        <v>47.273258052313601</v>
      </c>
      <c r="M507" s="2">
        <v>1032.29258252861</v>
      </c>
      <c r="N507" s="3">
        <f t="shared" si="21"/>
        <v>27598.656980719708</v>
      </c>
      <c r="O507" s="2">
        <v>3.6748244372929402</v>
      </c>
      <c r="P507" s="2">
        <v>4.2402426374393096</v>
      </c>
      <c r="Q507" s="2">
        <v>21.277908824268099</v>
      </c>
      <c r="R507" s="2">
        <v>0</v>
      </c>
      <c r="S507" s="2">
        <v>3.6352256466056199</v>
      </c>
      <c r="T507" s="2">
        <v>2.0527951815889098</v>
      </c>
      <c r="U507" s="2">
        <v>0</v>
      </c>
      <c r="V507" s="2">
        <v>0</v>
      </c>
      <c r="W507" s="2">
        <v>0</v>
      </c>
      <c r="X507" s="2">
        <v>3.0986245115742999</v>
      </c>
      <c r="Y507" s="2">
        <v>3.8175974632521998</v>
      </c>
      <c r="Z507" s="2">
        <v>4.6226153374530004</v>
      </c>
      <c r="AA507" s="3">
        <f t="shared" si="22"/>
        <v>46.419834039474381</v>
      </c>
      <c r="AB507" t="s">
        <v>63</v>
      </c>
      <c r="AC507">
        <v>46.2</v>
      </c>
      <c r="AD507">
        <v>34.51</v>
      </c>
      <c r="AE507">
        <v>54.68</v>
      </c>
      <c r="AF507">
        <v>42.94</v>
      </c>
      <c r="AG507">
        <v>26.7</v>
      </c>
      <c r="AH507">
        <v>219.51</v>
      </c>
      <c r="AI507">
        <v>22.32</v>
      </c>
      <c r="AJ507">
        <v>26.26</v>
      </c>
      <c r="AK507">
        <v>27.18</v>
      </c>
      <c r="AL507">
        <v>33.96</v>
      </c>
      <c r="AM507">
        <v>1.32</v>
      </c>
      <c r="AN507">
        <v>21.11</v>
      </c>
      <c r="AO507" s="1">
        <f t="shared" si="23"/>
        <v>556.69000000000005</v>
      </c>
    </row>
    <row r="508" spans="1:41" x14ac:dyDescent="0.25">
      <c r="A508" t="s">
        <v>551</v>
      </c>
      <c r="B508" s="2">
        <v>2285.1718362086499</v>
      </c>
      <c r="C508" s="2">
        <v>336.53956941525098</v>
      </c>
      <c r="D508" s="2">
        <v>2145.7301861717301</v>
      </c>
      <c r="E508" s="2">
        <v>4851.34956427207</v>
      </c>
      <c r="F508" s="2">
        <v>343.850837028542</v>
      </c>
      <c r="G508" s="2">
        <v>648.08182156242503</v>
      </c>
      <c r="H508" s="2">
        <v>3988.7378039805199</v>
      </c>
      <c r="I508" s="2">
        <v>3433.3992565255899</v>
      </c>
      <c r="J508" s="2">
        <v>624.35025211872096</v>
      </c>
      <c r="K508" s="2">
        <v>3078.3822501998802</v>
      </c>
      <c r="L508" s="2">
        <v>1095.2454256327401</v>
      </c>
      <c r="M508" s="2">
        <v>1435.0936561527301</v>
      </c>
      <c r="N508" s="3">
        <f t="shared" si="21"/>
        <v>24265.93245926885</v>
      </c>
      <c r="O508" s="2">
        <v>7.5060584065315803</v>
      </c>
      <c r="P508" s="2">
        <v>2.02433304595051</v>
      </c>
      <c r="Q508" s="2">
        <v>13.7381028673204</v>
      </c>
      <c r="R508" s="2">
        <v>1.00437695430369</v>
      </c>
      <c r="S508" s="2">
        <v>10.7234058480031</v>
      </c>
      <c r="T508" s="2">
        <v>22.471526883913501</v>
      </c>
      <c r="U508" s="2">
        <v>4.8273395850776</v>
      </c>
      <c r="V508" s="2">
        <v>15.428085497426601</v>
      </c>
      <c r="W508" s="2">
        <v>3.8034927674668602</v>
      </c>
      <c r="X508" s="2">
        <v>1.7814041605258599</v>
      </c>
      <c r="Y508" s="2">
        <v>1.33349976207224</v>
      </c>
      <c r="Z508" s="2">
        <v>4.7244145377463198</v>
      </c>
      <c r="AA508" s="3">
        <f t="shared" si="22"/>
        <v>89.366040316338285</v>
      </c>
      <c r="AB508" t="s">
        <v>63</v>
      </c>
      <c r="AC508">
        <v>46.44</v>
      </c>
      <c r="AD508">
        <v>7.01</v>
      </c>
      <c r="AE508">
        <v>44.18</v>
      </c>
      <c r="AF508">
        <v>97.22</v>
      </c>
      <c r="AG508">
        <v>7.87</v>
      </c>
      <c r="AH508">
        <v>15.05</v>
      </c>
      <c r="AI508">
        <v>80.23</v>
      </c>
      <c r="AJ508">
        <v>70.12</v>
      </c>
      <c r="AK508">
        <v>12.86</v>
      </c>
      <c r="AL508">
        <v>61.76</v>
      </c>
      <c r="AM508">
        <v>22.1</v>
      </c>
      <c r="AN508">
        <v>29.17</v>
      </c>
      <c r="AO508" s="1">
        <f t="shared" si="23"/>
        <v>494.01000000000005</v>
      </c>
    </row>
    <row r="509" spans="1:41" x14ac:dyDescent="0.25">
      <c r="A509" t="s">
        <v>552</v>
      </c>
      <c r="B509" s="2">
        <v>2269.5809754186898</v>
      </c>
      <c r="C509" s="2">
        <v>2699.2855281258999</v>
      </c>
      <c r="D509" s="2">
        <v>5637.14914301517</v>
      </c>
      <c r="E509" s="2">
        <v>374.32187522078101</v>
      </c>
      <c r="F509" s="2">
        <v>2636.1593565322401</v>
      </c>
      <c r="G509" s="2">
        <v>3110.8412838313802</v>
      </c>
      <c r="H509" s="2">
        <v>2154.8761514135199</v>
      </c>
      <c r="I509" s="2">
        <v>1118.27627021173</v>
      </c>
      <c r="J509" s="2">
        <v>737.89073640453296</v>
      </c>
      <c r="K509" s="2">
        <v>1660.6113208260599</v>
      </c>
      <c r="L509" s="2">
        <v>1603.2546977541999</v>
      </c>
      <c r="M509" s="2">
        <v>5137.04786272</v>
      </c>
      <c r="N509" s="3">
        <f t="shared" si="21"/>
        <v>29139.295201474204</v>
      </c>
      <c r="O509" s="2">
        <v>2.0355376102366902</v>
      </c>
      <c r="P509" s="2">
        <v>2.3863679665592499</v>
      </c>
      <c r="Q509" s="2">
        <v>1.1612518822131099</v>
      </c>
      <c r="R509" s="2">
        <v>2.9318477490991999</v>
      </c>
      <c r="S509" s="2">
        <v>5.8531990793806603</v>
      </c>
      <c r="T509" s="2">
        <v>2.49643775427392</v>
      </c>
      <c r="U509" s="2">
        <v>0.96564894035656801</v>
      </c>
      <c r="V509" s="2">
        <v>18.594952981353199</v>
      </c>
      <c r="W509" s="2">
        <v>4.7693342119643898</v>
      </c>
      <c r="X509" s="2">
        <v>6.2920339760164703</v>
      </c>
      <c r="Y509" s="2">
        <v>3.5030869687186299</v>
      </c>
      <c r="Z509" s="2">
        <v>6.3336581959393401</v>
      </c>
      <c r="AA509" s="3">
        <f t="shared" si="22"/>
        <v>57.323357316111426</v>
      </c>
      <c r="AB509" t="s">
        <v>63</v>
      </c>
      <c r="AC509">
        <v>45.67</v>
      </c>
      <c r="AD509">
        <v>54.27</v>
      </c>
      <c r="AE509">
        <v>112.94</v>
      </c>
      <c r="AF509">
        <v>7.77</v>
      </c>
      <c r="AG509">
        <v>53.28</v>
      </c>
      <c r="AH509">
        <v>62.49</v>
      </c>
      <c r="AI509">
        <v>43.19</v>
      </c>
      <c r="AJ509">
        <v>24.09</v>
      </c>
      <c r="AK509">
        <v>15.21</v>
      </c>
      <c r="AL509">
        <v>33.85</v>
      </c>
      <c r="AM509">
        <v>32.44</v>
      </c>
      <c r="AN509">
        <v>103.39</v>
      </c>
      <c r="AO509" s="1">
        <f t="shared" si="23"/>
        <v>588.59</v>
      </c>
    </row>
    <row r="510" spans="1:41" x14ac:dyDescent="0.25">
      <c r="A510" t="s">
        <v>553</v>
      </c>
      <c r="B510" s="2">
        <v>2267.2368424185802</v>
      </c>
      <c r="C510" s="2">
        <v>6782.9466185680503</v>
      </c>
      <c r="D510" s="2">
        <v>1028.5981629400701</v>
      </c>
      <c r="E510" s="2">
        <v>0</v>
      </c>
      <c r="F510" s="2">
        <v>288.38275384320201</v>
      </c>
      <c r="G510" s="2">
        <v>4611.5852714511802</v>
      </c>
      <c r="H510" s="2">
        <v>2138.33625491252</v>
      </c>
      <c r="I510" s="2">
        <v>7301.4200231758296</v>
      </c>
      <c r="J510" s="2">
        <v>1863.3369325827</v>
      </c>
      <c r="K510" s="2">
        <v>1287.3424623619001</v>
      </c>
      <c r="L510" s="2">
        <v>6572.1920129345599</v>
      </c>
      <c r="M510" s="2">
        <v>1986.75011400372</v>
      </c>
      <c r="N510" s="3">
        <f t="shared" si="21"/>
        <v>36128.12744919231</v>
      </c>
      <c r="O510" s="2">
        <v>0.73475076430560704</v>
      </c>
      <c r="P510" s="2">
        <v>2.1496616324722901</v>
      </c>
      <c r="Q510" s="2">
        <v>0</v>
      </c>
      <c r="R510" s="2">
        <v>5.6132724450618197</v>
      </c>
      <c r="S510" s="2">
        <v>2.2892721648792298</v>
      </c>
      <c r="T510" s="2">
        <v>4.8146042219364196</v>
      </c>
      <c r="U510" s="2">
        <v>3.2343495098584998</v>
      </c>
      <c r="V510" s="2">
        <v>0.89937995107262703</v>
      </c>
      <c r="W510" s="2">
        <v>2.5126062257136401</v>
      </c>
      <c r="X510" s="2">
        <v>1.6903700143283</v>
      </c>
      <c r="Y510" s="2">
        <v>0</v>
      </c>
      <c r="Z510" s="2">
        <v>1.2929786646022901</v>
      </c>
      <c r="AA510" s="3">
        <f t="shared" si="22"/>
        <v>25.231245594230725</v>
      </c>
      <c r="AB510" t="s">
        <v>63</v>
      </c>
      <c r="AC510">
        <v>45.45</v>
      </c>
      <c r="AD510">
        <v>135.93</v>
      </c>
      <c r="AE510">
        <v>20.58</v>
      </c>
      <c r="AF510">
        <v>0.54</v>
      </c>
      <c r="AG510">
        <v>6.05</v>
      </c>
      <c r="AH510">
        <v>92.69</v>
      </c>
      <c r="AI510">
        <v>43.14</v>
      </c>
      <c r="AJ510">
        <v>146.13</v>
      </c>
      <c r="AK510">
        <v>37.549999999999997</v>
      </c>
      <c r="AL510">
        <v>25.94</v>
      </c>
      <c r="AM510">
        <v>131.46</v>
      </c>
      <c r="AN510">
        <v>39.92</v>
      </c>
      <c r="AO510" s="1">
        <f t="shared" si="23"/>
        <v>725.38</v>
      </c>
    </row>
    <row r="511" spans="1:41" x14ac:dyDescent="0.25">
      <c r="A511" t="s">
        <v>554</v>
      </c>
      <c r="B511" s="2">
        <v>2256.8089403272202</v>
      </c>
      <c r="C511" s="2">
        <v>6070.4970831453702</v>
      </c>
      <c r="D511" s="2">
        <v>1592.0712888839701</v>
      </c>
      <c r="E511" s="2">
        <v>9878.7604131217504</v>
      </c>
      <c r="F511" s="2">
        <v>21334.1134716694</v>
      </c>
      <c r="G511" s="2">
        <v>5984.0933652467902</v>
      </c>
      <c r="H511" s="2">
        <v>4610.8691270202698</v>
      </c>
      <c r="I511" s="2">
        <v>2641.1219166957299</v>
      </c>
      <c r="J511" s="2">
        <v>838.10155799969903</v>
      </c>
      <c r="K511" s="2">
        <v>3989.2378218785898</v>
      </c>
      <c r="L511" s="2">
        <v>2092.0302463938101</v>
      </c>
      <c r="M511" s="2">
        <v>1864.35498002798</v>
      </c>
      <c r="N511" s="3">
        <f t="shared" si="21"/>
        <v>63152.060212410579</v>
      </c>
      <c r="O511" s="2">
        <v>2.1096701353895102</v>
      </c>
      <c r="P511" s="2">
        <v>0.98544535915496501</v>
      </c>
      <c r="Q511" s="2">
        <v>1.6754995469329801</v>
      </c>
      <c r="R511" s="2">
        <v>5.7862270234992002</v>
      </c>
      <c r="S511" s="2">
        <v>2.3754215495657598</v>
      </c>
      <c r="T511" s="2">
        <v>1.6571995123334</v>
      </c>
      <c r="U511" s="2">
        <v>3.5678107722732002</v>
      </c>
      <c r="V511" s="2">
        <v>3.3172528429814001</v>
      </c>
      <c r="W511" s="2">
        <v>12.442908817739999</v>
      </c>
      <c r="X511" s="2">
        <v>4.1056257218055796</v>
      </c>
      <c r="Y511" s="2">
        <v>4.1510943398146303</v>
      </c>
      <c r="Z511" s="2">
        <v>3.83003273732779</v>
      </c>
      <c r="AA511" s="3">
        <f t="shared" si="22"/>
        <v>46.004188358818418</v>
      </c>
      <c r="AB511" t="s">
        <v>45</v>
      </c>
      <c r="AC511">
        <v>32.71</v>
      </c>
      <c r="AD511">
        <v>70.75</v>
      </c>
      <c r="AE511">
        <v>26.02</v>
      </c>
      <c r="AF511">
        <v>109.08</v>
      </c>
      <c r="AG511">
        <v>223.49</v>
      </c>
      <c r="AH511">
        <v>69.94</v>
      </c>
      <c r="AI511">
        <v>56.3</v>
      </c>
      <c r="AJ511">
        <v>36.61</v>
      </c>
      <c r="AK511">
        <v>19.03</v>
      </c>
      <c r="AL511">
        <v>50.14</v>
      </c>
      <c r="AM511">
        <v>31.17</v>
      </c>
      <c r="AN511">
        <v>28.84</v>
      </c>
      <c r="AO511" s="1">
        <f t="shared" si="23"/>
        <v>754.07999999999993</v>
      </c>
    </row>
    <row r="512" spans="1:41" x14ac:dyDescent="0.25">
      <c r="A512" t="s">
        <v>555</v>
      </c>
      <c r="B512" s="2">
        <v>2239.9552820712202</v>
      </c>
      <c r="C512" s="2">
        <v>2821.13110065091</v>
      </c>
      <c r="D512" s="2">
        <v>3692.1764826854401</v>
      </c>
      <c r="E512" s="2">
        <v>970.87936781067503</v>
      </c>
      <c r="F512" s="2">
        <v>1925.7010245844001</v>
      </c>
      <c r="G512" s="2">
        <v>1652.2036409427501</v>
      </c>
      <c r="H512" s="2">
        <v>2222.6816441119599</v>
      </c>
      <c r="I512" s="2">
        <v>0</v>
      </c>
      <c r="J512" s="2">
        <v>669.53967455949498</v>
      </c>
      <c r="K512" s="2">
        <v>0</v>
      </c>
      <c r="L512" s="2">
        <v>2040.41412347921</v>
      </c>
      <c r="M512" s="2">
        <v>7465.3373778788</v>
      </c>
      <c r="N512" s="3">
        <f t="shared" si="21"/>
        <v>25700.019718774864</v>
      </c>
      <c r="O512" s="2">
        <v>2.2315468467411299</v>
      </c>
      <c r="P512" s="2">
        <v>0</v>
      </c>
      <c r="Q512" s="2">
        <v>4.2952671362032699</v>
      </c>
      <c r="R512" s="2">
        <v>0.12996816502262401</v>
      </c>
      <c r="S512" s="2">
        <v>5.4564855806910701</v>
      </c>
      <c r="T512" s="2">
        <v>5.1901904906823004</v>
      </c>
      <c r="U512" s="2">
        <v>0.36958934019407702</v>
      </c>
      <c r="V512" s="2">
        <v>0</v>
      </c>
      <c r="W512" s="2">
        <v>7.0214876100249999</v>
      </c>
      <c r="X512" s="2">
        <v>1.20344571196993</v>
      </c>
      <c r="Y512" s="2">
        <v>0</v>
      </c>
      <c r="Z512" s="2">
        <v>20.126129632760701</v>
      </c>
      <c r="AA512" s="3">
        <f t="shared" si="22"/>
        <v>46.024110514290101</v>
      </c>
      <c r="AB512" t="s">
        <v>63</v>
      </c>
      <c r="AC512">
        <v>45.07</v>
      </c>
      <c r="AD512">
        <v>56.44</v>
      </c>
      <c r="AE512">
        <v>74.31</v>
      </c>
      <c r="AF512">
        <v>19.510000000000002</v>
      </c>
      <c r="AG512">
        <v>39.06</v>
      </c>
      <c r="AH512">
        <v>33.6</v>
      </c>
      <c r="AI512">
        <v>44.55</v>
      </c>
      <c r="AJ512">
        <v>0</v>
      </c>
      <c r="AK512">
        <v>14.12</v>
      </c>
      <c r="AL512">
        <v>0.18</v>
      </c>
      <c r="AM512">
        <v>40.82</v>
      </c>
      <c r="AN512">
        <v>151.21</v>
      </c>
      <c r="AO512" s="1">
        <f t="shared" si="23"/>
        <v>518.87</v>
      </c>
    </row>
    <row r="513" spans="1:41" x14ac:dyDescent="0.25">
      <c r="A513" t="s">
        <v>556</v>
      </c>
      <c r="B513" s="2">
        <v>2229.78008045877</v>
      </c>
      <c r="C513" s="2">
        <v>1846.2645333569401</v>
      </c>
      <c r="D513" s="2">
        <v>2953.9753156471202</v>
      </c>
      <c r="E513" s="2">
        <v>1227.60256167851</v>
      </c>
      <c r="F513" s="2">
        <v>11256.747957912399</v>
      </c>
      <c r="G513" s="2">
        <v>1742.3721165373499</v>
      </c>
      <c r="H513" s="2">
        <v>4203.8993644571301</v>
      </c>
      <c r="I513" s="2">
        <v>3214.2724758620898</v>
      </c>
      <c r="J513" s="2">
        <v>485.07061761774497</v>
      </c>
      <c r="K513" s="2">
        <v>1135.4710285072899</v>
      </c>
      <c r="L513" s="2">
        <v>1836.53239597898</v>
      </c>
      <c r="M513" s="2">
        <v>1319.61505931733</v>
      </c>
      <c r="N513" s="3">
        <f t="shared" si="21"/>
        <v>33451.60350733166</v>
      </c>
      <c r="O513" s="2">
        <v>10.023521368501701</v>
      </c>
      <c r="P513" s="2">
        <v>7.5615950528574798</v>
      </c>
      <c r="Q513" s="2">
        <v>5.2269745393517697</v>
      </c>
      <c r="R513" s="2">
        <v>1.59446166350466</v>
      </c>
      <c r="S513" s="2">
        <v>3.1361657154087101</v>
      </c>
      <c r="T513" s="2">
        <v>2.7642534898774702</v>
      </c>
      <c r="U513" s="2">
        <v>1.6236771929510101</v>
      </c>
      <c r="V513" s="2">
        <v>2.3190764256872098</v>
      </c>
      <c r="W513" s="2">
        <v>0</v>
      </c>
      <c r="X513" s="2">
        <v>0.93744010705615999</v>
      </c>
      <c r="Y513" s="2">
        <v>7.4831744175111004</v>
      </c>
      <c r="Z513" s="2">
        <v>4.74891622700921</v>
      </c>
      <c r="AA513" s="3">
        <f t="shared" si="22"/>
        <v>47.419256199716486</v>
      </c>
      <c r="AB513" t="s">
        <v>63</v>
      </c>
      <c r="AC513">
        <v>45.59</v>
      </c>
      <c r="AD513">
        <v>37.659999999999997</v>
      </c>
      <c r="AE513">
        <v>59.62</v>
      </c>
      <c r="AF513">
        <v>24.74</v>
      </c>
      <c r="AG513">
        <v>225.5</v>
      </c>
      <c r="AH513">
        <v>35.130000000000003</v>
      </c>
      <c r="AI513">
        <v>84.26</v>
      </c>
      <c r="AJ513">
        <v>64.569999999999993</v>
      </c>
      <c r="AK513">
        <v>9.7200000000000006</v>
      </c>
      <c r="AL513">
        <v>22.81</v>
      </c>
      <c r="AM513">
        <v>37.46</v>
      </c>
      <c r="AN513">
        <v>26.85</v>
      </c>
      <c r="AO513" s="1">
        <f t="shared" si="23"/>
        <v>673.91</v>
      </c>
    </row>
    <row r="514" spans="1:41" x14ac:dyDescent="0.25">
      <c r="A514" t="s">
        <v>557</v>
      </c>
      <c r="B514" s="2">
        <v>2223.4073233797599</v>
      </c>
      <c r="C514" s="2">
        <v>3244.7705802494902</v>
      </c>
      <c r="D514" s="2">
        <v>1109.5585938484201</v>
      </c>
      <c r="E514" s="2">
        <v>2326.5565000410102</v>
      </c>
      <c r="F514" s="2">
        <v>1109.00842640926</v>
      </c>
      <c r="G514" s="2">
        <v>3092.8874420919901</v>
      </c>
      <c r="H514" s="2">
        <v>2397.9975113836999</v>
      </c>
      <c r="I514" s="2">
        <v>920.88483175300905</v>
      </c>
      <c r="J514" s="2">
        <v>3643.3253838504002</v>
      </c>
      <c r="K514" s="2">
        <v>12082.9549678779</v>
      </c>
      <c r="L514" s="2">
        <v>4036.26815622815</v>
      </c>
      <c r="M514" s="2">
        <v>1930.4689280541299</v>
      </c>
      <c r="N514" s="3">
        <f t="shared" si="21"/>
        <v>38118.088645167212</v>
      </c>
      <c r="O514" s="2">
        <v>0.37470639494408903</v>
      </c>
      <c r="P514" s="2">
        <v>0</v>
      </c>
      <c r="Q514" s="2">
        <v>0.70593159030792396</v>
      </c>
      <c r="R514" s="2">
        <v>2.0850212054918802</v>
      </c>
      <c r="S514" s="2">
        <v>3.3711067239217898</v>
      </c>
      <c r="T514" s="2">
        <v>0.20156897247332201</v>
      </c>
      <c r="U514" s="2">
        <v>2.5661391438316401</v>
      </c>
      <c r="V514" s="2">
        <v>1.28822322975729</v>
      </c>
      <c r="W514" s="2">
        <v>4.8703291356019998</v>
      </c>
      <c r="X514" s="2">
        <v>2.7507519309972901</v>
      </c>
      <c r="Y514" s="2">
        <v>1.9183181715439901</v>
      </c>
      <c r="Z514" s="2">
        <v>6.5381776277863004</v>
      </c>
      <c r="AA514" s="3">
        <f t="shared" si="22"/>
        <v>26.670274126657514</v>
      </c>
      <c r="AB514" t="s">
        <v>45</v>
      </c>
      <c r="AC514">
        <v>32.28</v>
      </c>
      <c r="AD514">
        <v>42.44</v>
      </c>
      <c r="AE514">
        <v>21.14</v>
      </c>
      <c r="AF514">
        <v>33.409999999999997</v>
      </c>
      <c r="AG514">
        <v>21.29</v>
      </c>
      <c r="AH514">
        <v>40.97</v>
      </c>
      <c r="AI514">
        <v>34.119999999999997</v>
      </c>
      <c r="AJ514">
        <v>19.3</v>
      </c>
      <c r="AK514">
        <v>46.68</v>
      </c>
      <c r="AL514">
        <v>130.97</v>
      </c>
      <c r="AM514">
        <v>50.46</v>
      </c>
      <c r="AN514">
        <v>29.65</v>
      </c>
      <c r="AO514" s="1">
        <f t="shared" si="23"/>
        <v>502.71</v>
      </c>
    </row>
    <row r="515" spans="1:41" x14ac:dyDescent="0.25">
      <c r="A515" t="s">
        <v>558</v>
      </c>
      <c r="B515" s="2">
        <v>2222.9668447115901</v>
      </c>
      <c r="C515" s="2">
        <v>219.279669894362</v>
      </c>
      <c r="D515" s="2">
        <v>3344.24463290935</v>
      </c>
      <c r="E515" s="2">
        <v>5194.7103329435704</v>
      </c>
      <c r="F515" s="2">
        <v>700.45556519963395</v>
      </c>
      <c r="G515" s="2">
        <v>0</v>
      </c>
      <c r="H515" s="2">
        <v>978.29839881755595</v>
      </c>
      <c r="I515" s="2">
        <v>3324.8281001988298</v>
      </c>
      <c r="J515" s="2">
        <v>16620.665460603199</v>
      </c>
      <c r="K515" s="2">
        <v>871.44458419121395</v>
      </c>
      <c r="L515" s="2">
        <v>650.01953226089597</v>
      </c>
      <c r="M515" s="2">
        <v>172.71425847813899</v>
      </c>
      <c r="N515" s="3">
        <f t="shared" ref="N515:N578" si="24">SUM(B515:M515)</f>
        <v>34299.627380208338</v>
      </c>
      <c r="O515" s="2">
        <v>6.7509446556861201</v>
      </c>
      <c r="P515" s="2">
        <v>0</v>
      </c>
      <c r="Q515" s="2">
        <v>1.51374649522709</v>
      </c>
      <c r="R515" s="2">
        <v>3.67871941063476</v>
      </c>
      <c r="S515" s="2">
        <v>3.0728617812079499</v>
      </c>
      <c r="T515" s="2">
        <v>3.26683141538411</v>
      </c>
      <c r="U515" s="2">
        <v>0</v>
      </c>
      <c r="V515" s="2">
        <v>0.40118026479174901</v>
      </c>
      <c r="W515" s="2">
        <v>4.6818588488917099</v>
      </c>
      <c r="X515" s="2">
        <v>3.9095602204022901</v>
      </c>
      <c r="Y515" s="2">
        <v>6.81834857296188</v>
      </c>
      <c r="Z515" s="2">
        <v>6.8435106487865296</v>
      </c>
      <c r="AA515" s="3">
        <f t="shared" si="22"/>
        <v>40.937562313974183</v>
      </c>
      <c r="AB515" t="s">
        <v>63</v>
      </c>
      <c r="AC515">
        <v>45.09</v>
      </c>
      <c r="AD515">
        <v>4.4000000000000004</v>
      </c>
      <c r="AE515">
        <v>67.08</v>
      </c>
      <c r="AF515">
        <v>104.26</v>
      </c>
      <c r="AG515">
        <v>14.38</v>
      </c>
      <c r="AH515">
        <v>0.36</v>
      </c>
      <c r="AI515">
        <v>19.579999999999998</v>
      </c>
      <c r="AJ515">
        <v>66.59</v>
      </c>
      <c r="AK515">
        <v>332.87</v>
      </c>
      <c r="AL515">
        <v>17.8</v>
      </c>
      <c r="AM515">
        <v>13.65</v>
      </c>
      <c r="AN515">
        <v>4.09</v>
      </c>
      <c r="AO515" s="1">
        <f t="shared" si="23"/>
        <v>690.15</v>
      </c>
    </row>
    <row r="516" spans="1:41" x14ac:dyDescent="0.25">
      <c r="A516" t="s">
        <v>559</v>
      </c>
      <c r="B516" s="2">
        <v>2218.93341370185</v>
      </c>
      <c r="C516" s="2">
        <v>92.3242844875125</v>
      </c>
      <c r="D516" s="2">
        <v>4606.2011987114402</v>
      </c>
      <c r="E516" s="2">
        <v>3275.8469024002602</v>
      </c>
      <c r="F516" s="2">
        <v>776.557803087612</v>
      </c>
      <c r="G516" s="2">
        <v>2303.4286307609</v>
      </c>
      <c r="H516" s="2">
        <v>3413.8674096228301</v>
      </c>
      <c r="I516" s="2">
        <v>266.338800976725</v>
      </c>
      <c r="J516" s="2">
        <v>7823.6167250016497</v>
      </c>
      <c r="K516" s="2">
        <v>0</v>
      </c>
      <c r="L516" s="2">
        <v>434.35105810594598</v>
      </c>
      <c r="M516" s="2">
        <v>1021.83724583862</v>
      </c>
      <c r="N516" s="3">
        <f t="shared" si="24"/>
        <v>26233.303472695345</v>
      </c>
      <c r="O516" s="2">
        <v>1.61987154869237</v>
      </c>
      <c r="P516" s="2">
        <v>13.3921081262271</v>
      </c>
      <c r="Q516" s="2">
        <v>0</v>
      </c>
      <c r="R516" s="2">
        <v>6.5130382485653602</v>
      </c>
      <c r="S516" s="2">
        <v>3.5646618630392699</v>
      </c>
      <c r="T516" s="2">
        <v>5.0815282305897602</v>
      </c>
      <c r="U516" s="2">
        <v>16.798823634721899</v>
      </c>
      <c r="V516" s="2">
        <v>2.7694351875610899</v>
      </c>
      <c r="W516" s="2">
        <v>6.0957031030511401E-2</v>
      </c>
      <c r="X516" s="2">
        <v>1.18829123982004</v>
      </c>
      <c r="Y516" s="2">
        <v>1.8782801420408399</v>
      </c>
      <c r="Z516" s="2">
        <v>2.0041481001308599</v>
      </c>
      <c r="AA516" s="3">
        <f t="shared" ref="AA516:AA579" si="25">SUM(O516:Z516)</f>
        <v>54.871143352419111</v>
      </c>
      <c r="AB516" t="s">
        <v>63</v>
      </c>
      <c r="AC516">
        <v>44.56</v>
      </c>
      <c r="AD516">
        <v>3.12</v>
      </c>
      <c r="AE516">
        <v>92.14</v>
      </c>
      <c r="AF516">
        <v>66.150000000000006</v>
      </c>
      <c r="AG516">
        <v>15.9</v>
      </c>
      <c r="AH516">
        <v>46.62</v>
      </c>
      <c r="AI516">
        <v>69.81</v>
      </c>
      <c r="AJ516">
        <v>5.61</v>
      </c>
      <c r="AK516">
        <v>156.57</v>
      </c>
      <c r="AL516">
        <v>0.18</v>
      </c>
      <c r="AM516">
        <v>8.8800000000000008</v>
      </c>
      <c r="AN516">
        <v>20.71</v>
      </c>
      <c r="AO516" s="1">
        <f t="shared" si="23"/>
        <v>530.25</v>
      </c>
    </row>
    <row r="517" spans="1:41" x14ac:dyDescent="0.25">
      <c r="A517" t="s">
        <v>560</v>
      </c>
      <c r="B517" s="2">
        <v>2217.2930408095099</v>
      </c>
      <c r="C517" s="2">
        <v>1928.7760228176401</v>
      </c>
      <c r="D517" s="2">
        <v>10583.9607114713</v>
      </c>
      <c r="E517" s="2">
        <v>1594.3217646563201</v>
      </c>
      <c r="F517" s="2">
        <v>1651.2966546579</v>
      </c>
      <c r="G517" s="2">
        <v>11903.964379130601</v>
      </c>
      <c r="H517" s="2">
        <v>1441.7583023766499</v>
      </c>
      <c r="I517" s="2">
        <v>4267.2248262265402</v>
      </c>
      <c r="J517" s="2">
        <v>687.46115705494799</v>
      </c>
      <c r="K517" s="2">
        <v>690.17047311250997</v>
      </c>
      <c r="L517" s="2">
        <v>4074.2252699862402</v>
      </c>
      <c r="M517" s="2">
        <v>9388.9107229195997</v>
      </c>
      <c r="N517" s="3">
        <f t="shared" si="24"/>
        <v>50429.363325219754</v>
      </c>
      <c r="O517" s="2">
        <v>10.702392437204299</v>
      </c>
      <c r="P517" s="2">
        <v>2.9179465546204302</v>
      </c>
      <c r="Q517" s="2">
        <v>6.1258262512435602</v>
      </c>
      <c r="R517" s="2">
        <v>0.86950758609201795</v>
      </c>
      <c r="S517" s="2">
        <v>2.949362815123</v>
      </c>
      <c r="T517" s="2">
        <v>1.8373346616875399</v>
      </c>
      <c r="U517" s="2">
        <v>2.9236226508263501</v>
      </c>
      <c r="V517" s="2">
        <v>2.0357046766940998</v>
      </c>
      <c r="W517" s="2">
        <v>1.2346014182576699</v>
      </c>
      <c r="X517" s="2">
        <v>2.32075809066334</v>
      </c>
      <c r="Y517" s="2">
        <v>1.82170214459263</v>
      </c>
      <c r="Z517" s="2">
        <v>1.49218269284969</v>
      </c>
      <c r="AA517" s="3">
        <f t="shared" si="25"/>
        <v>37.23094197985462</v>
      </c>
      <c r="AB517" t="s">
        <v>45</v>
      </c>
      <c r="AC517">
        <v>32.72</v>
      </c>
      <c r="AD517">
        <v>29.43</v>
      </c>
      <c r="AE517">
        <v>116.18</v>
      </c>
      <c r="AF517">
        <v>25.99</v>
      </c>
      <c r="AG517">
        <v>26.66</v>
      </c>
      <c r="AH517">
        <v>129.13</v>
      </c>
      <c r="AI517">
        <v>24.56</v>
      </c>
      <c r="AJ517">
        <v>52.82</v>
      </c>
      <c r="AK517">
        <v>16.97</v>
      </c>
      <c r="AL517">
        <v>17.05</v>
      </c>
      <c r="AM517">
        <v>50.84</v>
      </c>
      <c r="AN517">
        <v>103.98</v>
      </c>
      <c r="AO517" s="1">
        <f t="shared" ref="AO517:AO580" si="26">SUM(AC517:AN517)</f>
        <v>626.33000000000004</v>
      </c>
    </row>
    <row r="518" spans="1:41" x14ac:dyDescent="0.25">
      <c r="A518" t="s">
        <v>561</v>
      </c>
      <c r="B518" s="2">
        <v>2216.0997761499998</v>
      </c>
      <c r="C518" s="2">
        <v>5924.2151717967099</v>
      </c>
      <c r="D518" s="2">
        <v>3433.3673152756701</v>
      </c>
      <c r="E518" s="2">
        <v>1667.2867439929801</v>
      </c>
      <c r="F518" s="2">
        <v>10261.1211867328</v>
      </c>
      <c r="G518" s="2">
        <v>4537.4027704902401</v>
      </c>
      <c r="H518" s="2">
        <v>14933.6884373464</v>
      </c>
      <c r="I518" s="2">
        <v>1163.65133388512</v>
      </c>
      <c r="J518" s="2">
        <v>3636.0233260907999</v>
      </c>
      <c r="K518" s="2">
        <v>3592.2916137297402</v>
      </c>
      <c r="L518" s="2">
        <v>4045.5151483346199</v>
      </c>
      <c r="M518" s="2">
        <v>0</v>
      </c>
      <c r="N518" s="3">
        <f t="shared" si="24"/>
        <v>55410.662823825085</v>
      </c>
      <c r="O518" s="2">
        <v>5.7794876703797602</v>
      </c>
      <c r="P518" s="2">
        <v>0</v>
      </c>
      <c r="Q518" s="2">
        <v>4.9067541992061496</v>
      </c>
      <c r="R518" s="2">
        <v>4.53612216804573</v>
      </c>
      <c r="S518" s="2">
        <v>8.3633550729388997</v>
      </c>
      <c r="T518" s="2">
        <v>0</v>
      </c>
      <c r="U518" s="2">
        <v>2.21062772654067</v>
      </c>
      <c r="V518" s="2">
        <v>10.0622527177332</v>
      </c>
      <c r="W518" s="2">
        <v>3.2065524834372598</v>
      </c>
      <c r="X518" s="2">
        <v>2.9506344135390798</v>
      </c>
      <c r="Y518" s="2">
        <v>1.7230943890466901</v>
      </c>
      <c r="Z518" s="2">
        <v>1.12131348761322</v>
      </c>
      <c r="AA518" s="3">
        <f t="shared" si="25"/>
        <v>44.860194328480659</v>
      </c>
      <c r="AB518" t="s">
        <v>45</v>
      </c>
      <c r="AC518">
        <v>32.46</v>
      </c>
      <c r="AD518">
        <v>69.239999999999995</v>
      </c>
      <c r="AE518">
        <v>44.58</v>
      </c>
      <c r="AF518">
        <v>26.92</v>
      </c>
      <c r="AG518">
        <v>113.06</v>
      </c>
      <c r="AH518">
        <v>55.37</v>
      </c>
      <c r="AI518">
        <v>159.47999999999999</v>
      </c>
      <c r="AJ518">
        <v>22.18</v>
      </c>
      <c r="AK518">
        <v>46.56</v>
      </c>
      <c r="AL518">
        <v>46.07</v>
      </c>
      <c r="AM518">
        <v>50.55</v>
      </c>
      <c r="AN518">
        <v>10.09</v>
      </c>
      <c r="AO518" s="1">
        <f t="shared" si="26"/>
        <v>676.56</v>
      </c>
    </row>
    <row r="519" spans="1:41" x14ac:dyDescent="0.25">
      <c r="A519" t="s">
        <v>562</v>
      </c>
      <c r="B519" s="2">
        <v>2212.2561506337101</v>
      </c>
      <c r="C519" s="2">
        <v>5208.2421615352596</v>
      </c>
      <c r="D519" s="2">
        <v>1039.63517901409</v>
      </c>
      <c r="E519" s="2">
        <v>2897.4097361853101</v>
      </c>
      <c r="F519" s="2">
        <v>2358.3818977904202</v>
      </c>
      <c r="G519" s="2">
        <v>427.17678817545402</v>
      </c>
      <c r="H519" s="2">
        <v>4259.9653874185997</v>
      </c>
      <c r="I519" s="2">
        <v>2244.9684495971001</v>
      </c>
      <c r="J519" s="2">
        <v>6418.4368940965996</v>
      </c>
      <c r="K519" s="2">
        <v>4542.9415682608596</v>
      </c>
      <c r="L519" s="2">
        <v>480.24972006150603</v>
      </c>
      <c r="M519" s="2">
        <v>2974.3007049059702</v>
      </c>
      <c r="N519" s="3">
        <f t="shared" si="24"/>
        <v>35063.964637674879</v>
      </c>
      <c r="O519" s="2">
        <v>0.49303290776309699</v>
      </c>
      <c r="P519" s="2">
        <v>5.3283875211869898E-2</v>
      </c>
      <c r="Q519" s="2">
        <v>0</v>
      </c>
      <c r="R519" s="2">
        <v>0.73821797315432602</v>
      </c>
      <c r="S519" s="2">
        <v>4.8348840900285897</v>
      </c>
      <c r="T519" s="2">
        <v>1.3116604671750201</v>
      </c>
      <c r="U519" s="2">
        <v>2.9900382781490902</v>
      </c>
      <c r="V519" s="2">
        <v>8.2127747551424193</v>
      </c>
      <c r="W519" s="2">
        <v>5.4217031370097901</v>
      </c>
      <c r="X519" s="2">
        <v>3.09593540819677</v>
      </c>
      <c r="Y519" s="2">
        <v>1.35142932609646</v>
      </c>
      <c r="Z519" s="2">
        <v>1.0517332536464099</v>
      </c>
      <c r="AA519" s="3">
        <f t="shared" si="25"/>
        <v>29.554693471573845</v>
      </c>
      <c r="AB519" t="s">
        <v>63</v>
      </c>
      <c r="AC519">
        <v>44.35</v>
      </c>
      <c r="AD519">
        <v>104.27</v>
      </c>
      <c r="AE519">
        <v>20.8</v>
      </c>
      <c r="AF519">
        <v>58.05</v>
      </c>
      <c r="AG519">
        <v>47.63</v>
      </c>
      <c r="AH519">
        <v>8.74</v>
      </c>
      <c r="AI519">
        <v>85.47</v>
      </c>
      <c r="AJ519">
        <v>45.71</v>
      </c>
      <c r="AK519">
        <v>128.91999999999999</v>
      </c>
      <c r="AL519">
        <v>91.22</v>
      </c>
      <c r="AM519">
        <v>9.8000000000000007</v>
      </c>
      <c r="AN519">
        <v>59.68</v>
      </c>
      <c r="AO519" s="1">
        <f t="shared" si="26"/>
        <v>704.64</v>
      </c>
    </row>
    <row r="520" spans="1:41" x14ac:dyDescent="0.25">
      <c r="A520" t="s">
        <v>563</v>
      </c>
      <c r="B520" s="2">
        <v>2208.8877778578999</v>
      </c>
      <c r="C520" s="2">
        <v>9369.2891554051694</v>
      </c>
      <c r="D520" s="2">
        <v>891.52645365401895</v>
      </c>
      <c r="E520" s="2">
        <v>1435.1614241013399</v>
      </c>
      <c r="F520" s="2">
        <v>3038.7143383370599</v>
      </c>
      <c r="G520" s="2">
        <v>3549.3190669873402</v>
      </c>
      <c r="H520" s="2">
        <v>1138.73983498141</v>
      </c>
      <c r="I520" s="2">
        <v>3245.1098419039099</v>
      </c>
      <c r="J520" s="2">
        <v>1781.4008934291801</v>
      </c>
      <c r="K520" s="2">
        <v>4936.9389199954803</v>
      </c>
      <c r="L520" s="2">
        <v>6508.6649194210104</v>
      </c>
      <c r="M520" s="2">
        <v>2423.6554418597002</v>
      </c>
      <c r="N520" s="3">
        <f t="shared" si="24"/>
        <v>40527.408067933517</v>
      </c>
      <c r="O520" s="2">
        <v>1.88274662117986</v>
      </c>
      <c r="P520" s="2">
        <v>3.4747087807208299</v>
      </c>
      <c r="Q520" s="2">
        <v>0.91209397517151902</v>
      </c>
      <c r="R520" s="2">
        <v>0.98800000711870095</v>
      </c>
      <c r="S520" s="2">
        <v>0</v>
      </c>
      <c r="T520" s="2">
        <v>3.25350341797192</v>
      </c>
      <c r="U520" s="2">
        <v>3.1077560455564699</v>
      </c>
      <c r="V520" s="2">
        <v>3.8325472919460899</v>
      </c>
      <c r="W520" s="2">
        <v>8.8643261965048197</v>
      </c>
      <c r="X520" s="2">
        <v>2.3055046128615002</v>
      </c>
      <c r="Y520" s="2">
        <v>2.9762343949129599</v>
      </c>
      <c r="Z520" s="2">
        <v>4.9585984230809901</v>
      </c>
      <c r="AA520" s="3">
        <f t="shared" si="25"/>
        <v>36.55601976702566</v>
      </c>
      <c r="AB520" t="s">
        <v>45</v>
      </c>
      <c r="AC520">
        <v>32.18</v>
      </c>
      <c r="AD520">
        <v>103.89</v>
      </c>
      <c r="AE520">
        <v>18.96</v>
      </c>
      <c r="AF520">
        <v>24.4</v>
      </c>
      <c r="AG520">
        <v>40.380000000000003</v>
      </c>
      <c r="AH520">
        <v>45.69</v>
      </c>
      <c r="AI520">
        <v>21.58</v>
      </c>
      <c r="AJ520">
        <v>42.65</v>
      </c>
      <c r="AK520">
        <v>28.26</v>
      </c>
      <c r="AL520">
        <v>59.51</v>
      </c>
      <c r="AM520">
        <v>75.23</v>
      </c>
      <c r="AN520">
        <v>34.479999999999997</v>
      </c>
      <c r="AO520" s="1">
        <f t="shared" si="26"/>
        <v>527.20999999999992</v>
      </c>
    </row>
    <row r="521" spans="1:41" x14ac:dyDescent="0.25">
      <c r="A521" t="s">
        <v>564</v>
      </c>
      <c r="B521" s="2">
        <v>2199.4956225958699</v>
      </c>
      <c r="C521" s="2">
        <v>1727.5439862420201</v>
      </c>
      <c r="D521" s="2">
        <v>5165.7149944661596</v>
      </c>
      <c r="E521" s="2">
        <v>5182.06505016764</v>
      </c>
      <c r="F521" s="2">
        <v>133.166567125048</v>
      </c>
      <c r="G521" s="2">
        <v>3982.0915927075798</v>
      </c>
      <c r="H521" s="2">
        <v>209.55926924951001</v>
      </c>
      <c r="I521" s="2">
        <v>2308.3522926066698</v>
      </c>
      <c r="J521" s="2">
        <v>4288.2527623394099</v>
      </c>
      <c r="K521" s="2">
        <v>1034.58004412337</v>
      </c>
      <c r="L521" s="2">
        <v>6706.71785361609</v>
      </c>
      <c r="M521" s="2">
        <v>14051.046413607501</v>
      </c>
      <c r="N521" s="3">
        <f t="shared" si="24"/>
        <v>46988.586448846865</v>
      </c>
      <c r="O521" s="2">
        <v>19.2334694702846</v>
      </c>
      <c r="P521" s="2">
        <v>4.3974277303973102</v>
      </c>
      <c r="Q521" s="2">
        <v>1.6618008226291201</v>
      </c>
      <c r="R521" s="2">
        <v>2.9284483678489801</v>
      </c>
      <c r="S521" s="2">
        <v>2.1608635153590199</v>
      </c>
      <c r="T521" s="2">
        <v>1.3468236484030101</v>
      </c>
      <c r="U521" s="2">
        <v>7.4024426108313799</v>
      </c>
      <c r="V521" s="2">
        <v>7.5623761119506003</v>
      </c>
      <c r="W521" s="2">
        <v>2.4332645036618201</v>
      </c>
      <c r="X521" s="2">
        <v>11.141962700523999</v>
      </c>
      <c r="Y521" s="2">
        <v>4.6327560627886104</v>
      </c>
      <c r="Z521" s="2">
        <v>2.15746893000086</v>
      </c>
      <c r="AA521" s="3">
        <f t="shared" si="25"/>
        <v>67.059104474679302</v>
      </c>
      <c r="AB521" t="s">
        <v>45</v>
      </c>
      <c r="AC521">
        <v>32.99</v>
      </c>
      <c r="AD521">
        <v>27.52</v>
      </c>
      <c r="AE521">
        <v>61.75</v>
      </c>
      <c r="AF521">
        <v>61.97</v>
      </c>
      <c r="AG521">
        <v>11.48</v>
      </c>
      <c r="AH521">
        <v>49.92</v>
      </c>
      <c r="AI521">
        <v>12.49</v>
      </c>
      <c r="AJ521">
        <v>33.479999999999997</v>
      </c>
      <c r="AK521">
        <v>53.03</v>
      </c>
      <c r="AL521">
        <v>20.94</v>
      </c>
      <c r="AM521">
        <v>77.31</v>
      </c>
      <c r="AN521">
        <v>150.66</v>
      </c>
      <c r="AO521" s="1">
        <f t="shared" si="26"/>
        <v>593.54</v>
      </c>
    </row>
    <row r="522" spans="1:41" x14ac:dyDescent="0.25">
      <c r="A522" t="s">
        <v>565</v>
      </c>
      <c r="B522" s="2">
        <v>2181.6281348602201</v>
      </c>
      <c r="C522" s="2">
        <v>1352.9313775917001</v>
      </c>
      <c r="D522" s="2">
        <v>2292.66649063869</v>
      </c>
      <c r="E522" s="2">
        <v>2665.9965854114698</v>
      </c>
      <c r="F522" s="2">
        <v>115.20982992143099</v>
      </c>
      <c r="G522" s="2">
        <v>8792.4831037067706</v>
      </c>
      <c r="H522" s="2">
        <v>1335.8755619069</v>
      </c>
      <c r="I522" s="2">
        <v>5083.3242927955898</v>
      </c>
      <c r="J522" s="2">
        <v>1295.6542108526801</v>
      </c>
      <c r="K522" s="2">
        <v>2084.0221085581102</v>
      </c>
      <c r="L522" s="2">
        <v>1437.8221607794501</v>
      </c>
      <c r="M522" s="2">
        <v>4118.3738987711504</v>
      </c>
      <c r="N522" s="3">
        <f t="shared" si="24"/>
        <v>32755.987755794169</v>
      </c>
      <c r="O522" s="2">
        <v>6.4318423101000999</v>
      </c>
      <c r="P522" s="2">
        <v>0.82415745151997499</v>
      </c>
      <c r="Q522" s="2">
        <v>2.3919353908585501</v>
      </c>
      <c r="R522" s="2">
        <v>3.3285127007942501</v>
      </c>
      <c r="S522" s="2">
        <v>0</v>
      </c>
      <c r="T522" s="2">
        <v>3.8439351390584702</v>
      </c>
      <c r="U522" s="2">
        <v>4.1554164564081901</v>
      </c>
      <c r="V522" s="2">
        <v>0.22503418442797099</v>
      </c>
      <c r="W522" s="2">
        <v>4.47690035154851</v>
      </c>
      <c r="X522" s="2">
        <v>5.8441933473056098</v>
      </c>
      <c r="Y522" s="2">
        <v>1.9285911920157199</v>
      </c>
      <c r="Z522" s="2">
        <v>7.6769461946386501</v>
      </c>
      <c r="AA522" s="3">
        <f t="shared" si="25"/>
        <v>41.127464718675995</v>
      </c>
      <c r="AB522" t="s">
        <v>63</v>
      </c>
      <c r="AC522">
        <v>44.27</v>
      </c>
      <c r="AD522">
        <v>27.15</v>
      </c>
      <c r="AE522">
        <v>46.13</v>
      </c>
      <c r="AF522">
        <v>53.68</v>
      </c>
      <c r="AG522">
        <v>2.3199999999999998</v>
      </c>
      <c r="AH522">
        <v>176.22</v>
      </c>
      <c r="AI522">
        <v>27.17</v>
      </c>
      <c r="AJ522">
        <v>101.77</v>
      </c>
      <c r="AK522">
        <v>26.37</v>
      </c>
      <c r="AL522">
        <v>42.24</v>
      </c>
      <c r="AM522">
        <v>28.94</v>
      </c>
      <c r="AN522">
        <v>83.1</v>
      </c>
      <c r="AO522" s="1">
        <f t="shared" si="26"/>
        <v>659.36</v>
      </c>
    </row>
    <row r="523" spans="1:41" x14ac:dyDescent="0.25">
      <c r="A523" t="s">
        <v>566</v>
      </c>
      <c r="B523" s="2">
        <v>2175.5192793874198</v>
      </c>
      <c r="C523" s="2">
        <v>10318.9778980145</v>
      </c>
      <c r="D523" s="2">
        <v>518.61421785219</v>
      </c>
      <c r="E523" s="2">
        <v>4574.9648491531998</v>
      </c>
      <c r="F523" s="2">
        <v>3663.3032418840198</v>
      </c>
      <c r="G523" s="2">
        <v>6775.1457038179897</v>
      </c>
      <c r="H523" s="2">
        <v>907.66507838788505</v>
      </c>
      <c r="I523" s="2">
        <v>92.7999824093489</v>
      </c>
      <c r="J523" s="2">
        <v>867.86749576337502</v>
      </c>
      <c r="K523" s="2">
        <v>2792.7562837691898</v>
      </c>
      <c r="L523" s="2">
        <v>2346.1420213890601</v>
      </c>
      <c r="M523" s="2">
        <v>9172.0541229555893</v>
      </c>
      <c r="N523" s="3">
        <f t="shared" si="24"/>
        <v>44205.810174783772</v>
      </c>
      <c r="O523" s="2">
        <v>13.4117434010774</v>
      </c>
      <c r="P523" s="2">
        <v>2.1396711766998102</v>
      </c>
      <c r="Q523" s="2">
        <v>1.89416491916237</v>
      </c>
      <c r="R523" s="2">
        <v>10.1358616059882</v>
      </c>
      <c r="S523" s="2">
        <v>3.6338894193511702</v>
      </c>
      <c r="T523" s="2">
        <v>6.3719387081222001</v>
      </c>
      <c r="U523" s="2">
        <v>4.7139256194998799E-2</v>
      </c>
      <c r="V523" s="2">
        <v>2.86490868789063</v>
      </c>
      <c r="W523" s="2">
        <v>0</v>
      </c>
      <c r="X523" s="2">
        <v>2.2678633149493899</v>
      </c>
      <c r="Y523" s="2">
        <v>0</v>
      </c>
      <c r="Z523" s="2">
        <v>0.68076621970062701</v>
      </c>
      <c r="AA523" s="3">
        <f t="shared" si="25"/>
        <v>43.447946709136794</v>
      </c>
      <c r="AB523" t="s">
        <v>45</v>
      </c>
      <c r="AC523">
        <v>32.450000000000003</v>
      </c>
      <c r="AD523">
        <v>113.33</v>
      </c>
      <c r="AE523">
        <v>15.28</v>
      </c>
      <c r="AF523">
        <v>56.29</v>
      </c>
      <c r="AG523">
        <v>46.83</v>
      </c>
      <c r="AH523">
        <v>78.099999999999994</v>
      </c>
      <c r="AI523">
        <v>19.12</v>
      </c>
      <c r="AJ523">
        <v>11.07</v>
      </c>
      <c r="AK523">
        <v>18.670000000000002</v>
      </c>
      <c r="AL523">
        <v>38.07</v>
      </c>
      <c r="AM523">
        <v>33.46</v>
      </c>
      <c r="AN523">
        <v>101.77</v>
      </c>
      <c r="AO523" s="1">
        <f t="shared" si="26"/>
        <v>564.43999999999994</v>
      </c>
    </row>
    <row r="524" spans="1:41" x14ac:dyDescent="0.25">
      <c r="A524" t="s">
        <v>567</v>
      </c>
      <c r="B524" s="2">
        <v>2165.1427442111599</v>
      </c>
      <c r="C524" s="2">
        <v>8457.5485519251597</v>
      </c>
      <c r="D524" s="2">
        <v>2661.6789480378502</v>
      </c>
      <c r="E524" s="2">
        <v>10762.4731596942</v>
      </c>
      <c r="F524" s="2">
        <v>1466.35252808218</v>
      </c>
      <c r="G524" s="2">
        <v>20728.160152476299</v>
      </c>
      <c r="H524" s="2">
        <v>4636.6546329310504</v>
      </c>
      <c r="I524" s="2">
        <v>5684.38449313807</v>
      </c>
      <c r="J524" s="2">
        <v>2612.50238937228</v>
      </c>
      <c r="K524" s="2">
        <v>8162.6304655595704</v>
      </c>
      <c r="L524" s="2">
        <v>2062.1465927148502</v>
      </c>
      <c r="M524" s="2">
        <v>4806.3003792927302</v>
      </c>
      <c r="N524" s="3">
        <f t="shared" si="24"/>
        <v>74205.975037435419</v>
      </c>
      <c r="O524" s="2">
        <v>3.1801832017557898</v>
      </c>
      <c r="P524" s="2">
        <v>10.9316104832523</v>
      </c>
      <c r="Q524" s="2">
        <v>0.463214953051241</v>
      </c>
      <c r="R524" s="2">
        <v>2.9313454860906298</v>
      </c>
      <c r="S524" s="2">
        <v>4.0443395844671803</v>
      </c>
      <c r="T524" s="2">
        <v>1.1290425689905199</v>
      </c>
      <c r="U524" s="2">
        <v>2.0155572989848398</v>
      </c>
      <c r="V524" s="2">
        <v>5.7589420447704098</v>
      </c>
      <c r="W524" s="2">
        <v>7.31776001138343</v>
      </c>
      <c r="X524" s="2">
        <v>2.4400121083380801</v>
      </c>
      <c r="Y524" s="2">
        <v>5.7969807172280499</v>
      </c>
      <c r="Z524" s="2">
        <v>1.8173478540219099</v>
      </c>
      <c r="AA524" s="3">
        <f t="shared" si="25"/>
        <v>47.826336312334391</v>
      </c>
      <c r="AB524" t="s">
        <v>45</v>
      </c>
      <c r="AC524">
        <v>31.85</v>
      </c>
      <c r="AD524">
        <v>95.12</v>
      </c>
      <c r="AE524">
        <v>36.659999999999997</v>
      </c>
      <c r="AF524">
        <v>117.77</v>
      </c>
      <c r="AG524">
        <v>24.91</v>
      </c>
      <c r="AH524">
        <v>217.38</v>
      </c>
      <c r="AI524">
        <v>56.51</v>
      </c>
      <c r="AJ524">
        <v>67.14</v>
      </c>
      <c r="AK524">
        <v>36.520000000000003</v>
      </c>
      <c r="AL524">
        <v>91.77</v>
      </c>
      <c r="AM524">
        <v>30.92</v>
      </c>
      <c r="AN524">
        <v>58.16</v>
      </c>
      <c r="AO524" s="1">
        <f t="shared" si="26"/>
        <v>864.70999999999992</v>
      </c>
    </row>
    <row r="525" spans="1:41" x14ac:dyDescent="0.25">
      <c r="A525" t="s">
        <v>568</v>
      </c>
      <c r="B525" s="2">
        <v>2148.2858326943501</v>
      </c>
      <c r="C525" s="2">
        <v>0</v>
      </c>
      <c r="D525" s="2">
        <v>3603.15195909473</v>
      </c>
      <c r="E525" s="2">
        <v>4985.7457344285604</v>
      </c>
      <c r="F525" s="2">
        <v>2237.2858032557501</v>
      </c>
      <c r="G525" s="2">
        <v>4419.17838491978</v>
      </c>
      <c r="H525" s="2">
        <v>1780.0274295371801</v>
      </c>
      <c r="I525" s="2">
        <v>18.713784285489599</v>
      </c>
      <c r="J525" s="2">
        <v>4087.5508668203202</v>
      </c>
      <c r="K525" s="2">
        <v>645.83259506762897</v>
      </c>
      <c r="L525" s="2">
        <v>2875.8583511350598</v>
      </c>
      <c r="M525" s="2">
        <v>2844.1292873093898</v>
      </c>
      <c r="N525" s="3">
        <f t="shared" si="24"/>
        <v>29645.76002854824</v>
      </c>
      <c r="O525" s="2">
        <v>6.4687924959354604</v>
      </c>
      <c r="P525" s="2">
        <v>1.71673549576617</v>
      </c>
      <c r="Q525" s="2">
        <v>0</v>
      </c>
      <c r="R525" s="2">
        <v>0</v>
      </c>
      <c r="S525" s="2">
        <v>2.0503582009897801</v>
      </c>
      <c r="T525" s="2">
        <v>3.51120987530365</v>
      </c>
      <c r="U525" s="2">
        <v>0.86481002373750504</v>
      </c>
      <c r="V525" s="2">
        <v>0</v>
      </c>
      <c r="W525" s="2">
        <v>3.4392157187602201</v>
      </c>
      <c r="X525" s="2">
        <v>1.61394664502162</v>
      </c>
      <c r="Y525" s="2">
        <v>1.2783815841839701</v>
      </c>
      <c r="Z525" s="2">
        <v>2.6125495018309799</v>
      </c>
      <c r="AA525" s="3">
        <f t="shared" si="25"/>
        <v>23.555999541529356</v>
      </c>
      <c r="AB525" t="s">
        <v>63</v>
      </c>
      <c r="AC525">
        <v>43.61</v>
      </c>
      <c r="AD525">
        <v>0.18</v>
      </c>
      <c r="AE525">
        <v>72.08</v>
      </c>
      <c r="AF525">
        <v>99.72</v>
      </c>
      <c r="AG525">
        <v>45.03</v>
      </c>
      <c r="AH525">
        <v>88.76</v>
      </c>
      <c r="AI525">
        <v>35.71</v>
      </c>
      <c r="AJ525">
        <v>0.38</v>
      </c>
      <c r="AK525">
        <v>82.12</v>
      </c>
      <c r="AL525">
        <v>13.1</v>
      </c>
      <c r="AM525">
        <v>57.7</v>
      </c>
      <c r="AN525">
        <v>57.17</v>
      </c>
      <c r="AO525" s="1">
        <f t="shared" si="26"/>
        <v>595.55999999999995</v>
      </c>
    </row>
    <row r="526" spans="1:41" x14ac:dyDescent="0.25">
      <c r="A526" t="s">
        <v>569</v>
      </c>
      <c r="B526" s="2">
        <v>2136.4080376397001</v>
      </c>
      <c r="C526" s="2">
        <v>269.91242020551402</v>
      </c>
      <c r="D526" s="2">
        <v>12434.149609472701</v>
      </c>
      <c r="E526" s="2">
        <v>1105.43577265359</v>
      </c>
      <c r="F526" s="2">
        <v>3355.70100844526</v>
      </c>
      <c r="G526" s="2">
        <v>3461.5282649672599</v>
      </c>
      <c r="H526" s="2">
        <v>0</v>
      </c>
      <c r="I526" s="2">
        <v>10405.9688269003</v>
      </c>
      <c r="J526" s="2">
        <v>5346.4005379025202</v>
      </c>
      <c r="K526" s="2">
        <v>1068.39381672645</v>
      </c>
      <c r="L526" s="2">
        <v>14446.603477877799</v>
      </c>
      <c r="M526" s="2">
        <v>5673.3508920739696</v>
      </c>
      <c r="N526" s="3">
        <f t="shared" si="24"/>
        <v>59703.852664865059</v>
      </c>
      <c r="O526" s="2">
        <v>10.6979612578525</v>
      </c>
      <c r="P526" s="2">
        <v>4.3066614418656304</v>
      </c>
      <c r="Q526" s="2">
        <v>1.02682752042655</v>
      </c>
      <c r="R526" s="2">
        <v>1.55053663286376</v>
      </c>
      <c r="S526" s="2">
        <v>6.1968110151647799</v>
      </c>
      <c r="T526" s="2">
        <v>7.9684429321966599</v>
      </c>
      <c r="U526" s="2">
        <v>8.0339823524539806</v>
      </c>
      <c r="V526" s="2">
        <v>6.6526088435121302</v>
      </c>
      <c r="W526" s="2">
        <v>3.4942067958782301</v>
      </c>
      <c r="X526" s="2">
        <v>1.3265725109892199</v>
      </c>
      <c r="Y526" s="2">
        <v>0</v>
      </c>
      <c r="Z526" s="2">
        <v>10.028542568892</v>
      </c>
      <c r="AA526" s="3">
        <f t="shared" si="25"/>
        <v>61.283153872095447</v>
      </c>
      <c r="AB526" t="s">
        <v>45</v>
      </c>
      <c r="AC526">
        <v>31.91</v>
      </c>
      <c r="AD526">
        <v>12.94</v>
      </c>
      <c r="AE526">
        <v>134.44</v>
      </c>
      <c r="AF526">
        <v>21.15</v>
      </c>
      <c r="AG526">
        <v>43.9</v>
      </c>
      <c r="AH526">
        <v>45.01</v>
      </c>
      <c r="AI526">
        <v>10.44</v>
      </c>
      <c r="AJ526">
        <v>114.4</v>
      </c>
      <c r="AK526">
        <v>63.66</v>
      </c>
      <c r="AL526">
        <v>20.78</v>
      </c>
      <c r="AM526">
        <v>154.46</v>
      </c>
      <c r="AN526">
        <v>67.28</v>
      </c>
      <c r="AO526" s="1">
        <f t="shared" si="26"/>
        <v>720.37</v>
      </c>
    </row>
    <row r="527" spans="1:41" x14ac:dyDescent="0.25">
      <c r="A527" t="s">
        <v>570</v>
      </c>
      <c r="B527" s="2">
        <v>2131.1747901834201</v>
      </c>
      <c r="C527" s="2">
        <v>443.89958000553497</v>
      </c>
      <c r="D527" s="2">
        <v>7605.0789600954904</v>
      </c>
      <c r="E527" s="2">
        <v>7111.8377564335897</v>
      </c>
      <c r="F527" s="2">
        <v>1584.8218114978499</v>
      </c>
      <c r="G527" s="2">
        <v>0</v>
      </c>
      <c r="H527" s="2">
        <v>1523.22283998427</v>
      </c>
      <c r="I527" s="2">
        <v>900.20512410473395</v>
      </c>
      <c r="J527" s="2">
        <v>1156.5290553060699</v>
      </c>
      <c r="K527" s="2">
        <v>1730.1028234139901</v>
      </c>
      <c r="L527" s="2">
        <v>0</v>
      </c>
      <c r="M527" s="2">
        <v>11977.0543417351</v>
      </c>
      <c r="N527" s="3">
        <f t="shared" si="24"/>
        <v>36163.927082760056</v>
      </c>
      <c r="O527" s="2">
        <v>3.24276091145479</v>
      </c>
      <c r="P527" s="2">
        <v>3.6600419290006299</v>
      </c>
      <c r="Q527" s="2">
        <v>8.6049232473730601</v>
      </c>
      <c r="R527" s="2">
        <v>0.80512375482612997</v>
      </c>
      <c r="S527" s="2">
        <v>3.78360514600306</v>
      </c>
      <c r="T527" s="2">
        <v>0</v>
      </c>
      <c r="U527" s="2">
        <v>0</v>
      </c>
      <c r="V527" s="2">
        <v>2.2646446746518398</v>
      </c>
      <c r="W527" s="2">
        <v>4.0257541668308701</v>
      </c>
      <c r="X527" s="2">
        <v>0</v>
      </c>
      <c r="Y527" s="2">
        <v>1.72125232849517</v>
      </c>
      <c r="Z527" s="2">
        <v>3.4574951008411898</v>
      </c>
      <c r="AA527" s="3">
        <f t="shared" si="25"/>
        <v>31.56560125947674</v>
      </c>
      <c r="AB527" t="s">
        <v>45</v>
      </c>
      <c r="AC527">
        <v>31.51</v>
      </c>
      <c r="AD527">
        <v>14.63</v>
      </c>
      <c r="AE527">
        <v>86.5</v>
      </c>
      <c r="AF527">
        <v>81.16</v>
      </c>
      <c r="AG527">
        <v>26.04</v>
      </c>
      <c r="AH527">
        <v>9.99</v>
      </c>
      <c r="AI527">
        <v>25.23</v>
      </c>
      <c r="AJ527">
        <v>19.149999999999999</v>
      </c>
      <c r="AK527">
        <v>21.81</v>
      </c>
      <c r="AL527">
        <v>27.3</v>
      </c>
      <c r="AM527">
        <v>10.09</v>
      </c>
      <c r="AN527">
        <v>129.97</v>
      </c>
      <c r="AO527" s="1">
        <f t="shared" si="26"/>
        <v>483.38</v>
      </c>
    </row>
    <row r="528" spans="1:41" x14ac:dyDescent="0.25">
      <c r="A528" t="s">
        <v>571</v>
      </c>
      <c r="B528" s="2">
        <v>2124.4375721738902</v>
      </c>
      <c r="C528" s="2">
        <v>8379.3603593892003</v>
      </c>
      <c r="D528" s="2">
        <v>9604.9892549654396</v>
      </c>
      <c r="E528" s="2">
        <v>1488.5187325991501</v>
      </c>
      <c r="F528" s="2">
        <v>6912.4051717218299</v>
      </c>
      <c r="G528" s="2">
        <v>1717.7935570262</v>
      </c>
      <c r="H528" s="2">
        <v>1720.5927203265701</v>
      </c>
      <c r="I528" s="2">
        <v>4693.3727216663401</v>
      </c>
      <c r="J528" s="2">
        <v>0</v>
      </c>
      <c r="K528" s="2">
        <v>7724.8988766422399</v>
      </c>
      <c r="L528" s="2">
        <v>3664.7163950018899</v>
      </c>
      <c r="M528" s="2">
        <v>8366.0346900068507</v>
      </c>
      <c r="N528" s="3">
        <f t="shared" si="24"/>
        <v>56397.120051519596</v>
      </c>
      <c r="O528" s="2">
        <v>0.85320360262512196</v>
      </c>
      <c r="P528" s="2">
        <v>6.0065883205008301</v>
      </c>
      <c r="Q528" s="2">
        <v>1.27720454262781</v>
      </c>
      <c r="R528" s="2">
        <v>7.4723666356842697</v>
      </c>
      <c r="S528" s="2">
        <v>6.1593645561988799</v>
      </c>
      <c r="T528" s="2">
        <v>5.5402096473223903</v>
      </c>
      <c r="U528" s="2">
        <v>0</v>
      </c>
      <c r="V528" s="2">
        <v>0.58352024678153702</v>
      </c>
      <c r="W528" s="2">
        <v>0</v>
      </c>
      <c r="X528" s="2">
        <v>1.9858815385642099</v>
      </c>
      <c r="Y528" s="2">
        <v>0.66907865098497998</v>
      </c>
      <c r="Z528" s="2">
        <v>12.6293017528206</v>
      </c>
      <c r="AA528" s="3">
        <f t="shared" si="25"/>
        <v>43.176719494110628</v>
      </c>
      <c r="AB528" t="s">
        <v>63</v>
      </c>
      <c r="AC528">
        <v>42.59</v>
      </c>
      <c r="AD528">
        <v>168.23</v>
      </c>
      <c r="AE528">
        <v>192.28</v>
      </c>
      <c r="AF528">
        <v>30.5</v>
      </c>
      <c r="AG528">
        <v>138.88999999999999</v>
      </c>
      <c r="AH528">
        <v>34.9</v>
      </c>
      <c r="AI528">
        <v>34.42</v>
      </c>
      <c r="AJ528">
        <v>93.97</v>
      </c>
      <c r="AK528">
        <v>0</v>
      </c>
      <c r="AL528">
        <v>154.68</v>
      </c>
      <c r="AM528">
        <v>73.39</v>
      </c>
      <c r="AN528">
        <v>168.51</v>
      </c>
      <c r="AO528" s="1">
        <f t="shared" si="26"/>
        <v>1132.3600000000001</v>
      </c>
    </row>
    <row r="529" spans="1:41" x14ac:dyDescent="0.25">
      <c r="A529" t="s">
        <v>572</v>
      </c>
      <c r="B529" s="2">
        <v>2122.65975888095</v>
      </c>
      <c r="C529" s="2">
        <v>0</v>
      </c>
      <c r="D529" s="2">
        <v>13547.1465443898</v>
      </c>
      <c r="E529" s="2">
        <v>2407.1670909315999</v>
      </c>
      <c r="F529" s="2">
        <v>0</v>
      </c>
      <c r="G529" s="2">
        <v>1485.94034082384</v>
      </c>
      <c r="H529" s="2">
        <v>703.80222701734795</v>
      </c>
      <c r="I529" s="2">
        <v>25335.701404236199</v>
      </c>
      <c r="J529" s="2">
        <v>2155.0973890864202</v>
      </c>
      <c r="K529" s="2">
        <v>2070.6719574888498</v>
      </c>
      <c r="L529" s="2">
        <v>7995.2719612129004</v>
      </c>
      <c r="M529" s="2">
        <v>3708.7145287199</v>
      </c>
      <c r="N529" s="3">
        <f t="shared" si="24"/>
        <v>61532.17320278781</v>
      </c>
      <c r="O529" s="2">
        <v>21.927541600779801</v>
      </c>
      <c r="P529" s="2">
        <v>9.4029540373383895</v>
      </c>
      <c r="Q529" s="2">
        <v>3.0508582486725602</v>
      </c>
      <c r="R529" s="2">
        <v>1.8371477424862599</v>
      </c>
      <c r="S529" s="2">
        <v>0</v>
      </c>
      <c r="T529" s="2">
        <v>0.36730911548849199</v>
      </c>
      <c r="U529" s="2">
        <v>1.38425656153552</v>
      </c>
      <c r="V529" s="2">
        <v>1.51422069796098</v>
      </c>
      <c r="W529" s="2">
        <v>2.8652568446575999</v>
      </c>
      <c r="X529" s="2">
        <v>2.1820733145090099</v>
      </c>
      <c r="Y529" s="2">
        <v>2.3307738975565799</v>
      </c>
      <c r="Z529" s="2">
        <v>14.9446880711149</v>
      </c>
      <c r="AA529" s="3">
        <f t="shared" si="25"/>
        <v>61.807080132100097</v>
      </c>
      <c r="AB529" t="s">
        <v>45</v>
      </c>
      <c r="AC529">
        <v>32.32</v>
      </c>
      <c r="AD529">
        <v>10.49</v>
      </c>
      <c r="AE529">
        <v>145.66999999999999</v>
      </c>
      <c r="AF529">
        <v>34.17</v>
      </c>
      <c r="AG529">
        <v>9.99</v>
      </c>
      <c r="AH529">
        <v>24.9</v>
      </c>
      <c r="AI529">
        <v>17.13</v>
      </c>
      <c r="AJ529">
        <v>263.45</v>
      </c>
      <c r="AK529">
        <v>31.7</v>
      </c>
      <c r="AL529">
        <v>30.85</v>
      </c>
      <c r="AM529">
        <v>90.1</v>
      </c>
      <c r="AN529">
        <v>47.83</v>
      </c>
      <c r="AO529" s="1">
        <f t="shared" si="26"/>
        <v>738.6</v>
      </c>
    </row>
    <row r="530" spans="1:41" x14ac:dyDescent="0.25">
      <c r="A530" t="s">
        <v>573</v>
      </c>
      <c r="B530" s="2">
        <v>2122.4726807347502</v>
      </c>
      <c r="C530" s="2">
        <v>1120.78176304576</v>
      </c>
      <c r="D530" s="2">
        <v>2029.3257181297399</v>
      </c>
      <c r="E530" s="2">
        <v>933.965110621024</v>
      </c>
      <c r="F530" s="2">
        <v>2111.22592150535</v>
      </c>
      <c r="G530" s="2">
        <v>2584.1825923766501</v>
      </c>
      <c r="H530" s="2">
        <v>2291.2658654450602</v>
      </c>
      <c r="I530" s="2">
        <v>7343.6000357360499</v>
      </c>
      <c r="J530" s="2">
        <v>0</v>
      </c>
      <c r="K530" s="2">
        <v>3000.4265082883499</v>
      </c>
      <c r="L530" s="2">
        <v>629.08099458597997</v>
      </c>
      <c r="M530" s="2">
        <v>4911.83227076412</v>
      </c>
      <c r="N530" s="3">
        <f t="shared" si="24"/>
        <v>29078.159461232834</v>
      </c>
      <c r="O530" s="2">
        <v>1.64257677117988</v>
      </c>
      <c r="P530" s="2">
        <v>0</v>
      </c>
      <c r="Q530" s="2">
        <v>17.1300694107358</v>
      </c>
      <c r="R530" s="2">
        <v>1.83835950679259</v>
      </c>
      <c r="S530" s="2">
        <v>0</v>
      </c>
      <c r="T530" s="2">
        <v>1.3572362780067999</v>
      </c>
      <c r="U530" s="2">
        <v>5.50714098516299</v>
      </c>
      <c r="V530" s="2">
        <v>6.1059030103288796</v>
      </c>
      <c r="W530" s="2">
        <v>0</v>
      </c>
      <c r="X530" s="2">
        <v>5.6118962952657003E-2</v>
      </c>
      <c r="Y530" s="2">
        <v>0</v>
      </c>
      <c r="Z530" s="2">
        <v>1.88519626910657</v>
      </c>
      <c r="AA530" s="3">
        <f t="shared" si="25"/>
        <v>35.522601194266166</v>
      </c>
      <c r="AB530" t="s">
        <v>63</v>
      </c>
      <c r="AC530">
        <v>42.64</v>
      </c>
      <c r="AD530">
        <v>22.42</v>
      </c>
      <c r="AE530">
        <v>42.22</v>
      </c>
      <c r="AF530">
        <v>18.86</v>
      </c>
      <c r="AG530">
        <v>42.24</v>
      </c>
      <c r="AH530">
        <v>51.88</v>
      </c>
      <c r="AI530">
        <v>46.38</v>
      </c>
      <c r="AJ530">
        <v>147.51</v>
      </c>
      <c r="AK530">
        <v>0</v>
      </c>
      <c r="AL530">
        <v>60.11</v>
      </c>
      <c r="AM530">
        <v>12.6</v>
      </c>
      <c r="AN530">
        <v>98.42</v>
      </c>
      <c r="AO530" s="1">
        <f t="shared" si="26"/>
        <v>585.28</v>
      </c>
    </row>
    <row r="531" spans="1:41" x14ac:dyDescent="0.25">
      <c r="A531" t="s">
        <v>574</v>
      </c>
      <c r="B531" s="2">
        <v>2119.0120220711301</v>
      </c>
      <c r="C531" s="2">
        <v>17688.5411638148</v>
      </c>
      <c r="D531" s="2">
        <v>4767.6799339527797</v>
      </c>
      <c r="E531" s="2">
        <v>2945.80977370251</v>
      </c>
      <c r="F531" s="2">
        <v>3023.8548607928301</v>
      </c>
      <c r="G531" s="2">
        <v>460.71689865228302</v>
      </c>
      <c r="H531" s="2">
        <v>10824.7920943269</v>
      </c>
      <c r="I531" s="2">
        <v>8943.4920055156999</v>
      </c>
      <c r="J531" s="2">
        <v>3857.4122392249301</v>
      </c>
      <c r="K531" s="2">
        <v>0</v>
      </c>
      <c r="L531" s="2">
        <v>1192.06233825494</v>
      </c>
      <c r="M531" s="2">
        <v>929.28666893910599</v>
      </c>
      <c r="N531" s="3">
        <f t="shared" si="24"/>
        <v>56752.659999247902</v>
      </c>
      <c r="O531" s="2">
        <v>2.99028452589635</v>
      </c>
      <c r="P531" s="2">
        <v>5.2122377832094804</v>
      </c>
      <c r="Q531" s="2">
        <v>2.8633321011220199</v>
      </c>
      <c r="R531" s="2">
        <v>2.1119302796870998</v>
      </c>
      <c r="S531" s="2">
        <v>0</v>
      </c>
      <c r="T531" s="2">
        <v>8.1861780831677606</v>
      </c>
      <c r="U531" s="2">
        <v>0.93792077033260601</v>
      </c>
      <c r="V531" s="2">
        <v>9.2503673565111697</v>
      </c>
      <c r="W531" s="2">
        <v>3.99509959903307</v>
      </c>
      <c r="X531" s="2">
        <v>3.02802999340483</v>
      </c>
      <c r="Y531" s="2">
        <v>8.0730209127174195</v>
      </c>
      <c r="Z531" s="2">
        <v>2.7140547168996201</v>
      </c>
      <c r="AA531" s="3">
        <f t="shared" si="25"/>
        <v>49.362456121981424</v>
      </c>
      <c r="AB531" t="s">
        <v>45</v>
      </c>
      <c r="AC531">
        <v>31.34</v>
      </c>
      <c r="AD531">
        <v>187.18</v>
      </c>
      <c r="AE531">
        <v>57.82</v>
      </c>
      <c r="AF531">
        <v>39.6</v>
      </c>
      <c r="AG531">
        <v>40.229999999999997</v>
      </c>
      <c r="AH531">
        <v>15.05</v>
      </c>
      <c r="AI531">
        <v>118.29</v>
      </c>
      <c r="AJ531">
        <v>99.93</v>
      </c>
      <c r="AK531">
        <v>48.77</v>
      </c>
      <c r="AL531">
        <v>10.19</v>
      </c>
      <c r="AM531">
        <v>22.37</v>
      </c>
      <c r="AN531">
        <v>19.440000000000001</v>
      </c>
      <c r="AO531" s="1">
        <f t="shared" si="26"/>
        <v>690.21000000000015</v>
      </c>
    </row>
    <row r="532" spans="1:41" x14ac:dyDescent="0.25">
      <c r="A532" t="s">
        <v>575</v>
      </c>
      <c r="B532" s="2">
        <v>2115.51111166699</v>
      </c>
      <c r="C532" s="2">
        <v>3045.2602822682802</v>
      </c>
      <c r="D532" s="2">
        <v>2719.3675014113101</v>
      </c>
      <c r="E532" s="2">
        <v>9382.9121688488794</v>
      </c>
      <c r="F532" s="2">
        <v>307.04084350821699</v>
      </c>
      <c r="G532" s="2">
        <v>271.632255321549</v>
      </c>
      <c r="H532" s="2">
        <v>4818.8194352832397</v>
      </c>
      <c r="I532" s="2">
        <v>1258.8069047604999</v>
      </c>
      <c r="J532" s="2">
        <v>1610.52585152035</v>
      </c>
      <c r="K532" s="2">
        <v>2168.6669494724001</v>
      </c>
      <c r="L532" s="2">
        <v>3208.7483182822498</v>
      </c>
      <c r="M532" s="2">
        <v>794.52190332414204</v>
      </c>
      <c r="N532" s="3">
        <f t="shared" si="24"/>
        <v>31701.813525668109</v>
      </c>
      <c r="O532" s="2">
        <v>3.18258008845409</v>
      </c>
      <c r="P532" s="2">
        <v>0</v>
      </c>
      <c r="Q532" s="2">
        <v>4.9920324459808096</v>
      </c>
      <c r="R532" s="2">
        <v>0</v>
      </c>
      <c r="S532" s="2">
        <v>0.175093333718811</v>
      </c>
      <c r="T532" s="2">
        <v>2.9660979725224301</v>
      </c>
      <c r="U532" s="2">
        <v>6.6718803194541696</v>
      </c>
      <c r="V532" s="2">
        <v>3.8100937064200999</v>
      </c>
      <c r="W532" s="2">
        <v>4.3931647046500801</v>
      </c>
      <c r="X532" s="2">
        <v>1.80567843853502</v>
      </c>
      <c r="Y532" s="2">
        <v>3.90890696113778</v>
      </c>
      <c r="Z532" s="2">
        <v>0</v>
      </c>
      <c r="AA532" s="3">
        <f t="shared" si="25"/>
        <v>31.90552797087329</v>
      </c>
      <c r="AB532" t="s">
        <v>63</v>
      </c>
      <c r="AC532">
        <v>42.68</v>
      </c>
      <c r="AD532">
        <v>60.92</v>
      </c>
      <c r="AE532">
        <v>54.85</v>
      </c>
      <c r="AF532">
        <v>187.66</v>
      </c>
      <c r="AG532">
        <v>6.25</v>
      </c>
      <c r="AH532">
        <v>5.71</v>
      </c>
      <c r="AI532">
        <v>97.01</v>
      </c>
      <c r="AJ532">
        <v>25.54</v>
      </c>
      <c r="AK532">
        <v>32.67</v>
      </c>
      <c r="AL532">
        <v>43.56</v>
      </c>
      <c r="AM532">
        <v>64.540000000000006</v>
      </c>
      <c r="AN532">
        <v>15.9</v>
      </c>
      <c r="AO532" s="1">
        <f t="shared" si="26"/>
        <v>637.28999999999985</v>
      </c>
    </row>
    <row r="533" spans="1:41" x14ac:dyDescent="0.25">
      <c r="A533" t="s">
        <v>576</v>
      </c>
      <c r="B533" s="2">
        <v>2110.3398101491498</v>
      </c>
      <c r="C533" s="2">
        <v>12263.036778285799</v>
      </c>
      <c r="D533" s="2">
        <v>3121.4131200504698</v>
      </c>
      <c r="E533" s="2">
        <v>9612.4404809627304</v>
      </c>
      <c r="F533" s="2">
        <v>4823.0312189374399</v>
      </c>
      <c r="G533" s="2">
        <v>0</v>
      </c>
      <c r="H533" s="2">
        <v>737.79741991601395</v>
      </c>
      <c r="I533" s="2">
        <v>4887.51989727195</v>
      </c>
      <c r="J533" s="2">
        <v>3190.4389396258998</v>
      </c>
      <c r="K533" s="2">
        <v>319.41111649338598</v>
      </c>
      <c r="L533" s="2">
        <v>2466.3089824713102</v>
      </c>
      <c r="M533" s="2">
        <v>6327.09606131904</v>
      </c>
      <c r="N533" s="3">
        <f t="shared" si="24"/>
        <v>49858.833825483183</v>
      </c>
      <c r="O533" s="2">
        <v>3.12880546881911</v>
      </c>
      <c r="P533" s="2">
        <v>6.5306995662234701</v>
      </c>
      <c r="Q533" s="2">
        <v>1.65367771244211</v>
      </c>
      <c r="R533" s="2">
        <v>0.16349355272229499</v>
      </c>
      <c r="S533" s="2">
        <v>1.1926674178997001</v>
      </c>
      <c r="T533" s="2">
        <v>2.2709213139319</v>
      </c>
      <c r="U533" s="2">
        <v>3.1912533105910401</v>
      </c>
      <c r="V533" s="2">
        <v>7.4626792238449902</v>
      </c>
      <c r="W533" s="2">
        <v>6.8499781143587297</v>
      </c>
      <c r="X533" s="2">
        <v>2.7978946297857501</v>
      </c>
      <c r="Y533" s="2">
        <v>6.1666213741137703</v>
      </c>
      <c r="Z533" s="2">
        <v>1.9854054118117499</v>
      </c>
      <c r="AA533" s="3">
        <f t="shared" si="25"/>
        <v>43.39409709654462</v>
      </c>
      <c r="AB533" t="s">
        <v>45</v>
      </c>
      <c r="AC533">
        <v>31.3</v>
      </c>
      <c r="AD533">
        <v>132.97999999999999</v>
      </c>
      <c r="AE533">
        <v>41.31</v>
      </c>
      <c r="AF533">
        <v>106.17</v>
      </c>
      <c r="AG533">
        <v>58.33</v>
      </c>
      <c r="AH533">
        <v>10.14</v>
      </c>
      <c r="AI533">
        <v>17.57</v>
      </c>
      <c r="AJ533">
        <v>59.27</v>
      </c>
      <c r="AK533">
        <v>42.25</v>
      </c>
      <c r="AL533">
        <v>13.34</v>
      </c>
      <c r="AM533">
        <v>35.01</v>
      </c>
      <c r="AN533">
        <v>73.37</v>
      </c>
      <c r="AO533" s="1">
        <f t="shared" si="26"/>
        <v>621.04</v>
      </c>
    </row>
    <row r="534" spans="1:41" x14ac:dyDescent="0.25">
      <c r="A534" t="s">
        <v>577</v>
      </c>
      <c r="B534" s="2">
        <v>2106.4859414003899</v>
      </c>
      <c r="C534" s="2">
        <v>429.87572880502597</v>
      </c>
      <c r="D534" s="2">
        <v>6207.4720456628702</v>
      </c>
      <c r="E534" s="2">
        <v>1803.99090130078</v>
      </c>
      <c r="F534" s="2">
        <v>2718.6302542789699</v>
      </c>
      <c r="G534" s="2">
        <v>1532.65969488632</v>
      </c>
      <c r="H534" s="2">
        <v>649.80094791946306</v>
      </c>
      <c r="I534" s="2">
        <v>866.00911325875404</v>
      </c>
      <c r="J534" s="2">
        <v>5904.14523330478</v>
      </c>
      <c r="K534" s="2">
        <v>3843.09462184523</v>
      </c>
      <c r="L534" s="2">
        <v>2282.7849625080098</v>
      </c>
      <c r="M534" s="2">
        <v>1787.6416847748701</v>
      </c>
      <c r="N534" s="3">
        <f t="shared" si="24"/>
        <v>30132.591129945464</v>
      </c>
      <c r="O534" s="2">
        <v>1.36662555388425</v>
      </c>
      <c r="P534" s="2">
        <v>0.89753494794991495</v>
      </c>
      <c r="Q534" s="2">
        <v>0.97164988757743298</v>
      </c>
      <c r="R534" s="2">
        <v>5.4970861274327296</v>
      </c>
      <c r="S534" s="2">
        <v>0</v>
      </c>
      <c r="T534" s="2">
        <v>4.6196374960286404</v>
      </c>
      <c r="U534" s="2">
        <v>3.2051253354492601</v>
      </c>
      <c r="V534" s="2">
        <v>0</v>
      </c>
      <c r="W534" s="2">
        <v>1.50297988629827</v>
      </c>
      <c r="X534" s="2">
        <v>0.36330443396598699</v>
      </c>
      <c r="Y534" s="2">
        <v>4.06611343434641</v>
      </c>
      <c r="Z534" s="2">
        <v>2.6615079330786999</v>
      </c>
      <c r="AA534" s="3">
        <f t="shared" si="25"/>
        <v>25.151565036011593</v>
      </c>
      <c r="AB534" t="s">
        <v>63</v>
      </c>
      <c r="AC534">
        <v>42.32</v>
      </c>
      <c r="AD534">
        <v>8.69</v>
      </c>
      <c r="AE534">
        <v>124.25</v>
      </c>
      <c r="AF534">
        <v>36.619999999999997</v>
      </c>
      <c r="AG534">
        <v>54.38</v>
      </c>
      <c r="AH534">
        <v>31.11</v>
      </c>
      <c r="AI534">
        <v>13.36</v>
      </c>
      <c r="AJ534">
        <v>17.34</v>
      </c>
      <c r="AK534">
        <v>118.28</v>
      </c>
      <c r="AL534">
        <v>76.97</v>
      </c>
      <c r="AM534">
        <v>46.11</v>
      </c>
      <c r="AN534">
        <v>36.03</v>
      </c>
      <c r="AO534" s="1">
        <f t="shared" si="26"/>
        <v>605.46</v>
      </c>
    </row>
    <row r="535" spans="1:41" x14ac:dyDescent="0.25">
      <c r="A535" t="s">
        <v>578</v>
      </c>
      <c r="B535" s="2">
        <v>2101.8083219832001</v>
      </c>
      <c r="C535" s="2">
        <v>4641.5081857268096</v>
      </c>
      <c r="D535" s="2">
        <v>1626.9501437695501</v>
      </c>
      <c r="E535" s="2">
        <v>4117.5880087396699</v>
      </c>
      <c r="F535" s="2">
        <v>0</v>
      </c>
      <c r="G535" s="2">
        <v>3017.0714655791498</v>
      </c>
      <c r="H535" s="2">
        <v>894.32362379506503</v>
      </c>
      <c r="I535" s="2">
        <v>700.98566985727803</v>
      </c>
      <c r="J535" s="2">
        <v>1627.0185038867301</v>
      </c>
      <c r="K535" s="2">
        <v>3090.9190202121299</v>
      </c>
      <c r="L535" s="2">
        <v>11997.844532012299</v>
      </c>
      <c r="M535" s="2">
        <v>6207.53843108401</v>
      </c>
      <c r="N535" s="3">
        <f t="shared" si="24"/>
        <v>40023.555906645888</v>
      </c>
      <c r="O535" s="2">
        <v>0</v>
      </c>
      <c r="P535" s="2">
        <v>0.95534395689566098</v>
      </c>
      <c r="Q535" s="2">
        <v>1.82745991960129</v>
      </c>
      <c r="R535" s="2">
        <v>10.877305724112199</v>
      </c>
      <c r="S535" s="2">
        <v>0</v>
      </c>
      <c r="T535" s="2">
        <v>1.5023735730444301</v>
      </c>
      <c r="U535" s="2">
        <v>0.35641515365419701</v>
      </c>
      <c r="V535" s="2">
        <v>0.99025734488402695</v>
      </c>
      <c r="W535" s="2">
        <v>11.025402744737001</v>
      </c>
      <c r="X535" s="2">
        <v>2.2602737003306799</v>
      </c>
      <c r="Y535" s="2">
        <v>13.049238577533799</v>
      </c>
      <c r="Z535" s="2">
        <v>0</v>
      </c>
      <c r="AA535" s="3">
        <f t="shared" si="25"/>
        <v>42.844070694793288</v>
      </c>
      <c r="AB535" t="s">
        <v>45</v>
      </c>
      <c r="AC535">
        <v>31.01</v>
      </c>
      <c r="AD535">
        <v>56.46</v>
      </c>
      <c r="AE535">
        <v>26.36</v>
      </c>
      <c r="AF535">
        <v>51.72</v>
      </c>
      <c r="AG535">
        <v>9.99</v>
      </c>
      <c r="AH535">
        <v>40.270000000000003</v>
      </c>
      <c r="AI535">
        <v>18.989999999999998</v>
      </c>
      <c r="AJ535">
        <v>17.05</v>
      </c>
      <c r="AK535">
        <v>26.87</v>
      </c>
      <c r="AL535">
        <v>41.05</v>
      </c>
      <c r="AM535">
        <v>130.66999999999999</v>
      </c>
      <c r="AN535">
        <v>72.069999999999993</v>
      </c>
      <c r="AO535" s="1">
        <f t="shared" si="26"/>
        <v>522.51</v>
      </c>
    </row>
    <row r="536" spans="1:41" x14ac:dyDescent="0.25">
      <c r="A536" t="s">
        <v>579</v>
      </c>
      <c r="B536" s="2">
        <v>2099.3690749370999</v>
      </c>
      <c r="C536" s="2">
        <v>3777.5947507393298</v>
      </c>
      <c r="D536" s="2">
        <v>1997.8680887683299</v>
      </c>
      <c r="E536" s="2">
        <v>1322.22093698086</v>
      </c>
      <c r="F536" s="2">
        <v>478.14359988887998</v>
      </c>
      <c r="G536" s="2">
        <v>4537.28984064002</v>
      </c>
      <c r="H536" s="2">
        <v>0</v>
      </c>
      <c r="I536" s="2">
        <v>2040.62401908434</v>
      </c>
      <c r="J536" s="2">
        <v>1757.80921925449</v>
      </c>
      <c r="K536" s="2">
        <v>195.616459479127</v>
      </c>
      <c r="L536" s="2">
        <v>4761.4607546628804</v>
      </c>
      <c r="M536" s="2">
        <v>5664.7845317853398</v>
      </c>
      <c r="N536" s="3">
        <f t="shared" si="24"/>
        <v>28632.781276220696</v>
      </c>
      <c r="O536" s="2">
        <v>2.1891652384563298</v>
      </c>
      <c r="P536" s="2">
        <v>1.4815568740171501</v>
      </c>
      <c r="Q536" s="2">
        <v>0.172510314797024</v>
      </c>
      <c r="R536" s="2">
        <v>0</v>
      </c>
      <c r="S536" s="2">
        <v>3.8539784887034698</v>
      </c>
      <c r="T536" s="2">
        <v>3.3649336769220799</v>
      </c>
      <c r="U536" s="2">
        <v>7.45738707993804</v>
      </c>
      <c r="V536" s="2">
        <v>0</v>
      </c>
      <c r="W536" s="2">
        <v>0.49756282976102001</v>
      </c>
      <c r="X536" s="2">
        <v>0.90233242616730702</v>
      </c>
      <c r="Y536" s="2">
        <v>1.4723530064122401</v>
      </c>
      <c r="Z536" s="2">
        <v>0.82031631336675603</v>
      </c>
      <c r="AA536" s="3">
        <f t="shared" si="25"/>
        <v>22.212096248541418</v>
      </c>
      <c r="AB536" t="s">
        <v>63</v>
      </c>
      <c r="AC536">
        <v>42.27</v>
      </c>
      <c r="AD536">
        <v>75.739999999999995</v>
      </c>
      <c r="AE536">
        <v>40.049999999999997</v>
      </c>
      <c r="AF536">
        <v>26.46</v>
      </c>
      <c r="AG536">
        <v>9.94</v>
      </c>
      <c r="AH536">
        <v>91.12</v>
      </c>
      <c r="AI536">
        <v>0.72</v>
      </c>
      <c r="AJ536">
        <v>40.82</v>
      </c>
      <c r="AK536">
        <v>35.25</v>
      </c>
      <c r="AL536">
        <v>4.01</v>
      </c>
      <c r="AM536">
        <v>95.42</v>
      </c>
      <c r="AN536">
        <v>113.39</v>
      </c>
      <c r="AO536" s="1">
        <f t="shared" si="26"/>
        <v>575.19000000000005</v>
      </c>
    </row>
    <row r="537" spans="1:41" x14ac:dyDescent="0.25">
      <c r="A537" t="s">
        <v>580</v>
      </c>
      <c r="B537" s="2">
        <v>2098.2507666217698</v>
      </c>
      <c r="C537" s="2">
        <v>6844.8498427699897</v>
      </c>
      <c r="D537" s="2">
        <v>1384.35971955988</v>
      </c>
      <c r="E537" s="2">
        <v>878.63996552851904</v>
      </c>
      <c r="F537" s="2">
        <v>3303.69243233004</v>
      </c>
      <c r="G537" s="2">
        <v>635.24247896956103</v>
      </c>
      <c r="H537" s="2">
        <v>2451.8168592192001</v>
      </c>
      <c r="I537" s="2">
        <v>530.33854427531799</v>
      </c>
      <c r="J537" s="2">
        <v>5238.42064649434</v>
      </c>
      <c r="K537" s="2">
        <v>8821.00339758673</v>
      </c>
      <c r="L537" s="2">
        <v>5939.0463172884702</v>
      </c>
      <c r="M537" s="2">
        <v>2650.9571290557401</v>
      </c>
      <c r="N537" s="3">
        <f t="shared" si="24"/>
        <v>40776.618099699561</v>
      </c>
      <c r="O537" s="2">
        <v>1.96926959534959</v>
      </c>
      <c r="P537" s="2">
        <v>3.6987109564138501</v>
      </c>
      <c r="Q537" s="2">
        <v>1.31520287112863E-2</v>
      </c>
      <c r="R537" s="2">
        <v>1.29637537878346</v>
      </c>
      <c r="S537" s="2">
        <v>1.9194554359296101</v>
      </c>
      <c r="T537" s="2">
        <v>2.74348433883823</v>
      </c>
      <c r="U537" s="2">
        <v>1.73099631797488</v>
      </c>
      <c r="V537" s="2">
        <v>2.35594519484791</v>
      </c>
      <c r="W537" s="2">
        <v>1.7991187966292701</v>
      </c>
      <c r="X537" s="2">
        <v>13.361849385902801</v>
      </c>
      <c r="Y537" s="2">
        <v>2.5008345376140899</v>
      </c>
      <c r="Z537" s="2">
        <v>2.56742886658113</v>
      </c>
      <c r="AA537" s="3">
        <f t="shared" si="25"/>
        <v>35.95662083357611</v>
      </c>
      <c r="AB537" t="s">
        <v>45</v>
      </c>
      <c r="AC537">
        <v>31.08</v>
      </c>
      <c r="AD537">
        <v>78.64</v>
      </c>
      <c r="AE537">
        <v>23.89</v>
      </c>
      <c r="AF537">
        <v>18.88</v>
      </c>
      <c r="AG537">
        <v>43.13</v>
      </c>
      <c r="AH537">
        <v>16.5</v>
      </c>
      <c r="AI537">
        <v>34.61</v>
      </c>
      <c r="AJ537">
        <v>15.45</v>
      </c>
      <c r="AK537">
        <v>62.48</v>
      </c>
      <c r="AL537">
        <v>98.91</v>
      </c>
      <c r="AM537">
        <v>69.540000000000006</v>
      </c>
      <c r="AN537">
        <v>36.65</v>
      </c>
      <c r="AO537" s="1">
        <f t="shared" si="26"/>
        <v>529.7600000000001</v>
      </c>
    </row>
    <row r="538" spans="1:41" x14ac:dyDescent="0.25">
      <c r="A538" t="s">
        <v>581</v>
      </c>
      <c r="B538" s="2">
        <v>2089.9813258909899</v>
      </c>
      <c r="C538" s="2">
        <v>0</v>
      </c>
      <c r="D538" s="2">
        <v>871.55432679526405</v>
      </c>
      <c r="E538" s="2">
        <v>4180.8915399858697</v>
      </c>
      <c r="F538" s="2">
        <v>1225.74393377465</v>
      </c>
      <c r="G538" s="2">
        <v>3620.76995296515</v>
      </c>
      <c r="H538" s="2">
        <v>3508.2157894871598</v>
      </c>
      <c r="I538" s="2">
        <v>3571.0012841572702</v>
      </c>
      <c r="J538" s="2">
        <v>1883.1852520903201</v>
      </c>
      <c r="K538" s="2">
        <v>2611.0498430964399</v>
      </c>
      <c r="L538" s="2">
        <v>0</v>
      </c>
      <c r="M538" s="2">
        <v>2349.4195040260101</v>
      </c>
      <c r="N538" s="3">
        <f t="shared" si="24"/>
        <v>25911.812752269125</v>
      </c>
      <c r="O538" s="2">
        <v>6.0248829561383701</v>
      </c>
      <c r="P538" s="2">
        <v>2.13773997152812</v>
      </c>
      <c r="Q538" s="2">
        <v>3.3870799833202101</v>
      </c>
      <c r="R538" s="2">
        <v>0</v>
      </c>
      <c r="S538" s="2">
        <v>6.8340992061207704</v>
      </c>
      <c r="T538" s="2">
        <v>4.5917833998131199</v>
      </c>
      <c r="U538" s="2">
        <v>0</v>
      </c>
      <c r="V538" s="2">
        <v>3.8940785062819301</v>
      </c>
      <c r="W538" s="2">
        <v>4.5079004990812397</v>
      </c>
      <c r="X538" s="2">
        <v>0</v>
      </c>
      <c r="Y538" s="2">
        <v>2.9636162296746802</v>
      </c>
      <c r="Z538" s="2">
        <v>2.2666917100436899</v>
      </c>
      <c r="AA538" s="3">
        <f t="shared" si="25"/>
        <v>36.607872462002128</v>
      </c>
      <c r="AB538" t="s">
        <v>63</v>
      </c>
      <c r="AC538">
        <v>42.43</v>
      </c>
      <c r="AD538">
        <v>0.27</v>
      </c>
      <c r="AE538">
        <v>17.8</v>
      </c>
      <c r="AF538">
        <v>83.62</v>
      </c>
      <c r="AG538">
        <v>25.15</v>
      </c>
      <c r="AH538">
        <v>72.87</v>
      </c>
      <c r="AI538">
        <v>70.180000000000007</v>
      </c>
      <c r="AJ538">
        <v>71.8</v>
      </c>
      <c r="AK538">
        <v>38.130000000000003</v>
      </c>
      <c r="AL538">
        <v>52.24</v>
      </c>
      <c r="AM538">
        <v>0.27</v>
      </c>
      <c r="AN538">
        <v>47.27</v>
      </c>
      <c r="AO538" s="1">
        <f t="shared" si="26"/>
        <v>522.03000000000009</v>
      </c>
    </row>
    <row r="539" spans="1:41" x14ac:dyDescent="0.25">
      <c r="A539" t="s">
        <v>582</v>
      </c>
      <c r="B539" s="2">
        <v>2075.5079377206798</v>
      </c>
      <c r="C539" s="2">
        <v>4332.6145512250496</v>
      </c>
      <c r="D539" s="2">
        <v>1769.82511764474</v>
      </c>
      <c r="E539" s="2">
        <v>1323.10333392858</v>
      </c>
      <c r="F539" s="2">
        <v>245.27421475934</v>
      </c>
      <c r="G539" s="2">
        <v>2243.4134046813101</v>
      </c>
      <c r="H539" s="2">
        <v>352.92751052144502</v>
      </c>
      <c r="I539" s="2">
        <v>677.24638975262906</v>
      </c>
      <c r="J539" s="2">
        <v>4082.3482564655001</v>
      </c>
      <c r="K539" s="2">
        <v>3221.0227402333599</v>
      </c>
      <c r="L539" s="2">
        <v>0</v>
      </c>
      <c r="M539" s="2">
        <v>1894.1689563465</v>
      </c>
      <c r="N539" s="3">
        <f t="shared" si="24"/>
        <v>22217.452413279134</v>
      </c>
      <c r="O539" s="2">
        <v>1.11046592275664</v>
      </c>
      <c r="P539" s="2">
        <v>5.9018803403923297</v>
      </c>
      <c r="Q539" s="2">
        <v>3.0703984844615202</v>
      </c>
      <c r="R539" s="2">
        <v>0</v>
      </c>
      <c r="S539" s="2">
        <v>3.4091656314868199</v>
      </c>
      <c r="T539" s="2">
        <v>8.1359054930148105</v>
      </c>
      <c r="U539" s="2">
        <v>8.0235141010114805</v>
      </c>
      <c r="V539" s="2">
        <v>0.55438909652584101</v>
      </c>
      <c r="W539" s="2">
        <v>4.22861172250904</v>
      </c>
      <c r="X539" s="2">
        <v>2.1383935045727198</v>
      </c>
      <c r="Y539" s="2">
        <v>2.0030075566465202</v>
      </c>
      <c r="Z539" s="2">
        <v>9.0584255940645892</v>
      </c>
      <c r="AA539" s="3">
        <f t="shared" si="25"/>
        <v>47.634157447442313</v>
      </c>
      <c r="AB539" t="s">
        <v>63</v>
      </c>
      <c r="AC539">
        <v>41.7</v>
      </c>
      <c r="AD539">
        <v>87.2</v>
      </c>
      <c r="AE539">
        <v>35.76</v>
      </c>
      <c r="AF539">
        <v>26.48</v>
      </c>
      <c r="AG539">
        <v>5.28</v>
      </c>
      <c r="AH539">
        <v>45.69</v>
      </c>
      <c r="AI539">
        <v>7.87</v>
      </c>
      <c r="AJ539">
        <v>13.65</v>
      </c>
      <c r="AK539">
        <v>82.11</v>
      </c>
      <c r="AL539">
        <v>64.709999999999994</v>
      </c>
      <c r="AM539">
        <v>0.27</v>
      </c>
      <c r="AN539">
        <v>38.799999999999997</v>
      </c>
      <c r="AO539" s="1">
        <f t="shared" si="26"/>
        <v>449.52</v>
      </c>
    </row>
    <row r="540" spans="1:41" x14ac:dyDescent="0.25">
      <c r="A540" t="s">
        <v>583</v>
      </c>
      <c r="B540" s="2">
        <v>2073.84874497296</v>
      </c>
      <c r="C540" s="2">
        <v>3350.4361002923702</v>
      </c>
      <c r="D540" s="2">
        <v>2014.15399664133</v>
      </c>
      <c r="E540" s="2">
        <v>1762.2753656448499</v>
      </c>
      <c r="F540" s="2">
        <v>1720.8978475399399</v>
      </c>
      <c r="G540" s="2">
        <v>1048.62128540963</v>
      </c>
      <c r="H540" s="2">
        <v>10131.936228476899</v>
      </c>
      <c r="I540" s="2">
        <v>2021.0205463136299</v>
      </c>
      <c r="J540" s="2">
        <v>244.49204973300201</v>
      </c>
      <c r="K540" s="2">
        <v>0</v>
      </c>
      <c r="L540" s="2">
        <v>6578.60204573173</v>
      </c>
      <c r="M540" s="2">
        <v>4090.6700823591</v>
      </c>
      <c r="N540" s="3">
        <f t="shared" si="24"/>
        <v>35036.954293115443</v>
      </c>
      <c r="O540" s="2">
        <v>2.6696867514785301</v>
      </c>
      <c r="P540" s="2">
        <v>3.43122575814846</v>
      </c>
      <c r="Q540" s="2">
        <v>0.718001118925508</v>
      </c>
      <c r="R540" s="2">
        <v>1.4133601305038801</v>
      </c>
      <c r="S540" s="2">
        <v>0</v>
      </c>
      <c r="T540" s="2">
        <v>2.7552913418000702</v>
      </c>
      <c r="U540" s="2">
        <v>1.82501762744365</v>
      </c>
      <c r="V540" s="2">
        <v>1.48611960019543</v>
      </c>
      <c r="W540" s="2">
        <v>2.5503089065391702</v>
      </c>
      <c r="X540" s="2">
        <v>6.7379938283584497</v>
      </c>
      <c r="Y540" s="2">
        <v>1.6954182658646499</v>
      </c>
      <c r="Z540" s="2">
        <v>2.7076007147103298</v>
      </c>
      <c r="AA540" s="3">
        <f t="shared" si="25"/>
        <v>27.99002404396813</v>
      </c>
      <c r="AB540" t="s">
        <v>63</v>
      </c>
      <c r="AC540">
        <v>41.75</v>
      </c>
      <c r="AD540">
        <v>67.38</v>
      </c>
      <c r="AE540">
        <v>40.39</v>
      </c>
      <c r="AF540">
        <v>35.44</v>
      </c>
      <c r="AG540">
        <v>34.42</v>
      </c>
      <c r="AH540">
        <v>21.25</v>
      </c>
      <c r="AI540">
        <v>202.82</v>
      </c>
      <c r="AJ540">
        <v>40.619999999999997</v>
      </c>
      <c r="AK540">
        <v>5.17</v>
      </c>
      <c r="AL540">
        <v>0.63</v>
      </c>
      <c r="AM540">
        <v>131.76</v>
      </c>
      <c r="AN540">
        <v>82.09</v>
      </c>
      <c r="AO540" s="1">
        <f t="shared" si="26"/>
        <v>703.72</v>
      </c>
    </row>
    <row r="541" spans="1:41" x14ac:dyDescent="0.25">
      <c r="A541" t="s">
        <v>584</v>
      </c>
      <c r="B541" s="2">
        <v>2073.46796569765</v>
      </c>
      <c r="C541" s="2">
        <v>1585.08418876206</v>
      </c>
      <c r="D541" s="2">
        <v>4188.3863046033503</v>
      </c>
      <c r="E541" s="2">
        <v>2095.64854879111</v>
      </c>
      <c r="F541" s="2">
        <v>0</v>
      </c>
      <c r="G541" s="2">
        <v>4962.1134980639199</v>
      </c>
      <c r="H541" s="2">
        <v>434.46734790461699</v>
      </c>
      <c r="I541" s="2">
        <v>6930.4303572052104</v>
      </c>
      <c r="J541" s="2">
        <v>1561.57186137597</v>
      </c>
      <c r="K541" s="2">
        <v>2292.84227944759</v>
      </c>
      <c r="L541" s="2">
        <v>0</v>
      </c>
      <c r="M541" s="2">
        <v>16100.729697168899</v>
      </c>
      <c r="N541" s="3">
        <f t="shared" si="24"/>
        <v>42224.74204902038</v>
      </c>
      <c r="O541" s="2">
        <v>2.330224562772</v>
      </c>
      <c r="P541" s="2">
        <v>3.8043952142930499</v>
      </c>
      <c r="Q541" s="2">
        <v>7.4587850435148297</v>
      </c>
      <c r="R541" s="2">
        <v>0.31900284611107399</v>
      </c>
      <c r="S541" s="2">
        <v>3.3196030085511099</v>
      </c>
      <c r="T541" s="2">
        <v>1.7971716478576101</v>
      </c>
      <c r="U541" s="2">
        <v>10.045542326932701</v>
      </c>
      <c r="V541" s="2">
        <v>0.32207787377473002</v>
      </c>
      <c r="W541" s="2">
        <v>2.6617656800948502</v>
      </c>
      <c r="X541" s="2">
        <v>2.3387611034237699</v>
      </c>
      <c r="Y541" s="2">
        <v>1.77887190325136</v>
      </c>
      <c r="Z541" s="2">
        <v>5.4614937004758604</v>
      </c>
      <c r="AA541" s="3">
        <f t="shared" si="25"/>
        <v>41.637694911052947</v>
      </c>
      <c r="AB541" t="s">
        <v>63</v>
      </c>
      <c r="AC541">
        <v>41.75</v>
      </c>
      <c r="AD541">
        <v>32.08</v>
      </c>
      <c r="AE541">
        <v>84.5</v>
      </c>
      <c r="AF541">
        <v>42.01</v>
      </c>
      <c r="AG541">
        <v>0.36</v>
      </c>
      <c r="AH541">
        <v>99.44</v>
      </c>
      <c r="AI541">
        <v>9.69</v>
      </c>
      <c r="AJ541">
        <v>138.71</v>
      </c>
      <c r="AK541">
        <v>31.51</v>
      </c>
      <c r="AL541">
        <v>46.13</v>
      </c>
      <c r="AM541">
        <v>0.18</v>
      </c>
      <c r="AN541">
        <v>322.56</v>
      </c>
      <c r="AO541" s="1">
        <f t="shared" si="26"/>
        <v>848.91999999999985</v>
      </c>
    </row>
    <row r="542" spans="1:41" x14ac:dyDescent="0.25">
      <c r="A542" t="s">
        <v>585</v>
      </c>
      <c r="B542" s="2">
        <v>2063.87240325723</v>
      </c>
      <c r="C542" s="2">
        <v>81.780925358891693</v>
      </c>
      <c r="D542" s="2">
        <v>1388.6749462073501</v>
      </c>
      <c r="E542" s="2">
        <v>3074.19633981782</v>
      </c>
      <c r="F542" s="2">
        <v>6797.1684300452798</v>
      </c>
      <c r="G542" s="2">
        <v>1383.1435336848899</v>
      </c>
      <c r="H542" s="2">
        <v>1940.5373846293701</v>
      </c>
      <c r="I542" s="2">
        <v>2072.4427541248601</v>
      </c>
      <c r="J542" s="2">
        <v>2947.62160065528</v>
      </c>
      <c r="K542" s="2">
        <v>4224.3839989755797</v>
      </c>
      <c r="L542" s="2">
        <v>674.20148246133101</v>
      </c>
      <c r="M542" s="2">
        <v>2250.6967676664099</v>
      </c>
      <c r="N542" s="3">
        <f t="shared" si="24"/>
        <v>28898.720566884291</v>
      </c>
      <c r="O542" s="2">
        <v>3.70432390102473</v>
      </c>
      <c r="P542" s="2">
        <v>0.46829395693292902</v>
      </c>
      <c r="Q542" s="2">
        <v>2.3959928422127099</v>
      </c>
      <c r="R542" s="2">
        <v>0.26287226873842801</v>
      </c>
      <c r="S542" s="2">
        <v>0.98094185280877699</v>
      </c>
      <c r="T542" s="2">
        <v>11.7529575525363</v>
      </c>
      <c r="U542" s="2">
        <v>2.8090883552855099</v>
      </c>
      <c r="V542" s="2">
        <v>5.9332164242801202</v>
      </c>
      <c r="W542" s="2">
        <v>1.58678616283941</v>
      </c>
      <c r="X542" s="2">
        <v>2.6087976558098198</v>
      </c>
      <c r="Y542" s="2">
        <v>0.31305218720557698</v>
      </c>
      <c r="Z542" s="2">
        <v>0.73705664207515897</v>
      </c>
      <c r="AA542" s="3">
        <f t="shared" si="25"/>
        <v>33.553379801749465</v>
      </c>
      <c r="AB542" t="s">
        <v>63</v>
      </c>
      <c r="AC542">
        <v>41.64</v>
      </c>
      <c r="AD542">
        <v>1.73</v>
      </c>
      <c r="AE542">
        <v>28.05</v>
      </c>
      <c r="AF542">
        <v>61.59</v>
      </c>
      <c r="AG542">
        <v>136.05000000000001</v>
      </c>
      <c r="AH542">
        <v>28.76</v>
      </c>
      <c r="AI542">
        <v>39.090000000000003</v>
      </c>
      <c r="AJ542">
        <v>42</v>
      </c>
      <c r="AK542">
        <v>59.14</v>
      </c>
      <c r="AL542">
        <v>84.77</v>
      </c>
      <c r="AM542">
        <v>13.59</v>
      </c>
      <c r="AN542">
        <v>45.11</v>
      </c>
      <c r="AO542" s="1">
        <f t="shared" si="26"/>
        <v>581.52</v>
      </c>
    </row>
    <row r="543" spans="1:41" x14ac:dyDescent="0.25">
      <c r="A543" t="s">
        <v>586</v>
      </c>
      <c r="B543" s="2">
        <v>2041.43282247262</v>
      </c>
      <c r="C543" s="2">
        <v>1822.73508293123</v>
      </c>
      <c r="D543" s="2">
        <v>15217.667538453599</v>
      </c>
      <c r="E543" s="2">
        <v>1104.0023828025001</v>
      </c>
      <c r="F543" s="2">
        <v>4131.5532325775803</v>
      </c>
      <c r="G543" s="2">
        <v>191.924324037894</v>
      </c>
      <c r="H543" s="2">
        <v>2254.4747813520098</v>
      </c>
      <c r="I543" s="2">
        <v>5937.2449814781103</v>
      </c>
      <c r="J543" s="2">
        <v>959.73187501346297</v>
      </c>
      <c r="K543" s="2">
        <v>1883.7388673283399</v>
      </c>
      <c r="L543" s="2">
        <v>11005.038492845</v>
      </c>
      <c r="M543" s="2">
        <v>4362.1446097382895</v>
      </c>
      <c r="N543" s="3">
        <f t="shared" si="24"/>
        <v>50911.688991030634</v>
      </c>
      <c r="O543" s="2">
        <v>5.88937676429763</v>
      </c>
      <c r="P543" s="2">
        <v>9.2130807932100005</v>
      </c>
      <c r="Q543" s="2">
        <v>1.49777642330155</v>
      </c>
      <c r="R543" s="2">
        <v>1.7219204671868</v>
      </c>
      <c r="S543" s="2">
        <v>6.4943070910374301</v>
      </c>
      <c r="T543" s="2">
        <v>7.9803100451796496</v>
      </c>
      <c r="U543" s="2">
        <v>6.3720482118016104</v>
      </c>
      <c r="V543" s="2">
        <v>2.85624570194345</v>
      </c>
      <c r="W543" s="2">
        <v>0.492674626088553</v>
      </c>
      <c r="X543" s="2">
        <v>0.691578890050494</v>
      </c>
      <c r="Y543" s="2">
        <v>0.22032012675389401</v>
      </c>
      <c r="Z543" s="2">
        <v>2.7825583299090102</v>
      </c>
      <c r="AA543" s="3">
        <f t="shared" si="25"/>
        <v>46.212197470760074</v>
      </c>
      <c r="AB543" t="s">
        <v>45</v>
      </c>
      <c r="AC543">
        <v>30.71</v>
      </c>
      <c r="AD543">
        <v>28.72</v>
      </c>
      <c r="AE543">
        <v>162.27000000000001</v>
      </c>
      <c r="AF543">
        <v>21.14</v>
      </c>
      <c r="AG543">
        <v>51.66</v>
      </c>
      <c r="AH543">
        <v>12.31</v>
      </c>
      <c r="AI543">
        <v>32.89</v>
      </c>
      <c r="AJ543">
        <v>69.52</v>
      </c>
      <c r="AK543">
        <v>19.64</v>
      </c>
      <c r="AL543">
        <v>28.88</v>
      </c>
      <c r="AM543">
        <v>120.1</v>
      </c>
      <c r="AN543">
        <v>53.77</v>
      </c>
      <c r="AO543" s="1">
        <f t="shared" si="26"/>
        <v>631.6099999999999</v>
      </c>
    </row>
    <row r="544" spans="1:41" x14ac:dyDescent="0.25">
      <c r="A544" t="s">
        <v>587</v>
      </c>
      <c r="B544" s="2">
        <v>2041.3105131449099</v>
      </c>
      <c r="C544" s="2">
        <v>4195.99414613507</v>
      </c>
      <c r="D544" s="2">
        <v>1657.05892658229</v>
      </c>
      <c r="E544" s="2">
        <v>1556.0338775679099</v>
      </c>
      <c r="F544" s="2">
        <v>1410.4396099801299</v>
      </c>
      <c r="G544" s="2">
        <v>4746.8302319038903</v>
      </c>
      <c r="H544" s="2">
        <v>5174.7139722642396</v>
      </c>
      <c r="I544" s="2">
        <v>5076.16840839824</v>
      </c>
      <c r="J544" s="2">
        <v>1081.7493367924401</v>
      </c>
      <c r="K544" s="2">
        <v>26205.939192432401</v>
      </c>
      <c r="L544" s="2">
        <v>7109.9343701622802</v>
      </c>
      <c r="M544" s="2">
        <v>982.25156737575799</v>
      </c>
      <c r="N544" s="3">
        <f t="shared" si="24"/>
        <v>61238.424152739557</v>
      </c>
      <c r="O544" s="2">
        <v>0.61077405434147602</v>
      </c>
      <c r="P544" s="2">
        <v>1.47918998654744</v>
      </c>
      <c r="Q544" s="2">
        <v>1.5696451425039999</v>
      </c>
      <c r="R544" s="2">
        <v>16.998567670444402</v>
      </c>
      <c r="S544" s="2">
        <v>0</v>
      </c>
      <c r="T544" s="2">
        <v>2.90672556557015</v>
      </c>
      <c r="U544" s="2">
        <v>14.774462117197</v>
      </c>
      <c r="V544" s="2">
        <v>7.1777333566500001</v>
      </c>
      <c r="W544" s="2">
        <v>7.5573927364538598</v>
      </c>
      <c r="X544" s="2">
        <v>2.0190224617076802</v>
      </c>
      <c r="Y544" s="2">
        <v>0.40777788336937298</v>
      </c>
      <c r="Z544" s="2">
        <v>3.4529733405321901</v>
      </c>
      <c r="AA544" s="3">
        <f t="shared" si="25"/>
        <v>58.954264315317559</v>
      </c>
      <c r="AB544" t="s">
        <v>45</v>
      </c>
      <c r="AC544">
        <v>30.46</v>
      </c>
      <c r="AD544">
        <v>52.05</v>
      </c>
      <c r="AE544">
        <v>26.67</v>
      </c>
      <c r="AF544">
        <v>26.41</v>
      </c>
      <c r="AG544">
        <v>24.1</v>
      </c>
      <c r="AH544">
        <v>57.61</v>
      </c>
      <c r="AI544">
        <v>62.49</v>
      </c>
      <c r="AJ544">
        <v>61.16</v>
      </c>
      <c r="AK544">
        <v>21.21</v>
      </c>
      <c r="AL544">
        <v>272.2</v>
      </c>
      <c r="AM544">
        <v>81.14</v>
      </c>
      <c r="AN544">
        <v>20.02</v>
      </c>
      <c r="AO544" s="1">
        <f t="shared" si="26"/>
        <v>735.52</v>
      </c>
    </row>
    <row r="545" spans="1:41" x14ac:dyDescent="0.25">
      <c r="A545" t="s">
        <v>588</v>
      </c>
      <c r="B545" s="2">
        <v>2033.8771977261799</v>
      </c>
      <c r="C545" s="2">
        <v>333.04501904321802</v>
      </c>
      <c r="D545" s="2">
        <v>0</v>
      </c>
      <c r="E545" s="2">
        <v>1298.22308605071</v>
      </c>
      <c r="F545" s="2">
        <v>5586.2138015110104</v>
      </c>
      <c r="G545" s="2">
        <v>3508.0771095281498</v>
      </c>
      <c r="H545" s="2">
        <v>606.91682507905796</v>
      </c>
      <c r="I545" s="2">
        <v>3358.1543159899402</v>
      </c>
      <c r="J545" s="2">
        <v>4199.8356990651801</v>
      </c>
      <c r="K545" s="2">
        <v>1904.44864521507</v>
      </c>
      <c r="L545" s="2">
        <v>3220.0792033419998</v>
      </c>
      <c r="M545" s="2">
        <v>66.984673992812105</v>
      </c>
      <c r="N545" s="3">
        <f t="shared" si="24"/>
        <v>26115.855576543327</v>
      </c>
      <c r="O545" s="2">
        <v>0.77089129367592901</v>
      </c>
      <c r="P545" s="2">
        <v>3.7605415783985801</v>
      </c>
      <c r="Q545" s="2">
        <v>4.2980564780288697</v>
      </c>
      <c r="R545" s="2">
        <v>0</v>
      </c>
      <c r="S545" s="2">
        <v>2.3106604192326601</v>
      </c>
      <c r="T545" s="2">
        <v>2.7252876489059101</v>
      </c>
      <c r="U545" s="2">
        <v>3.1189483632230202</v>
      </c>
      <c r="V545" s="2">
        <v>0.70378249043730201</v>
      </c>
      <c r="W545" s="2">
        <v>10.8724156120073</v>
      </c>
      <c r="X545" s="2">
        <v>1.7484467734647</v>
      </c>
      <c r="Y545" s="2">
        <v>0</v>
      </c>
      <c r="Z545" s="2">
        <v>5.1435164841900596</v>
      </c>
      <c r="AA545" s="3">
        <f t="shared" si="25"/>
        <v>35.452547141564331</v>
      </c>
      <c r="AB545" t="s">
        <v>63</v>
      </c>
      <c r="AC545">
        <v>40.770000000000003</v>
      </c>
      <c r="AD545">
        <v>7.04</v>
      </c>
      <c r="AE545">
        <v>0.45</v>
      </c>
      <c r="AF545">
        <v>25.98</v>
      </c>
      <c r="AG545">
        <v>112.01</v>
      </c>
      <c r="AH545">
        <v>70.45</v>
      </c>
      <c r="AI545">
        <v>12.5</v>
      </c>
      <c r="AJ545">
        <v>67.27</v>
      </c>
      <c r="AK545">
        <v>84.99</v>
      </c>
      <c r="AL545">
        <v>38.28</v>
      </c>
      <c r="AM545">
        <v>64.42</v>
      </c>
      <c r="AN545">
        <v>1.88</v>
      </c>
      <c r="AO545" s="1">
        <f t="shared" si="26"/>
        <v>526.04</v>
      </c>
    </row>
    <row r="546" spans="1:41" x14ac:dyDescent="0.25">
      <c r="A546" t="s">
        <v>589</v>
      </c>
      <c r="B546" s="2">
        <v>2027.8518166332699</v>
      </c>
      <c r="C546" s="2">
        <v>7768.9318709044801</v>
      </c>
      <c r="D546" s="2">
        <v>955.62983873041503</v>
      </c>
      <c r="E546" s="2">
        <v>1323.48265163215</v>
      </c>
      <c r="F546" s="2">
        <v>164.87261303019301</v>
      </c>
      <c r="G546" s="2">
        <v>222.18288632052199</v>
      </c>
      <c r="H546" s="2">
        <v>586.47204557083899</v>
      </c>
      <c r="I546" s="2">
        <v>13479.3046700013</v>
      </c>
      <c r="J546" s="2">
        <v>973.68604874154403</v>
      </c>
      <c r="K546" s="2">
        <v>10676.8047734833</v>
      </c>
      <c r="L546" s="2">
        <v>0</v>
      </c>
      <c r="M546" s="2">
        <v>10106.4133336045</v>
      </c>
      <c r="N546" s="3">
        <f t="shared" si="24"/>
        <v>48285.632548652509</v>
      </c>
      <c r="O546" s="2">
        <v>1.9237224085419999</v>
      </c>
      <c r="P546" s="2">
        <v>1.8457708525940899</v>
      </c>
      <c r="Q546" s="2">
        <v>15.2046413752308</v>
      </c>
      <c r="R546" s="2">
        <v>0</v>
      </c>
      <c r="S546" s="2">
        <v>6.2068728474395796</v>
      </c>
      <c r="T546" s="2">
        <v>4.2978114151444302</v>
      </c>
      <c r="U546" s="2">
        <v>5.1508951739426303</v>
      </c>
      <c r="V546" s="2">
        <v>2.0239527901355698</v>
      </c>
      <c r="W546" s="2">
        <v>4.8516344826662001</v>
      </c>
      <c r="X546" s="2">
        <v>0</v>
      </c>
      <c r="Y546" s="2">
        <v>2.2320796598961601</v>
      </c>
      <c r="Z546" s="2">
        <v>5.3204865323545301</v>
      </c>
      <c r="AA546" s="3">
        <f t="shared" si="25"/>
        <v>49.057867537945988</v>
      </c>
      <c r="AB546" t="s">
        <v>45</v>
      </c>
      <c r="AC546">
        <v>30.37</v>
      </c>
      <c r="AD546">
        <v>87.78</v>
      </c>
      <c r="AE546">
        <v>20.350000000000001</v>
      </c>
      <c r="AF546">
        <v>23.23</v>
      </c>
      <c r="AG546">
        <v>11.99</v>
      </c>
      <c r="AH546">
        <v>12.47</v>
      </c>
      <c r="AI546">
        <v>16.16</v>
      </c>
      <c r="AJ546">
        <v>144.94</v>
      </c>
      <c r="AK546">
        <v>19.98</v>
      </c>
      <c r="AL546">
        <v>116.76</v>
      </c>
      <c r="AM546">
        <v>10.14</v>
      </c>
      <c r="AN546">
        <v>111.36</v>
      </c>
      <c r="AO546" s="1">
        <f t="shared" si="26"/>
        <v>605.53</v>
      </c>
    </row>
    <row r="547" spans="1:41" x14ac:dyDescent="0.25">
      <c r="A547" t="s">
        <v>590</v>
      </c>
      <c r="B547" s="2">
        <v>2026.7544330329599</v>
      </c>
      <c r="C547" s="2">
        <v>2210.0329480457999</v>
      </c>
      <c r="D547" s="2">
        <v>170.60404046050499</v>
      </c>
      <c r="E547" s="2">
        <v>2955.28283838469</v>
      </c>
      <c r="F547" s="2">
        <v>1052.3425146315401</v>
      </c>
      <c r="G547" s="2">
        <v>4074.4444722980602</v>
      </c>
      <c r="H547" s="2">
        <v>862.97114135026504</v>
      </c>
      <c r="I547" s="2">
        <v>13572.465329325099</v>
      </c>
      <c r="J547" s="2">
        <v>0</v>
      </c>
      <c r="K547" s="2">
        <v>4490.1411102489701</v>
      </c>
      <c r="L547" s="2">
        <v>4287.2709610923002</v>
      </c>
      <c r="M547" s="2">
        <v>238.13434785883501</v>
      </c>
      <c r="N547" s="3">
        <f t="shared" si="24"/>
        <v>35940.44413672902</v>
      </c>
      <c r="O547" s="2">
        <v>3.8844001988059098</v>
      </c>
      <c r="P547" s="2">
        <v>6.9206494722504903</v>
      </c>
      <c r="Q547" s="2">
        <v>5.7199760104319299</v>
      </c>
      <c r="R547" s="2">
        <v>3.70607083826919</v>
      </c>
      <c r="S547" s="2">
        <v>7.4579214817070998</v>
      </c>
      <c r="T547" s="2">
        <v>7.8322047088749303</v>
      </c>
      <c r="U547" s="2">
        <v>0.63382329282035499</v>
      </c>
      <c r="V547" s="2">
        <v>3.4673050388053701</v>
      </c>
      <c r="W547" s="2">
        <v>2.9880089912558598</v>
      </c>
      <c r="X547" s="2">
        <v>1.8463748909969799</v>
      </c>
      <c r="Y547" s="2">
        <v>5.6091108084863297</v>
      </c>
      <c r="Z547" s="2">
        <v>6.4905136831148704</v>
      </c>
      <c r="AA547" s="3">
        <f t="shared" si="25"/>
        <v>56.556359415819308</v>
      </c>
      <c r="AB547" t="s">
        <v>63</v>
      </c>
      <c r="AC547">
        <v>40.9</v>
      </c>
      <c r="AD547">
        <v>44.85</v>
      </c>
      <c r="AE547">
        <v>3.96</v>
      </c>
      <c r="AF547">
        <v>59.48</v>
      </c>
      <c r="AG547">
        <v>21.78</v>
      </c>
      <c r="AH547">
        <v>82.22</v>
      </c>
      <c r="AI547">
        <v>17.350000000000001</v>
      </c>
      <c r="AJ547">
        <v>271.82</v>
      </c>
      <c r="AK547">
        <v>0.27</v>
      </c>
      <c r="AL547">
        <v>90</v>
      </c>
      <c r="AM547">
        <v>86.3</v>
      </c>
      <c r="AN547">
        <v>5.41</v>
      </c>
      <c r="AO547" s="1">
        <f t="shared" si="26"/>
        <v>724.33999999999992</v>
      </c>
    </row>
    <row r="548" spans="1:41" x14ac:dyDescent="0.25">
      <c r="A548" t="s">
        <v>591</v>
      </c>
      <c r="B548" s="2">
        <v>2018.0206756119001</v>
      </c>
      <c r="C548" s="2">
        <v>478.36842700319102</v>
      </c>
      <c r="D548" s="2">
        <v>3456.4592486460101</v>
      </c>
      <c r="E548" s="2">
        <v>2951.5860069434698</v>
      </c>
      <c r="F548" s="2">
        <v>6607.6522420105803</v>
      </c>
      <c r="G548" s="2">
        <v>2563.20940348974</v>
      </c>
      <c r="H548" s="2">
        <v>212.992389788347</v>
      </c>
      <c r="I548" s="2">
        <v>6850.1806914772797</v>
      </c>
      <c r="J548" s="2">
        <v>2603.2483492428501</v>
      </c>
      <c r="K548" s="2">
        <v>6702.0037888877896</v>
      </c>
      <c r="L548" s="2">
        <v>4916.1173368391301</v>
      </c>
      <c r="M548" s="2">
        <v>346.51675330623601</v>
      </c>
      <c r="N548" s="3">
        <f t="shared" si="24"/>
        <v>39706.355313246524</v>
      </c>
      <c r="O548" s="2">
        <v>2.4900688522076799</v>
      </c>
      <c r="P548" s="2">
        <v>8.3900623295083303</v>
      </c>
      <c r="Q548" s="2">
        <v>5.4242727378101501</v>
      </c>
      <c r="R548" s="2">
        <v>1.56968181107071</v>
      </c>
      <c r="S548" s="2">
        <v>0.28992880790922698</v>
      </c>
      <c r="T548" s="2">
        <v>3.02782566394563</v>
      </c>
      <c r="U548" s="2">
        <v>7.5289972709057</v>
      </c>
      <c r="V548" s="2">
        <v>1.8398631485914001</v>
      </c>
      <c r="W548" s="2">
        <v>0</v>
      </c>
      <c r="X548" s="2">
        <v>0</v>
      </c>
      <c r="Y548" s="2">
        <v>1.8403658761050901</v>
      </c>
      <c r="Z548" s="2">
        <v>2.8346176659107698</v>
      </c>
      <c r="AA548" s="3">
        <f t="shared" si="25"/>
        <v>35.235684163964692</v>
      </c>
      <c r="AB548" t="s">
        <v>45</v>
      </c>
      <c r="AC548">
        <v>30.33</v>
      </c>
      <c r="AD548">
        <v>15.23</v>
      </c>
      <c r="AE548">
        <v>44.86</v>
      </c>
      <c r="AF548">
        <v>39.61</v>
      </c>
      <c r="AG548">
        <v>76.12</v>
      </c>
      <c r="AH548">
        <v>35.83</v>
      </c>
      <c r="AI548">
        <v>12.52</v>
      </c>
      <c r="AJ548">
        <v>78.599999999999994</v>
      </c>
      <c r="AK548">
        <v>36.03</v>
      </c>
      <c r="AL548">
        <v>77.02</v>
      </c>
      <c r="AM548">
        <v>59.26</v>
      </c>
      <c r="AN548">
        <v>13.61</v>
      </c>
      <c r="AO548" s="1">
        <f t="shared" si="26"/>
        <v>519.02</v>
      </c>
    </row>
    <row r="549" spans="1:41" x14ac:dyDescent="0.25">
      <c r="A549" t="s">
        <v>592</v>
      </c>
      <c r="B549" s="2">
        <v>2010.29115312265</v>
      </c>
      <c r="C549" s="2">
        <v>1514.26482023423</v>
      </c>
      <c r="D549" s="2">
        <v>4149.3376795598097</v>
      </c>
      <c r="E549" s="2">
        <v>0</v>
      </c>
      <c r="F549" s="2">
        <v>6789.8749046582898</v>
      </c>
      <c r="G549" s="2">
        <v>6661.8714195367002</v>
      </c>
      <c r="H549" s="2">
        <v>4309.2070124129305</v>
      </c>
      <c r="I549" s="2">
        <v>1725.8497785204499</v>
      </c>
      <c r="J549" s="2">
        <v>6507.1506910628304</v>
      </c>
      <c r="K549" s="2">
        <v>265.58205358088702</v>
      </c>
      <c r="L549" s="2">
        <v>0</v>
      </c>
      <c r="M549" s="2">
        <v>976.03330838691795</v>
      </c>
      <c r="N549" s="3">
        <f t="shared" si="24"/>
        <v>34909.462821075693</v>
      </c>
      <c r="O549" s="2">
        <v>1.45341663621817</v>
      </c>
      <c r="P549" s="2">
        <v>2.0579814178583198</v>
      </c>
      <c r="Q549" s="2">
        <v>0.893192865961148</v>
      </c>
      <c r="R549" s="2">
        <v>30.462173483927</v>
      </c>
      <c r="S549" s="2">
        <v>6.0349056545412196</v>
      </c>
      <c r="T549" s="2">
        <v>5.1194650195212601</v>
      </c>
      <c r="U549" s="2">
        <v>3.4733636361539699</v>
      </c>
      <c r="V549" s="2">
        <v>3.0769164120852901</v>
      </c>
      <c r="W549" s="2">
        <v>0.54722533640065396</v>
      </c>
      <c r="X549" s="2">
        <v>2.0856696097402398</v>
      </c>
      <c r="Y549" s="2">
        <v>1.86987667186855</v>
      </c>
      <c r="Z549" s="2">
        <v>5.4205464160799002</v>
      </c>
      <c r="AA549" s="3">
        <f t="shared" si="25"/>
        <v>62.494733160355722</v>
      </c>
      <c r="AB549" t="s">
        <v>63</v>
      </c>
      <c r="AC549">
        <v>40.4</v>
      </c>
      <c r="AD549">
        <v>30.57</v>
      </c>
      <c r="AE549">
        <v>83.09</v>
      </c>
      <c r="AF549">
        <v>2.79</v>
      </c>
      <c r="AG549">
        <v>136.43</v>
      </c>
      <c r="AH549">
        <v>133.78</v>
      </c>
      <c r="AI549">
        <v>86.56</v>
      </c>
      <c r="AJ549">
        <v>34.880000000000003</v>
      </c>
      <c r="AK549">
        <v>130.25</v>
      </c>
      <c r="AL549">
        <v>5.59</v>
      </c>
      <c r="AM549">
        <v>0.18</v>
      </c>
      <c r="AN549">
        <v>20.079999999999998</v>
      </c>
      <c r="AO549" s="1">
        <f t="shared" si="26"/>
        <v>704.59999999999991</v>
      </c>
    </row>
    <row r="550" spans="1:41" x14ac:dyDescent="0.25">
      <c r="A550" t="s">
        <v>593</v>
      </c>
      <c r="B550" s="2">
        <v>2008.41934588306</v>
      </c>
      <c r="C550" s="2">
        <v>718.33280992286802</v>
      </c>
      <c r="D550" s="2">
        <v>1850.0142774111</v>
      </c>
      <c r="E550" s="2">
        <v>2707.5718338889901</v>
      </c>
      <c r="F550" s="2">
        <v>2698.2897840903101</v>
      </c>
      <c r="G550" s="2">
        <v>2239.7260634640002</v>
      </c>
      <c r="H550" s="2">
        <v>12708.007850370001</v>
      </c>
      <c r="I550" s="2">
        <v>8305.1017381515594</v>
      </c>
      <c r="J550" s="2">
        <v>3630.3936761213699</v>
      </c>
      <c r="K550" s="2">
        <v>0</v>
      </c>
      <c r="L550" s="2">
        <v>4051.5297587313498</v>
      </c>
      <c r="M550" s="2">
        <v>0</v>
      </c>
      <c r="N550" s="3">
        <f t="shared" si="24"/>
        <v>40917.387138034603</v>
      </c>
      <c r="O550" s="2">
        <v>5.9130973485955698</v>
      </c>
      <c r="P550" s="2">
        <v>1.31688449519149</v>
      </c>
      <c r="Q550" s="2">
        <v>7.6763786948763704</v>
      </c>
      <c r="R550" s="2">
        <v>0.393688930584976</v>
      </c>
      <c r="S550" s="2">
        <v>11.606193773175301</v>
      </c>
      <c r="T550" s="2">
        <v>6.0115925919247699</v>
      </c>
      <c r="U550" s="2">
        <v>2.0410930203886601</v>
      </c>
      <c r="V550" s="2">
        <v>2.4628300877959899</v>
      </c>
      <c r="W550" s="2">
        <v>3.1234561132546399</v>
      </c>
      <c r="X550" s="2">
        <v>0</v>
      </c>
      <c r="Y550" s="2">
        <v>2.84946497074831</v>
      </c>
      <c r="Z550" s="2">
        <v>1.5654451003272001</v>
      </c>
      <c r="AA550" s="3">
        <f t="shared" si="25"/>
        <v>44.960125126863275</v>
      </c>
      <c r="AB550" t="s">
        <v>45</v>
      </c>
      <c r="AC550">
        <v>30.38</v>
      </c>
      <c r="AD550">
        <v>17.28</v>
      </c>
      <c r="AE550">
        <v>28.9</v>
      </c>
      <c r="AF550">
        <v>37.119999999999997</v>
      </c>
      <c r="AG550">
        <v>37.58</v>
      </c>
      <c r="AH550">
        <v>32.74</v>
      </c>
      <c r="AI550">
        <v>137.22999999999999</v>
      </c>
      <c r="AJ550">
        <v>93.2</v>
      </c>
      <c r="AK550">
        <v>46.5</v>
      </c>
      <c r="AL550">
        <v>9.99</v>
      </c>
      <c r="AM550">
        <v>50.66</v>
      </c>
      <c r="AN550">
        <v>10.09</v>
      </c>
      <c r="AO550" s="1">
        <f t="shared" si="26"/>
        <v>531.67000000000007</v>
      </c>
    </row>
    <row r="551" spans="1:41" x14ac:dyDescent="0.25">
      <c r="A551" t="s">
        <v>594</v>
      </c>
      <c r="B551" s="2">
        <v>2006.14607793556</v>
      </c>
      <c r="C551" s="2">
        <v>1771.6055864456901</v>
      </c>
      <c r="D551" s="2">
        <v>8487.0596035562903</v>
      </c>
      <c r="E551" s="2">
        <v>669.78996778805504</v>
      </c>
      <c r="F551" s="2">
        <v>3686.3524899730901</v>
      </c>
      <c r="G551" s="2">
        <v>8876.6758407073103</v>
      </c>
      <c r="H551" s="2">
        <v>2280.1171985599899</v>
      </c>
      <c r="I551" s="2">
        <v>0</v>
      </c>
      <c r="J551" s="2">
        <v>415.43865636525101</v>
      </c>
      <c r="K551" s="2">
        <v>9284.5183137988697</v>
      </c>
      <c r="L551" s="2">
        <v>0</v>
      </c>
      <c r="M551" s="2">
        <v>1164.57958828388</v>
      </c>
      <c r="N551" s="3">
        <f t="shared" si="24"/>
        <v>38642.283323413991</v>
      </c>
      <c r="O551" s="2">
        <v>0.56766605481031995</v>
      </c>
      <c r="P551" s="2">
        <v>2.3163984334762501E-2</v>
      </c>
      <c r="Q551" s="2">
        <v>9.8648674714303599</v>
      </c>
      <c r="R551" s="2">
        <v>1.6374998848515101</v>
      </c>
      <c r="S551" s="2">
        <v>4.2917975583014201</v>
      </c>
      <c r="T551" s="2">
        <v>2.1453511301815502</v>
      </c>
      <c r="U551" s="2">
        <v>0</v>
      </c>
      <c r="V551" s="2">
        <v>0</v>
      </c>
      <c r="W551" s="2">
        <v>0</v>
      </c>
      <c r="X551" s="2">
        <v>0.89547073070369598</v>
      </c>
      <c r="Y551" s="2">
        <v>6.3936000953802203</v>
      </c>
      <c r="Z551" s="2">
        <v>4.2087543183980198</v>
      </c>
      <c r="AA551" s="3">
        <f t="shared" si="25"/>
        <v>30.028171228391862</v>
      </c>
      <c r="AB551" t="s">
        <v>45</v>
      </c>
      <c r="AC551">
        <v>30.11</v>
      </c>
      <c r="AD551">
        <v>27.76</v>
      </c>
      <c r="AE551">
        <v>95.37</v>
      </c>
      <c r="AF551">
        <v>16.79</v>
      </c>
      <c r="AG551">
        <v>47.11</v>
      </c>
      <c r="AH551">
        <v>98.91</v>
      </c>
      <c r="AI551">
        <v>32.799999999999997</v>
      </c>
      <c r="AJ551">
        <v>9.99</v>
      </c>
      <c r="AK551">
        <v>14.15</v>
      </c>
      <c r="AL551">
        <v>102.89</v>
      </c>
      <c r="AM551">
        <v>10.34</v>
      </c>
      <c r="AN551">
        <v>21.89</v>
      </c>
      <c r="AO551" s="1">
        <f t="shared" si="26"/>
        <v>508.1099999999999</v>
      </c>
    </row>
    <row r="552" spans="1:41" x14ac:dyDescent="0.25">
      <c r="A552" t="s">
        <v>595</v>
      </c>
      <c r="B552" s="2">
        <v>1998.21820375984</v>
      </c>
      <c r="C552" s="2">
        <v>262.82075732413</v>
      </c>
      <c r="D552" s="2">
        <v>6204.9855295295001</v>
      </c>
      <c r="E552" s="2">
        <v>0</v>
      </c>
      <c r="F552" s="2">
        <v>1555.9656631719999</v>
      </c>
      <c r="G552" s="2">
        <v>3582.4778880025201</v>
      </c>
      <c r="H552" s="2">
        <v>5943.1910522989601</v>
      </c>
      <c r="I552" s="2">
        <v>1615.06607160354</v>
      </c>
      <c r="J552" s="2">
        <v>4441.7570748483604</v>
      </c>
      <c r="K552" s="2">
        <v>3757.4120286823299</v>
      </c>
      <c r="L552" s="2">
        <v>687.74427722561302</v>
      </c>
      <c r="M552" s="2">
        <v>3991.8817005748101</v>
      </c>
      <c r="N552" s="3">
        <f t="shared" si="24"/>
        <v>34041.52024702161</v>
      </c>
      <c r="O552" s="2">
        <v>17.331815190531501</v>
      </c>
      <c r="P552" s="2">
        <v>2.19080521197268</v>
      </c>
      <c r="Q552" s="2">
        <v>0.42888767735197197</v>
      </c>
      <c r="R552" s="2">
        <v>9.8491780922748209</v>
      </c>
      <c r="S552" s="2">
        <v>1.8812258277277001</v>
      </c>
      <c r="T552" s="2">
        <v>4.9532940657650899</v>
      </c>
      <c r="U552" s="2">
        <v>16.882227643308902</v>
      </c>
      <c r="V552" s="2">
        <v>0</v>
      </c>
      <c r="W552" s="2">
        <v>1.13576275281253</v>
      </c>
      <c r="X552" s="2">
        <v>5.2554306413004204</v>
      </c>
      <c r="Y552" s="2">
        <v>1.14677192329134</v>
      </c>
      <c r="Z552" s="2">
        <v>1.8474548274824201</v>
      </c>
      <c r="AA552" s="3">
        <f t="shared" si="25"/>
        <v>62.90285385381938</v>
      </c>
      <c r="AB552" t="s">
        <v>63</v>
      </c>
      <c r="AC552">
        <v>41.6</v>
      </c>
      <c r="AD552">
        <v>5.53</v>
      </c>
      <c r="AE552">
        <v>124.19</v>
      </c>
      <c r="AF552">
        <v>0.9</v>
      </c>
      <c r="AG552">
        <v>31.3</v>
      </c>
      <c r="AH552">
        <v>72.11</v>
      </c>
      <c r="AI552">
        <v>120.41</v>
      </c>
      <c r="AJ552">
        <v>32.32</v>
      </c>
      <c r="AK552">
        <v>89.02</v>
      </c>
      <c r="AL552">
        <v>75.7</v>
      </c>
      <c r="AM552">
        <v>13.94</v>
      </c>
      <c r="AN552">
        <v>80.02</v>
      </c>
      <c r="AO552" s="1">
        <f t="shared" si="26"/>
        <v>687.04000000000008</v>
      </c>
    </row>
    <row r="553" spans="1:41" x14ac:dyDescent="0.25">
      <c r="A553" t="s">
        <v>596</v>
      </c>
      <c r="B553" s="2">
        <v>1990.5598242306801</v>
      </c>
      <c r="C553" s="2">
        <v>3817.9144791327899</v>
      </c>
      <c r="D553" s="2">
        <v>196.06978082216801</v>
      </c>
      <c r="E553" s="2">
        <v>1698.10306901534</v>
      </c>
      <c r="F553" s="2">
        <v>17843.387434833199</v>
      </c>
      <c r="G553" s="2">
        <v>843.63532866332002</v>
      </c>
      <c r="H553" s="2">
        <v>3593.4561938225402</v>
      </c>
      <c r="I553" s="2">
        <v>1804.8217484806701</v>
      </c>
      <c r="J553" s="2">
        <v>2089.5663082914002</v>
      </c>
      <c r="K553" s="2">
        <v>2710.1675276966898</v>
      </c>
      <c r="L553" s="2">
        <v>2993.3386843357298</v>
      </c>
      <c r="M553" s="2">
        <v>6123.2519517139999</v>
      </c>
      <c r="N553" s="3">
        <f t="shared" si="24"/>
        <v>45704.272331038534</v>
      </c>
      <c r="O553" s="2">
        <v>5.2991755329921597</v>
      </c>
      <c r="P553" s="2">
        <v>5.3096705739603802</v>
      </c>
      <c r="Q553" s="2">
        <v>5.7991276552301798</v>
      </c>
      <c r="R553" s="2">
        <v>6.7357686830228696</v>
      </c>
      <c r="S553" s="2">
        <v>4.2120021236959104</v>
      </c>
      <c r="T553" s="2">
        <v>5.6674849922946402</v>
      </c>
      <c r="U553" s="2">
        <v>5.5085107992395503</v>
      </c>
      <c r="V553" s="2">
        <v>0.95084690523662896</v>
      </c>
      <c r="W553" s="2">
        <v>0.80447118500738601</v>
      </c>
      <c r="X553" s="2">
        <v>0</v>
      </c>
      <c r="Y553" s="2">
        <v>2.7801228092394998</v>
      </c>
      <c r="Z553" s="2">
        <v>4.7221531534650998</v>
      </c>
      <c r="AA553" s="3">
        <f t="shared" si="25"/>
        <v>47.78933441338431</v>
      </c>
      <c r="AB553" t="s">
        <v>45</v>
      </c>
      <c r="AC553">
        <v>30.2</v>
      </c>
      <c r="AD553">
        <v>48.47</v>
      </c>
      <c r="AE553">
        <v>12.26</v>
      </c>
      <c r="AF553">
        <v>27.33</v>
      </c>
      <c r="AG553">
        <v>188.68</v>
      </c>
      <c r="AH553">
        <v>18.73</v>
      </c>
      <c r="AI553">
        <v>46.23</v>
      </c>
      <c r="AJ553">
        <v>28.09</v>
      </c>
      <c r="AK553">
        <v>30.94</v>
      </c>
      <c r="AL553">
        <v>37.1</v>
      </c>
      <c r="AM553">
        <v>40.08</v>
      </c>
      <c r="AN553">
        <v>71.48</v>
      </c>
      <c r="AO553" s="1">
        <f t="shared" si="26"/>
        <v>579.59</v>
      </c>
    </row>
    <row r="554" spans="1:41" x14ac:dyDescent="0.25">
      <c r="A554" t="s">
        <v>597</v>
      </c>
      <c r="B554" s="2">
        <v>1986.4060185093499</v>
      </c>
      <c r="C554" s="2">
        <v>1277.02965116715</v>
      </c>
      <c r="D554" s="2">
        <v>1946.89344737381</v>
      </c>
      <c r="E554" s="2">
        <v>10538.594457929599</v>
      </c>
      <c r="F554" s="2">
        <v>3207.2566756190699</v>
      </c>
      <c r="G554" s="2">
        <v>3290.5220898653502</v>
      </c>
      <c r="H554" s="2">
        <v>0</v>
      </c>
      <c r="I554" s="2">
        <v>1273.5362247527501</v>
      </c>
      <c r="J554" s="2">
        <v>2307.6058392897498</v>
      </c>
      <c r="K554" s="2">
        <v>10966.7625396615</v>
      </c>
      <c r="L554" s="2">
        <v>1711.1442453734401</v>
      </c>
      <c r="M554" s="2">
        <v>8022.6282399905404</v>
      </c>
      <c r="N554" s="3">
        <f t="shared" si="24"/>
        <v>46528.37942953231</v>
      </c>
      <c r="O554" s="2">
        <v>2.5430514962522399</v>
      </c>
      <c r="P554" s="2">
        <v>0.21135157437640401</v>
      </c>
      <c r="Q554" s="2">
        <v>5.70188711068218</v>
      </c>
      <c r="R554" s="2">
        <v>1.68131770600137</v>
      </c>
      <c r="S554" s="2">
        <v>0.71626921104642405</v>
      </c>
      <c r="T554" s="2">
        <v>0.70131731104099504</v>
      </c>
      <c r="U554" s="2">
        <v>5.1113455415010502</v>
      </c>
      <c r="V554" s="2">
        <v>1.9669152023771399</v>
      </c>
      <c r="W554" s="2">
        <v>9.0801843762853593</v>
      </c>
      <c r="X554" s="2">
        <v>1.08155403670199</v>
      </c>
      <c r="Y554" s="2">
        <v>3.9050164309500501</v>
      </c>
      <c r="Z554" s="2">
        <v>2.1449216236015198</v>
      </c>
      <c r="AA554" s="3">
        <f t="shared" si="25"/>
        <v>34.845131620816723</v>
      </c>
      <c r="AB554" t="s">
        <v>45</v>
      </c>
      <c r="AC554">
        <v>30.01</v>
      </c>
      <c r="AD554">
        <v>22.82</v>
      </c>
      <c r="AE554">
        <v>29.76</v>
      </c>
      <c r="AF554">
        <v>115.48</v>
      </c>
      <c r="AG554">
        <v>42.12</v>
      </c>
      <c r="AH554">
        <v>42.95</v>
      </c>
      <c r="AI554">
        <v>10.29</v>
      </c>
      <c r="AJ554">
        <v>22.83</v>
      </c>
      <c r="AK554">
        <v>33.57</v>
      </c>
      <c r="AL554">
        <v>119.76</v>
      </c>
      <c r="AM554">
        <v>27.31</v>
      </c>
      <c r="AN554">
        <v>90.37</v>
      </c>
      <c r="AO554" s="1">
        <f t="shared" si="26"/>
        <v>587.27</v>
      </c>
    </row>
    <row r="555" spans="1:41" x14ac:dyDescent="0.25">
      <c r="A555" t="s">
        <v>598</v>
      </c>
      <c r="B555" s="2">
        <v>1985.7431896630401</v>
      </c>
      <c r="C555" s="2">
        <v>3566.2234841168902</v>
      </c>
      <c r="D555" s="2">
        <v>2163.0002834107199</v>
      </c>
      <c r="E555" s="2">
        <v>685.46321766122799</v>
      </c>
      <c r="F555" s="2">
        <v>2310.8038473920001</v>
      </c>
      <c r="G555" s="2">
        <v>18690.5090666012</v>
      </c>
      <c r="H555" s="2">
        <v>1110.8269440951599</v>
      </c>
      <c r="I555" s="2">
        <v>4900.0923071432298</v>
      </c>
      <c r="J555" s="2">
        <v>7136.02688832489</v>
      </c>
      <c r="K555" s="2">
        <v>4423.5659566463601</v>
      </c>
      <c r="L555" s="2">
        <v>2595.3684903027302</v>
      </c>
      <c r="M555" s="2">
        <v>4273.7239848819199</v>
      </c>
      <c r="N555" s="3">
        <f t="shared" si="24"/>
        <v>53841.347660239371</v>
      </c>
      <c r="O555" s="2">
        <v>0.92826977187854998</v>
      </c>
      <c r="P555" s="2">
        <v>1.78282532752682</v>
      </c>
      <c r="Q555" s="2">
        <v>10.5113896414894</v>
      </c>
      <c r="R555" s="2">
        <v>8.104723412557</v>
      </c>
      <c r="S555" s="2">
        <v>0</v>
      </c>
      <c r="T555" s="2">
        <v>5.0287893808500099</v>
      </c>
      <c r="U555" s="2">
        <v>7.4741057018769901</v>
      </c>
      <c r="V555" s="2">
        <v>3.62067479932124</v>
      </c>
      <c r="W555" s="2">
        <v>3.0513264615112798</v>
      </c>
      <c r="X555" s="2">
        <v>0.88678952244285403</v>
      </c>
      <c r="Y555" s="2">
        <v>0.70180820519306997</v>
      </c>
      <c r="Z555" s="2">
        <v>8.2118110732061105</v>
      </c>
      <c r="AA555" s="3">
        <f t="shared" si="25"/>
        <v>50.302513297853324</v>
      </c>
      <c r="AB555" t="s">
        <v>45</v>
      </c>
      <c r="AC555">
        <v>29.9</v>
      </c>
      <c r="AD555">
        <v>45.76</v>
      </c>
      <c r="AE555">
        <v>32.18</v>
      </c>
      <c r="AF555">
        <v>17.3</v>
      </c>
      <c r="AG555">
        <v>33.1</v>
      </c>
      <c r="AH555">
        <v>197.2</v>
      </c>
      <c r="AI555">
        <v>21.5</v>
      </c>
      <c r="AJ555">
        <v>59.2</v>
      </c>
      <c r="AK555">
        <v>81.56</v>
      </c>
      <c r="AL555">
        <v>54.28</v>
      </c>
      <c r="AM555">
        <v>36</v>
      </c>
      <c r="AN555">
        <v>53.18</v>
      </c>
      <c r="AO555" s="1">
        <f t="shared" si="26"/>
        <v>661.16</v>
      </c>
    </row>
    <row r="556" spans="1:41" x14ac:dyDescent="0.25">
      <c r="A556" t="s">
        <v>599</v>
      </c>
      <c r="B556" s="2">
        <v>1983.1854477050099</v>
      </c>
      <c r="C556" s="2">
        <v>1612.6684780431899</v>
      </c>
      <c r="D556" s="2">
        <v>1392.2171735137499</v>
      </c>
      <c r="E556" s="2">
        <v>1502.9033548178199</v>
      </c>
      <c r="F556" s="2">
        <v>2983.1458259323899</v>
      </c>
      <c r="G556" s="2">
        <v>0</v>
      </c>
      <c r="H556" s="2">
        <v>590.94199384347905</v>
      </c>
      <c r="I556" s="2">
        <v>11021.0826784082</v>
      </c>
      <c r="J556" s="2">
        <v>3250.04039932042</v>
      </c>
      <c r="K556" s="2">
        <v>87.527383499764198</v>
      </c>
      <c r="L556" s="2">
        <v>4318.6850347790496</v>
      </c>
      <c r="M556" s="2">
        <v>1056.48442899826</v>
      </c>
      <c r="N556" s="3">
        <f t="shared" si="24"/>
        <v>29798.882198861331</v>
      </c>
      <c r="O556" s="2">
        <v>4.1930961568510101</v>
      </c>
      <c r="P556" s="2">
        <v>0</v>
      </c>
      <c r="Q556" s="2">
        <v>13.230442029202401</v>
      </c>
      <c r="R556" s="2">
        <v>5.4017008714071002</v>
      </c>
      <c r="S556" s="2">
        <v>11.7215962121511</v>
      </c>
      <c r="T556" s="2">
        <v>9.8652571884356295</v>
      </c>
      <c r="U556" s="2">
        <v>4.4759730122261301</v>
      </c>
      <c r="V556" s="2">
        <v>10.230655038098901</v>
      </c>
      <c r="W556" s="2">
        <v>1.4066902952729601</v>
      </c>
      <c r="X556" s="2">
        <v>0.66279905438331999</v>
      </c>
      <c r="Y556" s="2">
        <v>0</v>
      </c>
      <c r="Z556" s="2">
        <v>1.78893448605839</v>
      </c>
      <c r="AA556" s="3">
        <f t="shared" si="25"/>
        <v>62.977144344086938</v>
      </c>
      <c r="AB556" t="s">
        <v>63</v>
      </c>
      <c r="AC556">
        <v>40.130000000000003</v>
      </c>
      <c r="AD556">
        <v>32.26</v>
      </c>
      <c r="AE556">
        <v>29.12</v>
      </c>
      <c r="AF556">
        <v>30.6</v>
      </c>
      <c r="AG556">
        <v>60.76</v>
      </c>
      <c r="AH556">
        <v>0.9</v>
      </c>
      <c r="AI556">
        <v>12.27</v>
      </c>
      <c r="AJ556">
        <v>221.43</v>
      </c>
      <c r="AK556">
        <v>65.2</v>
      </c>
      <c r="AL556">
        <v>1.85</v>
      </c>
      <c r="AM556">
        <v>86.38</v>
      </c>
      <c r="AN556">
        <v>21.32</v>
      </c>
      <c r="AO556" s="1">
        <f t="shared" si="26"/>
        <v>602.22000000000014</v>
      </c>
    </row>
    <row r="557" spans="1:41" x14ac:dyDescent="0.25">
      <c r="A557" t="s">
        <v>600</v>
      </c>
      <c r="B557" s="2">
        <v>1981.53684469109</v>
      </c>
      <c r="C557" s="2">
        <v>1118.81020166181</v>
      </c>
      <c r="D557" s="2">
        <v>3415.0439786983002</v>
      </c>
      <c r="E557" s="2">
        <v>927.69703592326096</v>
      </c>
      <c r="F557" s="2">
        <v>585.42521787774206</v>
      </c>
      <c r="G557" s="2">
        <v>1096.46691989091</v>
      </c>
      <c r="H557" s="2">
        <v>790.44312773793501</v>
      </c>
      <c r="I557" s="2">
        <v>0</v>
      </c>
      <c r="J557" s="2">
        <v>2383.4026698095199</v>
      </c>
      <c r="K557" s="2">
        <v>525.72648858752996</v>
      </c>
      <c r="L557" s="2">
        <v>1239.3708367003101</v>
      </c>
      <c r="M557" s="2">
        <v>1089.95376843599</v>
      </c>
      <c r="N557" s="3">
        <f t="shared" si="24"/>
        <v>15153.877090014397</v>
      </c>
      <c r="O557" s="2">
        <v>2.2719787626510102</v>
      </c>
      <c r="P557" s="2">
        <v>1.2765215506334999</v>
      </c>
      <c r="Q557" s="2">
        <v>1.26733735007694E-2</v>
      </c>
      <c r="R557" s="2">
        <v>0</v>
      </c>
      <c r="S557" s="2">
        <v>7.69027546189366</v>
      </c>
      <c r="T557" s="2">
        <v>1.5940391800460301</v>
      </c>
      <c r="U557" s="2">
        <v>1.94496698338535</v>
      </c>
      <c r="V557" s="2">
        <v>1.2889700394508901</v>
      </c>
      <c r="W557" s="2">
        <v>1.8986483176427</v>
      </c>
      <c r="X557" s="2">
        <v>4.7529601490004199</v>
      </c>
      <c r="Y557" s="2">
        <v>15.1822614767436</v>
      </c>
      <c r="Z557" s="2">
        <v>3.2999071029864702</v>
      </c>
      <c r="AA557" s="3">
        <f t="shared" si="25"/>
        <v>41.213202397934396</v>
      </c>
      <c r="AB557" t="s">
        <v>63</v>
      </c>
      <c r="AC557">
        <v>39.909999999999997</v>
      </c>
      <c r="AD557">
        <v>22.56</v>
      </c>
      <c r="AE557">
        <v>68.41</v>
      </c>
      <c r="AF557">
        <v>18.559999999999999</v>
      </c>
      <c r="AG557">
        <v>12.44</v>
      </c>
      <c r="AH557">
        <v>22.12</v>
      </c>
      <c r="AI557">
        <v>16</v>
      </c>
      <c r="AJ557">
        <v>0.18</v>
      </c>
      <c r="AK557">
        <v>47.86</v>
      </c>
      <c r="AL557">
        <v>10.97</v>
      </c>
      <c r="AM557">
        <v>26.24</v>
      </c>
      <c r="AN557">
        <v>22.16</v>
      </c>
      <c r="AO557" s="1">
        <f t="shared" si="26"/>
        <v>307.41000000000008</v>
      </c>
    </row>
    <row r="558" spans="1:41" x14ac:dyDescent="0.25">
      <c r="A558" t="s">
        <v>601</v>
      </c>
      <c r="B558" s="2">
        <v>1970.3345655851101</v>
      </c>
      <c r="C558" s="2">
        <v>7366.2389404226697</v>
      </c>
      <c r="D558" s="2">
        <v>0</v>
      </c>
      <c r="E558" s="2">
        <v>25.783482390934299</v>
      </c>
      <c r="F558" s="2">
        <v>2233.5453438171398</v>
      </c>
      <c r="G558" s="2">
        <v>1659.6359500588601</v>
      </c>
      <c r="H558" s="2">
        <v>6630.4064533749297</v>
      </c>
      <c r="I558" s="2">
        <v>0</v>
      </c>
      <c r="J558" s="2">
        <v>2957.2500387232999</v>
      </c>
      <c r="K558" s="2">
        <v>314.35347317599701</v>
      </c>
      <c r="L558" s="2">
        <v>7035.3782490624699</v>
      </c>
      <c r="M558" s="2">
        <v>4522.0429861450702</v>
      </c>
      <c r="N558" s="3">
        <f t="shared" si="24"/>
        <v>34714.969482756482</v>
      </c>
      <c r="O558" s="2">
        <v>4.1507622245920901</v>
      </c>
      <c r="P558" s="2">
        <v>0</v>
      </c>
      <c r="Q558" s="2">
        <v>0</v>
      </c>
      <c r="R558" s="2">
        <v>4.8689720992231198</v>
      </c>
      <c r="S558" s="2">
        <v>2.4147171954886502</v>
      </c>
      <c r="T558" s="2">
        <v>1.06639961074691</v>
      </c>
      <c r="U558" s="2">
        <v>6.1203354723141601</v>
      </c>
      <c r="V558" s="2">
        <v>1.2709633938340701</v>
      </c>
      <c r="W558" s="2">
        <v>5.5299478066589902</v>
      </c>
      <c r="X558" s="2">
        <v>0.49497372582960403</v>
      </c>
      <c r="Y558" s="2">
        <v>14.0934985433984</v>
      </c>
      <c r="Z558" s="2">
        <v>0.28926295687439602</v>
      </c>
      <c r="AA558" s="3">
        <f t="shared" si="25"/>
        <v>40.299833028960393</v>
      </c>
      <c r="AB558" t="s">
        <v>63</v>
      </c>
      <c r="AC558">
        <v>39.869999999999997</v>
      </c>
      <c r="AD558">
        <v>147.34</v>
      </c>
      <c r="AE558">
        <v>0</v>
      </c>
      <c r="AF558">
        <v>0.97</v>
      </c>
      <c r="AG558">
        <v>44.95</v>
      </c>
      <c r="AH558">
        <v>33.380000000000003</v>
      </c>
      <c r="AI558">
        <v>133.25</v>
      </c>
      <c r="AJ558">
        <v>0.18</v>
      </c>
      <c r="AK558">
        <v>59.7</v>
      </c>
      <c r="AL558">
        <v>6.39</v>
      </c>
      <c r="AM558">
        <v>142.07</v>
      </c>
      <c r="AN558">
        <v>90.55</v>
      </c>
      <c r="AO558" s="1">
        <f t="shared" si="26"/>
        <v>698.64999999999986</v>
      </c>
    </row>
    <row r="559" spans="1:41" x14ac:dyDescent="0.25">
      <c r="A559" t="s">
        <v>602</v>
      </c>
      <c r="B559" s="2">
        <v>1964.8286159469901</v>
      </c>
      <c r="C559" s="2">
        <v>2566.2467032253498</v>
      </c>
      <c r="D559" s="2">
        <v>11600.1207939204</v>
      </c>
      <c r="E559" s="2">
        <v>7829.8075272727101</v>
      </c>
      <c r="F559" s="2">
        <v>756.67846185093094</v>
      </c>
      <c r="G559" s="2">
        <v>1614.3712287533799</v>
      </c>
      <c r="H559" s="2">
        <v>6799.2945722867098</v>
      </c>
      <c r="I559" s="2">
        <v>6907.2687360985601</v>
      </c>
      <c r="J559" s="2">
        <v>613.19052116191995</v>
      </c>
      <c r="K559" s="2">
        <v>4836.7278701068699</v>
      </c>
      <c r="L559" s="2">
        <v>3722.3913465290798</v>
      </c>
      <c r="M559" s="2">
        <v>3201.8764832546199</v>
      </c>
      <c r="N559" s="3">
        <f t="shared" si="24"/>
        <v>52412.802860407523</v>
      </c>
      <c r="O559" s="2">
        <v>1.5230344882687099</v>
      </c>
      <c r="P559" s="2">
        <v>1.3400593232282501</v>
      </c>
      <c r="Q559" s="2">
        <v>6.9496027698117997</v>
      </c>
      <c r="R559" s="2">
        <v>4.5258390366822798</v>
      </c>
      <c r="S559" s="2">
        <v>1.1541762290889099</v>
      </c>
      <c r="T559" s="2">
        <v>1.23300841742839</v>
      </c>
      <c r="U559" s="2">
        <v>13.8384738112518</v>
      </c>
      <c r="V559" s="2">
        <v>3.1588327952932</v>
      </c>
      <c r="W559" s="2">
        <v>3.3422185463316301</v>
      </c>
      <c r="X559" s="2">
        <v>2.6020044708342698</v>
      </c>
      <c r="Y559" s="2">
        <v>0</v>
      </c>
      <c r="Z559" s="2">
        <v>1.98130890583104</v>
      </c>
      <c r="AA559" s="3">
        <f t="shared" si="25"/>
        <v>41.648558794050281</v>
      </c>
      <c r="AB559" t="s">
        <v>63</v>
      </c>
      <c r="AC559">
        <v>39.479999999999997</v>
      </c>
      <c r="AD559">
        <v>51.52</v>
      </c>
      <c r="AE559">
        <v>232.65</v>
      </c>
      <c r="AF559">
        <v>157.05000000000001</v>
      </c>
      <c r="AG559">
        <v>15.32</v>
      </c>
      <c r="AH559">
        <v>32.479999999999997</v>
      </c>
      <c r="AI559">
        <v>137.26</v>
      </c>
      <c r="AJ559">
        <v>138.52000000000001</v>
      </c>
      <c r="AK559">
        <v>12.64</v>
      </c>
      <c r="AL559">
        <v>97.01</v>
      </c>
      <c r="AM559">
        <v>74.459999999999994</v>
      </c>
      <c r="AN559">
        <v>64.22</v>
      </c>
      <c r="AO559" s="1">
        <f t="shared" si="26"/>
        <v>1052.6099999999999</v>
      </c>
    </row>
    <row r="560" spans="1:41" x14ac:dyDescent="0.25">
      <c r="A560" t="s">
        <v>603</v>
      </c>
      <c r="B560" s="2">
        <v>1961.0086427992301</v>
      </c>
      <c r="C560" s="2">
        <v>332.75085807193801</v>
      </c>
      <c r="D560" s="2">
        <v>7916.6475465000403</v>
      </c>
      <c r="E560" s="2">
        <v>2926.8068487555202</v>
      </c>
      <c r="F560" s="2">
        <v>0</v>
      </c>
      <c r="G560" s="2">
        <v>1595.58171833746</v>
      </c>
      <c r="H560" s="2">
        <v>6637.1007593882096</v>
      </c>
      <c r="I560" s="2">
        <v>0</v>
      </c>
      <c r="J560" s="2">
        <v>949.75400950102301</v>
      </c>
      <c r="K560" s="2">
        <v>1508.7616253951001</v>
      </c>
      <c r="L560" s="2">
        <v>9577.8051532515892</v>
      </c>
      <c r="M560" s="2">
        <v>9280.5873036947105</v>
      </c>
      <c r="N560" s="3">
        <f t="shared" si="24"/>
        <v>42686.804465694819</v>
      </c>
      <c r="O560" s="2">
        <v>1.2327265242905301</v>
      </c>
      <c r="P560" s="2">
        <v>4.5958718657111097</v>
      </c>
      <c r="Q560" s="2">
        <v>0.63427133515351697</v>
      </c>
      <c r="R560" s="2">
        <v>11.8161154941194</v>
      </c>
      <c r="S560" s="2">
        <v>0.47621197831999301</v>
      </c>
      <c r="T560" s="2">
        <v>1.4036444693377099</v>
      </c>
      <c r="U560" s="2">
        <v>1.83406417677984</v>
      </c>
      <c r="V560" s="2">
        <v>24.3525601586554</v>
      </c>
      <c r="W560" s="2">
        <v>1.4031959353935599</v>
      </c>
      <c r="X560" s="2">
        <v>3.6747889272265901</v>
      </c>
      <c r="Y560" s="2">
        <v>0</v>
      </c>
      <c r="Z560" s="2">
        <v>5.2471353192782901</v>
      </c>
      <c r="AA560" s="3">
        <f t="shared" si="25"/>
        <v>56.67058618426595</v>
      </c>
      <c r="AB560" t="s">
        <v>45</v>
      </c>
      <c r="AC560">
        <v>29.71</v>
      </c>
      <c r="AD560">
        <v>13.57</v>
      </c>
      <c r="AE560">
        <v>89.21</v>
      </c>
      <c r="AF560">
        <v>39.86</v>
      </c>
      <c r="AG560">
        <v>10.039999999999999</v>
      </c>
      <c r="AH560">
        <v>26.05</v>
      </c>
      <c r="AI560">
        <v>76.47</v>
      </c>
      <c r="AJ560">
        <v>11.24</v>
      </c>
      <c r="AK560">
        <v>19.59</v>
      </c>
      <c r="AL560">
        <v>25.28</v>
      </c>
      <c r="AM560">
        <v>105.77</v>
      </c>
      <c r="AN560">
        <v>103.1</v>
      </c>
      <c r="AO560" s="1">
        <f t="shared" si="26"/>
        <v>549.89</v>
      </c>
    </row>
    <row r="561" spans="1:41" x14ac:dyDescent="0.25">
      <c r="A561" t="s">
        <v>604</v>
      </c>
      <c r="B561" s="2">
        <v>1959.2539891039801</v>
      </c>
      <c r="C561" s="2">
        <v>665.38181253794505</v>
      </c>
      <c r="D561" s="2">
        <v>5374.5665057318101</v>
      </c>
      <c r="E561" s="2">
        <v>6016.6218092016497</v>
      </c>
      <c r="F561" s="2">
        <v>248.10089806916301</v>
      </c>
      <c r="G561" s="2">
        <v>6933.4998366775799</v>
      </c>
      <c r="H561" s="2">
        <v>3934.6773811054099</v>
      </c>
      <c r="I561" s="2">
        <v>2112.59024693128</v>
      </c>
      <c r="J561" s="2">
        <v>0</v>
      </c>
      <c r="K561" s="2">
        <v>2057.8211890146399</v>
      </c>
      <c r="L561" s="2">
        <v>3991.6484783555902</v>
      </c>
      <c r="M561" s="2">
        <v>0</v>
      </c>
      <c r="N561" s="3">
        <f t="shared" si="24"/>
        <v>33294.162146729053</v>
      </c>
      <c r="O561" s="2">
        <v>1.7089501342603599</v>
      </c>
      <c r="P561" s="2">
        <v>3.1097002591201002</v>
      </c>
      <c r="Q561" s="2">
        <v>0</v>
      </c>
      <c r="R561" s="2">
        <v>3.1086283194398101</v>
      </c>
      <c r="S561" s="2">
        <v>4.1468778314555603</v>
      </c>
      <c r="T561" s="2">
        <v>0</v>
      </c>
      <c r="U561" s="2">
        <v>3.9382992377511701</v>
      </c>
      <c r="V561" s="2">
        <v>7.6996200672078698</v>
      </c>
      <c r="W561" s="2">
        <v>6.0140444766231296</v>
      </c>
      <c r="X561" s="2">
        <v>4.0199351956148801</v>
      </c>
      <c r="Y561" s="2">
        <v>8.7656528135814007</v>
      </c>
      <c r="Z561" s="2">
        <v>0.34615054049566202</v>
      </c>
      <c r="AA561" s="3">
        <f t="shared" si="25"/>
        <v>42.857858875549944</v>
      </c>
      <c r="AB561" t="s">
        <v>63</v>
      </c>
      <c r="AC561">
        <v>39.380000000000003</v>
      </c>
      <c r="AD561">
        <v>13.68</v>
      </c>
      <c r="AE561">
        <v>107.5</v>
      </c>
      <c r="AF561">
        <v>120.7</v>
      </c>
      <c r="AG561">
        <v>5.43</v>
      </c>
      <c r="AH561">
        <v>138.68</v>
      </c>
      <c r="AI561">
        <v>79.06</v>
      </c>
      <c r="AJ561">
        <v>42.98</v>
      </c>
      <c r="AK561">
        <v>0.63</v>
      </c>
      <c r="AL561">
        <v>41.61</v>
      </c>
      <c r="AM561">
        <v>80.650000000000006</v>
      </c>
      <c r="AN561">
        <v>0.09</v>
      </c>
      <c r="AO561" s="1">
        <f t="shared" si="26"/>
        <v>670.39</v>
      </c>
    </row>
    <row r="562" spans="1:41" x14ac:dyDescent="0.25">
      <c r="A562" t="s">
        <v>605</v>
      </c>
      <c r="B562" s="2">
        <v>1945.68817412097</v>
      </c>
      <c r="C562" s="2">
        <v>10649.6205526062</v>
      </c>
      <c r="D562" s="2">
        <v>3148.7200206882999</v>
      </c>
      <c r="E562" s="2">
        <v>4817.3952001758598</v>
      </c>
      <c r="F562" s="2">
        <v>2459.6895914481001</v>
      </c>
      <c r="G562" s="2">
        <v>5870.48395496176</v>
      </c>
      <c r="H562" s="2">
        <v>4316.6686847855999</v>
      </c>
      <c r="I562" s="2">
        <v>1583.9531450991001</v>
      </c>
      <c r="J562" s="2">
        <v>4172.1766166264497</v>
      </c>
      <c r="K562" s="2">
        <v>1359.88010168182</v>
      </c>
      <c r="L562" s="2">
        <v>0</v>
      </c>
      <c r="M562" s="2">
        <v>5853.4994505354398</v>
      </c>
      <c r="N562" s="3">
        <f t="shared" si="24"/>
        <v>46177.77549272959</v>
      </c>
      <c r="O562" s="2">
        <v>11.4254472416907</v>
      </c>
      <c r="P562" s="2">
        <v>1.55726876680897</v>
      </c>
      <c r="Q562" s="2">
        <v>0</v>
      </c>
      <c r="R562" s="2">
        <v>4.1306617855772201</v>
      </c>
      <c r="S562" s="2">
        <v>2.4892882121832001</v>
      </c>
      <c r="T562" s="2">
        <v>3.5802305523776199</v>
      </c>
      <c r="U562" s="2">
        <v>3.9076721727709001</v>
      </c>
      <c r="V562" s="2">
        <v>8.8108982263186899</v>
      </c>
      <c r="W562" s="2">
        <v>6.3069198575898904</v>
      </c>
      <c r="X562" s="2">
        <v>4.6063073573829003</v>
      </c>
      <c r="Y562" s="2">
        <v>5.8489136338888796</v>
      </c>
      <c r="Z562" s="2">
        <v>11.2713940070606</v>
      </c>
      <c r="AA562" s="3">
        <f t="shared" si="25"/>
        <v>63.935001813649571</v>
      </c>
      <c r="AB562" t="s">
        <v>63</v>
      </c>
      <c r="AC562">
        <v>40</v>
      </c>
      <c r="AD562">
        <v>213.18</v>
      </c>
      <c r="AE562">
        <v>62.98</v>
      </c>
      <c r="AF562">
        <v>96.81</v>
      </c>
      <c r="AG562">
        <v>49.47</v>
      </c>
      <c r="AH562">
        <v>117.78</v>
      </c>
      <c r="AI562">
        <v>86.7</v>
      </c>
      <c r="AJ562">
        <v>32.49</v>
      </c>
      <c r="AK562">
        <v>84.09</v>
      </c>
      <c r="AL562">
        <v>27.65</v>
      </c>
      <c r="AM562">
        <v>0.54</v>
      </c>
      <c r="AN562">
        <v>118.16</v>
      </c>
      <c r="AO562" s="1">
        <f t="shared" si="26"/>
        <v>929.85</v>
      </c>
    </row>
    <row r="563" spans="1:41" x14ac:dyDescent="0.25">
      <c r="A563" t="s">
        <v>606</v>
      </c>
      <c r="B563" s="2">
        <v>1914.63820318437</v>
      </c>
      <c r="C563" s="2">
        <v>12428.5883667617</v>
      </c>
      <c r="D563" s="2">
        <v>9401.2390029630096</v>
      </c>
      <c r="E563" s="2">
        <v>2858.2958398486999</v>
      </c>
      <c r="F563" s="2">
        <v>0</v>
      </c>
      <c r="G563" s="2">
        <v>4460.5903741090196</v>
      </c>
      <c r="H563" s="2">
        <v>878.30290603316098</v>
      </c>
      <c r="I563" s="2">
        <v>1202.1890785814301</v>
      </c>
      <c r="J563" s="2">
        <v>93.680236056935399</v>
      </c>
      <c r="K563" s="2">
        <v>2267.1599191984801</v>
      </c>
      <c r="L563" s="2">
        <v>4159.9464577894396</v>
      </c>
      <c r="M563" s="2">
        <v>708.82118809765404</v>
      </c>
      <c r="N563" s="3">
        <f t="shared" si="24"/>
        <v>40373.451572623897</v>
      </c>
      <c r="O563" s="2">
        <v>3.4489320674163899</v>
      </c>
      <c r="P563" s="2">
        <v>0</v>
      </c>
      <c r="Q563" s="2">
        <v>2.6129046315883002</v>
      </c>
      <c r="R563" s="2">
        <v>0.53938484512794604</v>
      </c>
      <c r="S563" s="2">
        <v>3.0289707800604799</v>
      </c>
      <c r="T563" s="2">
        <v>0</v>
      </c>
      <c r="U563" s="2">
        <v>6.4134412686973903</v>
      </c>
      <c r="V563" s="2">
        <v>1.67073604967713</v>
      </c>
      <c r="W563" s="2">
        <v>5.1366219369428903</v>
      </c>
      <c r="X563" s="2">
        <v>6.5542486454940097</v>
      </c>
      <c r="Y563" s="2">
        <v>3.18213819030318</v>
      </c>
      <c r="Z563" s="2">
        <v>5.0612908355854502</v>
      </c>
      <c r="AA563" s="3">
        <f t="shared" si="25"/>
        <v>37.648669250893171</v>
      </c>
      <c r="AB563" t="s">
        <v>45</v>
      </c>
      <c r="AC563">
        <v>29.34</v>
      </c>
      <c r="AD563">
        <v>134.28</v>
      </c>
      <c r="AE563">
        <v>104.16</v>
      </c>
      <c r="AF563">
        <v>38.630000000000003</v>
      </c>
      <c r="AG563">
        <v>10.19</v>
      </c>
      <c r="AH563">
        <v>54.6</v>
      </c>
      <c r="AI563">
        <v>19.13</v>
      </c>
      <c r="AJ563">
        <v>22.12</v>
      </c>
      <c r="AK563">
        <v>11.23</v>
      </c>
      <c r="AL563">
        <v>33.020000000000003</v>
      </c>
      <c r="AM563">
        <v>51.79</v>
      </c>
      <c r="AN563">
        <v>17.38</v>
      </c>
      <c r="AO563" s="1">
        <f t="shared" si="26"/>
        <v>525.87</v>
      </c>
    </row>
    <row r="564" spans="1:41" x14ac:dyDescent="0.25">
      <c r="A564" t="s">
        <v>607</v>
      </c>
      <c r="B564" s="2">
        <v>1914.1440150301401</v>
      </c>
      <c r="C564" s="2">
        <v>0</v>
      </c>
      <c r="D564" s="2">
        <v>8562.4678521081696</v>
      </c>
      <c r="E564" s="2">
        <v>578.30296912646395</v>
      </c>
      <c r="F564" s="2">
        <v>107.16248889012</v>
      </c>
      <c r="G564" s="2">
        <v>1085.0395994302901</v>
      </c>
      <c r="H564" s="2">
        <v>1353.5759416441199</v>
      </c>
      <c r="I564" s="2">
        <v>6615.3209849925497</v>
      </c>
      <c r="J564" s="2">
        <v>3194.19458031668</v>
      </c>
      <c r="K564" s="2">
        <v>11110.002016233801</v>
      </c>
      <c r="L564" s="2">
        <v>1678.14602731639</v>
      </c>
      <c r="M564" s="2">
        <v>2184.8641659495802</v>
      </c>
      <c r="N564" s="3">
        <f t="shared" si="24"/>
        <v>38383.220641038301</v>
      </c>
      <c r="O564" s="2">
        <v>5.35803689663389</v>
      </c>
      <c r="P564" s="2">
        <v>3.5940606231629699</v>
      </c>
      <c r="Q564" s="2">
        <v>0.133956065327379</v>
      </c>
      <c r="R564" s="2">
        <v>4.4327450333028002</v>
      </c>
      <c r="S564" s="2">
        <v>17.457690480650399</v>
      </c>
      <c r="T564" s="2">
        <v>11.6489409114669</v>
      </c>
      <c r="U564" s="2">
        <v>1.1723642809770101</v>
      </c>
      <c r="V564" s="2">
        <v>0</v>
      </c>
      <c r="W564" s="2">
        <v>0.95848060088325904</v>
      </c>
      <c r="X564" s="2">
        <v>5.0451028794347099</v>
      </c>
      <c r="Y564" s="2">
        <v>7.7517512401173603</v>
      </c>
      <c r="Z564" s="2">
        <v>0.32489506831116299</v>
      </c>
      <c r="AA564" s="3">
        <f t="shared" si="25"/>
        <v>57.878024080267828</v>
      </c>
      <c r="AB564" t="s">
        <v>45</v>
      </c>
      <c r="AC564">
        <v>29.44</v>
      </c>
      <c r="AD564">
        <v>10.19</v>
      </c>
      <c r="AE564">
        <v>95.67</v>
      </c>
      <c r="AF564">
        <v>16.03</v>
      </c>
      <c r="AG564">
        <v>11.97</v>
      </c>
      <c r="AH564">
        <v>21.45</v>
      </c>
      <c r="AI564">
        <v>23.63</v>
      </c>
      <c r="AJ564">
        <v>76.150000000000006</v>
      </c>
      <c r="AK564">
        <v>41.99</v>
      </c>
      <c r="AL564">
        <v>121.4</v>
      </c>
      <c r="AM564">
        <v>27.18</v>
      </c>
      <c r="AN564">
        <v>31.89</v>
      </c>
      <c r="AO564" s="1">
        <f t="shared" si="26"/>
        <v>506.98999999999995</v>
      </c>
    </row>
    <row r="565" spans="1:41" x14ac:dyDescent="0.25">
      <c r="A565" t="s">
        <v>608</v>
      </c>
      <c r="B565" s="2">
        <v>1910.4490958326501</v>
      </c>
      <c r="C565" s="2">
        <v>1418.5388766459901</v>
      </c>
      <c r="D565" s="2">
        <v>4643.9945017233404</v>
      </c>
      <c r="E565" s="2">
        <v>1787.5729600847301</v>
      </c>
      <c r="F565" s="2">
        <v>1636.6314166552099</v>
      </c>
      <c r="G565" s="2">
        <v>1418.4623471520299</v>
      </c>
      <c r="H565" s="2">
        <v>3805.5495143887701</v>
      </c>
      <c r="I565" s="2">
        <v>7856.7423528446197</v>
      </c>
      <c r="J565" s="2">
        <v>4691.0300593175598</v>
      </c>
      <c r="K565" s="2">
        <v>6995.0518970298999</v>
      </c>
      <c r="L565" s="2">
        <v>3486.4266378956499</v>
      </c>
      <c r="M565" s="2">
        <v>445.83752496202101</v>
      </c>
      <c r="N565" s="3">
        <f t="shared" si="24"/>
        <v>40096.287184532477</v>
      </c>
      <c r="O565" s="2">
        <v>5.6482966175484197</v>
      </c>
      <c r="P565" s="2">
        <v>2.0046055152753</v>
      </c>
      <c r="Q565" s="2">
        <v>1.8313548881625401</v>
      </c>
      <c r="R565" s="2">
        <v>0.84669122161691501</v>
      </c>
      <c r="S565" s="2">
        <v>17.345310971425999</v>
      </c>
      <c r="T565" s="2">
        <v>0.16941958209687799</v>
      </c>
      <c r="U565" s="2">
        <v>9.4078690402049592</v>
      </c>
      <c r="V565" s="2">
        <v>2.6601908414238999</v>
      </c>
      <c r="W565" s="2">
        <v>3.5354913313550802</v>
      </c>
      <c r="X565" s="2">
        <v>5.6484909393754199</v>
      </c>
      <c r="Y565" s="2">
        <v>1.0684733179555199</v>
      </c>
      <c r="Z565" s="2">
        <v>9.0163964880690397</v>
      </c>
      <c r="AA565" s="3">
        <f t="shared" si="25"/>
        <v>59.182590754509974</v>
      </c>
      <c r="AB565" t="s">
        <v>45</v>
      </c>
      <c r="AC565">
        <v>29.4</v>
      </c>
      <c r="AD565">
        <v>24.33</v>
      </c>
      <c r="AE565">
        <v>56.53</v>
      </c>
      <c r="AF565">
        <v>27.92</v>
      </c>
      <c r="AG565">
        <v>27.26</v>
      </c>
      <c r="AH565">
        <v>24.23</v>
      </c>
      <c r="AI565">
        <v>48.55</v>
      </c>
      <c r="AJ565">
        <v>88.71</v>
      </c>
      <c r="AK565">
        <v>57.11</v>
      </c>
      <c r="AL565">
        <v>80.25</v>
      </c>
      <c r="AM565">
        <v>44.96</v>
      </c>
      <c r="AN565">
        <v>14.95</v>
      </c>
      <c r="AO565" s="1">
        <f t="shared" si="26"/>
        <v>524.19999999999993</v>
      </c>
    </row>
    <row r="566" spans="1:41" x14ac:dyDescent="0.25">
      <c r="A566" t="s">
        <v>609</v>
      </c>
      <c r="B566" s="2">
        <v>1901.51662075985</v>
      </c>
      <c r="C566" s="2">
        <v>5130.80115424423</v>
      </c>
      <c r="D566" s="2">
        <v>1286.4767806258201</v>
      </c>
      <c r="E566" s="2">
        <v>723.29230133495196</v>
      </c>
      <c r="F566" s="2">
        <v>3013.0995018590502</v>
      </c>
      <c r="G566" s="2">
        <v>863.23939023164996</v>
      </c>
      <c r="H566" s="2">
        <v>2734.0549652557402</v>
      </c>
      <c r="I566" s="2">
        <v>0</v>
      </c>
      <c r="J566" s="2">
        <v>3763.4484220719901</v>
      </c>
      <c r="K566" s="2">
        <v>3422.9785369872502</v>
      </c>
      <c r="L566" s="2">
        <v>3552.7316567460002</v>
      </c>
      <c r="M566" s="2">
        <v>1398.0574005133401</v>
      </c>
      <c r="N566" s="3">
        <f t="shared" si="24"/>
        <v>27789.696730629876</v>
      </c>
      <c r="O566" s="2">
        <v>1.33958870496856</v>
      </c>
      <c r="P566" s="2">
        <v>3.4650830287174301</v>
      </c>
      <c r="Q566" s="2">
        <v>4.8765449480432004</v>
      </c>
      <c r="R566" s="2">
        <v>6.9560966112670402</v>
      </c>
      <c r="S566" s="2">
        <v>10.6591159627671</v>
      </c>
      <c r="T566" s="2">
        <v>3.5055450332518401</v>
      </c>
      <c r="U566" s="2">
        <v>6.30869211884335</v>
      </c>
      <c r="V566" s="2">
        <v>2.7938445647702599</v>
      </c>
      <c r="W566" s="2">
        <v>6.3830160277791901</v>
      </c>
      <c r="X566" s="2">
        <v>0.44822608625107302</v>
      </c>
      <c r="Y566" s="2">
        <v>0.78635035216397697</v>
      </c>
      <c r="Z566" s="2">
        <v>3.0382582562537799</v>
      </c>
      <c r="AA566" s="3">
        <f t="shared" si="25"/>
        <v>50.560361695076807</v>
      </c>
      <c r="AB566" t="s">
        <v>63</v>
      </c>
      <c r="AC566">
        <v>38.22</v>
      </c>
      <c r="AD566">
        <v>102.98</v>
      </c>
      <c r="AE566">
        <v>26.19</v>
      </c>
      <c r="AF566">
        <v>15.11</v>
      </c>
      <c r="AG566">
        <v>61.27</v>
      </c>
      <c r="AH566">
        <v>17.64</v>
      </c>
      <c r="AI566">
        <v>55.33</v>
      </c>
      <c r="AJ566">
        <v>0.27</v>
      </c>
      <c r="AK566">
        <v>75.91</v>
      </c>
      <c r="AL566">
        <v>68.55</v>
      </c>
      <c r="AM566">
        <v>71.150000000000006</v>
      </c>
      <c r="AN566">
        <v>28.34</v>
      </c>
      <c r="AO566" s="1">
        <f t="shared" si="26"/>
        <v>560.96</v>
      </c>
    </row>
    <row r="567" spans="1:41" x14ac:dyDescent="0.25">
      <c r="A567" t="s">
        <v>610</v>
      </c>
      <c r="B567" s="2">
        <v>1898.93688141146</v>
      </c>
      <c r="C567" s="2">
        <v>9101.4934295089606</v>
      </c>
      <c r="D567" s="2">
        <v>6913.3587653402901</v>
      </c>
      <c r="E567" s="2">
        <v>4473.7604614246802</v>
      </c>
      <c r="F567" s="2">
        <v>3265.6809243874</v>
      </c>
      <c r="G567" s="2">
        <v>741.81076768324397</v>
      </c>
      <c r="H567" s="2">
        <v>10966.169568318201</v>
      </c>
      <c r="I567" s="2">
        <v>862.04048253084602</v>
      </c>
      <c r="J567" s="2">
        <v>2506.67863179714</v>
      </c>
      <c r="K567" s="2">
        <v>1816.1768159158601</v>
      </c>
      <c r="L567" s="2">
        <v>1837.58742338204</v>
      </c>
      <c r="M567" s="2">
        <v>4028.9302639062298</v>
      </c>
      <c r="N567" s="3">
        <f t="shared" si="24"/>
        <v>48412.624415606362</v>
      </c>
      <c r="O567" s="2">
        <v>8.5393712888840607</v>
      </c>
      <c r="P567" s="2">
        <v>1.6414974249869101</v>
      </c>
      <c r="Q567" s="2">
        <v>1.73450439089307</v>
      </c>
      <c r="R567" s="2">
        <v>3.5743064095408101</v>
      </c>
      <c r="S567" s="2">
        <v>10.386994208572601</v>
      </c>
      <c r="T567" s="2">
        <v>4.9670027535930803</v>
      </c>
      <c r="U567" s="2">
        <v>3.4881446328576602</v>
      </c>
      <c r="V567" s="2">
        <v>1.48708963526169</v>
      </c>
      <c r="W567" s="2">
        <v>5.4238802533430599</v>
      </c>
      <c r="X567" s="2">
        <v>18.145754209454999</v>
      </c>
      <c r="Y567" s="2">
        <v>1.4816512747069199</v>
      </c>
      <c r="Z567" s="2">
        <v>1.5878579800531201</v>
      </c>
      <c r="AA567" s="3">
        <f t="shared" si="25"/>
        <v>62.458054462147985</v>
      </c>
      <c r="AB567" t="s">
        <v>45</v>
      </c>
      <c r="AC567">
        <v>29.43</v>
      </c>
      <c r="AD567">
        <v>101.11</v>
      </c>
      <c r="AE567">
        <v>79.23</v>
      </c>
      <c r="AF567">
        <v>54.93</v>
      </c>
      <c r="AG567">
        <v>43.2</v>
      </c>
      <c r="AH567">
        <v>17.66</v>
      </c>
      <c r="AI567">
        <v>119.86</v>
      </c>
      <c r="AJ567">
        <v>18.72</v>
      </c>
      <c r="AK567">
        <v>35.36</v>
      </c>
      <c r="AL567">
        <v>29.11</v>
      </c>
      <c r="AM567">
        <v>28.47</v>
      </c>
      <c r="AN567">
        <v>50.38</v>
      </c>
      <c r="AO567" s="1">
        <f t="shared" si="26"/>
        <v>607.46</v>
      </c>
    </row>
    <row r="568" spans="1:41" x14ac:dyDescent="0.25">
      <c r="A568" t="s">
        <v>611</v>
      </c>
      <c r="B568" s="2">
        <v>1888.8288820994201</v>
      </c>
      <c r="C568" s="2">
        <v>2547.1024944903702</v>
      </c>
      <c r="D568" s="2">
        <v>2648.70174863899</v>
      </c>
      <c r="E568" s="2">
        <v>1065.1220618178199</v>
      </c>
      <c r="F568" s="2">
        <v>2118.2363428063099</v>
      </c>
      <c r="G568" s="2">
        <v>3002.3920109054202</v>
      </c>
      <c r="H568" s="2">
        <v>2790.8848290094902</v>
      </c>
      <c r="I568" s="2">
        <v>4771.20407363101</v>
      </c>
      <c r="J568" s="2">
        <v>1354.0840579180499</v>
      </c>
      <c r="K568" s="2">
        <v>4161.6028127418404</v>
      </c>
      <c r="L568" s="2">
        <v>3908.3019055944701</v>
      </c>
      <c r="M568" s="2">
        <v>12343.661999491</v>
      </c>
      <c r="N568" s="3">
        <f t="shared" si="24"/>
        <v>42600.123219144196</v>
      </c>
      <c r="O568" s="2">
        <v>9.9604419759737297</v>
      </c>
      <c r="P568" s="2">
        <v>10.820159337972401</v>
      </c>
      <c r="Q568" s="2">
        <v>11.0393816287154</v>
      </c>
      <c r="R568" s="2">
        <v>3.2733658200127498</v>
      </c>
      <c r="S568" s="2">
        <v>0</v>
      </c>
      <c r="T568" s="2">
        <v>9.2535185851470292</v>
      </c>
      <c r="U568" s="2">
        <v>0.67966696739815802</v>
      </c>
      <c r="V568" s="2">
        <v>12.285059939963901</v>
      </c>
      <c r="W568" s="2">
        <v>12.286341293854999</v>
      </c>
      <c r="X568" s="2">
        <v>9.2364701317510107</v>
      </c>
      <c r="Y568" s="2">
        <v>1.9546383468209101</v>
      </c>
      <c r="Z568" s="2">
        <v>2.8736778134565801</v>
      </c>
      <c r="AA568" s="3">
        <f t="shared" si="25"/>
        <v>83.662721841066869</v>
      </c>
      <c r="AB568" t="s">
        <v>45</v>
      </c>
      <c r="AC568">
        <v>29.38</v>
      </c>
      <c r="AD568">
        <v>36.020000000000003</v>
      </c>
      <c r="AE568">
        <v>37.08</v>
      </c>
      <c r="AF568">
        <v>20.85</v>
      </c>
      <c r="AG568">
        <v>31.18</v>
      </c>
      <c r="AH568">
        <v>40.520000000000003</v>
      </c>
      <c r="AI568">
        <v>37.950000000000003</v>
      </c>
      <c r="AJ568">
        <v>58.36</v>
      </c>
      <c r="AK568">
        <v>24.19</v>
      </c>
      <c r="AL568">
        <v>52.11</v>
      </c>
      <c r="AM568">
        <v>49.18</v>
      </c>
      <c r="AN568">
        <v>133.58000000000001</v>
      </c>
      <c r="AO568" s="1">
        <f t="shared" si="26"/>
        <v>550.40000000000009</v>
      </c>
    </row>
    <row r="569" spans="1:41" x14ac:dyDescent="0.25">
      <c r="A569" t="s">
        <v>612</v>
      </c>
      <c r="B569" s="2">
        <v>1887.27882770376</v>
      </c>
      <c r="C569" s="2">
        <v>1114.2804694896099</v>
      </c>
      <c r="D569" s="2">
        <v>1385.39316834018</v>
      </c>
      <c r="E569" s="2">
        <v>10377.986183700001</v>
      </c>
      <c r="F569" s="2">
        <v>2905.0595114000398</v>
      </c>
      <c r="G569" s="2">
        <v>2867.7083303552299</v>
      </c>
      <c r="H569" s="2">
        <v>10679.312618506299</v>
      </c>
      <c r="I569" s="2">
        <v>1860.85098409086</v>
      </c>
      <c r="J569" s="2">
        <v>925.28756357651196</v>
      </c>
      <c r="K569" s="2">
        <v>3782.5645138723899</v>
      </c>
      <c r="L569" s="2">
        <v>2582.0270914807202</v>
      </c>
      <c r="M569" s="2">
        <v>2875.9126589917601</v>
      </c>
      <c r="N569" s="3">
        <f t="shared" si="24"/>
        <v>43243.661921507359</v>
      </c>
      <c r="O569" s="2">
        <v>0</v>
      </c>
      <c r="P569" s="2">
        <v>4.2086966259623004</v>
      </c>
      <c r="Q569" s="2">
        <v>2.8886199726018602</v>
      </c>
      <c r="R569" s="2">
        <v>1.9624172453923501</v>
      </c>
      <c r="S569" s="2">
        <v>0</v>
      </c>
      <c r="T569" s="2">
        <v>2.9106206741518599</v>
      </c>
      <c r="U569" s="2">
        <v>6.9623252766861903</v>
      </c>
      <c r="V569" s="2">
        <v>2.5464993353139</v>
      </c>
      <c r="W569" s="2">
        <v>0</v>
      </c>
      <c r="X569" s="2">
        <v>4.0270102545110102</v>
      </c>
      <c r="Y569" s="2">
        <v>0.84906037311933202</v>
      </c>
      <c r="Z569" s="2">
        <v>1.51359182641515</v>
      </c>
      <c r="AA569" s="3">
        <f t="shared" si="25"/>
        <v>27.868841584153952</v>
      </c>
      <c r="AB569" t="s">
        <v>45</v>
      </c>
      <c r="AC569">
        <v>28.87</v>
      </c>
      <c r="AD569">
        <v>21.39</v>
      </c>
      <c r="AE569">
        <v>24</v>
      </c>
      <c r="AF569">
        <v>113.87</v>
      </c>
      <c r="AG569">
        <v>39.049999999999997</v>
      </c>
      <c r="AH569">
        <v>38.82</v>
      </c>
      <c r="AI569">
        <v>117.14</v>
      </c>
      <c r="AJ569">
        <v>28.75</v>
      </c>
      <c r="AK569">
        <v>19.25</v>
      </c>
      <c r="AL569">
        <v>48.07</v>
      </c>
      <c r="AM569">
        <v>35.869999999999997</v>
      </c>
      <c r="AN569">
        <v>38.85</v>
      </c>
      <c r="AO569" s="1">
        <f t="shared" si="26"/>
        <v>553.92999999999995</v>
      </c>
    </row>
    <row r="570" spans="1:41" x14ac:dyDescent="0.25">
      <c r="A570" t="s">
        <v>613</v>
      </c>
      <c r="B570" s="2">
        <v>1872.5999760759801</v>
      </c>
      <c r="C570" s="2">
        <v>2359.8437471027401</v>
      </c>
      <c r="D570" s="2">
        <v>2209.9610786129401</v>
      </c>
      <c r="E570" s="2">
        <v>1282.6920323839699</v>
      </c>
      <c r="F570" s="2">
        <v>1569.56934091017</v>
      </c>
      <c r="G570" s="2">
        <v>1277.01627048245</v>
      </c>
      <c r="H570" s="2">
        <v>6535.0469414937597</v>
      </c>
      <c r="I570" s="2">
        <v>5745.6829160643601</v>
      </c>
      <c r="J570" s="2">
        <v>4914.2929360924099</v>
      </c>
      <c r="K570" s="2">
        <v>1879.3761662577599</v>
      </c>
      <c r="L570" s="2">
        <v>3092.9572897481298</v>
      </c>
      <c r="M570" s="2">
        <v>671.95582745091497</v>
      </c>
      <c r="N570" s="3">
        <f t="shared" si="24"/>
        <v>33410.994522675588</v>
      </c>
      <c r="O570" s="2">
        <v>5.1390242118526599</v>
      </c>
      <c r="P570" s="2">
        <v>2.16848629794791</v>
      </c>
      <c r="Q570" s="2">
        <v>6.1283616122895097</v>
      </c>
      <c r="R570" s="2">
        <v>2.73246423182932</v>
      </c>
      <c r="S570" s="2">
        <v>7.2193486404517797</v>
      </c>
      <c r="T570" s="2">
        <v>1.8811125121582399</v>
      </c>
      <c r="U570" s="2">
        <v>4.6691241046934104</v>
      </c>
      <c r="V570" s="2">
        <v>4.6948181555336399</v>
      </c>
      <c r="W570" s="2">
        <v>3.3635502546642</v>
      </c>
      <c r="X570" s="2">
        <v>0</v>
      </c>
      <c r="Y570" s="2">
        <v>1.9476501972603</v>
      </c>
      <c r="Z570" s="2">
        <v>0</v>
      </c>
      <c r="AA570" s="3">
        <f t="shared" si="25"/>
        <v>39.943940218680972</v>
      </c>
      <c r="AB570" t="s">
        <v>63</v>
      </c>
      <c r="AC570">
        <v>38</v>
      </c>
      <c r="AD570">
        <v>47.47</v>
      </c>
      <c r="AE570">
        <v>44.83</v>
      </c>
      <c r="AF570">
        <v>25.93</v>
      </c>
      <c r="AG570">
        <v>32.119999999999997</v>
      </c>
      <c r="AH570">
        <v>25.74</v>
      </c>
      <c r="AI570">
        <v>131.16999999999999</v>
      </c>
      <c r="AJ570">
        <v>115.37</v>
      </c>
      <c r="AK570">
        <v>98.66</v>
      </c>
      <c r="AL570">
        <v>37.6</v>
      </c>
      <c r="AM570">
        <v>62.04</v>
      </c>
      <c r="AN570">
        <v>13.44</v>
      </c>
      <c r="AO570" s="1">
        <f t="shared" si="26"/>
        <v>672.37</v>
      </c>
    </row>
    <row r="571" spans="1:41" x14ac:dyDescent="0.25">
      <c r="A571" t="s">
        <v>614</v>
      </c>
      <c r="B571" s="2">
        <v>1871.07224295641</v>
      </c>
      <c r="C571" s="2">
        <v>7484.3021466280898</v>
      </c>
      <c r="D571" s="2">
        <v>13504.4814731898</v>
      </c>
      <c r="E571" s="2">
        <v>84.621292752716997</v>
      </c>
      <c r="F571" s="2">
        <v>926.50243735763604</v>
      </c>
      <c r="G571" s="2">
        <v>3912.5591810624001</v>
      </c>
      <c r="H571" s="2">
        <v>2237.2655978416501</v>
      </c>
      <c r="I571" s="2">
        <v>262.13003343125598</v>
      </c>
      <c r="J571" s="2">
        <v>5183.5513383331599</v>
      </c>
      <c r="K571" s="2">
        <v>14274.936569887201</v>
      </c>
      <c r="L571" s="2">
        <v>4838.9309873086604</v>
      </c>
      <c r="M571" s="2">
        <v>2482.7736951379002</v>
      </c>
      <c r="N571" s="3">
        <f t="shared" si="24"/>
        <v>57063.126995886872</v>
      </c>
      <c r="O571" s="2">
        <v>10.171291953443401</v>
      </c>
      <c r="P571" s="2">
        <v>0.59949587653677605</v>
      </c>
      <c r="Q571" s="2">
        <v>6.1579419358219303</v>
      </c>
      <c r="R571" s="2">
        <v>0.82826652769003295</v>
      </c>
      <c r="S571" s="2">
        <v>2.1524308386144599</v>
      </c>
      <c r="T571" s="2">
        <v>0.18592829711309999</v>
      </c>
      <c r="U571" s="2">
        <v>1.2639014063623899</v>
      </c>
      <c r="V571" s="2">
        <v>2.7710126451636099</v>
      </c>
      <c r="W571" s="2">
        <v>0</v>
      </c>
      <c r="X571" s="2">
        <v>1.5651983943313299</v>
      </c>
      <c r="Y571" s="2">
        <v>8.9664163955877694</v>
      </c>
      <c r="Z571" s="2">
        <v>0</v>
      </c>
      <c r="AA571" s="3">
        <f t="shared" si="25"/>
        <v>34.6618842706648</v>
      </c>
      <c r="AB571" t="s">
        <v>45</v>
      </c>
      <c r="AC571">
        <v>29.26</v>
      </c>
      <c r="AD571">
        <v>84.89</v>
      </c>
      <c r="AE571">
        <v>145.38999999999999</v>
      </c>
      <c r="AF571">
        <v>10.89</v>
      </c>
      <c r="AG571">
        <v>19.41</v>
      </c>
      <c r="AH571">
        <v>49.17</v>
      </c>
      <c r="AI571">
        <v>32.47</v>
      </c>
      <c r="AJ571">
        <v>12.77</v>
      </c>
      <c r="AK571">
        <v>61.83</v>
      </c>
      <c r="AL571">
        <v>152.84</v>
      </c>
      <c r="AM571">
        <v>58.83</v>
      </c>
      <c r="AN571">
        <v>34.82</v>
      </c>
      <c r="AO571" s="1">
        <f t="shared" si="26"/>
        <v>692.57</v>
      </c>
    </row>
    <row r="572" spans="1:41" x14ac:dyDescent="0.25">
      <c r="A572" t="s">
        <v>615</v>
      </c>
      <c r="B572" s="2">
        <v>1870.5347358562699</v>
      </c>
      <c r="C572" s="2">
        <v>2123.5685347379499</v>
      </c>
      <c r="D572" s="2">
        <v>8735.0470283308605</v>
      </c>
      <c r="E572" s="2">
        <v>8681.6747264471196</v>
      </c>
      <c r="F572" s="2">
        <v>16863.238342190201</v>
      </c>
      <c r="G572" s="2">
        <v>2444.3396364526602</v>
      </c>
      <c r="H572" s="2">
        <v>1016.55604234726</v>
      </c>
      <c r="I572" s="2">
        <v>1134.1723857908701</v>
      </c>
      <c r="J572" s="2">
        <v>0</v>
      </c>
      <c r="K572" s="2">
        <v>4685.1442273004004</v>
      </c>
      <c r="L572" s="2">
        <v>147.21954908049401</v>
      </c>
      <c r="M572" s="2">
        <v>3025.7377661249002</v>
      </c>
      <c r="N572" s="3">
        <f t="shared" si="24"/>
        <v>50727.232974658989</v>
      </c>
      <c r="O572" s="2">
        <v>5.4435677328846896</v>
      </c>
      <c r="P572" s="2">
        <v>11.0976379873777</v>
      </c>
      <c r="Q572" s="2">
        <v>0</v>
      </c>
      <c r="R572" s="2">
        <v>0.37322708773715702</v>
      </c>
      <c r="S572" s="2">
        <v>11.861777859032999</v>
      </c>
      <c r="T572" s="2">
        <v>1.69596483186336</v>
      </c>
      <c r="U572" s="2">
        <v>14.048895208102801</v>
      </c>
      <c r="V572" s="2">
        <v>1.3963035920320901</v>
      </c>
      <c r="W572" s="2">
        <v>8.0369654203900502</v>
      </c>
      <c r="X572" s="2">
        <v>1.06166514475009</v>
      </c>
      <c r="Y572" s="2">
        <v>10.2650553258733</v>
      </c>
      <c r="Z572" s="2">
        <v>1.97724238708976</v>
      </c>
      <c r="AA572" s="3">
        <f t="shared" si="25"/>
        <v>67.258302577133989</v>
      </c>
      <c r="AB572" t="s">
        <v>45</v>
      </c>
      <c r="AC572">
        <v>29</v>
      </c>
      <c r="AD572">
        <v>31.83</v>
      </c>
      <c r="AE572">
        <v>97.35</v>
      </c>
      <c r="AF572">
        <v>96.86</v>
      </c>
      <c r="AG572">
        <v>179.23</v>
      </c>
      <c r="AH572">
        <v>34.54</v>
      </c>
      <c r="AI572">
        <v>20.91</v>
      </c>
      <c r="AJ572">
        <v>21.44</v>
      </c>
      <c r="AK572">
        <v>10.44</v>
      </c>
      <c r="AL572">
        <v>56.95</v>
      </c>
      <c r="AM572">
        <v>12.02</v>
      </c>
      <c r="AN572">
        <v>40.35</v>
      </c>
      <c r="AO572" s="1">
        <f t="shared" si="26"/>
        <v>630.92000000000007</v>
      </c>
    </row>
    <row r="573" spans="1:41" x14ac:dyDescent="0.25">
      <c r="A573" t="s">
        <v>616</v>
      </c>
      <c r="B573" s="2">
        <v>1869.02790445594</v>
      </c>
      <c r="C573" s="2">
        <v>1986.0883538461701</v>
      </c>
      <c r="D573" s="2">
        <v>581.44067425753599</v>
      </c>
      <c r="E573" s="2">
        <v>11219.732943164199</v>
      </c>
      <c r="F573" s="2">
        <v>10714.0295031309</v>
      </c>
      <c r="G573" s="2">
        <v>5755.7340580986402</v>
      </c>
      <c r="H573" s="2">
        <v>330.942399923614</v>
      </c>
      <c r="I573" s="2">
        <v>0</v>
      </c>
      <c r="J573" s="2">
        <v>15931.719747525</v>
      </c>
      <c r="K573" s="2">
        <v>0</v>
      </c>
      <c r="L573" s="2">
        <v>6464.8259678717004</v>
      </c>
      <c r="M573" s="2">
        <v>826.974526136181</v>
      </c>
      <c r="N573" s="3">
        <f t="shared" si="24"/>
        <v>55680.516078409884</v>
      </c>
      <c r="O573" s="2">
        <v>0</v>
      </c>
      <c r="P573" s="2">
        <v>7.63336738746007</v>
      </c>
      <c r="Q573" s="2">
        <v>1.64635742642252</v>
      </c>
      <c r="R573" s="2">
        <v>1.9209353531736799</v>
      </c>
      <c r="S573" s="2">
        <v>2.1062021335878902</v>
      </c>
      <c r="T573" s="2">
        <v>0</v>
      </c>
      <c r="U573" s="2">
        <v>3.57220587295373</v>
      </c>
      <c r="V573" s="2">
        <v>0</v>
      </c>
      <c r="W573" s="2">
        <v>1.02784061857056</v>
      </c>
      <c r="X573" s="2">
        <v>3.9060829443796599</v>
      </c>
      <c r="Y573" s="2">
        <v>4.3930430963220397</v>
      </c>
      <c r="Z573" s="2">
        <v>1.0030826236261801</v>
      </c>
      <c r="AA573" s="3">
        <f t="shared" si="25"/>
        <v>27.20911745649633</v>
      </c>
      <c r="AB573" t="s">
        <v>45</v>
      </c>
      <c r="AC573">
        <v>28.69</v>
      </c>
      <c r="AD573">
        <v>30.26</v>
      </c>
      <c r="AE573">
        <v>15.91</v>
      </c>
      <c r="AF573">
        <v>122.29</v>
      </c>
      <c r="AG573">
        <v>117.29</v>
      </c>
      <c r="AH573">
        <v>67.55</v>
      </c>
      <c r="AI573">
        <v>13.5</v>
      </c>
      <c r="AJ573">
        <v>9.99</v>
      </c>
      <c r="AK573">
        <v>169.41</v>
      </c>
      <c r="AL573">
        <v>10.19</v>
      </c>
      <c r="AM573">
        <v>74.89</v>
      </c>
      <c r="AN573">
        <v>18.36</v>
      </c>
      <c r="AO573" s="1">
        <f t="shared" si="26"/>
        <v>678.33</v>
      </c>
    </row>
    <row r="574" spans="1:41" x14ac:dyDescent="0.25">
      <c r="A574" t="s">
        <v>617</v>
      </c>
      <c r="B574" s="2">
        <v>1858.46064583471</v>
      </c>
      <c r="C574" s="2">
        <v>900.57281901810904</v>
      </c>
      <c r="D574" s="2">
        <v>2110.3103331708799</v>
      </c>
      <c r="E574" s="2">
        <v>1595.2637192729201</v>
      </c>
      <c r="F574" s="2">
        <v>323.15015939684298</v>
      </c>
      <c r="G574" s="2">
        <v>2569.1122637292501</v>
      </c>
      <c r="H574" s="2">
        <v>1748.1369683612199</v>
      </c>
      <c r="I574" s="2">
        <v>0</v>
      </c>
      <c r="J574" s="2">
        <v>4697.7168334777198</v>
      </c>
      <c r="K574" s="2">
        <v>3755.2376630191502</v>
      </c>
      <c r="L574" s="2">
        <v>5929.8717531701304</v>
      </c>
      <c r="M574" s="2">
        <v>1811.8924145798801</v>
      </c>
      <c r="N574" s="3">
        <f t="shared" si="24"/>
        <v>27299.725573030813</v>
      </c>
      <c r="O574" s="2">
        <v>9.0137140592473397</v>
      </c>
      <c r="P574" s="2">
        <v>10.638566293955201</v>
      </c>
      <c r="Q574" s="2">
        <v>5.7816614198626501</v>
      </c>
      <c r="R574" s="2">
        <v>2.3993484016318498</v>
      </c>
      <c r="S574" s="2">
        <v>9.0366595105321394</v>
      </c>
      <c r="T574" s="2">
        <v>0.25026285998965497</v>
      </c>
      <c r="U574" s="2">
        <v>2.9225707217252799</v>
      </c>
      <c r="V574" s="2">
        <v>0.70398764635378996</v>
      </c>
      <c r="W574" s="2">
        <v>10.9525790669377</v>
      </c>
      <c r="X574" s="2">
        <v>1.0582085478846599</v>
      </c>
      <c r="Y574" s="2">
        <v>1.7327790911460701</v>
      </c>
      <c r="Z574" s="2">
        <v>3.0308375544575998</v>
      </c>
      <c r="AA574" s="3">
        <f t="shared" si="25"/>
        <v>57.52117517372394</v>
      </c>
      <c r="AB574" t="s">
        <v>63</v>
      </c>
      <c r="AC574">
        <v>38.08</v>
      </c>
      <c r="AD574">
        <v>19.010000000000002</v>
      </c>
      <c r="AE574">
        <v>42.76</v>
      </c>
      <c r="AF574">
        <v>32.19</v>
      </c>
      <c r="AG574">
        <v>7.38</v>
      </c>
      <c r="AH574">
        <v>51.49</v>
      </c>
      <c r="AI574">
        <v>35.25</v>
      </c>
      <c r="AJ574">
        <v>0.09</v>
      </c>
      <c r="AK574">
        <v>94.95</v>
      </c>
      <c r="AL574">
        <v>75.3</v>
      </c>
      <c r="AM574">
        <v>118.78</v>
      </c>
      <c r="AN574">
        <v>36.6</v>
      </c>
      <c r="AO574" s="1">
        <f t="shared" si="26"/>
        <v>551.88</v>
      </c>
    </row>
    <row r="575" spans="1:41" x14ac:dyDescent="0.25">
      <c r="A575" t="s">
        <v>618</v>
      </c>
      <c r="B575" s="2">
        <v>1856.41241548468</v>
      </c>
      <c r="C575" s="2">
        <v>2955.0188456625601</v>
      </c>
      <c r="D575" s="2">
        <v>8574.60519291747</v>
      </c>
      <c r="E575" s="2">
        <v>1631.60576703024</v>
      </c>
      <c r="F575" s="2">
        <v>4570.0758529060804</v>
      </c>
      <c r="G575" s="2">
        <v>12468.2839958605</v>
      </c>
      <c r="H575" s="2">
        <v>1059.4318036298801</v>
      </c>
      <c r="I575" s="2">
        <v>7552.2653501970899</v>
      </c>
      <c r="J575" s="2">
        <v>1581.66585555905</v>
      </c>
      <c r="K575" s="2">
        <v>5483.3278376989902</v>
      </c>
      <c r="L575" s="2">
        <v>2118.3514021832402</v>
      </c>
      <c r="M575" s="2">
        <v>2300.9513620655998</v>
      </c>
      <c r="N575" s="3">
        <f t="shared" si="24"/>
        <v>52151.995681195382</v>
      </c>
      <c r="O575" s="2">
        <v>3.0802162335131902</v>
      </c>
      <c r="P575" s="2">
        <v>1.63653589802137</v>
      </c>
      <c r="Q575" s="2">
        <v>5.1084490362267498</v>
      </c>
      <c r="R575" s="2">
        <v>2.7886707613608102</v>
      </c>
      <c r="S575" s="2">
        <v>5.31591894084732</v>
      </c>
      <c r="T575" s="2">
        <v>2.76255854329712</v>
      </c>
      <c r="U575" s="2">
        <v>0</v>
      </c>
      <c r="V575" s="2">
        <v>6.7534516107563602</v>
      </c>
      <c r="W575" s="2">
        <v>0.587417502684487</v>
      </c>
      <c r="X575" s="2">
        <v>3.3748133064909398</v>
      </c>
      <c r="Y575" s="2">
        <v>3.2387849251569998</v>
      </c>
      <c r="Z575" s="2">
        <v>2.5270630777129099</v>
      </c>
      <c r="AA575" s="3">
        <f t="shared" si="25"/>
        <v>37.173879836068259</v>
      </c>
      <c r="AB575" t="s">
        <v>45</v>
      </c>
      <c r="AC575">
        <v>28.76</v>
      </c>
      <c r="AD575">
        <v>39.65</v>
      </c>
      <c r="AE575">
        <v>96.04</v>
      </c>
      <c r="AF575">
        <v>26.46</v>
      </c>
      <c r="AG575">
        <v>56</v>
      </c>
      <c r="AH575">
        <v>134.83000000000001</v>
      </c>
      <c r="AI575">
        <v>20.59</v>
      </c>
      <c r="AJ575">
        <v>85.87</v>
      </c>
      <c r="AK575">
        <v>25.86</v>
      </c>
      <c r="AL575">
        <v>65.03</v>
      </c>
      <c r="AM575">
        <v>31.38</v>
      </c>
      <c r="AN575">
        <v>33.15</v>
      </c>
      <c r="AO575" s="1">
        <f t="shared" si="26"/>
        <v>643.61999999999989</v>
      </c>
    </row>
    <row r="576" spans="1:41" x14ac:dyDescent="0.25">
      <c r="A576" t="s">
        <v>619</v>
      </c>
      <c r="B576" s="2">
        <v>1849.6623047421299</v>
      </c>
      <c r="C576" s="2">
        <v>4714.7808692341996</v>
      </c>
      <c r="D576" s="2">
        <v>8227.1266053600702</v>
      </c>
      <c r="E576" s="2">
        <v>2836.53792876431</v>
      </c>
      <c r="F576" s="2">
        <v>4775.0956265533796</v>
      </c>
      <c r="G576" s="2">
        <v>5304.6300754884496</v>
      </c>
      <c r="H576" s="2">
        <v>2011.10700543545</v>
      </c>
      <c r="I576" s="2">
        <v>3081.27442868666</v>
      </c>
      <c r="J576" s="2">
        <v>6214.6873331576999</v>
      </c>
      <c r="K576" s="2">
        <v>1785.6512101952401</v>
      </c>
      <c r="L576" s="2">
        <v>7528.4305298706404</v>
      </c>
      <c r="M576" s="2">
        <v>2970.0426886728501</v>
      </c>
      <c r="N576" s="3">
        <f t="shared" si="24"/>
        <v>51299.026606161082</v>
      </c>
      <c r="O576" s="2">
        <v>1.3093361333636699</v>
      </c>
      <c r="P576" s="2">
        <v>5.0663631546276804</v>
      </c>
      <c r="Q576" s="2">
        <v>0.33363811613066702</v>
      </c>
      <c r="R576" s="2">
        <v>0</v>
      </c>
      <c r="S576" s="2">
        <v>5.95423436744887</v>
      </c>
      <c r="T576" s="2">
        <v>3.13527593101918</v>
      </c>
      <c r="U576" s="2">
        <v>4.1665568945381599</v>
      </c>
      <c r="V576" s="2">
        <v>1.8164627846274599</v>
      </c>
      <c r="W576" s="2">
        <v>1.12601577769766</v>
      </c>
      <c r="X576" s="2">
        <v>3.0686018226030098</v>
      </c>
      <c r="Y576" s="2">
        <v>17.035583124037501</v>
      </c>
      <c r="Z576" s="2">
        <v>2.63173987449247</v>
      </c>
      <c r="AA576" s="3">
        <f t="shared" si="25"/>
        <v>45.643807980586331</v>
      </c>
      <c r="AB576" t="s">
        <v>45</v>
      </c>
      <c r="AC576">
        <v>28.59</v>
      </c>
      <c r="AD576">
        <v>57.44</v>
      </c>
      <c r="AE576">
        <v>92.32</v>
      </c>
      <c r="AF576">
        <v>38.36</v>
      </c>
      <c r="AG576">
        <v>58.05</v>
      </c>
      <c r="AH576">
        <v>63.24</v>
      </c>
      <c r="AI576">
        <v>30.36</v>
      </c>
      <c r="AJ576">
        <v>40.909999999999997</v>
      </c>
      <c r="AK576">
        <v>72.239999999999995</v>
      </c>
      <c r="AL576">
        <v>28.05</v>
      </c>
      <c r="AM576">
        <v>86.18</v>
      </c>
      <c r="AN576">
        <v>39.85</v>
      </c>
      <c r="AO576" s="1">
        <f t="shared" si="26"/>
        <v>635.59</v>
      </c>
    </row>
    <row r="577" spans="1:41" x14ac:dyDescent="0.25">
      <c r="A577" t="s">
        <v>620</v>
      </c>
      <c r="B577" s="2">
        <v>1832.2053897748399</v>
      </c>
      <c r="C577" s="2">
        <v>4852.2682305324297</v>
      </c>
      <c r="D577" s="2">
        <v>0</v>
      </c>
      <c r="E577" s="2">
        <v>1282.7705430783101</v>
      </c>
      <c r="F577" s="2">
        <v>2180.8470292702</v>
      </c>
      <c r="G577" s="2">
        <v>7202.5871901000301</v>
      </c>
      <c r="H577" s="2">
        <v>2865.2778824352699</v>
      </c>
      <c r="I577" s="2">
        <v>12554.133268335299</v>
      </c>
      <c r="J577" s="2">
        <v>0</v>
      </c>
      <c r="K577" s="2">
        <v>1520.0206254668001</v>
      </c>
      <c r="L577" s="2">
        <v>2915.0274599631498</v>
      </c>
      <c r="M577" s="2">
        <v>3741.9761771399199</v>
      </c>
      <c r="N577" s="3">
        <f t="shared" si="24"/>
        <v>40947.113796096251</v>
      </c>
      <c r="O577" s="2">
        <v>0.60219498777238301</v>
      </c>
      <c r="P577" s="2">
        <v>6.7115399734711296</v>
      </c>
      <c r="Q577" s="2">
        <v>3.8301091784594599</v>
      </c>
      <c r="R577" s="2">
        <v>3.8849945155055301</v>
      </c>
      <c r="S577" s="2">
        <v>3.5978774236947699</v>
      </c>
      <c r="T577" s="2">
        <v>9.4262405759558501</v>
      </c>
      <c r="U577" s="2">
        <v>0</v>
      </c>
      <c r="V577" s="2">
        <v>1.8545364117051999</v>
      </c>
      <c r="W577" s="2">
        <v>2.3746998240981299</v>
      </c>
      <c r="X577" s="2">
        <v>6.7811938546766104</v>
      </c>
      <c r="Y577" s="2">
        <v>20.188209079257401</v>
      </c>
      <c r="Z577" s="2">
        <v>0.74397035535494205</v>
      </c>
      <c r="AA577" s="3">
        <f t="shared" si="25"/>
        <v>59.995566179951403</v>
      </c>
      <c r="AB577" t="s">
        <v>45</v>
      </c>
      <c r="AC577">
        <v>28.37</v>
      </c>
      <c r="AD577">
        <v>58.87</v>
      </c>
      <c r="AE577">
        <v>10.19</v>
      </c>
      <c r="AF577">
        <v>23.02</v>
      </c>
      <c r="AG577">
        <v>32</v>
      </c>
      <c r="AH577">
        <v>82.52</v>
      </c>
      <c r="AI577">
        <v>38.65</v>
      </c>
      <c r="AJ577">
        <v>135.63999999999999</v>
      </c>
      <c r="AK577">
        <v>10.14</v>
      </c>
      <c r="AL577">
        <v>25.55</v>
      </c>
      <c r="AM577">
        <v>40.200000000000003</v>
      </c>
      <c r="AN577">
        <v>47.46</v>
      </c>
      <c r="AO577" s="1">
        <f t="shared" si="26"/>
        <v>532.6099999999999</v>
      </c>
    </row>
    <row r="578" spans="1:41" x14ac:dyDescent="0.25">
      <c r="A578" t="s">
        <v>621</v>
      </c>
      <c r="B578" s="2">
        <v>1829.3810238119399</v>
      </c>
      <c r="C578" s="2">
        <v>1449.9738641865499</v>
      </c>
      <c r="D578" s="2">
        <v>9912.8484866829695</v>
      </c>
      <c r="E578" s="2">
        <v>1059.7468266487799</v>
      </c>
      <c r="F578" s="2">
        <v>4606.3291320252101</v>
      </c>
      <c r="G578" s="2">
        <v>881.17594864741102</v>
      </c>
      <c r="H578" s="2">
        <v>6906.5444701886299</v>
      </c>
      <c r="I578" s="2">
        <v>3473.1701280728898</v>
      </c>
      <c r="J578" s="2">
        <v>0</v>
      </c>
      <c r="K578" s="2">
        <v>9596.7608500178903</v>
      </c>
      <c r="L578" s="2">
        <v>541.68531828690902</v>
      </c>
      <c r="M578" s="2">
        <v>2859.7941516941401</v>
      </c>
      <c r="N578" s="3">
        <f t="shared" si="24"/>
        <v>43117.410200263323</v>
      </c>
      <c r="O578" s="2">
        <v>7.1046397885896297</v>
      </c>
      <c r="P578" s="2">
        <v>3.15700477435756</v>
      </c>
      <c r="Q578" s="2">
        <v>1.1440950727311801</v>
      </c>
      <c r="R578" s="2">
        <v>7.8182738698020797</v>
      </c>
      <c r="S578" s="2">
        <v>3.8545941127908501</v>
      </c>
      <c r="T578" s="2">
        <v>1.97072330771932</v>
      </c>
      <c r="U578" s="2">
        <v>9.1243704106029799</v>
      </c>
      <c r="V578" s="2">
        <v>8.3977722875367604</v>
      </c>
      <c r="W578" s="2">
        <v>2.6331933599830002</v>
      </c>
      <c r="X578" s="2">
        <v>1.1218484672793101</v>
      </c>
      <c r="Y578" s="2">
        <v>2.6167752299357301</v>
      </c>
      <c r="Z578" s="2">
        <v>7.8114000543493196</v>
      </c>
      <c r="AA578" s="3">
        <f t="shared" si="25"/>
        <v>56.75469073567772</v>
      </c>
      <c r="AB578" t="s">
        <v>45</v>
      </c>
      <c r="AC578">
        <v>28.69</v>
      </c>
      <c r="AD578">
        <v>24.69</v>
      </c>
      <c r="AE578">
        <v>109.22</v>
      </c>
      <c r="AF578">
        <v>20.99</v>
      </c>
      <c r="AG578">
        <v>56.26</v>
      </c>
      <c r="AH578">
        <v>18.91</v>
      </c>
      <c r="AI578">
        <v>79.56</v>
      </c>
      <c r="AJ578">
        <v>45.18</v>
      </c>
      <c r="AK578">
        <v>10.14</v>
      </c>
      <c r="AL578">
        <v>106.06</v>
      </c>
      <c r="AM578">
        <v>15.56</v>
      </c>
      <c r="AN578">
        <v>38.99</v>
      </c>
      <c r="AO578" s="1">
        <f t="shared" si="26"/>
        <v>554.25</v>
      </c>
    </row>
    <row r="579" spans="1:41" x14ac:dyDescent="0.25">
      <c r="A579" t="s">
        <v>622</v>
      </c>
      <c r="B579" s="2">
        <v>1825.8365337741</v>
      </c>
      <c r="C579" s="2">
        <v>2909.9702505128498</v>
      </c>
      <c r="D579" s="2">
        <v>9930.0034296142803</v>
      </c>
      <c r="E579" s="2">
        <v>5615.80587827617</v>
      </c>
      <c r="F579" s="2">
        <v>7184.4391982567304</v>
      </c>
      <c r="G579" s="2">
        <v>490.85867419848501</v>
      </c>
      <c r="H579" s="2">
        <v>4898.5656622836304</v>
      </c>
      <c r="I579" s="2">
        <v>1176.66766516288</v>
      </c>
      <c r="J579" s="2">
        <v>0</v>
      </c>
      <c r="K579" s="2">
        <v>0</v>
      </c>
      <c r="L579" s="2">
        <v>4129.7320319908504</v>
      </c>
      <c r="M579" s="2">
        <v>719.15785983840999</v>
      </c>
      <c r="N579" s="3">
        <f t="shared" ref="N579:N642" si="27">SUM(B579:M579)</f>
        <v>38881.037183908382</v>
      </c>
      <c r="O579" s="2">
        <v>9.3220456644367997E-2</v>
      </c>
      <c r="P579" s="2">
        <v>2.18694214561752</v>
      </c>
      <c r="Q579" s="2">
        <v>0.40624324631590902</v>
      </c>
      <c r="R579" s="2">
        <v>2.4260419528645598</v>
      </c>
      <c r="S579" s="2">
        <v>2.3131867380364</v>
      </c>
      <c r="T579" s="2">
        <v>0.78705189560064304</v>
      </c>
      <c r="U579" s="2">
        <v>1.07504504455692</v>
      </c>
      <c r="V579" s="2">
        <v>0</v>
      </c>
      <c r="W579" s="2">
        <v>7.47530131173884</v>
      </c>
      <c r="X579" s="2">
        <v>12.9713878823502</v>
      </c>
      <c r="Y579" s="2">
        <v>0</v>
      </c>
      <c r="Z579" s="2">
        <v>12.104931456801401</v>
      </c>
      <c r="AA579" s="3">
        <f t="shared" si="25"/>
        <v>41.839352130526763</v>
      </c>
      <c r="AB579" t="s">
        <v>45</v>
      </c>
      <c r="AC579">
        <v>28.3</v>
      </c>
      <c r="AD579">
        <v>39.24</v>
      </c>
      <c r="AE579">
        <v>109.35</v>
      </c>
      <c r="AF579">
        <v>66.3</v>
      </c>
      <c r="AG579">
        <v>81.99</v>
      </c>
      <c r="AH579">
        <v>14.95</v>
      </c>
      <c r="AI579">
        <v>59.08</v>
      </c>
      <c r="AJ579">
        <v>21.76</v>
      </c>
      <c r="AK579">
        <v>10.39</v>
      </c>
      <c r="AL579">
        <v>10.64</v>
      </c>
      <c r="AM579">
        <v>51.29</v>
      </c>
      <c r="AN579">
        <v>17.84</v>
      </c>
      <c r="AO579" s="1">
        <f t="shared" si="26"/>
        <v>511.12999999999994</v>
      </c>
    </row>
    <row r="580" spans="1:41" x14ac:dyDescent="0.25">
      <c r="A580" t="s">
        <v>623</v>
      </c>
      <c r="B580" s="2">
        <v>1819.38873191367</v>
      </c>
      <c r="C580" s="2">
        <v>418.876022882136</v>
      </c>
      <c r="D580" s="2">
        <v>8774.3570568633895</v>
      </c>
      <c r="E580" s="2">
        <v>4244.3330152098197</v>
      </c>
      <c r="F580" s="2">
        <v>3195.8216927020699</v>
      </c>
      <c r="G580" s="2">
        <v>12322.273268836499</v>
      </c>
      <c r="H580" s="2">
        <v>2720.6834152039601</v>
      </c>
      <c r="I580" s="2">
        <v>1098.11320557676</v>
      </c>
      <c r="J580" s="2">
        <v>0</v>
      </c>
      <c r="K580" s="2">
        <v>3635.7465320710699</v>
      </c>
      <c r="L580" s="2">
        <v>7471.9216751783597</v>
      </c>
      <c r="M580" s="2">
        <v>6903.2671877755702</v>
      </c>
      <c r="N580" s="3">
        <f t="shared" si="27"/>
        <v>52604.781804213308</v>
      </c>
      <c r="O580" s="2">
        <v>0</v>
      </c>
      <c r="P580" s="2">
        <v>2.4841225079835301</v>
      </c>
      <c r="Q580" s="2">
        <v>5.1823674173475904</v>
      </c>
      <c r="R580" s="2">
        <v>0</v>
      </c>
      <c r="S580" s="2">
        <v>4.1810997914520804</v>
      </c>
      <c r="T580" s="2">
        <v>0.61719592648843702</v>
      </c>
      <c r="U580" s="2">
        <v>1.9852820122092201</v>
      </c>
      <c r="V580" s="2">
        <v>1.94619420149859</v>
      </c>
      <c r="W580" s="2">
        <v>12.5949747668373</v>
      </c>
      <c r="X580" s="2">
        <v>11.459243787222301</v>
      </c>
      <c r="Y580" s="2">
        <v>0.42762044366687102</v>
      </c>
      <c r="Z580" s="2">
        <v>2.5550650990132602</v>
      </c>
      <c r="AA580" s="3">
        <f t="shared" ref="AA580:AA643" si="28">SUM(O580:Z580)</f>
        <v>43.433165953719175</v>
      </c>
      <c r="AB580" t="s">
        <v>45</v>
      </c>
      <c r="AC580">
        <v>28.19</v>
      </c>
      <c r="AD580">
        <v>14.33</v>
      </c>
      <c r="AE580">
        <v>98.04</v>
      </c>
      <c r="AF580">
        <v>52.44</v>
      </c>
      <c r="AG580">
        <v>42.2</v>
      </c>
      <c r="AH580">
        <v>133.27000000000001</v>
      </c>
      <c r="AI580">
        <v>37.299999999999997</v>
      </c>
      <c r="AJ580">
        <v>21.08</v>
      </c>
      <c r="AK580">
        <v>10.64</v>
      </c>
      <c r="AL580">
        <v>46.95</v>
      </c>
      <c r="AM580">
        <v>84.76</v>
      </c>
      <c r="AN580">
        <v>79.180000000000007</v>
      </c>
      <c r="AO580" s="1">
        <f t="shared" si="26"/>
        <v>648.38000000000011</v>
      </c>
    </row>
    <row r="581" spans="1:41" x14ac:dyDescent="0.25">
      <c r="A581" t="s">
        <v>624</v>
      </c>
      <c r="B581" s="2">
        <v>1802.8350466035499</v>
      </c>
      <c r="C581" s="2">
        <v>8434.81525014627</v>
      </c>
      <c r="D581" s="2">
        <v>1479.4718344337</v>
      </c>
      <c r="E581" s="2">
        <v>1054.9179189338499</v>
      </c>
      <c r="F581" s="2">
        <v>3527.0248814679499</v>
      </c>
      <c r="G581" s="2">
        <v>1590.91089443385</v>
      </c>
      <c r="H581" s="2">
        <v>1169.50329754469</v>
      </c>
      <c r="I581" s="2">
        <v>4479.5863360498597</v>
      </c>
      <c r="J581" s="2">
        <v>1456.6846295305299</v>
      </c>
      <c r="K581" s="2">
        <v>2752.6219555482699</v>
      </c>
      <c r="L581" s="2">
        <v>1678.56110456903</v>
      </c>
      <c r="M581" s="2">
        <v>5436.7726695587198</v>
      </c>
      <c r="N581" s="3">
        <f t="shared" si="27"/>
        <v>34863.705818820272</v>
      </c>
      <c r="O581" s="2">
        <v>0.60581212629074299</v>
      </c>
      <c r="P581" s="2">
        <v>2.7573536838078199</v>
      </c>
      <c r="Q581" s="2">
        <v>8.7603949791513198</v>
      </c>
      <c r="R581" s="2">
        <v>3.9466314822836801</v>
      </c>
      <c r="S581" s="2">
        <v>0</v>
      </c>
      <c r="T581" s="2">
        <v>4.0372378816319099</v>
      </c>
      <c r="U581" s="2">
        <v>1.6627109005724801</v>
      </c>
      <c r="V581" s="2">
        <v>0</v>
      </c>
      <c r="W581" s="2">
        <v>8.0681248206024296</v>
      </c>
      <c r="X581" s="2">
        <v>3.3141175770925799</v>
      </c>
      <c r="Y581" s="2">
        <v>10.880926562323801</v>
      </c>
      <c r="Z581" s="2">
        <v>7.9814994771113899</v>
      </c>
      <c r="AA581" s="3">
        <f t="shared" si="28"/>
        <v>52.01480949086816</v>
      </c>
      <c r="AB581" t="s">
        <v>63</v>
      </c>
      <c r="AC581">
        <v>36.15</v>
      </c>
      <c r="AD581">
        <v>168.97</v>
      </c>
      <c r="AE581">
        <v>30.41</v>
      </c>
      <c r="AF581">
        <v>21.46</v>
      </c>
      <c r="AG581">
        <v>70.56</v>
      </c>
      <c r="AH581">
        <v>32.270000000000003</v>
      </c>
      <c r="AI581">
        <v>23.58</v>
      </c>
      <c r="AJ581">
        <v>89.6</v>
      </c>
      <c r="AK581">
        <v>29.95</v>
      </c>
      <c r="AL581">
        <v>55.42</v>
      </c>
      <c r="AM581">
        <v>34.57</v>
      </c>
      <c r="AN581">
        <v>109.46</v>
      </c>
      <c r="AO581" s="1">
        <f t="shared" ref="AO581:AO644" si="29">SUM(AC581:AN581)</f>
        <v>702.40000000000009</v>
      </c>
    </row>
    <row r="582" spans="1:41" x14ac:dyDescent="0.25">
      <c r="A582" t="s">
        <v>625</v>
      </c>
      <c r="B582" s="2">
        <v>1798.22249524619</v>
      </c>
      <c r="C582" s="2">
        <v>3304.7902727511</v>
      </c>
      <c r="D582" s="2">
        <v>10681.9575610475</v>
      </c>
      <c r="E582" s="2">
        <v>0</v>
      </c>
      <c r="F582" s="2">
        <v>1326.99897424403</v>
      </c>
      <c r="G582" s="2">
        <v>0</v>
      </c>
      <c r="H582" s="2">
        <v>784.65449545557499</v>
      </c>
      <c r="I582" s="2">
        <v>830.85287702412199</v>
      </c>
      <c r="J582" s="2">
        <v>1229.7018703272699</v>
      </c>
      <c r="K582" s="2">
        <v>1880.3191021826699</v>
      </c>
      <c r="L582" s="2">
        <v>4919.8466862362702</v>
      </c>
      <c r="M582" s="2">
        <v>2248.9397643663701</v>
      </c>
      <c r="N582" s="3">
        <f t="shared" si="27"/>
        <v>29006.284098881097</v>
      </c>
      <c r="O582" s="2">
        <v>3.0318982294688999</v>
      </c>
      <c r="P582" s="2">
        <v>7.7826866388123701</v>
      </c>
      <c r="Q582" s="2">
        <v>3.7967360098378</v>
      </c>
      <c r="R582" s="2">
        <v>0.27429938380446001</v>
      </c>
      <c r="S582" s="2">
        <v>10.920555167132299</v>
      </c>
      <c r="T582" s="2">
        <v>0</v>
      </c>
      <c r="U582" s="2">
        <v>4.30876363304617</v>
      </c>
      <c r="V582" s="2">
        <v>1.7572411795756799</v>
      </c>
      <c r="W582" s="2">
        <v>1.55396408478196</v>
      </c>
      <c r="X582" s="2">
        <v>3.1599944501319301</v>
      </c>
      <c r="Y582" s="2">
        <v>1.9304503002908899</v>
      </c>
      <c r="Z582" s="2">
        <v>3.85074671098416</v>
      </c>
      <c r="AA582" s="3">
        <f t="shared" si="28"/>
        <v>42.367335787866622</v>
      </c>
      <c r="AB582" t="s">
        <v>63</v>
      </c>
      <c r="AC582">
        <v>36.340000000000003</v>
      </c>
      <c r="AD582">
        <v>66.819999999999993</v>
      </c>
      <c r="AE582">
        <v>214</v>
      </c>
      <c r="AF582">
        <v>0.09</v>
      </c>
      <c r="AG582">
        <v>27.53</v>
      </c>
      <c r="AH582">
        <v>0</v>
      </c>
      <c r="AI582">
        <v>16.149999999999999</v>
      </c>
      <c r="AJ582">
        <v>16.8</v>
      </c>
      <c r="AK582">
        <v>24.78</v>
      </c>
      <c r="AL582">
        <v>37.979999999999997</v>
      </c>
      <c r="AM582">
        <v>98.58</v>
      </c>
      <c r="AN582">
        <v>45.34</v>
      </c>
      <c r="AO582" s="1">
        <f t="shared" si="29"/>
        <v>584.41000000000008</v>
      </c>
    </row>
    <row r="583" spans="1:41" x14ac:dyDescent="0.25">
      <c r="A583" t="s">
        <v>626</v>
      </c>
      <c r="B583" s="2">
        <v>1793.6038847361101</v>
      </c>
      <c r="C583" s="2">
        <v>1228.0919786987099</v>
      </c>
      <c r="D583" s="2">
        <v>5.4959020624448804</v>
      </c>
      <c r="E583" s="2">
        <v>1406.18856504979</v>
      </c>
      <c r="F583" s="2">
        <v>545.31104646791005</v>
      </c>
      <c r="G583" s="2">
        <v>427.89594303750698</v>
      </c>
      <c r="H583" s="2">
        <v>3943.3099187155699</v>
      </c>
      <c r="I583" s="2">
        <v>3043.0053715444101</v>
      </c>
      <c r="J583" s="2">
        <v>1338.67079532609</v>
      </c>
      <c r="K583" s="2">
        <v>5244.3444749315804</v>
      </c>
      <c r="L583" s="2">
        <v>4872.9237652725096</v>
      </c>
      <c r="M583" s="2">
        <v>2740.8633782462098</v>
      </c>
      <c r="N583" s="3">
        <f t="shared" si="27"/>
        <v>26589.705024088842</v>
      </c>
      <c r="O583" s="2">
        <v>4.5376480232331202</v>
      </c>
      <c r="P583" s="2">
        <v>7.1127557631718297</v>
      </c>
      <c r="Q583" s="2">
        <v>16.5603285462205</v>
      </c>
      <c r="R583" s="2">
        <v>1.2289013967259901</v>
      </c>
      <c r="S583" s="2">
        <v>5.0107875675384497</v>
      </c>
      <c r="T583" s="2">
        <v>11.2916073925756</v>
      </c>
      <c r="U583" s="2">
        <v>0</v>
      </c>
      <c r="V583" s="2">
        <v>3.8009848382098999</v>
      </c>
      <c r="W583" s="2">
        <v>5.6863973865101602</v>
      </c>
      <c r="X583" s="2">
        <v>0.53169452182807497</v>
      </c>
      <c r="Y583" s="2">
        <v>7.3483565521915004</v>
      </c>
      <c r="Z583" s="2">
        <v>7.1435543716248997</v>
      </c>
      <c r="AA583" s="3">
        <f t="shared" si="28"/>
        <v>70.253016359830028</v>
      </c>
      <c r="AB583" t="s">
        <v>63</v>
      </c>
      <c r="AC583">
        <v>36.33</v>
      </c>
      <c r="AD583">
        <v>25.3</v>
      </c>
      <c r="AE583">
        <v>1.65</v>
      </c>
      <c r="AF583">
        <v>28.32</v>
      </c>
      <c r="AG583">
        <v>11.46</v>
      </c>
      <c r="AH583">
        <v>9.64</v>
      </c>
      <c r="AI583">
        <v>78.88</v>
      </c>
      <c r="AJ583">
        <v>61.24</v>
      </c>
      <c r="AK583">
        <v>27.32</v>
      </c>
      <c r="AL583">
        <v>104.99</v>
      </c>
      <c r="AM583">
        <v>98.18</v>
      </c>
      <c r="AN583">
        <v>55.54</v>
      </c>
      <c r="AO583" s="1">
        <f t="shared" si="29"/>
        <v>538.85</v>
      </c>
    </row>
    <row r="584" spans="1:41" x14ac:dyDescent="0.25">
      <c r="A584" t="s">
        <v>627</v>
      </c>
      <c r="B584" s="2">
        <v>1792.6077184958499</v>
      </c>
      <c r="C584" s="2">
        <v>4163.1750300894</v>
      </c>
      <c r="D584" s="2">
        <v>1076.1489084551699</v>
      </c>
      <c r="E584" s="2">
        <v>855.78329858968095</v>
      </c>
      <c r="F584" s="2">
        <v>3402.2609225890001</v>
      </c>
      <c r="G584" s="2">
        <v>164.03707600738201</v>
      </c>
      <c r="H584" s="2">
        <v>1605.6612261814</v>
      </c>
      <c r="I584" s="2">
        <v>4000.3430372478501</v>
      </c>
      <c r="J584" s="2">
        <v>11605.0140022178</v>
      </c>
      <c r="K584" s="2">
        <v>7030.3482615282101</v>
      </c>
      <c r="L584" s="2">
        <v>511.12097400987</v>
      </c>
      <c r="M584" s="2">
        <v>1787.3654193564701</v>
      </c>
      <c r="N584" s="3">
        <f t="shared" si="27"/>
        <v>37993.865874768089</v>
      </c>
      <c r="O584" s="2">
        <v>1.88254912134645</v>
      </c>
      <c r="P584" s="2">
        <v>0</v>
      </c>
      <c r="Q584" s="2">
        <v>5.0812085963853502</v>
      </c>
      <c r="R584" s="2">
        <v>8.1191420306149897</v>
      </c>
      <c r="S584" s="2">
        <v>10.207218348496101</v>
      </c>
      <c r="T584" s="2">
        <v>0</v>
      </c>
      <c r="U584" s="2">
        <v>0</v>
      </c>
      <c r="V584" s="2">
        <v>11.2257011700402</v>
      </c>
      <c r="W584" s="2">
        <v>5.9017635957726302</v>
      </c>
      <c r="X584" s="2">
        <v>8.4817472921825807</v>
      </c>
      <c r="Y584" s="2">
        <v>0.51816633126481604</v>
      </c>
      <c r="Z584" s="2">
        <v>2.2734325541937102</v>
      </c>
      <c r="AA584" s="3">
        <f t="shared" si="28"/>
        <v>53.690929040296822</v>
      </c>
      <c r="AB584" t="s">
        <v>45</v>
      </c>
      <c r="AC584">
        <v>28.02</v>
      </c>
      <c r="AD584">
        <v>51.63</v>
      </c>
      <c r="AE584">
        <v>21.06</v>
      </c>
      <c r="AF584">
        <v>19</v>
      </c>
      <c r="AG584">
        <v>44.57</v>
      </c>
      <c r="AH584">
        <v>11.64</v>
      </c>
      <c r="AI584">
        <v>26.05</v>
      </c>
      <c r="AJ584">
        <v>50.6</v>
      </c>
      <c r="AK584">
        <v>126.35</v>
      </c>
      <c r="AL584">
        <v>80.75</v>
      </c>
      <c r="AM584">
        <v>15.16</v>
      </c>
      <c r="AN584">
        <v>28.02</v>
      </c>
      <c r="AO584" s="1">
        <f t="shared" si="29"/>
        <v>502.85</v>
      </c>
    </row>
    <row r="585" spans="1:41" x14ac:dyDescent="0.25">
      <c r="A585" t="s">
        <v>628</v>
      </c>
      <c r="B585" s="2">
        <v>1789.7030489482499</v>
      </c>
      <c r="C585" s="2">
        <v>1193.26338010719</v>
      </c>
      <c r="D585" s="2">
        <v>4146.5164925069203</v>
      </c>
      <c r="E585" s="2">
        <v>1619.78907537993</v>
      </c>
      <c r="F585" s="2">
        <v>2574.4924243556302</v>
      </c>
      <c r="G585" s="2">
        <v>543.24555402125804</v>
      </c>
      <c r="H585" s="2">
        <v>965.81363987216196</v>
      </c>
      <c r="I585" s="2">
        <v>3223.9478271852699</v>
      </c>
      <c r="J585" s="2">
        <v>1075.9848755860201</v>
      </c>
      <c r="K585" s="2">
        <v>1702.7138052385301</v>
      </c>
      <c r="L585" s="2">
        <v>905.81865766640601</v>
      </c>
      <c r="M585" s="2">
        <v>4885.1847815440196</v>
      </c>
      <c r="N585" s="3">
        <f t="shared" si="27"/>
        <v>24626.473562411586</v>
      </c>
      <c r="O585" s="2">
        <v>5.4843817257742398</v>
      </c>
      <c r="P585" s="2">
        <v>4.65496426018339</v>
      </c>
      <c r="Q585" s="2">
        <v>9.7836407643264298</v>
      </c>
      <c r="R585" s="2">
        <v>0.42718256144776201</v>
      </c>
      <c r="S585" s="2">
        <v>0.108593107339779</v>
      </c>
      <c r="T585" s="2">
        <v>1.95037409201126</v>
      </c>
      <c r="U585" s="2">
        <v>0</v>
      </c>
      <c r="V585" s="2">
        <v>0</v>
      </c>
      <c r="W585" s="2">
        <v>7.8333458608331297</v>
      </c>
      <c r="X585" s="2">
        <v>5.60395809666357</v>
      </c>
      <c r="Y585" s="2">
        <v>3.0767240119371002</v>
      </c>
      <c r="Z585" s="2">
        <v>4.3871450997041803</v>
      </c>
      <c r="AA585" s="3">
        <f t="shared" si="28"/>
        <v>43.310309580220839</v>
      </c>
      <c r="AB585" t="s">
        <v>63</v>
      </c>
      <c r="AC585">
        <v>36.340000000000003</v>
      </c>
      <c r="AD585">
        <v>24.33</v>
      </c>
      <c r="AE585">
        <v>83.84</v>
      </c>
      <c r="AF585">
        <v>32.49</v>
      </c>
      <c r="AG585">
        <v>51.59</v>
      </c>
      <c r="AH585">
        <v>11.06</v>
      </c>
      <c r="AI585">
        <v>19.32</v>
      </c>
      <c r="AJ585">
        <v>64.48</v>
      </c>
      <c r="AK585">
        <v>22.24</v>
      </c>
      <c r="AL585">
        <v>34.6</v>
      </c>
      <c r="AM585">
        <v>18.48</v>
      </c>
      <c r="AN585">
        <v>98.17</v>
      </c>
      <c r="AO585" s="1">
        <f t="shared" si="29"/>
        <v>496.94000000000011</v>
      </c>
    </row>
    <row r="586" spans="1:41" x14ac:dyDescent="0.25">
      <c r="A586" t="s">
        <v>629</v>
      </c>
      <c r="B586" s="2">
        <v>1789.27223125368</v>
      </c>
      <c r="C586" s="2">
        <v>1452.4714463550699</v>
      </c>
      <c r="D586" s="2">
        <v>3847.0229838722798</v>
      </c>
      <c r="E586" s="2">
        <v>558.36414741885403</v>
      </c>
      <c r="F586" s="2">
        <v>2383.64765814877</v>
      </c>
      <c r="G586" s="2">
        <v>777.48202275751305</v>
      </c>
      <c r="H586" s="2">
        <v>2719.00089367186</v>
      </c>
      <c r="I586" s="2">
        <v>1968.34034088767</v>
      </c>
      <c r="J586" s="2">
        <v>4382.2033638278699</v>
      </c>
      <c r="K586" s="2">
        <v>2875.30743201934</v>
      </c>
      <c r="L586" s="2">
        <v>2612.63858543177</v>
      </c>
      <c r="M586" s="2">
        <v>825.25592863929796</v>
      </c>
      <c r="N586" s="3">
        <f t="shared" si="27"/>
        <v>26191.007034283975</v>
      </c>
      <c r="O586" s="2">
        <v>4.0289556740326704</v>
      </c>
      <c r="P586" s="2">
        <v>0.12995586409297499</v>
      </c>
      <c r="Q586" s="2">
        <v>0.27455001327988099</v>
      </c>
      <c r="R586" s="2">
        <v>2.6470713469269098</v>
      </c>
      <c r="S586" s="2">
        <v>2.6980072593293798</v>
      </c>
      <c r="T586" s="2">
        <v>7.27402351922228</v>
      </c>
      <c r="U586" s="2">
        <v>5.02608782946806</v>
      </c>
      <c r="V586" s="2">
        <v>3.4961140769864398</v>
      </c>
      <c r="W586" s="2">
        <v>0.10643709959278499</v>
      </c>
      <c r="X586" s="2">
        <v>24.590568814302301</v>
      </c>
      <c r="Y586" s="2">
        <v>2.8055800085862899</v>
      </c>
      <c r="Z586" s="2">
        <v>1.3022249684925999</v>
      </c>
      <c r="AA586" s="3">
        <f t="shared" si="28"/>
        <v>54.379576474312579</v>
      </c>
      <c r="AB586" t="s">
        <v>63</v>
      </c>
      <c r="AC586">
        <v>36.25</v>
      </c>
      <c r="AD586">
        <v>29.15</v>
      </c>
      <c r="AE586">
        <v>77.05</v>
      </c>
      <c r="AF586">
        <v>11.45</v>
      </c>
      <c r="AG586">
        <v>47.95</v>
      </c>
      <c r="AH586">
        <v>16.28</v>
      </c>
      <c r="AI586">
        <v>54.94</v>
      </c>
      <c r="AJ586">
        <v>39.74</v>
      </c>
      <c r="AK586">
        <v>87.75</v>
      </c>
      <c r="AL586">
        <v>59.77</v>
      </c>
      <c r="AM586">
        <v>52.53</v>
      </c>
      <c r="AN586">
        <v>16.7</v>
      </c>
      <c r="AO586" s="1">
        <f t="shared" si="29"/>
        <v>529.55999999999995</v>
      </c>
    </row>
    <row r="587" spans="1:41" x14ac:dyDescent="0.25">
      <c r="A587" t="s">
        <v>630</v>
      </c>
      <c r="B587" s="2">
        <v>1788.8523642232799</v>
      </c>
      <c r="C587" s="2">
        <v>570.86828505149504</v>
      </c>
      <c r="D587" s="2">
        <v>5460.8776108914399</v>
      </c>
      <c r="E587" s="2">
        <v>6959.3249101138199</v>
      </c>
      <c r="F587" s="2">
        <v>4661.4010608538701</v>
      </c>
      <c r="G587" s="2">
        <v>2935.5788236500398</v>
      </c>
      <c r="H587" s="2">
        <v>1292.53346915829</v>
      </c>
      <c r="I587" s="2">
        <v>5925.6964740588901</v>
      </c>
      <c r="J587" s="2">
        <v>5558.1595079586696</v>
      </c>
      <c r="K587" s="2">
        <v>2227.0434974591699</v>
      </c>
      <c r="L587" s="2">
        <v>1820.64451093762</v>
      </c>
      <c r="M587" s="2">
        <v>2362.6076227808899</v>
      </c>
      <c r="N587" s="3">
        <f t="shared" si="27"/>
        <v>41563.588137137478</v>
      </c>
      <c r="O587" s="2">
        <v>9.5191874872988205</v>
      </c>
      <c r="P587" s="2">
        <v>8.0631794858558603</v>
      </c>
      <c r="Q587" s="2">
        <v>1.02720911010898</v>
      </c>
      <c r="R587" s="2">
        <v>3.5942440276979202</v>
      </c>
      <c r="S587" s="2">
        <v>1.94109272709887</v>
      </c>
      <c r="T587" s="2">
        <v>1.9122763248390899</v>
      </c>
      <c r="U587" s="2">
        <v>7.8125386242151702</v>
      </c>
      <c r="V587" s="2">
        <v>2.65489601897489</v>
      </c>
      <c r="W587" s="2">
        <v>11.4867879640049</v>
      </c>
      <c r="X587" s="2">
        <v>0.72824280289811905</v>
      </c>
      <c r="Y587" s="2">
        <v>3.8150176295096099</v>
      </c>
      <c r="Z587" s="2">
        <v>3.3839038403464898</v>
      </c>
      <c r="AA587" s="3">
        <f t="shared" si="28"/>
        <v>55.938576042848716</v>
      </c>
      <c r="AB587" t="s">
        <v>45</v>
      </c>
      <c r="AC587">
        <v>28.38</v>
      </c>
      <c r="AD587">
        <v>16.149999999999999</v>
      </c>
      <c r="AE587">
        <v>64.7</v>
      </c>
      <c r="AF587">
        <v>79.790000000000006</v>
      </c>
      <c r="AG587">
        <v>56.71</v>
      </c>
      <c r="AH587">
        <v>39.450000000000003</v>
      </c>
      <c r="AI587">
        <v>23.32</v>
      </c>
      <c r="AJ587">
        <v>69.400000000000006</v>
      </c>
      <c r="AK587">
        <v>66.180000000000007</v>
      </c>
      <c r="AL587">
        <v>32.32</v>
      </c>
      <c r="AM587">
        <v>28.4</v>
      </c>
      <c r="AN587">
        <v>33.82</v>
      </c>
      <c r="AO587" s="1">
        <f t="shared" si="29"/>
        <v>538.62</v>
      </c>
    </row>
    <row r="588" spans="1:41" x14ac:dyDescent="0.25">
      <c r="A588" t="s">
        <v>631</v>
      </c>
      <c r="B588" s="2">
        <v>1785.3250931278601</v>
      </c>
      <c r="C588" s="2">
        <v>0</v>
      </c>
      <c r="D588" s="2">
        <v>518.43549863305896</v>
      </c>
      <c r="E588" s="2">
        <v>2512.0815798297399</v>
      </c>
      <c r="F588" s="2">
        <v>185.120855275293</v>
      </c>
      <c r="G588" s="2">
        <v>2987.2934275672901</v>
      </c>
      <c r="H588" s="2">
        <v>2401.1254076335699</v>
      </c>
      <c r="I588" s="2">
        <v>0</v>
      </c>
      <c r="J588" s="2">
        <v>2174.11622544901</v>
      </c>
      <c r="K588" s="2">
        <v>2090.86446418485</v>
      </c>
      <c r="L588" s="2">
        <v>1603.3181097253801</v>
      </c>
      <c r="M588" s="2">
        <v>2162.9424499608399</v>
      </c>
      <c r="N588" s="3">
        <f t="shared" si="27"/>
        <v>18420.623111386893</v>
      </c>
      <c r="O588" s="2">
        <v>7.2064976116764301</v>
      </c>
      <c r="P588" s="2">
        <v>4.5371133024885504</v>
      </c>
      <c r="Q588" s="2">
        <v>5.4143456655625499</v>
      </c>
      <c r="R588" s="2">
        <v>5.9850266215284202</v>
      </c>
      <c r="S588" s="2">
        <v>8.7886721780790609</v>
      </c>
      <c r="T588" s="2">
        <v>3.28282124201026</v>
      </c>
      <c r="U588" s="2">
        <v>0.930156723242617</v>
      </c>
      <c r="V588" s="2">
        <v>0.120971445156546</v>
      </c>
      <c r="W588" s="2">
        <v>2.75973339835096</v>
      </c>
      <c r="X588" s="2">
        <v>1.03012145164292</v>
      </c>
      <c r="Y588" s="2">
        <v>3.38646987828084</v>
      </c>
      <c r="Z588" s="2">
        <v>2.4373298794064899</v>
      </c>
      <c r="AA588" s="3">
        <f t="shared" si="28"/>
        <v>45.879259397425649</v>
      </c>
      <c r="AB588" t="s">
        <v>63</v>
      </c>
      <c r="AC588">
        <v>36.44</v>
      </c>
      <c r="AD588">
        <v>0.45</v>
      </c>
      <c r="AE588">
        <v>10.92</v>
      </c>
      <c r="AF588">
        <v>50.8</v>
      </c>
      <c r="AG588">
        <v>4.53</v>
      </c>
      <c r="AH588">
        <v>60.12</v>
      </c>
      <c r="AI588">
        <v>48.13</v>
      </c>
      <c r="AJ588">
        <v>0.09</v>
      </c>
      <c r="AK588">
        <v>43.77</v>
      </c>
      <c r="AL588">
        <v>42</v>
      </c>
      <c r="AM588">
        <v>32.44</v>
      </c>
      <c r="AN588">
        <v>43.53</v>
      </c>
      <c r="AO588" s="1">
        <f t="shared" si="29"/>
        <v>373.22</v>
      </c>
    </row>
    <row r="589" spans="1:41" x14ac:dyDescent="0.25">
      <c r="A589" t="s">
        <v>632</v>
      </c>
      <c r="B589" s="2">
        <v>1783.6124263189099</v>
      </c>
      <c r="C589" s="2">
        <v>1650.1333573470299</v>
      </c>
      <c r="D589" s="2">
        <v>2069.5608327117202</v>
      </c>
      <c r="E589" s="2">
        <v>3631.5219797148702</v>
      </c>
      <c r="F589" s="2">
        <v>981.53368617634203</v>
      </c>
      <c r="G589" s="2">
        <v>7358.5276123874901</v>
      </c>
      <c r="H589" s="2">
        <v>0</v>
      </c>
      <c r="I589" s="2">
        <v>2780.9863258615201</v>
      </c>
      <c r="J589" s="2">
        <v>16208.555210361499</v>
      </c>
      <c r="K589" s="2">
        <v>2869.3138278228798</v>
      </c>
      <c r="L589" s="2">
        <v>9807.7832649934608</v>
      </c>
      <c r="M589" s="2">
        <v>868.81963981613001</v>
      </c>
      <c r="N589" s="3">
        <f t="shared" si="27"/>
        <v>50010.348163511859</v>
      </c>
      <c r="O589" s="2">
        <v>1.6917140809731599</v>
      </c>
      <c r="P589" s="2">
        <v>6.6375439244666898</v>
      </c>
      <c r="Q589" s="2">
        <v>3.82470356064132</v>
      </c>
      <c r="R589" s="2">
        <v>6.2793298245217404</v>
      </c>
      <c r="S589" s="2">
        <v>2.1947057836700501</v>
      </c>
      <c r="T589" s="2">
        <v>6.3620808887089306E-2</v>
      </c>
      <c r="U589" s="2">
        <v>0</v>
      </c>
      <c r="V589" s="2">
        <v>2.0187677594242501</v>
      </c>
      <c r="W589" s="2">
        <v>2.9893745575918298</v>
      </c>
      <c r="X589" s="2">
        <v>5.2389020447276797</v>
      </c>
      <c r="Y589" s="2">
        <v>3.2501125555941601</v>
      </c>
      <c r="Z589" s="2">
        <v>2.15426014733261</v>
      </c>
      <c r="AA589" s="3">
        <f t="shared" si="28"/>
        <v>36.343035047830575</v>
      </c>
      <c r="AB589" t="s">
        <v>45</v>
      </c>
      <c r="AC589">
        <v>27.93</v>
      </c>
      <c r="AD589">
        <v>26.85</v>
      </c>
      <c r="AE589">
        <v>30.89</v>
      </c>
      <c r="AF589">
        <v>46.66</v>
      </c>
      <c r="AG589">
        <v>19.96</v>
      </c>
      <c r="AH589">
        <v>83.63</v>
      </c>
      <c r="AI589">
        <v>9.99</v>
      </c>
      <c r="AJ589">
        <v>37.950000000000003</v>
      </c>
      <c r="AK589">
        <v>172.23</v>
      </c>
      <c r="AL589">
        <v>38.99</v>
      </c>
      <c r="AM589">
        <v>108.27</v>
      </c>
      <c r="AN589">
        <v>18.829999999999998</v>
      </c>
      <c r="AO589" s="1">
        <f t="shared" si="29"/>
        <v>622.18000000000006</v>
      </c>
    </row>
    <row r="590" spans="1:41" x14ac:dyDescent="0.25">
      <c r="A590" t="s">
        <v>633</v>
      </c>
      <c r="B590" s="2">
        <v>1774.5729132957699</v>
      </c>
      <c r="C590" s="2">
        <v>3434.8960371275798</v>
      </c>
      <c r="D590" s="2">
        <v>3679.7061396992499</v>
      </c>
      <c r="E590" s="2">
        <v>484.51469435698999</v>
      </c>
      <c r="F590" s="2">
        <v>261.84644195419997</v>
      </c>
      <c r="G590" s="2">
        <v>8348.28809195756</v>
      </c>
      <c r="H590" s="2">
        <v>3627.4815816548598</v>
      </c>
      <c r="I590" s="2">
        <v>5257.3677517061196</v>
      </c>
      <c r="J590" s="2">
        <v>2591.85976217909</v>
      </c>
      <c r="K590" s="2">
        <v>5297.2859739922496</v>
      </c>
      <c r="L590" s="2">
        <v>4104.2176463013402</v>
      </c>
      <c r="M590" s="2">
        <v>0</v>
      </c>
      <c r="N590" s="3">
        <f t="shared" si="27"/>
        <v>38862.037034225003</v>
      </c>
      <c r="O590" s="2">
        <v>5.2729799451115502</v>
      </c>
      <c r="P590" s="2">
        <v>10.0543226755586</v>
      </c>
      <c r="Q590" s="2">
        <v>5.1386189924630497</v>
      </c>
      <c r="R590" s="2">
        <v>6.8781805473083697</v>
      </c>
      <c r="S590" s="2">
        <v>5.1370418511649598</v>
      </c>
      <c r="T590" s="2">
        <v>6.9550730182813298</v>
      </c>
      <c r="U590" s="2">
        <v>3.5380787068197401</v>
      </c>
      <c r="V590" s="2">
        <v>0</v>
      </c>
      <c r="W590" s="2">
        <v>2.5346351448498399</v>
      </c>
      <c r="X590" s="2">
        <v>6.0545128991614598</v>
      </c>
      <c r="Y590" s="2">
        <v>3.98797597056635</v>
      </c>
      <c r="Z590" s="2">
        <v>5.4326999348977996</v>
      </c>
      <c r="AA590" s="3">
        <f t="shared" si="28"/>
        <v>60.984119686183043</v>
      </c>
      <c r="AB590" t="s">
        <v>45</v>
      </c>
      <c r="AC590">
        <v>28.04</v>
      </c>
      <c r="AD590">
        <v>44.89</v>
      </c>
      <c r="AE590">
        <v>47.09</v>
      </c>
      <c r="AF590">
        <v>15.19</v>
      </c>
      <c r="AG590">
        <v>12.91</v>
      </c>
      <c r="AH590">
        <v>93.83</v>
      </c>
      <c r="AI590">
        <v>46.47</v>
      </c>
      <c r="AJ590">
        <v>62.57</v>
      </c>
      <c r="AK590">
        <v>36.06</v>
      </c>
      <c r="AL590">
        <v>63.32</v>
      </c>
      <c r="AM590">
        <v>51.24</v>
      </c>
      <c r="AN590">
        <v>10.29</v>
      </c>
      <c r="AO590" s="1">
        <f t="shared" si="29"/>
        <v>511.9</v>
      </c>
    </row>
    <row r="591" spans="1:41" x14ac:dyDescent="0.25">
      <c r="A591" t="s">
        <v>634</v>
      </c>
      <c r="B591" s="2">
        <v>1774.38386192436</v>
      </c>
      <c r="C591" s="2">
        <v>2115.6167424904602</v>
      </c>
      <c r="D591" s="2">
        <v>1596.4906827987099</v>
      </c>
      <c r="E591" s="2">
        <v>7818.3400657837101</v>
      </c>
      <c r="F591" s="2">
        <v>1439.2751089447299</v>
      </c>
      <c r="G591" s="2">
        <v>0</v>
      </c>
      <c r="H591" s="2">
        <v>402.910792339804</v>
      </c>
      <c r="I591" s="2">
        <v>4741.54479287105</v>
      </c>
      <c r="J591" s="2">
        <v>3685.1165832985798</v>
      </c>
      <c r="K591" s="2">
        <v>1692.4650598958201</v>
      </c>
      <c r="L591" s="2">
        <v>971.25574831449399</v>
      </c>
      <c r="M591" s="2">
        <v>4477.8627087357099</v>
      </c>
      <c r="N591" s="3">
        <f t="shared" si="27"/>
        <v>30715.262147397429</v>
      </c>
      <c r="O591" s="2">
        <v>3.9968490911552998</v>
      </c>
      <c r="P591" s="2">
        <v>3.1021770123138799</v>
      </c>
      <c r="Q591" s="2">
        <v>5.3763968431964999</v>
      </c>
      <c r="R591" s="2">
        <v>4.3436565399080402</v>
      </c>
      <c r="S591" s="2">
        <v>0.186451603746186</v>
      </c>
      <c r="T591" s="2">
        <v>1.7376450535668899</v>
      </c>
      <c r="U591" s="2">
        <v>3.6046986912162402</v>
      </c>
      <c r="V591" s="2">
        <v>2.97086359922758</v>
      </c>
      <c r="W591" s="2">
        <v>1.8844142141092901</v>
      </c>
      <c r="X591" s="2">
        <v>5.3467570092461703</v>
      </c>
      <c r="Y591" s="2">
        <v>3.7566707400671899</v>
      </c>
      <c r="Z591" s="2">
        <v>4.8405435201488496</v>
      </c>
      <c r="AA591" s="3">
        <f t="shared" si="28"/>
        <v>41.147123917902121</v>
      </c>
      <c r="AB591" t="s">
        <v>63</v>
      </c>
      <c r="AC591">
        <v>35.86</v>
      </c>
      <c r="AD591">
        <v>42.68</v>
      </c>
      <c r="AE591">
        <v>32.479999999999997</v>
      </c>
      <c r="AF591">
        <v>156.83000000000001</v>
      </c>
      <c r="AG591">
        <v>28.89</v>
      </c>
      <c r="AH591">
        <v>0.18</v>
      </c>
      <c r="AI591">
        <v>8.42</v>
      </c>
      <c r="AJ591">
        <v>95.11</v>
      </c>
      <c r="AK591">
        <v>73.900000000000006</v>
      </c>
      <c r="AL591">
        <v>34.4</v>
      </c>
      <c r="AM591">
        <v>19.8</v>
      </c>
      <c r="AN591">
        <v>90.01</v>
      </c>
      <c r="AO591" s="1">
        <f t="shared" si="29"/>
        <v>618.55999999999995</v>
      </c>
    </row>
    <row r="592" spans="1:41" x14ac:dyDescent="0.25">
      <c r="A592" t="s">
        <v>635</v>
      </c>
      <c r="B592" s="2">
        <v>1773.0537028223901</v>
      </c>
      <c r="C592" s="2">
        <v>1787.43281423398</v>
      </c>
      <c r="D592" s="2">
        <v>5747.7530436638099</v>
      </c>
      <c r="E592" s="2">
        <v>1085.06092139508</v>
      </c>
      <c r="F592" s="2">
        <v>5468.3809837787703</v>
      </c>
      <c r="G592" s="2">
        <v>1136.1595323891099</v>
      </c>
      <c r="H592" s="2">
        <v>2824.3130052725501</v>
      </c>
      <c r="I592" s="2">
        <v>5222.0880745496897</v>
      </c>
      <c r="J592" s="2">
        <v>8916.8853330788406</v>
      </c>
      <c r="K592" s="2">
        <v>1558.41870715709</v>
      </c>
      <c r="L592" s="2">
        <v>4032.26749437031</v>
      </c>
      <c r="M592" s="2">
        <v>1214.95495256909</v>
      </c>
      <c r="N592" s="3">
        <f t="shared" si="27"/>
        <v>40766.768565280712</v>
      </c>
      <c r="O592" s="2">
        <v>8.0566006530953107</v>
      </c>
      <c r="P592" s="2">
        <v>6.8359711351025503</v>
      </c>
      <c r="Q592" s="2">
        <v>0.37828079503454398</v>
      </c>
      <c r="R592" s="2">
        <v>6.03328208840193</v>
      </c>
      <c r="S592" s="2">
        <v>11.547832981143999</v>
      </c>
      <c r="T592" s="2">
        <v>4.8361042511644898</v>
      </c>
      <c r="U592" s="2">
        <v>1.5842213630059101</v>
      </c>
      <c r="V592" s="2">
        <v>3.5548202681904102</v>
      </c>
      <c r="W592" s="2">
        <v>4.3729147398872303</v>
      </c>
      <c r="X592" s="2">
        <v>2.0967217402550999</v>
      </c>
      <c r="Y592" s="2">
        <v>0</v>
      </c>
      <c r="Z592" s="2">
        <v>1.8499860970983399</v>
      </c>
      <c r="AA592" s="3">
        <f t="shared" si="28"/>
        <v>51.146736112379813</v>
      </c>
      <c r="AB592" t="s">
        <v>45</v>
      </c>
      <c r="AC592">
        <v>28.18</v>
      </c>
      <c r="AD592">
        <v>28.22</v>
      </c>
      <c r="AE592">
        <v>67.52</v>
      </c>
      <c r="AF592">
        <v>21.2</v>
      </c>
      <c r="AG592">
        <v>65.28</v>
      </c>
      <c r="AH592">
        <v>21.61</v>
      </c>
      <c r="AI592">
        <v>38.340000000000003</v>
      </c>
      <c r="AJ592">
        <v>62.42</v>
      </c>
      <c r="AK592">
        <v>99.41</v>
      </c>
      <c r="AL592">
        <v>25.73</v>
      </c>
      <c r="AM592">
        <v>50.32</v>
      </c>
      <c r="AN592">
        <v>22.24</v>
      </c>
      <c r="AO592" s="1">
        <f t="shared" si="29"/>
        <v>530.47</v>
      </c>
    </row>
    <row r="593" spans="1:41" x14ac:dyDescent="0.25">
      <c r="A593" t="s">
        <v>636</v>
      </c>
      <c r="B593" s="2">
        <v>1770.53902178254</v>
      </c>
      <c r="C593" s="2">
        <v>163.43750611638899</v>
      </c>
      <c r="D593" s="2">
        <v>0</v>
      </c>
      <c r="E593" s="2">
        <v>1174.0417824085901</v>
      </c>
      <c r="F593" s="2">
        <v>4287.9877049501802</v>
      </c>
      <c r="G593" s="2">
        <v>0</v>
      </c>
      <c r="H593" s="2">
        <v>3409.88859702226</v>
      </c>
      <c r="I593" s="2">
        <v>103.815395982553</v>
      </c>
      <c r="J593" s="2">
        <v>1115.9539542934599</v>
      </c>
      <c r="K593" s="2">
        <v>1054.0681759051799</v>
      </c>
      <c r="L593" s="2">
        <v>1353.4027612104401</v>
      </c>
      <c r="M593" s="2">
        <v>0</v>
      </c>
      <c r="N593" s="3">
        <f t="shared" si="27"/>
        <v>14433.134899671591</v>
      </c>
      <c r="O593" s="2">
        <v>0.59839436226931997</v>
      </c>
      <c r="P593" s="2">
        <v>10.377829071185401</v>
      </c>
      <c r="Q593" s="2">
        <v>15.021506341936</v>
      </c>
      <c r="R593" s="2">
        <v>0.50546264515506201</v>
      </c>
      <c r="S593" s="2">
        <v>8.7590803152410395</v>
      </c>
      <c r="T593" s="2">
        <v>3.2144083147601901</v>
      </c>
      <c r="U593" s="2">
        <v>0.41708865815595098</v>
      </c>
      <c r="V593" s="2">
        <v>3.4992487406795898</v>
      </c>
      <c r="W593" s="2">
        <v>4.0487148351929196</v>
      </c>
      <c r="X593" s="2">
        <v>19.4690746481368</v>
      </c>
      <c r="Y593" s="2">
        <v>1.97910462931488</v>
      </c>
      <c r="Z593" s="2">
        <v>5.5117454415925504</v>
      </c>
      <c r="AA593" s="3">
        <f t="shared" si="28"/>
        <v>73.401658003619701</v>
      </c>
      <c r="AB593" t="s">
        <v>63</v>
      </c>
      <c r="AC593">
        <v>35.51</v>
      </c>
      <c r="AD593">
        <v>4.2699999999999996</v>
      </c>
      <c r="AE593">
        <v>1.44</v>
      </c>
      <c r="AF593">
        <v>23.59</v>
      </c>
      <c r="AG593">
        <v>86.57</v>
      </c>
      <c r="AH593">
        <v>0.36</v>
      </c>
      <c r="AI593">
        <v>68.290000000000006</v>
      </c>
      <c r="AJ593">
        <v>2.44</v>
      </c>
      <c r="AK593">
        <v>22.77</v>
      </c>
      <c r="AL593">
        <v>22.9</v>
      </c>
      <c r="AM593">
        <v>27.26</v>
      </c>
      <c r="AN593">
        <v>0.54</v>
      </c>
      <c r="AO593" s="1">
        <f t="shared" si="29"/>
        <v>295.94000000000005</v>
      </c>
    </row>
    <row r="594" spans="1:41" x14ac:dyDescent="0.25">
      <c r="A594" t="s">
        <v>637</v>
      </c>
      <c r="B594" s="2">
        <v>1763.8689926213799</v>
      </c>
      <c r="C594" s="2">
        <v>15370.728109207201</v>
      </c>
      <c r="D594" s="2">
        <v>0</v>
      </c>
      <c r="E594" s="2">
        <v>1992.66812599215</v>
      </c>
      <c r="F594" s="2">
        <v>2432.6475450155299</v>
      </c>
      <c r="G594" s="2">
        <v>2429.46616137824</v>
      </c>
      <c r="H594" s="2">
        <v>1772.94280324953</v>
      </c>
      <c r="I594" s="2">
        <v>8556.2917225166293</v>
      </c>
      <c r="J594" s="2">
        <v>0</v>
      </c>
      <c r="K594" s="2">
        <v>5384.4717616155203</v>
      </c>
      <c r="L594" s="2">
        <v>1507.1629207305</v>
      </c>
      <c r="M594" s="2">
        <v>1727.06064604674</v>
      </c>
      <c r="N594" s="3">
        <f t="shared" si="27"/>
        <v>42937.308788373419</v>
      </c>
      <c r="O594" s="2">
        <v>1.79446501070364</v>
      </c>
      <c r="P594" s="2">
        <v>0</v>
      </c>
      <c r="Q594" s="2">
        <v>2.8704882352868899</v>
      </c>
      <c r="R594" s="2">
        <v>5.6233780672325997</v>
      </c>
      <c r="S594" s="2">
        <v>1.6707848299683701</v>
      </c>
      <c r="T594" s="2">
        <v>7.5272118952029503</v>
      </c>
      <c r="U594" s="2">
        <v>0</v>
      </c>
      <c r="V594" s="2">
        <v>0.56564681752200496</v>
      </c>
      <c r="W594" s="2">
        <v>0.96988050139887005</v>
      </c>
      <c r="X594" s="2">
        <v>0.71617733910381498</v>
      </c>
      <c r="Y594" s="2">
        <v>0</v>
      </c>
      <c r="Z594" s="2">
        <v>11.0137032603399</v>
      </c>
      <c r="AA594" s="3">
        <f t="shared" si="28"/>
        <v>32.751735956759042</v>
      </c>
      <c r="AB594" t="s">
        <v>63</v>
      </c>
      <c r="AC594">
        <v>35.46</v>
      </c>
      <c r="AD594">
        <v>307.42</v>
      </c>
      <c r="AE594">
        <v>0.27</v>
      </c>
      <c r="AF594">
        <v>40.4</v>
      </c>
      <c r="AG594">
        <v>48.84</v>
      </c>
      <c r="AH594">
        <v>49.32</v>
      </c>
      <c r="AI594">
        <v>35.46</v>
      </c>
      <c r="AJ594">
        <v>171.23</v>
      </c>
      <c r="AK594">
        <v>0.09</v>
      </c>
      <c r="AL594">
        <v>107.79</v>
      </c>
      <c r="AM594">
        <v>30.16</v>
      </c>
      <c r="AN594">
        <v>35.64</v>
      </c>
      <c r="AO594" s="1">
        <f t="shared" si="29"/>
        <v>862.07999999999993</v>
      </c>
    </row>
    <row r="595" spans="1:41" x14ac:dyDescent="0.25">
      <c r="A595" t="s">
        <v>638</v>
      </c>
      <c r="B595" s="2">
        <v>1759.6437172984699</v>
      </c>
      <c r="C595" s="2">
        <v>4114.1353082026699</v>
      </c>
      <c r="D595" s="2">
        <v>0</v>
      </c>
      <c r="E595" s="2">
        <v>2448.6740905291699</v>
      </c>
      <c r="F595" s="2">
        <v>271.05667131653399</v>
      </c>
      <c r="G595" s="2">
        <v>1983.6178224519099</v>
      </c>
      <c r="H595" s="2">
        <v>2657.4229455057698</v>
      </c>
      <c r="I595" s="2">
        <v>7154.7804733397998</v>
      </c>
      <c r="J595" s="2">
        <v>3963.77262053805</v>
      </c>
      <c r="K595" s="2">
        <v>1733.5916494688199</v>
      </c>
      <c r="L595" s="2">
        <v>7637.0857339766599</v>
      </c>
      <c r="M595" s="2">
        <v>3993.1687395276099</v>
      </c>
      <c r="N595" s="3">
        <f t="shared" si="27"/>
        <v>37716.949772155465</v>
      </c>
      <c r="O595" s="2">
        <v>2.29114817069757</v>
      </c>
      <c r="P595" s="2">
        <v>0</v>
      </c>
      <c r="Q595" s="2">
        <v>1.75539933518433</v>
      </c>
      <c r="R595" s="2">
        <v>4.6277802722686197</v>
      </c>
      <c r="S595" s="2">
        <v>0</v>
      </c>
      <c r="T595" s="2">
        <v>0</v>
      </c>
      <c r="U595" s="2">
        <v>3.5724106620917802</v>
      </c>
      <c r="V595" s="2">
        <v>4.7392684250750401</v>
      </c>
      <c r="W595" s="2">
        <v>5.8604251803076099</v>
      </c>
      <c r="X595" s="2">
        <v>2.62651942474458</v>
      </c>
      <c r="Y595" s="2">
        <v>5.4317510427328504</v>
      </c>
      <c r="Z595" s="2">
        <v>0.89286338989752501</v>
      </c>
      <c r="AA595" s="3">
        <f t="shared" si="28"/>
        <v>31.797565902999903</v>
      </c>
      <c r="AB595" t="s">
        <v>45</v>
      </c>
      <c r="AC595">
        <v>27.74</v>
      </c>
      <c r="AD595">
        <v>51.14</v>
      </c>
      <c r="AE595">
        <v>10.09</v>
      </c>
      <c r="AF595">
        <v>34.729999999999997</v>
      </c>
      <c r="AG595">
        <v>12.71</v>
      </c>
      <c r="AH595">
        <v>29.83</v>
      </c>
      <c r="AI595">
        <v>36.770000000000003</v>
      </c>
      <c r="AJ595">
        <v>81.790000000000006</v>
      </c>
      <c r="AK595">
        <v>49.93</v>
      </c>
      <c r="AL595">
        <v>27.48</v>
      </c>
      <c r="AM595">
        <v>86.67</v>
      </c>
      <c r="AN595">
        <v>49.98</v>
      </c>
      <c r="AO595" s="1">
        <f t="shared" si="29"/>
        <v>498.86000000000007</v>
      </c>
    </row>
    <row r="596" spans="1:41" x14ac:dyDescent="0.25">
      <c r="A596" t="s">
        <v>639</v>
      </c>
      <c r="B596" s="2">
        <v>1757.60661066382</v>
      </c>
      <c r="C596" s="2">
        <v>1445.4106491503401</v>
      </c>
      <c r="D596" s="2">
        <v>5470.2930342649597</v>
      </c>
      <c r="E596" s="2">
        <v>12616.4113889324</v>
      </c>
      <c r="F596" s="2">
        <v>1582.4220788825301</v>
      </c>
      <c r="G596" s="2">
        <v>4857.3580072207296</v>
      </c>
      <c r="H596" s="2">
        <v>1735.7795143523399</v>
      </c>
      <c r="I596" s="2">
        <v>10246.187654151099</v>
      </c>
      <c r="J596" s="2">
        <v>3160.5803879822602</v>
      </c>
      <c r="K596" s="2">
        <v>5980.2289123491</v>
      </c>
      <c r="L596" s="2">
        <v>119.665817825076</v>
      </c>
      <c r="M596" s="2">
        <v>3252.1524889663401</v>
      </c>
      <c r="N596" s="3">
        <f t="shared" si="27"/>
        <v>52224.096544740998</v>
      </c>
      <c r="O596" s="2">
        <v>10.414736847097901</v>
      </c>
      <c r="P596" s="2">
        <v>3.7808322435826698</v>
      </c>
      <c r="Q596" s="2">
        <v>7.1318706461342298</v>
      </c>
      <c r="R596" s="2">
        <v>2.4319670366979098</v>
      </c>
      <c r="S596" s="2">
        <v>0</v>
      </c>
      <c r="T596" s="2">
        <v>0</v>
      </c>
      <c r="U596" s="2">
        <v>3.6661496599446601</v>
      </c>
      <c r="V596" s="2">
        <v>1.4697774669856301</v>
      </c>
      <c r="W596" s="2">
        <v>0</v>
      </c>
      <c r="X596" s="2">
        <v>2.1954274234002802</v>
      </c>
      <c r="Y596" s="2">
        <v>0</v>
      </c>
      <c r="Z596" s="2">
        <v>2.4435345531875501</v>
      </c>
      <c r="AA596" s="3">
        <f t="shared" si="28"/>
        <v>33.534295877030829</v>
      </c>
      <c r="AB596" t="s">
        <v>45</v>
      </c>
      <c r="AC596">
        <v>28.12</v>
      </c>
      <c r="AD596">
        <v>24.65</v>
      </c>
      <c r="AE596">
        <v>65.099999999999994</v>
      </c>
      <c r="AF596">
        <v>136.31</v>
      </c>
      <c r="AG596">
        <v>25.82</v>
      </c>
      <c r="AH596">
        <v>58.57</v>
      </c>
      <c r="AI596">
        <v>27.55</v>
      </c>
      <c r="AJ596">
        <v>112.56</v>
      </c>
      <c r="AK596">
        <v>41.6</v>
      </c>
      <c r="AL596">
        <v>69.95</v>
      </c>
      <c r="AM596">
        <v>11.19</v>
      </c>
      <c r="AN596">
        <v>42.67</v>
      </c>
      <c r="AO596" s="1">
        <f t="shared" si="29"/>
        <v>644.09</v>
      </c>
    </row>
    <row r="597" spans="1:41" x14ac:dyDescent="0.25">
      <c r="A597" t="s">
        <v>640</v>
      </c>
      <c r="B597" s="2">
        <v>1730.53919952972</v>
      </c>
      <c r="C597" s="2">
        <v>4839.6458528130897</v>
      </c>
      <c r="D597" s="2">
        <v>1857.66821076069</v>
      </c>
      <c r="E597" s="2">
        <v>2159.8317279746998</v>
      </c>
      <c r="F597" s="2">
        <v>0</v>
      </c>
      <c r="G597" s="2">
        <v>2750.8492751409899</v>
      </c>
      <c r="H597" s="2">
        <v>1320.5889835631201</v>
      </c>
      <c r="I597" s="2">
        <v>5863.0090038669696</v>
      </c>
      <c r="J597" s="2">
        <v>1756.0927477149</v>
      </c>
      <c r="K597" s="2">
        <v>4170.8598723635096</v>
      </c>
      <c r="L597" s="2">
        <v>4439.8527532819498</v>
      </c>
      <c r="M597" s="2">
        <v>3980.6770698831001</v>
      </c>
      <c r="N597" s="3">
        <f t="shared" si="27"/>
        <v>34869.614696892742</v>
      </c>
      <c r="O597" s="2">
        <v>7.2010789118131502</v>
      </c>
      <c r="P597" s="2">
        <v>1.2022736993461001</v>
      </c>
      <c r="Q597" s="2">
        <v>0.83086507963547296</v>
      </c>
      <c r="R597" s="2">
        <v>1.74062491395509</v>
      </c>
      <c r="S597" s="2">
        <v>1.49179394329976</v>
      </c>
      <c r="T597" s="2">
        <v>5.5989181646194099</v>
      </c>
      <c r="U597" s="2">
        <v>1.71092696222591</v>
      </c>
      <c r="V597" s="2">
        <v>0.72798442199335001</v>
      </c>
      <c r="W597" s="2">
        <v>0.77942857459557302</v>
      </c>
      <c r="X597" s="2">
        <v>2.43862178874264</v>
      </c>
      <c r="Y597" s="2">
        <v>9.9854334881390194</v>
      </c>
      <c r="Z597" s="2">
        <v>0.75247830648946801</v>
      </c>
      <c r="AA597" s="3">
        <f t="shared" si="28"/>
        <v>34.460428254854939</v>
      </c>
      <c r="AB597" t="s">
        <v>63</v>
      </c>
      <c r="AC597">
        <v>35.340000000000003</v>
      </c>
      <c r="AD597">
        <v>96.98</v>
      </c>
      <c r="AE597">
        <v>37.25</v>
      </c>
      <c r="AF597">
        <v>43.38</v>
      </c>
      <c r="AG597">
        <v>0.18</v>
      </c>
      <c r="AH597">
        <v>55.56</v>
      </c>
      <c r="AI597">
        <v>26.6</v>
      </c>
      <c r="AJ597">
        <v>117.37</v>
      </c>
      <c r="AK597">
        <v>35.229999999999997</v>
      </c>
      <c r="AL597">
        <v>83.69</v>
      </c>
      <c r="AM597">
        <v>89.7</v>
      </c>
      <c r="AN597">
        <v>79.709999999999994</v>
      </c>
      <c r="AO597" s="1">
        <f t="shared" si="29"/>
        <v>700.99000000000012</v>
      </c>
    </row>
    <row r="598" spans="1:41" x14ac:dyDescent="0.25">
      <c r="A598" t="s">
        <v>641</v>
      </c>
      <c r="B598" s="2">
        <v>1719.44871684698</v>
      </c>
      <c r="C598" s="2">
        <v>11548.729634477</v>
      </c>
      <c r="D598" s="2">
        <v>1362.62222297076</v>
      </c>
      <c r="E598" s="2">
        <v>5777.24840310528</v>
      </c>
      <c r="F598" s="2">
        <v>1740.1005866149501</v>
      </c>
      <c r="G598" s="2">
        <v>1827.58748371152</v>
      </c>
      <c r="H598" s="2">
        <v>3697.5460350951298</v>
      </c>
      <c r="I598" s="2">
        <v>22944.5355048684</v>
      </c>
      <c r="J598" s="2">
        <v>3008.0632534513002</v>
      </c>
      <c r="K598" s="2">
        <v>10135.074694086699</v>
      </c>
      <c r="L598" s="2">
        <v>5449.6987818277203</v>
      </c>
      <c r="M598" s="2">
        <v>5630.5880893714202</v>
      </c>
      <c r="N598" s="3">
        <f t="shared" si="27"/>
        <v>74841.243406427166</v>
      </c>
      <c r="O598" s="2">
        <v>2.5030429565018499</v>
      </c>
      <c r="P598" s="2">
        <v>0.17421303646733999</v>
      </c>
      <c r="Q598" s="2">
        <v>0</v>
      </c>
      <c r="R598" s="2">
        <v>7.2787441763084697</v>
      </c>
      <c r="S598" s="2">
        <v>2.1602114721189798</v>
      </c>
      <c r="T598" s="2">
        <v>4.2387957503337201</v>
      </c>
      <c r="U598" s="2">
        <v>2.3851306576880602</v>
      </c>
      <c r="V598" s="2">
        <v>10.283407261937599</v>
      </c>
      <c r="W598" s="2">
        <v>1.5329085868959</v>
      </c>
      <c r="X598" s="2">
        <v>1.68664626411221</v>
      </c>
      <c r="Y598" s="2">
        <v>6.6098046237645098</v>
      </c>
      <c r="Z598" s="2">
        <v>6.3796959365574004</v>
      </c>
      <c r="AA598" s="3">
        <f t="shared" si="28"/>
        <v>45.232600722686044</v>
      </c>
      <c r="AB598" t="s">
        <v>45</v>
      </c>
      <c r="AC598">
        <v>27.34</v>
      </c>
      <c r="AD598">
        <v>125.53</v>
      </c>
      <c r="AE598">
        <v>23.62</v>
      </c>
      <c r="AF598">
        <v>68.17</v>
      </c>
      <c r="AG598">
        <v>27.55</v>
      </c>
      <c r="AH598">
        <v>28.52</v>
      </c>
      <c r="AI598">
        <v>47.12</v>
      </c>
      <c r="AJ598">
        <v>239.99</v>
      </c>
      <c r="AK598">
        <v>40.18</v>
      </c>
      <c r="AL598">
        <v>111.45</v>
      </c>
      <c r="AM598">
        <v>64.84</v>
      </c>
      <c r="AN598">
        <v>66.650000000000006</v>
      </c>
      <c r="AO598" s="1">
        <f t="shared" si="29"/>
        <v>870.96</v>
      </c>
    </row>
    <row r="599" spans="1:41" x14ac:dyDescent="0.25">
      <c r="A599" t="s">
        <v>642</v>
      </c>
      <c r="B599" s="2">
        <v>1718.12287320879</v>
      </c>
      <c r="C599" s="2">
        <v>5964.4897103150697</v>
      </c>
      <c r="D599" s="2">
        <v>5.7214264483403197</v>
      </c>
      <c r="E599" s="2">
        <v>3480.75295294738</v>
      </c>
      <c r="F599" s="2">
        <v>648.57598088180305</v>
      </c>
      <c r="G599" s="2">
        <v>978.83986142632102</v>
      </c>
      <c r="H599" s="2">
        <v>1750.26947806816</v>
      </c>
      <c r="I599" s="2">
        <v>6344.5320784841397</v>
      </c>
      <c r="J599" s="2">
        <v>781.54463618162697</v>
      </c>
      <c r="K599" s="2">
        <v>2035.51768350926</v>
      </c>
      <c r="L599" s="2">
        <v>4440.7080391198497</v>
      </c>
      <c r="M599" s="2">
        <v>1485.90074127655</v>
      </c>
      <c r="N599" s="3">
        <f t="shared" si="27"/>
        <v>29634.975461867292</v>
      </c>
      <c r="O599" s="2">
        <v>2.2375915370141399</v>
      </c>
      <c r="P599" s="2">
        <v>7.0860184722004096</v>
      </c>
      <c r="Q599" s="2">
        <v>2.0173459876987199</v>
      </c>
      <c r="R599" s="2">
        <v>6.3185123483159904</v>
      </c>
      <c r="S599" s="2">
        <v>0.27272384769873298</v>
      </c>
      <c r="T599" s="2">
        <v>4.2797428205563897</v>
      </c>
      <c r="U599" s="2">
        <v>1.2403807909404501</v>
      </c>
      <c r="V599" s="2">
        <v>1.6312668336337</v>
      </c>
      <c r="W599" s="2">
        <v>8.6576340978406101</v>
      </c>
      <c r="X599" s="2">
        <v>1.5082046067277599</v>
      </c>
      <c r="Y599" s="2">
        <v>2.2589892075743299</v>
      </c>
      <c r="Z599" s="2">
        <v>1.14710746576887</v>
      </c>
      <c r="AA599" s="3">
        <f t="shared" si="28"/>
        <v>38.655518015970102</v>
      </c>
      <c r="AB599" t="s">
        <v>63</v>
      </c>
      <c r="AC599">
        <v>34.65</v>
      </c>
      <c r="AD599">
        <v>120.02</v>
      </c>
      <c r="AE599">
        <v>0.39</v>
      </c>
      <c r="AF599">
        <v>70.25</v>
      </c>
      <c r="AG599">
        <v>13.07</v>
      </c>
      <c r="AH599">
        <v>20.03</v>
      </c>
      <c r="AI599">
        <v>35.200000000000003</v>
      </c>
      <c r="AJ599">
        <v>127.08</v>
      </c>
      <c r="AK599">
        <v>16.45</v>
      </c>
      <c r="AL599">
        <v>40.9</v>
      </c>
      <c r="AM599">
        <v>89.09</v>
      </c>
      <c r="AN599">
        <v>29.9</v>
      </c>
      <c r="AO599" s="1">
        <f t="shared" si="29"/>
        <v>597.02999999999986</v>
      </c>
    </row>
    <row r="600" spans="1:41" x14ac:dyDescent="0.25">
      <c r="A600" t="s">
        <v>643</v>
      </c>
      <c r="B600" s="2">
        <v>1717.4550214286501</v>
      </c>
      <c r="C600" s="2">
        <v>970.21473594105896</v>
      </c>
      <c r="D600" s="2">
        <v>18809.458402274799</v>
      </c>
      <c r="E600" s="2">
        <v>840.03454420754895</v>
      </c>
      <c r="F600" s="2">
        <v>6283.3702471359202</v>
      </c>
      <c r="G600" s="2">
        <v>6899.9304569613296</v>
      </c>
      <c r="H600" s="2">
        <v>18810.495930800502</v>
      </c>
      <c r="I600" s="2">
        <v>2799.46896654798</v>
      </c>
      <c r="J600" s="2">
        <v>7622.8628038643101</v>
      </c>
      <c r="K600" s="2">
        <v>11363.88864553</v>
      </c>
      <c r="L600" s="2">
        <v>399.57874525688197</v>
      </c>
      <c r="M600" s="2">
        <v>3087.5678599437701</v>
      </c>
      <c r="N600" s="3">
        <f t="shared" si="27"/>
        <v>79604.32635989273</v>
      </c>
      <c r="O600" s="2">
        <v>0</v>
      </c>
      <c r="P600" s="2">
        <v>2.8506914999608601</v>
      </c>
      <c r="Q600" s="2">
        <v>15.5788803410165</v>
      </c>
      <c r="R600" s="2">
        <v>1.61194936745288</v>
      </c>
      <c r="S600" s="2">
        <v>7.8438570060909898</v>
      </c>
      <c r="T600" s="2">
        <v>10.570406503709799</v>
      </c>
      <c r="U600" s="2">
        <v>12.976184069137201</v>
      </c>
      <c r="V600" s="2">
        <v>11.6911061247145</v>
      </c>
      <c r="W600" s="2">
        <v>1.5186482177734</v>
      </c>
      <c r="X600" s="2">
        <v>15.335304345792901</v>
      </c>
      <c r="Y600" s="2">
        <v>4.9648765050434696</v>
      </c>
      <c r="Z600" s="2">
        <v>1.7988972744876599</v>
      </c>
      <c r="AA600" s="3">
        <f t="shared" si="28"/>
        <v>86.740801255180159</v>
      </c>
      <c r="AB600" t="s">
        <v>45</v>
      </c>
      <c r="AC600">
        <v>27.17</v>
      </c>
      <c r="AD600">
        <v>19.850000000000001</v>
      </c>
      <c r="AE600">
        <v>198.89</v>
      </c>
      <c r="AF600">
        <v>18.5</v>
      </c>
      <c r="AG600">
        <v>73.23</v>
      </c>
      <c r="AH600">
        <v>79.540000000000006</v>
      </c>
      <c r="AI600">
        <v>198.75</v>
      </c>
      <c r="AJ600">
        <v>38.590000000000003</v>
      </c>
      <c r="AK600">
        <v>86.32</v>
      </c>
      <c r="AL600">
        <v>124.43</v>
      </c>
      <c r="AM600">
        <v>14.24</v>
      </c>
      <c r="AN600">
        <v>40.97</v>
      </c>
      <c r="AO600" s="1">
        <f t="shared" si="29"/>
        <v>920.48000000000025</v>
      </c>
    </row>
    <row r="601" spans="1:41" x14ac:dyDescent="0.25">
      <c r="A601" t="s">
        <v>644</v>
      </c>
      <c r="B601" s="2">
        <v>1717.1491742246101</v>
      </c>
      <c r="C601" s="2">
        <v>5891.5302277662604</v>
      </c>
      <c r="D601" s="2">
        <v>7217.1319519812296</v>
      </c>
      <c r="E601" s="2">
        <v>1053.1577868720799</v>
      </c>
      <c r="F601" s="2">
        <v>1230.3097067475701</v>
      </c>
      <c r="G601" s="2">
        <v>4246.8247987565001</v>
      </c>
      <c r="H601" s="2">
        <v>5261.8775236515403</v>
      </c>
      <c r="I601" s="2">
        <v>11378.1321746185</v>
      </c>
      <c r="J601" s="2">
        <v>0</v>
      </c>
      <c r="K601" s="2">
        <v>1366.9621731586401</v>
      </c>
      <c r="L601" s="2">
        <v>4440.29442270872</v>
      </c>
      <c r="M601" s="2">
        <v>5400.18886017369</v>
      </c>
      <c r="N601" s="3">
        <f t="shared" si="27"/>
        <v>49203.558800659332</v>
      </c>
      <c r="O601" s="2">
        <v>13.371170073775099</v>
      </c>
      <c r="P601" s="2">
        <v>2.1145072504517399</v>
      </c>
      <c r="Q601" s="2">
        <v>9.3996250442461093</v>
      </c>
      <c r="R601" s="2">
        <v>7.9499668519729498</v>
      </c>
      <c r="S601" s="2">
        <v>12.338251370596</v>
      </c>
      <c r="T601" s="2">
        <v>4.0326183349140301</v>
      </c>
      <c r="U601" s="2">
        <v>4.8536465093712797</v>
      </c>
      <c r="V601" s="2">
        <v>3.2580372376362301</v>
      </c>
      <c r="W601" s="2">
        <v>0</v>
      </c>
      <c r="X601" s="2">
        <v>3.0587820164713699</v>
      </c>
      <c r="Y601" s="2">
        <v>1.51051308669703</v>
      </c>
      <c r="Z601" s="2">
        <v>17.735832201755301</v>
      </c>
      <c r="AA601" s="3">
        <f t="shared" si="28"/>
        <v>79.622949977887146</v>
      </c>
      <c r="AB601" t="s">
        <v>45</v>
      </c>
      <c r="AC601">
        <v>27.87</v>
      </c>
      <c r="AD601">
        <v>69.06</v>
      </c>
      <c r="AE601">
        <v>82.67</v>
      </c>
      <c r="AF601">
        <v>20.93</v>
      </c>
      <c r="AG601">
        <v>22.95</v>
      </c>
      <c r="AH601">
        <v>52.71</v>
      </c>
      <c r="AI601">
        <v>62.86</v>
      </c>
      <c r="AJ601">
        <v>123.98</v>
      </c>
      <c r="AK601">
        <v>9.99</v>
      </c>
      <c r="AL601">
        <v>23.86</v>
      </c>
      <c r="AM601">
        <v>54.5</v>
      </c>
      <c r="AN601">
        <v>64.900000000000006</v>
      </c>
      <c r="AO601" s="1">
        <f t="shared" si="29"/>
        <v>616.28000000000009</v>
      </c>
    </row>
    <row r="602" spans="1:41" x14ac:dyDescent="0.25">
      <c r="A602" t="s">
        <v>645</v>
      </c>
      <c r="B602" s="2">
        <v>1716.3005823818501</v>
      </c>
      <c r="C602" s="2">
        <v>3863.5123530787</v>
      </c>
      <c r="D602" s="2">
        <v>1397.15716535105</v>
      </c>
      <c r="E602" s="2">
        <v>575.69687911788003</v>
      </c>
      <c r="F602" s="2">
        <v>5498.1808309020098</v>
      </c>
      <c r="G602" s="2">
        <v>0</v>
      </c>
      <c r="H602" s="2">
        <v>1944.31024363037</v>
      </c>
      <c r="I602" s="2">
        <v>0</v>
      </c>
      <c r="J602" s="2">
        <v>0</v>
      </c>
      <c r="K602" s="2">
        <v>1297.283824588</v>
      </c>
      <c r="L602" s="2">
        <v>956.975885811794</v>
      </c>
      <c r="M602" s="2">
        <v>1836.9886475887199</v>
      </c>
      <c r="N602" s="3">
        <f t="shared" si="27"/>
        <v>19086.406412450375</v>
      </c>
      <c r="O602" s="2">
        <v>1.35512410437418</v>
      </c>
      <c r="P602" s="2">
        <v>5.7665648994535701</v>
      </c>
      <c r="Q602" s="2">
        <v>11.855088919255101</v>
      </c>
      <c r="R602" s="2">
        <v>0</v>
      </c>
      <c r="S602" s="2">
        <v>3.2711714863860699</v>
      </c>
      <c r="T602" s="2">
        <v>0</v>
      </c>
      <c r="U602" s="2">
        <v>0.18628886375907</v>
      </c>
      <c r="V602" s="2">
        <v>1.13108024931753</v>
      </c>
      <c r="W602" s="2">
        <v>0.35488098446438499</v>
      </c>
      <c r="X602" s="2">
        <v>2.6750203807895998</v>
      </c>
      <c r="Y602" s="2">
        <v>1.5159353254110699</v>
      </c>
      <c r="Z602" s="2">
        <v>14.725285614975901</v>
      </c>
      <c r="AA602" s="3">
        <f t="shared" si="28"/>
        <v>42.836440828186475</v>
      </c>
      <c r="AB602" t="s">
        <v>63</v>
      </c>
      <c r="AC602">
        <v>34.520000000000003</v>
      </c>
      <c r="AD602">
        <v>77.819999999999993</v>
      </c>
      <c r="AE602">
        <v>29.04</v>
      </c>
      <c r="AF602">
        <v>11.52</v>
      </c>
      <c r="AG602">
        <v>110.34</v>
      </c>
      <c r="AH602">
        <v>0</v>
      </c>
      <c r="AI602">
        <v>38.99</v>
      </c>
      <c r="AJ602">
        <v>0.18</v>
      </c>
      <c r="AK602">
        <v>0.09</v>
      </c>
      <c r="AL602">
        <v>26.23</v>
      </c>
      <c r="AM602">
        <v>19.32</v>
      </c>
      <c r="AN602">
        <v>38.090000000000003</v>
      </c>
      <c r="AO602" s="1">
        <f t="shared" si="29"/>
        <v>386.14</v>
      </c>
    </row>
    <row r="603" spans="1:41" x14ac:dyDescent="0.25">
      <c r="A603" t="s">
        <v>646</v>
      </c>
      <c r="B603" s="2">
        <v>1706.9692222383601</v>
      </c>
      <c r="C603" s="2">
        <v>4597.0782253246298</v>
      </c>
      <c r="D603" s="2">
        <v>149.08406916083501</v>
      </c>
      <c r="E603" s="2">
        <v>707.20642069587598</v>
      </c>
      <c r="F603" s="2">
        <v>4051.86055942847</v>
      </c>
      <c r="G603" s="2">
        <v>15118.3381450256</v>
      </c>
      <c r="H603" s="2">
        <v>3374.0717765518102</v>
      </c>
      <c r="I603" s="2">
        <v>4690.7434522287704</v>
      </c>
      <c r="J603" s="2">
        <v>2045.4266409439599</v>
      </c>
      <c r="K603" s="2">
        <v>6358.67877903914</v>
      </c>
      <c r="L603" s="2">
        <v>12795.380927887099</v>
      </c>
      <c r="M603" s="2">
        <v>2076.2597523971799</v>
      </c>
      <c r="N603" s="3">
        <f t="shared" si="27"/>
        <v>57671.097970921721</v>
      </c>
      <c r="O603" s="2">
        <v>3.5540733454084901</v>
      </c>
      <c r="P603" s="2">
        <v>10.222747042805601</v>
      </c>
      <c r="Q603" s="2">
        <v>4.9831965353412304</v>
      </c>
      <c r="R603" s="2">
        <v>3.7896295414712799</v>
      </c>
      <c r="S603" s="2">
        <v>2.16341268001216</v>
      </c>
      <c r="T603" s="2">
        <v>0.69416735544637298</v>
      </c>
      <c r="U603" s="2">
        <v>1.4105203103147901</v>
      </c>
      <c r="V603" s="2">
        <v>1.3603650700982599</v>
      </c>
      <c r="W603" s="2">
        <v>3.5390710656523301</v>
      </c>
      <c r="X603" s="2">
        <v>1.6353355879756899</v>
      </c>
      <c r="Y603" s="2">
        <v>1.4593225046314899</v>
      </c>
      <c r="Z603" s="2">
        <v>16.525081046162899</v>
      </c>
      <c r="AA603" s="3">
        <f t="shared" si="28"/>
        <v>51.336922085320595</v>
      </c>
      <c r="AB603" t="s">
        <v>45</v>
      </c>
      <c r="AC603">
        <v>27.26</v>
      </c>
      <c r="AD603">
        <v>56.52</v>
      </c>
      <c r="AE603">
        <v>11.74</v>
      </c>
      <c r="AF603">
        <v>17.27</v>
      </c>
      <c r="AG603">
        <v>50.66</v>
      </c>
      <c r="AH603">
        <v>161.22999999999999</v>
      </c>
      <c r="AI603">
        <v>43.84</v>
      </c>
      <c r="AJ603">
        <v>57</v>
      </c>
      <c r="AK603">
        <v>30.65</v>
      </c>
      <c r="AL603">
        <v>73.680000000000007</v>
      </c>
      <c r="AM603">
        <v>138.05000000000001</v>
      </c>
      <c r="AN603">
        <v>31.61</v>
      </c>
      <c r="AO603" s="1">
        <f t="shared" si="29"/>
        <v>699.50999999999988</v>
      </c>
    </row>
    <row r="604" spans="1:41" x14ac:dyDescent="0.25">
      <c r="A604" t="s">
        <v>647</v>
      </c>
      <c r="B604" s="2">
        <v>1702.4996836872499</v>
      </c>
      <c r="C604" s="2">
        <v>917.50729487619401</v>
      </c>
      <c r="D604" s="2">
        <v>5148.2293033113101</v>
      </c>
      <c r="E604" s="2">
        <v>3983.1833018593002</v>
      </c>
      <c r="F604" s="2">
        <v>8449.4869760536094</v>
      </c>
      <c r="G604" s="2">
        <v>2578.7964378117499</v>
      </c>
      <c r="H604" s="2">
        <v>3553.4191375004798</v>
      </c>
      <c r="I604" s="2">
        <v>7065.98349999125</v>
      </c>
      <c r="J604" s="2">
        <v>18990.751012546101</v>
      </c>
      <c r="K604" s="2">
        <v>12391.0639051176</v>
      </c>
      <c r="L604" s="2">
        <v>3931.08864573967</v>
      </c>
      <c r="M604" s="2">
        <v>1047.0172996813901</v>
      </c>
      <c r="N604" s="3">
        <f t="shared" si="27"/>
        <v>69759.02649817591</v>
      </c>
      <c r="O604" s="2">
        <v>0.664747848986739</v>
      </c>
      <c r="P604" s="2">
        <v>0.95911862835804396</v>
      </c>
      <c r="Q604" s="2">
        <v>10.700202097754</v>
      </c>
      <c r="R604" s="2">
        <v>1.8153234133107099</v>
      </c>
      <c r="S604" s="2">
        <v>8.1624239274084101</v>
      </c>
      <c r="T604" s="2">
        <v>4.7041030749871799</v>
      </c>
      <c r="U604" s="2">
        <v>0.121119844688928</v>
      </c>
      <c r="V604" s="2">
        <v>13.9455283408754</v>
      </c>
      <c r="W604" s="2">
        <v>1.8788537536177099</v>
      </c>
      <c r="X604" s="2">
        <v>6.4232252163104704</v>
      </c>
      <c r="Y604" s="2">
        <v>1.3455312454853301</v>
      </c>
      <c r="Z604" s="2">
        <v>8.3174189276423007</v>
      </c>
      <c r="AA604" s="3">
        <f t="shared" si="28"/>
        <v>59.037596319425226</v>
      </c>
      <c r="AB604" t="s">
        <v>45</v>
      </c>
      <c r="AC604">
        <v>27.07</v>
      </c>
      <c r="AD604">
        <v>19.22</v>
      </c>
      <c r="AE604">
        <v>62.03</v>
      </c>
      <c r="AF604">
        <v>49.93</v>
      </c>
      <c r="AG604">
        <v>94.94</v>
      </c>
      <c r="AH604">
        <v>36.03</v>
      </c>
      <c r="AI604">
        <v>45.58</v>
      </c>
      <c r="AJ604">
        <v>81.349999999999994</v>
      </c>
      <c r="AK604">
        <v>200</v>
      </c>
      <c r="AL604">
        <v>134.26</v>
      </c>
      <c r="AM604">
        <v>49.41</v>
      </c>
      <c r="AN604">
        <v>20.92</v>
      </c>
      <c r="AO604" s="1">
        <f t="shared" si="29"/>
        <v>820.7399999999999</v>
      </c>
    </row>
    <row r="605" spans="1:41" x14ac:dyDescent="0.25">
      <c r="A605" t="s">
        <v>648</v>
      </c>
      <c r="B605" s="2">
        <v>1698.2517968025099</v>
      </c>
      <c r="C605" s="2">
        <v>1842.2954700031701</v>
      </c>
      <c r="D605" s="2">
        <v>1532.97371868152</v>
      </c>
      <c r="E605" s="2">
        <v>5606.5069679605504</v>
      </c>
      <c r="F605" s="2">
        <v>992.79323779544598</v>
      </c>
      <c r="G605" s="2">
        <v>779.64978782814899</v>
      </c>
      <c r="H605" s="2">
        <v>765.25238282298801</v>
      </c>
      <c r="I605" s="2">
        <v>11637.0810762693</v>
      </c>
      <c r="J605" s="2">
        <v>5464.3853435148803</v>
      </c>
      <c r="K605" s="2">
        <v>90.3513288418755</v>
      </c>
      <c r="L605" s="2">
        <v>2038.55052159307</v>
      </c>
      <c r="M605" s="2">
        <v>1196.2118393739099</v>
      </c>
      <c r="N605" s="3">
        <f t="shared" si="27"/>
        <v>33644.303471487372</v>
      </c>
      <c r="O605" s="2">
        <v>5.0811695336459399</v>
      </c>
      <c r="P605" s="2">
        <v>5.3617248305798002</v>
      </c>
      <c r="Q605" s="2">
        <v>0</v>
      </c>
      <c r="R605" s="2">
        <v>4.3600801957129898</v>
      </c>
      <c r="S605" s="2">
        <v>0.85592922507941305</v>
      </c>
      <c r="T605" s="2">
        <v>2.9151856062848398</v>
      </c>
      <c r="U605" s="2">
        <v>1.05923208990091</v>
      </c>
      <c r="V605" s="2">
        <v>5.0197539125498496</v>
      </c>
      <c r="W605" s="2">
        <v>3.6668760413527002</v>
      </c>
      <c r="X605" s="2">
        <v>6.54751963980027</v>
      </c>
      <c r="Y605" s="2">
        <v>3.2967138195807602</v>
      </c>
      <c r="Z605" s="2">
        <v>1.7189663652011999</v>
      </c>
      <c r="AA605" s="3">
        <f t="shared" si="28"/>
        <v>39.883151259688667</v>
      </c>
      <c r="AB605" t="s">
        <v>63</v>
      </c>
      <c r="AC605">
        <v>34.520000000000003</v>
      </c>
      <c r="AD605">
        <v>37.4</v>
      </c>
      <c r="AE605">
        <v>30.66</v>
      </c>
      <c r="AF605">
        <v>112.59</v>
      </c>
      <c r="AG605">
        <v>19.95</v>
      </c>
      <c r="AH605">
        <v>15.87</v>
      </c>
      <c r="AI605">
        <v>15.5</v>
      </c>
      <c r="AJ605">
        <v>233.3</v>
      </c>
      <c r="AK605">
        <v>109.66</v>
      </c>
      <c r="AL605">
        <v>2.4500000000000002</v>
      </c>
      <c r="AM605">
        <v>41.14</v>
      </c>
      <c r="AN605">
        <v>24.12</v>
      </c>
      <c r="AO605" s="1">
        <f t="shared" si="29"/>
        <v>677.16000000000008</v>
      </c>
    </row>
    <row r="606" spans="1:41" x14ac:dyDescent="0.25">
      <c r="A606" t="s">
        <v>649</v>
      </c>
      <c r="B606" s="2">
        <v>1697.2503503468599</v>
      </c>
      <c r="C606" s="2">
        <v>6569.1546065865796</v>
      </c>
      <c r="D606" s="2">
        <v>1824.21067219426</v>
      </c>
      <c r="E606" s="2">
        <v>1029.46439540091</v>
      </c>
      <c r="F606" s="2">
        <v>1852.2102847958099</v>
      </c>
      <c r="G606" s="2">
        <v>851.27386269302997</v>
      </c>
      <c r="H606" s="2">
        <v>628.39525905768903</v>
      </c>
      <c r="I606" s="2">
        <v>728.92516669417898</v>
      </c>
      <c r="J606" s="2">
        <v>2531.9530486326898</v>
      </c>
      <c r="K606" s="2">
        <v>4136.5285442812001</v>
      </c>
      <c r="L606" s="2">
        <v>5873.7974331149899</v>
      </c>
      <c r="M606" s="2">
        <v>9267.9637708261998</v>
      </c>
      <c r="N606" s="3">
        <f t="shared" si="27"/>
        <v>36991.127394624396</v>
      </c>
      <c r="O606" s="2">
        <v>10.5292530695626</v>
      </c>
      <c r="P606" s="2">
        <v>3.8296707659561702</v>
      </c>
      <c r="Q606" s="2">
        <v>0</v>
      </c>
      <c r="R606" s="2">
        <v>4.1065121313649398</v>
      </c>
      <c r="S606" s="2">
        <v>7.2484815489492496</v>
      </c>
      <c r="T606" s="2">
        <v>0.84600047641583997</v>
      </c>
      <c r="U606" s="2">
        <v>7.99389349139188</v>
      </c>
      <c r="V606" s="2">
        <v>8.6284502871470004</v>
      </c>
      <c r="W606" s="2">
        <v>2.3534671076454199</v>
      </c>
      <c r="X606" s="2">
        <v>15.1244596598859</v>
      </c>
      <c r="Y606" s="2">
        <v>1.7047578273942301</v>
      </c>
      <c r="Z606" s="2">
        <v>1.24509793361737</v>
      </c>
      <c r="AA606" s="3">
        <f t="shared" si="28"/>
        <v>63.610044299330603</v>
      </c>
      <c r="AB606" t="s">
        <v>45</v>
      </c>
      <c r="AC606">
        <v>27.52</v>
      </c>
      <c r="AD606">
        <v>75.89</v>
      </c>
      <c r="AE606">
        <v>28.24</v>
      </c>
      <c r="AF606">
        <v>20.54</v>
      </c>
      <c r="AG606">
        <v>28.92</v>
      </c>
      <c r="AH606">
        <v>18.559999999999999</v>
      </c>
      <c r="AI606">
        <v>16.68</v>
      </c>
      <c r="AJ606">
        <v>17.73</v>
      </c>
      <c r="AK606">
        <v>35.46</v>
      </c>
      <c r="AL606">
        <v>52.16</v>
      </c>
      <c r="AM606">
        <v>68.83</v>
      </c>
      <c r="AN606">
        <v>102.77</v>
      </c>
      <c r="AO606" s="1">
        <f t="shared" si="29"/>
        <v>493.3</v>
      </c>
    </row>
    <row r="607" spans="1:41" x14ac:dyDescent="0.25">
      <c r="A607" t="s">
        <v>650</v>
      </c>
      <c r="B607" s="2">
        <v>1683.04925098218</v>
      </c>
      <c r="C607" s="2">
        <v>2873.9947223553099</v>
      </c>
      <c r="D607" s="2">
        <v>611.62264466968099</v>
      </c>
      <c r="E607" s="2">
        <v>208.27917740228401</v>
      </c>
      <c r="F607" s="2">
        <v>0</v>
      </c>
      <c r="G607" s="2">
        <v>5964.5965520797699</v>
      </c>
      <c r="H607" s="2">
        <v>1711.9662920881401</v>
      </c>
      <c r="I607" s="2">
        <v>904.86897749696504</v>
      </c>
      <c r="J607" s="2">
        <v>5268.8886566210103</v>
      </c>
      <c r="K607" s="2">
        <v>678.11651512621404</v>
      </c>
      <c r="L607" s="2">
        <v>1304.21366656033</v>
      </c>
      <c r="M607" s="2">
        <v>2738.24671208372</v>
      </c>
      <c r="N607" s="3">
        <f t="shared" si="27"/>
        <v>23947.843167465602</v>
      </c>
      <c r="O607" s="2">
        <v>4.54114384204878</v>
      </c>
      <c r="P607" s="2">
        <v>5.2219558846471301</v>
      </c>
      <c r="Q607" s="2">
        <v>0</v>
      </c>
      <c r="R607" s="2">
        <v>6.9081284139516104</v>
      </c>
      <c r="S607" s="2">
        <v>3.22286225041492</v>
      </c>
      <c r="T607" s="2">
        <v>0.194869741710575</v>
      </c>
      <c r="U607" s="2">
        <v>0.57422953588556902</v>
      </c>
      <c r="V607" s="2">
        <v>0</v>
      </c>
      <c r="W607" s="2">
        <v>0</v>
      </c>
      <c r="X607" s="2">
        <v>4.6703810116508597</v>
      </c>
      <c r="Y607" s="2">
        <v>0</v>
      </c>
      <c r="Z607" s="2">
        <v>1.1722737799317799</v>
      </c>
      <c r="AA607" s="3">
        <f t="shared" si="28"/>
        <v>26.505844460241224</v>
      </c>
      <c r="AB607" t="s">
        <v>63</v>
      </c>
      <c r="AC607">
        <v>34.130000000000003</v>
      </c>
      <c r="AD607">
        <v>58.02</v>
      </c>
      <c r="AE607">
        <v>12.24</v>
      </c>
      <c r="AF607">
        <v>4.8099999999999996</v>
      </c>
      <c r="AG607">
        <v>0.36</v>
      </c>
      <c r="AH607">
        <v>119.39</v>
      </c>
      <c r="AI607">
        <v>34.33</v>
      </c>
      <c r="AJ607">
        <v>18.100000000000001</v>
      </c>
      <c r="AK607">
        <v>105.38</v>
      </c>
      <c r="AL607">
        <v>14.03</v>
      </c>
      <c r="AM607">
        <v>26.1</v>
      </c>
      <c r="AN607">
        <v>54.96</v>
      </c>
      <c r="AO607" s="1">
        <f t="shared" si="29"/>
        <v>481.84999999999997</v>
      </c>
    </row>
    <row r="608" spans="1:41" x14ac:dyDescent="0.25">
      <c r="A608" t="s">
        <v>651</v>
      </c>
      <c r="B608" s="2">
        <v>1671.47648044006</v>
      </c>
      <c r="C608" s="2">
        <v>4612.2229248072399</v>
      </c>
      <c r="D608" s="2">
        <v>0</v>
      </c>
      <c r="E608" s="2">
        <v>7069.1352563671899</v>
      </c>
      <c r="F608" s="2">
        <v>4868.9731641245999</v>
      </c>
      <c r="G608" s="2">
        <v>306.15963151157399</v>
      </c>
      <c r="H608" s="2">
        <v>15051.7452176713</v>
      </c>
      <c r="I608" s="2">
        <v>128.36070648932599</v>
      </c>
      <c r="J608" s="2">
        <v>8100.7124776590199</v>
      </c>
      <c r="K608" s="2">
        <v>1652.29345523087</v>
      </c>
      <c r="L608" s="2">
        <v>5204.8834041793598</v>
      </c>
      <c r="M608" s="2">
        <v>2332.7483375397301</v>
      </c>
      <c r="N608" s="3">
        <f t="shared" si="27"/>
        <v>50998.711056020271</v>
      </c>
      <c r="O608" s="2">
        <v>7.4123989020435701</v>
      </c>
      <c r="P608" s="2">
        <v>10.298209054504399</v>
      </c>
      <c r="Q608" s="2">
        <v>1.0236183596744599</v>
      </c>
      <c r="R608" s="2">
        <v>10.9339388776999</v>
      </c>
      <c r="S608" s="2">
        <v>1.65929494461946</v>
      </c>
      <c r="T608" s="2">
        <v>3.76290974524971</v>
      </c>
      <c r="U608" s="2">
        <v>0.49853350308923999</v>
      </c>
      <c r="V608" s="2">
        <v>3.5428589048177401</v>
      </c>
      <c r="W608" s="2">
        <v>17.067804140818701</v>
      </c>
      <c r="X608" s="2">
        <v>3.77302413155655</v>
      </c>
      <c r="Y608" s="2">
        <v>0.57382779396255701</v>
      </c>
      <c r="Z608" s="2">
        <v>3.2400047338842901</v>
      </c>
      <c r="AA608" s="3">
        <f t="shared" si="28"/>
        <v>63.786423091920575</v>
      </c>
      <c r="AB608" t="s">
        <v>45</v>
      </c>
      <c r="AC608">
        <v>27.11</v>
      </c>
      <c r="AD608">
        <v>56.67</v>
      </c>
      <c r="AE608">
        <v>10.09</v>
      </c>
      <c r="AF608">
        <v>81.239999999999995</v>
      </c>
      <c r="AG608">
        <v>58.78</v>
      </c>
      <c r="AH608">
        <v>13.26</v>
      </c>
      <c r="AI608">
        <v>160.56</v>
      </c>
      <c r="AJ608">
        <v>11.48</v>
      </c>
      <c r="AK608">
        <v>91.9</v>
      </c>
      <c r="AL608">
        <v>26.72</v>
      </c>
      <c r="AM608">
        <v>62.09</v>
      </c>
      <c r="AN608">
        <v>33.520000000000003</v>
      </c>
      <c r="AO608" s="1">
        <f t="shared" si="29"/>
        <v>633.42000000000007</v>
      </c>
    </row>
    <row r="609" spans="1:41" x14ac:dyDescent="0.25">
      <c r="A609" t="s">
        <v>652</v>
      </c>
      <c r="B609" s="2">
        <v>1665.69382052939</v>
      </c>
      <c r="C609" s="2">
        <v>681.31956675896595</v>
      </c>
      <c r="D609" s="2">
        <v>5718.7323243712599</v>
      </c>
      <c r="E609" s="2">
        <v>1739.6806867681901</v>
      </c>
      <c r="F609" s="2">
        <v>2417.0128224001401</v>
      </c>
      <c r="G609" s="2">
        <v>157.878379636387</v>
      </c>
      <c r="H609" s="2">
        <v>9184.3617190650202</v>
      </c>
      <c r="I609" s="2">
        <v>2509.0853640422401</v>
      </c>
      <c r="J609" s="2">
        <v>525.37340099784399</v>
      </c>
      <c r="K609" s="2">
        <v>4331.4106436320099</v>
      </c>
      <c r="L609" s="2">
        <v>602.13415696011896</v>
      </c>
      <c r="M609" s="2">
        <v>9478.7130846058808</v>
      </c>
      <c r="N609" s="3">
        <f t="shared" si="27"/>
        <v>39011.395969767444</v>
      </c>
      <c r="O609" s="2">
        <v>1.82620283703544</v>
      </c>
      <c r="P609" s="2">
        <v>0</v>
      </c>
      <c r="Q609" s="2">
        <v>0</v>
      </c>
      <c r="R609" s="2">
        <v>2.6174952905259401</v>
      </c>
      <c r="S609" s="2">
        <v>4.8835888439148603</v>
      </c>
      <c r="T609" s="2">
        <v>2.4999257495450702</v>
      </c>
      <c r="U609" s="2">
        <v>3.1403785022745501</v>
      </c>
      <c r="V609" s="2">
        <v>1.7445192470587301</v>
      </c>
      <c r="W609" s="2">
        <v>3.3873315641679902</v>
      </c>
      <c r="X609" s="2">
        <v>4.4193853413663202</v>
      </c>
      <c r="Y609" s="2">
        <v>2.0502265035826701E-2</v>
      </c>
      <c r="Z609" s="2">
        <v>0</v>
      </c>
      <c r="AA609" s="3">
        <f t="shared" si="28"/>
        <v>24.539329640924731</v>
      </c>
      <c r="AB609" t="s">
        <v>45</v>
      </c>
      <c r="AC609">
        <v>26.75</v>
      </c>
      <c r="AD609">
        <v>16.809999999999999</v>
      </c>
      <c r="AE609">
        <v>67.180000000000007</v>
      </c>
      <c r="AF609">
        <v>27.54</v>
      </c>
      <c r="AG609">
        <v>34.42</v>
      </c>
      <c r="AH609">
        <v>11.72</v>
      </c>
      <c r="AI609">
        <v>102.04</v>
      </c>
      <c r="AJ609">
        <v>35.19</v>
      </c>
      <c r="AK609">
        <v>15.45</v>
      </c>
      <c r="AL609">
        <v>53.56</v>
      </c>
      <c r="AM609">
        <v>16.07</v>
      </c>
      <c r="AN609">
        <v>104.78</v>
      </c>
      <c r="AO609" s="1">
        <f t="shared" si="29"/>
        <v>511.51</v>
      </c>
    </row>
    <row r="610" spans="1:41" x14ac:dyDescent="0.25">
      <c r="A610" t="s">
        <v>653</v>
      </c>
      <c r="B610" s="2">
        <v>1664.7202123606501</v>
      </c>
      <c r="C610" s="2">
        <v>3467.1532185585502</v>
      </c>
      <c r="D610" s="2">
        <v>1699.8755348781001</v>
      </c>
      <c r="E610" s="2">
        <v>1849.8401837193001</v>
      </c>
      <c r="F610" s="2">
        <v>6480.5392294141102</v>
      </c>
      <c r="G610" s="2">
        <v>7416.04295205162</v>
      </c>
      <c r="H610" s="2">
        <v>6679.9277361884597</v>
      </c>
      <c r="I610" s="2">
        <v>7026.85001944122</v>
      </c>
      <c r="J610" s="2">
        <v>2839.1861620239001</v>
      </c>
      <c r="K610" s="2">
        <v>4230.5820165241203</v>
      </c>
      <c r="L610" s="2">
        <v>1953.75628706886</v>
      </c>
      <c r="M610" s="2">
        <v>5868.4434774443298</v>
      </c>
      <c r="N610" s="3">
        <f t="shared" si="27"/>
        <v>51176.917029673219</v>
      </c>
      <c r="O610" s="2">
        <v>3.6751303629834502</v>
      </c>
      <c r="P610" s="2">
        <v>1.2544919673519499</v>
      </c>
      <c r="Q610" s="2">
        <v>14.301048958546099</v>
      </c>
      <c r="R610" s="2">
        <v>1.0472274336705101</v>
      </c>
      <c r="S610" s="2">
        <v>0</v>
      </c>
      <c r="T610" s="2">
        <v>1.36796368002239E-2</v>
      </c>
      <c r="U610" s="2">
        <v>0.239516539733301</v>
      </c>
      <c r="V610" s="2">
        <v>0.152227705965365</v>
      </c>
      <c r="W610" s="2">
        <v>6.0261421134153901</v>
      </c>
      <c r="X610" s="2">
        <v>13.976317480071099</v>
      </c>
      <c r="Y610" s="2">
        <v>0.65635030506613801</v>
      </c>
      <c r="Z610" s="2">
        <v>3.0789964838528099</v>
      </c>
      <c r="AA610" s="3">
        <f t="shared" si="28"/>
        <v>44.421128987456342</v>
      </c>
      <c r="AB610" t="s">
        <v>45</v>
      </c>
      <c r="AC610">
        <v>26.84</v>
      </c>
      <c r="AD610">
        <v>44.77</v>
      </c>
      <c r="AE610">
        <v>27.74</v>
      </c>
      <c r="AF610">
        <v>28.59</v>
      </c>
      <c r="AG610">
        <v>74.8</v>
      </c>
      <c r="AH610">
        <v>84.21</v>
      </c>
      <c r="AI610">
        <v>76.84</v>
      </c>
      <c r="AJ610">
        <v>80.31</v>
      </c>
      <c r="AK610">
        <v>38.74</v>
      </c>
      <c r="AL610">
        <v>53</v>
      </c>
      <c r="AM610">
        <v>29.58</v>
      </c>
      <c r="AN610">
        <v>68.88</v>
      </c>
      <c r="AO610" s="1">
        <f t="shared" si="29"/>
        <v>634.29999999999995</v>
      </c>
    </row>
    <row r="611" spans="1:41" x14ac:dyDescent="0.25">
      <c r="A611" t="s">
        <v>654</v>
      </c>
      <c r="B611" s="2">
        <v>1642.1030705000901</v>
      </c>
      <c r="C611" s="2">
        <v>800.77354128511195</v>
      </c>
      <c r="D611" s="2">
        <v>8498.5493011832896</v>
      </c>
      <c r="E611" s="2">
        <v>364.66241780368199</v>
      </c>
      <c r="F611" s="2">
        <v>5149.4477835032403</v>
      </c>
      <c r="G611" s="2">
        <v>806.15064468869298</v>
      </c>
      <c r="H611" s="2">
        <v>2973.2619801314399</v>
      </c>
      <c r="I611" s="2">
        <v>1908.5595166318701</v>
      </c>
      <c r="J611" s="2">
        <v>3881.1833789563502</v>
      </c>
      <c r="K611" s="2">
        <v>6008.4355022800501</v>
      </c>
      <c r="L611" s="2">
        <v>369.042365250866</v>
      </c>
      <c r="M611" s="2">
        <v>1140.4932463805201</v>
      </c>
      <c r="N611" s="3">
        <f t="shared" si="27"/>
        <v>33542.662748595198</v>
      </c>
      <c r="O611" s="2">
        <v>0.28663850272116198</v>
      </c>
      <c r="P611" s="2">
        <v>9.5476792558655905</v>
      </c>
      <c r="Q611" s="2">
        <v>3.5549685983319801</v>
      </c>
      <c r="R611" s="2">
        <v>2.2903536826978099</v>
      </c>
      <c r="S611" s="2">
        <v>3.26862453269794</v>
      </c>
      <c r="T611" s="2">
        <v>3.27447163696691</v>
      </c>
      <c r="U611" s="2">
        <v>5.6985228256452798</v>
      </c>
      <c r="V611" s="2">
        <v>0.52109840397614304</v>
      </c>
      <c r="W611" s="2">
        <v>7.3287474016376901</v>
      </c>
      <c r="X611" s="2">
        <v>10.745630597797099</v>
      </c>
      <c r="Y611" s="2">
        <v>3.79029576875873</v>
      </c>
      <c r="Z611" s="2">
        <v>13.148153618423899</v>
      </c>
      <c r="AA611" s="3">
        <f t="shared" si="28"/>
        <v>63.455184825520234</v>
      </c>
      <c r="AB611" t="s">
        <v>63</v>
      </c>
      <c r="AC611">
        <v>32.950000000000003</v>
      </c>
      <c r="AD611">
        <v>16.920000000000002</v>
      </c>
      <c r="AE611">
        <v>170.34</v>
      </c>
      <c r="AF611">
        <v>7.57</v>
      </c>
      <c r="AG611">
        <v>103.36</v>
      </c>
      <c r="AH611">
        <v>16.5</v>
      </c>
      <c r="AI611">
        <v>60.02</v>
      </c>
      <c r="AJ611">
        <v>38.270000000000003</v>
      </c>
      <c r="AK611">
        <v>78.36</v>
      </c>
      <c r="AL611">
        <v>121.17</v>
      </c>
      <c r="AM611">
        <v>7.76</v>
      </c>
      <c r="AN611">
        <v>24.08</v>
      </c>
      <c r="AO611" s="1">
        <f t="shared" si="29"/>
        <v>677.3</v>
      </c>
    </row>
    <row r="612" spans="1:41" x14ac:dyDescent="0.25">
      <c r="A612" t="s">
        <v>655</v>
      </c>
      <c r="B612" s="2">
        <v>1635.75026155508</v>
      </c>
      <c r="C612" s="2">
        <v>2404.2919743461798</v>
      </c>
      <c r="D612" s="2">
        <v>2031.30630071065</v>
      </c>
      <c r="E612" s="2">
        <v>7139.9543235915698</v>
      </c>
      <c r="F612" s="2">
        <v>15957.587785485901</v>
      </c>
      <c r="G612" s="2">
        <v>1649.28101653571</v>
      </c>
      <c r="H612" s="2">
        <v>3415.2172182950499</v>
      </c>
      <c r="I612" s="2">
        <v>0</v>
      </c>
      <c r="J612" s="2">
        <v>825.51077129777696</v>
      </c>
      <c r="K612" s="2">
        <v>8326.6264105597693</v>
      </c>
      <c r="L612" s="2">
        <v>886.197320231189</v>
      </c>
      <c r="M612" s="2">
        <v>4501.4716158460897</v>
      </c>
      <c r="N612" s="3">
        <f t="shared" si="27"/>
        <v>48773.194998454957</v>
      </c>
      <c r="O612" s="2">
        <v>0</v>
      </c>
      <c r="P612" s="2">
        <v>1.5770469467614301</v>
      </c>
      <c r="Q612" s="2">
        <v>5.05143483973802</v>
      </c>
      <c r="R612" s="2">
        <v>0.22654281772493001</v>
      </c>
      <c r="S612" s="2">
        <v>0.64224814567654798</v>
      </c>
      <c r="T612" s="2">
        <v>0</v>
      </c>
      <c r="U612" s="2">
        <v>6.00111735937978</v>
      </c>
      <c r="V612" s="2">
        <v>0</v>
      </c>
      <c r="W612" s="2">
        <v>1.1664237881145401</v>
      </c>
      <c r="X612" s="2">
        <v>2.4041731332061098</v>
      </c>
      <c r="Y612" s="2">
        <v>6.0911444293180699</v>
      </c>
      <c r="Z612" s="2">
        <v>5.2689081216386899</v>
      </c>
      <c r="AA612" s="3">
        <f t="shared" si="28"/>
        <v>28.429039581558122</v>
      </c>
      <c r="AB612" t="s">
        <v>45</v>
      </c>
      <c r="AC612">
        <v>26.35</v>
      </c>
      <c r="AD612">
        <v>34.14</v>
      </c>
      <c r="AE612">
        <v>30.61</v>
      </c>
      <c r="AF612">
        <v>81.44</v>
      </c>
      <c r="AG612">
        <v>169.62</v>
      </c>
      <c r="AH612">
        <v>26.49</v>
      </c>
      <c r="AI612">
        <v>44.5</v>
      </c>
      <c r="AJ612">
        <v>9.99</v>
      </c>
      <c r="AK612">
        <v>18.350000000000001</v>
      </c>
      <c r="AL612">
        <v>93.41</v>
      </c>
      <c r="AM612">
        <v>19.21</v>
      </c>
      <c r="AN612">
        <v>55.31</v>
      </c>
      <c r="AO612" s="1">
        <f t="shared" si="29"/>
        <v>609.42000000000007</v>
      </c>
    </row>
    <row r="613" spans="1:41" x14ac:dyDescent="0.25">
      <c r="A613" t="s">
        <v>656</v>
      </c>
      <c r="B613" s="2">
        <v>1633.95308095172</v>
      </c>
      <c r="C613" s="2">
        <v>2598.1755855388501</v>
      </c>
      <c r="D613" s="2">
        <v>1186.62814001578</v>
      </c>
      <c r="E613" s="2">
        <v>8442.8021750833996</v>
      </c>
      <c r="F613" s="2">
        <v>864.18258808456596</v>
      </c>
      <c r="G613" s="2">
        <v>3280.8622727790498</v>
      </c>
      <c r="H613" s="2">
        <v>2112.8381891993299</v>
      </c>
      <c r="I613" s="2">
        <v>4862.4799554888996</v>
      </c>
      <c r="J613" s="2">
        <v>3261.5363926302898</v>
      </c>
      <c r="K613" s="2">
        <v>1417.5820125134801</v>
      </c>
      <c r="L613" s="2">
        <v>936.99976553000204</v>
      </c>
      <c r="M613" s="2">
        <v>9708.7421715576093</v>
      </c>
      <c r="N613" s="3">
        <f t="shared" si="27"/>
        <v>40306.782329372974</v>
      </c>
      <c r="O613" s="2">
        <v>10.9995646388538</v>
      </c>
      <c r="P613" s="2">
        <v>4.38207043389788</v>
      </c>
      <c r="Q613" s="2">
        <v>5.96531532344122</v>
      </c>
      <c r="R613" s="2">
        <v>0.500757615096455</v>
      </c>
      <c r="S613" s="2">
        <v>8.1375187997592704</v>
      </c>
      <c r="T613" s="2">
        <v>2.6568431695177801</v>
      </c>
      <c r="U613" s="2">
        <v>6.6742232678063198</v>
      </c>
      <c r="V613" s="2">
        <v>0.62687103867752003</v>
      </c>
      <c r="W613" s="2">
        <v>13.2848644728304</v>
      </c>
      <c r="X613" s="2">
        <v>6.2850206886699302</v>
      </c>
      <c r="Y613" s="2">
        <v>7.5529160934095101</v>
      </c>
      <c r="Z613" s="2">
        <v>0</v>
      </c>
      <c r="AA613" s="3">
        <f t="shared" si="28"/>
        <v>67.065965541960082</v>
      </c>
      <c r="AB613" t="s">
        <v>45</v>
      </c>
      <c r="AC613">
        <v>26.88</v>
      </c>
      <c r="AD613">
        <v>36.229999999999997</v>
      </c>
      <c r="AE613">
        <v>22.16</v>
      </c>
      <c r="AF613">
        <v>94.47</v>
      </c>
      <c r="AG613">
        <v>19.09</v>
      </c>
      <c r="AH613">
        <v>42.95</v>
      </c>
      <c r="AI613">
        <v>31.47</v>
      </c>
      <c r="AJ613">
        <v>58.67</v>
      </c>
      <c r="AK613">
        <v>43.31</v>
      </c>
      <c r="AL613">
        <v>24.52</v>
      </c>
      <c r="AM613">
        <v>19.760000000000002</v>
      </c>
      <c r="AN613">
        <v>107.08</v>
      </c>
      <c r="AO613" s="1">
        <f t="shared" si="29"/>
        <v>526.59</v>
      </c>
    </row>
    <row r="614" spans="1:41" x14ac:dyDescent="0.25">
      <c r="A614" t="s">
        <v>657</v>
      </c>
      <c r="B614" s="2">
        <v>1627.7965021509499</v>
      </c>
      <c r="C614" s="2">
        <v>5601.2951870138604</v>
      </c>
      <c r="D614" s="2">
        <v>647.48939337014804</v>
      </c>
      <c r="E614" s="2">
        <v>3846.2002424242401</v>
      </c>
      <c r="F614" s="2">
        <v>7096.2373141298904</v>
      </c>
      <c r="G614" s="2">
        <v>11697.2494574056</v>
      </c>
      <c r="H614" s="2">
        <v>2095.1554735425798</v>
      </c>
      <c r="I614" s="2">
        <v>13555.2436308871</v>
      </c>
      <c r="J614" s="2">
        <v>2174.2528914118002</v>
      </c>
      <c r="K614" s="2">
        <v>1541.03736894754</v>
      </c>
      <c r="L614" s="2">
        <v>2820.58514329437</v>
      </c>
      <c r="M614" s="2">
        <v>3402.42638168433</v>
      </c>
      <c r="N614" s="3">
        <f t="shared" si="27"/>
        <v>56104.9689862624</v>
      </c>
      <c r="O614" s="2">
        <v>1.5272203047419399</v>
      </c>
      <c r="P614" s="2">
        <v>2.4427366521974299</v>
      </c>
      <c r="Q614" s="2">
        <v>1.64915017638318</v>
      </c>
      <c r="R614" s="2">
        <v>5.4642095487394702</v>
      </c>
      <c r="S614" s="2">
        <v>0</v>
      </c>
      <c r="T614" s="2">
        <v>11.9036736822669</v>
      </c>
      <c r="U614" s="2">
        <v>5.5400022788811603</v>
      </c>
      <c r="V614" s="2">
        <v>0</v>
      </c>
      <c r="W614" s="2">
        <v>4.8419641536374103</v>
      </c>
      <c r="X614" s="2">
        <v>2.3229238122929701</v>
      </c>
      <c r="Y614" s="2">
        <v>1.22048870013612</v>
      </c>
      <c r="Z614" s="2">
        <v>5.4524198943335298</v>
      </c>
      <c r="AA614" s="3">
        <f t="shared" si="28"/>
        <v>42.364789203610115</v>
      </c>
      <c r="AB614" t="s">
        <v>45</v>
      </c>
      <c r="AC614">
        <v>26.37</v>
      </c>
      <c r="AD614">
        <v>66.16</v>
      </c>
      <c r="AE614">
        <v>16.57</v>
      </c>
      <c r="AF614">
        <v>48.76</v>
      </c>
      <c r="AG614">
        <v>80.959999999999994</v>
      </c>
      <c r="AH614">
        <v>127.57</v>
      </c>
      <c r="AI614">
        <v>31.25</v>
      </c>
      <c r="AJ614">
        <v>145.55000000000001</v>
      </c>
      <c r="AK614">
        <v>31.99</v>
      </c>
      <c r="AL614">
        <v>25.56</v>
      </c>
      <c r="AM614">
        <v>38.299999999999997</v>
      </c>
      <c r="AN614">
        <v>44.32</v>
      </c>
      <c r="AO614" s="1">
        <f t="shared" si="29"/>
        <v>683.36</v>
      </c>
    </row>
    <row r="615" spans="1:41" x14ac:dyDescent="0.25">
      <c r="A615" t="s">
        <v>658</v>
      </c>
      <c r="B615" s="2">
        <v>1625.7041685014501</v>
      </c>
      <c r="C615" s="2">
        <v>502.03733330893101</v>
      </c>
      <c r="D615" s="2">
        <v>2667.99510420968</v>
      </c>
      <c r="E615" s="2">
        <v>125.120463825136</v>
      </c>
      <c r="F615" s="2">
        <v>8487.1384268156708</v>
      </c>
      <c r="G615" s="2">
        <v>5387.3985042930599</v>
      </c>
      <c r="H615" s="2">
        <v>1433.2219901445801</v>
      </c>
      <c r="I615" s="2">
        <v>4258.04234302438</v>
      </c>
      <c r="J615" s="2">
        <v>890.87721769892698</v>
      </c>
      <c r="K615" s="2">
        <v>4915.3880750561602</v>
      </c>
      <c r="L615" s="2">
        <v>6475.9646843716801</v>
      </c>
      <c r="M615" s="2">
        <v>5945.16074142454</v>
      </c>
      <c r="N615" s="3">
        <f t="shared" si="27"/>
        <v>42714.049052674192</v>
      </c>
      <c r="O615" s="2">
        <v>1.14839462480842</v>
      </c>
      <c r="P615" s="2">
        <v>2.8555160699715101</v>
      </c>
      <c r="Q615" s="2">
        <v>0</v>
      </c>
      <c r="R615" s="2">
        <v>1.2544001461763401</v>
      </c>
      <c r="S615" s="2">
        <v>3.0484863485503402</v>
      </c>
      <c r="T615" s="2">
        <v>9.2211022721604703</v>
      </c>
      <c r="U615" s="2">
        <v>11.7621266381075</v>
      </c>
      <c r="V615" s="2">
        <v>5.3399511425636099</v>
      </c>
      <c r="W615" s="2">
        <v>0.78321790822906201</v>
      </c>
      <c r="X615" s="2">
        <v>0.27360424718614901</v>
      </c>
      <c r="Y615" s="2">
        <v>8.2810904084605497</v>
      </c>
      <c r="Z615" s="2">
        <v>5.0927906119891899</v>
      </c>
      <c r="AA615" s="3">
        <f t="shared" si="28"/>
        <v>49.060680418203141</v>
      </c>
      <c r="AB615" t="s">
        <v>45</v>
      </c>
      <c r="AC615">
        <v>26.35</v>
      </c>
      <c r="AD615">
        <v>15.17</v>
      </c>
      <c r="AE615">
        <v>36.67</v>
      </c>
      <c r="AF615">
        <v>11.35</v>
      </c>
      <c r="AG615">
        <v>95.07</v>
      </c>
      <c r="AH615">
        <v>64.37</v>
      </c>
      <c r="AI615">
        <v>24.93</v>
      </c>
      <c r="AJ615">
        <v>52.88</v>
      </c>
      <c r="AK615">
        <v>18.95</v>
      </c>
      <c r="AL615">
        <v>59.2</v>
      </c>
      <c r="AM615">
        <v>75.2</v>
      </c>
      <c r="AN615">
        <v>69.75</v>
      </c>
      <c r="AO615" s="1">
        <f t="shared" si="29"/>
        <v>549.88999999999987</v>
      </c>
    </row>
    <row r="616" spans="1:41" x14ac:dyDescent="0.25">
      <c r="A616" t="s">
        <v>659</v>
      </c>
      <c r="B616" s="2">
        <v>1621.2389183023499</v>
      </c>
      <c r="C616" s="2">
        <v>2562.2876463615598</v>
      </c>
      <c r="D616" s="2">
        <v>3248.2369335175199</v>
      </c>
      <c r="E616" s="2">
        <v>11900.410436776699</v>
      </c>
      <c r="F616" s="2">
        <v>2280.7517848511402</v>
      </c>
      <c r="G616" s="2">
        <v>4320.0723946574599</v>
      </c>
      <c r="H616" s="2">
        <v>3302.7999030914898</v>
      </c>
      <c r="I616" s="2">
        <v>165.64708403085001</v>
      </c>
      <c r="J616" s="2">
        <v>2604.0440792556101</v>
      </c>
      <c r="K616" s="2">
        <v>13135.392913968601</v>
      </c>
      <c r="L616" s="2">
        <v>454.84165363105097</v>
      </c>
      <c r="M616" s="2">
        <v>1858.29524599605</v>
      </c>
      <c r="N616" s="3">
        <f t="shared" si="27"/>
        <v>47454.01899444039</v>
      </c>
      <c r="O616" s="2">
        <v>0.47458611416468199</v>
      </c>
      <c r="P616" s="2">
        <v>4.0334940393131804</v>
      </c>
      <c r="Q616" s="2">
        <v>1.68711689734993</v>
      </c>
      <c r="R616" s="2">
        <v>2.60649761562152</v>
      </c>
      <c r="S616" s="2">
        <v>5.0555374820839099</v>
      </c>
      <c r="T616" s="2">
        <v>0</v>
      </c>
      <c r="U616" s="2">
        <v>6.4413750325636396</v>
      </c>
      <c r="V616" s="2">
        <v>1.8810704064799499</v>
      </c>
      <c r="W616" s="2">
        <v>2.8187197943887199</v>
      </c>
      <c r="X616" s="2">
        <v>2.3025674734903698</v>
      </c>
      <c r="Y616" s="2">
        <v>3.3893691572838098</v>
      </c>
      <c r="Z616" s="2">
        <v>0</v>
      </c>
      <c r="AA616" s="3">
        <f t="shared" si="28"/>
        <v>30.690334012739712</v>
      </c>
      <c r="AB616" t="s">
        <v>45</v>
      </c>
      <c r="AC616">
        <v>26.26</v>
      </c>
      <c r="AD616">
        <v>35.869999999999997</v>
      </c>
      <c r="AE616">
        <v>42.58</v>
      </c>
      <c r="AF616">
        <v>129.15</v>
      </c>
      <c r="AG616">
        <v>33.1</v>
      </c>
      <c r="AH616">
        <v>53.2</v>
      </c>
      <c r="AI616">
        <v>43.37</v>
      </c>
      <c r="AJ616">
        <v>11.75</v>
      </c>
      <c r="AK616">
        <v>36.19</v>
      </c>
      <c r="AL616">
        <v>141.5</v>
      </c>
      <c r="AM616">
        <v>14.74</v>
      </c>
      <c r="AN616">
        <v>28.58</v>
      </c>
      <c r="AO616" s="1">
        <f t="shared" si="29"/>
        <v>596.29000000000008</v>
      </c>
    </row>
    <row r="617" spans="1:41" x14ac:dyDescent="0.25">
      <c r="A617" t="s">
        <v>660</v>
      </c>
      <c r="B617" s="2">
        <v>1619.7832410205599</v>
      </c>
      <c r="C617" s="2">
        <v>7826.89276595098</v>
      </c>
      <c r="D617" s="2">
        <v>732.95665751352999</v>
      </c>
      <c r="E617" s="2">
        <v>2067.3694809516601</v>
      </c>
      <c r="F617" s="2">
        <v>7410.7687950312402</v>
      </c>
      <c r="G617" s="2">
        <v>15781.794609148101</v>
      </c>
      <c r="H617" s="2">
        <v>4185.2827073933204</v>
      </c>
      <c r="I617" s="2">
        <v>2043.1375083897101</v>
      </c>
      <c r="J617" s="2">
        <v>2186.8018047084001</v>
      </c>
      <c r="K617" s="2">
        <v>1096.1315932883099</v>
      </c>
      <c r="L617" s="2">
        <v>4182.2849785013505</v>
      </c>
      <c r="M617" s="2">
        <v>5769.5933193670999</v>
      </c>
      <c r="N617" s="3">
        <f t="shared" si="27"/>
        <v>54902.797461264257</v>
      </c>
      <c r="O617" s="2">
        <v>2.6457275835041498</v>
      </c>
      <c r="P617" s="2">
        <v>3.2354106241468901</v>
      </c>
      <c r="Q617" s="2">
        <v>2.80079058795762</v>
      </c>
      <c r="R617" s="2">
        <v>2.3721067781399499</v>
      </c>
      <c r="S617" s="2">
        <v>2.16134315061361</v>
      </c>
      <c r="T617" s="2">
        <v>0.63592497030644202</v>
      </c>
      <c r="U617" s="2">
        <v>9.9592840579753997E-2</v>
      </c>
      <c r="V617" s="2">
        <v>1.4331908882698201</v>
      </c>
      <c r="W617" s="2">
        <v>3.2103368840589499</v>
      </c>
      <c r="X617" s="2">
        <v>4.4067729877304904</v>
      </c>
      <c r="Y617" s="2">
        <v>11.061372150637199</v>
      </c>
      <c r="Z617" s="2">
        <v>3.7894573011428698</v>
      </c>
      <c r="AA617" s="3">
        <f t="shared" si="28"/>
        <v>37.852026747087741</v>
      </c>
      <c r="AB617" t="s">
        <v>45</v>
      </c>
      <c r="AC617">
        <v>26.34</v>
      </c>
      <c r="AD617">
        <v>88.46</v>
      </c>
      <c r="AE617">
        <v>17.47</v>
      </c>
      <c r="AF617">
        <v>30.82</v>
      </c>
      <c r="AG617">
        <v>84.25</v>
      </c>
      <c r="AH617">
        <v>167.86</v>
      </c>
      <c r="AI617">
        <v>51.9</v>
      </c>
      <c r="AJ617">
        <v>30.53</v>
      </c>
      <c r="AK617">
        <v>32.06</v>
      </c>
      <c r="AL617">
        <v>21.21</v>
      </c>
      <c r="AM617">
        <v>52.42</v>
      </c>
      <c r="AN617">
        <v>67.89</v>
      </c>
      <c r="AO617" s="1">
        <f t="shared" si="29"/>
        <v>671.21</v>
      </c>
    </row>
    <row r="618" spans="1:41" x14ac:dyDescent="0.25">
      <c r="A618" t="s">
        <v>661</v>
      </c>
      <c r="B618" s="2">
        <v>1617.3019419556899</v>
      </c>
      <c r="C618" s="2">
        <v>7957.54060118286</v>
      </c>
      <c r="D618" s="2">
        <v>514.78090922970296</v>
      </c>
      <c r="E618" s="2">
        <v>705.85042169055305</v>
      </c>
      <c r="F618" s="2">
        <v>7297.0872763849002</v>
      </c>
      <c r="G618" s="2">
        <v>89.403062694042504</v>
      </c>
      <c r="H618" s="2">
        <v>72.9715132691815</v>
      </c>
      <c r="I618" s="2">
        <v>597.88239184114605</v>
      </c>
      <c r="J618" s="2">
        <v>6625.7888090968299</v>
      </c>
      <c r="K618" s="2">
        <v>5825.95461331565</v>
      </c>
      <c r="L618" s="2">
        <v>731.32987138563601</v>
      </c>
      <c r="M618" s="2">
        <v>3299.6897977947801</v>
      </c>
      <c r="N618" s="3">
        <f t="shared" si="27"/>
        <v>35335.581209840973</v>
      </c>
      <c r="O618" s="2">
        <v>2.3993721838454598</v>
      </c>
      <c r="P618" s="2">
        <v>0.56193135962051999</v>
      </c>
      <c r="Q618" s="2">
        <v>4.7145270482489501</v>
      </c>
      <c r="R618" s="2">
        <v>9.4558959448364899</v>
      </c>
      <c r="S618" s="2">
        <v>0.27276871391619101</v>
      </c>
      <c r="T618" s="2">
        <v>3.3227855263624102</v>
      </c>
      <c r="U618" s="2">
        <v>1.83847363891649</v>
      </c>
      <c r="V618" s="2">
        <v>5.52550320980371</v>
      </c>
      <c r="W618" s="2">
        <v>1.2272188655492899</v>
      </c>
      <c r="X618" s="2">
        <v>3.0568491402276701</v>
      </c>
      <c r="Y618" s="2">
        <v>0.584622802367598</v>
      </c>
      <c r="Z618" s="2">
        <v>0</v>
      </c>
      <c r="AA618" s="3">
        <f t="shared" si="28"/>
        <v>32.959948433694777</v>
      </c>
      <c r="AB618" t="s">
        <v>63</v>
      </c>
      <c r="AC618">
        <v>32.630000000000003</v>
      </c>
      <c r="AD618">
        <v>159.25</v>
      </c>
      <c r="AE618">
        <v>10.75</v>
      </c>
      <c r="AF618">
        <v>15.02</v>
      </c>
      <c r="AG618">
        <v>146.05000000000001</v>
      </c>
      <c r="AH618">
        <v>2.16</v>
      </c>
      <c r="AI618">
        <v>1.64</v>
      </c>
      <c r="AJ618">
        <v>12.5</v>
      </c>
      <c r="AK618">
        <v>132.69999999999999</v>
      </c>
      <c r="AL618">
        <v>116.88</v>
      </c>
      <c r="AM618">
        <v>14.73</v>
      </c>
      <c r="AN618">
        <v>66</v>
      </c>
      <c r="AO618" s="1">
        <f t="shared" si="29"/>
        <v>710.31000000000006</v>
      </c>
    </row>
    <row r="619" spans="1:41" x14ac:dyDescent="0.25">
      <c r="A619" t="s">
        <v>662</v>
      </c>
      <c r="B619" s="2">
        <v>1614.8459333917999</v>
      </c>
      <c r="C619" s="2">
        <v>4267.68053191954</v>
      </c>
      <c r="D619" s="2">
        <v>8457.5160425895392</v>
      </c>
      <c r="E619" s="2">
        <v>3800.97638052818</v>
      </c>
      <c r="F619" s="2">
        <v>12198.6064006576</v>
      </c>
      <c r="G619" s="2">
        <v>1944.9653604113901</v>
      </c>
      <c r="H619" s="2">
        <v>2741.8287322750002</v>
      </c>
      <c r="I619" s="2">
        <v>1415.3788184852101</v>
      </c>
      <c r="J619" s="2">
        <v>15005.158810172699</v>
      </c>
      <c r="K619" s="2">
        <v>0</v>
      </c>
      <c r="L619" s="2">
        <v>1108.8530856965799</v>
      </c>
      <c r="M619" s="2">
        <v>669.56197360562601</v>
      </c>
      <c r="N619" s="3">
        <f t="shared" si="27"/>
        <v>53225.372069733174</v>
      </c>
      <c r="O619" s="2">
        <v>3.76656938980963</v>
      </c>
      <c r="P619" s="2">
        <v>0</v>
      </c>
      <c r="Q619" s="2">
        <v>0.85157741904009499</v>
      </c>
      <c r="R619" s="2">
        <v>31.7878478567782</v>
      </c>
      <c r="S619" s="2">
        <v>7.1564719590586501</v>
      </c>
      <c r="T619" s="2">
        <v>8.2267737764718092</v>
      </c>
      <c r="U619" s="2">
        <v>7.6528294489009099</v>
      </c>
      <c r="V619" s="2">
        <v>1.7213248548403099</v>
      </c>
      <c r="W619" s="2">
        <v>0</v>
      </c>
      <c r="X619" s="2">
        <v>0.63868008563516798</v>
      </c>
      <c r="Y619" s="2">
        <v>2.3368470707154101</v>
      </c>
      <c r="Z619" s="2">
        <v>0</v>
      </c>
      <c r="AA619" s="3">
        <f t="shared" si="28"/>
        <v>64.138921861250182</v>
      </c>
      <c r="AB619" t="s">
        <v>45</v>
      </c>
      <c r="AC619">
        <v>26.34</v>
      </c>
      <c r="AD619">
        <v>52.67</v>
      </c>
      <c r="AE619">
        <v>94.62</v>
      </c>
      <c r="AF619">
        <v>49.6</v>
      </c>
      <c r="AG619">
        <v>132.38</v>
      </c>
      <c r="AH619">
        <v>29.89</v>
      </c>
      <c r="AI619">
        <v>37.81</v>
      </c>
      <c r="AJ619">
        <v>24.25</v>
      </c>
      <c r="AK619">
        <v>160.05000000000001</v>
      </c>
      <c r="AL619">
        <v>10.039999999999999</v>
      </c>
      <c r="AM619">
        <v>21.23</v>
      </c>
      <c r="AN619">
        <v>16.690000000000001</v>
      </c>
      <c r="AO619" s="1">
        <f t="shared" si="29"/>
        <v>655.57</v>
      </c>
    </row>
    <row r="620" spans="1:41" x14ac:dyDescent="0.25">
      <c r="A620" t="s">
        <v>663</v>
      </c>
      <c r="B620" s="2">
        <v>1610.66522526822</v>
      </c>
      <c r="C620" s="2">
        <v>6357.30521511806</v>
      </c>
      <c r="D620" s="2">
        <v>6089.8029317145401</v>
      </c>
      <c r="E620" s="2">
        <v>3697.9656610893298</v>
      </c>
      <c r="F620" s="2">
        <v>3087.1413596961102</v>
      </c>
      <c r="G620" s="2">
        <v>0</v>
      </c>
      <c r="H620" s="2">
        <v>2109.3831094289999</v>
      </c>
      <c r="I620" s="2">
        <v>1159.38426666648</v>
      </c>
      <c r="J620" s="2">
        <v>937.28383474725899</v>
      </c>
      <c r="K620" s="2">
        <v>1365.00464346739</v>
      </c>
      <c r="L620" s="2">
        <v>657.67583270083196</v>
      </c>
      <c r="M620" s="2">
        <v>3758.3316364253101</v>
      </c>
      <c r="N620" s="3">
        <f t="shared" si="27"/>
        <v>30829.94371632253</v>
      </c>
      <c r="O620" s="2">
        <v>1.2939029846721499</v>
      </c>
      <c r="P620" s="2">
        <v>2.4688208859361298</v>
      </c>
      <c r="Q620" s="2">
        <v>1.0845467311819701</v>
      </c>
      <c r="R620" s="2">
        <v>3.1842969005251298</v>
      </c>
      <c r="S620" s="2">
        <v>4.1576907937024901</v>
      </c>
      <c r="T620" s="2">
        <v>0.24533397472180901</v>
      </c>
      <c r="U620" s="2">
        <v>9.3561902700662998</v>
      </c>
      <c r="V620" s="2">
        <v>2.9605748314067002</v>
      </c>
      <c r="W620" s="2">
        <v>4.7224713128261397</v>
      </c>
      <c r="X620" s="2">
        <v>0</v>
      </c>
      <c r="Y620" s="2">
        <v>0.85966193791274503</v>
      </c>
      <c r="Z620" s="2">
        <v>2.3968714685922898</v>
      </c>
      <c r="AA620" s="3">
        <f t="shared" si="28"/>
        <v>32.730362091543853</v>
      </c>
      <c r="AB620" t="s">
        <v>63</v>
      </c>
      <c r="AC620">
        <v>32.4</v>
      </c>
      <c r="AD620">
        <v>127.43</v>
      </c>
      <c r="AE620">
        <v>121.98</v>
      </c>
      <c r="AF620">
        <v>74.319999999999993</v>
      </c>
      <c r="AG620">
        <v>62.21</v>
      </c>
      <c r="AH620">
        <v>0.09</v>
      </c>
      <c r="AI620">
        <v>43.1</v>
      </c>
      <c r="AJ620">
        <v>23.47</v>
      </c>
      <c r="AK620">
        <v>19.21</v>
      </c>
      <c r="AL620">
        <v>27.32</v>
      </c>
      <c r="AM620">
        <v>13.25</v>
      </c>
      <c r="AN620">
        <v>75.45</v>
      </c>
      <c r="AO620" s="1">
        <f t="shared" si="29"/>
        <v>620.23</v>
      </c>
    </row>
    <row r="621" spans="1:41" x14ac:dyDescent="0.25">
      <c r="A621" t="s">
        <v>664</v>
      </c>
      <c r="B621" s="2">
        <v>1603.8320944192501</v>
      </c>
      <c r="C621" s="2">
        <v>5106.4817244543001</v>
      </c>
      <c r="D621" s="2">
        <v>5086.1397716657002</v>
      </c>
      <c r="E621" s="2">
        <v>0</v>
      </c>
      <c r="F621" s="2">
        <v>813.88954113122202</v>
      </c>
      <c r="G621" s="2">
        <v>0</v>
      </c>
      <c r="H621" s="2">
        <v>1726.17183677606</v>
      </c>
      <c r="I621" s="2">
        <v>1673.45624024994</v>
      </c>
      <c r="J621" s="2">
        <v>3676.79690108048</v>
      </c>
      <c r="K621" s="2">
        <v>5759.5564907678299</v>
      </c>
      <c r="L621" s="2">
        <v>204.67915954068201</v>
      </c>
      <c r="M621" s="2">
        <v>2150.0313948778798</v>
      </c>
      <c r="N621" s="3">
        <f t="shared" si="27"/>
        <v>27801.035154963345</v>
      </c>
      <c r="O621" s="2">
        <v>6.3883259338000604</v>
      </c>
      <c r="P621" s="2">
        <v>0.845062825941577</v>
      </c>
      <c r="Q621" s="2">
        <v>0.77345535920405295</v>
      </c>
      <c r="R621" s="2">
        <v>0</v>
      </c>
      <c r="S621" s="2">
        <v>4.3342200383624396</v>
      </c>
      <c r="T621" s="2">
        <v>11.0306781132018</v>
      </c>
      <c r="U621" s="2">
        <v>3.4495105548542102</v>
      </c>
      <c r="V621" s="2">
        <v>1.89737401282865</v>
      </c>
      <c r="W621" s="2">
        <v>2.8743789506514101</v>
      </c>
      <c r="X621" s="2">
        <v>1.8675306295315901</v>
      </c>
      <c r="Y621" s="2">
        <v>2.98905962662585</v>
      </c>
      <c r="Z621" s="2">
        <v>4.0097825913299703</v>
      </c>
      <c r="AA621" s="3">
        <f t="shared" si="28"/>
        <v>40.459378636331614</v>
      </c>
      <c r="AB621" t="s">
        <v>63</v>
      </c>
      <c r="AC621">
        <v>32.71</v>
      </c>
      <c r="AD621">
        <v>102.23</v>
      </c>
      <c r="AE621">
        <v>101.83</v>
      </c>
      <c r="AF621">
        <v>0</v>
      </c>
      <c r="AG621">
        <v>16.73</v>
      </c>
      <c r="AH621">
        <v>1.08</v>
      </c>
      <c r="AI621">
        <v>34.9</v>
      </c>
      <c r="AJ621">
        <v>33.659999999999997</v>
      </c>
      <c r="AK621">
        <v>73.81</v>
      </c>
      <c r="AL621">
        <v>115.38</v>
      </c>
      <c r="AM621">
        <v>4.37</v>
      </c>
      <c r="AN621">
        <v>43.47</v>
      </c>
      <c r="AO621" s="1">
        <f t="shared" si="29"/>
        <v>560.16999999999996</v>
      </c>
    </row>
    <row r="622" spans="1:41" x14ac:dyDescent="0.25">
      <c r="A622" t="s">
        <v>665</v>
      </c>
      <c r="B622" s="2">
        <v>1597.6822411113001</v>
      </c>
      <c r="C622" s="2">
        <v>2337.51786754761</v>
      </c>
      <c r="D622" s="2">
        <v>9455.2681389821792</v>
      </c>
      <c r="E622" s="2">
        <v>0</v>
      </c>
      <c r="F622" s="2">
        <v>6157.8772001921097</v>
      </c>
      <c r="G622" s="2">
        <v>463.73234193382098</v>
      </c>
      <c r="H622" s="2">
        <v>552.03553505907098</v>
      </c>
      <c r="I622" s="2">
        <v>709.38372263113399</v>
      </c>
      <c r="J622" s="2">
        <v>17747.405371532299</v>
      </c>
      <c r="K622" s="2">
        <v>1072.96394037351</v>
      </c>
      <c r="L622" s="2">
        <v>7817.5242842263697</v>
      </c>
      <c r="M622" s="2">
        <v>16761.984078961901</v>
      </c>
      <c r="N622" s="3">
        <f t="shared" si="27"/>
        <v>64673.374722551307</v>
      </c>
      <c r="O622" s="2">
        <v>9.8760908272107102</v>
      </c>
      <c r="P622" s="2">
        <v>0</v>
      </c>
      <c r="Q622" s="2">
        <v>3.3842768590939798</v>
      </c>
      <c r="R622" s="2">
        <v>0.26659956255456202</v>
      </c>
      <c r="S622" s="2">
        <v>1.1973126515983401</v>
      </c>
      <c r="T622" s="2">
        <v>6.30944677249449</v>
      </c>
      <c r="U622" s="2">
        <v>5.2461139712892004</v>
      </c>
      <c r="V622" s="2">
        <v>1.0425143338737699</v>
      </c>
      <c r="W622" s="2">
        <v>2.6733292999692901</v>
      </c>
      <c r="X622" s="2">
        <v>1.1309311311063099</v>
      </c>
      <c r="Y622" s="2">
        <v>2.4625866451668199</v>
      </c>
      <c r="Z622" s="2">
        <v>4.4076161687146103</v>
      </c>
      <c r="AA622" s="3">
        <f t="shared" si="28"/>
        <v>37.996818223072083</v>
      </c>
      <c r="AB622" t="s">
        <v>45</v>
      </c>
      <c r="AC622">
        <v>26.47</v>
      </c>
      <c r="AD622">
        <v>33.369999999999997</v>
      </c>
      <c r="AE622">
        <v>104.75</v>
      </c>
      <c r="AF622">
        <v>10.039999999999999</v>
      </c>
      <c r="AG622">
        <v>71.67</v>
      </c>
      <c r="AH622">
        <v>14.98</v>
      </c>
      <c r="AI622">
        <v>15.82</v>
      </c>
      <c r="AJ622">
        <v>17.190000000000001</v>
      </c>
      <c r="AK622">
        <v>187.62</v>
      </c>
      <c r="AL622">
        <v>20.82</v>
      </c>
      <c r="AM622">
        <v>88.32</v>
      </c>
      <c r="AN622">
        <v>177.86</v>
      </c>
      <c r="AO622" s="1">
        <f t="shared" si="29"/>
        <v>768.91</v>
      </c>
    </row>
    <row r="623" spans="1:41" x14ac:dyDescent="0.25">
      <c r="A623" t="s">
        <v>666</v>
      </c>
      <c r="B623" s="2">
        <v>1585.41585062745</v>
      </c>
      <c r="C623" s="2">
        <v>3067.3753665651898</v>
      </c>
      <c r="D623" s="2">
        <v>8515.3429661863993</v>
      </c>
      <c r="E623" s="2">
        <v>3622.1559251772701</v>
      </c>
      <c r="F623" s="2">
        <v>0</v>
      </c>
      <c r="G623" s="2">
        <v>899.96553232440101</v>
      </c>
      <c r="H623" s="2">
        <v>0</v>
      </c>
      <c r="I623" s="2">
        <v>3243.9667295249601</v>
      </c>
      <c r="J623" s="2">
        <v>2699.3694258947198</v>
      </c>
      <c r="K623" s="2">
        <v>4611.0882445338102</v>
      </c>
      <c r="L623" s="2">
        <v>860.13353374215797</v>
      </c>
      <c r="M623" s="2">
        <v>6587.8549330535197</v>
      </c>
      <c r="N623" s="3">
        <f t="shared" si="27"/>
        <v>35692.668507629875</v>
      </c>
      <c r="O623" s="2">
        <v>1.9714914977881399</v>
      </c>
      <c r="P623" s="2">
        <v>3.5697681794647602</v>
      </c>
      <c r="Q623" s="2">
        <v>1.0599043948223099</v>
      </c>
      <c r="R623" s="2">
        <v>2.6866142961002599</v>
      </c>
      <c r="S623" s="2">
        <v>10.803574110334999</v>
      </c>
      <c r="T623" s="2">
        <v>6.01724241621534</v>
      </c>
      <c r="U623" s="2">
        <v>11.288797684361599</v>
      </c>
      <c r="V623" s="2">
        <v>14.9652837164248</v>
      </c>
      <c r="W623" s="2">
        <v>1.12340786140029</v>
      </c>
      <c r="X623" s="2">
        <v>3.3436889466320099</v>
      </c>
      <c r="Y623" s="2">
        <v>1.93026994156084</v>
      </c>
      <c r="Z623" s="2">
        <v>8.2452575633243903</v>
      </c>
      <c r="AA623" s="3">
        <f t="shared" si="28"/>
        <v>67.005300608429735</v>
      </c>
      <c r="AB623" t="s">
        <v>63</v>
      </c>
      <c r="AC623">
        <v>31.9</v>
      </c>
      <c r="AD623">
        <v>61.72</v>
      </c>
      <c r="AE623">
        <v>170.5</v>
      </c>
      <c r="AF623">
        <v>72.73</v>
      </c>
      <c r="AG623">
        <v>0.99</v>
      </c>
      <c r="AH623">
        <v>18.63</v>
      </c>
      <c r="AI623">
        <v>1.08</v>
      </c>
      <c r="AJ623">
        <v>66.23</v>
      </c>
      <c r="AK623">
        <v>54.18</v>
      </c>
      <c r="AL623">
        <v>92.6</v>
      </c>
      <c r="AM623">
        <v>17.399999999999999</v>
      </c>
      <c r="AN623">
        <v>132.57</v>
      </c>
      <c r="AO623" s="1">
        <f t="shared" si="29"/>
        <v>720.53</v>
      </c>
    </row>
    <row r="624" spans="1:41" x14ac:dyDescent="0.25">
      <c r="A624" t="s">
        <v>667</v>
      </c>
      <c r="B624" s="2">
        <v>1583.62126181342</v>
      </c>
      <c r="C624" s="2">
        <v>4893.2020856331001</v>
      </c>
      <c r="D624" s="2">
        <v>413.50231243008301</v>
      </c>
      <c r="E624" s="2">
        <v>1111.7839682783999</v>
      </c>
      <c r="F624" s="2">
        <v>2490.1283778071002</v>
      </c>
      <c r="G624" s="2">
        <v>2570.1887977336501</v>
      </c>
      <c r="H624" s="2">
        <v>307.26369932516099</v>
      </c>
      <c r="I624" s="2">
        <v>1662.0746684661301</v>
      </c>
      <c r="J624" s="2">
        <v>10559.679969509099</v>
      </c>
      <c r="K624" s="2">
        <v>257.41723800840703</v>
      </c>
      <c r="L624" s="2">
        <v>906.925618492686</v>
      </c>
      <c r="M624" s="2">
        <v>18128.813261594201</v>
      </c>
      <c r="N624" s="3">
        <f t="shared" si="27"/>
        <v>44884.601259091432</v>
      </c>
      <c r="O624" s="2">
        <v>10.808175975556599</v>
      </c>
      <c r="P624" s="2">
        <v>0.72196304174995096</v>
      </c>
      <c r="Q624" s="2">
        <v>4.2365696984277701</v>
      </c>
      <c r="R624" s="2">
        <v>0</v>
      </c>
      <c r="S624" s="2">
        <v>0.61463240898358196</v>
      </c>
      <c r="T624" s="2">
        <v>2.0624218728876298</v>
      </c>
      <c r="U624" s="2">
        <v>7.2517069826613803</v>
      </c>
      <c r="V624" s="2">
        <v>1.34471012409236</v>
      </c>
      <c r="W624" s="2">
        <v>12.197096182484101</v>
      </c>
      <c r="X624" s="2">
        <v>4.1233506843658301</v>
      </c>
      <c r="Y624" s="2">
        <v>2.64240335607606</v>
      </c>
      <c r="Z624" s="2">
        <v>2.16035520115225</v>
      </c>
      <c r="AA624" s="3">
        <f t="shared" si="28"/>
        <v>48.163385528437516</v>
      </c>
      <c r="AB624" t="s">
        <v>45</v>
      </c>
      <c r="AC624">
        <v>26.38</v>
      </c>
      <c r="AD624">
        <v>58.98</v>
      </c>
      <c r="AE624">
        <v>14.38</v>
      </c>
      <c r="AF624">
        <v>21.11</v>
      </c>
      <c r="AG624">
        <v>34.950000000000003</v>
      </c>
      <c r="AH624">
        <v>35.85</v>
      </c>
      <c r="AI624">
        <v>13.47</v>
      </c>
      <c r="AJ624">
        <v>26.72</v>
      </c>
      <c r="AK624">
        <v>116.24</v>
      </c>
      <c r="AL624">
        <v>12.82</v>
      </c>
      <c r="AM624">
        <v>19.21</v>
      </c>
      <c r="AN624">
        <v>191.43</v>
      </c>
      <c r="AO624" s="1">
        <f t="shared" si="29"/>
        <v>571.54</v>
      </c>
    </row>
    <row r="625" spans="1:41" x14ac:dyDescent="0.25">
      <c r="A625" t="s">
        <v>668</v>
      </c>
      <c r="B625" s="2">
        <v>1572.2128904523199</v>
      </c>
      <c r="C625" s="2">
        <v>6508.4620241825496</v>
      </c>
      <c r="D625" s="2">
        <v>15129.943394849601</v>
      </c>
      <c r="E625" s="2">
        <v>4044.32453140999</v>
      </c>
      <c r="F625" s="2">
        <v>2551.8751042816498</v>
      </c>
      <c r="G625" s="2">
        <v>970.87537091935303</v>
      </c>
      <c r="H625" s="2">
        <v>0</v>
      </c>
      <c r="I625" s="2">
        <v>855.62176383301801</v>
      </c>
      <c r="J625" s="2">
        <v>3937.9289922457301</v>
      </c>
      <c r="K625" s="2">
        <v>1248.40375695905</v>
      </c>
      <c r="L625" s="2">
        <v>7192.3586241613602</v>
      </c>
      <c r="M625" s="2">
        <v>784.895934461857</v>
      </c>
      <c r="N625" s="3">
        <f t="shared" si="27"/>
        <v>44796.902387756476</v>
      </c>
      <c r="O625" s="2">
        <v>1.48762051575548</v>
      </c>
      <c r="P625" s="2">
        <v>0</v>
      </c>
      <c r="Q625" s="2">
        <v>1.34373453764843</v>
      </c>
      <c r="R625" s="2">
        <v>5.5681129977285799</v>
      </c>
      <c r="S625" s="2">
        <v>0.872641426080359</v>
      </c>
      <c r="T625" s="2">
        <v>3.2328373466021501</v>
      </c>
      <c r="U625" s="2">
        <v>2.3765954139796901</v>
      </c>
      <c r="V625" s="2">
        <v>4.2373529342956404</v>
      </c>
      <c r="W625" s="2">
        <v>0.84102133257608103</v>
      </c>
      <c r="X625" s="2">
        <v>2.49940009929903</v>
      </c>
      <c r="Y625" s="2">
        <v>2.4519019098718799</v>
      </c>
      <c r="Z625" s="2">
        <v>3.06868030403353</v>
      </c>
      <c r="AA625" s="3">
        <f t="shared" si="28"/>
        <v>27.979898817870851</v>
      </c>
      <c r="AB625" t="s">
        <v>63</v>
      </c>
      <c r="AC625">
        <v>31.64</v>
      </c>
      <c r="AD625">
        <v>130.18</v>
      </c>
      <c r="AE625">
        <v>302.77999999999997</v>
      </c>
      <c r="AF625">
        <v>81.44</v>
      </c>
      <c r="AG625">
        <v>51.13</v>
      </c>
      <c r="AH625">
        <v>19.78</v>
      </c>
      <c r="AI625">
        <v>0.27</v>
      </c>
      <c r="AJ625">
        <v>17.57</v>
      </c>
      <c r="AK625">
        <v>78.849999999999994</v>
      </c>
      <c r="AL625">
        <v>25.25</v>
      </c>
      <c r="AM625">
        <v>144.13</v>
      </c>
      <c r="AN625">
        <v>16.059999999999999</v>
      </c>
      <c r="AO625" s="1">
        <f t="shared" si="29"/>
        <v>899.07999999999993</v>
      </c>
    </row>
    <row r="626" spans="1:41" x14ac:dyDescent="0.25">
      <c r="A626" t="s">
        <v>669</v>
      </c>
      <c r="B626" s="2">
        <v>1568.5393209905001</v>
      </c>
      <c r="C626" s="2">
        <v>6754.0923106929604</v>
      </c>
      <c r="D626" s="2">
        <v>1840.11579618836</v>
      </c>
      <c r="E626" s="2">
        <v>0</v>
      </c>
      <c r="F626" s="2">
        <v>690.25159002583803</v>
      </c>
      <c r="G626" s="2">
        <v>3925.2577503077</v>
      </c>
      <c r="H626" s="2">
        <v>611.60968943551904</v>
      </c>
      <c r="I626" s="2">
        <v>1157.7638776500701</v>
      </c>
      <c r="J626" s="2">
        <v>6278.0025927863098</v>
      </c>
      <c r="K626" s="2">
        <v>1587.41155346861</v>
      </c>
      <c r="L626" s="2">
        <v>1429.20995432274</v>
      </c>
      <c r="M626" s="2">
        <v>7301.5480162792601</v>
      </c>
      <c r="N626" s="3">
        <f t="shared" si="27"/>
        <v>33143.802452147873</v>
      </c>
      <c r="O626" s="2">
        <v>1.1203578038453E-2</v>
      </c>
      <c r="P626" s="2">
        <v>1.3008860206842701</v>
      </c>
      <c r="Q626" s="2">
        <v>5.8997881583257898</v>
      </c>
      <c r="R626" s="2">
        <v>1.59895728249617</v>
      </c>
      <c r="S626" s="2">
        <v>8.5234202854362309</v>
      </c>
      <c r="T626" s="2">
        <v>2.5218368551995498</v>
      </c>
      <c r="U626" s="2">
        <v>4.3707468091963904</v>
      </c>
      <c r="V626" s="2">
        <v>4.9201331801925798</v>
      </c>
      <c r="W626" s="2">
        <v>2.1193031913055602</v>
      </c>
      <c r="X626" s="2">
        <v>3.5380985056041401</v>
      </c>
      <c r="Y626" s="2">
        <v>6.5806900692283001</v>
      </c>
      <c r="Z626" s="2">
        <v>3.8442615622664298</v>
      </c>
      <c r="AA626" s="3">
        <f t="shared" si="28"/>
        <v>45.229325497973868</v>
      </c>
      <c r="AB626" t="s">
        <v>63</v>
      </c>
      <c r="AC626">
        <v>31.47</v>
      </c>
      <c r="AD626">
        <v>135.28</v>
      </c>
      <c r="AE626">
        <v>37.36</v>
      </c>
      <c r="AF626">
        <v>0.18</v>
      </c>
      <c r="AG626">
        <v>14.63</v>
      </c>
      <c r="AH626">
        <v>78.790000000000006</v>
      </c>
      <c r="AI626">
        <v>12.69</v>
      </c>
      <c r="AJ626">
        <v>23.61</v>
      </c>
      <c r="AK626">
        <v>125.85</v>
      </c>
      <c r="AL626">
        <v>32.119999999999997</v>
      </c>
      <c r="AM626">
        <v>29.23</v>
      </c>
      <c r="AN626">
        <v>146.4</v>
      </c>
      <c r="AO626" s="1">
        <f t="shared" si="29"/>
        <v>667.61</v>
      </c>
    </row>
    <row r="627" spans="1:41" x14ac:dyDescent="0.25">
      <c r="A627" t="s">
        <v>670</v>
      </c>
      <c r="B627" s="2">
        <v>1568.5189662673699</v>
      </c>
      <c r="C627" s="2">
        <v>221.45020978338701</v>
      </c>
      <c r="D627" s="2">
        <v>4437.9191222536301</v>
      </c>
      <c r="E627" s="2">
        <v>1621.74126664341</v>
      </c>
      <c r="F627" s="2">
        <v>4236.5370281614596</v>
      </c>
      <c r="G627" s="2">
        <v>4209.4910794618499</v>
      </c>
      <c r="H627" s="2">
        <v>2281.70844745773</v>
      </c>
      <c r="I627" s="2">
        <v>10269.763779598001</v>
      </c>
      <c r="J627" s="2">
        <v>87.962370462455397</v>
      </c>
      <c r="K627" s="2">
        <v>4898.7827567735803</v>
      </c>
      <c r="L627" s="2">
        <v>2218.3059026473702</v>
      </c>
      <c r="M627" s="2">
        <v>3942.3572785327301</v>
      </c>
      <c r="N627" s="3">
        <f t="shared" si="27"/>
        <v>39994.53820804297</v>
      </c>
      <c r="O627" s="2">
        <v>1.5569291893105599</v>
      </c>
      <c r="P627" s="2">
        <v>19.341335609291001</v>
      </c>
      <c r="Q627" s="2">
        <v>1.5137410600574699</v>
      </c>
      <c r="R627" s="2">
        <v>17.994356820813699</v>
      </c>
      <c r="S627" s="2">
        <v>14.744266042545</v>
      </c>
      <c r="T627" s="2">
        <v>7.3489074197094002</v>
      </c>
      <c r="U627" s="2">
        <v>4.5900221571794804</v>
      </c>
      <c r="V627" s="2">
        <v>3.0843783782874001</v>
      </c>
      <c r="W627" s="2">
        <v>6.7413538383234197</v>
      </c>
      <c r="X627" s="2">
        <v>2.68495590266587</v>
      </c>
      <c r="Y627" s="2">
        <v>0.97361626227785703</v>
      </c>
      <c r="Z627" s="2">
        <v>5.0745443732651996</v>
      </c>
      <c r="AA627" s="3">
        <f t="shared" si="28"/>
        <v>85.648407053726359</v>
      </c>
      <c r="AB627" t="s">
        <v>45</v>
      </c>
      <c r="AC627">
        <v>25.78</v>
      </c>
      <c r="AD627">
        <v>13.21</v>
      </c>
      <c r="AE627">
        <v>54.47</v>
      </c>
      <c r="AF627">
        <v>27.11</v>
      </c>
      <c r="AG627">
        <v>53.11</v>
      </c>
      <c r="AH627">
        <v>52.49</v>
      </c>
      <c r="AI627">
        <v>33.06</v>
      </c>
      <c r="AJ627">
        <v>112.89</v>
      </c>
      <c r="AK627">
        <v>11.22</v>
      </c>
      <c r="AL627">
        <v>59.13</v>
      </c>
      <c r="AM627">
        <v>32.229999999999997</v>
      </c>
      <c r="AN627">
        <v>49.72</v>
      </c>
      <c r="AO627" s="1">
        <f t="shared" si="29"/>
        <v>524.42000000000007</v>
      </c>
    </row>
    <row r="628" spans="1:41" x14ac:dyDescent="0.25">
      <c r="A628" t="s">
        <v>671</v>
      </c>
      <c r="B628" s="2">
        <v>1568.0928126444601</v>
      </c>
      <c r="C628" s="2">
        <v>880.75385131576502</v>
      </c>
      <c r="D628" s="2">
        <v>980.93540056485699</v>
      </c>
      <c r="E628" s="2">
        <v>2038.72397695773</v>
      </c>
      <c r="F628" s="2">
        <v>12923.068911741</v>
      </c>
      <c r="G628" s="2">
        <v>813.70643786719995</v>
      </c>
      <c r="H628" s="2">
        <v>6690.14077242024</v>
      </c>
      <c r="I628" s="2">
        <v>4074.2532368801199</v>
      </c>
      <c r="J628" s="2">
        <v>153.03953048103401</v>
      </c>
      <c r="K628" s="2">
        <v>17043.3965452761</v>
      </c>
      <c r="L628" s="2">
        <v>5539.3552505746702</v>
      </c>
      <c r="M628" s="2">
        <v>4492.5086291238804</v>
      </c>
      <c r="N628" s="3">
        <f t="shared" si="27"/>
        <v>57197.975355847055</v>
      </c>
      <c r="O628" s="2">
        <v>13.6084276090932</v>
      </c>
      <c r="P628" s="2">
        <v>1.2202449779958999</v>
      </c>
      <c r="Q628" s="2">
        <v>5.8426362699722496</v>
      </c>
      <c r="R628" s="2">
        <v>3.1959238026028198</v>
      </c>
      <c r="S628" s="2">
        <v>7.1945477074136104</v>
      </c>
      <c r="T628" s="2">
        <v>2.0742835543602598</v>
      </c>
      <c r="U628" s="2">
        <v>4.3440317303108502</v>
      </c>
      <c r="V628" s="2">
        <v>7.5375814856503602</v>
      </c>
      <c r="W628" s="2">
        <v>12.6785149471634</v>
      </c>
      <c r="X628" s="2">
        <v>3.5598608312734599</v>
      </c>
      <c r="Y628" s="2">
        <v>3.6984175693713301</v>
      </c>
      <c r="Z628" s="2">
        <v>4.1682820819060202</v>
      </c>
      <c r="AA628" s="3">
        <f t="shared" si="28"/>
        <v>69.122752567113452</v>
      </c>
      <c r="AB628" t="s">
        <v>45</v>
      </c>
      <c r="AC628">
        <v>26.38</v>
      </c>
      <c r="AD628">
        <v>18.899999999999999</v>
      </c>
      <c r="AE628">
        <v>20.100000000000001</v>
      </c>
      <c r="AF628">
        <v>30.58</v>
      </c>
      <c r="AG628">
        <v>139.63</v>
      </c>
      <c r="AH628">
        <v>18.28</v>
      </c>
      <c r="AI628">
        <v>77.150000000000006</v>
      </c>
      <c r="AJ628">
        <v>51.14</v>
      </c>
      <c r="AK628">
        <v>12.18</v>
      </c>
      <c r="AL628">
        <v>180.63</v>
      </c>
      <c r="AM628">
        <v>65.59</v>
      </c>
      <c r="AN628">
        <v>55.17</v>
      </c>
      <c r="AO628" s="1">
        <f t="shared" si="29"/>
        <v>695.73</v>
      </c>
    </row>
    <row r="629" spans="1:41" x14ac:dyDescent="0.25">
      <c r="A629" t="s">
        <v>672</v>
      </c>
      <c r="B629" s="2">
        <v>1564.09725850109</v>
      </c>
      <c r="C629" s="2">
        <v>1736.58318326362</v>
      </c>
      <c r="D629" s="2">
        <v>9906.9328337367097</v>
      </c>
      <c r="E629" s="2">
        <v>6937.8931124904402</v>
      </c>
      <c r="F629" s="2">
        <v>0</v>
      </c>
      <c r="G629" s="2">
        <v>2241.3118670707199</v>
      </c>
      <c r="H629" s="2">
        <v>4884.53999515339</v>
      </c>
      <c r="I629" s="2">
        <v>476.66297000029698</v>
      </c>
      <c r="J629" s="2">
        <v>3796.5584947694101</v>
      </c>
      <c r="K629" s="2">
        <v>5182.4298176509501</v>
      </c>
      <c r="L629" s="2">
        <v>4287.9347638702602</v>
      </c>
      <c r="M629" s="2">
        <v>3755.4130515095198</v>
      </c>
      <c r="N629" s="3">
        <f t="shared" si="27"/>
        <v>44770.357348016405</v>
      </c>
      <c r="O629" s="2">
        <v>7.3829062471332803</v>
      </c>
      <c r="P629" s="2">
        <v>5.7519085253178801</v>
      </c>
      <c r="Q629" s="2">
        <v>4.9661382356607202</v>
      </c>
      <c r="R629" s="2">
        <v>2.7435695322907998</v>
      </c>
      <c r="S629" s="2">
        <v>11.4611111114477</v>
      </c>
      <c r="T629" s="2">
        <v>3.08558598790539</v>
      </c>
      <c r="U629" s="2">
        <v>3.5815018098413498</v>
      </c>
      <c r="V629" s="2">
        <v>0.68853514210904598</v>
      </c>
      <c r="W629" s="2">
        <v>5.1992777880466798</v>
      </c>
      <c r="X629" s="2">
        <v>4.1798723788191197</v>
      </c>
      <c r="Y629" s="2">
        <v>0.414838529651051</v>
      </c>
      <c r="Z629" s="2">
        <v>0.29812225354530197</v>
      </c>
      <c r="AA629" s="3">
        <f t="shared" si="28"/>
        <v>49.753367541768313</v>
      </c>
      <c r="AB629" t="s">
        <v>63</v>
      </c>
      <c r="AC629">
        <v>32.020000000000003</v>
      </c>
      <c r="AD629">
        <v>35.28</v>
      </c>
      <c r="AE629">
        <v>198.59</v>
      </c>
      <c r="AF629">
        <v>139.03</v>
      </c>
      <c r="AG629">
        <v>1.08</v>
      </c>
      <c r="AH629">
        <v>45.2</v>
      </c>
      <c r="AI629">
        <v>98.06</v>
      </c>
      <c r="AJ629">
        <v>9.6300000000000008</v>
      </c>
      <c r="AK629">
        <v>76.48</v>
      </c>
      <c r="AL629">
        <v>104.11</v>
      </c>
      <c r="AM629">
        <v>85.85</v>
      </c>
      <c r="AN629">
        <v>75.209999999999994</v>
      </c>
      <c r="AO629" s="1">
        <f t="shared" si="29"/>
        <v>900.54000000000008</v>
      </c>
    </row>
    <row r="630" spans="1:41" x14ac:dyDescent="0.25">
      <c r="A630" t="s">
        <v>673</v>
      </c>
      <c r="B630" s="2">
        <v>1551.99367572252</v>
      </c>
      <c r="C630" s="2">
        <v>0</v>
      </c>
      <c r="D630" s="2">
        <v>1713.13777433207</v>
      </c>
      <c r="E630" s="2">
        <v>2645.9129619974601</v>
      </c>
      <c r="F630" s="2">
        <v>0</v>
      </c>
      <c r="G630" s="2">
        <v>16.6373937873947</v>
      </c>
      <c r="H630" s="2">
        <v>1856.0632647144801</v>
      </c>
      <c r="I630" s="2">
        <v>12202.269190942599</v>
      </c>
      <c r="J630" s="2">
        <v>4948.5913267825599</v>
      </c>
      <c r="K630" s="2">
        <v>670.69741612717405</v>
      </c>
      <c r="L630" s="2">
        <v>10874.1862823254</v>
      </c>
      <c r="M630" s="2">
        <v>3401.0069468655101</v>
      </c>
      <c r="N630" s="3">
        <f t="shared" si="27"/>
        <v>39880.496233597172</v>
      </c>
      <c r="O630" s="2">
        <v>9.0718725889378504</v>
      </c>
      <c r="P630" s="2">
        <v>3.2268994978898502</v>
      </c>
      <c r="Q630" s="2">
        <v>6.7184149371440904</v>
      </c>
      <c r="R630" s="2">
        <v>4.3843670946631397</v>
      </c>
      <c r="S630" s="2">
        <v>2.1450046821581701</v>
      </c>
      <c r="T630" s="2">
        <v>1.7535917291065699</v>
      </c>
      <c r="U630" s="2">
        <v>0.77917470829886903</v>
      </c>
      <c r="V630" s="2">
        <v>6.6890932634163098</v>
      </c>
      <c r="W630" s="2">
        <v>2.2243420610317002</v>
      </c>
      <c r="X630" s="2">
        <v>1.42589656819885</v>
      </c>
      <c r="Y630" s="2">
        <v>3.5935913067670699</v>
      </c>
      <c r="Z630" s="2">
        <v>2.4198625268279401</v>
      </c>
      <c r="AA630" s="3">
        <f t="shared" si="28"/>
        <v>44.432110964440405</v>
      </c>
      <c r="AB630" t="s">
        <v>45</v>
      </c>
      <c r="AC630">
        <v>26.01</v>
      </c>
      <c r="AD630">
        <v>10.19</v>
      </c>
      <c r="AE630">
        <v>27.48</v>
      </c>
      <c r="AF630">
        <v>36.700000000000003</v>
      </c>
      <c r="AG630">
        <v>10.14</v>
      </c>
      <c r="AH630">
        <v>10.26</v>
      </c>
      <c r="AI630">
        <v>28.61</v>
      </c>
      <c r="AJ630">
        <v>132.37</v>
      </c>
      <c r="AK630">
        <v>59.63</v>
      </c>
      <c r="AL630">
        <v>16.8</v>
      </c>
      <c r="AM630">
        <v>118.94</v>
      </c>
      <c r="AN630">
        <v>44.16</v>
      </c>
      <c r="AO630" s="1">
        <f t="shared" si="29"/>
        <v>521.29</v>
      </c>
    </row>
    <row r="631" spans="1:41" x14ac:dyDescent="0.25">
      <c r="A631" t="s">
        <v>674</v>
      </c>
      <c r="B631" s="2">
        <v>1537.9153244506699</v>
      </c>
      <c r="C631" s="2">
        <v>1492.7161769904001</v>
      </c>
      <c r="D631" s="2">
        <v>1023.61621671108</v>
      </c>
      <c r="E631" s="2">
        <v>2588.5298846986698</v>
      </c>
      <c r="F631" s="2">
        <v>219.73326177904201</v>
      </c>
      <c r="G631" s="2">
        <v>1369.5108611769299</v>
      </c>
      <c r="H631" s="2">
        <v>1014.16423337995</v>
      </c>
      <c r="I631" s="2">
        <v>930.41490049230094</v>
      </c>
      <c r="J631" s="2">
        <v>23259.090429366901</v>
      </c>
      <c r="K631" s="2">
        <v>470.10502768161098</v>
      </c>
      <c r="L631" s="2">
        <v>3309.98481069027</v>
      </c>
      <c r="M631" s="2">
        <v>1257.82019599156</v>
      </c>
      <c r="N631" s="3">
        <f t="shared" si="27"/>
        <v>38473.601323409384</v>
      </c>
      <c r="O631" s="2">
        <v>7.2332852382684001</v>
      </c>
      <c r="P631" s="2">
        <v>2.9911289121244198</v>
      </c>
      <c r="Q631" s="2">
        <v>8.09876497107925</v>
      </c>
      <c r="R631" s="2">
        <v>0.20444600013095701</v>
      </c>
      <c r="S631" s="2">
        <v>4.21760767098481</v>
      </c>
      <c r="T631" s="2">
        <v>0.21844618711907601</v>
      </c>
      <c r="U631" s="2">
        <v>3.9894350966356198</v>
      </c>
      <c r="V631" s="2">
        <v>2.2288858430762102</v>
      </c>
      <c r="W631" s="2">
        <v>2.1917121190201598</v>
      </c>
      <c r="X631" s="2">
        <v>12.2599501305733</v>
      </c>
      <c r="Y631" s="2">
        <v>0.97365015889447903</v>
      </c>
      <c r="Z631" s="2">
        <v>7.2624499077732496</v>
      </c>
      <c r="AA631" s="3">
        <f t="shared" si="28"/>
        <v>51.869762235679936</v>
      </c>
      <c r="AB631" t="s">
        <v>63</v>
      </c>
      <c r="AC631">
        <v>31.48</v>
      </c>
      <c r="AD631">
        <v>30.13</v>
      </c>
      <c r="AE631">
        <v>21.29</v>
      </c>
      <c r="AF631">
        <v>51.87</v>
      </c>
      <c r="AG631">
        <v>4.8499999999999996</v>
      </c>
      <c r="AH631">
        <v>27.49</v>
      </c>
      <c r="AI631">
        <v>20.66</v>
      </c>
      <c r="AJ631">
        <v>18.89</v>
      </c>
      <c r="AK631">
        <v>465.47</v>
      </c>
      <c r="AL631">
        <v>10.59</v>
      </c>
      <c r="AM631">
        <v>66.290000000000006</v>
      </c>
      <c r="AN631">
        <v>25.88</v>
      </c>
      <c r="AO631" s="1">
        <f t="shared" si="29"/>
        <v>774.8900000000001</v>
      </c>
    </row>
    <row r="632" spans="1:41" x14ac:dyDescent="0.25">
      <c r="A632" t="s">
        <v>675</v>
      </c>
      <c r="B632" s="2">
        <v>1530.67407991405</v>
      </c>
      <c r="C632" s="2">
        <v>3579.2565825505799</v>
      </c>
      <c r="D632" s="2">
        <v>1752.5419157639799</v>
      </c>
      <c r="E632" s="2">
        <v>2610.0438379770599</v>
      </c>
      <c r="F632" s="2">
        <v>2836.7326803354699</v>
      </c>
      <c r="G632" s="2">
        <v>5560.4158307399302</v>
      </c>
      <c r="H632" s="2">
        <v>0</v>
      </c>
      <c r="I632" s="2">
        <v>2610.9822975826601</v>
      </c>
      <c r="J632" s="2">
        <v>2791.1189066488</v>
      </c>
      <c r="K632" s="2">
        <v>1208.65324811341</v>
      </c>
      <c r="L632" s="2">
        <v>1498.19203002117</v>
      </c>
      <c r="M632" s="2">
        <v>5297.2933438863702</v>
      </c>
      <c r="N632" s="3">
        <f t="shared" si="27"/>
        <v>31275.904753533479</v>
      </c>
      <c r="O632" s="2">
        <v>8.1303347333757898</v>
      </c>
      <c r="P632" s="2">
        <v>1.3274929432513201</v>
      </c>
      <c r="Q632" s="2">
        <v>4.7013794333544103</v>
      </c>
      <c r="R632" s="2">
        <v>0</v>
      </c>
      <c r="S632" s="2">
        <v>0</v>
      </c>
      <c r="T632" s="2">
        <v>10.041752378928001</v>
      </c>
      <c r="U632" s="2">
        <v>8.3674778093669904</v>
      </c>
      <c r="V632" s="2">
        <v>7.3414576034296797</v>
      </c>
      <c r="W632" s="2">
        <v>0.147196258288944</v>
      </c>
      <c r="X632" s="2">
        <v>7.3182544953021997</v>
      </c>
      <c r="Y632" s="2">
        <v>2.7885400053182599</v>
      </c>
      <c r="Z632" s="2">
        <v>1.8620532681034001</v>
      </c>
      <c r="AA632" s="3">
        <f t="shared" si="28"/>
        <v>52.025938928718993</v>
      </c>
      <c r="AB632" t="s">
        <v>63</v>
      </c>
      <c r="AC632">
        <v>31.43</v>
      </c>
      <c r="AD632">
        <v>71.78</v>
      </c>
      <c r="AE632">
        <v>35.51</v>
      </c>
      <c r="AF632">
        <v>52.22</v>
      </c>
      <c r="AG632">
        <v>56.74</v>
      </c>
      <c r="AH632">
        <v>112.21</v>
      </c>
      <c r="AI632">
        <v>0.81</v>
      </c>
      <c r="AJ632">
        <v>52.94</v>
      </c>
      <c r="AK632">
        <v>55.93</v>
      </c>
      <c r="AL632">
        <v>24.9</v>
      </c>
      <c r="AM632">
        <v>30.25</v>
      </c>
      <c r="AN632">
        <v>106.14</v>
      </c>
      <c r="AO632" s="1">
        <f t="shared" si="29"/>
        <v>630.86</v>
      </c>
    </row>
    <row r="633" spans="1:41" x14ac:dyDescent="0.25">
      <c r="A633" t="s">
        <v>676</v>
      </c>
      <c r="B633" s="2">
        <v>1523.69330303332</v>
      </c>
      <c r="C633" s="2">
        <v>4491.5389174795901</v>
      </c>
      <c r="D633" s="2">
        <v>858.08645319364098</v>
      </c>
      <c r="E633" s="2">
        <v>3017.9356120192501</v>
      </c>
      <c r="F633" s="2">
        <v>940.281897449452</v>
      </c>
      <c r="G633" s="2">
        <v>2210.4510482204601</v>
      </c>
      <c r="H633" s="2">
        <v>3995.63989131383</v>
      </c>
      <c r="I633" s="2">
        <v>3390.3264939188298</v>
      </c>
      <c r="J633" s="2">
        <v>4127.7592022478502</v>
      </c>
      <c r="K633" s="2">
        <v>2090.9267896518099</v>
      </c>
      <c r="L633" s="2">
        <v>5721.5305301738799</v>
      </c>
      <c r="M633" s="2">
        <v>1286.28333597288</v>
      </c>
      <c r="N633" s="3">
        <f t="shared" si="27"/>
        <v>33654.453474674796</v>
      </c>
      <c r="O633" s="2">
        <v>0</v>
      </c>
      <c r="P633" s="2">
        <v>0</v>
      </c>
      <c r="Q633" s="2">
        <v>2.2958885014473598</v>
      </c>
      <c r="R633" s="2">
        <v>3.0414104616631898</v>
      </c>
      <c r="S633" s="2">
        <v>2.8489640900402602</v>
      </c>
      <c r="T633" s="2">
        <v>1.8843328754101301</v>
      </c>
      <c r="U633" s="2">
        <v>0</v>
      </c>
      <c r="V633" s="2">
        <v>13.8038541002485</v>
      </c>
      <c r="W633" s="2">
        <v>0</v>
      </c>
      <c r="X633" s="2">
        <v>5.9922431337109598</v>
      </c>
      <c r="Y633" s="2">
        <v>6.3489278081664802</v>
      </c>
      <c r="Z633" s="2">
        <v>2.8515205745038199</v>
      </c>
      <c r="AA633" s="3">
        <f t="shared" si="28"/>
        <v>39.067141545190708</v>
      </c>
      <c r="AB633" t="s">
        <v>63</v>
      </c>
      <c r="AC633">
        <v>30.48</v>
      </c>
      <c r="AD633">
        <v>89.84</v>
      </c>
      <c r="AE633">
        <v>17.45</v>
      </c>
      <c r="AF633">
        <v>60.72</v>
      </c>
      <c r="AG633">
        <v>19.09</v>
      </c>
      <c r="AH633">
        <v>44.4</v>
      </c>
      <c r="AI633">
        <v>79.92</v>
      </c>
      <c r="AJ633">
        <v>69.08</v>
      </c>
      <c r="AK633">
        <v>82.56</v>
      </c>
      <c r="AL633">
        <v>42.36</v>
      </c>
      <c r="AM633">
        <v>115.07</v>
      </c>
      <c r="AN633">
        <v>26.01</v>
      </c>
      <c r="AO633" s="1">
        <f t="shared" si="29"/>
        <v>676.98</v>
      </c>
    </row>
    <row r="634" spans="1:41" x14ac:dyDescent="0.25">
      <c r="A634" t="s">
        <v>677</v>
      </c>
      <c r="B634" s="2">
        <v>1516.6400746043601</v>
      </c>
      <c r="C634" s="2">
        <v>4809.0125069908199</v>
      </c>
      <c r="D634" s="2">
        <v>507.31382228888498</v>
      </c>
      <c r="E634" s="2">
        <v>2261.2142509514802</v>
      </c>
      <c r="F634" s="2">
        <v>2135.0882459710801</v>
      </c>
      <c r="G634" s="2">
        <v>11072.5388785331</v>
      </c>
      <c r="H634" s="2">
        <v>1233.6970382806801</v>
      </c>
      <c r="I634" s="2">
        <v>2357.0587308172599</v>
      </c>
      <c r="J634" s="2">
        <v>10904.120133764</v>
      </c>
      <c r="K634" s="2">
        <v>15320.0672287123</v>
      </c>
      <c r="L634" s="2">
        <v>0</v>
      </c>
      <c r="M634" s="2">
        <v>5718.7163797310805</v>
      </c>
      <c r="N634" s="3">
        <f t="shared" si="27"/>
        <v>57835.467290645043</v>
      </c>
      <c r="O634" s="2">
        <v>7.0700802387334001</v>
      </c>
      <c r="P634" s="2">
        <v>0</v>
      </c>
      <c r="Q634" s="2">
        <v>7.92059723267921</v>
      </c>
      <c r="R634" s="2">
        <v>11.0556193647695</v>
      </c>
      <c r="S634" s="2">
        <v>11.914145036838599</v>
      </c>
      <c r="T634" s="2">
        <v>4.0817433263418801</v>
      </c>
      <c r="U634" s="2">
        <v>5.8491389119318002</v>
      </c>
      <c r="V634" s="2">
        <v>5.85609091233201</v>
      </c>
      <c r="W634" s="2">
        <v>0</v>
      </c>
      <c r="X634" s="2">
        <v>2.6356808448780402</v>
      </c>
      <c r="Y634" s="2">
        <v>0</v>
      </c>
      <c r="Z634" s="2">
        <v>1.71563078004155</v>
      </c>
      <c r="AA634" s="3">
        <f t="shared" si="28"/>
        <v>58.098726648545984</v>
      </c>
      <c r="AB634" t="s">
        <v>63</v>
      </c>
      <c r="AC634">
        <v>31.06</v>
      </c>
      <c r="AD634">
        <v>96.2</v>
      </c>
      <c r="AE634">
        <v>10.88</v>
      </c>
      <c r="AF634">
        <v>46.32</v>
      </c>
      <c r="AG634">
        <v>43.8</v>
      </c>
      <c r="AH634">
        <v>221.91</v>
      </c>
      <c r="AI634">
        <v>25.22</v>
      </c>
      <c r="AJ634">
        <v>47.7</v>
      </c>
      <c r="AK634">
        <v>218.1</v>
      </c>
      <c r="AL634">
        <v>306.69</v>
      </c>
      <c r="AM634">
        <v>0</v>
      </c>
      <c r="AN634">
        <v>114.56</v>
      </c>
      <c r="AO634" s="1">
        <f t="shared" si="29"/>
        <v>1162.44</v>
      </c>
    </row>
    <row r="635" spans="1:41" x14ac:dyDescent="0.25">
      <c r="A635" t="s">
        <v>678</v>
      </c>
      <c r="B635" s="2">
        <v>1515.89912477652</v>
      </c>
      <c r="C635" s="2">
        <v>0</v>
      </c>
      <c r="D635" s="2">
        <v>557.14307241754796</v>
      </c>
      <c r="E635" s="2">
        <v>0</v>
      </c>
      <c r="F635" s="2">
        <v>4547.7642907772897</v>
      </c>
      <c r="G635" s="2">
        <v>6672.9093534505</v>
      </c>
      <c r="H635" s="2">
        <v>21983.5518054526</v>
      </c>
      <c r="I635" s="2">
        <v>1884.7105060387</v>
      </c>
      <c r="J635" s="2">
        <v>0</v>
      </c>
      <c r="K635" s="2">
        <v>981.28878409275399</v>
      </c>
      <c r="L635" s="2">
        <v>3696.99691994459</v>
      </c>
      <c r="M635" s="2">
        <v>12508.236664805399</v>
      </c>
      <c r="N635" s="3">
        <f t="shared" si="27"/>
        <v>54348.500521755901</v>
      </c>
      <c r="O635" s="2">
        <v>16.108997630111698</v>
      </c>
      <c r="P635" s="2">
        <v>0.62654727527340603</v>
      </c>
      <c r="Q635" s="2">
        <v>5.8681726402646799</v>
      </c>
      <c r="R635" s="2">
        <v>8.4769836940053302</v>
      </c>
      <c r="S635" s="2">
        <v>2.5153001783549902</v>
      </c>
      <c r="T635" s="2">
        <v>0</v>
      </c>
      <c r="U635" s="2">
        <v>4.5317161181788403</v>
      </c>
      <c r="V635" s="2">
        <v>2.9387127204807801</v>
      </c>
      <c r="W635" s="2">
        <v>6.5557855948555597</v>
      </c>
      <c r="X635" s="2">
        <v>7.4313703408502203</v>
      </c>
      <c r="Y635" s="2">
        <v>13.389854788481401</v>
      </c>
      <c r="Z635" s="2">
        <v>3.3134812694239901</v>
      </c>
      <c r="AA635" s="3">
        <f t="shared" si="28"/>
        <v>71.756922250280894</v>
      </c>
      <c r="AB635" t="s">
        <v>63</v>
      </c>
      <c r="AC635">
        <v>31.85</v>
      </c>
      <c r="AD635">
        <v>0.09</v>
      </c>
      <c r="AE635">
        <v>11.7</v>
      </c>
      <c r="AF635">
        <v>0.81</v>
      </c>
      <c r="AG635">
        <v>91.23</v>
      </c>
      <c r="AH635">
        <v>133.46</v>
      </c>
      <c r="AI635">
        <v>440.13</v>
      </c>
      <c r="AJ635">
        <v>37.97</v>
      </c>
      <c r="AK635">
        <v>0.63</v>
      </c>
      <c r="AL635">
        <v>20.36</v>
      </c>
      <c r="AM635">
        <v>75.2</v>
      </c>
      <c r="AN635">
        <v>250.54</v>
      </c>
      <c r="AO635" s="1">
        <f t="shared" si="29"/>
        <v>1093.97</v>
      </c>
    </row>
    <row r="636" spans="1:41" x14ac:dyDescent="0.25">
      <c r="A636" t="s">
        <v>679</v>
      </c>
      <c r="B636" s="2">
        <v>1512.0715632368499</v>
      </c>
      <c r="C636" s="2">
        <v>0</v>
      </c>
      <c r="D636" s="2">
        <v>9013.2001079750898</v>
      </c>
      <c r="E636" s="2">
        <v>2292.65477514453</v>
      </c>
      <c r="F636" s="2">
        <v>3456.2503243180499</v>
      </c>
      <c r="G636" s="2">
        <v>0</v>
      </c>
      <c r="H636" s="2">
        <v>81.519876638116401</v>
      </c>
      <c r="I636" s="2">
        <v>2606.26139990006</v>
      </c>
      <c r="J636" s="2">
        <v>8033.9378964125999</v>
      </c>
      <c r="K636" s="2">
        <v>3444.8526436960401</v>
      </c>
      <c r="L636" s="2">
        <v>7720.9208071968396</v>
      </c>
      <c r="M636" s="2">
        <v>5866.6446710302498</v>
      </c>
      <c r="N636" s="3">
        <f t="shared" si="27"/>
        <v>44028.314065548424</v>
      </c>
      <c r="O636" s="2">
        <v>1.8748099501875198E-2</v>
      </c>
      <c r="P636" s="2">
        <v>1.6263633515721401</v>
      </c>
      <c r="Q636" s="2">
        <v>1.2185155651566899</v>
      </c>
      <c r="R636" s="2">
        <v>18.039916424382401</v>
      </c>
      <c r="S636" s="2">
        <v>12.3319148615012</v>
      </c>
      <c r="T636" s="2">
        <v>0</v>
      </c>
      <c r="U636" s="2">
        <v>6.4209498753310301</v>
      </c>
      <c r="V636" s="2">
        <v>10.836798417531799</v>
      </c>
      <c r="W636" s="2">
        <v>1.9534343644532499</v>
      </c>
      <c r="X636" s="2">
        <v>3.4903640548641799</v>
      </c>
      <c r="Y636" s="2">
        <v>9.5977172151350594</v>
      </c>
      <c r="Z636" s="2">
        <v>1.72875178282683</v>
      </c>
      <c r="AA636" s="3">
        <f t="shared" si="28"/>
        <v>67.263474012256466</v>
      </c>
      <c r="AB636" t="s">
        <v>45</v>
      </c>
      <c r="AC636">
        <v>25.17</v>
      </c>
      <c r="AD636">
        <v>10.09</v>
      </c>
      <c r="AE636">
        <v>100.23</v>
      </c>
      <c r="AF636">
        <v>33.869999999999997</v>
      </c>
      <c r="AG636">
        <v>45.21</v>
      </c>
      <c r="AH636">
        <v>9.99</v>
      </c>
      <c r="AI636">
        <v>11.16</v>
      </c>
      <c r="AJ636">
        <v>36.61</v>
      </c>
      <c r="AK636">
        <v>90.43</v>
      </c>
      <c r="AL636">
        <v>44.64</v>
      </c>
      <c r="AM636">
        <v>87.7</v>
      </c>
      <c r="AN636">
        <v>68.760000000000005</v>
      </c>
      <c r="AO636" s="1">
        <f t="shared" si="29"/>
        <v>563.86</v>
      </c>
    </row>
    <row r="637" spans="1:41" x14ac:dyDescent="0.25">
      <c r="A637" t="s">
        <v>680</v>
      </c>
      <c r="B637" s="2">
        <v>1509.43511885199</v>
      </c>
      <c r="C637" s="2">
        <v>1754.23289721128</v>
      </c>
      <c r="D637" s="2">
        <v>13964.841873351501</v>
      </c>
      <c r="E637" s="2">
        <v>5842.7888106607797</v>
      </c>
      <c r="F637" s="2">
        <v>5909.4941151427502</v>
      </c>
      <c r="G637" s="2">
        <v>2683.1499329130102</v>
      </c>
      <c r="H637" s="2">
        <v>2177.2201721708002</v>
      </c>
      <c r="I637" s="2">
        <v>883.89191096797299</v>
      </c>
      <c r="J637" s="2">
        <v>4144.6042110728504</v>
      </c>
      <c r="K637" s="2">
        <v>1602.48701147162</v>
      </c>
      <c r="L637" s="2">
        <v>5060.7314040301599</v>
      </c>
      <c r="M637" s="2">
        <v>1961.1990095752501</v>
      </c>
      <c r="N637" s="3">
        <f t="shared" si="27"/>
        <v>47494.076467419953</v>
      </c>
      <c r="O637" s="2">
        <v>2.1002193116332299</v>
      </c>
      <c r="P637" s="2">
        <v>0</v>
      </c>
      <c r="Q637" s="2">
        <v>2.4192796792919098</v>
      </c>
      <c r="R637" s="2">
        <v>0.65385523939586299</v>
      </c>
      <c r="S637" s="2">
        <v>3.4621506648398199</v>
      </c>
      <c r="T637" s="2">
        <v>0</v>
      </c>
      <c r="U637" s="2">
        <v>1.3260654973359101</v>
      </c>
      <c r="V637" s="2">
        <v>4.23811021874553</v>
      </c>
      <c r="W637" s="2">
        <v>2.2361979229842901</v>
      </c>
      <c r="X637" s="2">
        <v>6.9700186340980403</v>
      </c>
      <c r="Y637" s="2">
        <v>8.56170992111321E-2</v>
      </c>
      <c r="Z637" s="2">
        <v>1.4341343920715699</v>
      </c>
      <c r="AA637" s="3">
        <f t="shared" si="28"/>
        <v>24.92564865960729</v>
      </c>
      <c r="AB637" t="s">
        <v>45</v>
      </c>
      <c r="AC637">
        <v>25.24</v>
      </c>
      <c r="AD637">
        <v>27.54</v>
      </c>
      <c r="AE637">
        <v>149.79</v>
      </c>
      <c r="AF637">
        <v>68.47</v>
      </c>
      <c r="AG637">
        <v>69.290000000000006</v>
      </c>
      <c r="AH637">
        <v>36.83</v>
      </c>
      <c r="AI637">
        <v>31.87</v>
      </c>
      <c r="AJ637">
        <v>19.079999999999998</v>
      </c>
      <c r="AK637">
        <v>51.59</v>
      </c>
      <c r="AL637">
        <v>26.37</v>
      </c>
      <c r="AM637">
        <v>60.65</v>
      </c>
      <c r="AN637">
        <v>29.71</v>
      </c>
      <c r="AO637" s="1">
        <f t="shared" si="29"/>
        <v>596.42999999999995</v>
      </c>
    </row>
    <row r="638" spans="1:41" x14ac:dyDescent="0.25">
      <c r="A638" t="s">
        <v>681</v>
      </c>
      <c r="B638" s="2">
        <v>1504.0664996522801</v>
      </c>
      <c r="C638" s="2">
        <v>200.05489683453399</v>
      </c>
      <c r="D638" s="2">
        <v>574.956564715524</v>
      </c>
      <c r="E638" s="2">
        <v>5151.4053399411196</v>
      </c>
      <c r="F638" s="2">
        <v>1469.5815096372</v>
      </c>
      <c r="G638" s="2">
        <v>1398.48710269055</v>
      </c>
      <c r="H638" s="2">
        <v>2229.9124694992402</v>
      </c>
      <c r="I638" s="2">
        <v>3748.7786425006502</v>
      </c>
      <c r="J638" s="2">
        <v>10019.3968909374</v>
      </c>
      <c r="K638" s="2">
        <v>4302.6321707622401</v>
      </c>
      <c r="L638" s="2">
        <v>5003.6041372490099</v>
      </c>
      <c r="M638" s="2">
        <v>3718.4849573676702</v>
      </c>
      <c r="N638" s="3">
        <f t="shared" si="27"/>
        <v>39321.361181787419</v>
      </c>
      <c r="O638" s="2">
        <v>1.49341890672269</v>
      </c>
      <c r="P638" s="2">
        <v>0</v>
      </c>
      <c r="Q638" s="2">
        <v>0.30333987100153698</v>
      </c>
      <c r="R638" s="2">
        <v>2.82197192573495</v>
      </c>
      <c r="S638" s="2">
        <v>4.2490128341374298</v>
      </c>
      <c r="T638" s="2">
        <v>2.9774850065285401</v>
      </c>
      <c r="U638" s="2">
        <v>4.9374354248717101</v>
      </c>
      <c r="V638" s="2">
        <v>0.23286247931264001</v>
      </c>
      <c r="W638" s="2">
        <v>13.297378685097099</v>
      </c>
      <c r="X638" s="2">
        <v>6.76740417933045</v>
      </c>
      <c r="Y638" s="2">
        <v>5.7630748592467897</v>
      </c>
      <c r="Z638" s="2">
        <v>8.5422760157683992</v>
      </c>
      <c r="AA638" s="3">
        <f t="shared" si="28"/>
        <v>51.385660187752237</v>
      </c>
      <c r="AB638" t="s">
        <v>45</v>
      </c>
      <c r="AC638">
        <v>25.14</v>
      </c>
      <c r="AD638">
        <v>12</v>
      </c>
      <c r="AE638">
        <v>15.79</v>
      </c>
      <c r="AF638">
        <v>61.66</v>
      </c>
      <c r="AG638">
        <v>24.94</v>
      </c>
      <c r="AH638">
        <v>24.13</v>
      </c>
      <c r="AI638">
        <v>32.54</v>
      </c>
      <c r="AJ638">
        <v>47.53</v>
      </c>
      <c r="AK638">
        <v>110.89</v>
      </c>
      <c r="AL638">
        <v>53.37</v>
      </c>
      <c r="AM638">
        <v>60.33</v>
      </c>
      <c r="AN638">
        <v>47.63</v>
      </c>
      <c r="AO638" s="1">
        <f t="shared" si="29"/>
        <v>515.95000000000005</v>
      </c>
    </row>
    <row r="639" spans="1:41" x14ac:dyDescent="0.25">
      <c r="A639" t="s">
        <v>682</v>
      </c>
      <c r="B639" s="2">
        <v>1501.83364681278</v>
      </c>
      <c r="C639" s="2">
        <v>915.08672745279398</v>
      </c>
      <c r="D639" s="2">
        <v>6661.73581612</v>
      </c>
      <c r="E639" s="2">
        <v>10683.949918834</v>
      </c>
      <c r="F639" s="2">
        <v>2106.7590576143002</v>
      </c>
      <c r="G639" s="2">
        <v>3790.1628319676802</v>
      </c>
      <c r="H639" s="2">
        <v>2207.6195532299998</v>
      </c>
      <c r="I639" s="2">
        <v>2458.13260996701</v>
      </c>
      <c r="J639" s="2">
        <v>7391.401934947</v>
      </c>
      <c r="K639" s="2">
        <v>521.55986193179103</v>
      </c>
      <c r="L639" s="2">
        <v>2919.9404274928502</v>
      </c>
      <c r="M639" s="2">
        <v>1830.8027564527399</v>
      </c>
      <c r="N639" s="3">
        <f t="shared" si="27"/>
        <v>42988.985142822945</v>
      </c>
      <c r="O639" s="2">
        <v>4.3311051750882701</v>
      </c>
      <c r="P639" s="2">
        <v>7.8447085129032796</v>
      </c>
      <c r="Q639" s="2">
        <v>15.285437875250301</v>
      </c>
      <c r="R639" s="2">
        <v>1.93153752170265</v>
      </c>
      <c r="S639" s="2">
        <v>7.8584009198249998</v>
      </c>
      <c r="T639" s="2">
        <v>7.1253838744782501</v>
      </c>
      <c r="U639" s="2">
        <v>1.90806717200723</v>
      </c>
      <c r="V639" s="2">
        <v>12.578922464881501</v>
      </c>
      <c r="W639" s="2">
        <v>0</v>
      </c>
      <c r="X639" s="2">
        <v>0.35752819469358699</v>
      </c>
      <c r="Y639" s="2">
        <v>8.9798288605608096</v>
      </c>
      <c r="Z639" s="2">
        <v>1.85184006919093</v>
      </c>
      <c r="AA639" s="3">
        <f t="shared" si="28"/>
        <v>70.052760640581809</v>
      </c>
      <c r="AB639" t="s">
        <v>45</v>
      </c>
      <c r="AC639">
        <v>25.26</v>
      </c>
      <c r="AD639">
        <v>19.55</v>
      </c>
      <c r="AE639">
        <v>77.41</v>
      </c>
      <c r="AF639">
        <v>116.93</v>
      </c>
      <c r="AG639">
        <v>31.46</v>
      </c>
      <c r="AH639">
        <v>48.3</v>
      </c>
      <c r="AI639">
        <v>32.17</v>
      </c>
      <c r="AJ639">
        <v>35.229999999999997</v>
      </c>
      <c r="AK639">
        <v>83.91</v>
      </c>
      <c r="AL639">
        <v>15.26</v>
      </c>
      <c r="AM639">
        <v>39.64</v>
      </c>
      <c r="AN639">
        <v>28.4</v>
      </c>
      <c r="AO639" s="1">
        <f t="shared" si="29"/>
        <v>553.52</v>
      </c>
    </row>
    <row r="640" spans="1:41" x14ac:dyDescent="0.25">
      <c r="A640" t="s">
        <v>683</v>
      </c>
      <c r="B640" s="2">
        <v>1494.79210953035</v>
      </c>
      <c r="C640" s="2">
        <v>4380.0370968143598</v>
      </c>
      <c r="D640" s="2">
        <v>2290.79901561016</v>
      </c>
      <c r="E640" s="2">
        <v>5808.7975186707599</v>
      </c>
      <c r="F640" s="2">
        <v>1564.4656650817101</v>
      </c>
      <c r="G640" s="2">
        <v>8965.7780272554701</v>
      </c>
      <c r="H640" s="2">
        <v>3145.62205866973</v>
      </c>
      <c r="I640" s="2">
        <v>4204.3129769821699</v>
      </c>
      <c r="J640" s="2">
        <v>21248.591894827001</v>
      </c>
      <c r="K640" s="2">
        <v>531.18846760046597</v>
      </c>
      <c r="L640" s="2">
        <v>4983.7423878881</v>
      </c>
      <c r="M640" s="2">
        <v>1379.87099828848</v>
      </c>
      <c r="N640" s="3">
        <f t="shared" si="27"/>
        <v>59997.998217218752</v>
      </c>
      <c r="O640" s="2">
        <v>2.3466505927884498</v>
      </c>
      <c r="P640" s="2">
        <v>0.45826451829847797</v>
      </c>
      <c r="Q640" s="2">
        <v>2.9294750676277501</v>
      </c>
      <c r="R640" s="2">
        <v>2.07833631468369</v>
      </c>
      <c r="S640" s="2">
        <v>9.5985552444237907</v>
      </c>
      <c r="T640" s="2">
        <v>2.8098234413644998</v>
      </c>
      <c r="U640" s="2">
        <v>9.8321780425515009</v>
      </c>
      <c r="V640" s="2">
        <v>0</v>
      </c>
      <c r="W640" s="2">
        <v>5.5416218667459196</v>
      </c>
      <c r="X640" s="2">
        <v>8.1693496118292099</v>
      </c>
      <c r="Y640" s="2">
        <v>0</v>
      </c>
      <c r="Z640" s="2">
        <v>14.5907990804752</v>
      </c>
      <c r="AA640" s="3">
        <f t="shared" si="28"/>
        <v>58.355053780788488</v>
      </c>
      <c r="AB640" t="s">
        <v>45</v>
      </c>
      <c r="AC640">
        <v>25.09</v>
      </c>
      <c r="AD640">
        <v>53.85</v>
      </c>
      <c r="AE640">
        <v>33.049999999999997</v>
      </c>
      <c r="AF640">
        <v>68.23</v>
      </c>
      <c r="AG640">
        <v>26.14</v>
      </c>
      <c r="AH640">
        <v>99.8</v>
      </c>
      <c r="AI640">
        <v>41.95</v>
      </c>
      <c r="AJ640">
        <v>52.04</v>
      </c>
      <c r="AK640">
        <v>222.78</v>
      </c>
      <c r="AL640">
        <v>15.76</v>
      </c>
      <c r="AM640">
        <v>59.83</v>
      </c>
      <c r="AN640">
        <v>24.54</v>
      </c>
      <c r="AO640" s="1">
        <f t="shared" si="29"/>
        <v>723.06000000000006</v>
      </c>
    </row>
    <row r="641" spans="1:41" x14ac:dyDescent="0.25">
      <c r="A641" t="s">
        <v>684</v>
      </c>
      <c r="B641" s="2">
        <v>1490.9503862758099</v>
      </c>
      <c r="C641" s="2">
        <v>5799.8418404783097</v>
      </c>
      <c r="D641" s="2">
        <v>5538.7130330937598</v>
      </c>
      <c r="E641" s="2">
        <v>2025.5895475814</v>
      </c>
      <c r="F641" s="2">
        <v>6215.9083392661396</v>
      </c>
      <c r="G641" s="2">
        <v>8837.3314169706591</v>
      </c>
      <c r="H641" s="2">
        <v>3190.8348293548702</v>
      </c>
      <c r="I641" s="2">
        <v>472.243780093711</v>
      </c>
      <c r="J641" s="2">
        <v>9609.9088419752206</v>
      </c>
      <c r="K641" s="2">
        <v>99.941727021509706</v>
      </c>
      <c r="L641" s="2">
        <v>0</v>
      </c>
      <c r="M641" s="2">
        <v>728.33672274518904</v>
      </c>
      <c r="N641" s="3">
        <f t="shared" si="27"/>
        <v>44009.600464856579</v>
      </c>
      <c r="O641" s="2">
        <v>4.6904583528107899</v>
      </c>
      <c r="P641" s="2">
        <v>4.0971210951877097</v>
      </c>
      <c r="Q641" s="2">
        <v>6.1470894293010403</v>
      </c>
      <c r="R641" s="2">
        <v>0.63625815422769805</v>
      </c>
      <c r="S641" s="2">
        <v>1.0120356390298999</v>
      </c>
      <c r="T641" s="2">
        <v>5.2548149799744204</v>
      </c>
      <c r="U641" s="2">
        <v>7.7883954768504404</v>
      </c>
      <c r="V641" s="2">
        <v>4.8071537612850701</v>
      </c>
      <c r="W641" s="2">
        <v>0</v>
      </c>
      <c r="X641" s="2">
        <v>2.2695659464824098</v>
      </c>
      <c r="Y641" s="2">
        <v>1.40293665062841</v>
      </c>
      <c r="Z641" s="2">
        <v>1.85165024800291</v>
      </c>
      <c r="AA641" s="3">
        <f t="shared" si="28"/>
        <v>39.957479733780801</v>
      </c>
      <c r="AB641" t="s">
        <v>63</v>
      </c>
      <c r="AC641">
        <v>30.27</v>
      </c>
      <c r="AD641">
        <v>116.45</v>
      </c>
      <c r="AE641">
        <v>111.41</v>
      </c>
      <c r="AF641">
        <v>40.61</v>
      </c>
      <c r="AG641">
        <v>124.5</v>
      </c>
      <c r="AH641">
        <v>177.3</v>
      </c>
      <c r="AI641">
        <v>64.540000000000006</v>
      </c>
      <c r="AJ641">
        <v>9.91</v>
      </c>
      <c r="AK641">
        <v>192.2</v>
      </c>
      <c r="AL641">
        <v>2.27</v>
      </c>
      <c r="AM641">
        <v>0.18</v>
      </c>
      <c r="AN641">
        <v>14.76</v>
      </c>
      <c r="AO641" s="1">
        <f t="shared" si="29"/>
        <v>884.39999999999975</v>
      </c>
    </row>
    <row r="642" spans="1:41" x14ac:dyDescent="0.25">
      <c r="A642" t="s">
        <v>685</v>
      </c>
      <c r="B642" s="2">
        <v>1489.8841752068399</v>
      </c>
      <c r="C642" s="2">
        <v>2101.4564487616799</v>
      </c>
      <c r="D642" s="2">
        <v>7181.1096709764197</v>
      </c>
      <c r="E642" s="2">
        <v>7937.79758234356</v>
      </c>
      <c r="F642" s="2">
        <v>798.67806766514104</v>
      </c>
      <c r="G642" s="2">
        <v>1585.3747227932599</v>
      </c>
      <c r="H642" s="2">
        <v>1639.8467434084901</v>
      </c>
      <c r="I642" s="2">
        <v>2328.2004336666701</v>
      </c>
      <c r="J642" s="2">
        <v>1029.7436130681999</v>
      </c>
      <c r="K642" s="2">
        <v>5751.8291013466896</v>
      </c>
      <c r="L642" s="2">
        <v>3914.3225251889298</v>
      </c>
      <c r="M642" s="2">
        <v>0</v>
      </c>
      <c r="N642" s="3">
        <f t="shared" si="27"/>
        <v>35758.243084425878</v>
      </c>
      <c r="O642" s="2">
        <v>3.7821257761955001</v>
      </c>
      <c r="P642" s="2">
        <v>2.1463237913209801</v>
      </c>
      <c r="Q642" s="2">
        <v>0.96102337538787896</v>
      </c>
      <c r="R642" s="2">
        <v>2.7160573820235698</v>
      </c>
      <c r="S642" s="2">
        <v>0</v>
      </c>
      <c r="T642" s="2">
        <v>2.1494011432079398</v>
      </c>
      <c r="U642" s="2">
        <v>1.83021790689299</v>
      </c>
      <c r="V642" s="2">
        <v>3.2267523152883002</v>
      </c>
      <c r="W642" s="2">
        <v>0</v>
      </c>
      <c r="X642" s="2">
        <v>8.5517888683541301</v>
      </c>
      <c r="Y642" s="2">
        <v>2.4869954535521401</v>
      </c>
      <c r="Z642" s="2">
        <v>3.5601086929114798</v>
      </c>
      <c r="AA642" s="3">
        <f t="shared" si="28"/>
        <v>31.410794705134911</v>
      </c>
      <c r="AB642" t="s">
        <v>63</v>
      </c>
      <c r="AC642">
        <v>30.16</v>
      </c>
      <c r="AD642">
        <v>42.31</v>
      </c>
      <c r="AE642">
        <v>143.72999999999999</v>
      </c>
      <c r="AF642">
        <v>159.03</v>
      </c>
      <c r="AG642">
        <v>15.98</v>
      </c>
      <c r="AH642">
        <v>31.99</v>
      </c>
      <c r="AI642">
        <v>32.979999999999997</v>
      </c>
      <c r="AJ642">
        <v>46.94</v>
      </c>
      <c r="AK642">
        <v>20.6</v>
      </c>
      <c r="AL642">
        <v>115.85</v>
      </c>
      <c r="AM642">
        <v>78.569999999999993</v>
      </c>
      <c r="AN642">
        <v>0.36</v>
      </c>
      <c r="AO642" s="1">
        <f t="shared" si="29"/>
        <v>718.50000000000011</v>
      </c>
    </row>
    <row r="643" spans="1:41" x14ac:dyDescent="0.25">
      <c r="A643" t="s">
        <v>686</v>
      </c>
      <c r="B643" s="2">
        <v>1462.90998757283</v>
      </c>
      <c r="C643" s="2">
        <v>3349.42732328493</v>
      </c>
      <c r="D643" s="2">
        <v>1886.23180390324</v>
      </c>
      <c r="E643" s="2">
        <v>2857.82880204099</v>
      </c>
      <c r="F643" s="2">
        <v>4362.2307314844602</v>
      </c>
      <c r="G643" s="2">
        <v>5431.7892144346597</v>
      </c>
      <c r="H643" s="2">
        <v>768.12501743987298</v>
      </c>
      <c r="I643" s="2">
        <v>5128.2756715988698</v>
      </c>
      <c r="J643" s="2">
        <v>3873.8029642472802</v>
      </c>
      <c r="K643" s="2">
        <v>0</v>
      </c>
      <c r="L643" s="2">
        <v>179.457754013467</v>
      </c>
      <c r="M643" s="2">
        <v>3460.3919650612502</v>
      </c>
      <c r="N643" s="3">
        <f t="shared" ref="N643:N706" si="30">SUM(B643:M643)</f>
        <v>32760.471235081852</v>
      </c>
      <c r="O643" s="2">
        <v>0.598789620999858</v>
      </c>
      <c r="P643" s="2">
        <v>1.51297872013782</v>
      </c>
      <c r="Q643" s="2">
        <v>0</v>
      </c>
      <c r="R643" s="2">
        <v>2.17464979612827</v>
      </c>
      <c r="S643" s="2">
        <v>10.017536766544501</v>
      </c>
      <c r="T643" s="2">
        <v>4.2234409756669704</v>
      </c>
      <c r="U643" s="2">
        <v>0.437080285517981</v>
      </c>
      <c r="V643" s="2">
        <v>1.20434874682388</v>
      </c>
      <c r="W643" s="2">
        <v>5.09058881256039</v>
      </c>
      <c r="X643" s="2">
        <v>3.3536143361895698</v>
      </c>
      <c r="Y643" s="2">
        <v>6.5613486833511896</v>
      </c>
      <c r="Z643" s="2">
        <v>3.7064715856703399</v>
      </c>
      <c r="AA643" s="3">
        <f t="shared" si="28"/>
        <v>38.880848329590769</v>
      </c>
      <c r="AB643" t="s">
        <v>63</v>
      </c>
      <c r="AC643">
        <v>29.35</v>
      </c>
      <c r="AD643">
        <v>67.180000000000007</v>
      </c>
      <c r="AE643">
        <v>37.74</v>
      </c>
      <c r="AF643">
        <v>57.43</v>
      </c>
      <c r="AG643">
        <v>88.25</v>
      </c>
      <c r="AH643">
        <v>109.09</v>
      </c>
      <c r="AI643">
        <v>15.47</v>
      </c>
      <c r="AJ643">
        <v>102.76</v>
      </c>
      <c r="AK643">
        <v>78.02</v>
      </c>
      <c r="AL643">
        <v>0.36</v>
      </c>
      <c r="AM643">
        <v>4.2300000000000004</v>
      </c>
      <c r="AN643">
        <v>69.58</v>
      </c>
      <c r="AO643" s="1">
        <f t="shared" si="29"/>
        <v>659.46000000000015</v>
      </c>
    </row>
    <row r="644" spans="1:41" x14ac:dyDescent="0.25">
      <c r="A644" t="s">
        <v>687</v>
      </c>
      <c r="B644" s="2">
        <v>1462.42020651845</v>
      </c>
      <c r="C644" s="2">
        <v>3110.5254174235802</v>
      </c>
      <c r="D644" s="2">
        <v>13482.1895651836</v>
      </c>
      <c r="E644" s="2">
        <v>866.88605471350797</v>
      </c>
      <c r="F644" s="2">
        <v>114.04048671303001</v>
      </c>
      <c r="G644" s="2">
        <v>843.59004896365002</v>
      </c>
      <c r="H644" s="2">
        <v>0</v>
      </c>
      <c r="I644" s="2">
        <v>1565.3804422176599</v>
      </c>
      <c r="J644" s="2">
        <v>5128.6101148521902</v>
      </c>
      <c r="K644" s="2">
        <v>0</v>
      </c>
      <c r="L644" s="2">
        <v>21129.194733421202</v>
      </c>
      <c r="M644" s="2">
        <v>3335.7704280719799</v>
      </c>
      <c r="N644" s="3">
        <f t="shared" si="30"/>
        <v>51038.607498078854</v>
      </c>
      <c r="O644" s="2">
        <v>1.52903209430996</v>
      </c>
      <c r="P644" s="2">
        <v>5.9022912517047503</v>
      </c>
      <c r="Q644" s="2">
        <v>2.0977608482006702</v>
      </c>
      <c r="R644" s="2">
        <v>2.0063986283222599</v>
      </c>
      <c r="S644" s="2">
        <v>4.6776948547596398</v>
      </c>
      <c r="T644" s="2">
        <v>5.8926996275711296</v>
      </c>
      <c r="U644" s="2">
        <v>1.27961796537186</v>
      </c>
      <c r="V644" s="2">
        <v>2.2053831212973698</v>
      </c>
      <c r="W644" s="2">
        <v>1.8810822799798901</v>
      </c>
      <c r="X644" s="2">
        <v>2.0665882092699999</v>
      </c>
      <c r="Y644" s="2">
        <v>3.5963299229744599</v>
      </c>
      <c r="Z644" s="2">
        <v>3.9111593060966499</v>
      </c>
      <c r="AA644" s="3">
        <f t="shared" ref="AA644:AA707" si="31">SUM(O644:Z644)</f>
        <v>37.046038109858642</v>
      </c>
      <c r="AB644" t="s">
        <v>45</v>
      </c>
      <c r="AC644">
        <v>24.72</v>
      </c>
      <c r="AD644">
        <v>41.4</v>
      </c>
      <c r="AE644">
        <v>144.97</v>
      </c>
      <c r="AF644">
        <v>18.809999999999999</v>
      </c>
      <c r="AG644">
        <v>11.39</v>
      </c>
      <c r="AH644">
        <v>18.73</v>
      </c>
      <c r="AI644">
        <v>10.09</v>
      </c>
      <c r="AJ644">
        <v>25.8</v>
      </c>
      <c r="AK644">
        <v>61.38</v>
      </c>
      <c r="AL644">
        <v>10.14</v>
      </c>
      <c r="AM644">
        <v>221.49</v>
      </c>
      <c r="AN644">
        <v>43.55</v>
      </c>
      <c r="AO644" s="1">
        <f t="shared" si="29"/>
        <v>632.47</v>
      </c>
    </row>
    <row r="645" spans="1:41" x14ac:dyDescent="0.25">
      <c r="A645" t="s">
        <v>688</v>
      </c>
      <c r="B645" s="2">
        <v>1458.98673607775</v>
      </c>
      <c r="C645" s="2">
        <v>3287.0964482617801</v>
      </c>
      <c r="D645" s="2">
        <v>5987.6338826700803</v>
      </c>
      <c r="E645" s="2">
        <v>2319.0630447631102</v>
      </c>
      <c r="F645" s="2">
        <v>47.079944762521002</v>
      </c>
      <c r="G645" s="2">
        <v>1893.9409196255899</v>
      </c>
      <c r="H645" s="2">
        <v>2389.1749737936002</v>
      </c>
      <c r="I645" s="2">
        <v>2485.13482980961</v>
      </c>
      <c r="J645" s="2">
        <v>2461.4067746187002</v>
      </c>
      <c r="K645" s="2">
        <v>736.14853936513396</v>
      </c>
      <c r="L645" s="2">
        <v>5779.7101173399897</v>
      </c>
      <c r="M645" s="2">
        <v>8399.1119275088095</v>
      </c>
      <c r="N645" s="3">
        <f t="shared" si="30"/>
        <v>37244.488138596673</v>
      </c>
      <c r="O645" s="2">
        <v>4.0761979086333104</v>
      </c>
      <c r="P645" s="2">
        <v>0</v>
      </c>
      <c r="Q645" s="2">
        <v>5.4039164613367303</v>
      </c>
      <c r="R645" s="2">
        <v>4.2979596136687601E-2</v>
      </c>
      <c r="S645" s="2">
        <v>1.09686556822017</v>
      </c>
      <c r="T645" s="2">
        <v>3.6388853350061998</v>
      </c>
      <c r="U645" s="2">
        <v>10.5381430166932</v>
      </c>
      <c r="V645" s="2">
        <v>0</v>
      </c>
      <c r="W645" s="2">
        <v>0.92701065303436103</v>
      </c>
      <c r="X645" s="2">
        <v>7.2551706367074003</v>
      </c>
      <c r="Y645" s="2">
        <v>1.6334461784625101</v>
      </c>
      <c r="Z645" s="2">
        <v>10.888275104508701</v>
      </c>
      <c r="AA645" s="3">
        <f t="shared" si="31"/>
        <v>45.500890458739278</v>
      </c>
      <c r="AB645" t="s">
        <v>45</v>
      </c>
      <c r="AC645">
        <v>24.83</v>
      </c>
      <c r="AD645">
        <v>42.87</v>
      </c>
      <c r="AE645">
        <v>70.17</v>
      </c>
      <c r="AF645">
        <v>33.24</v>
      </c>
      <c r="AG645">
        <v>10.57</v>
      </c>
      <c r="AH645">
        <v>29.13</v>
      </c>
      <c r="AI645">
        <v>34.44</v>
      </c>
      <c r="AJ645">
        <v>34.85</v>
      </c>
      <c r="AK645">
        <v>34.659999999999997</v>
      </c>
      <c r="AL645">
        <v>17.760000000000002</v>
      </c>
      <c r="AM645">
        <v>67.89</v>
      </c>
      <c r="AN645">
        <v>94.54</v>
      </c>
      <c r="AO645" s="1">
        <f t="shared" ref="AO645:AO708" si="32">SUM(AC645:AN645)</f>
        <v>494.95</v>
      </c>
    </row>
    <row r="646" spans="1:41" x14ac:dyDescent="0.25">
      <c r="A646" t="s">
        <v>689</v>
      </c>
      <c r="B646" s="2">
        <v>1449.1397147826999</v>
      </c>
      <c r="C646" s="2">
        <v>4284.2604367662998</v>
      </c>
      <c r="D646" s="2">
        <v>933.20351369163302</v>
      </c>
      <c r="E646" s="2">
        <v>107.808486304981</v>
      </c>
      <c r="F646" s="2">
        <v>3105.6093983006599</v>
      </c>
      <c r="G646" s="2">
        <v>1619.87076630604</v>
      </c>
      <c r="H646" s="2">
        <v>980.85988380493495</v>
      </c>
      <c r="I646" s="2">
        <v>14826.8991708263</v>
      </c>
      <c r="J646" s="2">
        <v>1070.2297360991699</v>
      </c>
      <c r="K646" s="2">
        <v>9242.1064419059603</v>
      </c>
      <c r="L646" s="2">
        <v>400.19674650347298</v>
      </c>
      <c r="M646" s="2">
        <v>6186.1633960625904</v>
      </c>
      <c r="N646" s="3">
        <f t="shared" si="30"/>
        <v>44206.347691354742</v>
      </c>
      <c r="O646" s="2">
        <v>1.6638344268405401</v>
      </c>
      <c r="P646" s="2">
        <v>1.6052852033893199</v>
      </c>
      <c r="Q646" s="2">
        <v>1.4634813768547299</v>
      </c>
      <c r="R646" s="2">
        <v>2.3300183236509699</v>
      </c>
      <c r="S646" s="2">
        <v>6.5136314657772099</v>
      </c>
      <c r="T646" s="2">
        <v>8.8124752251869207</v>
      </c>
      <c r="U646" s="2">
        <v>9.9830283196172491</v>
      </c>
      <c r="V646" s="2">
        <v>7.99059359034562</v>
      </c>
      <c r="W646" s="2">
        <v>9.2343219161385992</v>
      </c>
      <c r="X646" s="2">
        <v>2.97680954046846</v>
      </c>
      <c r="Y646" s="2">
        <v>7.3083155341629098</v>
      </c>
      <c r="Z646" s="2">
        <v>2.3708674600237898</v>
      </c>
      <c r="AA646" s="3">
        <f t="shared" si="31"/>
        <v>62.252662382456307</v>
      </c>
      <c r="AB646" t="s">
        <v>45</v>
      </c>
      <c r="AC646">
        <v>24.59</v>
      </c>
      <c r="AD646">
        <v>52.94</v>
      </c>
      <c r="AE646">
        <v>19.43</v>
      </c>
      <c r="AF646">
        <v>11.22</v>
      </c>
      <c r="AG646">
        <v>41.4</v>
      </c>
      <c r="AH646">
        <v>26.64</v>
      </c>
      <c r="AI646">
        <v>20.3</v>
      </c>
      <c r="AJ646">
        <v>158.66</v>
      </c>
      <c r="AK646">
        <v>21.2</v>
      </c>
      <c r="AL646">
        <v>102.57</v>
      </c>
      <c r="AM646">
        <v>14.4</v>
      </c>
      <c r="AN646">
        <v>72.010000000000005</v>
      </c>
      <c r="AO646" s="1">
        <f t="shared" si="32"/>
        <v>565.36</v>
      </c>
    </row>
    <row r="647" spans="1:41" x14ac:dyDescent="0.25">
      <c r="A647" t="s">
        <v>690</v>
      </c>
      <c r="B647" s="2">
        <v>1446.13279111777</v>
      </c>
      <c r="C647" s="2">
        <v>4406.7874716760998</v>
      </c>
      <c r="D647" s="2">
        <v>1437.1001091625501</v>
      </c>
      <c r="E647" s="2">
        <v>5715.4551815367804</v>
      </c>
      <c r="F647" s="2">
        <v>7882.13421211682</v>
      </c>
      <c r="G647" s="2">
        <v>5477.7692084023001</v>
      </c>
      <c r="H647" s="2">
        <v>6408.5712485294098</v>
      </c>
      <c r="I647" s="2">
        <v>604.21955573818298</v>
      </c>
      <c r="J647" s="2">
        <v>8386.6877633085896</v>
      </c>
      <c r="K647" s="2">
        <v>4108.9826252214098</v>
      </c>
      <c r="L647" s="2">
        <v>6652.2982683472301</v>
      </c>
      <c r="M647" s="2">
        <v>4394.4061677501004</v>
      </c>
      <c r="N647" s="3">
        <f t="shared" si="30"/>
        <v>56920.544602907248</v>
      </c>
      <c r="O647" s="2">
        <v>0.205304757287568</v>
      </c>
      <c r="P647" s="2">
        <v>0.32867937607437703</v>
      </c>
      <c r="Q647" s="2">
        <v>5.08131422175064</v>
      </c>
      <c r="R647" s="2">
        <v>1.0748274794463999</v>
      </c>
      <c r="S647" s="2">
        <v>0.46563304776166498</v>
      </c>
      <c r="T647" s="2">
        <v>1.5713515600134</v>
      </c>
      <c r="U647" s="2">
        <v>12.684127816021901</v>
      </c>
      <c r="V647" s="2">
        <v>6.5873204521322402</v>
      </c>
      <c r="W647" s="2">
        <v>1.3040964251609799</v>
      </c>
      <c r="X647" s="2">
        <v>2.9587221254436198</v>
      </c>
      <c r="Y647" s="2">
        <v>2.0844221918572599</v>
      </c>
      <c r="Z647" s="2">
        <v>2.9974853231296099</v>
      </c>
      <c r="AA647" s="3">
        <f t="shared" si="31"/>
        <v>37.343284776079656</v>
      </c>
      <c r="AB647" t="s">
        <v>45</v>
      </c>
      <c r="AC647">
        <v>24.51</v>
      </c>
      <c r="AD647">
        <v>54.11</v>
      </c>
      <c r="AE647">
        <v>24.67</v>
      </c>
      <c r="AF647">
        <v>67.25</v>
      </c>
      <c r="AG647">
        <v>88.87</v>
      </c>
      <c r="AH647">
        <v>64.87</v>
      </c>
      <c r="AI647">
        <v>74.73</v>
      </c>
      <c r="AJ647">
        <v>16.39</v>
      </c>
      <c r="AK647">
        <v>93.96</v>
      </c>
      <c r="AL647">
        <v>51.23</v>
      </c>
      <c r="AM647">
        <v>76.67</v>
      </c>
      <c r="AN647">
        <v>54.09</v>
      </c>
      <c r="AO647" s="1">
        <f t="shared" si="32"/>
        <v>691.35</v>
      </c>
    </row>
    <row r="648" spans="1:41" x14ac:dyDescent="0.25">
      <c r="A648" t="s">
        <v>691</v>
      </c>
      <c r="B648" s="2">
        <v>1443.15221037622</v>
      </c>
      <c r="C648" s="2">
        <v>4522.0208670035299</v>
      </c>
      <c r="D648" s="2">
        <v>1074.1525541495801</v>
      </c>
      <c r="E648" s="2">
        <v>0</v>
      </c>
      <c r="F648" s="2">
        <v>1035.4016168584701</v>
      </c>
      <c r="G648" s="2">
        <v>2379.10458580982</v>
      </c>
      <c r="H648" s="2">
        <v>533.33837687209405</v>
      </c>
      <c r="I648" s="2">
        <v>1832.67645292368</v>
      </c>
      <c r="J648" s="2">
        <v>3926.6163910630098</v>
      </c>
      <c r="K648" s="2">
        <v>631.49766957985298</v>
      </c>
      <c r="L648" s="2">
        <v>2078.7204050223199</v>
      </c>
      <c r="M648" s="2">
        <v>2399.10401692193</v>
      </c>
      <c r="N648" s="3">
        <f t="shared" si="30"/>
        <v>21855.785146580511</v>
      </c>
      <c r="O648" s="2">
        <v>0</v>
      </c>
      <c r="P648" s="2">
        <v>9.1169944084235901</v>
      </c>
      <c r="Q648" s="2">
        <v>3.5236456769632798</v>
      </c>
      <c r="R648" s="2">
        <v>7.1548287436203797E-2</v>
      </c>
      <c r="S648" s="2">
        <v>1.82667825154908</v>
      </c>
      <c r="T648" s="2">
        <v>2.3655428320995799</v>
      </c>
      <c r="U648" s="2">
        <v>1.96848838267268</v>
      </c>
      <c r="V648" s="2">
        <v>7.0008705218065002</v>
      </c>
      <c r="W648" s="2">
        <v>7.0521357817620203</v>
      </c>
      <c r="X648" s="2">
        <v>2.3852201381854399</v>
      </c>
      <c r="Y648" s="2">
        <v>14.147068662022599</v>
      </c>
      <c r="Z648" s="2">
        <v>1.6843244184095201</v>
      </c>
      <c r="AA648" s="3">
        <f t="shared" si="31"/>
        <v>51.142517361330491</v>
      </c>
      <c r="AB648" t="s">
        <v>63</v>
      </c>
      <c r="AC648">
        <v>28.88</v>
      </c>
      <c r="AD648">
        <v>91.36</v>
      </c>
      <c r="AE648">
        <v>21.86</v>
      </c>
      <c r="AF648">
        <v>0.09</v>
      </c>
      <c r="AG648">
        <v>20.9</v>
      </c>
      <c r="AH648">
        <v>47.87</v>
      </c>
      <c r="AI648">
        <v>10.86</v>
      </c>
      <c r="AJ648">
        <v>37.380000000000003</v>
      </c>
      <c r="AK648">
        <v>79.260000000000005</v>
      </c>
      <c r="AL648">
        <v>12.91</v>
      </c>
      <c r="AM648">
        <v>42.93</v>
      </c>
      <c r="AN648">
        <v>48.18</v>
      </c>
      <c r="AO648" s="1">
        <f t="shared" si="32"/>
        <v>442.48</v>
      </c>
    </row>
    <row r="649" spans="1:41" x14ac:dyDescent="0.25">
      <c r="A649" t="s">
        <v>692</v>
      </c>
      <c r="B649" s="2">
        <v>1434.9343518697301</v>
      </c>
      <c r="C649" s="2">
        <v>3616.8266975564502</v>
      </c>
      <c r="D649" s="2">
        <v>2876.3083516237498</v>
      </c>
      <c r="E649" s="2">
        <v>4826.0635510658403</v>
      </c>
      <c r="F649" s="2">
        <v>4786.2245880159098</v>
      </c>
      <c r="G649" s="2">
        <v>5846.2719548410596</v>
      </c>
      <c r="H649" s="2">
        <v>2587.03836214381</v>
      </c>
      <c r="I649" s="2">
        <v>1139.6903722704801</v>
      </c>
      <c r="J649" s="2">
        <v>10548.3982752908</v>
      </c>
      <c r="K649" s="2">
        <v>0</v>
      </c>
      <c r="L649" s="2">
        <v>110.600102047216</v>
      </c>
      <c r="M649" s="2">
        <v>1665.9181919238699</v>
      </c>
      <c r="N649" s="3">
        <f t="shared" si="30"/>
        <v>39438.274798648919</v>
      </c>
      <c r="O649" s="2">
        <v>12.6900310847924</v>
      </c>
      <c r="P649" s="2">
        <v>4.2327347949494403</v>
      </c>
      <c r="Q649" s="2">
        <v>4.4206156382949802</v>
      </c>
      <c r="R649" s="2">
        <v>9.2677128619367402</v>
      </c>
      <c r="S649" s="2">
        <v>0</v>
      </c>
      <c r="T649" s="2">
        <v>2.6045274920983901</v>
      </c>
      <c r="U649" s="2">
        <v>1.39215206939281</v>
      </c>
      <c r="V649" s="2">
        <v>0.25425241389242498</v>
      </c>
      <c r="W649" s="2">
        <v>3.99291129471032</v>
      </c>
      <c r="X649" s="2">
        <v>11.0483473777558</v>
      </c>
      <c r="Y649" s="2">
        <v>2.6108590225670301</v>
      </c>
      <c r="Z649" s="2">
        <v>1.05814190383715</v>
      </c>
      <c r="AA649" s="3">
        <f t="shared" si="31"/>
        <v>53.572285954227482</v>
      </c>
      <c r="AB649" t="s">
        <v>45</v>
      </c>
      <c r="AC649">
        <v>24.99</v>
      </c>
      <c r="AD649">
        <v>46.41</v>
      </c>
      <c r="AE649">
        <v>39.01</v>
      </c>
      <c r="AF649">
        <v>58.76</v>
      </c>
      <c r="AG649">
        <v>57.86</v>
      </c>
      <c r="AH649">
        <v>68.61</v>
      </c>
      <c r="AI649">
        <v>35.97</v>
      </c>
      <c r="AJ649">
        <v>21.44</v>
      </c>
      <c r="AK649">
        <v>115.68</v>
      </c>
      <c r="AL649">
        <v>10.59</v>
      </c>
      <c r="AM649">
        <v>11.25</v>
      </c>
      <c r="AN649">
        <v>26.75</v>
      </c>
      <c r="AO649" s="1">
        <f t="shared" si="32"/>
        <v>517.31999999999994</v>
      </c>
    </row>
    <row r="650" spans="1:41" x14ac:dyDescent="0.25">
      <c r="A650" t="s">
        <v>693</v>
      </c>
      <c r="B650" s="2">
        <v>1429.1821104083899</v>
      </c>
      <c r="C650" s="2">
        <v>1530.2661731313899</v>
      </c>
      <c r="D650" s="2">
        <v>0</v>
      </c>
      <c r="E650" s="2">
        <v>146.50338553994001</v>
      </c>
      <c r="F650" s="2">
        <v>11035.0455962452</v>
      </c>
      <c r="G650" s="2">
        <v>4837.7888740678</v>
      </c>
      <c r="H650" s="2">
        <v>3491.2619236795399</v>
      </c>
      <c r="I650" s="2">
        <v>10738.7199897514</v>
      </c>
      <c r="J650" s="2">
        <v>4127.8807026187696</v>
      </c>
      <c r="K650" s="2">
        <v>5336.4944407630601</v>
      </c>
      <c r="L650" s="2">
        <v>2011.9276320566701</v>
      </c>
      <c r="M650" s="2">
        <v>2669.1595169533698</v>
      </c>
      <c r="N650" s="3">
        <f t="shared" si="30"/>
        <v>47354.230345215532</v>
      </c>
      <c r="O650" s="2">
        <v>7.6537515978137698</v>
      </c>
      <c r="P650" s="2">
        <v>0</v>
      </c>
      <c r="Q650" s="2">
        <v>3.5032373425885801</v>
      </c>
      <c r="R650" s="2">
        <v>0</v>
      </c>
      <c r="S650" s="2">
        <v>12.335718492658801</v>
      </c>
      <c r="T650" s="2">
        <v>2.41521215652942</v>
      </c>
      <c r="U650" s="2">
        <v>2.7748022138002599</v>
      </c>
      <c r="V650" s="2">
        <v>1.0937284639696101</v>
      </c>
      <c r="W650" s="2">
        <v>0</v>
      </c>
      <c r="X650" s="2">
        <v>4.4172186337367201</v>
      </c>
      <c r="Y650" s="2">
        <v>0</v>
      </c>
      <c r="Z650" s="2">
        <v>4.0331374800904598</v>
      </c>
      <c r="AA650" s="3">
        <f t="shared" si="31"/>
        <v>38.226806381187622</v>
      </c>
      <c r="AB650" t="s">
        <v>45</v>
      </c>
      <c r="AC650">
        <v>24.69</v>
      </c>
      <c r="AD650">
        <v>25.3</v>
      </c>
      <c r="AE650">
        <v>10.19</v>
      </c>
      <c r="AF650">
        <v>11.46</v>
      </c>
      <c r="AG650">
        <v>121</v>
      </c>
      <c r="AH650">
        <v>58.52</v>
      </c>
      <c r="AI650">
        <v>45.06</v>
      </c>
      <c r="AJ650">
        <v>117.48</v>
      </c>
      <c r="AK650">
        <v>51.27</v>
      </c>
      <c r="AL650">
        <v>63.61</v>
      </c>
      <c r="AM650">
        <v>30.11</v>
      </c>
      <c r="AN650">
        <v>36.94</v>
      </c>
      <c r="AO650" s="1">
        <f t="shared" si="32"/>
        <v>595.63000000000011</v>
      </c>
    </row>
    <row r="651" spans="1:41" x14ac:dyDescent="0.25">
      <c r="A651" t="s">
        <v>694</v>
      </c>
      <c r="B651" s="2">
        <v>1422.42134004784</v>
      </c>
      <c r="C651" s="2">
        <v>10613.096211780099</v>
      </c>
      <c r="D651" s="2">
        <v>1676.6838582309399</v>
      </c>
      <c r="E651" s="2">
        <v>0</v>
      </c>
      <c r="F651" s="2">
        <v>13099.4262129218</v>
      </c>
      <c r="G651" s="2">
        <v>6270.9015832791702</v>
      </c>
      <c r="H651" s="2">
        <v>204.72651567368101</v>
      </c>
      <c r="I651" s="2">
        <v>1283.9287263776</v>
      </c>
      <c r="J651" s="2">
        <v>7872.5291862649001</v>
      </c>
      <c r="K651" s="2">
        <v>1420.2191951339601</v>
      </c>
      <c r="L651" s="2">
        <v>2957.77901180761</v>
      </c>
      <c r="M651" s="2">
        <v>2094.83891283517</v>
      </c>
      <c r="N651" s="3">
        <f t="shared" si="30"/>
        <v>48916.550754352771</v>
      </c>
      <c r="O651" s="2">
        <v>2.0163982852876399</v>
      </c>
      <c r="P651" s="2">
        <v>6.9396177202757103</v>
      </c>
      <c r="Q651" s="2">
        <v>0.97286239169391897</v>
      </c>
      <c r="R651" s="2">
        <v>0.17406093009204501</v>
      </c>
      <c r="S651" s="2">
        <v>2.7804340363997899</v>
      </c>
      <c r="T651" s="2">
        <v>10.0398954353556</v>
      </c>
      <c r="U651" s="2">
        <v>3.15886994557474</v>
      </c>
      <c r="V651" s="2">
        <v>2.8814877229793798</v>
      </c>
      <c r="W651" s="2">
        <v>5.2975002446198998</v>
      </c>
      <c r="X651" s="2">
        <v>11.3936615738907</v>
      </c>
      <c r="Y651" s="2">
        <v>7.4168907727239297</v>
      </c>
      <c r="Z651" s="2">
        <v>20.8311181560011</v>
      </c>
      <c r="AA651" s="3">
        <f t="shared" si="31"/>
        <v>73.902797214894449</v>
      </c>
      <c r="AB651" t="s">
        <v>45</v>
      </c>
      <c r="AC651">
        <v>24.37</v>
      </c>
      <c r="AD651">
        <v>116.48</v>
      </c>
      <c r="AE651">
        <v>26.81</v>
      </c>
      <c r="AF651">
        <v>10.039999999999999</v>
      </c>
      <c r="AG651">
        <v>141.13999999999999</v>
      </c>
      <c r="AH651">
        <v>73.25</v>
      </c>
      <c r="AI651">
        <v>12.24</v>
      </c>
      <c r="AJ651">
        <v>22.98</v>
      </c>
      <c r="AK651">
        <v>89.02</v>
      </c>
      <c r="AL651">
        <v>24.8</v>
      </c>
      <c r="AM651">
        <v>39.97</v>
      </c>
      <c r="AN651">
        <v>31.99</v>
      </c>
      <c r="AO651" s="1">
        <f t="shared" si="32"/>
        <v>613.09</v>
      </c>
    </row>
    <row r="652" spans="1:41" x14ac:dyDescent="0.25">
      <c r="A652" t="s">
        <v>695</v>
      </c>
      <c r="B652" s="2">
        <v>1418.55256697863</v>
      </c>
      <c r="C652" s="2">
        <v>6317.6230296248896</v>
      </c>
      <c r="D652" s="2">
        <v>2217.74272498046</v>
      </c>
      <c r="E652" s="2">
        <v>548.759343684388</v>
      </c>
      <c r="F652" s="2">
        <v>0</v>
      </c>
      <c r="G652" s="2">
        <v>1218.87071173614</v>
      </c>
      <c r="H652" s="2">
        <v>6008.6772741519999</v>
      </c>
      <c r="I652" s="2">
        <v>2175.7837930526898</v>
      </c>
      <c r="J652" s="2">
        <v>0</v>
      </c>
      <c r="K652" s="2">
        <v>2262.6286811812802</v>
      </c>
      <c r="L652" s="2">
        <v>3378.4886233368702</v>
      </c>
      <c r="M652" s="2">
        <v>222.80983161095099</v>
      </c>
      <c r="N652" s="3">
        <f t="shared" si="30"/>
        <v>25769.936580338297</v>
      </c>
      <c r="O652" s="2">
        <v>5.4394301926270403</v>
      </c>
      <c r="P652" s="2">
        <v>10.1222832551049</v>
      </c>
      <c r="Q652" s="2">
        <v>17.101302550461199</v>
      </c>
      <c r="R652" s="2">
        <v>7.2606200217386601</v>
      </c>
      <c r="S652" s="2">
        <v>2.5379682278719602</v>
      </c>
      <c r="T652" s="2">
        <v>0</v>
      </c>
      <c r="U652" s="2">
        <v>7.2611654385723998</v>
      </c>
      <c r="V652" s="2">
        <v>4.2085158502058304</v>
      </c>
      <c r="W652" s="2">
        <v>0.59284972147502502</v>
      </c>
      <c r="X652" s="2">
        <v>10.5291523037157</v>
      </c>
      <c r="Y652" s="2">
        <v>0</v>
      </c>
      <c r="Z652" s="2">
        <v>1.5462653194371501</v>
      </c>
      <c r="AA652" s="3">
        <f t="shared" si="31"/>
        <v>66.59955288120986</v>
      </c>
      <c r="AB652" t="s">
        <v>63</v>
      </c>
      <c r="AC652">
        <v>28.92</v>
      </c>
      <c r="AD652">
        <v>127.35</v>
      </c>
      <c r="AE652">
        <v>45.98</v>
      </c>
      <c r="AF652">
        <v>11.7</v>
      </c>
      <c r="AG652">
        <v>0.27</v>
      </c>
      <c r="AH652">
        <v>24.38</v>
      </c>
      <c r="AI652">
        <v>120.9</v>
      </c>
      <c r="AJ652">
        <v>43.97</v>
      </c>
      <c r="AK652">
        <v>0.09</v>
      </c>
      <c r="AL652">
        <v>46.25</v>
      </c>
      <c r="AM652">
        <v>67.58</v>
      </c>
      <c r="AN652">
        <v>4.6399999999999997</v>
      </c>
      <c r="AO652" s="1">
        <f t="shared" si="32"/>
        <v>522.03</v>
      </c>
    </row>
    <row r="653" spans="1:41" x14ac:dyDescent="0.25">
      <c r="A653" t="s">
        <v>696</v>
      </c>
      <c r="B653" s="2">
        <v>1418.4441836466101</v>
      </c>
      <c r="C653" s="2">
        <v>1379.0961470341899</v>
      </c>
      <c r="D653" s="2">
        <v>5006.0125698155398</v>
      </c>
      <c r="E653" s="2">
        <v>2047.0755423666801</v>
      </c>
      <c r="F653" s="2">
        <v>4292.5400219625599</v>
      </c>
      <c r="G653" s="2">
        <v>6257.8383727337796</v>
      </c>
      <c r="H653" s="2">
        <v>1607.0231887218799</v>
      </c>
      <c r="I653" s="2">
        <v>2750.83914728115</v>
      </c>
      <c r="J653" s="2">
        <v>5192.5700612854398</v>
      </c>
      <c r="K653" s="2">
        <v>5346.3245781845299</v>
      </c>
      <c r="L653" s="2">
        <v>2241.3954925601502</v>
      </c>
      <c r="M653" s="2">
        <v>993.55236218406401</v>
      </c>
      <c r="N653" s="3">
        <f t="shared" si="30"/>
        <v>38532.711667776573</v>
      </c>
      <c r="O653" s="2">
        <v>2.5558840439339199</v>
      </c>
      <c r="P653" s="2">
        <v>0.77470323158639598</v>
      </c>
      <c r="Q653" s="2">
        <v>4.1835663818866502</v>
      </c>
      <c r="R653" s="2">
        <v>6.7528153255706203</v>
      </c>
      <c r="S653" s="2">
        <v>6.6775206193364403</v>
      </c>
      <c r="T653" s="2">
        <v>0.99259615431048498</v>
      </c>
      <c r="U653" s="2">
        <v>0.59585023647729896</v>
      </c>
      <c r="V653" s="2">
        <v>1.64062207228333</v>
      </c>
      <c r="W653" s="2">
        <v>6.0105157196184402</v>
      </c>
      <c r="X653" s="2">
        <v>5.7869512605514597</v>
      </c>
      <c r="Y653" s="2">
        <v>8.9835937752588304</v>
      </c>
      <c r="Z653" s="2">
        <v>1.3803445150674201</v>
      </c>
      <c r="AA653" s="3">
        <f t="shared" si="31"/>
        <v>46.334963335881298</v>
      </c>
      <c r="AB653" t="s">
        <v>45</v>
      </c>
      <c r="AC653">
        <v>24.33</v>
      </c>
      <c r="AD653">
        <v>23.84</v>
      </c>
      <c r="AE653">
        <v>60.31</v>
      </c>
      <c r="AF653">
        <v>30.82</v>
      </c>
      <c r="AG653">
        <v>53.27</v>
      </c>
      <c r="AH653">
        <v>72.62</v>
      </c>
      <c r="AI653">
        <v>26.12</v>
      </c>
      <c r="AJ653">
        <v>37.6</v>
      </c>
      <c r="AK653">
        <v>62.27</v>
      </c>
      <c r="AL653">
        <v>63.76</v>
      </c>
      <c r="AM653">
        <v>32.86</v>
      </c>
      <c r="AN653">
        <v>20.03</v>
      </c>
      <c r="AO653" s="1">
        <f t="shared" si="32"/>
        <v>507.83000000000004</v>
      </c>
    </row>
    <row r="654" spans="1:41" x14ac:dyDescent="0.25">
      <c r="A654" t="s">
        <v>697</v>
      </c>
      <c r="B654" s="2">
        <v>1414.02572388463</v>
      </c>
      <c r="C654" s="2">
        <v>7348.9615325240402</v>
      </c>
      <c r="D654" s="2">
        <v>17887.771379239599</v>
      </c>
      <c r="E654" s="2">
        <v>1366.5361096627501</v>
      </c>
      <c r="F654" s="2">
        <v>1074.83204865465</v>
      </c>
      <c r="G654" s="2">
        <v>1522.4101486802899</v>
      </c>
      <c r="H654" s="2">
        <v>5519.0986121833703</v>
      </c>
      <c r="I654" s="2">
        <v>1007.60091596564</v>
      </c>
      <c r="J654" s="2">
        <v>1881.07897288698</v>
      </c>
      <c r="K654" s="2">
        <v>503.38068488660099</v>
      </c>
      <c r="L654" s="2">
        <v>620.69730406778501</v>
      </c>
      <c r="M654" s="2">
        <v>1228.0882238045799</v>
      </c>
      <c r="N654" s="3">
        <f t="shared" si="30"/>
        <v>41374.481656440919</v>
      </c>
      <c r="O654" s="2">
        <v>0</v>
      </c>
      <c r="P654" s="2">
        <v>13.2470069346651</v>
      </c>
      <c r="Q654" s="2">
        <v>2.7269875134321002</v>
      </c>
      <c r="R654" s="2">
        <v>3.2923078917317898</v>
      </c>
      <c r="S654" s="2">
        <v>0.69791123607991601</v>
      </c>
      <c r="T654" s="2">
        <v>3.31007680195215</v>
      </c>
      <c r="U654" s="2">
        <v>5.4695828754546998</v>
      </c>
      <c r="V654" s="2">
        <v>5.9475855519225798</v>
      </c>
      <c r="W654" s="2">
        <v>0.67287305780642903</v>
      </c>
      <c r="X654" s="2">
        <v>2.0445759025111898</v>
      </c>
      <c r="Y654" s="2">
        <v>0</v>
      </c>
      <c r="Z654" s="2">
        <v>4.2862527360241902</v>
      </c>
      <c r="AA654" s="3">
        <f t="shared" si="31"/>
        <v>41.695160501580141</v>
      </c>
      <c r="AB654" t="s">
        <v>45</v>
      </c>
      <c r="AC654">
        <v>24.14</v>
      </c>
      <c r="AD654">
        <v>84.18</v>
      </c>
      <c r="AE654">
        <v>189.02</v>
      </c>
      <c r="AF654">
        <v>23.86</v>
      </c>
      <c r="AG654">
        <v>20.79</v>
      </c>
      <c r="AH654">
        <v>25.42</v>
      </c>
      <c r="AI654">
        <v>65.489999999999995</v>
      </c>
      <c r="AJ654">
        <v>20.37</v>
      </c>
      <c r="AK654">
        <v>28.86</v>
      </c>
      <c r="AL654">
        <v>15.18</v>
      </c>
      <c r="AM654">
        <v>16.2</v>
      </c>
      <c r="AN654">
        <v>22.53</v>
      </c>
      <c r="AO654" s="1">
        <f t="shared" si="32"/>
        <v>536.04000000000008</v>
      </c>
    </row>
    <row r="655" spans="1:41" x14ac:dyDescent="0.25">
      <c r="A655" t="s">
        <v>698</v>
      </c>
      <c r="B655" s="2">
        <v>1409.6681775072</v>
      </c>
      <c r="C655" s="2">
        <v>2116.0194108433798</v>
      </c>
      <c r="D655" s="2">
        <v>1108.8059214426701</v>
      </c>
      <c r="E655" s="2">
        <v>3162.0803984942499</v>
      </c>
      <c r="F655" s="2">
        <v>10019.280238249899</v>
      </c>
      <c r="G655" s="2">
        <v>0</v>
      </c>
      <c r="H655" s="2">
        <v>2230.4521824774602</v>
      </c>
      <c r="I655" s="2">
        <v>563.92360575552402</v>
      </c>
      <c r="J655" s="2">
        <v>6144.0441460091697</v>
      </c>
      <c r="K655" s="2">
        <v>3811.4271106022002</v>
      </c>
      <c r="L655" s="2">
        <v>4886.0510729703601</v>
      </c>
      <c r="M655" s="2">
        <v>2691.7039888167501</v>
      </c>
      <c r="N655" s="3">
        <f t="shared" si="30"/>
        <v>38143.456253168864</v>
      </c>
      <c r="O655" s="2">
        <v>2.4666586798605299</v>
      </c>
      <c r="P655" s="2">
        <v>2.2960835204924899</v>
      </c>
      <c r="Q655" s="2">
        <v>4.9597650005368896</v>
      </c>
      <c r="R655" s="2">
        <v>3.14055018842746</v>
      </c>
      <c r="S655" s="2">
        <v>1.9411147797124799</v>
      </c>
      <c r="T655" s="2">
        <v>3.6482060238965999</v>
      </c>
      <c r="U655" s="2">
        <v>11.4278677467841</v>
      </c>
      <c r="V655" s="2">
        <v>2.3165921631203799</v>
      </c>
      <c r="W655" s="2">
        <v>2.2837168216116801</v>
      </c>
      <c r="X655" s="2">
        <v>4.0946998486428896</v>
      </c>
      <c r="Y655" s="2">
        <v>4.3442808590836099</v>
      </c>
      <c r="Z655" s="2">
        <v>8.9231299529675905</v>
      </c>
      <c r="AA655" s="3">
        <f t="shared" si="31"/>
        <v>51.842665585136707</v>
      </c>
      <c r="AB655" t="s">
        <v>45</v>
      </c>
      <c r="AC655">
        <v>24.24</v>
      </c>
      <c r="AD655">
        <v>31.31</v>
      </c>
      <c r="AE655">
        <v>21.33</v>
      </c>
      <c r="AF655">
        <v>41.82</v>
      </c>
      <c r="AG655">
        <v>110.29</v>
      </c>
      <c r="AH655">
        <v>10.19</v>
      </c>
      <c r="AI655">
        <v>32.9</v>
      </c>
      <c r="AJ655">
        <v>15.78</v>
      </c>
      <c r="AK655">
        <v>71.59</v>
      </c>
      <c r="AL655">
        <v>48.36</v>
      </c>
      <c r="AM655">
        <v>59.11</v>
      </c>
      <c r="AN655">
        <v>37.36</v>
      </c>
      <c r="AO655" s="1">
        <f t="shared" si="32"/>
        <v>504.28</v>
      </c>
    </row>
    <row r="656" spans="1:41" x14ac:dyDescent="0.25">
      <c r="A656" t="s">
        <v>699</v>
      </c>
      <c r="B656" s="2">
        <v>1409.4218433640399</v>
      </c>
      <c r="C656" s="2">
        <v>3541.9302070501299</v>
      </c>
      <c r="D656" s="2">
        <v>468.96644921631798</v>
      </c>
      <c r="E656" s="2">
        <v>3383.4405320276801</v>
      </c>
      <c r="F656" s="2">
        <v>3706.62034198633</v>
      </c>
      <c r="G656" s="2">
        <v>1003.94295274565</v>
      </c>
      <c r="H656" s="2">
        <v>7198.2035161887898</v>
      </c>
      <c r="I656" s="2">
        <v>6417.0446518735998</v>
      </c>
      <c r="J656" s="2">
        <v>0</v>
      </c>
      <c r="K656" s="2">
        <v>2764.4620488967598</v>
      </c>
      <c r="L656" s="2">
        <v>3406.41415479736</v>
      </c>
      <c r="M656" s="2">
        <v>0</v>
      </c>
      <c r="N656" s="3">
        <f t="shared" si="30"/>
        <v>33300.446698146661</v>
      </c>
      <c r="O656" s="2">
        <v>5.3411480643439901</v>
      </c>
      <c r="P656" s="2">
        <v>7.9513585250209102</v>
      </c>
      <c r="Q656" s="2">
        <v>0</v>
      </c>
      <c r="R656" s="2">
        <v>2.31405440775668</v>
      </c>
      <c r="S656" s="2">
        <v>9.8223427316780896</v>
      </c>
      <c r="T656" s="2">
        <v>0</v>
      </c>
      <c r="U656" s="2">
        <v>0</v>
      </c>
      <c r="V656" s="2">
        <v>5.0369492749507803</v>
      </c>
      <c r="W656" s="2">
        <v>8.0081143538007797</v>
      </c>
      <c r="X656" s="2">
        <v>0.39860148420382202</v>
      </c>
      <c r="Y656" s="2">
        <v>6.2484036548903399</v>
      </c>
      <c r="Z656" s="2">
        <v>5.89307529051825</v>
      </c>
      <c r="AA656" s="3">
        <f t="shared" si="31"/>
        <v>51.014047787163641</v>
      </c>
      <c r="AB656" t="s">
        <v>63</v>
      </c>
      <c r="AC656">
        <v>28.74</v>
      </c>
      <c r="AD656">
        <v>71.56</v>
      </c>
      <c r="AE656">
        <v>9.3800000000000008</v>
      </c>
      <c r="AF656">
        <v>67.95</v>
      </c>
      <c r="AG656">
        <v>75.040000000000006</v>
      </c>
      <c r="AH656">
        <v>20.079999999999998</v>
      </c>
      <c r="AI656">
        <v>143.97999999999999</v>
      </c>
      <c r="AJ656">
        <v>128.9</v>
      </c>
      <c r="AK656">
        <v>0.81</v>
      </c>
      <c r="AL656">
        <v>55.39</v>
      </c>
      <c r="AM656">
        <v>68.77</v>
      </c>
      <c r="AN656">
        <v>0.54</v>
      </c>
      <c r="AO656" s="1">
        <f t="shared" si="32"/>
        <v>671.13999999999987</v>
      </c>
    </row>
    <row r="657" spans="1:41" x14ac:dyDescent="0.25">
      <c r="A657" t="s">
        <v>700</v>
      </c>
      <c r="B657" s="2">
        <v>1409.26750296456</v>
      </c>
      <c r="C657" s="2">
        <v>3522.6654166400299</v>
      </c>
      <c r="D657" s="2">
        <v>5649.2998788178202</v>
      </c>
      <c r="E657" s="2">
        <v>2447.95984084565</v>
      </c>
      <c r="F657" s="2">
        <v>600.277839688732</v>
      </c>
      <c r="G657" s="2">
        <v>1693.1057534752399</v>
      </c>
      <c r="H657" s="2">
        <v>5273.3034612885303</v>
      </c>
      <c r="I657" s="2">
        <v>5807.8386399297597</v>
      </c>
      <c r="J657" s="2">
        <v>639.82736247535195</v>
      </c>
      <c r="K657" s="2">
        <v>521.89377490664401</v>
      </c>
      <c r="L657" s="2">
        <v>9200.1533746964797</v>
      </c>
      <c r="M657" s="2">
        <v>0</v>
      </c>
      <c r="N657" s="3">
        <f t="shared" si="30"/>
        <v>36765.592845728796</v>
      </c>
      <c r="O657" s="2">
        <v>1.53920614994444</v>
      </c>
      <c r="P657" s="2">
        <v>1.1226880320389301</v>
      </c>
      <c r="Q657" s="2">
        <v>2.7009037701300498</v>
      </c>
      <c r="R657" s="2">
        <v>9.8615421689150704</v>
      </c>
      <c r="S657" s="2">
        <v>19.721611618647898</v>
      </c>
      <c r="T657" s="2">
        <v>1.05115633049059</v>
      </c>
      <c r="U657" s="2">
        <v>4.6414225727563299</v>
      </c>
      <c r="V657" s="2">
        <v>1.3210565370272001</v>
      </c>
      <c r="W657" s="2">
        <v>1.07391136335969</v>
      </c>
      <c r="X657" s="2">
        <v>5.1443722805400203</v>
      </c>
      <c r="Y657" s="2">
        <v>9.1262493792354302</v>
      </c>
      <c r="Z657" s="2">
        <v>0</v>
      </c>
      <c r="AA657" s="3">
        <f t="shared" si="31"/>
        <v>57.30412020308566</v>
      </c>
      <c r="AB657" t="s">
        <v>45</v>
      </c>
      <c r="AC657">
        <v>24.19</v>
      </c>
      <c r="AD657">
        <v>45.32</v>
      </c>
      <c r="AE657">
        <v>66.64</v>
      </c>
      <c r="AF657">
        <v>34.97</v>
      </c>
      <c r="AG657">
        <v>17</v>
      </c>
      <c r="AH657">
        <v>27.03</v>
      </c>
      <c r="AI657">
        <v>62.98</v>
      </c>
      <c r="AJ657">
        <v>68.17</v>
      </c>
      <c r="AK657">
        <v>16.489999999999998</v>
      </c>
      <c r="AL657">
        <v>15.51</v>
      </c>
      <c r="AM657">
        <v>102.5</v>
      </c>
      <c r="AN657">
        <v>9.99</v>
      </c>
      <c r="AO657" s="1">
        <f t="shared" si="32"/>
        <v>490.79</v>
      </c>
    </row>
    <row r="658" spans="1:41" x14ac:dyDescent="0.25">
      <c r="A658" t="s">
        <v>701</v>
      </c>
      <c r="B658" s="2">
        <v>1400.6424542081299</v>
      </c>
      <c r="C658" s="2">
        <v>352.519002967696</v>
      </c>
      <c r="D658" s="2">
        <v>2426.4513681369999</v>
      </c>
      <c r="E658" s="2">
        <v>4071.9795151574299</v>
      </c>
      <c r="F658" s="2">
        <v>4845.1475300742704</v>
      </c>
      <c r="G658" s="2">
        <v>10067.340036144</v>
      </c>
      <c r="H658" s="2">
        <v>6993.8727416165002</v>
      </c>
      <c r="I658" s="2">
        <v>1078.14730578578</v>
      </c>
      <c r="J658" s="2">
        <v>2046.0039076390699</v>
      </c>
      <c r="K658" s="2">
        <v>4645.3056222249297</v>
      </c>
      <c r="L658" s="2">
        <v>7941.17688303248</v>
      </c>
      <c r="M658" s="2">
        <v>2090.9785042766398</v>
      </c>
      <c r="N658" s="3">
        <f t="shared" si="30"/>
        <v>47959.564871263923</v>
      </c>
      <c r="O658" s="2">
        <v>4.6274488531914599</v>
      </c>
      <c r="P658" s="2">
        <v>0</v>
      </c>
      <c r="Q658" s="2">
        <v>0</v>
      </c>
      <c r="R658" s="2">
        <v>1.44014745197264</v>
      </c>
      <c r="S658" s="2">
        <v>4.4163714975418404</v>
      </c>
      <c r="T658" s="2">
        <v>2.4929564964092998</v>
      </c>
      <c r="U658" s="2">
        <v>3.12964271588335</v>
      </c>
      <c r="V658" s="2">
        <v>1.3527568794559299</v>
      </c>
      <c r="W658" s="2">
        <v>10.3136349898771</v>
      </c>
      <c r="X658" s="2">
        <v>10.014947399756901</v>
      </c>
      <c r="Y658" s="2">
        <v>3.0557863826247398</v>
      </c>
      <c r="Z658" s="2">
        <v>2.6064209919255799</v>
      </c>
      <c r="AA658" s="3">
        <f t="shared" si="31"/>
        <v>43.450113658638841</v>
      </c>
      <c r="AB658" t="s">
        <v>45</v>
      </c>
      <c r="AC658">
        <v>24.25</v>
      </c>
      <c r="AD658">
        <v>13.52</v>
      </c>
      <c r="AE658">
        <v>34.26</v>
      </c>
      <c r="AF658">
        <v>50.81</v>
      </c>
      <c r="AG658">
        <v>58.7</v>
      </c>
      <c r="AH658">
        <v>110.82</v>
      </c>
      <c r="AI658">
        <v>80.13</v>
      </c>
      <c r="AJ658">
        <v>20.88</v>
      </c>
      <c r="AK658">
        <v>31.01</v>
      </c>
      <c r="AL658">
        <v>57</v>
      </c>
      <c r="AM658">
        <v>89.61</v>
      </c>
      <c r="AN658">
        <v>31.05</v>
      </c>
      <c r="AO658" s="1">
        <f t="shared" si="32"/>
        <v>602.04</v>
      </c>
    </row>
    <row r="659" spans="1:41" x14ac:dyDescent="0.25">
      <c r="A659" t="s">
        <v>702</v>
      </c>
      <c r="B659" s="2">
        <v>1392.72254212447</v>
      </c>
      <c r="C659" s="2">
        <v>3153.3236768224501</v>
      </c>
      <c r="D659" s="2">
        <v>904.65161890952299</v>
      </c>
      <c r="E659" s="2">
        <v>394.00068748194701</v>
      </c>
      <c r="F659" s="2">
        <v>0</v>
      </c>
      <c r="G659" s="2">
        <v>2505.3226022601202</v>
      </c>
      <c r="H659" s="2">
        <v>14999.8449226385</v>
      </c>
      <c r="I659" s="2">
        <v>443.64154709655497</v>
      </c>
      <c r="J659" s="2">
        <v>3594.08526512348</v>
      </c>
      <c r="K659" s="2">
        <v>5112.0158203731798</v>
      </c>
      <c r="L659" s="2">
        <v>0</v>
      </c>
      <c r="M659" s="2">
        <v>7413.2612618560997</v>
      </c>
      <c r="N659" s="3">
        <f t="shared" si="30"/>
        <v>39912.869944686325</v>
      </c>
      <c r="O659" s="2">
        <v>0</v>
      </c>
      <c r="P659" s="2">
        <v>3.8728958263334898</v>
      </c>
      <c r="Q659" s="2">
        <v>0.60397710653704495</v>
      </c>
      <c r="R659" s="2">
        <v>0</v>
      </c>
      <c r="S659" s="2">
        <v>4.2006729843085404</v>
      </c>
      <c r="T659" s="2">
        <v>19.828799316974202</v>
      </c>
      <c r="U659" s="2">
        <v>1.29912151405295</v>
      </c>
      <c r="V659" s="2">
        <v>3.1861422691324801</v>
      </c>
      <c r="W659" s="2">
        <v>5.7464272868804702</v>
      </c>
      <c r="X659" s="2">
        <v>2.3495654326381299</v>
      </c>
      <c r="Y659" s="2">
        <v>3.4159772946501001</v>
      </c>
      <c r="Z659" s="2">
        <v>5.9382248048988497</v>
      </c>
      <c r="AA659" s="3">
        <f t="shared" si="31"/>
        <v>50.441803836406251</v>
      </c>
      <c r="AB659" t="s">
        <v>45</v>
      </c>
      <c r="AC659">
        <v>23.92</v>
      </c>
      <c r="AD659">
        <v>41.73</v>
      </c>
      <c r="AE659">
        <v>19.09</v>
      </c>
      <c r="AF659">
        <v>13.94</v>
      </c>
      <c r="AG659">
        <v>10.24</v>
      </c>
      <c r="AH659">
        <v>36.049999999999997</v>
      </c>
      <c r="AI659">
        <v>160.09</v>
      </c>
      <c r="AJ659">
        <v>14.63</v>
      </c>
      <c r="AK659">
        <v>46.24</v>
      </c>
      <c r="AL659">
        <v>61.27</v>
      </c>
      <c r="AM659">
        <v>10.19</v>
      </c>
      <c r="AN659">
        <v>84.43</v>
      </c>
      <c r="AO659" s="1">
        <f t="shared" si="32"/>
        <v>521.81999999999994</v>
      </c>
    </row>
    <row r="660" spans="1:41" x14ac:dyDescent="0.25">
      <c r="A660" t="s">
        <v>703</v>
      </c>
      <c r="B660" s="2">
        <v>1389.0109134632</v>
      </c>
      <c r="C660" s="2">
        <v>8296.8733067860594</v>
      </c>
      <c r="D660" s="2">
        <v>2096.0207928408299</v>
      </c>
      <c r="E660" s="2">
        <v>468.71606100152701</v>
      </c>
      <c r="F660" s="2">
        <v>833.74129248529096</v>
      </c>
      <c r="G660" s="2">
        <v>2517.0916413345099</v>
      </c>
      <c r="H660" s="2">
        <v>503.82347379536998</v>
      </c>
      <c r="I660" s="2">
        <v>2105.3732394855501</v>
      </c>
      <c r="J660" s="2">
        <v>1478.2135100743601</v>
      </c>
      <c r="K660" s="2">
        <v>5251.9691763523497</v>
      </c>
      <c r="L660" s="2">
        <v>1252.2227136164299</v>
      </c>
      <c r="M660" s="2">
        <v>4295.3991052075498</v>
      </c>
      <c r="N660" s="3">
        <f t="shared" si="30"/>
        <v>30488.455226443031</v>
      </c>
      <c r="O660" s="2">
        <v>4.6263084296339398</v>
      </c>
      <c r="P660" s="2">
        <v>13.32887031093</v>
      </c>
      <c r="Q660" s="2">
        <v>1.2054436060978399E-3</v>
      </c>
      <c r="R660" s="2">
        <v>2.5808589332014602</v>
      </c>
      <c r="S660" s="2">
        <v>3.45356667264033</v>
      </c>
      <c r="T660" s="2">
        <v>3.5610139847329099</v>
      </c>
      <c r="U660" s="2">
        <v>7.5909044884171797</v>
      </c>
      <c r="V660" s="2">
        <v>6.0234843571833503</v>
      </c>
      <c r="W660" s="2">
        <v>0</v>
      </c>
      <c r="X660" s="2">
        <v>26.2705918268014</v>
      </c>
      <c r="Y660" s="2">
        <v>6.6821113812226196</v>
      </c>
      <c r="Z660" s="2">
        <v>9.6377964568561492</v>
      </c>
      <c r="AA660" s="3">
        <f t="shared" si="31"/>
        <v>83.756712285225447</v>
      </c>
      <c r="AB660" t="s">
        <v>63</v>
      </c>
      <c r="AC660">
        <v>28.25</v>
      </c>
      <c r="AD660">
        <v>167.2</v>
      </c>
      <c r="AE660">
        <v>42.03</v>
      </c>
      <c r="AF660">
        <v>9.65</v>
      </c>
      <c r="AG660">
        <v>17.04</v>
      </c>
      <c r="AH660">
        <v>50.72</v>
      </c>
      <c r="AI660">
        <v>10.8</v>
      </c>
      <c r="AJ660">
        <v>42.75</v>
      </c>
      <c r="AK660">
        <v>29.58</v>
      </c>
      <c r="AL660">
        <v>107.47</v>
      </c>
      <c r="AM660">
        <v>25.69</v>
      </c>
      <c r="AN660">
        <v>86.82</v>
      </c>
      <c r="AO660" s="1">
        <f t="shared" si="32"/>
        <v>618</v>
      </c>
    </row>
    <row r="661" spans="1:41" x14ac:dyDescent="0.25">
      <c r="A661" t="s">
        <v>704</v>
      </c>
      <c r="B661" s="2">
        <v>1388.3394646578499</v>
      </c>
      <c r="C661" s="2">
        <v>2150.2370617440401</v>
      </c>
      <c r="D661" s="2">
        <v>1246.3545027223599</v>
      </c>
      <c r="E661" s="2">
        <v>10412.499818096199</v>
      </c>
      <c r="F661" s="2">
        <v>2685.9244843910601</v>
      </c>
      <c r="G661" s="2">
        <v>7525.1162367541601</v>
      </c>
      <c r="H661" s="2">
        <v>6092.4636726180997</v>
      </c>
      <c r="I661" s="2">
        <v>3520.9935900148098</v>
      </c>
      <c r="J661" s="2">
        <v>2479.1961129996998</v>
      </c>
      <c r="K661" s="2">
        <v>120.506040502635</v>
      </c>
      <c r="L661" s="2">
        <v>3561.8175308677501</v>
      </c>
      <c r="M661" s="2">
        <v>1331.24035183263</v>
      </c>
      <c r="N661" s="3">
        <f t="shared" si="30"/>
        <v>42514.688867201301</v>
      </c>
      <c r="O661" s="2">
        <v>6.3859231672452896</v>
      </c>
      <c r="P661" s="2">
        <v>0.35566157145579103</v>
      </c>
      <c r="Q661" s="2">
        <v>2.7293062496631002</v>
      </c>
      <c r="R661" s="2">
        <v>3.1658850933581899</v>
      </c>
      <c r="S661" s="2">
        <v>10.9552810186472</v>
      </c>
      <c r="T661" s="2">
        <v>1.2153654746409299</v>
      </c>
      <c r="U661" s="2">
        <v>2.7324490524416798</v>
      </c>
      <c r="V661" s="2">
        <v>5.5797300507958996</v>
      </c>
      <c r="W661" s="2">
        <v>3.0391788160639699</v>
      </c>
      <c r="X661" s="2">
        <v>0</v>
      </c>
      <c r="Y661" s="2">
        <v>14.602825456528301</v>
      </c>
      <c r="Z661" s="2">
        <v>2.0415158263651101</v>
      </c>
      <c r="AA661" s="3">
        <f t="shared" si="31"/>
        <v>52.803121777205462</v>
      </c>
      <c r="AB661" t="s">
        <v>45</v>
      </c>
      <c r="AC661">
        <v>24.23</v>
      </c>
      <c r="AD661">
        <v>31.55</v>
      </c>
      <c r="AE661">
        <v>22.61</v>
      </c>
      <c r="AF661">
        <v>114.32</v>
      </c>
      <c r="AG661">
        <v>37.4</v>
      </c>
      <c r="AH661">
        <v>85.35</v>
      </c>
      <c r="AI661">
        <v>71.069999999999993</v>
      </c>
      <c r="AJ661">
        <v>45.5</v>
      </c>
      <c r="AK661">
        <v>34.99</v>
      </c>
      <c r="AL661">
        <v>11.2</v>
      </c>
      <c r="AM661">
        <v>46.36</v>
      </c>
      <c r="AN661">
        <v>23.46</v>
      </c>
      <c r="AO661" s="1">
        <f t="shared" si="32"/>
        <v>548.04</v>
      </c>
    </row>
    <row r="662" spans="1:41" x14ac:dyDescent="0.25">
      <c r="A662" t="s">
        <v>705</v>
      </c>
      <c r="B662" s="2">
        <v>1383.95627196745</v>
      </c>
      <c r="C662" s="2">
        <v>3476.9757873048602</v>
      </c>
      <c r="D662" s="2">
        <v>937.35628037981905</v>
      </c>
      <c r="E662" s="2">
        <v>1147.7318675710801</v>
      </c>
      <c r="F662" s="2">
        <v>3122.4937602968598</v>
      </c>
      <c r="G662" s="2">
        <v>21306.351699882802</v>
      </c>
      <c r="H662" s="2">
        <v>2803.6995096597602</v>
      </c>
      <c r="I662" s="2">
        <v>1489.31098584388</v>
      </c>
      <c r="J662" s="2">
        <v>2851.5674825467499</v>
      </c>
      <c r="K662" s="2">
        <v>1473.3969070165599</v>
      </c>
      <c r="L662" s="2">
        <v>0</v>
      </c>
      <c r="M662" s="2">
        <v>805.25946034272602</v>
      </c>
      <c r="N662" s="3">
        <f t="shared" si="30"/>
        <v>40798.100012812545</v>
      </c>
      <c r="O662" s="2">
        <v>2.76465513842976</v>
      </c>
      <c r="P662" s="2">
        <v>0</v>
      </c>
      <c r="Q662" s="2">
        <v>2.09080950660517</v>
      </c>
      <c r="R662" s="2">
        <v>2.4172276560151502</v>
      </c>
      <c r="S662" s="2">
        <v>5.6954661201137098</v>
      </c>
      <c r="T662" s="2">
        <v>2.54051333268034</v>
      </c>
      <c r="U662" s="2">
        <v>2.6193197366288201</v>
      </c>
      <c r="V662" s="2">
        <v>0</v>
      </c>
      <c r="W662" s="2">
        <v>4.9911188572671303</v>
      </c>
      <c r="X662" s="2">
        <v>2.0331100348486202</v>
      </c>
      <c r="Y662" s="2">
        <v>5.8575310727039698</v>
      </c>
      <c r="Z662" s="2">
        <v>1.96095303540058</v>
      </c>
      <c r="AA662" s="3">
        <f t="shared" si="31"/>
        <v>32.970704490693251</v>
      </c>
      <c r="AB662" t="s">
        <v>45</v>
      </c>
      <c r="AC662">
        <v>23.98</v>
      </c>
      <c r="AD662">
        <v>44.76</v>
      </c>
      <c r="AE662">
        <v>19.52</v>
      </c>
      <c r="AF662">
        <v>21.62</v>
      </c>
      <c r="AG662">
        <v>41.52</v>
      </c>
      <c r="AH662">
        <v>223.21</v>
      </c>
      <c r="AI662">
        <v>38.18</v>
      </c>
      <c r="AJ662">
        <v>24.89</v>
      </c>
      <c r="AK662">
        <v>38.76</v>
      </c>
      <c r="AL662">
        <v>24.88</v>
      </c>
      <c r="AM662">
        <v>10.29</v>
      </c>
      <c r="AN662">
        <v>18.149999999999999</v>
      </c>
      <c r="AO662" s="1">
        <f t="shared" si="32"/>
        <v>529.76</v>
      </c>
    </row>
    <row r="663" spans="1:41" x14ac:dyDescent="0.25">
      <c r="A663" t="s">
        <v>706</v>
      </c>
      <c r="B663" s="2">
        <v>1379.98441861014</v>
      </c>
      <c r="C663" s="2">
        <v>364.815340272208</v>
      </c>
      <c r="D663" s="2">
        <v>1605.0721142164</v>
      </c>
      <c r="E663" s="2">
        <v>9613.1911055541495</v>
      </c>
      <c r="F663" s="2">
        <v>1634.4243150247801</v>
      </c>
      <c r="G663" s="2">
        <v>7551.3818581666601</v>
      </c>
      <c r="H663" s="2">
        <v>1458.5134309129301</v>
      </c>
      <c r="I663" s="2">
        <v>1054.5542730687</v>
      </c>
      <c r="J663" s="2">
        <v>7614.0813751597298</v>
      </c>
      <c r="K663" s="2">
        <v>13316.111683883501</v>
      </c>
      <c r="L663" s="2">
        <v>1984.97872837354</v>
      </c>
      <c r="M663" s="2">
        <v>1855.9479364339099</v>
      </c>
      <c r="N663" s="3">
        <f t="shared" si="30"/>
        <v>49433.05657967666</v>
      </c>
      <c r="O663" s="2">
        <v>3.4146934831525502</v>
      </c>
      <c r="P663" s="2">
        <v>0.29517054871373199</v>
      </c>
      <c r="Q663" s="2">
        <v>5.4483070487504603</v>
      </c>
      <c r="R663" s="2">
        <v>1.27825373442896</v>
      </c>
      <c r="S663" s="2">
        <v>3.7885972181980598</v>
      </c>
      <c r="T663" s="2">
        <v>4.3140099538477701</v>
      </c>
      <c r="U663" s="2">
        <v>2.0803145566965902</v>
      </c>
      <c r="V663" s="2">
        <v>6.1106948038550497</v>
      </c>
      <c r="W663" s="2">
        <v>3.0117897913934</v>
      </c>
      <c r="X663" s="2">
        <v>4.7956965930976798</v>
      </c>
      <c r="Y663" s="2">
        <v>2.23441307113792</v>
      </c>
      <c r="Z663" s="2">
        <v>3.52108340191855</v>
      </c>
      <c r="AA663" s="3">
        <f t="shared" si="31"/>
        <v>40.293024205190726</v>
      </c>
      <c r="AB663" t="s">
        <v>45</v>
      </c>
      <c r="AC663">
        <v>23.99</v>
      </c>
      <c r="AD663">
        <v>13.69</v>
      </c>
      <c r="AE663">
        <v>26.35</v>
      </c>
      <c r="AF663">
        <v>106.23</v>
      </c>
      <c r="AG663">
        <v>26.54</v>
      </c>
      <c r="AH663">
        <v>85.76</v>
      </c>
      <c r="AI663">
        <v>24.73</v>
      </c>
      <c r="AJ663">
        <v>20.89</v>
      </c>
      <c r="AK663">
        <v>86.34</v>
      </c>
      <c r="AL663">
        <v>143.41</v>
      </c>
      <c r="AM663">
        <v>29.99</v>
      </c>
      <c r="AN663">
        <v>28.75</v>
      </c>
      <c r="AO663" s="1">
        <f t="shared" si="32"/>
        <v>616.66999999999996</v>
      </c>
    </row>
    <row r="664" spans="1:41" x14ac:dyDescent="0.25">
      <c r="A664" t="s">
        <v>707</v>
      </c>
      <c r="B664" s="2">
        <v>1379.60897330836</v>
      </c>
      <c r="C664" s="2">
        <v>9299.5465563686103</v>
      </c>
      <c r="D664" s="2">
        <v>2293.3563629993</v>
      </c>
      <c r="E664" s="2">
        <v>10802.168106675899</v>
      </c>
      <c r="F664" s="2">
        <v>9512.4878803148804</v>
      </c>
      <c r="G664" s="2">
        <v>3726.2172894591599</v>
      </c>
      <c r="H664" s="2">
        <v>0</v>
      </c>
      <c r="I664" s="2">
        <v>2300.80299138788</v>
      </c>
      <c r="J664" s="2">
        <v>9305.2890775126398</v>
      </c>
      <c r="K664" s="2">
        <v>6859.3340033141703</v>
      </c>
      <c r="L664" s="2">
        <v>500.94474548699401</v>
      </c>
      <c r="M664" s="2">
        <v>1937.8654966586801</v>
      </c>
      <c r="N664" s="3">
        <f t="shared" si="30"/>
        <v>57917.621483486568</v>
      </c>
      <c r="O664" s="2">
        <v>3.46457388714586</v>
      </c>
      <c r="P664" s="2">
        <v>10.098893611723099</v>
      </c>
      <c r="Q664" s="2">
        <v>1.17731618800758</v>
      </c>
      <c r="R664" s="2">
        <v>1.6645618545306</v>
      </c>
      <c r="S664" s="2">
        <v>1.3820644166804401</v>
      </c>
      <c r="T664" s="2">
        <v>16.4623606691714</v>
      </c>
      <c r="U664" s="2">
        <v>3.1087908712882899</v>
      </c>
      <c r="V664" s="2">
        <v>6.2327607045144697</v>
      </c>
      <c r="W664" s="2">
        <v>5.1388100793979197</v>
      </c>
      <c r="X664" s="2">
        <v>0.84074460516633498</v>
      </c>
      <c r="Y664" s="2">
        <v>2.6406730520631099</v>
      </c>
      <c r="Z664" s="2">
        <v>2.5845990120488</v>
      </c>
      <c r="AA664" s="3">
        <f t="shared" si="31"/>
        <v>54.796148951737905</v>
      </c>
      <c r="AB664" t="s">
        <v>45</v>
      </c>
      <c r="AC664">
        <v>23.99</v>
      </c>
      <c r="AD664">
        <v>103.54</v>
      </c>
      <c r="AE664">
        <v>33.03</v>
      </c>
      <c r="AF664">
        <v>118.12</v>
      </c>
      <c r="AG664">
        <v>105.22</v>
      </c>
      <c r="AH664">
        <v>48.11</v>
      </c>
      <c r="AI664">
        <v>10.19</v>
      </c>
      <c r="AJ664">
        <v>33.35</v>
      </c>
      <c r="AK664">
        <v>103.35</v>
      </c>
      <c r="AL664">
        <v>78.64</v>
      </c>
      <c r="AM664">
        <v>15.15</v>
      </c>
      <c r="AN664">
        <v>29.52</v>
      </c>
      <c r="AO664" s="1">
        <f t="shared" si="32"/>
        <v>702.20999999999992</v>
      </c>
    </row>
    <row r="665" spans="1:41" x14ac:dyDescent="0.25">
      <c r="A665" t="s">
        <v>708</v>
      </c>
      <c r="B665" s="2">
        <v>1376.3891742078499</v>
      </c>
      <c r="C665" s="2">
        <v>3369.8800823400202</v>
      </c>
      <c r="D665" s="2">
        <v>5188.1700620178599</v>
      </c>
      <c r="E665" s="2">
        <v>3285.4019157320399</v>
      </c>
      <c r="F665" s="2">
        <v>1921.9197873195999</v>
      </c>
      <c r="G665" s="2">
        <v>11646.3807597659</v>
      </c>
      <c r="H665" s="2">
        <v>2705.2074258031898</v>
      </c>
      <c r="I665" s="2">
        <v>1985.74479755008</v>
      </c>
      <c r="J665" s="2">
        <v>202.866066574462</v>
      </c>
      <c r="K665" s="2">
        <v>519.30805830064298</v>
      </c>
      <c r="L665" s="2">
        <v>2639.6194528402202</v>
      </c>
      <c r="M665" s="2">
        <v>1323.39484234717</v>
      </c>
      <c r="N665" s="3">
        <f t="shared" si="30"/>
        <v>36164.282424799028</v>
      </c>
      <c r="O665" s="2">
        <v>0.86134767179460103</v>
      </c>
      <c r="P665" s="2">
        <v>2.50154960528603</v>
      </c>
      <c r="Q665" s="2">
        <v>3.3452798913526798</v>
      </c>
      <c r="R665" s="2">
        <v>0</v>
      </c>
      <c r="S665" s="2">
        <v>7.9408642740133297</v>
      </c>
      <c r="T665" s="2">
        <v>1.60376690676443</v>
      </c>
      <c r="U665" s="2">
        <v>0</v>
      </c>
      <c r="V665" s="2">
        <v>2.7916016016655201</v>
      </c>
      <c r="W665" s="2">
        <v>3.1714755013859599</v>
      </c>
      <c r="X665" s="2">
        <v>2.64645892550989</v>
      </c>
      <c r="Y665" s="2">
        <v>1.5285161735711199</v>
      </c>
      <c r="Z665" s="2">
        <v>14.925554967254699</v>
      </c>
      <c r="AA665" s="3">
        <f t="shared" si="31"/>
        <v>41.316415518598262</v>
      </c>
      <c r="AB665" t="s">
        <v>45</v>
      </c>
      <c r="AC665">
        <v>23.81</v>
      </c>
      <c r="AD665">
        <v>43.84</v>
      </c>
      <c r="AE665">
        <v>62.08</v>
      </c>
      <c r="AF665">
        <v>42.85</v>
      </c>
      <c r="AG665">
        <v>29.61</v>
      </c>
      <c r="AH665">
        <v>126.56</v>
      </c>
      <c r="AI665">
        <v>37.049999999999997</v>
      </c>
      <c r="AJ665">
        <v>30</v>
      </c>
      <c r="AK665">
        <v>12.22</v>
      </c>
      <c r="AL665">
        <v>15.34</v>
      </c>
      <c r="AM665">
        <v>36.49</v>
      </c>
      <c r="AN665">
        <v>23.98</v>
      </c>
      <c r="AO665" s="1">
        <f t="shared" si="32"/>
        <v>483.83000000000004</v>
      </c>
    </row>
    <row r="666" spans="1:41" x14ac:dyDescent="0.25">
      <c r="A666" t="s">
        <v>709</v>
      </c>
      <c r="B666" s="2">
        <v>1376.25948402171</v>
      </c>
      <c r="C666" s="2">
        <v>2640.66442352796</v>
      </c>
      <c r="D666" s="2">
        <v>1617.9147009987801</v>
      </c>
      <c r="E666" s="2">
        <v>2703.1148118301298</v>
      </c>
      <c r="F666" s="2">
        <v>3540.2664990240601</v>
      </c>
      <c r="G666" s="2">
        <v>8404.3672264179495</v>
      </c>
      <c r="H666" s="2">
        <v>4217.3745102797902</v>
      </c>
      <c r="I666" s="2">
        <v>4716.1012176436097</v>
      </c>
      <c r="J666" s="2">
        <v>2802.2964162312701</v>
      </c>
      <c r="K666" s="2">
        <v>3971.5154520103902</v>
      </c>
      <c r="L666" s="2">
        <v>2976.9854447462299</v>
      </c>
      <c r="M666" s="2">
        <v>0</v>
      </c>
      <c r="N666" s="3">
        <f t="shared" si="30"/>
        <v>38966.860186731879</v>
      </c>
      <c r="O666" s="2">
        <v>0.126237088227556</v>
      </c>
      <c r="P666" s="2">
        <v>6.3711512909704393E-2</v>
      </c>
      <c r="Q666" s="2">
        <v>0.65159970692353997</v>
      </c>
      <c r="R666" s="2">
        <v>2.4551320730895001</v>
      </c>
      <c r="S666" s="2">
        <v>4.6204497381292597</v>
      </c>
      <c r="T666" s="2">
        <v>2.15350625955592</v>
      </c>
      <c r="U666" s="2">
        <v>0.28229836784196499</v>
      </c>
      <c r="V666" s="2">
        <v>1.35861436269525</v>
      </c>
      <c r="W666" s="2">
        <v>18.723773962986101</v>
      </c>
      <c r="X666" s="2">
        <v>2.2132221941104202</v>
      </c>
      <c r="Y666" s="2">
        <v>4.8444613258627101</v>
      </c>
      <c r="Z666" s="2">
        <v>1.6052958418784</v>
      </c>
      <c r="AA666" s="3">
        <f t="shared" si="31"/>
        <v>39.098302434210332</v>
      </c>
      <c r="AB666" t="s">
        <v>45</v>
      </c>
      <c r="AC666">
        <v>23.81</v>
      </c>
      <c r="AD666">
        <v>36.450000000000003</v>
      </c>
      <c r="AE666">
        <v>26.22</v>
      </c>
      <c r="AF666">
        <v>37.18</v>
      </c>
      <c r="AG666">
        <v>45.65</v>
      </c>
      <c r="AH666">
        <v>94.19</v>
      </c>
      <c r="AI666">
        <v>52.22</v>
      </c>
      <c r="AJ666">
        <v>57.26</v>
      </c>
      <c r="AK666">
        <v>38.97</v>
      </c>
      <c r="AL666">
        <v>49.86</v>
      </c>
      <c r="AM666">
        <v>40.01</v>
      </c>
      <c r="AN666">
        <v>10.09</v>
      </c>
      <c r="AO666" s="1">
        <f t="shared" si="32"/>
        <v>511.91</v>
      </c>
    </row>
    <row r="667" spans="1:41" x14ac:dyDescent="0.25">
      <c r="A667" t="s">
        <v>710</v>
      </c>
      <c r="B667" s="2">
        <v>1371.8931978856799</v>
      </c>
      <c r="C667" s="2">
        <v>2821.2576516702602</v>
      </c>
      <c r="D667" s="2">
        <v>2941.9202820555302</v>
      </c>
      <c r="E667" s="2">
        <v>3383.20941738601</v>
      </c>
      <c r="F667" s="2">
        <v>1484.22697220548</v>
      </c>
      <c r="G667" s="2">
        <v>7963.0788118935998</v>
      </c>
      <c r="H667" s="2">
        <v>2223.6771138408299</v>
      </c>
      <c r="I667" s="2">
        <v>7768.6767909876498</v>
      </c>
      <c r="J667" s="2">
        <v>0</v>
      </c>
      <c r="K667" s="2">
        <v>3613.7873151803901</v>
      </c>
      <c r="L667" s="2">
        <v>1595.7038066590301</v>
      </c>
      <c r="M667" s="2">
        <v>2155.58850644313</v>
      </c>
      <c r="N667" s="3">
        <f t="shared" si="30"/>
        <v>37323.019866207585</v>
      </c>
      <c r="O667" s="2">
        <v>8.3774071996717103E-2</v>
      </c>
      <c r="P667" s="2">
        <v>5.6384074867843097</v>
      </c>
      <c r="Q667" s="2">
        <v>2.3282826932358498</v>
      </c>
      <c r="R667" s="2">
        <v>7.6777801392315697</v>
      </c>
      <c r="S667" s="2">
        <v>2.48222834557009</v>
      </c>
      <c r="T667" s="2">
        <v>1.0198530369319601</v>
      </c>
      <c r="U667" s="2">
        <v>3.1076099508781301</v>
      </c>
      <c r="V667" s="2">
        <v>9.0921890617097993</v>
      </c>
      <c r="W667" s="2">
        <v>0.13102522887679599</v>
      </c>
      <c r="X667" s="2">
        <v>2.9839799928834201</v>
      </c>
      <c r="Y667" s="2">
        <v>0.47925502498400901</v>
      </c>
      <c r="Z667" s="2">
        <v>5.4009377610028304</v>
      </c>
      <c r="AA667" s="3">
        <f t="shared" si="31"/>
        <v>40.425322794085474</v>
      </c>
      <c r="AB667" t="s">
        <v>63</v>
      </c>
      <c r="AC667">
        <v>27.53</v>
      </c>
      <c r="AD667">
        <v>56.98</v>
      </c>
      <c r="AE667">
        <v>59.11</v>
      </c>
      <c r="AF667">
        <v>68.400000000000006</v>
      </c>
      <c r="AG667">
        <v>29.97</v>
      </c>
      <c r="AH667">
        <v>159.46</v>
      </c>
      <c r="AI667">
        <v>44.84</v>
      </c>
      <c r="AJ667">
        <v>156.28</v>
      </c>
      <c r="AK667">
        <v>0.09</v>
      </c>
      <c r="AL667">
        <v>72.55</v>
      </c>
      <c r="AM667">
        <v>32.01</v>
      </c>
      <c r="AN667">
        <v>43.66</v>
      </c>
      <c r="AO667" s="1">
        <f t="shared" si="32"/>
        <v>750.88</v>
      </c>
    </row>
    <row r="668" spans="1:41" x14ac:dyDescent="0.25">
      <c r="A668" t="s">
        <v>711</v>
      </c>
      <c r="B668" s="2">
        <v>1370.45380475446</v>
      </c>
      <c r="C668" s="2">
        <v>5217.4783046532602</v>
      </c>
      <c r="D668" s="2">
        <v>13.740732030886299</v>
      </c>
      <c r="E668" s="2">
        <v>39.163059178786</v>
      </c>
      <c r="F668" s="2">
        <v>5359.8053065724698</v>
      </c>
      <c r="G668" s="2">
        <v>1587.90576217342</v>
      </c>
      <c r="H668" s="2">
        <v>2332.0884630262799</v>
      </c>
      <c r="I668" s="2">
        <v>7909.0875463227903</v>
      </c>
      <c r="J668" s="2">
        <v>8761.4583213997194</v>
      </c>
      <c r="K668" s="2">
        <v>9849.7022188049796</v>
      </c>
      <c r="L668" s="2">
        <v>627.17255764271897</v>
      </c>
      <c r="M668" s="2">
        <v>9069.5356961893394</v>
      </c>
      <c r="N668" s="3">
        <f t="shared" si="30"/>
        <v>52137.591772749118</v>
      </c>
      <c r="O668" s="2">
        <v>0</v>
      </c>
      <c r="P668" s="2">
        <v>2.47977231323922</v>
      </c>
      <c r="Q668" s="2">
        <v>2.7474990550955698</v>
      </c>
      <c r="R668" s="2">
        <v>5.2446163695099202</v>
      </c>
      <c r="S668" s="2">
        <v>0.25558008899403201</v>
      </c>
      <c r="T668" s="2">
        <v>8.6105160751947096</v>
      </c>
      <c r="U668" s="2">
        <v>9.3918383222724895</v>
      </c>
      <c r="V668" s="2">
        <v>0.25874922519094301</v>
      </c>
      <c r="W668" s="2">
        <v>4.5219733934297697</v>
      </c>
      <c r="X668" s="2">
        <v>1.95093795727699</v>
      </c>
      <c r="Y668" s="2">
        <v>3.3104877551257701</v>
      </c>
      <c r="Z668" s="2">
        <v>4.30286338132594</v>
      </c>
      <c r="AA668" s="3">
        <f t="shared" si="31"/>
        <v>43.074833936655359</v>
      </c>
      <c r="AB668" t="s">
        <v>45</v>
      </c>
      <c r="AC668">
        <v>23.7</v>
      </c>
      <c r="AD668">
        <v>62.32</v>
      </c>
      <c r="AE668">
        <v>10.28</v>
      </c>
      <c r="AF668">
        <v>10.69</v>
      </c>
      <c r="AG668">
        <v>63.64</v>
      </c>
      <c r="AH668">
        <v>26.32</v>
      </c>
      <c r="AI668">
        <v>33.82</v>
      </c>
      <c r="AJ668">
        <v>89.14</v>
      </c>
      <c r="AK668">
        <v>97.86</v>
      </c>
      <c r="AL668">
        <v>108.59</v>
      </c>
      <c r="AM668">
        <v>16.47</v>
      </c>
      <c r="AN668">
        <v>100.94</v>
      </c>
      <c r="AO668" s="1">
        <f t="shared" si="32"/>
        <v>643.77</v>
      </c>
    </row>
    <row r="669" spans="1:41" x14ac:dyDescent="0.25">
      <c r="A669" t="s">
        <v>712</v>
      </c>
      <c r="B669" s="2">
        <v>1364.88302563359</v>
      </c>
      <c r="C669" s="2">
        <v>10135.0736881059</v>
      </c>
      <c r="D669" s="2">
        <v>2504.1109409011101</v>
      </c>
      <c r="E669" s="2">
        <v>1860.20008550171</v>
      </c>
      <c r="F669" s="2">
        <v>4686.95363221766</v>
      </c>
      <c r="G669" s="2">
        <v>3922.85998970525</v>
      </c>
      <c r="H669" s="2">
        <v>3875.14253017998</v>
      </c>
      <c r="I669" s="2">
        <v>9358.0860222741994</v>
      </c>
      <c r="J669" s="2">
        <v>994.12812948918304</v>
      </c>
      <c r="K669" s="2">
        <v>6895.2070383550799</v>
      </c>
      <c r="L669" s="2">
        <v>1148.7438752215401</v>
      </c>
      <c r="M669" s="2">
        <v>6834.5880481130998</v>
      </c>
      <c r="N669" s="3">
        <f t="shared" si="30"/>
        <v>53579.977005698303</v>
      </c>
      <c r="O669" s="2">
        <v>1.0704150351830599</v>
      </c>
      <c r="P669" s="2">
        <v>23.644614755356201</v>
      </c>
      <c r="Q669" s="2">
        <v>14.444793522248199</v>
      </c>
      <c r="R669" s="2">
        <v>5.0158966301574601</v>
      </c>
      <c r="S669" s="2">
        <v>2.07820077459158</v>
      </c>
      <c r="T669" s="2">
        <v>3.9273123671743</v>
      </c>
      <c r="U669" s="2">
        <v>0</v>
      </c>
      <c r="V669" s="2">
        <v>0</v>
      </c>
      <c r="W669" s="2">
        <v>2.3014343746153201</v>
      </c>
      <c r="X669" s="2">
        <v>0.96537741400575905</v>
      </c>
      <c r="Y669" s="2">
        <v>7.4694833301922898</v>
      </c>
      <c r="Z669" s="2">
        <v>5.7936404405886499</v>
      </c>
      <c r="AA669" s="3">
        <f t="shared" si="31"/>
        <v>66.711168644112817</v>
      </c>
      <c r="AB669" t="s">
        <v>45</v>
      </c>
      <c r="AC669">
        <v>23.74</v>
      </c>
      <c r="AD669">
        <v>112.55</v>
      </c>
      <c r="AE669">
        <v>35.79</v>
      </c>
      <c r="AF669">
        <v>28.9</v>
      </c>
      <c r="AG669">
        <v>57.01</v>
      </c>
      <c r="AH669">
        <v>49.42</v>
      </c>
      <c r="AI669">
        <v>48.75</v>
      </c>
      <c r="AJ669">
        <v>103.58</v>
      </c>
      <c r="AK669">
        <v>20.09</v>
      </c>
      <c r="AL669">
        <v>79</v>
      </c>
      <c r="AM669">
        <v>21.88</v>
      </c>
      <c r="AN669">
        <v>78.64</v>
      </c>
      <c r="AO669" s="1">
        <f t="shared" si="32"/>
        <v>659.34999999999991</v>
      </c>
    </row>
    <row r="670" spans="1:41" x14ac:dyDescent="0.25">
      <c r="A670" t="s">
        <v>713</v>
      </c>
      <c r="B670" s="2">
        <v>1362.68389631891</v>
      </c>
      <c r="C670" s="2">
        <v>2754.93778232054</v>
      </c>
      <c r="D670" s="2">
        <v>604.78765049609399</v>
      </c>
      <c r="E670" s="2">
        <v>1871.4967664457899</v>
      </c>
      <c r="F670" s="2">
        <v>5763.8075839449502</v>
      </c>
      <c r="G670" s="2">
        <v>0</v>
      </c>
      <c r="H670" s="2">
        <v>0</v>
      </c>
      <c r="I670" s="2">
        <v>7327.6513483602002</v>
      </c>
      <c r="J670" s="2">
        <v>2488.5481335281002</v>
      </c>
      <c r="K670" s="2">
        <v>483.02496883610399</v>
      </c>
      <c r="L670" s="2">
        <v>5413.70042144537</v>
      </c>
      <c r="M670" s="2">
        <v>3909.0182692636899</v>
      </c>
      <c r="N670" s="3">
        <f t="shared" si="30"/>
        <v>31979.656820959746</v>
      </c>
      <c r="O670" s="2">
        <v>0.46396352151873199</v>
      </c>
      <c r="P670" s="2">
        <v>3.5194464624320698</v>
      </c>
      <c r="Q670" s="2">
        <v>1.8397698373592399</v>
      </c>
      <c r="R670" s="2">
        <v>2.2567947914134101</v>
      </c>
      <c r="S670" s="2">
        <v>2.8733507850744</v>
      </c>
      <c r="T670" s="2">
        <v>9.0940788058145898</v>
      </c>
      <c r="U670" s="2">
        <v>2.2611008205832501</v>
      </c>
      <c r="V670" s="2">
        <v>2.2883049325009202</v>
      </c>
      <c r="W670" s="2">
        <v>1.58943005406885</v>
      </c>
      <c r="X670" s="2">
        <v>7.9956612893347296</v>
      </c>
      <c r="Y670" s="2">
        <v>0.76346595490140901</v>
      </c>
      <c r="Z670" s="2">
        <v>3.77693253627876</v>
      </c>
      <c r="AA670" s="3">
        <f t="shared" si="31"/>
        <v>38.722299791280356</v>
      </c>
      <c r="AB670" t="s">
        <v>63</v>
      </c>
      <c r="AC670">
        <v>27.35</v>
      </c>
      <c r="AD670">
        <v>55.46</v>
      </c>
      <c r="AE670">
        <v>12.28</v>
      </c>
      <c r="AF670">
        <v>37.71</v>
      </c>
      <c r="AG670">
        <v>115.55</v>
      </c>
      <c r="AH670">
        <v>0.9</v>
      </c>
      <c r="AI670">
        <v>0.27</v>
      </c>
      <c r="AJ670">
        <v>146.83000000000001</v>
      </c>
      <c r="AK670">
        <v>49.96</v>
      </c>
      <c r="AL670">
        <v>10.4</v>
      </c>
      <c r="AM670">
        <v>108.37</v>
      </c>
      <c r="AN670">
        <v>78.56</v>
      </c>
      <c r="AO670" s="1">
        <f t="shared" si="32"/>
        <v>643.63999999999987</v>
      </c>
    </row>
    <row r="671" spans="1:41" x14ac:dyDescent="0.25">
      <c r="A671" t="s">
        <v>714</v>
      </c>
      <c r="B671" s="2">
        <v>1353.9555469950999</v>
      </c>
      <c r="C671" s="2">
        <v>2113.8896015252399</v>
      </c>
      <c r="D671" s="2">
        <v>6822.1483396701497</v>
      </c>
      <c r="E671" s="2">
        <v>10413.749884564</v>
      </c>
      <c r="F671" s="2">
        <v>1564.1682938771601</v>
      </c>
      <c r="G671" s="2">
        <v>9500.9696917718702</v>
      </c>
      <c r="H671" s="2">
        <v>1202.8764794588301</v>
      </c>
      <c r="I671" s="2">
        <v>1436.78286905958</v>
      </c>
      <c r="J671" s="2">
        <v>11447.70424662</v>
      </c>
      <c r="K671" s="2">
        <v>2510.6176199956699</v>
      </c>
      <c r="L671" s="2">
        <v>777.91670467876497</v>
      </c>
      <c r="M671" s="2">
        <v>2456.0186250966099</v>
      </c>
      <c r="N671" s="3">
        <f t="shared" si="30"/>
        <v>51600.79790331296</v>
      </c>
      <c r="O671" s="2">
        <v>3.5369646265293602</v>
      </c>
      <c r="P671" s="2">
        <v>2.04267870412317</v>
      </c>
      <c r="Q671" s="2">
        <v>0</v>
      </c>
      <c r="R671" s="2">
        <v>0.82690970467304903</v>
      </c>
      <c r="S671" s="2">
        <v>8.7279065932444801</v>
      </c>
      <c r="T671" s="2">
        <v>0</v>
      </c>
      <c r="U671" s="2">
        <v>1.3896361960017301</v>
      </c>
      <c r="V671" s="2">
        <v>3.7498263841470201</v>
      </c>
      <c r="W671" s="2">
        <v>8.2550504023133797</v>
      </c>
      <c r="X671" s="2">
        <v>0.32188756055378398</v>
      </c>
      <c r="Y671" s="2">
        <v>1.63740639220019</v>
      </c>
      <c r="Z671" s="2">
        <v>0</v>
      </c>
      <c r="AA671" s="3">
        <f t="shared" si="31"/>
        <v>30.488266563786166</v>
      </c>
      <c r="AB671" t="s">
        <v>45</v>
      </c>
      <c r="AC671">
        <v>23.73</v>
      </c>
      <c r="AD671">
        <v>31.28</v>
      </c>
      <c r="AE671">
        <v>78.22</v>
      </c>
      <c r="AF671">
        <v>114.18</v>
      </c>
      <c r="AG671">
        <v>26.09</v>
      </c>
      <c r="AH671">
        <v>105</v>
      </c>
      <c r="AI671">
        <v>22.12</v>
      </c>
      <c r="AJ671">
        <v>24.56</v>
      </c>
      <c r="AK671">
        <v>124.92</v>
      </c>
      <c r="AL671">
        <v>35.15</v>
      </c>
      <c r="AM671">
        <v>17.87</v>
      </c>
      <c r="AN671">
        <v>34.56</v>
      </c>
      <c r="AO671" s="1">
        <f t="shared" si="32"/>
        <v>637.68000000000006</v>
      </c>
    </row>
    <row r="672" spans="1:41" x14ac:dyDescent="0.25">
      <c r="A672" t="s">
        <v>715</v>
      </c>
      <c r="B672" s="2">
        <v>1348.7208367011101</v>
      </c>
      <c r="C672" s="2">
        <v>113.807024621881</v>
      </c>
      <c r="D672" s="2">
        <v>0</v>
      </c>
      <c r="E672" s="2">
        <v>4630.7501669692501</v>
      </c>
      <c r="F672" s="2">
        <v>3312.44100599591</v>
      </c>
      <c r="G672" s="2">
        <v>4329.4637177200702</v>
      </c>
      <c r="H672" s="2">
        <v>2346.1850624121598</v>
      </c>
      <c r="I672" s="2">
        <v>6852.24757921535</v>
      </c>
      <c r="J672" s="2">
        <v>3651.2837680177799</v>
      </c>
      <c r="K672" s="2">
        <v>8873.0110694475497</v>
      </c>
      <c r="L672" s="2">
        <v>1876.4181155066401</v>
      </c>
      <c r="M672" s="2">
        <v>5893.0410196296498</v>
      </c>
      <c r="N672" s="3">
        <f t="shared" si="30"/>
        <v>43227.369366237355</v>
      </c>
      <c r="O672" s="2">
        <v>1.8643056467946699</v>
      </c>
      <c r="P672" s="2">
        <v>1.1898035273191701</v>
      </c>
      <c r="Q672" s="2">
        <v>0</v>
      </c>
      <c r="R672" s="2">
        <v>3.2113655908877599</v>
      </c>
      <c r="S672" s="2">
        <v>7.7155014128416202</v>
      </c>
      <c r="T672" s="2">
        <v>0.96051182752521902</v>
      </c>
      <c r="U672" s="2">
        <v>4.2993036007653904</v>
      </c>
      <c r="V672" s="2">
        <v>3.98028080734418</v>
      </c>
      <c r="W672" s="2">
        <v>2.17051603251383</v>
      </c>
      <c r="X672" s="2">
        <v>0</v>
      </c>
      <c r="Y672" s="2">
        <v>5.23348035889431</v>
      </c>
      <c r="Z672" s="2">
        <v>9.0465753030858895</v>
      </c>
      <c r="AA672" s="3">
        <f t="shared" si="31"/>
        <v>39.671644107972035</v>
      </c>
      <c r="AB672" t="s">
        <v>45</v>
      </c>
      <c r="AC672">
        <v>23.58</v>
      </c>
      <c r="AD672">
        <v>11.23</v>
      </c>
      <c r="AE672">
        <v>9.99</v>
      </c>
      <c r="AF672">
        <v>56.5</v>
      </c>
      <c r="AG672">
        <v>43.52</v>
      </c>
      <c r="AH672">
        <v>53.34</v>
      </c>
      <c r="AI672">
        <v>33.71</v>
      </c>
      <c r="AJ672">
        <v>78.72</v>
      </c>
      <c r="AK672">
        <v>46.66</v>
      </c>
      <c r="AL672">
        <v>98.73</v>
      </c>
      <c r="AM672">
        <v>29.06</v>
      </c>
      <c r="AN672">
        <v>69.430000000000007</v>
      </c>
      <c r="AO672" s="1">
        <f t="shared" si="32"/>
        <v>554.47</v>
      </c>
    </row>
    <row r="673" spans="1:41" x14ac:dyDescent="0.25">
      <c r="A673" t="s">
        <v>716</v>
      </c>
      <c r="B673" s="2">
        <v>1347.9347871344</v>
      </c>
      <c r="C673" s="2">
        <v>9201.5503387118006</v>
      </c>
      <c r="D673" s="2">
        <v>2124.13476071993</v>
      </c>
      <c r="E673" s="2">
        <v>2503.4794286310698</v>
      </c>
      <c r="F673" s="2">
        <v>7743.0450268287204</v>
      </c>
      <c r="G673" s="2">
        <v>5838.71547657476</v>
      </c>
      <c r="H673" s="2">
        <v>533.21331502385203</v>
      </c>
      <c r="I673" s="2">
        <v>923.83160491999399</v>
      </c>
      <c r="J673" s="2">
        <v>2203.8889972378702</v>
      </c>
      <c r="K673" s="2">
        <v>8507.7063317040502</v>
      </c>
      <c r="L673" s="2">
        <v>24431.203216703001</v>
      </c>
      <c r="M673" s="2">
        <v>6000.1187119385604</v>
      </c>
      <c r="N673" s="3">
        <f t="shared" si="30"/>
        <v>71358.821996127997</v>
      </c>
      <c r="O673" s="2">
        <v>2.08451304759252</v>
      </c>
      <c r="P673" s="2">
        <v>1.7551323447086999</v>
      </c>
      <c r="Q673" s="2">
        <v>3.1651275290755998</v>
      </c>
      <c r="R673" s="2">
        <v>6.8001166134681696</v>
      </c>
      <c r="S673" s="2">
        <v>5.5023693823099702</v>
      </c>
      <c r="T673" s="2">
        <v>6.9748421893635397</v>
      </c>
      <c r="U673" s="2">
        <v>2.6989637800915798</v>
      </c>
      <c r="V673" s="2">
        <v>1.49908475049782</v>
      </c>
      <c r="W673" s="2">
        <v>4.5351247470972096</v>
      </c>
      <c r="X673" s="2">
        <v>3.0404464107242601</v>
      </c>
      <c r="Y673" s="2">
        <v>4.3161589465021999</v>
      </c>
      <c r="Z673" s="2">
        <v>0.29632333113912801</v>
      </c>
      <c r="AA673" s="3">
        <f t="shared" si="31"/>
        <v>42.668203072570691</v>
      </c>
      <c r="AB673" t="s">
        <v>45</v>
      </c>
      <c r="AC673">
        <v>23.62</v>
      </c>
      <c r="AD673">
        <v>102.11</v>
      </c>
      <c r="AE673">
        <v>31.44</v>
      </c>
      <c r="AF673">
        <v>35.380000000000003</v>
      </c>
      <c r="AG673">
        <v>87.73</v>
      </c>
      <c r="AH673">
        <v>68.73</v>
      </c>
      <c r="AI673">
        <v>15.48</v>
      </c>
      <c r="AJ673">
        <v>19.329999999999998</v>
      </c>
      <c r="AK673">
        <v>32.28</v>
      </c>
      <c r="AL673">
        <v>95.27</v>
      </c>
      <c r="AM673">
        <v>254.56</v>
      </c>
      <c r="AN673">
        <v>70.05</v>
      </c>
      <c r="AO673" s="1">
        <f t="shared" si="32"/>
        <v>835.98</v>
      </c>
    </row>
    <row r="674" spans="1:41" x14ac:dyDescent="0.25">
      <c r="A674" t="s">
        <v>717</v>
      </c>
      <c r="B674" s="2">
        <v>1345.9775522643099</v>
      </c>
      <c r="C674" s="2">
        <v>2649.6325339734499</v>
      </c>
      <c r="D674" s="2">
        <v>11850.158790496</v>
      </c>
      <c r="E674" s="2">
        <v>3069.4735157192899</v>
      </c>
      <c r="F674" s="2">
        <v>8526.5272745092097</v>
      </c>
      <c r="G674" s="2">
        <v>1265.4742203491401</v>
      </c>
      <c r="H674" s="2">
        <v>1492.71990394882</v>
      </c>
      <c r="I674" s="2">
        <v>2777.3484730823302</v>
      </c>
      <c r="J674" s="2">
        <v>3787.8560734757698</v>
      </c>
      <c r="K674" s="2">
        <v>2628.4471408043</v>
      </c>
      <c r="L674" s="2">
        <v>567.52746060184904</v>
      </c>
      <c r="M674" s="2">
        <v>6142.7018369092702</v>
      </c>
      <c r="N674" s="3">
        <f t="shared" si="30"/>
        <v>46103.844776133745</v>
      </c>
      <c r="O674" s="2">
        <v>3.7076204240281401</v>
      </c>
      <c r="P674" s="2">
        <v>1.98574410119651</v>
      </c>
      <c r="Q674" s="2">
        <v>3.09139699368294</v>
      </c>
      <c r="R674" s="2">
        <v>13.1637639689186</v>
      </c>
      <c r="S674" s="2">
        <v>4.7866306420082498</v>
      </c>
      <c r="T674" s="2">
        <v>12.0783132106178</v>
      </c>
      <c r="U674" s="2">
        <v>1.9530527037679599</v>
      </c>
      <c r="V674" s="2">
        <v>4.4913229362463403</v>
      </c>
      <c r="W674" s="2">
        <v>6.2630626568217798</v>
      </c>
      <c r="X674" s="2">
        <v>3.4296019305049401</v>
      </c>
      <c r="Y674" s="2">
        <v>2.76560701496394</v>
      </c>
      <c r="Z674" s="2">
        <v>3.8508268162364199</v>
      </c>
      <c r="AA674" s="3">
        <f t="shared" si="31"/>
        <v>61.566943398993615</v>
      </c>
      <c r="AB674" t="s">
        <v>45</v>
      </c>
      <c r="AC674">
        <v>23.65</v>
      </c>
      <c r="AD674">
        <v>36.590000000000003</v>
      </c>
      <c r="AE674">
        <v>128.69999999999999</v>
      </c>
      <c r="AF674">
        <v>41.39</v>
      </c>
      <c r="AG674">
        <v>95.51</v>
      </c>
      <c r="AH674">
        <v>23.3</v>
      </c>
      <c r="AI674">
        <v>25.02</v>
      </c>
      <c r="AJ674">
        <v>38.020000000000003</v>
      </c>
      <c r="AK674">
        <v>48.22</v>
      </c>
      <c r="AL674">
        <v>36.479999999999997</v>
      </c>
      <c r="AM674">
        <v>15.82</v>
      </c>
      <c r="AN674">
        <v>71.62</v>
      </c>
      <c r="AO674" s="1">
        <f t="shared" si="32"/>
        <v>584.32000000000005</v>
      </c>
    </row>
    <row r="675" spans="1:41" x14ac:dyDescent="0.25">
      <c r="A675" t="s">
        <v>718</v>
      </c>
      <c r="B675" s="2">
        <v>1342.9075562503101</v>
      </c>
      <c r="C675" s="2">
        <v>2267.4770460541399</v>
      </c>
      <c r="D675" s="2">
        <v>637.51473825834296</v>
      </c>
      <c r="E675" s="2">
        <v>2515.6681076698401</v>
      </c>
      <c r="F675" s="2">
        <v>2782.1253435613899</v>
      </c>
      <c r="G675" s="2">
        <v>7433.3420120644896</v>
      </c>
      <c r="H675" s="2">
        <v>6094.6864696619004</v>
      </c>
      <c r="I675" s="2">
        <v>1533.8830772758499</v>
      </c>
      <c r="J675" s="2">
        <v>0</v>
      </c>
      <c r="K675" s="2">
        <v>0</v>
      </c>
      <c r="L675" s="2">
        <v>12178.0247156966</v>
      </c>
      <c r="M675" s="2">
        <v>3537.4821858739801</v>
      </c>
      <c r="N675" s="3">
        <f t="shared" si="30"/>
        <v>40323.111252366849</v>
      </c>
      <c r="O675" s="2">
        <v>9.1686743599393605E-2</v>
      </c>
      <c r="P675" s="2">
        <v>1.5735939337782201</v>
      </c>
      <c r="Q675" s="2">
        <v>0.74424401454256195</v>
      </c>
      <c r="R675" s="2">
        <v>2.2518465783381498</v>
      </c>
      <c r="S675" s="2">
        <v>5.8190929706134797</v>
      </c>
      <c r="T675" s="2">
        <v>1.2525543637657199</v>
      </c>
      <c r="U675" s="2">
        <v>3.0484221391317399</v>
      </c>
      <c r="V675" s="2">
        <v>5.5743461876355003</v>
      </c>
      <c r="W675" s="2">
        <v>3.4594093472689398</v>
      </c>
      <c r="X675" s="2">
        <v>1.10713960499666</v>
      </c>
      <c r="Y675" s="2">
        <v>3.3348113094895302</v>
      </c>
      <c r="Z675" s="2">
        <v>0.70791588889857904</v>
      </c>
      <c r="AA675" s="3">
        <f t="shared" si="31"/>
        <v>28.965063082058474</v>
      </c>
      <c r="AB675" t="s">
        <v>45</v>
      </c>
      <c r="AC675">
        <v>23.47</v>
      </c>
      <c r="AD675">
        <v>32.770000000000003</v>
      </c>
      <c r="AE675">
        <v>16.420000000000002</v>
      </c>
      <c r="AF675">
        <v>35.299999999999997</v>
      </c>
      <c r="AG675">
        <v>38.119999999999997</v>
      </c>
      <c r="AH675">
        <v>84.43</v>
      </c>
      <c r="AI675">
        <v>71.14</v>
      </c>
      <c r="AJ675">
        <v>25.63</v>
      </c>
      <c r="AK675">
        <v>10.19</v>
      </c>
      <c r="AL675">
        <v>10.09</v>
      </c>
      <c r="AM675">
        <v>131.97999999999999</v>
      </c>
      <c r="AN675">
        <v>45.42</v>
      </c>
      <c r="AO675" s="1">
        <f t="shared" si="32"/>
        <v>524.95999999999992</v>
      </c>
    </row>
    <row r="676" spans="1:41" x14ac:dyDescent="0.25">
      <c r="A676" t="s">
        <v>719</v>
      </c>
      <c r="B676" s="2">
        <v>1342.4610349191701</v>
      </c>
      <c r="C676" s="2">
        <v>623.87625291159202</v>
      </c>
      <c r="D676" s="2">
        <v>1362.97025292181</v>
      </c>
      <c r="E676" s="2">
        <v>0</v>
      </c>
      <c r="F676" s="2">
        <v>798.14691283580396</v>
      </c>
      <c r="G676" s="2">
        <v>37.346447747372302</v>
      </c>
      <c r="H676" s="2">
        <v>3188.88401231543</v>
      </c>
      <c r="I676" s="2">
        <v>6151.31387452939</v>
      </c>
      <c r="J676" s="2">
        <v>7580.60305167355</v>
      </c>
      <c r="K676" s="2">
        <v>5938.0725474594601</v>
      </c>
      <c r="L676" s="2">
        <v>2643.68552606205</v>
      </c>
      <c r="M676" s="2">
        <v>5431.6283502534598</v>
      </c>
      <c r="N676" s="3">
        <f t="shared" si="30"/>
        <v>35098.988263629086</v>
      </c>
      <c r="O676" s="2">
        <v>0.98583853898825902</v>
      </c>
      <c r="P676" s="2">
        <v>12.696127892783499</v>
      </c>
      <c r="Q676" s="2">
        <v>1.0606427607518001</v>
      </c>
      <c r="R676" s="2">
        <v>2.7781537059376902</v>
      </c>
      <c r="S676" s="2">
        <v>1.4929209327598301</v>
      </c>
      <c r="T676" s="2">
        <v>0</v>
      </c>
      <c r="U676" s="2">
        <v>3.4223031729133702</v>
      </c>
      <c r="V676" s="2">
        <v>0.96082202462364397</v>
      </c>
      <c r="W676" s="2">
        <v>1.3884223179509201</v>
      </c>
      <c r="X676" s="2">
        <v>4.5252079850970999</v>
      </c>
      <c r="Y676" s="2">
        <v>0.74203400325047697</v>
      </c>
      <c r="Z676" s="2">
        <v>4.04643045998505</v>
      </c>
      <c r="AA676" s="3">
        <f t="shared" si="31"/>
        <v>34.098903795041643</v>
      </c>
      <c r="AB676" t="s">
        <v>63</v>
      </c>
      <c r="AC676">
        <v>26.95</v>
      </c>
      <c r="AD676">
        <v>13.65</v>
      </c>
      <c r="AE676">
        <v>27.44</v>
      </c>
      <c r="AF676">
        <v>0.27</v>
      </c>
      <c r="AG676">
        <v>16.16</v>
      </c>
      <c r="AH676">
        <v>0.76</v>
      </c>
      <c r="AI676">
        <v>64.14</v>
      </c>
      <c r="AJ676">
        <v>123.13</v>
      </c>
      <c r="AK676">
        <v>151.80000000000001</v>
      </c>
      <c r="AL676">
        <v>119.23</v>
      </c>
      <c r="AM676">
        <v>52.97</v>
      </c>
      <c r="AN676">
        <v>109.09</v>
      </c>
      <c r="AO676" s="1">
        <f t="shared" si="32"/>
        <v>705.59</v>
      </c>
    </row>
    <row r="677" spans="1:41" x14ac:dyDescent="0.25">
      <c r="A677" t="s">
        <v>720</v>
      </c>
      <c r="B677" s="2">
        <v>1317.1391778505599</v>
      </c>
      <c r="C677" s="2">
        <v>3296.7881939099202</v>
      </c>
      <c r="D677" s="2">
        <v>5243.99583541633</v>
      </c>
      <c r="E677" s="2">
        <v>2250.49174483569</v>
      </c>
      <c r="F677" s="2">
        <v>1136.2770907030099</v>
      </c>
      <c r="G677" s="2">
        <v>3124.3318040996301</v>
      </c>
      <c r="H677" s="2">
        <v>2111.4238137684702</v>
      </c>
      <c r="I677" s="2">
        <v>1154.4456735582</v>
      </c>
      <c r="J677" s="2">
        <v>891.05854505102297</v>
      </c>
      <c r="K677" s="2">
        <v>2202.8382882780402</v>
      </c>
      <c r="L677" s="2">
        <v>15235.7418317102</v>
      </c>
      <c r="M677" s="2">
        <v>6237.8743692357202</v>
      </c>
      <c r="N677" s="3">
        <f t="shared" si="30"/>
        <v>44202.406368416792</v>
      </c>
      <c r="O677" s="2">
        <v>1.8572496104284399</v>
      </c>
      <c r="P677" s="2">
        <v>5.3012661065890603</v>
      </c>
      <c r="Q677" s="2">
        <v>4.9014675321432097</v>
      </c>
      <c r="R677" s="2">
        <v>5.4836780870268003</v>
      </c>
      <c r="S677" s="2">
        <v>1.8547577410948899</v>
      </c>
      <c r="T677" s="2">
        <v>7.8509442878567999</v>
      </c>
      <c r="U677" s="2">
        <v>2.52313440960768</v>
      </c>
      <c r="V677" s="2">
        <v>1.52619877067196</v>
      </c>
      <c r="W677" s="2">
        <v>0</v>
      </c>
      <c r="X677" s="2">
        <v>0.89008597869971395</v>
      </c>
      <c r="Y677" s="2">
        <v>4.7915272962013304</v>
      </c>
      <c r="Z677" s="2">
        <v>3.9558970047743101</v>
      </c>
      <c r="AA677" s="3">
        <f t="shared" si="31"/>
        <v>40.936206825094189</v>
      </c>
      <c r="AB677" t="s">
        <v>45</v>
      </c>
      <c r="AC677">
        <v>23.27</v>
      </c>
      <c r="AD677">
        <v>43.26</v>
      </c>
      <c r="AE677">
        <v>62.68</v>
      </c>
      <c r="AF677">
        <v>32.799999999999997</v>
      </c>
      <c r="AG677">
        <v>21.46</v>
      </c>
      <c r="AH677">
        <v>41.64</v>
      </c>
      <c r="AI677">
        <v>31.26</v>
      </c>
      <c r="AJ677">
        <v>21.64</v>
      </c>
      <c r="AK677">
        <v>18.91</v>
      </c>
      <c r="AL677">
        <v>32.07</v>
      </c>
      <c r="AM677">
        <v>162.6</v>
      </c>
      <c r="AN677">
        <v>72.569999999999993</v>
      </c>
      <c r="AO677" s="1">
        <f t="shared" si="32"/>
        <v>564.16000000000008</v>
      </c>
    </row>
    <row r="678" spans="1:41" x14ac:dyDescent="0.25">
      <c r="A678" t="s">
        <v>721</v>
      </c>
      <c r="B678" s="2">
        <v>1310.99516288524</v>
      </c>
      <c r="C678" s="2">
        <v>244.31519634097901</v>
      </c>
      <c r="D678" s="2">
        <v>2178.0648110826901</v>
      </c>
      <c r="E678" s="2">
        <v>3715.9666986800999</v>
      </c>
      <c r="F678" s="2">
        <v>2159.9179719826602</v>
      </c>
      <c r="G678" s="2">
        <v>347.80869389634398</v>
      </c>
      <c r="H678" s="2">
        <v>4588.1802321657497</v>
      </c>
      <c r="I678" s="2">
        <v>2362.9090455607002</v>
      </c>
      <c r="J678" s="2">
        <v>3949.1303843230598</v>
      </c>
      <c r="K678" s="2">
        <v>5718.63528073824</v>
      </c>
      <c r="L678" s="2">
        <v>5014.3143476524801</v>
      </c>
      <c r="M678" s="2">
        <v>1963.0159601406799</v>
      </c>
      <c r="N678" s="3">
        <f t="shared" si="30"/>
        <v>33553.25378544892</v>
      </c>
      <c r="O678" s="2">
        <v>5.3519290929400398</v>
      </c>
      <c r="P678" s="2">
        <v>5.6799141630349599</v>
      </c>
      <c r="Q678" s="2">
        <v>1.1122979151341399</v>
      </c>
      <c r="R678" s="2">
        <v>3.4802053067252401</v>
      </c>
      <c r="S678" s="2">
        <v>1.29324984124799</v>
      </c>
      <c r="T678" s="2">
        <v>1.8176814026254799</v>
      </c>
      <c r="U678" s="2">
        <v>9.7785440672949608</v>
      </c>
      <c r="V678" s="2">
        <v>2.2791116859793701</v>
      </c>
      <c r="W678" s="2">
        <v>2.5949392176149102</v>
      </c>
      <c r="X678" s="2">
        <v>9.1998867341969497</v>
      </c>
      <c r="Y678" s="2">
        <v>5.66601189206754</v>
      </c>
      <c r="Z678" s="2">
        <v>0</v>
      </c>
      <c r="AA678" s="3">
        <f t="shared" si="31"/>
        <v>48.253771318861581</v>
      </c>
      <c r="AB678" t="s">
        <v>63</v>
      </c>
      <c r="AC678">
        <v>26.76</v>
      </c>
      <c r="AD678">
        <v>5.44</v>
      </c>
      <c r="AE678">
        <v>43.76</v>
      </c>
      <c r="AF678">
        <v>74.680000000000007</v>
      </c>
      <c r="AG678">
        <v>43.38</v>
      </c>
      <c r="AH678">
        <v>7.14</v>
      </c>
      <c r="AI678">
        <v>92.68</v>
      </c>
      <c r="AJ678">
        <v>47.53</v>
      </c>
      <c r="AK678">
        <v>79.27</v>
      </c>
      <c r="AL678">
        <v>115.28</v>
      </c>
      <c r="AM678">
        <v>100.84</v>
      </c>
      <c r="AN678">
        <v>39.28</v>
      </c>
      <c r="AO678" s="1">
        <f t="shared" si="32"/>
        <v>676.04</v>
      </c>
    </row>
    <row r="679" spans="1:41" x14ac:dyDescent="0.25">
      <c r="A679" t="s">
        <v>722</v>
      </c>
      <c r="B679" s="2">
        <v>1310.89420843523</v>
      </c>
      <c r="C679" s="2">
        <v>321.44968353701699</v>
      </c>
      <c r="D679" s="2">
        <v>5293.21176934102</v>
      </c>
      <c r="E679" s="2">
        <v>3542.7642874245798</v>
      </c>
      <c r="F679" s="2">
        <v>70.535441708522995</v>
      </c>
      <c r="G679" s="2">
        <v>6534.5672828777197</v>
      </c>
      <c r="H679" s="2">
        <v>0</v>
      </c>
      <c r="I679" s="2">
        <v>8445.0326545752796</v>
      </c>
      <c r="J679" s="2">
        <v>1632.5149469791299</v>
      </c>
      <c r="K679" s="2">
        <v>874.05496446574296</v>
      </c>
      <c r="L679" s="2">
        <v>710.56776555290901</v>
      </c>
      <c r="M679" s="2">
        <v>1286.52539098848</v>
      </c>
      <c r="N679" s="3">
        <f t="shared" si="30"/>
        <v>30022.118395885635</v>
      </c>
      <c r="O679" s="2">
        <v>1.8331269613746899</v>
      </c>
      <c r="P679" s="2">
        <v>2.82481782694131</v>
      </c>
      <c r="Q679" s="2">
        <v>0</v>
      </c>
      <c r="R679" s="2">
        <v>8.4978395621252893</v>
      </c>
      <c r="S679" s="2">
        <v>0.62870873803878802</v>
      </c>
      <c r="T679" s="2">
        <v>2.1263553735428702</v>
      </c>
      <c r="U679" s="2">
        <v>7.4440304096484899</v>
      </c>
      <c r="V679" s="2">
        <v>2.4275600118051202</v>
      </c>
      <c r="W679" s="2">
        <v>3.0442550945821001</v>
      </c>
      <c r="X679" s="2">
        <v>3.1606671011367</v>
      </c>
      <c r="Y679" s="2">
        <v>9.0085362767815091</v>
      </c>
      <c r="Z679" s="2">
        <v>1.4932085562342601</v>
      </c>
      <c r="AA679" s="3">
        <f t="shared" si="31"/>
        <v>42.489105912211123</v>
      </c>
      <c r="AB679" t="s">
        <v>63</v>
      </c>
      <c r="AC679">
        <v>26.4</v>
      </c>
      <c r="AD679">
        <v>6.71</v>
      </c>
      <c r="AE679">
        <v>105.88</v>
      </c>
      <c r="AF679">
        <v>71.67</v>
      </c>
      <c r="AG679">
        <v>1.51</v>
      </c>
      <c r="AH679">
        <v>130.97</v>
      </c>
      <c r="AI679">
        <v>0.72</v>
      </c>
      <c r="AJ679">
        <v>169.19</v>
      </c>
      <c r="AK679">
        <v>33.020000000000003</v>
      </c>
      <c r="AL679">
        <v>17.86</v>
      </c>
      <c r="AM679">
        <v>15.12</v>
      </c>
      <c r="AN679">
        <v>25.92</v>
      </c>
      <c r="AO679" s="1">
        <f t="shared" si="32"/>
        <v>604.96999999999991</v>
      </c>
    </row>
    <row r="680" spans="1:41" x14ac:dyDescent="0.25">
      <c r="A680" t="s">
        <v>723</v>
      </c>
      <c r="B680" s="2">
        <v>1297.86317728627</v>
      </c>
      <c r="C680" s="2">
        <v>729.07198148363796</v>
      </c>
      <c r="D680" s="2">
        <v>2367.5316947526298</v>
      </c>
      <c r="E680" s="2">
        <v>1146.8980171779799</v>
      </c>
      <c r="F680" s="2">
        <v>2762.2485317135001</v>
      </c>
      <c r="G680" s="2">
        <v>7913.3768438624202</v>
      </c>
      <c r="H680" s="2">
        <v>4048.4368459715502</v>
      </c>
      <c r="I680" s="2">
        <v>7747.3353267352704</v>
      </c>
      <c r="J680" s="2">
        <v>291.89953488363801</v>
      </c>
      <c r="K680" s="2">
        <v>7340.6804822610002</v>
      </c>
      <c r="L680" s="2">
        <v>4079.6328761467098</v>
      </c>
      <c r="M680" s="2">
        <v>942.917471229326</v>
      </c>
      <c r="N680" s="3">
        <f t="shared" si="30"/>
        <v>40667.892783503929</v>
      </c>
      <c r="O680" s="2">
        <v>2.6427536691596001</v>
      </c>
      <c r="P680" s="2">
        <v>1.56309308141293</v>
      </c>
      <c r="Q680" s="2">
        <v>2.4047480207830301</v>
      </c>
      <c r="R680" s="2">
        <v>2.4357375413450399</v>
      </c>
      <c r="S680" s="2">
        <v>0</v>
      </c>
      <c r="T680" s="2">
        <v>0</v>
      </c>
      <c r="U680" s="2">
        <v>5.4814000541118899</v>
      </c>
      <c r="V680" s="2">
        <v>1.59609983349701</v>
      </c>
      <c r="W680" s="2">
        <v>0</v>
      </c>
      <c r="X680" s="2">
        <v>13.2464199054356</v>
      </c>
      <c r="Y680" s="2">
        <v>7.6121863324095198</v>
      </c>
      <c r="Z680" s="2">
        <v>11.4248201100018</v>
      </c>
      <c r="AA680" s="3">
        <f t="shared" si="31"/>
        <v>48.40725854815642</v>
      </c>
      <c r="AB680" t="s">
        <v>63</v>
      </c>
      <c r="AC680">
        <v>26.23</v>
      </c>
      <c r="AD680">
        <v>14.78</v>
      </c>
      <c r="AE680">
        <v>47.63</v>
      </c>
      <c r="AF680">
        <v>23.21</v>
      </c>
      <c r="AG680">
        <v>55.26</v>
      </c>
      <c r="AH680">
        <v>158.28</v>
      </c>
      <c r="AI680">
        <v>81.52</v>
      </c>
      <c r="AJ680">
        <v>155.13999999999999</v>
      </c>
      <c r="AK680">
        <v>5.84</v>
      </c>
      <c r="AL680">
        <v>148.08000000000001</v>
      </c>
      <c r="AM680">
        <v>82.32</v>
      </c>
      <c r="AN680">
        <v>19.940000000000001</v>
      </c>
      <c r="AO680" s="1">
        <f t="shared" si="32"/>
        <v>818.23</v>
      </c>
    </row>
    <row r="681" spans="1:41" x14ac:dyDescent="0.25">
      <c r="A681" t="s">
        <v>724</v>
      </c>
      <c r="B681" s="2">
        <v>1289.5993976172799</v>
      </c>
      <c r="C681" s="2">
        <v>979.71436686023003</v>
      </c>
      <c r="D681" s="2">
        <v>1956.22899274818</v>
      </c>
      <c r="E681" s="2">
        <v>17646.841485730201</v>
      </c>
      <c r="F681" s="2">
        <v>2327.0578099593199</v>
      </c>
      <c r="G681" s="2">
        <v>3426.3979858098401</v>
      </c>
      <c r="H681" s="2">
        <v>1893.6240292841501</v>
      </c>
      <c r="I681" s="2">
        <v>3758.2353189658802</v>
      </c>
      <c r="J681" s="2">
        <v>11566.0870459418</v>
      </c>
      <c r="K681" s="2">
        <v>2498.8721328952201</v>
      </c>
      <c r="L681" s="2">
        <v>0</v>
      </c>
      <c r="M681" s="2">
        <v>2232.3184713174701</v>
      </c>
      <c r="N681" s="3">
        <f t="shared" si="30"/>
        <v>49574.977037129574</v>
      </c>
      <c r="O681" s="2">
        <v>8.1873356307173299</v>
      </c>
      <c r="P681" s="2">
        <v>15.603182891891599</v>
      </c>
      <c r="Q681" s="2">
        <v>16.276949111214599</v>
      </c>
      <c r="R681" s="2">
        <v>1.90313566850312</v>
      </c>
      <c r="S681" s="2">
        <v>7.1712202586630402</v>
      </c>
      <c r="T681" s="2">
        <v>2.8536091260170799</v>
      </c>
      <c r="U681" s="2">
        <v>4.0327940041822297</v>
      </c>
      <c r="V681" s="2">
        <v>1.5081393986121301</v>
      </c>
      <c r="W681" s="2">
        <v>2.62717919777061</v>
      </c>
      <c r="X681" s="2">
        <v>14.7011961235121</v>
      </c>
      <c r="Y681" s="2">
        <v>8.2706281164700695</v>
      </c>
      <c r="Z681" s="2">
        <v>3.08318842461569</v>
      </c>
      <c r="AA681" s="3">
        <f t="shared" si="31"/>
        <v>86.21855795216959</v>
      </c>
      <c r="AB681" t="s">
        <v>45</v>
      </c>
      <c r="AC681">
        <v>23.34</v>
      </c>
      <c r="AD681">
        <v>20.59</v>
      </c>
      <c r="AE681">
        <v>30.41</v>
      </c>
      <c r="AF681">
        <v>186.56</v>
      </c>
      <c r="AG681">
        <v>33.67</v>
      </c>
      <c r="AH681">
        <v>44.41</v>
      </c>
      <c r="AI681">
        <v>29.18</v>
      </c>
      <c r="AJ681">
        <v>47.68</v>
      </c>
      <c r="AK681">
        <v>125.81</v>
      </c>
      <c r="AL681">
        <v>35.729999999999997</v>
      </c>
      <c r="AM681">
        <v>10.44</v>
      </c>
      <c r="AN681">
        <v>32.520000000000003</v>
      </c>
      <c r="AO681" s="1">
        <f t="shared" si="32"/>
        <v>620.34000000000015</v>
      </c>
    </row>
    <row r="682" spans="1:41" x14ac:dyDescent="0.25">
      <c r="A682" t="s">
        <v>725</v>
      </c>
      <c r="B682" s="2">
        <v>1287.24044972819</v>
      </c>
      <c r="C682" s="2">
        <v>9414.1433561394206</v>
      </c>
      <c r="D682" s="2">
        <v>3596.57488664113</v>
      </c>
      <c r="E682" s="2">
        <v>7496.9947631537998</v>
      </c>
      <c r="F682" s="2">
        <v>5033.2370846593803</v>
      </c>
      <c r="G682" s="2">
        <v>760.18617404093004</v>
      </c>
      <c r="H682" s="2">
        <v>4625.4858887523496</v>
      </c>
      <c r="I682" s="2">
        <v>1610.52570945616</v>
      </c>
      <c r="J682" s="2">
        <v>956.13353693389195</v>
      </c>
      <c r="K682" s="2">
        <v>6231.2499438303203</v>
      </c>
      <c r="L682" s="2">
        <v>3636.0698218365201</v>
      </c>
      <c r="M682" s="2">
        <v>7084.2189796940902</v>
      </c>
      <c r="N682" s="3">
        <f t="shared" si="30"/>
        <v>51732.060594866183</v>
      </c>
      <c r="O682" s="2">
        <v>1.8985159528628299</v>
      </c>
      <c r="P682" s="2">
        <v>7.7952277166260897</v>
      </c>
      <c r="Q682" s="2">
        <v>4.7564908435921698</v>
      </c>
      <c r="R682" s="2">
        <v>1.24038569481427</v>
      </c>
      <c r="S682" s="2">
        <v>9.2860818857187795</v>
      </c>
      <c r="T682" s="2">
        <v>3.7778391640231499</v>
      </c>
      <c r="U682" s="2">
        <v>8.5399021081354007</v>
      </c>
      <c r="V682" s="2">
        <v>2.44237917544906</v>
      </c>
      <c r="W682" s="2">
        <v>1.8435283516625001</v>
      </c>
      <c r="X682" s="2">
        <v>6.9310226107763899</v>
      </c>
      <c r="Y682" s="2">
        <v>4.7059590164456599</v>
      </c>
      <c r="Z682" s="2">
        <v>7.7788773093715999</v>
      </c>
      <c r="AA682" s="3">
        <f t="shared" si="31"/>
        <v>60.996209829477898</v>
      </c>
      <c r="AB682" t="s">
        <v>45</v>
      </c>
      <c r="AC682">
        <v>22.97</v>
      </c>
      <c r="AD682">
        <v>104.54</v>
      </c>
      <c r="AE682">
        <v>46.21</v>
      </c>
      <c r="AF682">
        <v>85.06</v>
      </c>
      <c r="AG682">
        <v>60.83</v>
      </c>
      <c r="AH682">
        <v>17.8</v>
      </c>
      <c r="AI682">
        <v>56.7</v>
      </c>
      <c r="AJ682">
        <v>26.25</v>
      </c>
      <c r="AK682">
        <v>19.66</v>
      </c>
      <c r="AL682">
        <v>72.66</v>
      </c>
      <c r="AM682">
        <v>46.61</v>
      </c>
      <c r="AN682">
        <v>81.239999999999995</v>
      </c>
      <c r="AO682" s="1">
        <f t="shared" si="32"/>
        <v>640.53</v>
      </c>
    </row>
    <row r="683" spans="1:41" x14ac:dyDescent="0.25">
      <c r="A683" t="s">
        <v>726</v>
      </c>
      <c r="B683" s="2">
        <v>1280.23165884532</v>
      </c>
      <c r="C683" s="2">
        <v>944.81073236804002</v>
      </c>
      <c r="D683" s="2">
        <v>1544.80274087361</v>
      </c>
      <c r="E683" s="2">
        <v>3331.8427318812401</v>
      </c>
      <c r="F683" s="2">
        <v>12022.5842464911</v>
      </c>
      <c r="G683" s="2">
        <v>851.31295813632403</v>
      </c>
      <c r="H683" s="2">
        <v>7523.6809791352398</v>
      </c>
      <c r="I683" s="2">
        <v>248.941684504607</v>
      </c>
      <c r="J683" s="2">
        <v>9890.5365992427796</v>
      </c>
      <c r="K683" s="2">
        <v>1807.2290093341001</v>
      </c>
      <c r="L683" s="2">
        <v>2027.38632178276</v>
      </c>
      <c r="M683" s="2">
        <v>1253.29362443778</v>
      </c>
      <c r="N683" s="3">
        <f t="shared" si="30"/>
        <v>42726.653287032896</v>
      </c>
      <c r="O683" s="2">
        <v>13.8298248611679</v>
      </c>
      <c r="P683" s="2">
        <v>2.36593104703493</v>
      </c>
      <c r="Q683" s="2">
        <v>0</v>
      </c>
      <c r="R683" s="2">
        <v>6.9232569245201203</v>
      </c>
      <c r="S683" s="2">
        <v>2.9504250740487299</v>
      </c>
      <c r="T683" s="2">
        <v>6.7327478706375801E-2</v>
      </c>
      <c r="U683" s="2">
        <v>0.27020326344905599</v>
      </c>
      <c r="V683" s="2">
        <v>1.8965991575280099</v>
      </c>
      <c r="W683" s="2">
        <v>0.46649369309091399</v>
      </c>
      <c r="X683" s="2">
        <v>2.2691488506177402</v>
      </c>
      <c r="Y683" s="2">
        <v>4.5994210752069202</v>
      </c>
      <c r="Z683" s="2">
        <v>0.57952277093419602</v>
      </c>
      <c r="AA683" s="3">
        <f t="shared" si="31"/>
        <v>36.218154196304894</v>
      </c>
      <c r="AB683" t="s">
        <v>45</v>
      </c>
      <c r="AC683">
        <v>23.5</v>
      </c>
      <c r="AD683">
        <v>19.59</v>
      </c>
      <c r="AE683">
        <v>25.44</v>
      </c>
      <c r="AF683">
        <v>43.66</v>
      </c>
      <c r="AG683">
        <v>130.37</v>
      </c>
      <c r="AH683">
        <v>18.559999999999999</v>
      </c>
      <c r="AI683">
        <v>85.28</v>
      </c>
      <c r="AJ683">
        <v>12.58</v>
      </c>
      <c r="AK683">
        <v>108.95</v>
      </c>
      <c r="AL683">
        <v>28.22</v>
      </c>
      <c r="AM683">
        <v>30.52</v>
      </c>
      <c r="AN683">
        <v>22.58</v>
      </c>
      <c r="AO683" s="1">
        <f t="shared" si="32"/>
        <v>549.25</v>
      </c>
    </row>
    <row r="684" spans="1:41" x14ac:dyDescent="0.25">
      <c r="A684" t="s">
        <v>727</v>
      </c>
      <c r="B684" s="2">
        <v>1270.32776994037</v>
      </c>
      <c r="C684" s="2">
        <v>1406.83299509884</v>
      </c>
      <c r="D684" s="2">
        <v>4158.8827999333898</v>
      </c>
      <c r="E684" s="2">
        <v>1216.54337479786</v>
      </c>
      <c r="F684" s="2">
        <v>4814.1346950755997</v>
      </c>
      <c r="G684" s="2">
        <v>14812.7469760453</v>
      </c>
      <c r="H684" s="2">
        <v>895.29353963289498</v>
      </c>
      <c r="I684" s="2">
        <v>1509.9547135953301</v>
      </c>
      <c r="J684" s="2">
        <v>1245.7851061461399</v>
      </c>
      <c r="K684" s="2">
        <v>2088.5422164185802</v>
      </c>
      <c r="L684" s="2">
        <v>3998.4347866871399</v>
      </c>
      <c r="M684" s="2">
        <v>653.52641702707797</v>
      </c>
      <c r="N684" s="3">
        <f t="shared" si="30"/>
        <v>38071.005390398517</v>
      </c>
      <c r="O684" s="2">
        <v>3.2662720844700499</v>
      </c>
      <c r="P684" s="2">
        <v>2.86919917068824</v>
      </c>
      <c r="Q684" s="2">
        <v>3.0778371427464299</v>
      </c>
      <c r="R684" s="2">
        <v>5.6568917007446702</v>
      </c>
      <c r="S684" s="2">
        <v>2.3240858449842401</v>
      </c>
      <c r="T684" s="2">
        <v>2.5169086792726501</v>
      </c>
      <c r="U684" s="2">
        <v>1.0014881701624601</v>
      </c>
      <c r="V684" s="2">
        <v>0.62363819188819403</v>
      </c>
      <c r="W684" s="2">
        <v>6.7947253699849304</v>
      </c>
      <c r="X684" s="2">
        <v>6.2593458373372002</v>
      </c>
      <c r="Y684" s="2">
        <v>5.0614448025952603</v>
      </c>
      <c r="Z684" s="2">
        <v>2.68471207111729</v>
      </c>
      <c r="AA684" s="3">
        <f t="shared" si="31"/>
        <v>42.136549065991616</v>
      </c>
      <c r="AB684" t="s">
        <v>45</v>
      </c>
      <c r="AC684">
        <v>22.9</v>
      </c>
      <c r="AD684">
        <v>24.21</v>
      </c>
      <c r="AE684">
        <v>51.78</v>
      </c>
      <c r="AF684">
        <v>22.46</v>
      </c>
      <c r="AG684">
        <v>58.29</v>
      </c>
      <c r="AH684">
        <v>158.27000000000001</v>
      </c>
      <c r="AI684">
        <v>19.05</v>
      </c>
      <c r="AJ684">
        <v>25.14</v>
      </c>
      <c r="AK684">
        <v>22.8</v>
      </c>
      <c r="AL684">
        <v>31.23</v>
      </c>
      <c r="AM684">
        <v>50.28</v>
      </c>
      <c r="AN684">
        <v>16.68</v>
      </c>
      <c r="AO684" s="1">
        <f t="shared" si="32"/>
        <v>503.09</v>
      </c>
    </row>
    <row r="685" spans="1:41" x14ac:dyDescent="0.25">
      <c r="A685" t="s">
        <v>728</v>
      </c>
      <c r="B685" s="2">
        <v>1255.1398198653501</v>
      </c>
      <c r="C685" s="2">
        <v>0</v>
      </c>
      <c r="D685" s="2">
        <v>1387.41902543268</v>
      </c>
      <c r="E685" s="2">
        <v>1165.33980811026</v>
      </c>
      <c r="F685" s="2">
        <v>1752.5012499095301</v>
      </c>
      <c r="G685" s="2">
        <v>7916.6783429974403</v>
      </c>
      <c r="H685" s="2">
        <v>1515.84450923689</v>
      </c>
      <c r="I685" s="2">
        <v>13062.383166506999</v>
      </c>
      <c r="J685" s="2">
        <v>5857.1168121328401</v>
      </c>
      <c r="K685" s="2">
        <v>7809.8604103080597</v>
      </c>
      <c r="L685" s="2">
        <v>9268.7795786861698</v>
      </c>
      <c r="M685" s="2">
        <v>4948.0269090115398</v>
      </c>
      <c r="N685" s="3">
        <f t="shared" si="30"/>
        <v>55939.089632197756</v>
      </c>
      <c r="O685" s="2">
        <v>7.9319934761040498</v>
      </c>
      <c r="P685" s="2">
        <v>1.95211064128891</v>
      </c>
      <c r="Q685" s="2">
        <v>3.4457709240115202</v>
      </c>
      <c r="R685" s="2">
        <v>1.3457384176076901</v>
      </c>
      <c r="S685" s="2">
        <v>0.45138264613970103</v>
      </c>
      <c r="T685" s="2">
        <v>0</v>
      </c>
      <c r="U685" s="2">
        <v>11.3745159854672</v>
      </c>
      <c r="V685" s="2">
        <v>0</v>
      </c>
      <c r="W685" s="2">
        <v>2.4250553477769601</v>
      </c>
      <c r="X685" s="2">
        <v>0.43839167638427301</v>
      </c>
      <c r="Y685" s="2">
        <v>11.7186725518239</v>
      </c>
      <c r="Z685" s="2">
        <v>2.0005150568067398</v>
      </c>
      <c r="AA685" s="3">
        <f t="shared" si="31"/>
        <v>43.084146723410946</v>
      </c>
      <c r="AB685" t="s">
        <v>45</v>
      </c>
      <c r="AC685">
        <v>22.95</v>
      </c>
      <c r="AD685">
        <v>10.09</v>
      </c>
      <c r="AE685">
        <v>24.07</v>
      </c>
      <c r="AF685">
        <v>21.75</v>
      </c>
      <c r="AG685">
        <v>27.57</v>
      </c>
      <c r="AH685">
        <v>89.16</v>
      </c>
      <c r="AI685">
        <v>25.75</v>
      </c>
      <c r="AJ685">
        <v>140.62</v>
      </c>
      <c r="AK685">
        <v>68.72</v>
      </c>
      <c r="AL685">
        <v>88.14</v>
      </c>
      <c r="AM685">
        <v>103.28</v>
      </c>
      <c r="AN685">
        <v>59.63</v>
      </c>
      <c r="AO685" s="1">
        <f t="shared" si="32"/>
        <v>681.73</v>
      </c>
    </row>
    <row r="686" spans="1:41" x14ac:dyDescent="0.25">
      <c r="A686" t="s">
        <v>729</v>
      </c>
      <c r="B686" s="2">
        <v>1247.1498220072001</v>
      </c>
      <c r="C686" s="2">
        <v>1384.3721934421101</v>
      </c>
      <c r="D686" s="2">
        <v>1526.5700401685999</v>
      </c>
      <c r="E686" s="2">
        <v>4861.2389513765802</v>
      </c>
      <c r="F686" s="2">
        <v>12070.192021217899</v>
      </c>
      <c r="G686" s="2">
        <v>6554.2535578820398</v>
      </c>
      <c r="H686" s="2">
        <v>573.86962648386304</v>
      </c>
      <c r="I686" s="2">
        <v>665.49153239734801</v>
      </c>
      <c r="J686" s="2">
        <v>108.318410263907</v>
      </c>
      <c r="K686" s="2">
        <v>651.404196975736</v>
      </c>
      <c r="L686" s="2">
        <v>0</v>
      </c>
      <c r="M686" s="2">
        <v>1086.3987112697901</v>
      </c>
      <c r="N686" s="3">
        <f t="shared" si="30"/>
        <v>30729.259063485068</v>
      </c>
      <c r="O686" s="2">
        <v>4.1185836381751297</v>
      </c>
      <c r="P686" s="2">
        <v>2.0309026946114099</v>
      </c>
      <c r="Q686" s="2">
        <v>0.19198764685610001</v>
      </c>
      <c r="R686" s="2">
        <v>5.1794032822678897</v>
      </c>
      <c r="S686" s="2">
        <v>4.1165724814046003</v>
      </c>
      <c r="T686" s="2">
        <v>2.5373715447258598</v>
      </c>
      <c r="U686" s="2">
        <v>4.3813291243837504</v>
      </c>
      <c r="V686" s="2">
        <v>3.1222524980897099</v>
      </c>
      <c r="W686" s="2">
        <v>0</v>
      </c>
      <c r="X686" s="2">
        <v>0</v>
      </c>
      <c r="Y686" s="2">
        <v>0.81897276640767402</v>
      </c>
      <c r="Z686" s="2">
        <v>0</v>
      </c>
      <c r="AA686" s="3">
        <f t="shared" si="31"/>
        <v>26.497375676922129</v>
      </c>
      <c r="AB686" t="s">
        <v>63</v>
      </c>
      <c r="AC686">
        <v>25.41</v>
      </c>
      <c r="AD686">
        <v>27.97</v>
      </c>
      <c r="AE686">
        <v>30.63</v>
      </c>
      <c r="AF686">
        <v>97.78</v>
      </c>
      <c r="AG686">
        <v>241.87</v>
      </c>
      <c r="AH686">
        <v>131.37</v>
      </c>
      <c r="AI686">
        <v>11.93</v>
      </c>
      <c r="AJ686">
        <v>13.68</v>
      </c>
      <c r="AK686">
        <v>2.1800000000000002</v>
      </c>
      <c r="AL686">
        <v>13.04</v>
      </c>
      <c r="AM686">
        <v>0.09</v>
      </c>
      <c r="AN686">
        <v>21.74</v>
      </c>
      <c r="AO686" s="1">
        <f t="shared" si="32"/>
        <v>617.68999999999983</v>
      </c>
    </row>
    <row r="687" spans="1:41" x14ac:dyDescent="0.25">
      <c r="A687" t="s">
        <v>730</v>
      </c>
      <c r="B687" s="2">
        <v>1241.7255051259599</v>
      </c>
      <c r="C687" s="2">
        <v>327.62965342093599</v>
      </c>
      <c r="D687" s="2">
        <v>1085.16939550337</v>
      </c>
      <c r="E687" s="2">
        <v>908.83999517935194</v>
      </c>
      <c r="F687" s="2">
        <v>2523.9134215885701</v>
      </c>
      <c r="G687" s="2">
        <v>7999.5836207209204</v>
      </c>
      <c r="H687" s="2">
        <v>7373.8595312440302</v>
      </c>
      <c r="I687" s="2">
        <v>4071.09376354404</v>
      </c>
      <c r="J687" s="2">
        <v>968.50083851018996</v>
      </c>
      <c r="K687" s="2">
        <v>639.23059435191601</v>
      </c>
      <c r="L687" s="2">
        <v>3670.0418514195999</v>
      </c>
      <c r="M687" s="2">
        <v>1262.90775633519</v>
      </c>
      <c r="N687" s="3">
        <f t="shared" si="30"/>
        <v>32072.495926944073</v>
      </c>
      <c r="O687" s="2">
        <v>6.5465880192396604</v>
      </c>
      <c r="P687" s="2">
        <v>0</v>
      </c>
      <c r="Q687" s="2">
        <v>2.6877513085670199</v>
      </c>
      <c r="R687" s="2">
        <v>5.9397688376497104</v>
      </c>
      <c r="S687" s="2">
        <v>6.7817872253489604</v>
      </c>
      <c r="T687" s="2">
        <v>0.70089204036119002</v>
      </c>
      <c r="U687" s="2">
        <v>3.4667554431942702</v>
      </c>
      <c r="V687" s="2">
        <v>1.6639600927494</v>
      </c>
      <c r="W687" s="2">
        <v>12.1243828556244</v>
      </c>
      <c r="X687" s="2">
        <v>0.49007874065004497</v>
      </c>
      <c r="Y687" s="2">
        <v>12.328663325027399</v>
      </c>
      <c r="Z687" s="2">
        <v>5.9125894835377499</v>
      </c>
      <c r="AA687" s="3">
        <f t="shared" si="31"/>
        <v>58.64321737194981</v>
      </c>
      <c r="AB687" t="s">
        <v>63</v>
      </c>
      <c r="AC687">
        <v>25.47</v>
      </c>
      <c r="AD687">
        <v>6.56</v>
      </c>
      <c r="AE687">
        <v>21.99</v>
      </c>
      <c r="AF687">
        <v>18.72</v>
      </c>
      <c r="AG687">
        <v>51.11</v>
      </c>
      <c r="AH687">
        <v>160.09</v>
      </c>
      <c r="AI687">
        <v>147.84</v>
      </c>
      <c r="AJ687">
        <v>81.62</v>
      </c>
      <c r="AK687">
        <v>20.55</v>
      </c>
      <c r="AL687">
        <v>12.89</v>
      </c>
      <c r="AM687">
        <v>74.59</v>
      </c>
      <c r="AN687">
        <v>25.8</v>
      </c>
      <c r="AO687" s="1">
        <f t="shared" si="32"/>
        <v>647.2299999999999</v>
      </c>
    </row>
    <row r="688" spans="1:41" x14ac:dyDescent="0.25">
      <c r="A688" t="s">
        <v>731</v>
      </c>
      <c r="B688" s="2">
        <v>1232.7621919569799</v>
      </c>
      <c r="C688" s="2">
        <v>2540.2569100483001</v>
      </c>
      <c r="D688" s="2">
        <v>5089.1809355797704</v>
      </c>
      <c r="E688" s="2">
        <v>1381.3298120706399</v>
      </c>
      <c r="F688" s="2">
        <v>2720.1808457666898</v>
      </c>
      <c r="G688" s="2">
        <v>1878.3734786699299</v>
      </c>
      <c r="H688" s="2">
        <v>1260.9271999139801</v>
      </c>
      <c r="I688" s="2">
        <v>5529.8003441255796</v>
      </c>
      <c r="J688" s="2">
        <v>2538.4140347970601</v>
      </c>
      <c r="K688" s="2">
        <v>2634.55279000874</v>
      </c>
      <c r="L688" s="2">
        <v>4121.4092079769198</v>
      </c>
      <c r="M688" s="2">
        <v>5125.1738175991904</v>
      </c>
      <c r="N688" s="3">
        <f t="shared" si="30"/>
        <v>36052.361568513785</v>
      </c>
      <c r="O688" s="2">
        <v>0</v>
      </c>
      <c r="P688" s="2">
        <v>1.94597237615871</v>
      </c>
      <c r="Q688" s="2">
        <v>0</v>
      </c>
      <c r="R688" s="2">
        <v>0</v>
      </c>
      <c r="S688" s="2">
        <v>8.5453717402854199</v>
      </c>
      <c r="T688" s="2">
        <v>1.6856803491565699</v>
      </c>
      <c r="U688" s="2">
        <v>0</v>
      </c>
      <c r="V688" s="2">
        <v>4.2587124898876096</v>
      </c>
      <c r="W688" s="2">
        <v>5.8488182606282004</v>
      </c>
      <c r="X688" s="2">
        <v>1.30305746442153</v>
      </c>
      <c r="Y688" s="2">
        <v>2.5531075093866802</v>
      </c>
      <c r="Z688" s="2">
        <v>0</v>
      </c>
      <c r="AA688" s="3">
        <f t="shared" si="31"/>
        <v>26.140720189924721</v>
      </c>
      <c r="AB688" t="s">
        <v>45</v>
      </c>
      <c r="AC688">
        <v>22.32</v>
      </c>
      <c r="AD688">
        <v>35.5</v>
      </c>
      <c r="AE688">
        <v>60.89</v>
      </c>
      <c r="AF688">
        <v>23.81</v>
      </c>
      <c r="AG688">
        <v>37.65</v>
      </c>
      <c r="AH688">
        <v>28.88</v>
      </c>
      <c r="AI688">
        <v>22.6</v>
      </c>
      <c r="AJ688">
        <v>65.540000000000006</v>
      </c>
      <c r="AK688">
        <v>35.68</v>
      </c>
      <c r="AL688">
        <v>36.44</v>
      </c>
      <c r="AM688">
        <v>51.36</v>
      </c>
      <c r="AN688">
        <v>61.25</v>
      </c>
      <c r="AO688" s="1">
        <f t="shared" si="32"/>
        <v>481.92</v>
      </c>
    </row>
    <row r="689" spans="1:41" x14ac:dyDescent="0.25">
      <c r="A689" t="s">
        <v>732</v>
      </c>
      <c r="B689" s="2">
        <v>1228.9886187386001</v>
      </c>
      <c r="C689" s="2">
        <v>1099.0776420577299</v>
      </c>
      <c r="D689" s="2">
        <v>3730.5606408793701</v>
      </c>
      <c r="E689" s="2">
        <v>4133.4680492042398</v>
      </c>
      <c r="F689" s="2">
        <v>2152.1356232444</v>
      </c>
      <c r="G689" s="2">
        <v>4808.0411329782901</v>
      </c>
      <c r="H689" s="2">
        <v>840.92160319399602</v>
      </c>
      <c r="I689" s="2">
        <v>4697.6977523112701</v>
      </c>
      <c r="J689" s="2">
        <v>4836.38424609511</v>
      </c>
      <c r="K689" s="2">
        <v>12516.059560997601</v>
      </c>
      <c r="L689" s="2">
        <v>278.53715897533601</v>
      </c>
      <c r="M689" s="2">
        <v>0</v>
      </c>
      <c r="N689" s="3">
        <f t="shared" si="30"/>
        <v>40321.872028675934</v>
      </c>
      <c r="O689" s="2">
        <v>0.86761334991337102</v>
      </c>
      <c r="P689" s="2">
        <v>2.8141337680851901</v>
      </c>
      <c r="Q689" s="2">
        <v>2.6906133855178198</v>
      </c>
      <c r="R689" s="2">
        <v>3.5617042351684098</v>
      </c>
      <c r="S689" s="2">
        <v>6.0040658580921198</v>
      </c>
      <c r="T689" s="2">
        <v>7.7494292636947302</v>
      </c>
      <c r="U689" s="2">
        <v>5.1581809178002098</v>
      </c>
      <c r="V689" s="2">
        <v>0</v>
      </c>
      <c r="W689" s="2">
        <v>2.08124396324932</v>
      </c>
      <c r="X689" s="2">
        <v>4.1514714359100102</v>
      </c>
      <c r="Y689" s="2">
        <v>9.6665086034057097</v>
      </c>
      <c r="Z689" s="2">
        <v>6.78654192988808</v>
      </c>
      <c r="AA689" s="3">
        <f t="shared" si="31"/>
        <v>51.531506710724969</v>
      </c>
      <c r="AB689" t="s">
        <v>45</v>
      </c>
      <c r="AC689">
        <v>22.33</v>
      </c>
      <c r="AD689">
        <v>21.14</v>
      </c>
      <c r="AE689">
        <v>47.45</v>
      </c>
      <c r="AF689">
        <v>51.53</v>
      </c>
      <c r="AG689">
        <v>31.87</v>
      </c>
      <c r="AH689">
        <v>58.48</v>
      </c>
      <c r="AI689">
        <v>18.7</v>
      </c>
      <c r="AJ689">
        <v>56.97</v>
      </c>
      <c r="AK689">
        <v>58.51</v>
      </c>
      <c r="AL689">
        <v>135.41</v>
      </c>
      <c r="AM689">
        <v>13.28</v>
      </c>
      <c r="AN689">
        <v>10.34</v>
      </c>
      <c r="AO689" s="1">
        <f t="shared" si="32"/>
        <v>526.01</v>
      </c>
    </row>
    <row r="690" spans="1:41" x14ac:dyDescent="0.25">
      <c r="A690" t="s">
        <v>733</v>
      </c>
      <c r="B690" s="2">
        <v>1224.43975181263</v>
      </c>
      <c r="C690" s="2">
        <v>6979.8537006944098</v>
      </c>
      <c r="D690" s="2">
        <v>846.456983625769</v>
      </c>
      <c r="E690" s="2">
        <v>794.04737466508595</v>
      </c>
      <c r="F690" s="2">
        <v>11212.539304767901</v>
      </c>
      <c r="G690" s="2">
        <v>4517.3953172175898</v>
      </c>
      <c r="H690" s="2">
        <v>5456.7197395019402</v>
      </c>
      <c r="I690" s="2">
        <v>5027.8186523017703</v>
      </c>
      <c r="J690" s="2">
        <v>0</v>
      </c>
      <c r="K690" s="2">
        <v>1133.83126883554</v>
      </c>
      <c r="L690" s="2">
        <v>2170.9003355761902</v>
      </c>
      <c r="M690" s="2">
        <v>1096.5072685663199</v>
      </c>
      <c r="N690" s="3">
        <f t="shared" si="30"/>
        <v>40460.509697565147</v>
      </c>
      <c r="O690" s="2">
        <v>2.73323646376691</v>
      </c>
      <c r="P690" s="2">
        <v>0.1192167782482</v>
      </c>
      <c r="Q690" s="2">
        <v>6.7739652717427798</v>
      </c>
      <c r="R690" s="2">
        <v>4.0273702017846897</v>
      </c>
      <c r="S690" s="2">
        <v>13.9361689773467</v>
      </c>
      <c r="T690" s="2">
        <v>0.27893047468615001</v>
      </c>
      <c r="U690" s="2">
        <v>0</v>
      </c>
      <c r="V690" s="2">
        <v>2.1608149313484599</v>
      </c>
      <c r="W690" s="2">
        <v>0</v>
      </c>
      <c r="X690" s="2">
        <v>0</v>
      </c>
      <c r="Y690" s="2">
        <v>9.9752689432751005</v>
      </c>
      <c r="Z690" s="2">
        <v>1.10477779838525</v>
      </c>
      <c r="AA690" s="3">
        <f t="shared" si="31"/>
        <v>41.109749840584236</v>
      </c>
      <c r="AB690" t="s">
        <v>45</v>
      </c>
      <c r="AC690">
        <v>22.39</v>
      </c>
      <c r="AD690">
        <v>79.84</v>
      </c>
      <c r="AE690">
        <v>18.809999999999999</v>
      </c>
      <c r="AF690">
        <v>18.190000000000001</v>
      </c>
      <c r="AG690">
        <v>122.82</v>
      </c>
      <c r="AH690">
        <v>55.22</v>
      </c>
      <c r="AI690">
        <v>64.56</v>
      </c>
      <c r="AJ690">
        <v>60.42</v>
      </c>
      <c r="AK690">
        <v>9.99</v>
      </c>
      <c r="AL690">
        <v>21.33</v>
      </c>
      <c r="AM690">
        <v>32.200000000000003</v>
      </c>
      <c r="AN690">
        <v>21.06</v>
      </c>
      <c r="AO690" s="1">
        <f t="shared" si="32"/>
        <v>526.82999999999993</v>
      </c>
    </row>
    <row r="691" spans="1:41" x14ac:dyDescent="0.25">
      <c r="A691" t="s">
        <v>734</v>
      </c>
      <c r="B691" s="2">
        <v>1221.50718372656</v>
      </c>
      <c r="C691" s="2">
        <v>7811.9878851312196</v>
      </c>
      <c r="D691" s="2">
        <v>7714.6278456849705</v>
      </c>
      <c r="E691" s="2">
        <v>4764.8935504434703</v>
      </c>
      <c r="F691" s="2">
        <v>9075.5908138816703</v>
      </c>
      <c r="G691" s="2">
        <v>3027.4173090884501</v>
      </c>
      <c r="H691" s="2">
        <v>2242.3424390656301</v>
      </c>
      <c r="I691" s="2">
        <v>12055.636715344999</v>
      </c>
      <c r="J691" s="2">
        <v>2920.6293285857701</v>
      </c>
      <c r="K691" s="2">
        <v>2802.0972052133102</v>
      </c>
      <c r="L691" s="2">
        <v>863.31651459396301</v>
      </c>
      <c r="M691" s="2">
        <v>4583.7661184438202</v>
      </c>
      <c r="N691" s="3">
        <f t="shared" si="30"/>
        <v>59083.812909203822</v>
      </c>
      <c r="O691" s="2">
        <v>3.6375086655578999</v>
      </c>
      <c r="P691" s="2">
        <v>0.83865071824348103</v>
      </c>
      <c r="Q691" s="2">
        <v>12.947635992294799</v>
      </c>
      <c r="R691" s="2">
        <v>2.1836106583364301</v>
      </c>
      <c r="S691" s="2">
        <v>14.1060432665527</v>
      </c>
      <c r="T691" s="2">
        <v>0.89434420117676305</v>
      </c>
      <c r="U691" s="2">
        <v>6.6345575338709004</v>
      </c>
      <c r="V691" s="2">
        <v>3.1130004585372402</v>
      </c>
      <c r="W691" s="2">
        <v>1.9312952800334</v>
      </c>
      <c r="X691" s="2">
        <v>6.32989865636692</v>
      </c>
      <c r="Y691" s="2">
        <v>0.37456269615508903</v>
      </c>
      <c r="Z691" s="2">
        <v>5.1504527567278302</v>
      </c>
      <c r="AA691" s="3">
        <f t="shared" si="31"/>
        <v>58.141560883853458</v>
      </c>
      <c r="AB691" t="s">
        <v>45</v>
      </c>
      <c r="AC691">
        <v>22.41</v>
      </c>
      <c r="AD691">
        <v>88.16</v>
      </c>
      <c r="AE691">
        <v>87.79</v>
      </c>
      <c r="AF691">
        <v>57.79</v>
      </c>
      <c r="AG691">
        <v>101.5</v>
      </c>
      <c r="AH691">
        <v>40.32</v>
      </c>
      <c r="AI691">
        <v>32.770000000000003</v>
      </c>
      <c r="AJ691">
        <v>130.75</v>
      </c>
      <c r="AK691">
        <v>39.299999999999997</v>
      </c>
      <c r="AL691">
        <v>38.369999999999997</v>
      </c>
      <c r="AM691">
        <v>18.68</v>
      </c>
      <c r="AN691">
        <v>56.13</v>
      </c>
      <c r="AO691" s="1">
        <f t="shared" si="32"/>
        <v>713.96999999999991</v>
      </c>
    </row>
    <row r="692" spans="1:41" x14ac:dyDescent="0.25">
      <c r="A692" t="s">
        <v>735</v>
      </c>
      <c r="B692" s="2">
        <v>1212.2699981185499</v>
      </c>
      <c r="C692" s="2">
        <v>1845.7302360584299</v>
      </c>
      <c r="D692" s="2">
        <v>2392.9119959087802</v>
      </c>
      <c r="E692" s="2">
        <v>3065.4806062740199</v>
      </c>
      <c r="F692" s="2">
        <v>2796.1428159952602</v>
      </c>
      <c r="G692" s="2">
        <v>6910.9855800936502</v>
      </c>
      <c r="H692" s="2">
        <v>3135.8151606132001</v>
      </c>
      <c r="I692" s="2">
        <v>429.08217292830898</v>
      </c>
      <c r="J692" s="2">
        <v>1725.80423411844</v>
      </c>
      <c r="K692" s="2">
        <v>2795.3961470233498</v>
      </c>
      <c r="L692" s="2">
        <v>4688.9357748390303</v>
      </c>
      <c r="M692" s="2">
        <v>527.18255927689904</v>
      </c>
      <c r="N692" s="3">
        <f t="shared" si="30"/>
        <v>31525.737281247919</v>
      </c>
      <c r="O692" s="2">
        <v>1.6771665758132399</v>
      </c>
      <c r="P692" s="2">
        <v>4.2748728481798404</v>
      </c>
      <c r="Q692" s="2">
        <v>3.4659062239119902</v>
      </c>
      <c r="R692" s="2">
        <v>3.8070942603697402</v>
      </c>
      <c r="S692" s="2">
        <v>4.8504050074445804</v>
      </c>
      <c r="T692" s="2">
        <v>7.77180537361094</v>
      </c>
      <c r="U692" s="2">
        <v>2.7531421668798801</v>
      </c>
      <c r="V692" s="2">
        <v>3.3241343228361999</v>
      </c>
      <c r="W692" s="2">
        <v>8.5941474152505002</v>
      </c>
      <c r="X692" s="2">
        <v>17.1931871180733</v>
      </c>
      <c r="Y692" s="2">
        <v>7.7015710477369597</v>
      </c>
      <c r="Z692" s="2">
        <v>2.1093924091311802</v>
      </c>
      <c r="AA692" s="3">
        <f t="shared" si="31"/>
        <v>67.522824769238341</v>
      </c>
      <c r="AB692" t="s">
        <v>63</v>
      </c>
      <c r="AC692">
        <v>24.44</v>
      </c>
      <c r="AD692">
        <v>37.369999999999997</v>
      </c>
      <c r="AE692">
        <v>48.22</v>
      </c>
      <c r="AF692">
        <v>61.68</v>
      </c>
      <c r="AG692">
        <v>56.39</v>
      </c>
      <c r="AH692">
        <v>138.94</v>
      </c>
      <c r="AI692">
        <v>62.99</v>
      </c>
      <c r="AJ692">
        <v>8.9600000000000009</v>
      </c>
      <c r="AK692">
        <v>35.33</v>
      </c>
      <c r="AL692">
        <v>57.54</v>
      </c>
      <c r="AM692">
        <v>94.5</v>
      </c>
      <c r="AN692">
        <v>10.83</v>
      </c>
      <c r="AO692" s="1">
        <f t="shared" si="32"/>
        <v>637.19000000000005</v>
      </c>
    </row>
    <row r="693" spans="1:41" x14ac:dyDescent="0.25">
      <c r="A693" t="s">
        <v>736</v>
      </c>
      <c r="B693" s="2">
        <v>1210.8839465153201</v>
      </c>
      <c r="C693" s="2">
        <v>11924.346647620199</v>
      </c>
      <c r="D693" s="2">
        <v>2258.0090382019298</v>
      </c>
      <c r="E693" s="2">
        <v>6288.9824212679796</v>
      </c>
      <c r="F693" s="2">
        <v>1385.4534263702601</v>
      </c>
      <c r="G693" s="2">
        <v>3616.8327556321901</v>
      </c>
      <c r="H693" s="2">
        <v>99.586398688971997</v>
      </c>
      <c r="I693" s="2">
        <v>1548.82639540076</v>
      </c>
      <c r="J693" s="2">
        <v>2056.3267487215398</v>
      </c>
      <c r="K693" s="2">
        <v>4121.2895148932103</v>
      </c>
      <c r="L693" s="2">
        <v>0</v>
      </c>
      <c r="M693" s="2">
        <v>4331.7710992358698</v>
      </c>
      <c r="N693" s="3">
        <f t="shared" si="30"/>
        <v>38842.308392548228</v>
      </c>
      <c r="O693" s="2">
        <v>0.61910306254386005</v>
      </c>
      <c r="P693" s="2">
        <v>6.9650947844617503</v>
      </c>
      <c r="Q693" s="2">
        <v>5.6774282560600096</v>
      </c>
      <c r="R693" s="2">
        <v>33.200687610714802</v>
      </c>
      <c r="S693" s="2">
        <v>21.291817562775201</v>
      </c>
      <c r="T693" s="2">
        <v>2.62062490881409</v>
      </c>
      <c r="U693" s="2">
        <v>4.6925720346317696</v>
      </c>
      <c r="V693" s="2">
        <v>11.8519412974861</v>
      </c>
      <c r="W693" s="2">
        <v>8.1183052412616306</v>
      </c>
      <c r="X693" s="2">
        <v>1.87372929032139</v>
      </c>
      <c r="Y693" s="2">
        <v>1.57941136599467</v>
      </c>
      <c r="Z693" s="2">
        <v>0</v>
      </c>
      <c r="AA693" s="3">
        <f t="shared" si="31"/>
        <v>98.490715415065267</v>
      </c>
      <c r="AB693" t="s">
        <v>45</v>
      </c>
      <c r="AC693">
        <v>22.15</v>
      </c>
      <c r="AD693">
        <v>129.59</v>
      </c>
      <c r="AE693">
        <v>32.880000000000003</v>
      </c>
      <c r="AF693">
        <v>74.58</v>
      </c>
      <c r="AG693">
        <v>24.95</v>
      </c>
      <c r="AH693">
        <v>46.31</v>
      </c>
      <c r="AI693">
        <v>11.24</v>
      </c>
      <c r="AJ693">
        <v>26.08</v>
      </c>
      <c r="AK693">
        <v>31.01</v>
      </c>
      <c r="AL693">
        <v>51.31</v>
      </c>
      <c r="AM693">
        <v>10.09</v>
      </c>
      <c r="AN693">
        <v>53.31</v>
      </c>
      <c r="AO693" s="1">
        <f t="shared" si="32"/>
        <v>513.5</v>
      </c>
    </row>
    <row r="694" spans="1:41" x14ac:dyDescent="0.25">
      <c r="A694" t="s">
        <v>737</v>
      </c>
      <c r="B694" s="2">
        <v>1207.6634287995601</v>
      </c>
      <c r="C694" s="2">
        <v>3382.3496998072101</v>
      </c>
      <c r="D694" s="2">
        <v>8179.5890128506198</v>
      </c>
      <c r="E694" s="2">
        <v>11560.856890032401</v>
      </c>
      <c r="F694" s="2">
        <v>973.37609941451501</v>
      </c>
      <c r="G694" s="2">
        <v>4721.9860023781503</v>
      </c>
      <c r="H694" s="2">
        <v>8860.8543549293499</v>
      </c>
      <c r="I694" s="2">
        <v>1291.6960730906001</v>
      </c>
      <c r="J694" s="2">
        <v>1775.2118567052701</v>
      </c>
      <c r="K694" s="2">
        <v>8858.4761701121406</v>
      </c>
      <c r="L694" s="2">
        <v>740.19235061216705</v>
      </c>
      <c r="M694" s="2">
        <v>8979.0005829021102</v>
      </c>
      <c r="N694" s="3">
        <f t="shared" si="30"/>
        <v>60531.252521634095</v>
      </c>
      <c r="O694" s="2">
        <v>0</v>
      </c>
      <c r="P694" s="2">
        <v>0</v>
      </c>
      <c r="Q694" s="2">
        <v>1.0863261587756701</v>
      </c>
      <c r="R694" s="2">
        <v>3.9259526175458301</v>
      </c>
      <c r="S694" s="2">
        <v>4.7962267706415096</v>
      </c>
      <c r="T694" s="2">
        <v>1.5020472251372401</v>
      </c>
      <c r="U694" s="2">
        <v>1.98236805976271</v>
      </c>
      <c r="V694" s="2">
        <v>3.17342325307443</v>
      </c>
      <c r="W694" s="2">
        <v>0.47425224562135299</v>
      </c>
      <c r="X694" s="2">
        <v>2.1942283397100701</v>
      </c>
      <c r="Y694" s="2">
        <v>2.10229408511898</v>
      </c>
      <c r="Z694" s="2">
        <v>1.5965013803002199</v>
      </c>
      <c r="AA694" s="3">
        <f t="shared" si="31"/>
        <v>22.833620135688012</v>
      </c>
      <c r="AB694" t="s">
        <v>45</v>
      </c>
      <c r="AC694">
        <v>22.07</v>
      </c>
      <c r="AD694">
        <v>43.82</v>
      </c>
      <c r="AE694">
        <v>91.89</v>
      </c>
      <c r="AF694">
        <v>125.8</v>
      </c>
      <c r="AG694">
        <v>19.98</v>
      </c>
      <c r="AH694">
        <v>57.31</v>
      </c>
      <c r="AI694">
        <v>98.7</v>
      </c>
      <c r="AJ694">
        <v>23.11</v>
      </c>
      <c r="AK694">
        <v>27.8</v>
      </c>
      <c r="AL694">
        <v>98.73</v>
      </c>
      <c r="AM694">
        <v>17.55</v>
      </c>
      <c r="AN694">
        <v>99.89</v>
      </c>
      <c r="AO694" s="1">
        <f t="shared" si="32"/>
        <v>726.65</v>
      </c>
    </row>
    <row r="695" spans="1:41" x14ac:dyDescent="0.25">
      <c r="A695" t="s">
        <v>738</v>
      </c>
      <c r="B695" s="2">
        <v>1202.17724081503</v>
      </c>
      <c r="C695" s="2">
        <v>1085.73928822113</v>
      </c>
      <c r="D695" s="2">
        <v>0</v>
      </c>
      <c r="E695" s="2">
        <v>6571.7618607062104</v>
      </c>
      <c r="F695" s="2">
        <v>1603.93460814841</v>
      </c>
      <c r="G695" s="2">
        <v>0</v>
      </c>
      <c r="H695" s="2">
        <v>2631.51415042596</v>
      </c>
      <c r="I695" s="2">
        <v>357.54433299661503</v>
      </c>
      <c r="J695" s="2">
        <v>0</v>
      </c>
      <c r="K695" s="2">
        <v>0</v>
      </c>
      <c r="L695" s="2">
        <v>0</v>
      </c>
      <c r="M695" s="2">
        <v>5164.77929669894</v>
      </c>
      <c r="N695" s="3">
        <f t="shared" si="30"/>
        <v>18617.450778012295</v>
      </c>
      <c r="O695" s="2">
        <v>1.1845573951350601</v>
      </c>
      <c r="P695" s="2">
        <v>2.6843436086691201</v>
      </c>
      <c r="Q695" s="2">
        <v>0.155168199442585</v>
      </c>
      <c r="R695" s="2">
        <v>4.49649353849522</v>
      </c>
      <c r="S695" s="2">
        <v>4.4837614312231899</v>
      </c>
      <c r="T695" s="2">
        <v>2.09353637150127</v>
      </c>
      <c r="U695" s="2">
        <v>1.3822856082870401</v>
      </c>
      <c r="V695" s="2">
        <v>2.6481650978561802</v>
      </c>
      <c r="W695" s="2">
        <v>1.6838896460502999</v>
      </c>
      <c r="X695" s="2">
        <v>10.1432070970076</v>
      </c>
      <c r="Y695" s="2">
        <v>7.2674172728688102</v>
      </c>
      <c r="Z695" s="2">
        <v>3.6121117141653301</v>
      </c>
      <c r="AA695" s="3">
        <f t="shared" si="31"/>
        <v>41.834936980701706</v>
      </c>
      <c r="AB695" t="s">
        <v>63</v>
      </c>
      <c r="AC695">
        <v>24.24</v>
      </c>
      <c r="AD695">
        <v>21.99</v>
      </c>
      <c r="AE695">
        <v>0.09</v>
      </c>
      <c r="AF695">
        <v>131.88999999999999</v>
      </c>
      <c r="AG695">
        <v>32.53</v>
      </c>
      <c r="AH695">
        <v>0.27</v>
      </c>
      <c r="AI695">
        <v>52.82</v>
      </c>
      <c r="AJ695">
        <v>7.43</v>
      </c>
      <c r="AK695">
        <v>0.18</v>
      </c>
      <c r="AL695">
        <v>0.99</v>
      </c>
      <c r="AM695">
        <v>0.72</v>
      </c>
      <c r="AN695">
        <v>103.66</v>
      </c>
      <c r="AO695" s="1">
        <f t="shared" si="32"/>
        <v>376.81000000000006</v>
      </c>
    </row>
    <row r="696" spans="1:41" x14ac:dyDescent="0.25">
      <c r="A696" t="s">
        <v>739</v>
      </c>
      <c r="B696" s="2">
        <v>1198.8742550720799</v>
      </c>
      <c r="C696" s="2">
        <v>8487.4373450288695</v>
      </c>
      <c r="D696" s="2">
        <v>1524.86455470295</v>
      </c>
      <c r="E696" s="2">
        <v>0</v>
      </c>
      <c r="F696" s="2">
        <v>4454.4308968247196</v>
      </c>
      <c r="G696" s="2">
        <v>1119.92062690078</v>
      </c>
      <c r="H696" s="2">
        <v>1507.69063869919</v>
      </c>
      <c r="I696" s="2">
        <v>1009.5835381107</v>
      </c>
      <c r="J696" s="2">
        <v>3408.2049619150798</v>
      </c>
      <c r="K696" s="2">
        <v>17899.246265205598</v>
      </c>
      <c r="L696" s="2">
        <v>259.72208234492501</v>
      </c>
      <c r="M696" s="2">
        <v>2501.7084186499501</v>
      </c>
      <c r="N696" s="3">
        <f t="shared" si="30"/>
        <v>43371.68358345484</v>
      </c>
      <c r="O696" s="2">
        <v>3.6683072055738899</v>
      </c>
      <c r="P696" s="2">
        <v>0</v>
      </c>
      <c r="Q696" s="2">
        <v>3.0208819076953501</v>
      </c>
      <c r="R696" s="2">
        <v>0.56773679318647097</v>
      </c>
      <c r="S696" s="2">
        <v>6.5165124238914496</v>
      </c>
      <c r="T696" s="2">
        <v>0</v>
      </c>
      <c r="U696" s="2">
        <v>2.0120043151425802</v>
      </c>
      <c r="V696" s="2">
        <v>1.0764960771366701</v>
      </c>
      <c r="W696" s="2">
        <v>5.2177596471147796</v>
      </c>
      <c r="X696" s="2">
        <v>0.57304181885281003</v>
      </c>
      <c r="Y696" s="2">
        <v>2.9967988746638299</v>
      </c>
      <c r="Z696" s="2">
        <v>4.6115347582123398</v>
      </c>
      <c r="AA696" s="3">
        <f t="shared" si="31"/>
        <v>30.261073821470173</v>
      </c>
      <c r="AB696" t="s">
        <v>45</v>
      </c>
      <c r="AC696">
        <v>22.18</v>
      </c>
      <c r="AD696">
        <v>94.87</v>
      </c>
      <c r="AE696">
        <v>25.44</v>
      </c>
      <c r="AF696">
        <v>10.039999999999999</v>
      </c>
      <c r="AG696">
        <v>54.89</v>
      </c>
      <c r="AH696">
        <v>21.19</v>
      </c>
      <c r="AI696">
        <v>25.22</v>
      </c>
      <c r="AJ696">
        <v>20.190000000000001</v>
      </c>
      <c r="AK696">
        <v>44.38</v>
      </c>
      <c r="AL696">
        <v>189.04</v>
      </c>
      <c r="AM696">
        <v>12.74</v>
      </c>
      <c r="AN696">
        <v>35.26</v>
      </c>
      <c r="AO696" s="1">
        <f t="shared" si="32"/>
        <v>555.44000000000005</v>
      </c>
    </row>
    <row r="697" spans="1:41" x14ac:dyDescent="0.25">
      <c r="A697" t="s">
        <v>740</v>
      </c>
      <c r="B697" s="2">
        <v>1198.0869785935899</v>
      </c>
      <c r="C697" s="2">
        <v>1234.8931176795099</v>
      </c>
      <c r="D697" s="2">
        <v>893.78127960873201</v>
      </c>
      <c r="E697" s="2">
        <v>6779.7380166981302</v>
      </c>
      <c r="F697" s="2">
        <v>105.892506160376</v>
      </c>
      <c r="G697" s="2">
        <v>8425.2987091208106</v>
      </c>
      <c r="H697" s="2">
        <v>3753.16462864092</v>
      </c>
      <c r="I697" s="2">
        <v>8907.8504831550308</v>
      </c>
      <c r="J697" s="2">
        <v>3587.8167659905098</v>
      </c>
      <c r="K697" s="2">
        <v>4322.5621723304903</v>
      </c>
      <c r="L697" s="2">
        <v>4222.03768965979</v>
      </c>
      <c r="M697" s="2">
        <v>6972.3596002978102</v>
      </c>
      <c r="N697" s="3">
        <f t="shared" si="30"/>
        <v>50403.481947935703</v>
      </c>
      <c r="O697" s="2">
        <v>2.0564038951611501</v>
      </c>
      <c r="P697" s="2">
        <v>4.8343291969723801</v>
      </c>
      <c r="Q697" s="2">
        <v>3.3407463811759399</v>
      </c>
      <c r="R697" s="2">
        <v>3.80626449270245</v>
      </c>
      <c r="S697" s="2">
        <v>2.1001803047272301</v>
      </c>
      <c r="T697" s="2">
        <v>4.1032597571195302</v>
      </c>
      <c r="U697" s="2">
        <v>0</v>
      </c>
      <c r="V697" s="2">
        <v>3.65765978822408</v>
      </c>
      <c r="W697" s="2">
        <v>4.6274453716637298</v>
      </c>
      <c r="X697" s="2">
        <v>4.58802094223749</v>
      </c>
      <c r="Y697" s="2">
        <v>17.4021963942747</v>
      </c>
      <c r="Z697" s="2">
        <v>1.64659182387634</v>
      </c>
      <c r="AA697" s="3">
        <f t="shared" si="31"/>
        <v>52.163098348135016</v>
      </c>
      <c r="AB697" t="s">
        <v>63</v>
      </c>
      <c r="AC697">
        <v>24.25</v>
      </c>
      <c r="AD697">
        <v>25.15</v>
      </c>
      <c r="AE697">
        <v>18.239999999999998</v>
      </c>
      <c r="AF697">
        <v>135.96</v>
      </c>
      <c r="AG697">
        <v>2.39</v>
      </c>
      <c r="AH697">
        <v>168.97</v>
      </c>
      <c r="AI697">
        <v>75.08</v>
      </c>
      <c r="AJ697">
        <v>178.52</v>
      </c>
      <c r="AK697">
        <v>72.209999999999994</v>
      </c>
      <c r="AL697">
        <v>86.91</v>
      </c>
      <c r="AM697">
        <v>86.08</v>
      </c>
      <c r="AN697">
        <v>139.63999999999999</v>
      </c>
      <c r="AO697" s="1">
        <f t="shared" si="32"/>
        <v>1013.4000000000001</v>
      </c>
    </row>
    <row r="698" spans="1:41" x14ac:dyDescent="0.25">
      <c r="A698" t="s">
        <v>741</v>
      </c>
      <c r="B698" s="2">
        <v>1192.67185743561</v>
      </c>
      <c r="C698" s="2">
        <v>2222.5356761381199</v>
      </c>
      <c r="D698" s="2">
        <v>1659.90163666942</v>
      </c>
      <c r="E698" s="2">
        <v>3536.8576525170001</v>
      </c>
      <c r="F698" s="2">
        <v>7190.0808548035502</v>
      </c>
      <c r="G698" s="2">
        <v>1036.4555675157001</v>
      </c>
      <c r="H698" s="2">
        <v>1774.4660600120201</v>
      </c>
      <c r="I698" s="2">
        <v>2884.05059347615</v>
      </c>
      <c r="J698" s="2">
        <v>2740.07688419338</v>
      </c>
      <c r="K698" s="2">
        <v>1360.8607601506601</v>
      </c>
      <c r="L698" s="2">
        <v>4023.0140052951201</v>
      </c>
      <c r="M698" s="2">
        <v>360.89557778092097</v>
      </c>
      <c r="N698" s="3">
        <f t="shared" si="30"/>
        <v>29981.867125987646</v>
      </c>
      <c r="O698" s="2">
        <v>3.36653943631348</v>
      </c>
      <c r="P698" s="2">
        <v>1.5997795051750501</v>
      </c>
      <c r="Q698" s="2">
        <v>1.4905653308189</v>
      </c>
      <c r="R698" s="2">
        <v>2.9581081276588201</v>
      </c>
      <c r="S698" s="2">
        <v>7.0736791108140604</v>
      </c>
      <c r="T698" s="2">
        <v>8.2494375908879096</v>
      </c>
      <c r="U698" s="2">
        <v>1.9169152932875599</v>
      </c>
      <c r="V698" s="2">
        <v>4.1369389997040003</v>
      </c>
      <c r="W698" s="2">
        <v>11.387964495053501</v>
      </c>
      <c r="X698" s="2">
        <v>13.1065931866206</v>
      </c>
      <c r="Y698" s="2">
        <v>2.8762505008548498</v>
      </c>
      <c r="Z698" s="2">
        <v>3.16298023178532</v>
      </c>
      <c r="AA698" s="3">
        <f t="shared" si="31"/>
        <v>61.325751808974054</v>
      </c>
      <c r="AB698" t="s">
        <v>63</v>
      </c>
      <c r="AC698">
        <v>24.22</v>
      </c>
      <c r="AD698">
        <v>44.64</v>
      </c>
      <c r="AE698">
        <v>33.380000000000003</v>
      </c>
      <c r="AF698">
        <v>71.010000000000005</v>
      </c>
      <c r="AG698">
        <v>144.54</v>
      </c>
      <c r="AH698">
        <v>21.55</v>
      </c>
      <c r="AI698">
        <v>35.68</v>
      </c>
      <c r="AJ698">
        <v>58.15</v>
      </c>
      <c r="AK698">
        <v>55.9</v>
      </c>
      <c r="AL698">
        <v>28.48</v>
      </c>
      <c r="AM698">
        <v>80.75</v>
      </c>
      <c r="AN698">
        <v>7.58</v>
      </c>
      <c r="AO698" s="1">
        <f t="shared" si="32"/>
        <v>605.88</v>
      </c>
    </row>
    <row r="699" spans="1:41" x14ac:dyDescent="0.25">
      <c r="A699" t="s">
        <v>742</v>
      </c>
      <c r="B699" s="2">
        <v>1191.9325750825601</v>
      </c>
      <c r="C699" s="2">
        <v>7138.2807105132897</v>
      </c>
      <c r="D699" s="2">
        <v>8395.7797449831196</v>
      </c>
      <c r="E699" s="2">
        <v>3797.0370538877301</v>
      </c>
      <c r="F699" s="2">
        <v>4693.8115726974202</v>
      </c>
      <c r="G699" s="2">
        <v>4007.4715135149099</v>
      </c>
      <c r="H699" s="2">
        <v>2615.72402382161</v>
      </c>
      <c r="I699" s="2">
        <v>11513.801559584699</v>
      </c>
      <c r="J699" s="2">
        <v>539.97351758940101</v>
      </c>
      <c r="K699" s="2">
        <v>1180.02949017332</v>
      </c>
      <c r="L699" s="2">
        <v>1611.2851524831201</v>
      </c>
      <c r="M699" s="2">
        <v>3430.2371649657998</v>
      </c>
      <c r="N699" s="3">
        <f t="shared" si="30"/>
        <v>50115.364079296982</v>
      </c>
      <c r="O699" s="2">
        <v>3.6097917326563</v>
      </c>
      <c r="P699" s="2">
        <v>1.6298602165448901</v>
      </c>
      <c r="Q699" s="2">
        <v>6.4739820170821201</v>
      </c>
      <c r="R699" s="2">
        <v>3.48285227490913</v>
      </c>
      <c r="S699" s="2">
        <v>0.69896197242241498</v>
      </c>
      <c r="T699" s="2">
        <v>1.2995029217968199</v>
      </c>
      <c r="U699" s="2">
        <v>0.66693704347768901</v>
      </c>
      <c r="V699" s="2">
        <v>9.4030617100077402E-2</v>
      </c>
      <c r="W699" s="2">
        <v>1.93265773408046</v>
      </c>
      <c r="X699" s="2">
        <v>6.2525869040680897</v>
      </c>
      <c r="Y699" s="2">
        <v>3.23246029825053E-2</v>
      </c>
      <c r="Z699" s="2">
        <v>1.2764959331708901</v>
      </c>
      <c r="AA699" s="3">
        <f t="shared" si="31"/>
        <v>27.449983970291385</v>
      </c>
      <c r="AB699" t="s">
        <v>45</v>
      </c>
      <c r="AC699">
        <v>22.11</v>
      </c>
      <c r="AD699">
        <v>81.48</v>
      </c>
      <c r="AE699">
        <v>94.3</v>
      </c>
      <c r="AF699">
        <v>48.17</v>
      </c>
      <c r="AG699">
        <v>56.98</v>
      </c>
      <c r="AH699">
        <v>50.17</v>
      </c>
      <c r="AI699">
        <v>36.200000000000003</v>
      </c>
      <c r="AJ699">
        <v>125.18</v>
      </c>
      <c r="AK699">
        <v>15.49</v>
      </c>
      <c r="AL699">
        <v>22.15</v>
      </c>
      <c r="AM699">
        <v>26.16</v>
      </c>
      <c r="AN699">
        <v>44.4</v>
      </c>
      <c r="AO699" s="1">
        <f t="shared" si="32"/>
        <v>622.79</v>
      </c>
    </row>
    <row r="700" spans="1:41" x14ac:dyDescent="0.25">
      <c r="A700" t="s">
        <v>743</v>
      </c>
      <c r="B700" s="2">
        <v>1174.8248097052699</v>
      </c>
      <c r="C700" s="2">
        <v>89.073688043939299</v>
      </c>
      <c r="D700" s="2">
        <v>4907.2297481886799</v>
      </c>
      <c r="E700" s="2">
        <v>1091.03434562135</v>
      </c>
      <c r="F700" s="2">
        <v>3816.7270730363298</v>
      </c>
      <c r="G700" s="2">
        <v>7222.1881869935696</v>
      </c>
      <c r="H700" s="2">
        <v>3699.6312616082701</v>
      </c>
      <c r="I700" s="2">
        <v>1248.17774871915</v>
      </c>
      <c r="J700" s="2">
        <v>2972.74359632503</v>
      </c>
      <c r="K700" s="2">
        <v>1019.63018300251</v>
      </c>
      <c r="L700" s="2">
        <v>1697.1845420638899</v>
      </c>
      <c r="M700" s="2">
        <v>1614.6800085135701</v>
      </c>
      <c r="N700" s="3">
        <f t="shared" si="30"/>
        <v>30553.125191821553</v>
      </c>
      <c r="O700" s="2">
        <v>2.9009539772375299</v>
      </c>
      <c r="P700" s="2">
        <v>2.7681683017288301</v>
      </c>
      <c r="Q700" s="2">
        <v>1.0111828312389</v>
      </c>
      <c r="R700" s="2">
        <v>1.54522964742196</v>
      </c>
      <c r="S700" s="2">
        <v>7.9257681534167999</v>
      </c>
      <c r="T700" s="2">
        <v>3.1483506877175298</v>
      </c>
      <c r="U700" s="2">
        <v>6.5693748016140603</v>
      </c>
      <c r="V700" s="2">
        <v>3.7785546759772002</v>
      </c>
      <c r="W700" s="2">
        <v>2.7706952271171601</v>
      </c>
      <c r="X700" s="2">
        <v>8.9492593409256901E-2</v>
      </c>
      <c r="Y700" s="2">
        <v>2.3815748786189102</v>
      </c>
      <c r="Z700" s="2">
        <v>7.7022750609681703</v>
      </c>
      <c r="AA700" s="3">
        <f t="shared" si="31"/>
        <v>42.591620836466312</v>
      </c>
      <c r="AB700" t="s">
        <v>63</v>
      </c>
      <c r="AC700">
        <v>23.77</v>
      </c>
      <c r="AD700">
        <v>2.0699999999999998</v>
      </c>
      <c r="AE700">
        <v>98.34</v>
      </c>
      <c r="AF700">
        <v>22.02</v>
      </c>
      <c r="AG700">
        <v>77.06</v>
      </c>
      <c r="AH700">
        <v>144.82</v>
      </c>
      <c r="AI700">
        <v>74.63</v>
      </c>
      <c r="AJ700">
        <v>25.34</v>
      </c>
      <c r="AK700">
        <v>59.73</v>
      </c>
      <c r="AL700">
        <v>20.49</v>
      </c>
      <c r="AM700">
        <v>34.229999999999997</v>
      </c>
      <c r="AN700">
        <v>33.020000000000003</v>
      </c>
      <c r="AO700" s="1">
        <f t="shared" si="32"/>
        <v>615.52</v>
      </c>
    </row>
    <row r="701" spans="1:41" x14ac:dyDescent="0.25">
      <c r="A701" t="s">
        <v>744</v>
      </c>
      <c r="B701" s="2">
        <v>1167.3217027995199</v>
      </c>
      <c r="C701" s="2">
        <v>3659.2017013765098</v>
      </c>
      <c r="D701" s="2">
        <v>16160.7165019677</v>
      </c>
      <c r="E701" s="2">
        <v>2410.1087597119599</v>
      </c>
      <c r="F701" s="2">
        <v>4715.6410600743602</v>
      </c>
      <c r="G701" s="2">
        <v>1381.58265357754</v>
      </c>
      <c r="H701" s="2">
        <v>1801.0351986678199</v>
      </c>
      <c r="I701" s="2">
        <v>9067.6476228886004</v>
      </c>
      <c r="J701" s="2">
        <v>0</v>
      </c>
      <c r="K701" s="2">
        <v>1155.0380476000801</v>
      </c>
      <c r="L701" s="2">
        <v>2003.79434361024</v>
      </c>
      <c r="M701" s="2">
        <v>1795.8038345308901</v>
      </c>
      <c r="N701" s="3">
        <f t="shared" si="30"/>
        <v>45317.891426805225</v>
      </c>
      <c r="O701" s="2">
        <v>16.487491266260001</v>
      </c>
      <c r="P701" s="2">
        <v>12.9087269451349</v>
      </c>
      <c r="Q701" s="2">
        <v>0</v>
      </c>
      <c r="R701" s="2">
        <v>9.7019716921968993</v>
      </c>
      <c r="S701" s="2">
        <v>0.72509677309076104</v>
      </c>
      <c r="T701" s="2">
        <v>8.8457041273003298</v>
      </c>
      <c r="U701" s="2">
        <v>0.86979398963353105</v>
      </c>
      <c r="V701" s="2">
        <v>3.54799588740353</v>
      </c>
      <c r="W701" s="2">
        <v>4.1706274669324301</v>
      </c>
      <c r="X701" s="2">
        <v>4.4208605512719599</v>
      </c>
      <c r="Y701" s="2">
        <v>1.9079945779903299E-2</v>
      </c>
      <c r="Z701" s="2">
        <v>4.6554668418706502</v>
      </c>
      <c r="AA701" s="3">
        <f t="shared" si="31"/>
        <v>66.352815486874889</v>
      </c>
      <c r="AB701" t="s">
        <v>45</v>
      </c>
      <c r="AC701">
        <v>22.52</v>
      </c>
      <c r="AD701">
        <v>47.24</v>
      </c>
      <c r="AE701">
        <v>171.6</v>
      </c>
      <c r="AF701">
        <v>34.6</v>
      </c>
      <c r="AG701">
        <v>57.2</v>
      </c>
      <c r="AH701">
        <v>24.26</v>
      </c>
      <c r="AI701">
        <v>28.06</v>
      </c>
      <c r="AJ701">
        <v>100.87</v>
      </c>
      <c r="AK701">
        <v>10.24</v>
      </c>
      <c r="AL701">
        <v>21.8</v>
      </c>
      <c r="AM701">
        <v>30.08</v>
      </c>
      <c r="AN701">
        <v>28.2</v>
      </c>
      <c r="AO701" s="1">
        <f t="shared" si="32"/>
        <v>576.67000000000007</v>
      </c>
    </row>
    <row r="702" spans="1:41" x14ac:dyDescent="0.25">
      <c r="A702" t="s">
        <v>745</v>
      </c>
      <c r="B702" s="2">
        <v>1159.9477840586601</v>
      </c>
      <c r="C702" s="2">
        <v>8572.91512497029</v>
      </c>
      <c r="D702" s="2">
        <v>5791.0447239964196</v>
      </c>
      <c r="E702" s="2">
        <v>1593.43746038363</v>
      </c>
      <c r="F702" s="2">
        <v>3109.8829118404601</v>
      </c>
      <c r="G702" s="2">
        <v>8803.6694649484107</v>
      </c>
      <c r="H702" s="2">
        <v>2491.9304987185801</v>
      </c>
      <c r="I702" s="2">
        <v>4880.7757745030603</v>
      </c>
      <c r="J702" s="2">
        <v>12103.8316718231</v>
      </c>
      <c r="K702" s="2">
        <v>3674.9913615125201</v>
      </c>
      <c r="L702" s="2">
        <v>892.86610550270302</v>
      </c>
      <c r="M702" s="2">
        <v>1454.9870002354501</v>
      </c>
      <c r="N702" s="3">
        <f t="shared" si="30"/>
        <v>54530.279882493283</v>
      </c>
      <c r="O702" s="2">
        <v>8.2298779400973405</v>
      </c>
      <c r="P702" s="2">
        <v>6.3301035617701302</v>
      </c>
      <c r="Q702" s="2">
        <v>2.68406937787837</v>
      </c>
      <c r="R702" s="2">
        <v>8.2401759810861606</v>
      </c>
      <c r="S702" s="2">
        <v>1.9427685955215199</v>
      </c>
      <c r="T702" s="2">
        <v>7.8302438182966601</v>
      </c>
      <c r="U702" s="2">
        <v>0</v>
      </c>
      <c r="V702" s="2">
        <v>5.3664449718963798</v>
      </c>
      <c r="W702" s="2">
        <v>0</v>
      </c>
      <c r="X702" s="2">
        <v>8.5912233460089205</v>
      </c>
      <c r="Y702" s="2">
        <v>9.91130350356954</v>
      </c>
      <c r="Z702" s="2">
        <v>0.35074135955822699</v>
      </c>
      <c r="AA702" s="3">
        <f t="shared" si="31"/>
        <v>59.476952455683247</v>
      </c>
      <c r="AB702" t="s">
        <v>45</v>
      </c>
      <c r="AC702">
        <v>22.04</v>
      </c>
      <c r="AD702">
        <v>96.07</v>
      </c>
      <c r="AE702">
        <v>68.06</v>
      </c>
      <c r="AF702">
        <v>26.38</v>
      </c>
      <c r="AG702">
        <v>41.19</v>
      </c>
      <c r="AH702">
        <v>98.43</v>
      </c>
      <c r="AI702">
        <v>34.909999999999997</v>
      </c>
      <c r="AJ702">
        <v>59.1</v>
      </c>
      <c r="AK702">
        <v>131.03</v>
      </c>
      <c r="AL702">
        <v>47.19</v>
      </c>
      <c r="AM702">
        <v>19.420000000000002</v>
      </c>
      <c r="AN702">
        <v>24.59</v>
      </c>
      <c r="AO702" s="1">
        <f t="shared" si="32"/>
        <v>668.40999999999985</v>
      </c>
    </row>
    <row r="703" spans="1:41" x14ac:dyDescent="0.25">
      <c r="A703" t="s">
        <v>746</v>
      </c>
      <c r="B703" s="2">
        <v>1159.59777953454</v>
      </c>
      <c r="C703" s="2">
        <v>449.76053003442098</v>
      </c>
      <c r="D703" s="2">
        <v>1605.23881767128</v>
      </c>
      <c r="E703" s="2">
        <v>3535.31128965163</v>
      </c>
      <c r="F703" s="2">
        <v>252.835072268331</v>
      </c>
      <c r="G703" s="2">
        <v>6843.2733614846802</v>
      </c>
      <c r="H703" s="2">
        <v>1009.11327446931</v>
      </c>
      <c r="I703" s="2">
        <v>239.747815912269</v>
      </c>
      <c r="J703" s="2">
        <v>3095.1658458111101</v>
      </c>
      <c r="K703" s="2">
        <v>3828.0696838754102</v>
      </c>
      <c r="L703" s="2">
        <v>1959.53441122145</v>
      </c>
      <c r="M703" s="2">
        <v>4298.6608595964099</v>
      </c>
      <c r="N703" s="3">
        <f t="shared" si="30"/>
        <v>28276.308741530844</v>
      </c>
      <c r="O703" s="2">
        <v>3.6875801297317601</v>
      </c>
      <c r="P703" s="2">
        <v>11.2811917756349</v>
      </c>
      <c r="Q703" s="2">
        <v>8.8495832828138408</v>
      </c>
      <c r="R703" s="2">
        <v>1.7844656107743999</v>
      </c>
      <c r="S703" s="2">
        <v>0</v>
      </c>
      <c r="T703" s="2">
        <v>4.39521152973309</v>
      </c>
      <c r="U703" s="2">
        <v>4.2085011908632</v>
      </c>
      <c r="V703" s="2">
        <v>1.83346420461672</v>
      </c>
      <c r="W703" s="2">
        <v>8.3570625487594707</v>
      </c>
      <c r="X703" s="2">
        <v>12.0020910444964</v>
      </c>
      <c r="Y703" s="2">
        <v>1.8968147858761399</v>
      </c>
      <c r="Z703" s="2">
        <v>7.6061354170145501</v>
      </c>
      <c r="AA703" s="3">
        <f t="shared" si="31"/>
        <v>65.902101520314474</v>
      </c>
      <c r="AB703" t="s">
        <v>63</v>
      </c>
      <c r="AC703">
        <v>23.56</v>
      </c>
      <c r="AD703">
        <v>10.08</v>
      </c>
      <c r="AE703">
        <v>32.93</v>
      </c>
      <c r="AF703">
        <v>70.900000000000006</v>
      </c>
      <c r="AG703">
        <v>5.0599999999999996</v>
      </c>
      <c r="AH703">
        <v>137.33000000000001</v>
      </c>
      <c r="AI703">
        <v>20.65</v>
      </c>
      <c r="AJ703">
        <v>4.9800000000000004</v>
      </c>
      <c r="AK703">
        <v>62.73</v>
      </c>
      <c r="AL703">
        <v>77.75</v>
      </c>
      <c r="AM703">
        <v>39.380000000000003</v>
      </c>
      <c r="AN703">
        <v>86.7</v>
      </c>
      <c r="AO703" s="1">
        <f t="shared" si="32"/>
        <v>572.05000000000007</v>
      </c>
    </row>
    <row r="704" spans="1:41" x14ac:dyDescent="0.25">
      <c r="A704" t="s">
        <v>747</v>
      </c>
      <c r="B704" s="2">
        <v>1154.87020692329</v>
      </c>
      <c r="C704" s="2">
        <v>693.70281794513699</v>
      </c>
      <c r="D704" s="2">
        <v>1399.75935662495</v>
      </c>
      <c r="E704" s="2">
        <v>2091.31644489055</v>
      </c>
      <c r="F704" s="2">
        <v>3225.9918329127099</v>
      </c>
      <c r="G704" s="2">
        <v>0</v>
      </c>
      <c r="H704" s="2">
        <v>8647.6223312961392</v>
      </c>
      <c r="I704" s="2">
        <v>0</v>
      </c>
      <c r="J704" s="2">
        <v>2002.3916820486299</v>
      </c>
      <c r="K704" s="2">
        <v>0</v>
      </c>
      <c r="L704" s="2">
        <v>1219.1972858475799</v>
      </c>
      <c r="M704" s="2">
        <v>7242.1232301376904</v>
      </c>
      <c r="N704" s="3">
        <f t="shared" si="30"/>
        <v>27676.975188626675</v>
      </c>
      <c r="O704" s="2">
        <v>4.1040747530118598</v>
      </c>
      <c r="P704" s="2">
        <v>18.4331671338009</v>
      </c>
      <c r="Q704" s="2">
        <v>7.8857566742465703</v>
      </c>
      <c r="R704" s="2">
        <v>0</v>
      </c>
      <c r="S704" s="2">
        <v>5.7674164249763296</v>
      </c>
      <c r="T704" s="2">
        <v>1.91049175555705</v>
      </c>
      <c r="U704" s="2">
        <v>1.21461320905604</v>
      </c>
      <c r="V704" s="2">
        <v>3.3817698771477298</v>
      </c>
      <c r="W704" s="2">
        <v>1.56601219208866</v>
      </c>
      <c r="X704" s="2">
        <v>7.5854491382806604</v>
      </c>
      <c r="Y704" s="2">
        <v>1.80998327579259</v>
      </c>
      <c r="Z704" s="2">
        <v>6.6447440763538097</v>
      </c>
      <c r="AA704" s="3">
        <f t="shared" si="31"/>
        <v>60.303478510312196</v>
      </c>
      <c r="AB704" t="s">
        <v>63</v>
      </c>
      <c r="AC704">
        <v>23.55</v>
      </c>
      <c r="AD704">
        <v>15.59</v>
      </c>
      <c r="AE704">
        <v>28.72</v>
      </c>
      <c r="AF704">
        <v>41.84</v>
      </c>
      <c r="AG704">
        <v>65.06</v>
      </c>
      <c r="AH704">
        <v>0.18</v>
      </c>
      <c r="AI704">
        <v>173.14</v>
      </c>
      <c r="AJ704">
        <v>0.36</v>
      </c>
      <c r="AK704">
        <v>40.24</v>
      </c>
      <c r="AL704">
        <v>0.72</v>
      </c>
      <c r="AM704">
        <v>24.58</v>
      </c>
      <c r="AN704">
        <v>145.49</v>
      </c>
      <c r="AO704" s="1">
        <f t="shared" si="32"/>
        <v>559.47</v>
      </c>
    </row>
    <row r="705" spans="1:41" x14ac:dyDescent="0.25">
      <c r="A705" t="s">
        <v>748</v>
      </c>
      <c r="B705" s="2">
        <v>1149.6083466354401</v>
      </c>
      <c r="C705" s="2">
        <v>1773.06970967036</v>
      </c>
      <c r="D705" s="2">
        <v>0</v>
      </c>
      <c r="E705" s="2">
        <v>0</v>
      </c>
      <c r="F705" s="2">
        <v>1225.9115362821999</v>
      </c>
      <c r="G705" s="2">
        <v>5351.1984034645202</v>
      </c>
      <c r="H705" s="2">
        <v>771.04959526346602</v>
      </c>
      <c r="I705" s="2">
        <v>5138.8488488541298</v>
      </c>
      <c r="J705" s="2">
        <v>746.592866602458</v>
      </c>
      <c r="K705" s="2">
        <v>8611.3278179161407</v>
      </c>
      <c r="L705" s="2">
        <v>2637.8340108818402</v>
      </c>
      <c r="M705" s="2">
        <v>0</v>
      </c>
      <c r="N705" s="3">
        <f t="shared" si="30"/>
        <v>27405.441135570556</v>
      </c>
      <c r="O705" s="2">
        <v>0</v>
      </c>
      <c r="P705" s="2">
        <v>11.301583876240599</v>
      </c>
      <c r="Q705" s="2">
        <v>3.6072550466764701</v>
      </c>
      <c r="R705" s="2">
        <v>15.9666716754943</v>
      </c>
      <c r="S705" s="2">
        <v>3.3612631733814098</v>
      </c>
      <c r="T705" s="2">
        <v>9.9447783037784401</v>
      </c>
      <c r="U705" s="2">
        <v>4.4845257818306602E-5</v>
      </c>
      <c r="V705" s="2">
        <v>5.3058682070222298</v>
      </c>
      <c r="W705" s="2">
        <v>8.56443671881844</v>
      </c>
      <c r="X705" s="2">
        <v>1.26997068035571</v>
      </c>
      <c r="Y705" s="2">
        <v>0</v>
      </c>
      <c r="Z705" s="2">
        <v>0.72081149699330205</v>
      </c>
      <c r="AA705" s="3">
        <f t="shared" si="31"/>
        <v>60.042684024018726</v>
      </c>
      <c r="AB705" t="s">
        <v>63</v>
      </c>
      <c r="AC705">
        <v>23</v>
      </c>
      <c r="AD705">
        <v>36.56</v>
      </c>
      <c r="AE705">
        <v>0.36</v>
      </c>
      <c r="AF705">
        <v>1.44</v>
      </c>
      <c r="AG705">
        <v>24.88</v>
      </c>
      <c r="AH705">
        <v>107.94</v>
      </c>
      <c r="AI705">
        <v>15.53</v>
      </c>
      <c r="AJ705">
        <v>103.32</v>
      </c>
      <c r="AK705">
        <v>15.75</v>
      </c>
      <c r="AL705">
        <v>172.42</v>
      </c>
      <c r="AM705">
        <v>52.76</v>
      </c>
      <c r="AN705">
        <v>0.09</v>
      </c>
      <c r="AO705" s="1">
        <f t="shared" si="32"/>
        <v>554.04999999999995</v>
      </c>
    </row>
    <row r="706" spans="1:41" x14ac:dyDescent="0.25">
      <c r="A706" t="s">
        <v>749</v>
      </c>
      <c r="B706" s="2">
        <v>1141.2182466075701</v>
      </c>
      <c r="C706" s="2">
        <v>1799.20437746109</v>
      </c>
      <c r="D706" s="2">
        <v>2588.0275017958702</v>
      </c>
      <c r="E706" s="2">
        <v>758.15273855171995</v>
      </c>
      <c r="F706" s="2">
        <v>942.837778884626</v>
      </c>
      <c r="G706" s="2">
        <v>1860.19008029368</v>
      </c>
      <c r="H706" s="2">
        <v>2422.80061283446</v>
      </c>
      <c r="I706" s="2">
        <v>917.44808451272195</v>
      </c>
      <c r="J706" s="2">
        <v>0</v>
      </c>
      <c r="K706" s="2">
        <v>1554.1718568741901</v>
      </c>
      <c r="L706" s="2">
        <v>1958.3422232984699</v>
      </c>
      <c r="M706" s="2">
        <v>0</v>
      </c>
      <c r="N706" s="3">
        <f t="shared" si="30"/>
        <v>15942.3935011144</v>
      </c>
      <c r="O706" s="2">
        <v>9.9057948047196103</v>
      </c>
      <c r="P706" s="2">
        <v>0.25463538590541701</v>
      </c>
      <c r="Q706" s="2">
        <v>0.85564702097874501</v>
      </c>
      <c r="R706" s="2">
        <v>4.8408533646510197</v>
      </c>
      <c r="S706" s="2">
        <v>1.0619470905522801</v>
      </c>
      <c r="T706" s="2">
        <v>3.96218127458559</v>
      </c>
      <c r="U706" s="2">
        <v>1.5307853764538</v>
      </c>
      <c r="V706" s="2">
        <v>14.4906607108417</v>
      </c>
      <c r="W706" s="2">
        <v>8.0092567528922007</v>
      </c>
      <c r="X706" s="2">
        <v>7.8517408085873299</v>
      </c>
      <c r="Y706" s="2">
        <v>0.72229720624857296</v>
      </c>
      <c r="Z706" s="2">
        <v>7.4032185830848096</v>
      </c>
      <c r="AA706" s="3">
        <f t="shared" si="31"/>
        <v>60.889018379501067</v>
      </c>
      <c r="AB706" t="s">
        <v>63</v>
      </c>
      <c r="AC706">
        <v>23.74</v>
      </c>
      <c r="AD706">
        <v>36.090000000000003</v>
      </c>
      <c r="AE706">
        <v>51.87</v>
      </c>
      <c r="AF706">
        <v>15.63</v>
      </c>
      <c r="AG706">
        <v>19.04</v>
      </c>
      <c r="AH706">
        <v>37.58</v>
      </c>
      <c r="AI706">
        <v>48.64</v>
      </c>
      <c r="AJ706">
        <v>19.71</v>
      </c>
      <c r="AK706">
        <v>0.81</v>
      </c>
      <c r="AL706">
        <v>31.82</v>
      </c>
      <c r="AM706">
        <v>39.270000000000003</v>
      </c>
      <c r="AN706">
        <v>0.72</v>
      </c>
      <c r="AO706" s="1">
        <f t="shared" si="32"/>
        <v>324.92</v>
      </c>
    </row>
    <row r="707" spans="1:41" x14ac:dyDescent="0.25">
      <c r="A707" t="s">
        <v>750</v>
      </c>
      <c r="B707" s="2">
        <v>1125.2225048888499</v>
      </c>
      <c r="C707" s="2">
        <v>5189.4760598026896</v>
      </c>
      <c r="D707" s="2">
        <v>2798.9436970155498</v>
      </c>
      <c r="E707" s="2">
        <v>827.16377477100195</v>
      </c>
      <c r="F707" s="2">
        <v>8515.5120196576499</v>
      </c>
      <c r="G707" s="2">
        <v>2224.2273010066801</v>
      </c>
      <c r="H707" s="2">
        <v>0</v>
      </c>
      <c r="I707" s="2">
        <v>2817.1503260781101</v>
      </c>
      <c r="J707" s="2">
        <v>3300.3487053133099</v>
      </c>
      <c r="K707" s="2">
        <v>900.50954441957299</v>
      </c>
      <c r="L707" s="2">
        <v>5695.3955384035398</v>
      </c>
      <c r="M707" s="2">
        <v>4507.3428076214695</v>
      </c>
      <c r="N707" s="3">
        <f t="shared" ref="N707:N770" si="33">SUM(B707:M707)</f>
        <v>37901.292278978428</v>
      </c>
      <c r="O707" s="2">
        <v>1.0921219071614601</v>
      </c>
      <c r="P707" s="2">
        <v>2.1738508214350198</v>
      </c>
      <c r="Q707" s="2">
        <v>2.2718270357158499</v>
      </c>
      <c r="R707" s="2">
        <v>0.76025142802354195</v>
      </c>
      <c r="S707" s="2">
        <v>0.24975240884473501</v>
      </c>
      <c r="T707" s="2">
        <v>0.12216460397498199</v>
      </c>
      <c r="U707" s="2">
        <v>4.4072946874205297</v>
      </c>
      <c r="V707" s="2">
        <v>3.9993257496031802</v>
      </c>
      <c r="W707" s="2">
        <v>5.2907491865370098</v>
      </c>
      <c r="X707" s="2">
        <v>1.1389006309635199</v>
      </c>
      <c r="Y707" s="2">
        <v>1.4801087042690899</v>
      </c>
      <c r="Z707" s="2">
        <v>8.6573646323404194</v>
      </c>
      <c r="AA707" s="3">
        <f t="shared" si="31"/>
        <v>31.643711796289338</v>
      </c>
      <c r="AB707" t="s">
        <v>45</v>
      </c>
      <c r="AC707">
        <v>21.35</v>
      </c>
      <c r="AD707">
        <v>62.04</v>
      </c>
      <c r="AE707">
        <v>38.130000000000003</v>
      </c>
      <c r="AF707">
        <v>18.32</v>
      </c>
      <c r="AG707">
        <v>95.2</v>
      </c>
      <c r="AH707">
        <v>32.29</v>
      </c>
      <c r="AI707">
        <v>10.24</v>
      </c>
      <c r="AJ707">
        <v>38.369999999999997</v>
      </c>
      <c r="AK707">
        <v>43.3</v>
      </c>
      <c r="AL707">
        <v>19.100000000000001</v>
      </c>
      <c r="AM707">
        <v>67.05</v>
      </c>
      <c r="AN707">
        <v>55.52</v>
      </c>
      <c r="AO707" s="1">
        <f t="shared" si="32"/>
        <v>500.91000000000008</v>
      </c>
    </row>
    <row r="708" spans="1:41" x14ac:dyDescent="0.25">
      <c r="A708" t="s">
        <v>751</v>
      </c>
      <c r="B708" s="2">
        <v>1121.4010241588801</v>
      </c>
      <c r="C708" s="2">
        <v>0</v>
      </c>
      <c r="D708" s="2">
        <v>2893.2475996660201</v>
      </c>
      <c r="E708" s="2">
        <v>1193.41048344763</v>
      </c>
      <c r="F708" s="2">
        <v>0</v>
      </c>
      <c r="G708" s="2">
        <v>711.74649580605899</v>
      </c>
      <c r="H708" s="2">
        <v>2718.6403050817999</v>
      </c>
      <c r="I708" s="2">
        <v>1168.98642959622</v>
      </c>
      <c r="J708" s="2">
        <v>6964.5268798155903</v>
      </c>
      <c r="K708" s="2">
        <v>363.84589701523601</v>
      </c>
      <c r="L708" s="2">
        <v>915.75628693887597</v>
      </c>
      <c r="M708" s="2">
        <v>3052.54096226303</v>
      </c>
      <c r="N708" s="3">
        <f t="shared" si="33"/>
        <v>21104.102363789338</v>
      </c>
      <c r="O708" s="2">
        <v>5.7407350356723699</v>
      </c>
      <c r="P708" s="2">
        <v>4.8503959007866104</v>
      </c>
      <c r="Q708" s="2">
        <v>3.2943040639125201</v>
      </c>
      <c r="R708" s="2">
        <v>9.7964593719215998</v>
      </c>
      <c r="S708" s="2">
        <v>7.5977423358755196</v>
      </c>
      <c r="T708" s="2">
        <v>0.33864837718614099</v>
      </c>
      <c r="U708" s="2">
        <v>3.0503510469810302</v>
      </c>
      <c r="V708" s="2">
        <v>3.0736283285916102</v>
      </c>
      <c r="W708" s="2">
        <v>1.2658675288666801</v>
      </c>
      <c r="X708" s="2">
        <v>1.14946636957482</v>
      </c>
      <c r="Y708" s="2">
        <v>3.4059053529633201</v>
      </c>
      <c r="Z708" s="2">
        <v>2.4157612975403899</v>
      </c>
      <c r="AA708" s="3">
        <f t="shared" ref="AA708:AA771" si="34">SUM(O708:Z708)</f>
        <v>45.979265009872613</v>
      </c>
      <c r="AB708" t="s">
        <v>63</v>
      </c>
      <c r="AC708">
        <v>22.98</v>
      </c>
      <c r="AD708">
        <v>0.45</v>
      </c>
      <c r="AE708">
        <v>58.24</v>
      </c>
      <c r="AF708">
        <v>24.78</v>
      </c>
      <c r="AG708">
        <v>0.72</v>
      </c>
      <c r="AH708">
        <v>14.33</v>
      </c>
      <c r="AI708">
        <v>54.74</v>
      </c>
      <c r="AJ708">
        <v>23.74</v>
      </c>
      <c r="AK708">
        <v>139.47999999999999</v>
      </c>
      <c r="AL708">
        <v>7.46</v>
      </c>
      <c r="AM708">
        <v>18.68</v>
      </c>
      <c r="AN708">
        <v>61.33</v>
      </c>
      <c r="AO708" s="1">
        <f t="shared" si="32"/>
        <v>426.93</v>
      </c>
    </row>
    <row r="709" spans="1:41" x14ac:dyDescent="0.25">
      <c r="A709" t="s">
        <v>752</v>
      </c>
      <c r="B709" s="2">
        <v>1119.3445880634999</v>
      </c>
      <c r="C709" s="2">
        <v>5214.6301006460399</v>
      </c>
      <c r="D709" s="2">
        <v>9774.3579101429495</v>
      </c>
      <c r="E709" s="2">
        <v>5231.5510444335996</v>
      </c>
      <c r="F709" s="2">
        <v>3279.8207987850601</v>
      </c>
      <c r="G709" s="2">
        <v>680.55472655505605</v>
      </c>
      <c r="H709" s="2">
        <v>0</v>
      </c>
      <c r="I709" s="2">
        <v>4550.8699117323204</v>
      </c>
      <c r="J709" s="2">
        <v>342.001656533014</v>
      </c>
      <c r="K709" s="2">
        <v>6838.5463568812602</v>
      </c>
      <c r="L709" s="2">
        <v>2887.2326133381398</v>
      </c>
      <c r="M709" s="2">
        <v>1986.6893573134</v>
      </c>
      <c r="N709" s="3">
        <f t="shared" si="33"/>
        <v>41905.599064424343</v>
      </c>
      <c r="O709" s="2">
        <v>0</v>
      </c>
      <c r="P709" s="2">
        <v>3.8781674044738299</v>
      </c>
      <c r="Q709" s="2">
        <v>1.66791294779063</v>
      </c>
      <c r="R709" s="2">
        <v>2.37305673156854</v>
      </c>
      <c r="S709" s="2">
        <v>6.0005147076955696</v>
      </c>
      <c r="T709" s="2">
        <v>0.80981284417269295</v>
      </c>
      <c r="U709" s="2">
        <v>6.8291191351731397</v>
      </c>
      <c r="V709" s="2">
        <v>2.6605601820304399</v>
      </c>
      <c r="W709" s="2">
        <v>0</v>
      </c>
      <c r="X709" s="2">
        <v>5.0198282991249297</v>
      </c>
      <c r="Y709" s="2">
        <v>3.96811428820283</v>
      </c>
      <c r="Z709" s="2">
        <v>8.3628662771064697</v>
      </c>
      <c r="AA709" s="3">
        <f t="shared" si="34"/>
        <v>41.569952817339072</v>
      </c>
      <c r="AB709" t="s">
        <v>45</v>
      </c>
      <c r="AC709">
        <v>21.19</v>
      </c>
      <c r="AD709">
        <v>62.34</v>
      </c>
      <c r="AE709">
        <v>107.84</v>
      </c>
      <c r="AF709">
        <v>62.46</v>
      </c>
      <c r="AG709">
        <v>43.14</v>
      </c>
      <c r="AH709">
        <v>16.850000000000001</v>
      </c>
      <c r="AI709">
        <v>10.34</v>
      </c>
      <c r="AJ709">
        <v>55.65</v>
      </c>
      <c r="AK709">
        <v>13.42</v>
      </c>
      <c r="AL709">
        <v>78.680000000000007</v>
      </c>
      <c r="AM709">
        <v>39.07</v>
      </c>
      <c r="AN709">
        <v>30.31</v>
      </c>
      <c r="AO709" s="1">
        <f t="shared" ref="AO709:AO772" si="35">SUM(AC709:AN709)</f>
        <v>541.29</v>
      </c>
    </row>
    <row r="710" spans="1:41" x14ac:dyDescent="0.25">
      <c r="A710" t="s">
        <v>753</v>
      </c>
      <c r="B710" s="2">
        <v>1110.28363480402</v>
      </c>
      <c r="C710" s="2">
        <v>1920.4301083959399</v>
      </c>
      <c r="D710" s="2">
        <v>2124.38673404163</v>
      </c>
      <c r="E710" s="2">
        <v>3858.7439908186002</v>
      </c>
      <c r="F710" s="2">
        <v>2297.0535732254798</v>
      </c>
      <c r="G710" s="2">
        <v>4654.2083388233495</v>
      </c>
      <c r="H710" s="2">
        <v>3180.4602897827199</v>
      </c>
      <c r="I710" s="2">
        <v>8738.2669124417207</v>
      </c>
      <c r="J710" s="2">
        <v>0</v>
      </c>
      <c r="K710" s="2">
        <v>4976.8355172036199</v>
      </c>
      <c r="L710" s="2">
        <v>4457.2606484850203</v>
      </c>
      <c r="M710" s="2">
        <v>9982.4907437637994</v>
      </c>
      <c r="N710" s="3">
        <f t="shared" si="33"/>
        <v>47300.420491785888</v>
      </c>
      <c r="O710" s="2">
        <v>1.1055520273020301</v>
      </c>
      <c r="P710" s="2">
        <v>0</v>
      </c>
      <c r="Q710" s="2">
        <v>8.2660018061602702</v>
      </c>
      <c r="R710" s="2">
        <v>6.71673973725499</v>
      </c>
      <c r="S710" s="2">
        <v>1.24706437926584</v>
      </c>
      <c r="T710" s="2">
        <v>0</v>
      </c>
      <c r="U710" s="2">
        <v>0</v>
      </c>
      <c r="V710" s="2">
        <v>3.7646140399007102</v>
      </c>
      <c r="W710" s="2">
        <v>2.08163767672663</v>
      </c>
      <c r="X710" s="2">
        <v>6.5559230761586198</v>
      </c>
      <c r="Y710" s="2">
        <v>11.2332775071713</v>
      </c>
      <c r="Z710" s="2">
        <v>7.78327387868665</v>
      </c>
      <c r="AA710" s="3">
        <f t="shared" si="34"/>
        <v>48.754084128627042</v>
      </c>
      <c r="AB710" t="s">
        <v>45</v>
      </c>
      <c r="AC710">
        <v>21.2</v>
      </c>
      <c r="AD710">
        <v>29.2</v>
      </c>
      <c r="AE710">
        <v>31.69</v>
      </c>
      <c r="AF710">
        <v>48.93</v>
      </c>
      <c r="AG710">
        <v>33.07</v>
      </c>
      <c r="AH710">
        <v>56.54</v>
      </c>
      <c r="AI710">
        <v>41.8</v>
      </c>
      <c r="AJ710">
        <v>97.58</v>
      </c>
      <c r="AK710">
        <v>10.14</v>
      </c>
      <c r="AL710">
        <v>60.11</v>
      </c>
      <c r="AM710">
        <v>55.17</v>
      </c>
      <c r="AN710">
        <v>110.22</v>
      </c>
      <c r="AO710" s="1">
        <f t="shared" si="35"/>
        <v>595.65</v>
      </c>
    </row>
    <row r="711" spans="1:41" x14ac:dyDescent="0.25">
      <c r="A711" t="s">
        <v>754</v>
      </c>
      <c r="B711" s="2">
        <v>1108.3666919969</v>
      </c>
      <c r="C711" s="2">
        <v>8546.0659257548596</v>
      </c>
      <c r="D711" s="2">
        <v>3789.0692807177702</v>
      </c>
      <c r="E711" s="2">
        <v>8017.33362457559</v>
      </c>
      <c r="F711" s="2">
        <v>1947.7329449568499</v>
      </c>
      <c r="G711" s="2">
        <v>0</v>
      </c>
      <c r="H711" s="2">
        <v>2377.8192236433902</v>
      </c>
      <c r="I711" s="2">
        <v>6884.1969413414499</v>
      </c>
      <c r="J711" s="2">
        <v>1539.2771451578301</v>
      </c>
      <c r="K711" s="2">
        <v>991.05670400401095</v>
      </c>
      <c r="L711" s="2">
        <v>540.48825888059002</v>
      </c>
      <c r="M711" s="2">
        <v>2391.8053214372899</v>
      </c>
      <c r="N711" s="3">
        <f t="shared" si="33"/>
        <v>38133.212062466533</v>
      </c>
      <c r="O711" s="2">
        <v>0</v>
      </c>
      <c r="P711" s="2">
        <v>2.9128222150909502</v>
      </c>
      <c r="Q711" s="2">
        <v>0.61305261157122204</v>
      </c>
      <c r="R711" s="2">
        <v>4.38199554412508</v>
      </c>
      <c r="S711" s="2">
        <v>3.7879070406172302</v>
      </c>
      <c r="T711" s="2">
        <v>0</v>
      </c>
      <c r="U711" s="2">
        <v>3.9992567929476399</v>
      </c>
      <c r="V711" s="2">
        <v>2.6146450826536398</v>
      </c>
      <c r="W711" s="2">
        <v>0</v>
      </c>
      <c r="X711" s="2">
        <v>0.35263991067332201</v>
      </c>
      <c r="Y711" s="2">
        <v>1.1011191095159001</v>
      </c>
      <c r="Z711" s="2">
        <v>0</v>
      </c>
      <c r="AA711" s="3">
        <f t="shared" si="34"/>
        <v>19.763438307194985</v>
      </c>
      <c r="AB711" t="s">
        <v>45</v>
      </c>
      <c r="AC711">
        <v>21.08</v>
      </c>
      <c r="AD711">
        <v>95.61</v>
      </c>
      <c r="AE711">
        <v>47.94</v>
      </c>
      <c r="AF711">
        <v>90.42</v>
      </c>
      <c r="AG711">
        <v>29.67</v>
      </c>
      <c r="AH711">
        <v>9.99</v>
      </c>
      <c r="AI711">
        <v>33.97</v>
      </c>
      <c r="AJ711">
        <v>78.989999999999995</v>
      </c>
      <c r="AK711">
        <v>25.39</v>
      </c>
      <c r="AL711">
        <v>19.96</v>
      </c>
      <c r="AM711">
        <v>15.5</v>
      </c>
      <c r="AN711">
        <v>33.909999999999997</v>
      </c>
      <c r="AO711" s="1">
        <f t="shared" si="35"/>
        <v>502.43000000000006</v>
      </c>
    </row>
    <row r="712" spans="1:41" x14ac:dyDescent="0.25">
      <c r="A712" t="s">
        <v>755</v>
      </c>
      <c r="B712" s="2">
        <v>1108.1207473510699</v>
      </c>
      <c r="C712" s="2">
        <v>2667.20586776958</v>
      </c>
      <c r="D712" s="2">
        <v>7695.3632738176102</v>
      </c>
      <c r="E712" s="2">
        <v>4437.9910971789805</v>
      </c>
      <c r="F712" s="2">
        <v>3010.3425904986698</v>
      </c>
      <c r="G712" s="2">
        <v>0</v>
      </c>
      <c r="H712" s="2">
        <v>225.058542202371</v>
      </c>
      <c r="I712" s="2">
        <v>853.86579749771795</v>
      </c>
      <c r="J712" s="2">
        <v>11343.005962244501</v>
      </c>
      <c r="K712" s="2">
        <v>5203.7660230891897</v>
      </c>
      <c r="L712" s="2">
        <v>11707.050580725099</v>
      </c>
      <c r="M712" s="2">
        <v>0</v>
      </c>
      <c r="N712" s="3">
        <f t="shared" si="33"/>
        <v>48251.770482374792</v>
      </c>
      <c r="O712" s="2">
        <v>2.5337891516201201</v>
      </c>
      <c r="P712" s="2">
        <v>1.5281940371029801</v>
      </c>
      <c r="Q712" s="2">
        <v>0</v>
      </c>
      <c r="R712" s="2">
        <v>4.39486546764038</v>
      </c>
      <c r="S712" s="2">
        <v>5.8625146156582302</v>
      </c>
      <c r="T712" s="2">
        <v>1.15099732014038</v>
      </c>
      <c r="U712" s="2">
        <v>4.13581384515963</v>
      </c>
      <c r="V712" s="2">
        <v>3.2631508412407499</v>
      </c>
      <c r="W712" s="2">
        <v>3.6911871656736999</v>
      </c>
      <c r="X712" s="2">
        <v>1.86109547948979</v>
      </c>
      <c r="Y712" s="2">
        <v>7.7394407510792798</v>
      </c>
      <c r="Z712" s="2">
        <v>0</v>
      </c>
      <c r="AA712" s="3">
        <f t="shared" si="34"/>
        <v>36.161048674805244</v>
      </c>
      <c r="AB712" t="s">
        <v>45</v>
      </c>
      <c r="AC712">
        <v>21.23</v>
      </c>
      <c r="AD712">
        <v>36.770000000000003</v>
      </c>
      <c r="AE712">
        <v>86.95</v>
      </c>
      <c r="AF712">
        <v>54.62</v>
      </c>
      <c r="AG712">
        <v>40.4</v>
      </c>
      <c r="AH712">
        <v>10.09</v>
      </c>
      <c r="AI712">
        <v>12.5</v>
      </c>
      <c r="AJ712">
        <v>18.73</v>
      </c>
      <c r="AK712">
        <v>123.63</v>
      </c>
      <c r="AL712">
        <v>62.13</v>
      </c>
      <c r="AM712">
        <v>127.47</v>
      </c>
      <c r="AN712">
        <v>9.99</v>
      </c>
      <c r="AO712" s="1">
        <f t="shared" si="35"/>
        <v>604.51</v>
      </c>
    </row>
    <row r="713" spans="1:41" x14ac:dyDescent="0.25">
      <c r="A713" t="s">
        <v>756</v>
      </c>
      <c r="B713" s="2">
        <v>1105.0781648704001</v>
      </c>
      <c r="C713" s="2">
        <v>11288.974828539</v>
      </c>
      <c r="D713" s="2">
        <v>2264.2087333849599</v>
      </c>
      <c r="E713" s="2">
        <v>1733.3568697506601</v>
      </c>
      <c r="F713" s="2">
        <v>3619.5649220891601</v>
      </c>
      <c r="G713" s="2">
        <v>2788.9644261239</v>
      </c>
      <c r="H713" s="2">
        <v>10023.824581640099</v>
      </c>
      <c r="I713" s="2">
        <v>8285.2368146004101</v>
      </c>
      <c r="J713" s="2">
        <v>2273.4407382596901</v>
      </c>
      <c r="K713" s="2">
        <v>2871.2207428298598</v>
      </c>
      <c r="L713" s="2">
        <v>0</v>
      </c>
      <c r="M713" s="2">
        <v>4514.2616692540896</v>
      </c>
      <c r="N713" s="3">
        <f t="shared" si="33"/>
        <v>50768.132491342229</v>
      </c>
      <c r="O713" s="2">
        <v>0</v>
      </c>
      <c r="P713" s="2">
        <v>4.2306321769061004</v>
      </c>
      <c r="Q713" s="2">
        <v>0.16045183211608799</v>
      </c>
      <c r="R713" s="2">
        <v>5.9836851784023697</v>
      </c>
      <c r="S713" s="2">
        <v>2.4171074480192001</v>
      </c>
      <c r="T713" s="2">
        <v>1.08076758406165</v>
      </c>
      <c r="U713" s="2">
        <v>2.32656906087621</v>
      </c>
      <c r="V713" s="2">
        <v>3.2647985212211901</v>
      </c>
      <c r="W713" s="2">
        <v>2.3579809306138801</v>
      </c>
      <c r="X713" s="2">
        <v>1.26331008171917</v>
      </c>
      <c r="Y713" s="2">
        <v>0</v>
      </c>
      <c r="Z713" s="2">
        <v>5.2347613087034697</v>
      </c>
      <c r="AA713" s="3">
        <f t="shared" si="34"/>
        <v>28.32006412263933</v>
      </c>
      <c r="AB713" t="s">
        <v>45</v>
      </c>
      <c r="AC713">
        <v>21.05</v>
      </c>
      <c r="AD713">
        <v>123.13</v>
      </c>
      <c r="AE713">
        <v>32.69</v>
      </c>
      <c r="AF713">
        <v>27.63</v>
      </c>
      <c r="AG713">
        <v>46.34</v>
      </c>
      <c r="AH713">
        <v>37.979999999999997</v>
      </c>
      <c r="AI713">
        <v>110.38</v>
      </c>
      <c r="AJ713">
        <v>93.05</v>
      </c>
      <c r="AK713">
        <v>32.880000000000003</v>
      </c>
      <c r="AL713">
        <v>38.81</v>
      </c>
      <c r="AM713">
        <v>9.99</v>
      </c>
      <c r="AN713">
        <v>55.44</v>
      </c>
      <c r="AO713" s="1">
        <f t="shared" si="35"/>
        <v>629.37000000000012</v>
      </c>
    </row>
    <row r="714" spans="1:41" x14ac:dyDescent="0.25">
      <c r="A714" t="s">
        <v>757</v>
      </c>
      <c r="B714" s="2">
        <v>1098.2919183527499</v>
      </c>
      <c r="C714" s="2">
        <v>1144.7717871371101</v>
      </c>
      <c r="D714" s="2">
        <v>3127.7245522483299</v>
      </c>
      <c r="E714" s="2">
        <v>5957.8990359997197</v>
      </c>
      <c r="F714" s="2">
        <v>1317.06900013732</v>
      </c>
      <c r="G714" s="2">
        <v>441.98644062858699</v>
      </c>
      <c r="H714" s="2">
        <v>178.592516092154</v>
      </c>
      <c r="I714" s="2">
        <v>1775.9593635569599</v>
      </c>
      <c r="J714" s="2">
        <v>8214.0527534570392</v>
      </c>
      <c r="K714" s="2">
        <v>0</v>
      </c>
      <c r="L714" s="2">
        <v>254.43470081176801</v>
      </c>
      <c r="M714" s="2">
        <v>3505.73224206343</v>
      </c>
      <c r="N714" s="3">
        <f t="shared" si="33"/>
        <v>27016.514310485167</v>
      </c>
      <c r="O714" s="2">
        <v>1.75077104353633</v>
      </c>
      <c r="P714" s="2">
        <v>8.6122597939654604</v>
      </c>
      <c r="Q714" s="2">
        <v>2.9492414938107601</v>
      </c>
      <c r="R714" s="2">
        <v>4.8210728130283398</v>
      </c>
      <c r="S714" s="2">
        <v>0</v>
      </c>
      <c r="T714" s="2">
        <v>4.4476133372643103</v>
      </c>
      <c r="U714" s="2">
        <v>1.20788379482482</v>
      </c>
      <c r="V714" s="2">
        <v>0.44382440934203499</v>
      </c>
      <c r="W714" s="2">
        <v>3.9218466623792398</v>
      </c>
      <c r="X714" s="2">
        <v>2.3320437098273601</v>
      </c>
      <c r="Y714" s="2">
        <v>2.8435916743499701</v>
      </c>
      <c r="Z714" s="2">
        <v>1.1542094736581801</v>
      </c>
      <c r="AA714" s="3">
        <f t="shared" si="34"/>
        <v>34.484358205986808</v>
      </c>
      <c r="AB714" t="s">
        <v>63</v>
      </c>
      <c r="AC714">
        <v>22.16</v>
      </c>
      <c r="AD714">
        <v>23.71</v>
      </c>
      <c r="AE714">
        <v>62.83</v>
      </c>
      <c r="AF714">
        <v>119.61</v>
      </c>
      <c r="AG714">
        <v>26.36</v>
      </c>
      <c r="AH714">
        <v>9.2899999999999991</v>
      </c>
      <c r="AI714">
        <v>3.76</v>
      </c>
      <c r="AJ714">
        <v>35.61</v>
      </c>
      <c r="AK714">
        <v>164.66</v>
      </c>
      <c r="AL714">
        <v>0.27</v>
      </c>
      <c r="AM714">
        <v>5.37</v>
      </c>
      <c r="AN714">
        <v>70.3</v>
      </c>
      <c r="AO714" s="1">
        <f t="shared" si="35"/>
        <v>543.92999999999995</v>
      </c>
    </row>
    <row r="715" spans="1:41" x14ac:dyDescent="0.25">
      <c r="A715" t="s">
        <v>758</v>
      </c>
      <c r="B715" s="2">
        <v>1094.9815765327201</v>
      </c>
      <c r="C715" s="2">
        <v>2760.1349949815499</v>
      </c>
      <c r="D715" s="2">
        <v>8196.9457864023698</v>
      </c>
      <c r="E715" s="2">
        <v>11609.733239864399</v>
      </c>
      <c r="F715" s="2">
        <v>6494.5907458635602</v>
      </c>
      <c r="G715" s="2">
        <v>7184.15467837504</v>
      </c>
      <c r="H715" s="2">
        <v>3888.2537570468899</v>
      </c>
      <c r="I715" s="2">
        <v>332.23861326203098</v>
      </c>
      <c r="J715" s="2">
        <v>5032.8520683347797</v>
      </c>
      <c r="K715" s="2">
        <v>12855.7910954196</v>
      </c>
      <c r="L715" s="2">
        <v>2095.2324845010098</v>
      </c>
      <c r="M715" s="2">
        <v>1951.0236131480599</v>
      </c>
      <c r="N715" s="3">
        <f t="shared" si="33"/>
        <v>63495.932653732008</v>
      </c>
      <c r="O715" s="2">
        <v>1.5174682549323999</v>
      </c>
      <c r="P715" s="2">
        <v>10.080706187533099</v>
      </c>
      <c r="Q715" s="2">
        <v>7.37635139220016</v>
      </c>
      <c r="R715" s="2">
        <v>6.6678556404320704</v>
      </c>
      <c r="S715" s="2">
        <v>2.9749986293527901</v>
      </c>
      <c r="T715" s="2">
        <v>4.2400570623380203</v>
      </c>
      <c r="U715" s="2">
        <v>2.5959584010654702</v>
      </c>
      <c r="V715" s="2">
        <v>3.4993646728480998</v>
      </c>
      <c r="W715" s="2">
        <v>3.8322320883120802</v>
      </c>
      <c r="X715" s="2">
        <v>7.3838612125912197</v>
      </c>
      <c r="Y715" s="2">
        <v>9.1153896802503809</v>
      </c>
      <c r="Z715" s="2">
        <v>1.82949092771856</v>
      </c>
      <c r="AA715" s="3">
        <f t="shared" si="34"/>
        <v>61.113734149574348</v>
      </c>
      <c r="AB715" t="s">
        <v>45</v>
      </c>
      <c r="AC715">
        <v>21.04</v>
      </c>
      <c r="AD715">
        <v>38.15</v>
      </c>
      <c r="AE715">
        <v>92.36</v>
      </c>
      <c r="AF715">
        <v>126.44</v>
      </c>
      <c r="AG715">
        <v>75.09</v>
      </c>
      <c r="AH715">
        <v>82.09</v>
      </c>
      <c r="AI715">
        <v>49.03</v>
      </c>
      <c r="AJ715">
        <v>13.52</v>
      </c>
      <c r="AK715">
        <v>60.52</v>
      </c>
      <c r="AL715">
        <v>138.94999999999999</v>
      </c>
      <c r="AM715">
        <v>31.45</v>
      </c>
      <c r="AN715">
        <v>29.61</v>
      </c>
      <c r="AO715" s="1">
        <f t="shared" si="35"/>
        <v>758.25000000000011</v>
      </c>
    </row>
    <row r="716" spans="1:41" x14ac:dyDescent="0.25">
      <c r="A716" t="s">
        <v>759</v>
      </c>
      <c r="B716" s="2">
        <v>1093.7883013857199</v>
      </c>
      <c r="C716" s="2">
        <v>3598.0488263226698</v>
      </c>
      <c r="D716" s="2">
        <v>2207.1787797002798</v>
      </c>
      <c r="E716" s="2">
        <v>2939.3807026197101</v>
      </c>
      <c r="F716" s="2">
        <v>2836.2315466198802</v>
      </c>
      <c r="G716" s="2">
        <v>8729.3128338905099</v>
      </c>
      <c r="H716" s="2">
        <v>3790.92806152208</v>
      </c>
      <c r="I716" s="2">
        <v>9338.1835300684797</v>
      </c>
      <c r="J716" s="2">
        <v>2910.5485390653298</v>
      </c>
      <c r="K716" s="2">
        <v>436.901745394599</v>
      </c>
      <c r="L716" s="2">
        <v>1550.46036239656</v>
      </c>
      <c r="M716" s="2">
        <v>3423.5434926267799</v>
      </c>
      <c r="N716" s="3">
        <f t="shared" si="33"/>
        <v>42854.50672161259</v>
      </c>
      <c r="O716" s="2">
        <v>1.63046193134128</v>
      </c>
      <c r="P716" s="2">
        <v>0</v>
      </c>
      <c r="Q716" s="2">
        <v>2.0839872229131999</v>
      </c>
      <c r="R716" s="2">
        <v>1.4957650667675599</v>
      </c>
      <c r="S716" s="2">
        <v>1.5138398969905</v>
      </c>
      <c r="T716" s="2">
        <v>4.0391748598805997</v>
      </c>
      <c r="U716" s="2">
        <v>5.2441650532300601</v>
      </c>
      <c r="V716" s="2">
        <v>7.8528740833563999</v>
      </c>
      <c r="W716" s="2">
        <v>2.18032991228776</v>
      </c>
      <c r="X716" s="2">
        <v>1.4850053271089501</v>
      </c>
      <c r="Y716" s="2">
        <v>2.11594848069462</v>
      </c>
      <c r="Z716" s="2">
        <v>16.577790972737802</v>
      </c>
      <c r="AA716" s="3">
        <f t="shared" si="34"/>
        <v>46.219342807308735</v>
      </c>
      <c r="AB716" t="s">
        <v>45</v>
      </c>
      <c r="AC716">
        <v>21.03</v>
      </c>
      <c r="AD716">
        <v>45.98</v>
      </c>
      <c r="AE716">
        <v>32.22</v>
      </c>
      <c r="AF716">
        <v>39.49</v>
      </c>
      <c r="AG716">
        <v>38.46</v>
      </c>
      <c r="AH716">
        <v>97.54</v>
      </c>
      <c r="AI716">
        <v>48.2</v>
      </c>
      <c r="AJ716">
        <v>103.78</v>
      </c>
      <c r="AK716">
        <v>39.25</v>
      </c>
      <c r="AL716">
        <v>14.46</v>
      </c>
      <c r="AM716">
        <v>25.65</v>
      </c>
      <c r="AN716">
        <v>45.08</v>
      </c>
      <c r="AO716" s="1">
        <f t="shared" si="35"/>
        <v>551.14</v>
      </c>
    </row>
    <row r="717" spans="1:41" x14ac:dyDescent="0.25">
      <c r="A717" t="s">
        <v>760</v>
      </c>
      <c r="B717" s="2">
        <v>1081.9658597364901</v>
      </c>
      <c r="C717" s="2">
        <v>19022.750693984301</v>
      </c>
      <c r="D717" s="2">
        <v>8540.8728020032704</v>
      </c>
      <c r="E717" s="2">
        <v>4379.9320819737804</v>
      </c>
      <c r="F717" s="2">
        <v>7440.6985190183204</v>
      </c>
      <c r="G717" s="2">
        <v>9565.0634669673</v>
      </c>
      <c r="H717" s="2">
        <v>3226.0868816874799</v>
      </c>
      <c r="I717" s="2">
        <v>3062.3419824144898</v>
      </c>
      <c r="J717" s="2">
        <v>8330.9314525249792</v>
      </c>
      <c r="K717" s="2">
        <v>2822.55489521134</v>
      </c>
      <c r="L717" s="2">
        <v>206.324012968478</v>
      </c>
      <c r="M717" s="2">
        <v>1947.9606106547401</v>
      </c>
      <c r="N717" s="3">
        <f t="shared" si="33"/>
        <v>69627.483259144967</v>
      </c>
      <c r="O717" s="2">
        <v>3.6175181146876398</v>
      </c>
      <c r="P717" s="2">
        <v>4.29476801203531</v>
      </c>
      <c r="Q717" s="2">
        <v>0.50708734487554596</v>
      </c>
      <c r="R717" s="2">
        <v>11.5045271226436</v>
      </c>
      <c r="S717" s="2">
        <v>6.7931197572026001</v>
      </c>
      <c r="T717" s="2">
        <v>3.7695607124878299</v>
      </c>
      <c r="U717" s="2">
        <v>1.97673748331076</v>
      </c>
      <c r="V717" s="2">
        <v>0.176834646958935</v>
      </c>
      <c r="W717" s="2">
        <v>1.4195859785045599</v>
      </c>
      <c r="X717" s="2">
        <v>1.70577194925901</v>
      </c>
      <c r="Y717" s="2">
        <v>1.47117200812715</v>
      </c>
      <c r="Z717" s="2">
        <v>14.359437516591999</v>
      </c>
      <c r="AA717" s="3">
        <f t="shared" si="34"/>
        <v>51.596120646684938</v>
      </c>
      <c r="AB717" t="s">
        <v>45</v>
      </c>
      <c r="AC717">
        <v>21.01</v>
      </c>
      <c r="AD717">
        <v>200.47</v>
      </c>
      <c r="AE717">
        <v>95.45</v>
      </c>
      <c r="AF717">
        <v>54.39</v>
      </c>
      <c r="AG717">
        <v>84.75</v>
      </c>
      <c r="AH717">
        <v>105.85</v>
      </c>
      <c r="AI717">
        <v>42.36</v>
      </c>
      <c r="AJ717">
        <v>40.67</v>
      </c>
      <c r="AK717">
        <v>93.4</v>
      </c>
      <c r="AL717">
        <v>38.32</v>
      </c>
      <c r="AM717">
        <v>12.16</v>
      </c>
      <c r="AN717">
        <v>30.22</v>
      </c>
      <c r="AO717" s="1">
        <f t="shared" si="35"/>
        <v>819.05</v>
      </c>
    </row>
    <row r="718" spans="1:41" x14ac:dyDescent="0.25">
      <c r="A718" t="s">
        <v>761</v>
      </c>
      <c r="B718" s="2">
        <v>1081.7193548610301</v>
      </c>
      <c r="C718" s="2">
        <v>5831.5431805148601</v>
      </c>
      <c r="D718" s="2">
        <v>2727.8585383526201</v>
      </c>
      <c r="E718" s="2">
        <v>315.98944610200903</v>
      </c>
      <c r="F718" s="2">
        <v>1363.94983559864</v>
      </c>
      <c r="G718" s="2">
        <v>2743.8727891028798</v>
      </c>
      <c r="H718" s="2">
        <v>1419.6171865424801</v>
      </c>
      <c r="I718" s="2">
        <v>5700.12511397861</v>
      </c>
      <c r="J718" s="2">
        <v>3640.0045738363901</v>
      </c>
      <c r="K718" s="2">
        <v>1646.9084877779201</v>
      </c>
      <c r="L718" s="2">
        <v>9382.9654416177891</v>
      </c>
      <c r="M718" s="2">
        <v>1945.5484491531499</v>
      </c>
      <c r="N718" s="3">
        <f t="shared" si="33"/>
        <v>37800.102397438386</v>
      </c>
      <c r="O718" s="2">
        <v>2.2034163391494199</v>
      </c>
      <c r="P718" s="2">
        <v>2.7086181839410299</v>
      </c>
      <c r="Q718" s="2">
        <v>0</v>
      </c>
      <c r="R718" s="2">
        <v>2.4652477184535999</v>
      </c>
      <c r="S718" s="2">
        <v>13.8167468907093</v>
      </c>
      <c r="T718" s="2">
        <v>13.452809531533401</v>
      </c>
      <c r="U718" s="2">
        <v>2.8195825868698501</v>
      </c>
      <c r="V718" s="2">
        <v>0.99277666174599999</v>
      </c>
      <c r="W718" s="2">
        <v>1.2341646970551201</v>
      </c>
      <c r="X718" s="2">
        <v>2.5871780462554099</v>
      </c>
      <c r="Y718" s="2">
        <v>12.8304533721052</v>
      </c>
      <c r="Z718" s="2">
        <v>1.1505340180563</v>
      </c>
      <c r="AA718" s="3">
        <f t="shared" si="34"/>
        <v>56.261528045874634</v>
      </c>
      <c r="AB718" t="s">
        <v>45</v>
      </c>
      <c r="AC718">
        <v>20.96</v>
      </c>
      <c r="AD718">
        <v>68.459999999999994</v>
      </c>
      <c r="AE718">
        <v>37.270000000000003</v>
      </c>
      <c r="AF718">
        <v>13.3</v>
      </c>
      <c r="AG718">
        <v>24.33</v>
      </c>
      <c r="AH718">
        <v>38.130000000000003</v>
      </c>
      <c r="AI718">
        <v>24.34</v>
      </c>
      <c r="AJ718">
        <v>67.05</v>
      </c>
      <c r="AK718">
        <v>46.5</v>
      </c>
      <c r="AL718">
        <v>26.61</v>
      </c>
      <c r="AM718">
        <v>104.47</v>
      </c>
      <c r="AN718">
        <v>29.55</v>
      </c>
      <c r="AO718" s="1">
        <f t="shared" si="35"/>
        <v>500.96999999999997</v>
      </c>
    </row>
    <row r="719" spans="1:41" x14ac:dyDescent="0.25">
      <c r="A719" t="s">
        <v>762</v>
      </c>
      <c r="B719" s="2">
        <v>1076.3565692050699</v>
      </c>
      <c r="C719" s="2">
        <v>6519.1073531347602</v>
      </c>
      <c r="D719" s="2">
        <v>167.67049561184501</v>
      </c>
      <c r="E719" s="2">
        <v>1035.72648227994</v>
      </c>
      <c r="F719" s="2">
        <v>2041.94151635867</v>
      </c>
      <c r="G719" s="2">
        <v>206.168813101832</v>
      </c>
      <c r="H719" s="2">
        <v>2668.02802397594</v>
      </c>
      <c r="I719" s="2">
        <v>8092.0499725273603</v>
      </c>
      <c r="J719" s="2">
        <v>1700.73749028623</v>
      </c>
      <c r="K719" s="2">
        <v>3525.3621829869699</v>
      </c>
      <c r="L719" s="2">
        <v>2175.2793523986902</v>
      </c>
      <c r="M719" s="2">
        <v>0</v>
      </c>
      <c r="N719" s="3">
        <f t="shared" si="33"/>
        <v>29208.42825186731</v>
      </c>
      <c r="O719" s="2">
        <v>0</v>
      </c>
      <c r="P719" s="2">
        <v>10.5854560782784</v>
      </c>
      <c r="Q719" s="2">
        <v>2.3361614562682802</v>
      </c>
      <c r="R719" s="2">
        <v>0</v>
      </c>
      <c r="S719" s="2">
        <v>3.4647491770027301</v>
      </c>
      <c r="T719" s="2">
        <v>17.0382016079183</v>
      </c>
      <c r="U719" s="2">
        <v>3.56927828404987</v>
      </c>
      <c r="V719" s="2">
        <v>2.66920516178959</v>
      </c>
      <c r="W719" s="2">
        <v>3.0689136533843602</v>
      </c>
      <c r="X719" s="2">
        <v>0.31042370725774798</v>
      </c>
      <c r="Y719" s="2">
        <v>0</v>
      </c>
      <c r="Z719" s="2">
        <v>1.43544565006821</v>
      </c>
      <c r="AA719" s="3">
        <f t="shared" si="34"/>
        <v>44.477834776017488</v>
      </c>
      <c r="AB719" t="s">
        <v>63</v>
      </c>
      <c r="AC719">
        <v>21.54</v>
      </c>
      <c r="AD719">
        <v>131.38999999999999</v>
      </c>
      <c r="AE719">
        <v>3.63</v>
      </c>
      <c r="AF719">
        <v>20.72</v>
      </c>
      <c r="AG719">
        <v>41.2</v>
      </c>
      <c r="AH719">
        <v>5.76</v>
      </c>
      <c r="AI719">
        <v>53.74</v>
      </c>
      <c r="AJ719">
        <v>162.13</v>
      </c>
      <c r="AK719">
        <v>34.380000000000003</v>
      </c>
      <c r="AL719">
        <v>70.61</v>
      </c>
      <c r="AM719">
        <v>43.52</v>
      </c>
      <c r="AN719">
        <v>0.18</v>
      </c>
      <c r="AO719" s="1">
        <f t="shared" si="35"/>
        <v>588.79999999999984</v>
      </c>
    </row>
    <row r="720" spans="1:41" x14ac:dyDescent="0.25">
      <c r="A720" t="s">
        <v>763</v>
      </c>
      <c r="B720" s="2">
        <v>1073.4601109469299</v>
      </c>
      <c r="C720" s="2">
        <v>10567.0054296792</v>
      </c>
      <c r="D720" s="2">
        <v>706.123598593373</v>
      </c>
      <c r="E720" s="2">
        <v>1242.3537144332599</v>
      </c>
      <c r="F720" s="2">
        <v>77.240696048124903</v>
      </c>
      <c r="G720" s="2">
        <v>947.87358942894798</v>
      </c>
      <c r="H720" s="2">
        <v>9080.3968409020399</v>
      </c>
      <c r="I720" s="2">
        <v>13744.5504027443</v>
      </c>
      <c r="J720" s="2">
        <v>11086.2087331083</v>
      </c>
      <c r="K720" s="2">
        <v>6736.17697125823</v>
      </c>
      <c r="L720" s="2">
        <v>7495.5785725817996</v>
      </c>
      <c r="M720" s="2">
        <v>2920.75414842502</v>
      </c>
      <c r="N720" s="3">
        <f t="shared" si="33"/>
        <v>65677.722808149527</v>
      </c>
      <c r="O720" s="2">
        <v>9.7061343462031306</v>
      </c>
      <c r="P720" s="2">
        <v>4.0163682968985599</v>
      </c>
      <c r="Q720" s="2">
        <v>1.98683138157503</v>
      </c>
      <c r="R720" s="2">
        <v>0.56461859709940199</v>
      </c>
      <c r="S720" s="2">
        <v>1.38226159251821</v>
      </c>
      <c r="T720" s="2">
        <v>8.6708568719354897</v>
      </c>
      <c r="U720" s="2">
        <v>4.17735236668228</v>
      </c>
      <c r="V720" s="2">
        <v>1.96889146265705</v>
      </c>
      <c r="W720" s="2">
        <v>0.80683816418006504</v>
      </c>
      <c r="X720" s="2">
        <v>0</v>
      </c>
      <c r="Y720" s="2">
        <v>14.8896089020906</v>
      </c>
      <c r="Z720" s="2">
        <v>3.39982582196664</v>
      </c>
      <c r="AA720" s="3">
        <f t="shared" si="34"/>
        <v>51.569587803806449</v>
      </c>
      <c r="AB720" t="s">
        <v>63</v>
      </c>
      <c r="AC720">
        <v>22.38</v>
      </c>
      <c r="AD720">
        <v>211.81</v>
      </c>
      <c r="AE720">
        <v>14.32</v>
      </c>
      <c r="AF720">
        <v>24.95</v>
      </c>
      <c r="AG720">
        <v>1.74</v>
      </c>
      <c r="AH720">
        <v>19.77</v>
      </c>
      <c r="AI720">
        <v>182.07</v>
      </c>
      <c r="AJ720">
        <v>275.08</v>
      </c>
      <c r="AK720">
        <v>221.83</v>
      </c>
      <c r="AL720">
        <v>134.74</v>
      </c>
      <c r="AM720">
        <v>151.27000000000001</v>
      </c>
      <c r="AN720">
        <v>58.78</v>
      </c>
      <c r="AO720" s="1">
        <f t="shared" si="35"/>
        <v>1318.74</v>
      </c>
    </row>
    <row r="721" spans="1:41" x14ac:dyDescent="0.25">
      <c r="A721" t="s">
        <v>764</v>
      </c>
      <c r="B721" s="2">
        <v>1071.6606963310501</v>
      </c>
      <c r="C721" s="2">
        <v>3325.9621751012501</v>
      </c>
      <c r="D721" s="2">
        <v>7739.01149557797</v>
      </c>
      <c r="E721" s="2">
        <v>12770.9181720943</v>
      </c>
      <c r="F721" s="2">
        <v>744.316804852102</v>
      </c>
      <c r="G721" s="2">
        <v>485.741830954303</v>
      </c>
      <c r="H721" s="2">
        <v>3748.29822672828</v>
      </c>
      <c r="I721" s="2">
        <v>1155.0609203081599</v>
      </c>
      <c r="J721" s="2">
        <v>0</v>
      </c>
      <c r="K721" s="2">
        <v>2108.68157655097</v>
      </c>
      <c r="L721" s="2">
        <v>5722.90327078051</v>
      </c>
      <c r="M721" s="2">
        <v>5890.7132530929202</v>
      </c>
      <c r="N721" s="3">
        <f t="shared" si="33"/>
        <v>44763.26842237181</v>
      </c>
      <c r="O721" s="2">
        <v>2.9485693621629698</v>
      </c>
      <c r="P721" s="2">
        <v>6.4560459966359298</v>
      </c>
      <c r="Q721" s="2">
        <v>1.40411282516679</v>
      </c>
      <c r="R721" s="2">
        <v>3.0368103857055901</v>
      </c>
      <c r="S721" s="2">
        <v>0.27348956272085501</v>
      </c>
      <c r="T721" s="2">
        <v>4.1093805344543197</v>
      </c>
      <c r="U721" s="2">
        <v>0.38288977023593201</v>
      </c>
      <c r="V721" s="2">
        <v>9.3750372698729691</v>
      </c>
      <c r="W721" s="2">
        <v>16.174081003731001</v>
      </c>
      <c r="X721" s="2">
        <v>13.9065336798341</v>
      </c>
      <c r="Y721" s="2">
        <v>5.0236240646442001</v>
      </c>
      <c r="Z721" s="2">
        <v>0</v>
      </c>
      <c r="AA721" s="3">
        <f t="shared" si="34"/>
        <v>63.090574455164656</v>
      </c>
      <c r="AB721" t="s">
        <v>45</v>
      </c>
      <c r="AC721">
        <v>20.86</v>
      </c>
      <c r="AD721">
        <v>43.6</v>
      </c>
      <c r="AE721">
        <v>87.49</v>
      </c>
      <c r="AF721">
        <v>137.9</v>
      </c>
      <c r="AG721">
        <v>17.489999999999998</v>
      </c>
      <c r="AH721">
        <v>15.1</v>
      </c>
      <c r="AI721">
        <v>47.53</v>
      </c>
      <c r="AJ721">
        <v>22.05</v>
      </c>
      <c r="AK721">
        <v>10.84</v>
      </c>
      <c r="AL721">
        <v>31.78</v>
      </c>
      <c r="AM721">
        <v>67.52</v>
      </c>
      <c r="AN721">
        <v>68.900000000000006</v>
      </c>
      <c r="AO721" s="1">
        <f t="shared" si="35"/>
        <v>571.05999999999995</v>
      </c>
    </row>
    <row r="722" spans="1:41" x14ac:dyDescent="0.25">
      <c r="A722" t="s">
        <v>765</v>
      </c>
      <c r="B722" s="2">
        <v>1060.9071911266999</v>
      </c>
      <c r="C722" s="2">
        <v>4315.2055583930396</v>
      </c>
      <c r="D722" s="2">
        <v>4312.4460802140502</v>
      </c>
      <c r="E722" s="2">
        <v>2489.7033839268502</v>
      </c>
      <c r="F722" s="2">
        <v>0</v>
      </c>
      <c r="G722" s="2">
        <v>9561.7219550938007</v>
      </c>
      <c r="H722" s="2">
        <v>1301.97535061339</v>
      </c>
      <c r="I722" s="2">
        <v>5449.5544059773802</v>
      </c>
      <c r="J722" s="2">
        <v>3430.2832603779898</v>
      </c>
      <c r="K722" s="2">
        <v>4176.9888848203</v>
      </c>
      <c r="L722" s="2">
        <v>9165.8336063804309</v>
      </c>
      <c r="M722" s="2">
        <v>4864.7156222430904</v>
      </c>
      <c r="N722" s="3">
        <f t="shared" si="33"/>
        <v>50129.335299167018</v>
      </c>
      <c r="O722" s="2">
        <v>4.0703438075205201</v>
      </c>
      <c r="P722" s="2">
        <v>2.9855890012430102</v>
      </c>
      <c r="Q722" s="2">
        <v>2.9767880041744501</v>
      </c>
      <c r="R722" s="2">
        <v>0.78191838229600596</v>
      </c>
      <c r="S722" s="2">
        <v>0</v>
      </c>
      <c r="T722" s="2">
        <v>2.8502485609011101</v>
      </c>
      <c r="U722" s="2">
        <v>1.07568079481225</v>
      </c>
      <c r="V722" s="2">
        <v>6.1013220458910702</v>
      </c>
      <c r="W722" s="2">
        <v>0.86754459663522698</v>
      </c>
      <c r="X722" s="2">
        <v>5.5482995244772599</v>
      </c>
      <c r="Y722" s="2">
        <v>1.6508891733514499</v>
      </c>
      <c r="Z722" s="2">
        <v>4.0557342454305001</v>
      </c>
      <c r="AA722" s="3">
        <f t="shared" si="34"/>
        <v>32.964358136732855</v>
      </c>
      <c r="AB722" t="s">
        <v>45</v>
      </c>
      <c r="AC722">
        <v>20.85</v>
      </c>
      <c r="AD722">
        <v>53.3</v>
      </c>
      <c r="AE722">
        <v>53.27</v>
      </c>
      <c r="AF722">
        <v>34.94</v>
      </c>
      <c r="AG722">
        <v>9.99</v>
      </c>
      <c r="AH722">
        <v>105.76</v>
      </c>
      <c r="AI722">
        <v>23.11</v>
      </c>
      <c r="AJ722">
        <v>64.84</v>
      </c>
      <c r="AK722">
        <v>44.35</v>
      </c>
      <c r="AL722">
        <v>52.06</v>
      </c>
      <c r="AM722">
        <v>101.75</v>
      </c>
      <c r="AN722">
        <v>58.89</v>
      </c>
      <c r="AO722" s="1">
        <f t="shared" si="35"/>
        <v>623.11</v>
      </c>
    </row>
    <row r="723" spans="1:41" x14ac:dyDescent="0.25">
      <c r="A723" t="s">
        <v>766</v>
      </c>
      <c r="B723" s="2">
        <v>1048.0258708072899</v>
      </c>
      <c r="C723" s="2">
        <v>0</v>
      </c>
      <c r="D723" s="2">
        <v>0</v>
      </c>
      <c r="E723" s="2">
        <v>6164.6389782343203</v>
      </c>
      <c r="F723" s="2">
        <v>5609.9007875723601</v>
      </c>
      <c r="G723" s="2">
        <v>1242.3902312277401</v>
      </c>
      <c r="H723" s="2">
        <v>5819.3610485359404</v>
      </c>
      <c r="I723" s="2">
        <v>645.35844891946499</v>
      </c>
      <c r="J723" s="2">
        <v>2725.8762837132399</v>
      </c>
      <c r="K723" s="2">
        <v>6989.32547786738</v>
      </c>
      <c r="L723" s="2">
        <v>6143.0626196482399</v>
      </c>
      <c r="M723" s="2">
        <v>2350.1229658349998</v>
      </c>
      <c r="N723" s="3">
        <f t="shared" si="33"/>
        <v>38738.062712360974</v>
      </c>
      <c r="O723" s="2">
        <v>6.4498948274719998</v>
      </c>
      <c r="P723" s="2">
        <v>6.5584259359715897</v>
      </c>
      <c r="Q723" s="2">
        <v>0.24281146259852199</v>
      </c>
      <c r="R723" s="2">
        <v>12.227831722061101</v>
      </c>
      <c r="S723" s="2">
        <v>2.6845314008557799</v>
      </c>
      <c r="T723" s="2">
        <v>2.9295556620841099</v>
      </c>
      <c r="U723" s="2">
        <v>5.0694713926594401</v>
      </c>
      <c r="V723" s="2">
        <v>7.7596298933133099</v>
      </c>
      <c r="W723" s="2">
        <v>12.151333629853299</v>
      </c>
      <c r="X723" s="2">
        <v>0.80107662227545795</v>
      </c>
      <c r="Y723" s="2">
        <v>8.9731217859871304</v>
      </c>
      <c r="Z723" s="2">
        <v>0.54245694468297301</v>
      </c>
      <c r="AA723" s="3">
        <f t="shared" si="34"/>
        <v>66.390141279814699</v>
      </c>
      <c r="AB723" t="s">
        <v>45</v>
      </c>
      <c r="AC723">
        <v>20.83</v>
      </c>
      <c r="AD723">
        <v>10.34</v>
      </c>
      <c r="AE723">
        <v>10.039999999999999</v>
      </c>
      <c r="AF723">
        <v>72.290000000000006</v>
      </c>
      <c r="AG723">
        <v>66.239999999999995</v>
      </c>
      <c r="AH723">
        <v>22.57</v>
      </c>
      <c r="AI723">
        <v>68.489999999999995</v>
      </c>
      <c r="AJ723">
        <v>16.850000000000001</v>
      </c>
      <c r="AK723">
        <v>37.9</v>
      </c>
      <c r="AL723">
        <v>79.94</v>
      </c>
      <c r="AM723">
        <v>71.88</v>
      </c>
      <c r="AN723">
        <v>33.549999999999997</v>
      </c>
      <c r="AO723" s="1">
        <f t="shared" si="35"/>
        <v>510.92</v>
      </c>
    </row>
    <row r="724" spans="1:41" x14ac:dyDescent="0.25">
      <c r="A724" t="s">
        <v>767</v>
      </c>
      <c r="B724" s="2">
        <v>1046.96468771894</v>
      </c>
      <c r="C724" s="2">
        <v>3140.35273727102</v>
      </c>
      <c r="D724" s="2">
        <v>1253.78185153305</v>
      </c>
      <c r="E724" s="2">
        <v>5508.2748967479502</v>
      </c>
      <c r="F724" s="2">
        <v>2397.7299970966301</v>
      </c>
      <c r="G724" s="2">
        <v>846.44422076186697</v>
      </c>
      <c r="H724" s="2">
        <v>14698.6078886385</v>
      </c>
      <c r="I724" s="2">
        <v>1110.91056108918</v>
      </c>
      <c r="J724" s="2">
        <v>3905.2215100936701</v>
      </c>
      <c r="K724" s="2">
        <v>16958.6129756792</v>
      </c>
      <c r="L724" s="2">
        <v>4459.7125157931896</v>
      </c>
      <c r="M724" s="2">
        <v>5520.4847091568799</v>
      </c>
      <c r="N724" s="3">
        <f t="shared" si="33"/>
        <v>60847.098551580078</v>
      </c>
      <c r="O724" s="2">
        <v>1.04970499453123</v>
      </c>
      <c r="P724" s="2">
        <v>1.0468962324909601</v>
      </c>
      <c r="Q724" s="2">
        <v>4.6955697461711896</v>
      </c>
      <c r="R724" s="2">
        <v>0.97798521101305302</v>
      </c>
      <c r="S724" s="2">
        <v>1.6754456268410201</v>
      </c>
      <c r="T724" s="2">
        <v>2.8541105125810402</v>
      </c>
      <c r="U724" s="2">
        <v>5.2100050225807104</v>
      </c>
      <c r="V724" s="2">
        <v>7.0061405275765098</v>
      </c>
      <c r="W724" s="2">
        <v>10.5109647751529</v>
      </c>
      <c r="X724" s="2">
        <v>3.41336931325892</v>
      </c>
      <c r="Y724" s="2">
        <v>13.7046845579798</v>
      </c>
      <c r="Z724" s="2">
        <v>7.8465219160214499</v>
      </c>
      <c r="AA724" s="3">
        <f t="shared" si="34"/>
        <v>59.991398436198786</v>
      </c>
      <c r="AB724" t="s">
        <v>45</v>
      </c>
      <c r="AC724">
        <v>20.56</v>
      </c>
      <c r="AD724">
        <v>41.5</v>
      </c>
      <c r="AE724">
        <v>22.78</v>
      </c>
      <c r="AF724">
        <v>65.13</v>
      </c>
      <c r="AG724">
        <v>34.07</v>
      </c>
      <c r="AH724">
        <v>18.61</v>
      </c>
      <c r="AI724">
        <v>157.28</v>
      </c>
      <c r="AJ724">
        <v>21.5</v>
      </c>
      <c r="AK724">
        <v>49.6</v>
      </c>
      <c r="AL724">
        <v>179.78</v>
      </c>
      <c r="AM724">
        <v>55.29</v>
      </c>
      <c r="AN724">
        <v>65.599999999999994</v>
      </c>
      <c r="AO724" s="1">
        <f t="shared" si="35"/>
        <v>731.69999999999993</v>
      </c>
    </row>
    <row r="725" spans="1:41" x14ac:dyDescent="0.25">
      <c r="A725" t="s">
        <v>768</v>
      </c>
      <c r="B725" s="2">
        <v>1043.56960835938</v>
      </c>
      <c r="C725" s="2">
        <v>10527.2665191621</v>
      </c>
      <c r="D725" s="2">
        <v>8502.9631853230894</v>
      </c>
      <c r="E725" s="2">
        <v>338.71767873250297</v>
      </c>
      <c r="F725" s="2">
        <v>668.68049930540997</v>
      </c>
      <c r="G725" s="2">
        <v>1651.9625205201901</v>
      </c>
      <c r="H725" s="2">
        <v>1007.92259410589</v>
      </c>
      <c r="I725" s="2">
        <v>8391.0203053625992</v>
      </c>
      <c r="J725" s="2">
        <v>9589.2258263483309</v>
      </c>
      <c r="K725" s="2">
        <v>0</v>
      </c>
      <c r="L725" s="2">
        <v>2397.0918213800201</v>
      </c>
      <c r="M725" s="2">
        <v>3158.0989256781399</v>
      </c>
      <c r="N725" s="3">
        <f t="shared" si="33"/>
        <v>47276.519484277647</v>
      </c>
      <c r="O725" s="2">
        <v>4.9793329561298902</v>
      </c>
      <c r="P725" s="2">
        <v>0</v>
      </c>
      <c r="Q725" s="2">
        <v>0</v>
      </c>
      <c r="R725" s="2">
        <v>3.23619908097182</v>
      </c>
      <c r="S725" s="2">
        <v>12.9930794947738</v>
      </c>
      <c r="T725" s="2">
        <v>2.90041821039277</v>
      </c>
      <c r="U725" s="2">
        <v>3.3756322959046199</v>
      </c>
      <c r="V725" s="2">
        <v>1.5422466968292901</v>
      </c>
      <c r="W725" s="2">
        <v>2.5567128354417998</v>
      </c>
      <c r="X725" s="2">
        <v>0</v>
      </c>
      <c r="Y725" s="2">
        <v>2.8071157392362802</v>
      </c>
      <c r="Z725" s="2">
        <v>9.6356426272318796</v>
      </c>
      <c r="AA725" s="3">
        <f t="shared" si="34"/>
        <v>44.026379936912157</v>
      </c>
      <c r="AB725" t="s">
        <v>45</v>
      </c>
      <c r="AC725">
        <v>20.68</v>
      </c>
      <c r="AD725">
        <v>115.27</v>
      </c>
      <c r="AE725">
        <v>95.02</v>
      </c>
      <c r="AF725">
        <v>13.58</v>
      </c>
      <c r="AG725">
        <v>17.329999999999998</v>
      </c>
      <c r="AH725">
        <v>26.66</v>
      </c>
      <c r="AI725">
        <v>20.27</v>
      </c>
      <c r="AJ725">
        <v>94.01</v>
      </c>
      <c r="AK725">
        <v>106.04</v>
      </c>
      <c r="AL725">
        <v>9.99</v>
      </c>
      <c r="AM725">
        <v>34.119999999999997</v>
      </c>
      <c r="AN725">
        <v>42.08</v>
      </c>
      <c r="AO725" s="1">
        <f t="shared" si="35"/>
        <v>595.05000000000007</v>
      </c>
    </row>
    <row r="726" spans="1:41" x14ac:dyDescent="0.25">
      <c r="A726" t="s">
        <v>769</v>
      </c>
      <c r="B726" s="2">
        <v>1025.3185403928401</v>
      </c>
      <c r="C726" s="2">
        <v>2413.83613388192</v>
      </c>
      <c r="D726" s="2">
        <v>1461.16715187514</v>
      </c>
      <c r="E726" s="2">
        <v>7145.1453858921004</v>
      </c>
      <c r="F726" s="2">
        <v>2351.27804183131</v>
      </c>
      <c r="G726" s="2">
        <v>3875.0970888115498</v>
      </c>
      <c r="H726" s="2">
        <v>8163.9191915157498</v>
      </c>
      <c r="I726" s="2">
        <v>0</v>
      </c>
      <c r="J726" s="2">
        <v>0</v>
      </c>
      <c r="K726" s="2">
        <v>957.88840063221903</v>
      </c>
      <c r="L726" s="2">
        <v>555.72630537707698</v>
      </c>
      <c r="M726" s="2">
        <v>3109.6855542438998</v>
      </c>
      <c r="N726" s="3">
        <f t="shared" si="33"/>
        <v>31059.061794453806</v>
      </c>
      <c r="O726" s="2">
        <v>1.3676534907507401</v>
      </c>
      <c r="P726" s="2">
        <v>7.2865662587370901</v>
      </c>
      <c r="Q726" s="2">
        <v>1.5018460448651401</v>
      </c>
      <c r="R726" s="2">
        <v>1.6742964800429001</v>
      </c>
      <c r="S726" s="2">
        <v>3.1542326416944699</v>
      </c>
      <c r="T726" s="2">
        <v>7.0566724568836499</v>
      </c>
      <c r="U726" s="2">
        <v>4.7865991661690197</v>
      </c>
      <c r="V726" s="2">
        <v>3.71844378744195</v>
      </c>
      <c r="W726" s="2">
        <v>10.4358384537239</v>
      </c>
      <c r="X726" s="2">
        <v>9.0979949785748904</v>
      </c>
      <c r="Y726" s="2">
        <v>0.17216620457464701</v>
      </c>
      <c r="Z726" s="2">
        <v>13.449072195032199</v>
      </c>
      <c r="AA726" s="3">
        <f t="shared" si="34"/>
        <v>63.701382158490595</v>
      </c>
      <c r="AB726" t="s">
        <v>63</v>
      </c>
      <c r="AC726">
        <v>20.7</v>
      </c>
      <c r="AD726">
        <v>49</v>
      </c>
      <c r="AE726">
        <v>29.42</v>
      </c>
      <c r="AF726">
        <v>143.1</v>
      </c>
      <c r="AG726">
        <v>47.4</v>
      </c>
      <c r="AH726">
        <v>78.239999999999995</v>
      </c>
      <c r="AI726">
        <v>163.72999999999999</v>
      </c>
      <c r="AJ726">
        <v>0.36</v>
      </c>
      <c r="AK726">
        <v>0.99</v>
      </c>
      <c r="AL726">
        <v>20.059999999999999</v>
      </c>
      <c r="AM726">
        <v>11.21</v>
      </c>
      <c r="AN726">
        <v>63.46</v>
      </c>
      <c r="AO726" s="1">
        <f t="shared" si="35"/>
        <v>627.67000000000007</v>
      </c>
    </row>
    <row r="727" spans="1:41" x14ac:dyDescent="0.25">
      <c r="A727" t="s">
        <v>770</v>
      </c>
      <c r="B727" s="2">
        <v>1001.74251389279</v>
      </c>
      <c r="C727" s="2">
        <v>522.64356436396201</v>
      </c>
      <c r="D727" s="2">
        <v>1705.4292081881199</v>
      </c>
      <c r="E727" s="2">
        <v>2086.7524377744398</v>
      </c>
      <c r="F727" s="2">
        <v>7917.7957040557303</v>
      </c>
      <c r="G727" s="2">
        <v>1719.9539752944399</v>
      </c>
      <c r="H727" s="2">
        <v>1725.48854713269</v>
      </c>
      <c r="I727" s="2">
        <v>1927.82614338198</v>
      </c>
      <c r="J727" s="2">
        <v>343.006664283166</v>
      </c>
      <c r="K727" s="2">
        <v>9207.0813567345103</v>
      </c>
      <c r="L727" s="2">
        <v>2204.4045433526198</v>
      </c>
      <c r="M727" s="2">
        <v>13374.7523400891</v>
      </c>
      <c r="N727" s="3">
        <f t="shared" si="33"/>
        <v>43736.87699854355</v>
      </c>
      <c r="O727" s="2">
        <v>7.5560869463165199</v>
      </c>
      <c r="P727" s="2">
        <v>3.73905168467269</v>
      </c>
      <c r="Q727" s="2">
        <v>16.470841932799001</v>
      </c>
      <c r="R727" s="2">
        <v>0.45731430296570602</v>
      </c>
      <c r="S727" s="2">
        <v>7.65177417752156E-2</v>
      </c>
      <c r="T727" s="2">
        <v>4.54270324601229</v>
      </c>
      <c r="U727" s="2">
        <v>0.57440845190983003</v>
      </c>
      <c r="V727" s="2">
        <v>10.259718269531501</v>
      </c>
      <c r="W727" s="2">
        <v>0.70189149296991205</v>
      </c>
      <c r="X727" s="2">
        <v>4.1295693740522204</v>
      </c>
      <c r="Y727" s="2">
        <v>4.1916700595612699</v>
      </c>
      <c r="Z727" s="2">
        <v>4.8023676335832501</v>
      </c>
      <c r="AA727" s="3">
        <f t="shared" si="34"/>
        <v>57.502141136149405</v>
      </c>
      <c r="AB727" t="s">
        <v>45</v>
      </c>
      <c r="AC727">
        <v>20.41</v>
      </c>
      <c r="AD727">
        <v>15.42</v>
      </c>
      <c r="AE727">
        <v>27.9</v>
      </c>
      <c r="AF727">
        <v>30.91</v>
      </c>
      <c r="AG727">
        <v>89.22</v>
      </c>
      <c r="AH727">
        <v>27.44</v>
      </c>
      <c r="AI727">
        <v>27.3</v>
      </c>
      <c r="AJ727">
        <v>29.82</v>
      </c>
      <c r="AK727">
        <v>13.48</v>
      </c>
      <c r="AL727">
        <v>102.32</v>
      </c>
      <c r="AM727">
        <v>32.29</v>
      </c>
      <c r="AN727">
        <v>143.99</v>
      </c>
      <c r="AO727" s="1">
        <f t="shared" si="35"/>
        <v>560.5</v>
      </c>
    </row>
    <row r="728" spans="1:41" x14ac:dyDescent="0.25">
      <c r="A728" t="s">
        <v>771</v>
      </c>
      <c r="B728" s="2">
        <v>993.96064385936495</v>
      </c>
      <c r="C728" s="2">
        <v>6160.3449555356901</v>
      </c>
      <c r="D728" s="2">
        <v>7631.8396776426798</v>
      </c>
      <c r="E728" s="2">
        <v>550.84313462612101</v>
      </c>
      <c r="F728" s="2">
        <v>1929.8656709166601</v>
      </c>
      <c r="G728" s="2">
        <v>5580.8596373987903</v>
      </c>
      <c r="H728" s="2">
        <v>0</v>
      </c>
      <c r="I728" s="2">
        <v>1327.52462955533</v>
      </c>
      <c r="J728" s="2">
        <v>1612.58105989765</v>
      </c>
      <c r="K728" s="2">
        <v>1529.45454966578</v>
      </c>
      <c r="L728" s="2">
        <v>0</v>
      </c>
      <c r="M728" s="2">
        <v>2172.4584791207499</v>
      </c>
      <c r="N728" s="3">
        <f t="shared" si="33"/>
        <v>29489.732438218813</v>
      </c>
      <c r="O728" s="2">
        <v>2.0289052972274599</v>
      </c>
      <c r="P728" s="2">
        <v>5.5000055686342898E-2</v>
      </c>
      <c r="Q728" s="2">
        <v>2.1558623042555798</v>
      </c>
      <c r="R728" s="2">
        <v>4.1702665298954198</v>
      </c>
      <c r="S728" s="2">
        <v>3.2215553248883002</v>
      </c>
      <c r="T728" s="2">
        <v>6.1572218746907597</v>
      </c>
      <c r="U728" s="2">
        <v>5.4751714431473202</v>
      </c>
      <c r="V728" s="2">
        <v>8.1613797056667696</v>
      </c>
      <c r="W728" s="2">
        <v>5.5853674711349202</v>
      </c>
      <c r="X728" s="2">
        <v>2.3252520672143602</v>
      </c>
      <c r="Y728" s="2">
        <v>5.8848978338029001</v>
      </c>
      <c r="Z728" s="2">
        <v>2.37190111533172</v>
      </c>
      <c r="AA728" s="3">
        <f t="shared" si="34"/>
        <v>47.59278102294185</v>
      </c>
      <c r="AB728" t="s">
        <v>63</v>
      </c>
      <c r="AC728">
        <v>20.149999999999999</v>
      </c>
      <c r="AD728">
        <v>123.31</v>
      </c>
      <c r="AE728">
        <v>152.91</v>
      </c>
      <c r="AF728">
        <v>11.47</v>
      </c>
      <c r="AG728">
        <v>38.96</v>
      </c>
      <c r="AH728">
        <v>112.25</v>
      </c>
      <c r="AI728">
        <v>0.54</v>
      </c>
      <c r="AJ728">
        <v>27.37</v>
      </c>
      <c r="AK728">
        <v>32.799999999999997</v>
      </c>
      <c r="AL728">
        <v>30.87</v>
      </c>
      <c r="AM728">
        <v>0.54</v>
      </c>
      <c r="AN728">
        <v>43.73</v>
      </c>
      <c r="AO728" s="1">
        <f t="shared" si="35"/>
        <v>594.9</v>
      </c>
    </row>
    <row r="729" spans="1:41" x14ac:dyDescent="0.25">
      <c r="A729" t="s">
        <v>772</v>
      </c>
      <c r="B729" s="2">
        <v>991.90624819391098</v>
      </c>
      <c r="C729" s="2">
        <v>7019.54788187548</v>
      </c>
      <c r="D729" s="2">
        <v>1153.71801057633</v>
      </c>
      <c r="E729" s="2">
        <v>229.329815399257</v>
      </c>
      <c r="F729" s="2">
        <v>1264.0714490442101</v>
      </c>
      <c r="G729" s="2">
        <v>826.07420976246101</v>
      </c>
      <c r="H729" s="2">
        <v>675.93165638699395</v>
      </c>
      <c r="I729" s="2">
        <v>4710.3808032607303</v>
      </c>
      <c r="J729" s="2">
        <v>1203.85072996593</v>
      </c>
      <c r="K729" s="2">
        <v>9744.0204209592903</v>
      </c>
      <c r="L729" s="2">
        <v>1891.07758605349</v>
      </c>
      <c r="M729" s="2">
        <v>2766.56963123389</v>
      </c>
      <c r="N729" s="3">
        <f t="shared" si="33"/>
        <v>32476.47844271197</v>
      </c>
      <c r="O729" s="2">
        <v>5.2376244916204104</v>
      </c>
      <c r="P729" s="2">
        <v>6.36649754430944</v>
      </c>
      <c r="Q729" s="2">
        <v>6.1574951748494504</v>
      </c>
      <c r="R729" s="2">
        <v>3.5038173936338599</v>
      </c>
      <c r="S729" s="2">
        <v>7.4602591043574504</v>
      </c>
      <c r="T729" s="2">
        <v>0</v>
      </c>
      <c r="U729" s="2">
        <v>3.5343836159342401</v>
      </c>
      <c r="V729" s="2">
        <v>0</v>
      </c>
      <c r="W729" s="2">
        <v>2.5061606964077301</v>
      </c>
      <c r="X729" s="2">
        <v>3.4640972114450799</v>
      </c>
      <c r="Y729" s="2">
        <v>2.1218641215597001</v>
      </c>
      <c r="Z729" s="2">
        <v>5.3651710087716697</v>
      </c>
      <c r="AA729" s="3">
        <f t="shared" si="34"/>
        <v>45.717370362889035</v>
      </c>
      <c r="AB729" t="s">
        <v>63</v>
      </c>
      <c r="AC729">
        <v>20.38</v>
      </c>
      <c r="AD729">
        <v>141.03</v>
      </c>
      <c r="AE729">
        <v>23.71</v>
      </c>
      <c r="AF729">
        <v>4.96</v>
      </c>
      <c r="AG729">
        <v>26.02</v>
      </c>
      <c r="AH729">
        <v>16.54</v>
      </c>
      <c r="AI729">
        <v>13.88</v>
      </c>
      <c r="AJ729">
        <v>94.22</v>
      </c>
      <c r="AK729">
        <v>24.35</v>
      </c>
      <c r="AL729">
        <v>195.26</v>
      </c>
      <c r="AM729">
        <v>38.11</v>
      </c>
      <c r="AN729">
        <v>55.88</v>
      </c>
      <c r="AO729" s="1">
        <f t="shared" si="35"/>
        <v>654.34</v>
      </c>
    </row>
    <row r="730" spans="1:41" x14ac:dyDescent="0.25">
      <c r="A730" t="s">
        <v>773</v>
      </c>
      <c r="B730" s="2">
        <v>990.47009135897599</v>
      </c>
      <c r="C730" s="2">
        <v>2493.3542346706299</v>
      </c>
      <c r="D730" s="2">
        <v>7533.0248358907402</v>
      </c>
      <c r="E730" s="2">
        <v>2601.1613906871999</v>
      </c>
      <c r="F730" s="2">
        <v>8713.2813924190505</v>
      </c>
      <c r="G730" s="2">
        <v>451.191917613307</v>
      </c>
      <c r="H730" s="2">
        <v>5005.0074393530003</v>
      </c>
      <c r="I730" s="2">
        <v>5176.38735372475</v>
      </c>
      <c r="J730" s="2">
        <v>186.941114693532</v>
      </c>
      <c r="K730" s="2">
        <v>0</v>
      </c>
      <c r="L730" s="2">
        <v>2572.6920574976002</v>
      </c>
      <c r="M730" s="2">
        <v>0</v>
      </c>
      <c r="N730" s="3">
        <f t="shared" si="33"/>
        <v>35723.511827908791</v>
      </c>
      <c r="O730" s="2">
        <v>1.4973699071942701</v>
      </c>
      <c r="P730" s="2">
        <v>0</v>
      </c>
      <c r="Q730" s="2">
        <v>0.21108165550701399</v>
      </c>
      <c r="R730" s="2">
        <v>2.6707387485973499</v>
      </c>
      <c r="S730" s="2">
        <v>1.2218633993877099</v>
      </c>
      <c r="T730" s="2">
        <v>0</v>
      </c>
      <c r="U730" s="2">
        <v>5.8519979695176296</v>
      </c>
      <c r="V730" s="2">
        <v>0</v>
      </c>
      <c r="W730" s="2">
        <v>0.37561431748574903</v>
      </c>
      <c r="X730" s="2">
        <v>4.0460614042350702</v>
      </c>
      <c r="Y730" s="2">
        <v>14.8530734268072</v>
      </c>
      <c r="Z730" s="2">
        <v>0.99087139428599103</v>
      </c>
      <c r="AA730" s="3">
        <f t="shared" si="34"/>
        <v>31.718672223017986</v>
      </c>
      <c r="AB730" t="s">
        <v>63</v>
      </c>
      <c r="AC730">
        <v>20</v>
      </c>
      <c r="AD730">
        <v>49.88</v>
      </c>
      <c r="AE730">
        <v>150.77000000000001</v>
      </c>
      <c r="AF730">
        <v>52.31</v>
      </c>
      <c r="AG730">
        <v>174.46</v>
      </c>
      <c r="AH730">
        <v>9.0399999999999991</v>
      </c>
      <c r="AI730">
        <v>100.66</v>
      </c>
      <c r="AJ730">
        <v>103.54</v>
      </c>
      <c r="AK730">
        <v>3.83</v>
      </c>
      <c r="AL730">
        <v>0.45</v>
      </c>
      <c r="AM730">
        <v>52.81</v>
      </c>
      <c r="AN730">
        <v>0.09</v>
      </c>
      <c r="AO730" s="1">
        <f t="shared" si="35"/>
        <v>717.84000000000026</v>
      </c>
    </row>
    <row r="731" spans="1:41" x14ac:dyDescent="0.25">
      <c r="A731" t="s">
        <v>774</v>
      </c>
      <c r="B731" s="2">
        <v>984.83019727635497</v>
      </c>
      <c r="C731" s="2">
        <v>1156.3121123772501</v>
      </c>
      <c r="D731" s="2">
        <v>2831.4037544994098</v>
      </c>
      <c r="E731" s="2">
        <v>2369.4511448281</v>
      </c>
      <c r="F731" s="2">
        <v>9057.4709027325407</v>
      </c>
      <c r="G731" s="2">
        <v>4650.5038065927502</v>
      </c>
      <c r="H731" s="2">
        <v>6880.6310111002304</v>
      </c>
      <c r="I731" s="2">
        <v>8390.5946866997801</v>
      </c>
      <c r="J731" s="2">
        <v>6691.06942389917</v>
      </c>
      <c r="K731" s="2">
        <v>627.73622852807</v>
      </c>
      <c r="L731" s="2">
        <v>440.47710441277701</v>
      </c>
      <c r="M731" s="2">
        <v>3028.0868541648201</v>
      </c>
      <c r="N731" s="3">
        <f t="shared" si="33"/>
        <v>47108.567227111263</v>
      </c>
      <c r="O731" s="2">
        <v>0</v>
      </c>
      <c r="P731" s="2">
        <v>0</v>
      </c>
      <c r="Q731" s="2">
        <v>4.5333315072692004</v>
      </c>
      <c r="R731" s="2">
        <v>2.8056967663147998</v>
      </c>
      <c r="S731" s="2">
        <v>5.9005978957254301</v>
      </c>
      <c r="T731" s="2">
        <v>2.6624965565037702</v>
      </c>
      <c r="U731" s="2">
        <v>2.9664307460569499</v>
      </c>
      <c r="V731" s="2">
        <v>3.8164314065115299</v>
      </c>
      <c r="W731" s="2">
        <v>3.9361974607811199</v>
      </c>
      <c r="X731" s="2">
        <v>0.62746007812816496</v>
      </c>
      <c r="Y731" s="2">
        <v>0.34634303132282201</v>
      </c>
      <c r="Z731" s="2">
        <v>2.7977096369373302</v>
      </c>
      <c r="AA731" s="3">
        <f t="shared" si="34"/>
        <v>30.392695085551118</v>
      </c>
      <c r="AB731" t="s">
        <v>45</v>
      </c>
      <c r="AC731">
        <v>19.84</v>
      </c>
      <c r="AD731">
        <v>21.56</v>
      </c>
      <c r="AE731">
        <v>38.56</v>
      </c>
      <c r="AF731">
        <v>33.840000000000003</v>
      </c>
      <c r="AG731">
        <v>100.87</v>
      </c>
      <c r="AH731">
        <v>56.65</v>
      </c>
      <c r="AI731">
        <v>78.95</v>
      </c>
      <c r="AJ731">
        <v>94.1</v>
      </c>
      <c r="AK731">
        <v>77.11</v>
      </c>
      <c r="AL731">
        <v>16.32</v>
      </c>
      <c r="AM731">
        <v>14.45</v>
      </c>
      <c r="AN731">
        <v>40.43</v>
      </c>
      <c r="AO731" s="1">
        <f t="shared" si="35"/>
        <v>592.68000000000006</v>
      </c>
    </row>
    <row r="732" spans="1:41" x14ac:dyDescent="0.25">
      <c r="A732" t="s">
        <v>775</v>
      </c>
      <c r="B732" s="2">
        <v>982.53021745859701</v>
      </c>
      <c r="C732" s="2">
        <v>1178.0762445719899</v>
      </c>
      <c r="D732" s="2">
        <v>3198.5027255403402</v>
      </c>
      <c r="E732" s="2">
        <v>394.39729458603603</v>
      </c>
      <c r="F732" s="2">
        <v>92.687370326933404</v>
      </c>
      <c r="G732" s="2">
        <v>1766.2723573968501</v>
      </c>
      <c r="H732" s="2">
        <v>1477.40077252333</v>
      </c>
      <c r="I732" s="2">
        <v>2196.8179363701302</v>
      </c>
      <c r="J732" s="2">
        <v>2926.6097524906199</v>
      </c>
      <c r="K732" s="2">
        <v>3434.3628752059399</v>
      </c>
      <c r="L732" s="2">
        <v>3048.33028745511</v>
      </c>
      <c r="M732" s="2">
        <v>9263.2916301212899</v>
      </c>
      <c r="N732" s="3">
        <f t="shared" si="33"/>
        <v>29959.279464047162</v>
      </c>
      <c r="O732" s="2">
        <v>4.5950420522128796</v>
      </c>
      <c r="P732" s="2">
        <v>13.294474215090901</v>
      </c>
      <c r="Q732" s="2">
        <v>0.67304100676182799</v>
      </c>
      <c r="R732" s="2">
        <v>0.313927005397234</v>
      </c>
      <c r="S732" s="2">
        <v>7.2621523014418301</v>
      </c>
      <c r="T732" s="2">
        <v>6.60350301482024</v>
      </c>
      <c r="U732" s="2">
        <v>0.65794694633027395</v>
      </c>
      <c r="V732" s="2">
        <v>1.14022159515343</v>
      </c>
      <c r="W732" s="2">
        <v>0</v>
      </c>
      <c r="X732" s="2">
        <v>0</v>
      </c>
      <c r="Y732" s="2">
        <v>5.6292474158785701</v>
      </c>
      <c r="Z732" s="2">
        <v>1.4275553397572001</v>
      </c>
      <c r="AA732" s="3">
        <f t="shared" si="34"/>
        <v>41.597110892844377</v>
      </c>
      <c r="AB732" t="s">
        <v>63</v>
      </c>
      <c r="AC732">
        <v>20.11</v>
      </c>
      <c r="AD732">
        <v>24.84</v>
      </c>
      <c r="AE732">
        <v>64.069999999999993</v>
      </c>
      <c r="AF732">
        <v>7.99</v>
      </c>
      <c r="AG732">
        <v>2.58</v>
      </c>
      <c r="AH732">
        <v>35.97</v>
      </c>
      <c r="AI732">
        <v>29.65</v>
      </c>
      <c r="AJ732">
        <v>44.12</v>
      </c>
      <c r="AK732">
        <v>58.54</v>
      </c>
      <c r="AL732">
        <v>68.7</v>
      </c>
      <c r="AM732">
        <v>61.52</v>
      </c>
      <c r="AN732">
        <v>185.46</v>
      </c>
      <c r="AO732" s="1">
        <f t="shared" si="35"/>
        <v>603.54999999999995</v>
      </c>
    </row>
    <row r="733" spans="1:41" x14ac:dyDescent="0.25">
      <c r="A733" t="s">
        <v>776</v>
      </c>
      <c r="B733" s="2">
        <v>977.43501531877405</v>
      </c>
      <c r="C733" s="2">
        <v>3470.1003357175</v>
      </c>
      <c r="D733" s="2">
        <v>2007.2749190930599</v>
      </c>
      <c r="E733" s="2">
        <v>5631.2865708458103</v>
      </c>
      <c r="F733" s="2">
        <v>5212.4603293009905</v>
      </c>
      <c r="G733" s="2">
        <v>1011.13454462333</v>
      </c>
      <c r="H733" s="2">
        <v>3914.64679604814</v>
      </c>
      <c r="I733" s="2">
        <v>3952.2051499550198</v>
      </c>
      <c r="J733" s="2">
        <v>3991.7201804893298</v>
      </c>
      <c r="K733" s="2">
        <v>2359.2903010048999</v>
      </c>
      <c r="L733" s="2">
        <v>5270.5552782492396</v>
      </c>
      <c r="M733" s="2">
        <v>0</v>
      </c>
      <c r="N733" s="3">
        <f t="shared" si="33"/>
        <v>37798.109420646091</v>
      </c>
      <c r="O733" s="2">
        <v>1.3454140959910399</v>
      </c>
      <c r="P733" s="2">
        <v>8.7991352919444203</v>
      </c>
      <c r="Q733" s="2">
        <v>2.4717269693543602</v>
      </c>
      <c r="R733" s="2">
        <v>8.5113517834229402</v>
      </c>
      <c r="S733" s="2">
        <v>0.70794361362727298</v>
      </c>
      <c r="T733" s="2">
        <v>4.4066355420774403</v>
      </c>
      <c r="U733" s="2">
        <v>3.3296277842200999</v>
      </c>
      <c r="V733" s="2">
        <v>2.0680299369808899</v>
      </c>
      <c r="W733" s="2">
        <v>0.10457012991428601</v>
      </c>
      <c r="X733" s="2">
        <v>0.34025867450528902</v>
      </c>
      <c r="Y733" s="2">
        <v>1.3856345217046699</v>
      </c>
      <c r="Z733" s="2">
        <v>0.93987057985247902</v>
      </c>
      <c r="AA733" s="3">
        <f t="shared" si="34"/>
        <v>34.410198923595182</v>
      </c>
      <c r="AB733" t="s">
        <v>45</v>
      </c>
      <c r="AC733">
        <v>19.87</v>
      </c>
      <c r="AD733">
        <v>45.15</v>
      </c>
      <c r="AE733">
        <v>30.22</v>
      </c>
      <c r="AF733">
        <v>66.760000000000005</v>
      </c>
      <c r="AG733">
        <v>62.17</v>
      </c>
      <c r="AH733">
        <v>20.36</v>
      </c>
      <c r="AI733">
        <v>49.34</v>
      </c>
      <c r="AJ733">
        <v>49.67</v>
      </c>
      <c r="AK733">
        <v>49.96</v>
      </c>
      <c r="AL733">
        <v>33.64</v>
      </c>
      <c r="AM733">
        <v>62.8</v>
      </c>
      <c r="AN733">
        <v>10.039999999999999</v>
      </c>
      <c r="AO733" s="1">
        <f t="shared" si="35"/>
        <v>499.98</v>
      </c>
    </row>
    <row r="734" spans="1:41" x14ac:dyDescent="0.25">
      <c r="A734" t="s">
        <v>777</v>
      </c>
      <c r="B734" s="2">
        <v>964.83130813755201</v>
      </c>
      <c r="C734" s="2">
        <v>571.23792241577701</v>
      </c>
      <c r="D734" s="2">
        <v>2241.01933824771</v>
      </c>
      <c r="E734" s="2">
        <v>1388.47755261415</v>
      </c>
      <c r="F734" s="2">
        <v>3814.3346805947299</v>
      </c>
      <c r="G734" s="2">
        <v>705.49568167377004</v>
      </c>
      <c r="H734" s="2">
        <v>2888.56865439188</v>
      </c>
      <c r="I734" s="2">
        <v>1801.9394211475701</v>
      </c>
      <c r="J734" s="2">
        <v>394.51004929413801</v>
      </c>
      <c r="K734" s="2">
        <v>3674.7218754400901</v>
      </c>
      <c r="L734" s="2">
        <v>3313.5816758482601</v>
      </c>
      <c r="M734" s="2">
        <v>7157.2051448078</v>
      </c>
      <c r="N734" s="3">
        <f t="shared" si="33"/>
        <v>28915.923304613432</v>
      </c>
      <c r="O734" s="2">
        <v>8.8351552699117697</v>
      </c>
      <c r="P734" s="2">
        <v>8.3106607790729606E-2</v>
      </c>
      <c r="Q734" s="2">
        <v>7.1585427260189602</v>
      </c>
      <c r="R734" s="2">
        <v>1.33359396007112</v>
      </c>
      <c r="S734" s="2">
        <v>3.6879379175258702</v>
      </c>
      <c r="T734" s="2">
        <v>0.66595536771499597</v>
      </c>
      <c r="U734" s="2">
        <v>6.0424969486027997</v>
      </c>
      <c r="V734" s="2">
        <v>3.1229513412785499</v>
      </c>
      <c r="W734" s="2">
        <v>2.87709476106494</v>
      </c>
      <c r="X734" s="2">
        <v>5.5715616540306003</v>
      </c>
      <c r="Y734" s="2">
        <v>4.4805618565373901</v>
      </c>
      <c r="Z734" s="2">
        <v>13.6622195817113</v>
      </c>
      <c r="AA734" s="3">
        <f t="shared" si="34"/>
        <v>57.521177992259027</v>
      </c>
      <c r="AB734" t="s">
        <v>63</v>
      </c>
      <c r="AC734">
        <v>20.11</v>
      </c>
      <c r="AD734">
        <v>11.53</v>
      </c>
      <c r="AE734">
        <v>45.56</v>
      </c>
      <c r="AF734">
        <v>27.96</v>
      </c>
      <c r="AG734">
        <v>76.66</v>
      </c>
      <c r="AH734">
        <v>14.21</v>
      </c>
      <c r="AI734">
        <v>58.41</v>
      </c>
      <c r="AJ734">
        <v>36.4</v>
      </c>
      <c r="AK734">
        <v>8.17</v>
      </c>
      <c r="AL734">
        <v>74.040000000000006</v>
      </c>
      <c r="AM734">
        <v>66.73</v>
      </c>
      <c r="AN734">
        <v>144.41999999999999</v>
      </c>
      <c r="AO734" s="1">
        <f t="shared" si="35"/>
        <v>584.20000000000005</v>
      </c>
    </row>
    <row r="735" spans="1:41" x14ac:dyDescent="0.25">
      <c r="A735" t="s">
        <v>778</v>
      </c>
      <c r="B735" s="2">
        <v>964.14078383778406</v>
      </c>
      <c r="C735" s="2">
        <v>89.782852482158006</v>
      </c>
      <c r="D735" s="2">
        <v>589.75492929677796</v>
      </c>
      <c r="E735" s="2">
        <v>2636.1382569699499</v>
      </c>
      <c r="F735" s="2">
        <v>4984.0226557165897</v>
      </c>
      <c r="G735" s="2">
        <v>3759.9453520192401</v>
      </c>
      <c r="H735" s="2">
        <v>2917.5896902989098</v>
      </c>
      <c r="I735" s="2">
        <v>6436.40307901702</v>
      </c>
      <c r="J735" s="2">
        <v>3097.8607159995399</v>
      </c>
      <c r="K735" s="2">
        <v>3591.26556034133</v>
      </c>
      <c r="L735" s="2">
        <v>3477.0727435256399</v>
      </c>
      <c r="M735" s="2">
        <v>7086.1967131409901</v>
      </c>
      <c r="N735" s="3">
        <f t="shared" si="33"/>
        <v>39630.173332645929</v>
      </c>
      <c r="O735" s="2">
        <v>1.02092799557714</v>
      </c>
      <c r="P735" s="2">
        <v>2.4388145521195699</v>
      </c>
      <c r="Q735" s="2">
        <v>1.67767013452842</v>
      </c>
      <c r="R735" s="2">
        <v>10.9109960021401</v>
      </c>
      <c r="S735" s="2">
        <v>4.2415213355442498</v>
      </c>
      <c r="T735" s="2">
        <v>4.6444446105394297</v>
      </c>
      <c r="U735" s="2">
        <v>2.93205341652375</v>
      </c>
      <c r="V735" s="2">
        <v>0</v>
      </c>
      <c r="W735" s="2">
        <v>0</v>
      </c>
      <c r="X735" s="2">
        <v>2.8257178157862999</v>
      </c>
      <c r="Y735" s="2">
        <v>0.34871294410440101</v>
      </c>
      <c r="Z735" s="2">
        <v>2.70314508976807</v>
      </c>
      <c r="AA735" s="3">
        <f t="shared" si="34"/>
        <v>33.744003896631426</v>
      </c>
      <c r="AB735" t="s">
        <v>45</v>
      </c>
      <c r="AC735">
        <v>19.739999999999998</v>
      </c>
      <c r="AD735">
        <v>11.04</v>
      </c>
      <c r="AE735">
        <v>15.99</v>
      </c>
      <c r="AF735">
        <v>36.909999999999997</v>
      </c>
      <c r="AG735">
        <v>60.09</v>
      </c>
      <c r="AH735">
        <v>47.84</v>
      </c>
      <c r="AI735">
        <v>39.32</v>
      </c>
      <c r="AJ735">
        <v>74.36</v>
      </c>
      <c r="AK735">
        <v>40.97</v>
      </c>
      <c r="AL735">
        <v>46.06</v>
      </c>
      <c r="AM735">
        <v>44.82</v>
      </c>
      <c r="AN735">
        <v>81.010000000000005</v>
      </c>
      <c r="AO735" s="1">
        <f t="shared" si="35"/>
        <v>518.15</v>
      </c>
    </row>
    <row r="736" spans="1:41" x14ac:dyDescent="0.25">
      <c r="A736" t="s">
        <v>779</v>
      </c>
      <c r="B736" s="2">
        <v>957.95742353573496</v>
      </c>
      <c r="C736" s="2">
        <v>6626.4050046371003</v>
      </c>
      <c r="D736" s="2">
        <v>876.03802318742805</v>
      </c>
      <c r="E736" s="2">
        <v>3380.5537825162401</v>
      </c>
      <c r="F736" s="2">
        <v>328.28804484513103</v>
      </c>
      <c r="G736" s="2">
        <v>6048.31120996142</v>
      </c>
      <c r="H736" s="2">
        <v>2537.6969584614098</v>
      </c>
      <c r="I736" s="2">
        <v>4419.5976833065997</v>
      </c>
      <c r="J736" s="2">
        <v>9177.8170507843697</v>
      </c>
      <c r="K736" s="2">
        <v>238.308093074282</v>
      </c>
      <c r="L736" s="2">
        <v>542.73308654180096</v>
      </c>
      <c r="M736" s="2">
        <v>4794.7757364481504</v>
      </c>
      <c r="N736" s="3">
        <f t="shared" si="33"/>
        <v>39928.482097299668</v>
      </c>
      <c r="O736" s="2">
        <v>10.916507335573099</v>
      </c>
      <c r="P736" s="2">
        <v>3.4812293051902099</v>
      </c>
      <c r="Q736" s="2">
        <v>2.5245629318829801</v>
      </c>
      <c r="R736" s="2">
        <v>3.5144149375164102</v>
      </c>
      <c r="S736" s="2">
        <v>3.0398204101107802</v>
      </c>
      <c r="T736" s="2">
        <v>0.44331118954128701</v>
      </c>
      <c r="U736" s="2">
        <v>0.83405739857364403</v>
      </c>
      <c r="V736" s="2">
        <v>5.05334138056699</v>
      </c>
      <c r="W736" s="2">
        <v>3.4148790572800101</v>
      </c>
      <c r="X736" s="2">
        <v>7.1229958006579901</v>
      </c>
      <c r="Y736" s="2">
        <v>2.8919922251143002</v>
      </c>
      <c r="Z736" s="2">
        <v>6.4286039144574803</v>
      </c>
      <c r="AA736" s="3">
        <f t="shared" si="34"/>
        <v>49.665715886465186</v>
      </c>
      <c r="AB736" t="s">
        <v>45</v>
      </c>
      <c r="AC736">
        <v>20.12</v>
      </c>
      <c r="AD736">
        <v>76.459999999999994</v>
      </c>
      <c r="AE736">
        <v>18.91</v>
      </c>
      <c r="AF736">
        <v>44</v>
      </c>
      <c r="AG736">
        <v>13.48</v>
      </c>
      <c r="AH736">
        <v>70.53</v>
      </c>
      <c r="AI736">
        <v>35.42</v>
      </c>
      <c r="AJ736">
        <v>54.49</v>
      </c>
      <c r="AK736">
        <v>101.97</v>
      </c>
      <c r="AL736">
        <v>12.78</v>
      </c>
      <c r="AM736">
        <v>15.57</v>
      </c>
      <c r="AN736">
        <v>58.29</v>
      </c>
      <c r="AO736" s="1">
        <f t="shared" si="35"/>
        <v>522.02</v>
      </c>
    </row>
    <row r="737" spans="1:41" x14ac:dyDescent="0.25">
      <c r="A737" t="s">
        <v>780</v>
      </c>
      <c r="B737" s="2">
        <v>948.31001601056096</v>
      </c>
      <c r="C737" s="2">
        <v>553.272265156652</v>
      </c>
      <c r="D737" s="2">
        <v>5778.4131774006701</v>
      </c>
      <c r="E737" s="2">
        <v>331.01789645245799</v>
      </c>
      <c r="F737" s="2">
        <v>1333.37061262063</v>
      </c>
      <c r="G737" s="2">
        <v>11169.537237267499</v>
      </c>
      <c r="H737" s="2">
        <v>6896.5072979116703</v>
      </c>
      <c r="I737" s="2">
        <v>4614.7098139278196</v>
      </c>
      <c r="J737" s="2">
        <v>7839.3852144618704</v>
      </c>
      <c r="K737" s="2">
        <v>4868.7358697094696</v>
      </c>
      <c r="L737" s="2">
        <v>167.858970251095</v>
      </c>
      <c r="M737" s="2">
        <v>2941.6567927501201</v>
      </c>
      <c r="N737" s="3">
        <f t="shared" si="33"/>
        <v>47442.775163920509</v>
      </c>
      <c r="O737" s="2">
        <v>3.9809115612631798</v>
      </c>
      <c r="P737" s="2">
        <v>3.2262802378578801</v>
      </c>
      <c r="Q737" s="2">
        <v>3.1230154182046399</v>
      </c>
      <c r="R737" s="2">
        <v>0</v>
      </c>
      <c r="S737" s="2">
        <v>3.8158782261923299</v>
      </c>
      <c r="T737" s="2">
        <v>0.64310550814354395</v>
      </c>
      <c r="U737" s="2">
        <v>1.4797921089080801</v>
      </c>
      <c r="V737" s="2">
        <v>13.105531836309099</v>
      </c>
      <c r="W737" s="2">
        <v>1.8935508084686501</v>
      </c>
      <c r="X737" s="2">
        <v>6.9925206516729599</v>
      </c>
      <c r="Y737" s="2">
        <v>1.1451904076592501</v>
      </c>
      <c r="Z737" s="2">
        <v>4.4354785528185596</v>
      </c>
      <c r="AA737" s="3">
        <f t="shared" si="34"/>
        <v>43.841255317498167</v>
      </c>
      <c r="AB737" t="s">
        <v>45</v>
      </c>
      <c r="AC737">
        <v>19.68</v>
      </c>
      <c r="AD737">
        <v>15.73</v>
      </c>
      <c r="AE737">
        <v>67.98</v>
      </c>
      <c r="AF737">
        <v>13.31</v>
      </c>
      <c r="AG737">
        <v>23.53</v>
      </c>
      <c r="AH737">
        <v>121.74</v>
      </c>
      <c r="AI737">
        <v>79.06</v>
      </c>
      <c r="AJ737">
        <v>56.84</v>
      </c>
      <c r="AK737">
        <v>88.49</v>
      </c>
      <c r="AL737">
        <v>59.03</v>
      </c>
      <c r="AM737">
        <v>11.77</v>
      </c>
      <c r="AN737">
        <v>39.659999999999997</v>
      </c>
      <c r="AO737" s="1">
        <f t="shared" si="35"/>
        <v>596.81999999999994</v>
      </c>
    </row>
    <row r="738" spans="1:41" x14ac:dyDescent="0.25">
      <c r="A738" t="s">
        <v>781</v>
      </c>
      <c r="B738" s="2">
        <v>947.04805925078199</v>
      </c>
      <c r="C738" s="2">
        <v>2968.15121390688</v>
      </c>
      <c r="D738" s="2">
        <v>4465.3499009340103</v>
      </c>
      <c r="E738" s="2">
        <v>3737.4903171680598</v>
      </c>
      <c r="F738" s="2">
        <v>456.00332090773401</v>
      </c>
      <c r="G738" s="2">
        <v>4459.3109315785996</v>
      </c>
      <c r="H738" s="2">
        <v>1217.0695049148501</v>
      </c>
      <c r="I738" s="2">
        <v>0</v>
      </c>
      <c r="J738" s="2">
        <v>3137.5943445849298</v>
      </c>
      <c r="K738" s="2">
        <v>15622.3589830581</v>
      </c>
      <c r="L738" s="2">
        <v>2357.2160184102299</v>
      </c>
      <c r="M738" s="2">
        <v>12737.5178398556</v>
      </c>
      <c r="N738" s="3">
        <f t="shared" si="33"/>
        <v>52105.110434569775</v>
      </c>
      <c r="O738" s="2">
        <v>6.0860429495539599</v>
      </c>
      <c r="P738" s="2">
        <v>8.9031481160950996</v>
      </c>
      <c r="Q738" s="2">
        <v>1.8474840568115001</v>
      </c>
      <c r="R738" s="2">
        <v>2.0461705857395902</v>
      </c>
      <c r="S738" s="2">
        <v>0.45990455435250099</v>
      </c>
      <c r="T738" s="2">
        <v>3.6387103967173098</v>
      </c>
      <c r="U738" s="2">
        <v>6.0465086338240903</v>
      </c>
      <c r="V738" s="2">
        <v>9.5156281057650105</v>
      </c>
      <c r="W738" s="2">
        <v>0.59545125948524102</v>
      </c>
      <c r="X738" s="2">
        <v>2.73787623854939</v>
      </c>
      <c r="Y738" s="2">
        <v>2.5390613772200301</v>
      </c>
      <c r="Z738" s="2">
        <v>0.24643991657065401</v>
      </c>
      <c r="AA738" s="3">
        <f t="shared" si="34"/>
        <v>44.662426190684378</v>
      </c>
      <c r="AB738" t="s">
        <v>45</v>
      </c>
      <c r="AC738">
        <v>19.82</v>
      </c>
      <c r="AD738">
        <v>40.130000000000003</v>
      </c>
      <c r="AE738">
        <v>54.75</v>
      </c>
      <c r="AF738">
        <v>47.52</v>
      </c>
      <c r="AG738">
        <v>14.61</v>
      </c>
      <c r="AH738">
        <v>54.79</v>
      </c>
      <c r="AI738">
        <v>22.52</v>
      </c>
      <c r="AJ738">
        <v>10.49</v>
      </c>
      <c r="AK738">
        <v>41.42</v>
      </c>
      <c r="AL738">
        <v>166.37</v>
      </c>
      <c r="AM738">
        <v>33.72</v>
      </c>
      <c r="AN738">
        <v>137.41999999999999</v>
      </c>
      <c r="AO738" s="1">
        <f t="shared" si="35"/>
        <v>643.55999999999995</v>
      </c>
    </row>
    <row r="739" spans="1:41" x14ac:dyDescent="0.25">
      <c r="A739" t="s">
        <v>782</v>
      </c>
      <c r="B739" s="2">
        <v>945.48083299866005</v>
      </c>
      <c r="C739" s="2">
        <v>4318.0365113630996</v>
      </c>
      <c r="D739" s="2">
        <v>4002.6193735833199</v>
      </c>
      <c r="E739" s="2">
        <v>7080.8513607429004</v>
      </c>
      <c r="F739" s="2">
        <v>811.88146802380402</v>
      </c>
      <c r="G739" s="2">
        <v>246.16124204281499</v>
      </c>
      <c r="H739" s="2">
        <v>0</v>
      </c>
      <c r="I739" s="2">
        <v>10114.9796327652</v>
      </c>
      <c r="J739" s="2">
        <v>2834.71761539925</v>
      </c>
      <c r="K739" s="2">
        <v>8890.9988366696707</v>
      </c>
      <c r="L739" s="2">
        <v>1692.2386901233999</v>
      </c>
      <c r="M739" s="2">
        <v>1116.86880230156</v>
      </c>
      <c r="N739" s="3">
        <f t="shared" si="33"/>
        <v>42054.834366013674</v>
      </c>
      <c r="O739" s="2">
        <v>2.1557633800040898</v>
      </c>
      <c r="P739" s="2">
        <v>1.2276918788370399</v>
      </c>
      <c r="Q739" s="2">
        <v>3.1401661690577898</v>
      </c>
      <c r="R739" s="2">
        <v>0.38370918172104501</v>
      </c>
      <c r="S739" s="2">
        <v>0</v>
      </c>
      <c r="T739" s="2">
        <v>7.9919238436417404</v>
      </c>
      <c r="U739" s="2">
        <v>0.13000309810501701</v>
      </c>
      <c r="V739" s="2">
        <v>11.1244991268125</v>
      </c>
      <c r="W739" s="2">
        <v>3.7751572609447601</v>
      </c>
      <c r="X739" s="2">
        <v>5.37746485000081</v>
      </c>
      <c r="Y739" s="2">
        <v>1.31673361050391</v>
      </c>
      <c r="Z739" s="2">
        <v>0.37017442301866799</v>
      </c>
      <c r="AA739" s="3">
        <f t="shared" si="34"/>
        <v>36.99328682264737</v>
      </c>
      <c r="AB739" t="s">
        <v>45</v>
      </c>
      <c r="AC739">
        <v>19.600000000000001</v>
      </c>
      <c r="AD739">
        <v>53.28</v>
      </c>
      <c r="AE739">
        <v>50.22</v>
      </c>
      <c r="AF739">
        <v>80.849999999999994</v>
      </c>
      <c r="AG739">
        <v>18.11</v>
      </c>
      <c r="AH739">
        <v>12.86</v>
      </c>
      <c r="AI739">
        <v>10.039999999999999</v>
      </c>
      <c r="AJ739">
        <v>111.74</v>
      </c>
      <c r="AK739">
        <v>38.54</v>
      </c>
      <c r="AL739">
        <v>99.2</v>
      </c>
      <c r="AM739">
        <v>27.02</v>
      </c>
      <c r="AN739">
        <v>21.21</v>
      </c>
      <c r="AO739" s="1">
        <f t="shared" si="35"/>
        <v>542.67000000000007</v>
      </c>
    </row>
    <row r="740" spans="1:41" x14ac:dyDescent="0.25">
      <c r="A740" t="s">
        <v>783</v>
      </c>
      <c r="B740" s="2">
        <v>934.01883541267898</v>
      </c>
      <c r="C740" s="2">
        <v>2957.5523401830201</v>
      </c>
      <c r="D740" s="2">
        <v>10879.1573064271</v>
      </c>
      <c r="E740" s="2">
        <v>14253.345001801101</v>
      </c>
      <c r="F740" s="2">
        <v>3126.2904557042998</v>
      </c>
      <c r="G740" s="2">
        <v>3566.2410005369202</v>
      </c>
      <c r="H740" s="2">
        <v>993.07777950315403</v>
      </c>
      <c r="I740" s="2">
        <v>21673.248209214398</v>
      </c>
      <c r="J740" s="2">
        <v>1044.14305102609</v>
      </c>
      <c r="K740" s="2">
        <v>2938.4792174582099</v>
      </c>
      <c r="L740" s="2">
        <v>0</v>
      </c>
      <c r="M740" s="2">
        <v>905.54042000073002</v>
      </c>
      <c r="N740" s="3">
        <f t="shared" si="33"/>
        <v>63271.09361726771</v>
      </c>
      <c r="O740" s="2">
        <v>1.79878382889192</v>
      </c>
      <c r="P740" s="2">
        <v>14.4574968755157</v>
      </c>
      <c r="Q740" s="2">
        <v>11.246107598140201</v>
      </c>
      <c r="R740" s="2">
        <v>2.0161763352227</v>
      </c>
      <c r="S740" s="2">
        <v>2.6269063902507299</v>
      </c>
      <c r="T740" s="2">
        <v>9.6089827760620103</v>
      </c>
      <c r="U740" s="2">
        <v>12.9058249660927</v>
      </c>
      <c r="V740" s="2">
        <v>2.3095482154191602</v>
      </c>
      <c r="W740" s="2">
        <v>0.249967105916682</v>
      </c>
      <c r="X740" s="2">
        <v>2.8922754901393199</v>
      </c>
      <c r="Y740" s="2">
        <v>3.80213007445303</v>
      </c>
      <c r="Z740" s="2">
        <v>0.77491682680664298</v>
      </c>
      <c r="AA740" s="3">
        <f t="shared" si="34"/>
        <v>64.689116482910791</v>
      </c>
      <c r="AB740" t="s">
        <v>45</v>
      </c>
      <c r="AC740">
        <v>19.440000000000001</v>
      </c>
      <c r="AD740">
        <v>40.32</v>
      </c>
      <c r="AE740">
        <v>119.39</v>
      </c>
      <c r="AF740">
        <v>152.68</v>
      </c>
      <c r="AG740">
        <v>41.41</v>
      </c>
      <c r="AH740">
        <v>46.16</v>
      </c>
      <c r="AI740">
        <v>20.58</v>
      </c>
      <c r="AJ740">
        <v>226.88</v>
      </c>
      <c r="AK740">
        <v>20.49</v>
      </c>
      <c r="AL740">
        <v>39.53</v>
      </c>
      <c r="AM740">
        <v>10.19</v>
      </c>
      <c r="AN740">
        <v>19.100000000000001</v>
      </c>
      <c r="AO740" s="1">
        <f t="shared" si="35"/>
        <v>756.17</v>
      </c>
    </row>
    <row r="741" spans="1:41" x14ac:dyDescent="0.25">
      <c r="A741" t="s">
        <v>784</v>
      </c>
      <c r="B741" s="2">
        <v>931.47380295439098</v>
      </c>
      <c r="C741" s="2">
        <v>8943.2646291071105</v>
      </c>
      <c r="D741" s="2">
        <v>4250.8881138840998</v>
      </c>
      <c r="E741" s="2">
        <v>1086.05594167665</v>
      </c>
      <c r="F741" s="2">
        <v>2517.56953271466</v>
      </c>
      <c r="G741" s="2">
        <v>1710.6950551028101</v>
      </c>
      <c r="H741" s="2">
        <v>2658.27828799197</v>
      </c>
      <c r="I741" s="2">
        <v>2617.8462702883498</v>
      </c>
      <c r="J741" s="2">
        <v>2397.52842483726</v>
      </c>
      <c r="K741" s="2">
        <v>4042.7483420068302</v>
      </c>
      <c r="L741" s="2">
        <v>3491.53358730842</v>
      </c>
      <c r="M741" s="2">
        <v>1076.8311798827101</v>
      </c>
      <c r="N741" s="3">
        <f t="shared" si="33"/>
        <v>35724.713167755261</v>
      </c>
      <c r="O741" s="2">
        <v>0</v>
      </c>
      <c r="P741" s="2">
        <v>0</v>
      </c>
      <c r="Q741" s="2">
        <v>0.35574469964766098</v>
      </c>
      <c r="R741" s="2">
        <v>0.16971623098559799</v>
      </c>
      <c r="S741" s="2">
        <v>4.11729548406033</v>
      </c>
      <c r="T741" s="2">
        <v>1.84727563891693</v>
      </c>
      <c r="U741" s="2">
        <v>1.8258114032044599</v>
      </c>
      <c r="V741" s="2">
        <v>9.3407371659241303</v>
      </c>
      <c r="W741" s="2">
        <v>1.5030862707391099</v>
      </c>
      <c r="X741" s="2">
        <v>1.0694458315458899</v>
      </c>
      <c r="Y741" s="2">
        <v>1.42620488047587</v>
      </c>
      <c r="Z741" s="2">
        <v>3.7817282711554299</v>
      </c>
      <c r="AA741" s="3">
        <f t="shared" si="34"/>
        <v>25.437045876655407</v>
      </c>
      <c r="AB741" t="s">
        <v>63</v>
      </c>
      <c r="AC741">
        <v>18.64</v>
      </c>
      <c r="AD741">
        <v>178.88</v>
      </c>
      <c r="AE741">
        <v>85.11</v>
      </c>
      <c r="AF741">
        <v>21.83</v>
      </c>
      <c r="AG741">
        <v>50.81</v>
      </c>
      <c r="AH741">
        <v>34.4</v>
      </c>
      <c r="AI741">
        <v>53.36</v>
      </c>
      <c r="AJ741">
        <v>53.26</v>
      </c>
      <c r="AK741">
        <v>48.14</v>
      </c>
      <c r="AL741">
        <v>81.040000000000006</v>
      </c>
      <c r="AM741">
        <v>70.02</v>
      </c>
      <c r="AN741">
        <v>21.9</v>
      </c>
      <c r="AO741" s="1">
        <f t="shared" si="35"/>
        <v>717.38999999999987</v>
      </c>
    </row>
    <row r="742" spans="1:41" x14ac:dyDescent="0.25">
      <c r="A742" t="s">
        <v>785</v>
      </c>
      <c r="B742" s="2">
        <v>927.93264215722297</v>
      </c>
      <c r="C742" s="2">
        <v>3613.1336764315802</v>
      </c>
      <c r="D742" s="2">
        <v>4078.53746852531</v>
      </c>
      <c r="E742" s="2">
        <v>908.41972697829397</v>
      </c>
      <c r="F742" s="2">
        <v>1522.6244488596101</v>
      </c>
      <c r="G742" s="2">
        <v>5547.75105198865</v>
      </c>
      <c r="H742" s="2">
        <v>1547.2720318209299</v>
      </c>
      <c r="I742" s="2">
        <v>3116.7856698000001</v>
      </c>
      <c r="J742" s="2">
        <v>2733.3597419694802</v>
      </c>
      <c r="K742" s="2">
        <v>3554.4085961840901</v>
      </c>
      <c r="L742" s="2">
        <v>4685.6663207861502</v>
      </c>
      <c r="M742" s="2">
        <v>6844.5276067046798</v>
      </c>
      <c r="N742" s="3">
        <f t="shared" si="33"/>
        <v>39080.418982206</v>
      </c>
      <c r="O742" s="2">
        <v>6.1445757320421404</v>
      </c>
      <c r="P742" s="2">
        <v>4.9442626900003104</v>
      </c>
      <c r="Q742" s="2">
        <v>0.13157572153724101</v>
      </c>
      <c r="R742" s="2">
        <v>0</v>
      </c>
      <c r="S742" s="2">
        <v>4.948349471477</v>
      </c>
      <c r="T742" s="2">
        <v>0.74851773977990399</v>
      </c>
      <c r="U742" s="2">
        <v>6.0920509569550898</v>
      </c>
      <c r="V742" s="2">
        <v>2.1682639294753199</v>
      </c>
      <c r="W742" s="2">
        <v>3.9863125424802299</v>
      </c>
      <c r="X742" s="2">
        <v>8.2438713730713395</v>
      </c>
      <c r="Y742" s="2">
        <v>8.5219723556089395</v>
      </c>
      <c r="Z742" s="2">
        <v>0.41260702902961399</v>
      </c>
      <c r="AA742" s="3">
        <f t="shared" si="34"/>
        <v>46.342359541457128</v>
      </c>
      <c r="AB742" t="s">
        <v>45</v>
      </c>
      <c r="AC742">
        <v>19.62</v>
      </c>
      <c r="AD742">
        <v>46.38</v>
      </c>
      <c r="AE742">
        <v>50.83</v>
      </c>
      <c r="AF742">
        <v>19.079999999999998</v>
      </c>
      <c r="AG742">
        <v>25.47</v>
      </c>
      <c r="AH742">
        <v>65.52</v>
      </c>
      <c r="AI742">
        <v>25.82</v>
      </c>
      <c r="AJ742">
        <v>41.31</v>
      </c>
      <c r="AK742">
        <v>37.53</v>
      </c>
      <c r="AL742">
        <v>45.99</v>
      </c>
      <c r="AM742">
        <v>57.3</v>
      </c>
      <c r="AN742">
        <v>78.489999999999995</v>
      </c>
      <c r="AO742" s="1">
        <f t="shared" si="35"/>
        <v>513.33999999999992</v>
      </c>
    </row>
    <row r="743" spans="1:41" x14ac:dyDescent="0.25">
      <c r="A743" t="s">
        <v>786</v>
      </c>
      <c r="B743" s="2">
        <v>919.95765752213094</v>
      </c>
      <c r="C743" s="2">
        <v>6209.2369238374304</v>
      </c>
      <c r="D743" s="2">
        <v>340.08642667520002</v>
      </c>
      <c r="E743" s="2">
        <v>2058.9809599031601</v>
      </c>
      <c r="F743" s="2">
        <v>785.70442958722504</v>
      </c>
      <c r="G743" s="2">
        <v>5645.8001867622197</v>
      </c>
      <c r="H743" s="2">
        <v>1706.0846280261301</v>
      </c>
      <c r="I743" s="2">
        <v>778.528987989455</v>
      </c>
      <c r="J743" s="2">
        <v>2608.7757411583402</v>
      </c>
      <c r="K743" s="2">
        <v>0</v>
      </c>
      <c r="L743" s="2">
        <v>6733.6215060874401</v>
      </c>
      <c r="M743" s="2">
        <v>820.56441169017705</v>
      </c>
      <c r="N743" s="3">
        <f t="shared" si="33"/>
        <v>28607.34185923891</v>
      </c>
      <c r="O743" s="2">
        <v>2.7931253106577199</v>
      </c>
      <c r="P743" s="2">
        <v>2.3360312434694799</v>
      </c>
      <c r="Q743" s="2">
        <v>0.513950448845781</v>
      </c>
      <c r="R743" s="2">
        <v>4.04815409823469</v>
      </c>
      <c r="S743" s="2">
        <v>8.6416136193381898E-2</v>
      </c>
      <c r="T743" s="2">
        <v>0.13225674423877701</v>
      </c>
      <c r="U743" s="2">
        <v>6.2725021160435004</v>
      </c>
      <c r="V743" s="2">
        <v>0.35184067225905902</v>
      </c>
      <c r="W743" s="2">
        <v>1.06306005288891</v>
      </c>
      <c r="X743" s="2">
        <v>0</v>
      </c>
      <c r="Y743" s="2">
        <v>3.2498219237790602</v>
      </c>
      <c r="Z743" s="2">
        <v>5.9262312598337203</v>
      </c>
      <c r="AA743" s="3">
        <f t="shared" si="34"/>
        <v>26.773390006444078</v>
      </c>
      <c r="AB743" t="s">
        <v>63</v>
      </c>
      <c r="AC743">
        <v>18.670000000000002</v>
      </c>
      <c r="AD743">
        <v>124.47</v>
      </c>
      <c r="AE743">
        <v>6.91</v>
      </c>
      <c r="AF743">
        <v>41.63</v>
      </c>
      <c r="AG743">
        <v>15.81</v>
      </c>
      <c r="AH743">
        <v>113.01</v>
      </c>
      <c r="AI743">
        <v>34.770000000000003</v>
      </c>
      <c r="AJ743">
        <v>15.67</v>
      </c>
      <c r="AK743">
        <v>52.36</v>
      </c>
      <c r="AL743">
        <v>0</v>
      </c>
      <c r="AM743">
        <v>135.04</v>
      </c>
      <c r="AN743">
        <v>16.96</v>
      </c>
      <c r="AO743" s="1">
        <f t="shared" si="35"/>
        <v>575.30000000000007</v>
      </c>
    </row>
    <row r="744" spans="1:41" x14ac:dyDescent="0.25">
      <c r="A744" t="s">
        <v>787</v>
      </c>
      <c r="B744" s="2">
        <v>912.43483339165698</v>
      </c>
      <c r="C744" s="2">
        <v>5556.0853958013004</v>
      </c>
      <c r="D744" s="2">
        <v>2261.2079556420099</v>
      </c>
      <c r="E744" s="2">
        <v>16051.7861647071</v>
      </c>
      <c r="F744" s="2">
        <v>456.18488364938599</v>
      </c>
      <c r="G744" s="2">
        <v>0</v>
      </c>
      <c r="H744" s="2">
        <v>3734.4709672994099</v>
      </c>
      <c r="I744" s="2">
        <v>11227.265986058001</v>
      </c>
      <c r="J744" s="2">
        <v>3159.5359931619801</v>
      </c>
      <c r="K744" s="2">
        <v>896.33915423419103</v>
      </c>
      <c r="L744" s="2">
        <v>3533.3186959013601</v>
      </c>
      <c r="M744" s="2">
        <v>7748.8585445180997</v>
      </c>
      <c r="N744" s="3">
        <f t="shared" si="33"/>
        <v>55537.488574364499</v>
      </c>
      <c r="O744" s="2">
        <v>10.774403618958701</v>
      </c>
      <c r="P744" s="2">
        <v>6.8441198582379004</v>
      </c>
      <c r="Q744" s="2">
        <v>8.2904304883444802</v>
      </c>
      <c r="R744" s="2">
        <v>0</v>
      </c>
      <c r="S744" s="2">
        <v>6.6086936673840402</v>
      </c>
      <c r="T744" s="2">
        <v>13.725678784570301</v>
      </c>
      <c r="U744" s="2">
        <v>5.2817877735512404</v>
      </c>
      <c r="V744" s="2">
        <v>2.0037879742731501</v>
      </c>
      <c r="W744" s="2">
        <v>10.053216249948401</v>
      </c>
      <c r="X744" s="2">
        <v>2.65368430191482</v>
      </c>
      <c r="Y744" s="2">
        <v>4.8685513631172803</v>
      </c>
      <c r="Z744" s="2">
        <v>2.8691091528197998</v>
      </c>
      <c r="AA744" s="3">
        <f t="shared" si="34"/>
        <v>73.9734632331201</v>
      </c>
      <c r="AB744" t="s">
        <v>45</v>
      </c>
      <c r="AC744">
        <v>19.670000000000002</v>
      </c>
      <c r="AD744">
        <v>65.91</v>
      </c>
      <c r="AE744">
        <v>33.06</v>
      </c>
      <c r="AF744">
        <v>170.51</v>
      </c>
      <c r="AG744">
        <v>14.91</v>
      </c>
      <c r="AH744">
        <v>10.69</v>
      </c>
      <c r="AI744">
        <v>47.64</v>
      </c>
      <c r="AJ744">
        <v>122.42</v>
      </c>
      <c r="AK744">
        <v>42.14</v>
      </c>
      <c r="AL744">
        <v>19.11</v>
      </c>
      <c r="AM744">
        <v>45.58</v>
      </c>
      <c r="AN744">
        <v>87.63</v>
      </c>
      <c r="AO744" s="1">
        <f t="shared" si="35"/>
        <v>679.2700000000001</v>
      </c>
    </row>
    <row r="745" spans="1:41" x14ac:dyDescent="0.25">
      <c r="A745" t="s">
        <v>788</v>
      </c>
      <c r="B745" s="2">
        <v>912.24861605102001</v>
      </c>
      <c r="C745" s="2">
        <v>1847.61089545599</v>
      </c>
      <c r="D745" s="2">
        <v>5143.8584624823898</v>
      </c>
      <c r="E745" s="2">
        <v>0</v>
      </c>
      <c r="F745" s="2">
        <v>2368.80403522591</v>
      </c>
      <c r="G745" s="2">
        <v>4422.3596974480497</v>
      </c>
      <c r="H745" s="2">
        <v>1157.32102514552</v>
      </c>
      <c r="I745" s="2">
        <v>997.74836989467701</v>
      </c>
      <c r="J745" s="2">
        <v>2800.3191913004798</v>
      </c>
      <c r="K745" s="2">
        <v>10582.6339186063</v>
      </c>
      <c r="L745" s="2">
        <v>1883.5356989531999</v>
      </c>
      <c r="M745" s="2">
        <v>3040.0141549718201</v>
      </c>
      <c r="N745" s="3">
        <f t="shared" si="33"/>
        <v>35156.454065535356</v>
      </c>
      <c r="O745" s="2">
        <v>14.8846300239714</v>
      </c>
      <c r="P745" s="2">
        <v>0</v>
      </c>
      <c r="Q745" s="2">
        <v>1.93574412371017</v>
      </c>
      <c r="R745" s="2">
        <v>2.0876150224559602</v>
      </c>
      <c r="S745" s="2">
        <v>2.1040709041643</v>
      </c>
      <c r="T745" s="2">
        <v>3.6973953733314602</v>
      </c>
      <c r="U745" s="2">
        <v>2.0211773925739802</v>
      </c>
      <c r="V745" s="2">
        <v>0.98684597555203002</v>
      </c>
      <c r="W745" s="2">
        <v>5.1759742098958803</v>
      </c>
      <c r="X745" s="2">
        <v>5.2682661089859497</v>
      </c>
      <c r="Y745" s="2">
        <v>8.1631616151554507</v>
      </c>
      <c r="Z745" s="2">
        <v>1.1282637850550601</v>
      </c>
      <c r="AA745" s="3">
        <f t="shared" si="34"/>
        <v>47.453144534851639</v>
      </c>
      <c r="AB745" t="s">
        <v>63</v>
      </c>
      <c r="AC745">
        <v>19.61</v>
      </c>
      <c r="AD745">
        <v>36.96</v>
      </c>
      <c r="AE745">
        <v>103.06</v>
      </c>
      <c r="AF745">
        <v>0.27</v>
      </c>
      <c r="AG745">
        <v>47.65</v>
      </c>
      <c r="AH745">
        <v>88.82</v>
      </c>
      <c r="AI745">
        <v>23.43</v>
      </c>
      <c r="AJ745">
        <v>20.05</v>
      </c>
      <c r="AK745">
        <v>56.56</v>
      </c>
      <c r="AL745">
        <v>212.2</v>
      </c>
      <c r="AM745">
        <v>38.49</v>
      </c>
      <c r="AN745">
        <v>61</v>
      </c>
      <c r="AO745" s="1">
        <f t="shared" si="35"/>
        <v>708.1</v>
      </c>
    </row>
    <row r="746" spans="1:41" x14ac:dyDescent="0.25">
      <c r="A746" t="s">
        <v>789</v>
      </c>
      <c r="B746" s="2">
        <v>904.35232927344998</v>
      </c>
      <c r="C746" s="2">
        <v>2441.9888181177898</v>
      </c>
      <c r="D746" s="2">
        <v>6636.38502529994</v>
      </c>
      <c r="E746" s="2">
        <v>5175.9956689304299</v>
      </c>
      <c r="F746" s="2">
        <v>772.18746268970096</v>
      </c>
      <c r="G746" s="2">
        <v>1844.67050314163</v>
      </c>
      <c r="H746" s="2">
        <v>0</v>
      </c>
      <c r="I746" s="2">
        <v>4823.7083420239896</v>
      </c>
      <c r="J746" s="2">
        <v>12661.271523290699</v>
      </c>
      <c r="K746" s="2">
        <v>3415.2817527539601</v>
      </c>
      <c r="L746" s="2">
        <v>1036.53909880072</v>
      </c>
      <c r="M746" s="2">
        <v>2534.1262230981802</v>
      </c>
      <c r="N746" s="3">
        <f t="shared" si="33"/>
        <v>42246.506747420492</v>
      </c>
      <c r="O746" s="2">
        <v>8.6055812576323394</v>
      </c>
      <c r="P746" s="2">
        <v>1.6065395199561601</v>
      </c>
      <c r="Q746" s="2">
        <v>0</v>
      </c>
      <c r="R746" s="2">
        <v>7.9643979983361497</v>
      </c>
      <c r="S746" s="2">
        <v>3.4061452779371</v>
      </c>
      <c r="T746" s="2">
        <v>2.1401985916765001</v>
      </c>
      <c r="U746" s="2">
        <v>0</v>
      </c>
      <c r="V746" s="2">
        <v>10.8006565282548</v>
      </c>
      <c r="W746" s="2">
        <v>4.3582453278488398</v>
      </c>
      <c r="X746" s="2">
        <v>8.1615819297692092</v>
      </c>
      <c r="Y746" s="2">
        <v>9.5042524235869106</v>
      </c>
      <c r="Z746" s="2">
        <v>4.77904135279993</v>
      </c>
      <c r="AA746" s="3">
        <f t="shared" si="34"/>
        <v>61.326640207797936</v>
      </c>
      <c r="AB746" t="s">
        <v>45</v>
      </c>
      <c r="AC746">
        <v>19.489999999999998</v>
      </c>
      <c r="AD746">
        <v>34.51</v>
      </c>
      <c r="AE746">
        <v>76.36</v>
      </c>
      <c r="AF746">
        <v>62.15</v>
      </c>
      <c r="AG746">
        <v>17.920000000000002</v>
      </c>
      <c r="AH746">
        <v>28.59</v>
      </c>
      <c r="AI746">
        <v>9.99</v>
      </c>
      <c r="AJ746">
        <v>58.78</v>
      </c>
      <c r="AK746">
        <v>136.86000000000001</v>
      </c>
      <c r="AL746">
        <v>44.6</v>
      </c>
      <c r="AM746">
        <v>20.86</v>
      </c>
      <c r="AN746">
        <v>35.590000000000003</v>
      </c>
      <c r="AO746" s="1">
        <f t="shared" si="35"/>
        <v>545.70000000000005</v>
      </c>
    </row>
    <row r="747" spans="1:41" x14ac:dyDescent="0.25">
      <c r="A747" t="s">
        <v>790</v>
      </c>
      <c r="B747" s="2">
        <v>902.96967311277695</v>
      </c>
      <c r="C747" s="2">
        <v>0</v>
      </c>
      <c r="D747" s="2">
        <v>1920.0983949147201</v>
      </c>
      <c r="E747" s="2">
        <v>12935.6027101167</v>
      </c>
      <c r="F747" s="2">
        <v>8822.4665717847001</v>
      </c>
      <c r="G747" s="2">
        <v>1852.10183696065</v>
      </c>
      <c r="H747" s="2">
        <v>5422.0290790130803</v>
      </c>
      <c r="I747" s="2">
        <v>9149.4859740612501</v>
      </c>
      <c r="J747" s="2">
        <v>1548.5063168911699</v>
      </c>
      <c r="K747" s="2">
        <v>6604.3341855726103</v>
      </c>
      <c r="L747" s="2">
        <v>629.92880822302504</v>
      </c>
      <c r="M747" s="2">
        <v>675.48477509688496</v>
      </c>
      <c r="N747" s="3">
        <f t="shared" si="33"/>
        <v>50463.008325747571</v>
      </c>
      <c r="O747" s="2">
        <v>4.3529180619073298</v>
      </c>
      <c r="P747" s="2">
        <v>0</v>
      </c>
      <c r="Q747" s="2">
        <v>4.8803949633920896</v>
      </c>
      <c r="R747" s="2">
        <v>7.2913378060016898</v>
      </c>
      <c r="S747" s="2">
        <v>0.27957769357075102</v>
      </c>
      <c r="T747" s="2">
        <v>5.7373425149169801</v>
      </c>
      <c r="U747" s="2">
        <v>6.0070340663761099</v>
      </c>
      <c r="V747" s="2">
        <v>2.05233681674112</v>
      </c>
      <c r="W747" s="2">
        <v>4.79955879748701</v>
      </c>
      <c r="X747" s="2">
        <v>0.22668827923319901</v>
      </c>
      <c r="Y747" s="2">
        <v>12.911719493227</v>
      </c>
      <c r="Z747" s="2">
        <v>0.363850235433195</v>
      </c>
      <c r="AA747" s="3">
        <f t="shared" si="34"/>
        <v>48.902758728286479</v>
      </c>
      <c r="AB747" t="s">
        <v>63</v>
      </c>
      <c r="AC747">
        <v>18.510000000000002</v>
      </c>
      <c r="AD747">
        <v>0</v>
      </c>
      <c r="AE747">
        <v>38.869999999999997</v>
      </c>
      <c r="AF747">
        <v>259.44</v>
      </c>
      <c r="AG747">
        <v>176.55</v>
      </c>
      <c r="AH747">
        <v>37.6</v>
      </c>
      <c r="AI747">
        <v>109.09</v>
      </c>
      <c r="AJ747">
        <v>183.27</v>
      </c>
      <c r="AK747">
        <v>31.43</v>
      </c>
      <c r="AL747">
        <v>132.19</v>
      </c>
      <c r="AM747">
        <v>13.77</v>
      </c>
      <c r="AN747">
        <v>13.61</v>
      </c>
      <c r="AO747" s="1">
        <f t="shared" si="35"/>
        <v>1014.33</v>
      </c>
    </row>
    <row r="748" spans="1:41" x14ac:dyDescent="0.25">
      <c r="A748" t="s">
        <v>791</v>
      </c>
      <c r="B748" s="2">
        <v>901.84073327498697</v>
      </c>
      <c r="C748" s="2">
        <v>3950.66165798785</v>
      </c>
      <c r="D748" s="2">
        <v>4603.6492488919603</v>
      </c>
      <c r="E748" s="2">
        <v>8559.5930971848193</v>
      </c>
      <c r="F748" s="2">
        <v>1575.66817484698</v>
      </c>
      <c r="G748" s="2">
        <v>1984.7593991926001</v>
      </c>
      <c r="H748" s="2">
        <v>2942.8757252570399</v>
      </c>
      <c r="I748" s="2">
        <v>1991.4764417797001</v>
      </c>
      <c r="J748" s="2">
        <v>4035.5846377724301</v>
      </c>
      <c r="K748" s="2">
        <v>9804.5061935967806</v>
      </c>
      <c r="L748" s="2">
        <v>462.98802772089499</v>
      </c>
      <c r="M748" s="2">
        <v>2373.6851436182501</v>
      </c>
      <c r="N748" s="3">
        <f t="shared" si="33"/>
        <v>43187.288481124284</v>
      </c>
      <c r="O748" s="2">
        <v>2.14895818998765</v>
      </c>
      <c r="P748" s="2">
        <v>0.649750653040023</v>
      </c>
      <c r="Q748" s="2">
        <v>8.6770465717974296E-2</v>
      </c>
      <c r="R748" s="2">
        <v>1.04890178979852</v>
      </c>
      <c r="S748" s="2">
        <v>0</v>
      </c>
      <c r="T748" s="2">
        <v>6.5944438133022896</v>
      </c>
      <c r="U748" s="2">
        <v>1.6687230556878301</v>
      </c>
      <c r="V748" s="2">
        <v>1.5789929422595601</v>
      </c>
      <c r="W748" s="2">
        <v>3.9430847100005599</v>
      </c>
      <c r="X748" s="2">
        <v>5.6386477004101696</v>
      </c>
      <c r="Y748" s="2">
        <v>2.3543484908239001</v>
      </c>
      <c r="Z748" s="2">
        <v>5.13904702391787</v>
      </c>
      <c r="AA748" s="3">
        <f t="shared" si="34"/>
        <v>30.851668834946345</v>
      </c>
      <c r="AB748" t="s">
        <v>45</v>
      </c>
      <c r="AC748">
        <v>19.16</v>
      </c>
      <c r="AD748">
        <v>49.55</v>
      </c>
      <c r="AE748">
        <v>56.08</v>
      </c>
      <c r="AF748">
        <v>95.69</v>
      </c>
      <c r="AG748">
        <v>25.75</v>
      </c>
      <c r="AH748">
        <v>30.19</v>
      </c>
      <c r="AI748">
        <v>39.520000000000003</v>
      </c>
      <c r="AJ748">
        <v>30.01</v>
      </c>
      <c r="AK748">
        <v>50.55</v>
      </c>
      <c r="AL748">
        <v>108.34</v>
      </c>
      <c r="AM748">
        <v>14.77</v>
      </c>
      <c r="AN748">
        <v>34.03</v>
      </c>
      <c r="AO748" s="1">
        <f t="shared" si="35"/>
        <v>553.64</v>
      </c>
    </row>
    <row r="749" spans="1:41" x14ac:dyDescent="0.25">
      <c r="A749" t="s">
        <v>792</v>
      </c>
      <c r="B749" s="2">
        <v>900.87061846427503</v>
      </c>
      <c r="C749" s="2">
        <v>3647.7337639687198</v>
      </c>
      <c r="D749" s="2">
        <v>1793.2706431244301</v>
      </c>
      <c r="E749" s="2">
        <v>1365.51730353634</v>
      </c>
      <c r="F749" s="2">
        <v>1734.31569591424</v>
      </c>
      <c r="G749" s="2">
        <v>1028.56221591643</v>
      </c>
      <c r="H749" s="2">
        <v>6466.4837143260902</v>
      </c>
      <c r="I749" s="2">
        <v>658.95389426991301</v>
      </c>
      <c r="J749" s="2">
        <v>3554.0537118515199</v>
      </c>
      <c r="K749" s="2">
        <v>10901.146643488601</v>
      </c>
      <c r="L749" s="2">
        <v>2344.4727986594598</v>
      </c>
      <c r="M749" s="2">
        <v>2360.9107398056099</v>
      </c>
      <c r="N749" s="3">
        <f t="shared" si="33"/>
        <v>36756.29174332563</v>
      </c>
      <c r="O749" s="2">
        <v>2.3319727502337901</v>
      </c>
      <c r="P749" s="2">
        <v>3.7881950150697201</v>
      </c>
      <c r="Q749" s="2">
        <v>13.3510679506557</v>
      </c>
      <c r="R749" s="2">
        <v>1.2025220851726901</v>
      </c>
      <c r="S749" s="2">
        <v>7.3312621515263396</v>
      </c>
      <c r="T749" s="2">
        <v>2.3022142842475799</v>
      </c>
      <c r="U749" s="2">
        <v>2.9795822124002602</v>
      </c>
      <c r="V749" s="2">
        <v>1.87456816993922</v>
      </c>
      <c r="W749" s="2">
        <v>0</v>
      </c>
      <c r="X749" s="2">
        <v>2.0372839031005698</v>
      </c>
      <c r="Y749" s="2">
        <v>4.7590081887597098</v>
      </c>
      <c r="Z749" s="2">
        <v>2.9475482391424901</v>
      </c>
      <c r="AA749" s="3">
        <f t="shared" si="34"/>
        <v>44.905224950248069</v>
      </c>
      <c r="AB749" t="s">
        <v>45</v>
      </c>
      <c r="AC749">
        <v>19.149999999999999</v>
      </c>
      <c r="AD749">
        <v>46.67</v>
      </c>
      <c r="AE749">
        <v>28.63</v>
      </c>
      <c r="AF749">
        <v>23.75</v>
      </c>
      <c r="AG749">
        <v>27.74</v>
      </c>
      <c r="AH749">
        <v>20.43</v>
      </c>
      <c r="AI749">
        <v>74.81</v>
      </c>
      <c r="AJ749">
        <v>16.68</v>
      </c>
      <c r="AK749">
        <v>45.54</v>
      </c>
      <c r="AL749">
        <v>119.16</v>
      </c>
      <c r="AM749">
        <v>33.69</v>
      </c>
      <c r="AN749">
        <v>33.75</v>
      </c>
      <c r="AO749" s="1">
        <f t="shared" si="35"/>
        <v>490.00000000000006</v>
      </c>
    </row>
    <row r="750" spans="1:41" x14ac:dyDescent="0.25">
      <c r="A750" t="s">
        <v>793</v>
      </c>
      <c r="B750" s="2">
        <v>896.79637694955704</v>
      </c>
      <c r="C750" s="2">
        <v>418.76891525863198</v>
      </c>
      <c r="D750" s="2">
        <v>862.49445867261704</v>
      </c>
      <c r="E750" s="2">
        <v>4699.9111335840498</v>
      </c>
      <c r="F750" s="2">
        <v>731.75857440736002</v>
      </c>
      <c r="G750" s="2">
        <v>12147.6254910673</v>
      </c>
      <c r="H750" s="2">
        <v>3926.85979646849</v>
      </c>
      <c r="I750" s="2">
        <v>5173.4219283130797</v>
      </c>
      <c r="J750" s="2">
        <v>1492.38751888245</v>
      </c>
      <c r="K750" s="2">
        <v>7398.9117020816602</v>
      </c>
      <c r="L750" s="2">
        <v>4101.50603269563</v>
      </c>
      <c r="M750" s="2">
        <v>6314.2930570704002</v>
      </c>
      <c r="N750" s="3">
        <f t="shared" si="33"/>
        <v>48164.734985451221</v>
      </c>
      <c r="O750" s="2">
        <v>0.75253982993615198</v>
      </c>
      <c r="P750" s="2">
        <v>0</v>
      </c>
      <c r="Q750" s="2">
        <v>1.0728098294994699</v>
      </c>
      <c r="R750" s="2">
        <v>3.3843865199616299</v>
      </c>
      <c r="S750" s="2">
        <v>4.0236213281760298</v>
      </c>
      <c r="T750" s="2">
        <v>0.46401083506046797</v>
      </c>
      <c r="U750" s="2">
        <v>15.5448354914412</v>
      </c>
      <c r="V750" s="2">
        <v>18.269052834502499</v>
      </c>
      <c r="W750" s="2">
        <v>5.8138380878002502</v>
      </c>
      <c r="X750" s="2">
        <v>1.46077856861461</v>
      </c>
      <c r="Y750" s="2">
        <v>0.43754353351910102</v>
      </c>
      <c r="Z750" s="2">
        <v>7.2399796770114202</v>
      </c>
      <c r="AA750" s="3">
        <f t="shared" si="34"/>
        <v>58.463396535522826</v>
      </c>
      <c r="AB750" t="s">
        <v>45</v>
      </c>
      <c r="AC750">
        <v>19.010000000000002</v>
      </c>
      <c r="AD750">
        <v>14.18</v>
      </c>
      <c r="AE750">
        <v>18.72</v>
      </c>
      <c r="AF750">
        <v>57.19</v>
      </c>
      <c r="AG750">
        <v>17.559999999999999</v>
      </c>
      <c r="AH750">
        <v>131.52000000000001</v>
      </c>
      <c r="AI750">
        <v>50.06</v>
      </c>
      <c r="AJ750">
        <v>62.68</v>
      </c>
      <c r="AK750">
        <v>25.22</v>
      </c>
      <c r="AL750">
        <v>84.08</v>
      </c>
      <c r="AM750">
        <v>51.06</v>
      </c>
      <c r="AN750">
        <v>73.540000000000006</v>
      </c>
      <c r="AO750" s="1">
        <f t="shared" si="35"/>
        <v>604.81999999999994</v>
      </c>
    </row>
    <row r="751" spans="1:41" x14ac:dyDescent="0.25">
      <c r="A751" t="s">
        <v>794</v>
      </c>
      <c r="B751" s="2">
        <v>895.981172150455</v>
      </c>
      <c r="C751" s="2">
        <v>13149.1112421291</v>
      </c>
      <c r="D751" s="2">
        <v>1189.5780739542899</v>
      </c>
      <c r="E751" s="2">
        <v>6322.44786438336</v>
      </c>
      <c r="F751" s="2">
        <v>5037.7168342298</v>
      </c>
      <c r="G751" s="2">
        <v>2294.2347333963098</v>
      </c>
      <c r="H751" s="2">
        <v>0</v>
      </c>
      <c r="I751" s="2">
        <v>0</v>
      </c>
      <c r="J751" s="2">
        <v>676.30198093858098</v>
      </c>
      <c r="K751" s="2">
        <v>2213.5167207211898</v>
      </c>
      <c r="L751" s="2">
        <v>3132.46857506573</v>
      </c>
      <c r="M751" s="2">
        <v>3069.1260956074402</v>
      </c>
      <c r="N751" s="3">
        <f t="shared" si="33"/>
        <v>37980.48329257626</v>
      </c>
      <c r="O751" s="2">
        <v>1.9178417552693701</v>
      </c>
      <c r="P751" s="2">
        <v>0.66399548288884302</v>
      </c>
      <c r="Q751" s="2">
        <v>2.7050590128523799</v>
      </c>
      <c r="R751" s="2">
        <v>0.83468639821170698</v>
      </c>
      <c r="S751" s="2">
        <v>0</v>
      </c>
      <c r="T751" s="2">
        <v>1.5717223738696899</v>
      </c>
      <c r="U751" s="2">
        <v>9.3695414643823796</v>
      </c>
      <c r="V751" s="2">
        <v>0.65438198254908597</v>
      </c>
      <c r="W751" s="2">
        <v>5.4710599880012802</v>
      </c>
      <c r="X751" s="2">
        <v>1.3349010942616499</v>
      </c>
      <c r="Y751" s="2">
        <v>1.68091937775886</v>
      </c>
      <c r="Z751" s="2">
        <v>0.98204778530464698</v>
      </c>
      <c r="AA751" s="3">
        <f t="shared" si="34"/>
        <v>27.186156715349892</v>
      </c>
      <c r="AB751" t="s">
        <v>45</v>
      </c>
      <c r="AC751">
        <v>19.05</v>
      </c>
      <c r="AD751">
        <v>141.54</v>
      </c>
      <c r="AE751">
        <v>22.04</v>
      </c>
      <c r="AF751">
        <v>73.27</v>
      </c>
      <c r="AG751">
        <v>60.37</v>
      </c>
      <c r="AH751">
        <v>33.04</v>
      </c>
      <c r="AI751">
        <v>10.49</v>
      </c>
      <c r="AJ751">
        <v>10.039999999999999</v>
      </c>
      <c r="AK751">
        <v>17.059999999999999</v>
      </c>
      <c r="AL751">
        <v>32.229999999999997</v>
      </c>
      <c r="AM751">
        <v>41.42</v>
      </c>
      <c r="AN751">
        <v>40.74</v>
      </c>
      <c r="AO751" s="1">
        <f t="shared" si="35"/>
        <v>501.29000000000008</v>
      </c>
    </row>
    <row r="752" spans="1:41" x14ac:dyDescent="0.25">
      <c r="A752" t="s">
        <v>795</v>
      </c>
      <c r="B752" s="2">
        <v>891.15348241833999</v>
      </c>
      <c r="C752" s="2">
        <v>9673.4163649499096</v>
      </c>
      <c r="D752" s="2">
        <v>0</v>
      </c>
      <c r="E752" s="2">
        <v>3097.0083153590599</v>
      </c>
      <c r="F752" s="2">
        <v>3761.1894324935602</v>
      </c>
      <c r="G752" s="2">
        <v>1878.1864353047799</v>
      </c>
      <c r="H752" s="2">
        <v>3282.14841734126</v>
      </c>
      <c r="I752" s="2">
        <v>1756.9763144364599</v>
      </c>
      <c r="J752" s="2">
        <v>7708.8451385148001</v>
      </c>
      <c r="K752" s="2">
        <v>1784.6090917003401</v>
      </c>
      <c r="L752" s="2">
        <v>3448.5772624025499</v>
      </c>
      <c r="M752" s="2">
        <v>4017.4748659241</v>
      </c>
      <c r="N752" s="3">
        <f t="shared" si="33"/>
        <v>41299.585120845157</v>
      </c>
      <c r="O752" s="2">
        <v>1.29497447103194</v>
      </c>
      <c r="P752" s="2">
        <v>4.6683692275526498</v>
      </c>
      <c r="Q752" s="2">
        <v>0</v>
      </c>
      <c r="R752" s="2">
        <v>3.3637732255968702</v>
      </c>
      <c r="S752" s="2">
        <v>2.3137990609516002</v>
      </c>
      <c r="T752" s="2">
        <v>3.1971585927560402</v>
      </c>
      <c r="U752" s="2">
        <v>9.6775568225402395</v>
      </c>
      <c r="V752" s="2">
        <v>7.2426592944851302</v>
      </c>
      <c r="W752" s="2">
        <v>2.0602151690480901</v>
      </c>
      <c r="X752" s="2">
        <v>0</v>
      </c>
      <c r="Y752" s="2">
        <v>3.12760087975354</v>
      </c>
      <c r="Z752" s="2">
        <v>5.1158004958602197</v>
      </c>
      <c r="AA752" s="3">
        <f t="shared" si="34"/>
        <v>42.061907239576321</v>
      </c>
      <c r="AB752" t="s">
        <v>45</v>
      </c>
      <c r="AC752">
        <v>19.010000000000002</v>
      </c>
      <c r="AD752">
        <v>106.98</v>
      </c>
      <c r="AE752">
        <v>9.99</v>
      </c>
      <c r="AF752">
        <v>41.17</v>
      </c>
      <c r="AG752">
        <v>47.76</v>
      </c>
      <c r="AH752">
        <v>28.98</v>
      </c>
      <c r="AI752">
        <v>43.32</v>
      </c>
      <c r="AJ752">
        <v>27.96</v>
      </c>
      <c r="AK752">
        <v>87.23</v>
      </c>
      <c r="AL752">
        <v>27.84</v>
      </c>
      <c r="AM752">
        <v>44.68</v>
      </c>
      <c r="AN752">
        <v>50.47</v>
      </c>
      <c r="AO752" s="1">
        <f t="shared" si="35"/>
        <v>535.39</v>
      </c>
    </row>
    <row r="753" spans="1:41" x14ac:dyDescent="0.25">
      <c r="A753" t="s">
        <v>796</v>
      </c>
      <c r="B753" s="2">
        <v>889.00825455543099</v>
      </c>
      <c r="C753" s="2">
        <v>7915.2234265652296</v>
      </c>
      <c r="D753" s="2">
        <v>0</v>
      </c>
      <c r="E753" s="2">
        <v>3907.5161632038498</v>
      </c>
      <c r="F753" s="2">
        <v>7167.1956903509999</v>
      </c>
      <c r="G753" s="2">
        <v>1915.3468729917499</v>
      </c>
      <c r="H753" s="2">
        <v>6143.0195837753299</v>
      </c>
      <c r="I753" s="2">
        <v>565.12932313045098</v>
      </c>
      <c r="J753" s="2">
        <v>5932.3271493090397</v>
      </c>
      <c r="K753" s="2">
        <v>593.85381662261295</v>
      </c>
      <c r="L753" s="2">
        <v>4430.36972346318</v>
      </c>
      <c r="M753" s="2">
        <v>3854.2942734990702</v>
      </c>
      <c r="N753" s="3">
        <f t="shared" si="33"/>
        <v>43313.284277466948</v>
      </c>
      <c r="O753" s="2">
        <v>1.46740697433636</v>
      </c>
      <c r="P753" s="2">
        <v>2.2456444339702801</v>
      </c>
      <c r="Q753" s="2">
        <v>3.06618696603458</v>
      </c>
      <c r="R753" s="2">
        <v>10.9498081482367</v>
      </c>
      <c r="S753" s="2">
        <v>1.29376850850156</v>
      </c>
      <c r="T753" s="2">
        <v>2.3780410662479001</v>
      </c>
      <c r="U753" s="2">
        <v>0.95339547966448801</v>
      </c>
      <c r="V753" s="2">
        <v>2.0827384138815099</v>
      </c>
      <c r="W753" s="2">
        <v>0.13858050833216001</v>
      </c>
      <c r="X753" s="2">
        <v>9.1791599382683504</v>
      </c>
      <c r="Y753" s="2">
        <v>3.58389716427213</v>
      </c>
      <c r="Z753" s="2">
        <v>2.3929864500320899</v>
      </c>
      <c r="AA753" s="3">
        <f t="shared" si="34"/>
        <v>39.731614051778109</v>
      </c>
      <c r="AB753" t="s">
        <v>45</v>
      </c>
      <c r="AC753">
        <v>18.989999999999998</v>
      </c>
      <c r="AD753">
        <v>89.3</v>
      </c>
      <c r="AE753">
        <v>10.19</v>
      </c>
      <c r="AF753">
        <v>49.62</v>
      </c>
      <c r="AG753">
        <v>81.77</v>
      </c>
      <c r="AH753">
        <v>29.3</v>
      </c>
      <c r="AI753">
        <v>71.48</v>
      </c>
      <c r="AJ753">
        <v>15.8</v>
      </c>
      <c r="AK753">
        <v>69.37</v>
      </c>
      <c r="AL753">
        <v>16.43</v>
      </c>
      <c r="AM753">
        <v>54.5</v>
      </c>
      <c r="AN753">
        <v>48.69</v>
      </c>
      <c r="AO753" s="1">
        <f t="shared" si="35"/>
        <v>555.44000000000005</v>
      </c>
    </row>
    <row r="754" spans="1:41" x14ac:dyDescent="0.25">
      <c r="A754" t="s">
        <v>797</v>
      </c>
      <c r="B754" s="2">
        <v>886.98525078756097</v>
      </c>
      <c r="C754" s="2">
        <v>3075.2867221243901</v>
      </c>
      <c r="D754" s="2">
        <v>716.85877820593396</v>
      </c>
      <c r="E754" s="2">
        <v>4236.1163263109502</v>
      </c>
      <c r="F754" s="2">
        <v>1476.20229125744</v>
      </c>
      <c r="G754" s="2">
        <v>714.26399229532205</v>
      </c>
      <c r="H754" s="2">
        <v>3189.7401035310199</v>
      </c>
      <c r="I754" s="2">
        <v>2864.8908803838099</v>
      </c>
      <c r="J754" s="2">
        <v>229.16202867053201</v>
      </c>
      <c r="K754" s="2">
        <v>4826.55937359975</v>
      </c>
      <c r="L754" s="2">
        <v>7924.1234557730704</v>
      </c>
      <c r="M754" s="2">
        <v>645.68835979588096</v>
      </c>
      <c r="N754" s="3">
        <f t="shared" si="33"/>
        <v>30785.877562735659</v>
      </c>
      <c r="O754" s="2">
        <v>9.1934490175985601</v>
      </c>
      <c r="P754" s="2">
        <v>2.73696647347177</v>
      </c>
      <c r="Q754" s="2">
        <v>0.79502343146570598</v>
      </c>
      <c r="R754" s="2">
        <v>9.1098552163666699</v>
      </c>
      <c r="S754" s="2">
        <v>4.8739165054441704</v>
      </c>
      <c r="T754" s="2">
        <v>0.95912967417412898</v>
      </c>
      <c r="U754" s="2">
        <v>1.6212357461264999</v>
      </c>
      <c r="V754" s="2">
        <v>2.1738152491522902</v>
      </c>
      <c r="W754" s="2">
        <v>4.3619363311026698</v>
      </c>
      <c r="X754" s="2">
        <v>3.3478986204380798</v>
      </c>
      <c r="Y754" s="2">
        <v>19.157711651193299</v>
      </c>
      <c r="Z754" s="2">
        <v>1.29901837663981</v>
      </c>
      <c r="AA754" s="3">
        <f t="shared" si="34"/>
        <v>59.629956293173663</v>
      </c>
      <c r="AB754" t="s">
        <v>63</v>
      </c>
      <c r="AC754">
        <v>18.64</v>
      </c>
      <c r="AD754">
        <v>61.79</v>
      </c>
      <c r="AE754">
        <v>14.43</v>
      </c>
      <c r="AF754">
        <v>85.64</v>
      </c>
      <c r="AG754">
        <v>29.99</v>
      </c>
      <c r="AH754">
        <v>14.39</v>
      </c>
      <c r="AI754">
        <v>63.98</v>
      </c>
      <c r="AJ754">
        <v>57.57</v>
      </c>
      <c r="AK754">
        <v>5.05</v>
      </c>
      <c r="AL754">
        <v>96.9</v>
      </c>
      <c r="AM754">
        <v>160.30000000000001</v>
      </c>
      <c r="AN754">
        <v>13.1</v>
      </c>
      <c r="AO754" s="1">
        <f t="shared" si="35"/>
        <v>621.78000000000009</v>
      </c>
    </row>
    <row r="755" spans="1:41" x14ac:dyDescent="0.25">
      <c r="A755" t="s">
        <v>798</v>
      </c>
      <c r="B755" s="2">
        <v>875.26161187258003</v>
      </c>
      <c r="C755" s="2">
        <v>0</v>
      </c>
      <c r="D755" s="2">
        <v>1294.33669914354</v>
      </c>
      <c r="E755" s="2">
        <v>6311.87153665805</v>
      </c>
      <c r="F755" s="2">
        <v>6845.6109273435804</v>
      </c>
      <c r="G755" s="2">
        <v>2391.2290753899301</v>
      </c>
      <c r="H755" s="2">
        <v>580.11745980861099</v>
      </c>
      <c r="I755" s="2">
        <v>582.09263527106305</v>
      </c>
      <c r="J755" s="2">
        <v>6325.5481043857399</v>
      </c>
      <c r="K755" s="2">
        <v>9633.3919791735498</v>
      </c>
      <c r="L755" s="2">
        <v>101.977574344535</v>
      </c>
      <c r="M755" s="2">
        <v>0</v>
      </c>
      <c r="N755" s="3">
        <f t="shared" si="33"/>
        <v>34941.437603391183</v>
      </c>
      <c r="O755" s="2">
        <v>0</v>
      </c>
      <c r="P755" s="2">
        <v>1.88598355951756</v>
      </c>
      <c r="Q755" s="2">
        <v>4.82681340572978</v>
      </c>
      <c r="R755" s="2">
        <v>0.65402564414380204</v>
      </c>
      <c r="S755" s="2">
        <v>0.71158843185007004</v>
      </c>
      <c r="T755" s="2">
        <v>7.0966723915858498</v>
      </c>
      <c r="U755" s="2">
        <v>8.8927336448113099</v>
      </c>
      <c r="V755" s="2">
        <v>10.6814725470943</v>
      </c>
      <c r="W755" s="2">
        <v>0.883743641921371</v>
      </c>
      <c r="X755" s="2">
        <v>4.31224584557686</v>
      </c>
      <c r="Y755" s="2">
        <v>2.6327256378012001</v>
      </c>
      <c r="Z755" s="2">
        <v>1.9689082652337</v>
      </c>
      <c r="AA755" s="3">
        <f t="shared" si="34"/>
        <v>44.546913015265808</v>
      </c>
      <c r="AB755" t="s">
        <v>63</v>
      </c>
      <c r="AC755">
        <v>17.52</v>
      </c>
      <c r="AD755">
        <v>0.18</v>
      </c>
      <c r="AE755">
        <v>26.35</v>
      </c>
      <c r="AF755">
        <v>126.33</v>
      </c>
      <c r="AG755">
        <v>137.01</v>
      </c>
      <c r="AH755">
        <v>48.56</v>
      </c>
      <c r="AI755">
        <v>12.43</v>
      </c>
      <c r="AJ755">
        <v>12.65</v>
      </c>
      <c r="AK755">
        <v>126.61</v>
      </c>
      <c r="AL755">
        <v>193.13</v>
      </c>
      <c r="AM755">
        <v>2.31</v>
      </c>
      <c r="AN755">
        <v>0.18</v>
      </c>
      <c r="AO755" s="1">
        <f t="shared" si="35"/>
        <v>703.25999999999988</v>
      </c>
    </row>
    <row r="756" spans="1:41" x14ac:dyDescent="0.25">
      <c r="A756" t="s">
        <v>799</v>
      </c>
      <c r="B756" s="2">
        <v>874.39496225452694</v>
      </c>
      <c r="C756" s="2">
        <v>1810.90447631864</v>
      </c>
      <c r="D756" s="2">
        <v>591.82353571891701</v>
      </c>
      <c r="E756" s="2">
        <v>5640.0113556088099</v>
      </c>
      <c r="F756" s="2">
        <v>1333.32570521043</v>
      </c>
      <c r="G756" s="2">
        <v>2026.2404626815301</v>
      </c>
      <c r="H756" s="2">
        <v>13319.3316104608</v>
      </c>
      <c r="I756" s="2">
        <v>10179.7162628716</v>
      </c>
      <c r="J756" s="2">
        <v>11872.607747120799</v>
      </c>
      <c r="K756" s="2">
        <v>805.980983322881</v>
      </c>
      <c r="L756" s="2">
        <v>8156.4793520878902</v>
      </c>
      <c r="M756" s="2">
        <v>1581.56233645507</v>
      </c>
      <c r="N756" s="3">
        <f t="shared" si="33"/>
        <v>58192.378790111892</v>
      </c>
      <c r="O756" s="2">
        <v>8.6893184401481207</v>
      </c>
      <c r="P756" s="2">
        <v>8.2708663564944001</v>
      </c>
      <c r="Q756" s="2">
        <v>3.9374848379519798</v>
      </c>
      <c r="R756" s="2">
        <v>1.98164371468961</v>
      </c>
      <c r="S756" s="2">
        <v>7.6429993447237496</v>
      </c>
      <c r="T756" s="2">
        <v>7.1110221169101697</v>
      </c>
      <c r="U756" s="2">
        <v>0</v>
      </c>
      <c r="V756" s="2">
        <v>6.5363707732506304</v>
      </c>
      <c r="W756" s="2">
        <v>2.88573699768334</v>
      </c>
      <c r="X756" s="2">
        <v>7.1189406791909899</v>
      </c>
      <c r="Y756" s="2">
        <v>23.114950250076301</v>
      </c>
      <c r="Z756" s="2">
        <v>1.5839451224971799</v>
      </c>
      <c r="AA756" s="3">
        <f t="shared" si="34"/>
        <v>78.873278633616479</v>
      </c>
      <c r="AB756" t="s">
        <v>45</v>
      </c>
      <c r="AC756">
        <v>19.190000000000001</v>
      </c>
      <c r="AD756">
        <v>28.55</v>
      </c>
      <c r="AE756">
        <v>16.11</v>
      </c>
      <c r="AF756">
        <v>66.5</v>
      </c>
      <c r="AG756">
        <v>23.73</v>
      </c>
      <c r="AH756">
        <v>30.66</v>
      </c>
      <c r="AI756">
        <v>143.19</v>
      </c>
      <c r="AJ756">
        <v>112.14</v>
      </c>
      <c r="AK756">
        <v>128.87</v>
      </c>
      <c r="AL756">
        <v>18.45</v>
      </c>
      <c r="AM756">
        <v>92.76</v>
      </c>
      <c r="AN756">
        <v>25.91</v>
      </c>
      <c r="AO756" s="1">
        <f t="shared" si="35"/>
        <v>706.06</v>
      </c>
    </row>
    <row r="757" spans="1:41" x14ac:dyDescent="0.25">
      <c r="A757" t="s">
        <v>800</v>
      </c>
      <c r="B757" s="2">
        <v>868.71700969810297</v>
      </c>
      <c r="C757" s="2">
        <v>3228.27467090253</v>
      </c>
      <c r="D757" s="2">
        <v>1688.0364466462499</v>
      </c>
      <c r="E757" s="2">
        <v>0</v>
      </c>
      <c r="F757" s="2">
        <v>5716.2487297819098</v>
      </c>
      <c r="G757" s="2">
        <v>1338.32661001426</v>
      </c>
      <c r="H757" s="2">
        <v>3953.339700731</v>
      </c>
      <c r="I757" s="2">
        <v>3195.3364181534098</v>
      </c>
      <c r="J757" s="2">
        <v>530.64284989380201</v>
      </c>
      <c r="K757" s="2">
        <v>2489.3588039558199</v>
      </c>
      <c r="L757" s="2">
        <v>8645.0647158909596</v>
      </c>
      <c r="M757" s="2">
        <v>1115.4391824945501</v>
      </c>
      <c r="N757" s="3">
        <f t="shared" si="33"/>
        <v>32768.785138162595</v>
      </c>
      <c r="O757" s="2">
        <v>4.5999193959663396</v>
      </c>
      <c r="P757" s="2">
        <v>7.6934256250857596</v>
      </c>
      <c r="Q757" s="2">
        <v>2.1490990756272801</v>
      </c>
      <c r="R757" s="2">
        <v>0</v>
      </c>
      <c r="S757" s="2">
        <v>0</v>
      </c>
      <c r="T757" s="2">
        <v>9.55338093922445</v>
      </c>
      <c r="U757" s="2">
        <v>4.4992551785005599</v>
      </c>
      <c r="V757" s="2">
        <v>2.0563935751343498</v>
      </c>
      <c r="W757" s="2">
        <v>0.51353845484829397</v>
      </c>
      <c r="X757" s="2">
        <v>5.1245350246092096</v>
      </c>
      <c r="Y757" s="2">
        <v>8.30672818400555</v>
      </c>
      <c r="Z757" s="2">
        <v>8.6903131606653297</v>
      </c>
      <c r="AA757" s="3">
        <f t="shared" si="34"/>
        <v>53.186588613667126</v>
      </c>
      <c r="AB757" t="s">
        <v>63</v>
      </c>
      <c r="AC757">
        <v>17.829999999999998</v>
      </c>
      <c r="AD757">
        <v>65.3</v>
      </c>
      <c r="AE757">
        <v>34.049999999999997</v>
      </c>
      <c r="AF757">
        <v>0</v>
      </c>
      <c r="AG757">
        <v>114.34</v>
      </c>
      <c r="AH757">
        <v>27.68</v>
      </c>
      <c r="AI757">
        <v>79.53</v>
      </c>
      <c r="AJ757">
        <v>64.19</v>
      </c>
      <c r="AK757">
        <v>10.71</v>
      </c>
      <c r="AL757">
        <v>50.34</v>
      </c>
      <c r="AM757">
        <v>173.73</v>
      </c>
      <c r="AN757">
        <v>23.13</v>
      </c>
      <c r="AO757" s="1">
        <f t="shared" si="35"/>
        <v>660.83</v>
      </c>
    </row>
    <row r="758" spans="1:41" x14ac:dyDescent="0.25">
      <c r="A758" t="s">
        <v>801</v>
      </c>
      <c r="B758" s="2">
        <v>866.97558311896705</v>
      </c>
      <c r="C758" s="2">
        <v>3506.8207790513502</v>
      </c>
      <c r="D758" s="2">
        <v>0</v>
      </c>
      <c r="E758" s="2">
        <v>4681.7876843514596</v>
      </c>
      <c r="F758" s="2">
        <v>2775.5220523786002</v>
      </c>
      <c r="G758" s="2">
        <v>108.189430592382</v>
      </c>
      <c r="H758" s="2">
        <v>943.59074062749096</v>
      </c>
      <c r="I758" s="2">
        <v>1335.1327771439601</v>
      </c>
      <c r="J758" s="2">
        <v>2979.26502509993</v>
      </c>
      <c r="K758" s="2">
        <v>2270.6765983881201</v>
      </c>
      <c r="L758" s="2">
        <v>428.56581213585201</v>
      </c>
      <c r="M758" s="2">
        <v>4229.4673931317002</v>
      </c>
      <c r="N758" s="3">
        <f t="shared" si="33"/>
        <v>24125.993876019813</v>
      </c>
      <c r="O758" s="2">
        <v>4.79352828830657</v>
      </c>
      <c r="P758" s="2">
        <v>1.6552030795338899</v>
      </c>
      <c r="Q758" s="2">
        <v>2.2639934847539802</v>
      </c>
      <c r="R758" s="2">
        <v>0</v>
      </c>
      <c r="S758" s="2">
        <v>9.5689741206596501</v>
      </c>
      <c r="T758" s="2">
        <v>0</v>
      </c>
      <c r="U758" s="2">
        <v>1.6716039886382601</v>
      </c>
      <c r="V758" s="2">
        <v>3.55337682700182</v>
      </c>
      <c r="W758" s="2">
        <v>1.1174278053396101</v>
      </c>
      <c r="X758" s="2">
        <v>0</v>
      </c>
      <c r="Y758" s="2">
        <v>3.5516376321308298</v>
      </c>
      <c r="Z758" s="2">
        <v>0</v>
      </c>
      <c r="AA758" s="3">
        <f t="shared" si="34"/>
        <v>28.175745226364612</v>
      </c>
      <c r="AB758" t="s">
        <v>63</v>
      </c>
      <c r="AC758">
        <v>17.79</v>
      </c>
      <c r="AD758">
        <v>70.319999999999993</v>
      </c>
      <c r="AE758">
        <v>0.27</v>
      </c>
      <c r="AF758">
        <v>93.64</v>
      </c>
      <c r="AG758">
        <v>56.42</v>
      </c>
      <c r="AH758">
        <v>2.1800000000000002</v>
      </c>
      <c r="AI758">
        <v>19.059999999999999</v>
      </c>
      <c r="AJ758">
        <v>27.08</v>
      </c>
      <c r="AK758">
        <v>59.78</v>
      </c>
      <c r="AL758">
        <v>45.42</v>
      </c>
      <c r="AM758">
        <v>8.94</v>
      </c>
      <c r="AN758">
        <v>84.6</v>
      </c>
      <c r="AO758" s="1">
        <f t="shared" si="35"/>
        <v>485.5</v>
      </c>
    </row>
    <row r="759" spans="1:41" x14ac:dyDescent="0.25">
      <c r="A759" t="s">
        <v>802</v>
      </c>
      <c r="B759" s="2">
        <v>862.54557512186705</v>
      </c>
      <c r="C759" s="2">
        <v>1292.9771547698101</v>
      </c>
      <c r="D759" s="2">
        <v>3582.75036179162</v>
      </c>
      <c r="E759" s="2">
        <v>2303.97343140169</v>
      </c>
      <c r="F759" s="2">
        <v>1679.9314263553499</v>
      </c>
      <c r="G759" s="2">
        <v>1446.7282215898499</v>
      </c>
      <c r="H759" s="2">
        <v>1850.3188495010299</v>
      </c>
      <c r="I759" s="2">
        <v>7882.16805376308</v>
      </c>
      <c r="J759" s="2">
        <v>1343.9108129307001</v>
      </c>
      <c r="K759" s="2">
        <v>367.18582999824002</v>
      </c>
      <c r="L759" s="2">
        <v>2116.9023090470801</v>
      </c>
      <c r="M759" s="2">
        <v>4255.2405009336298</v>
      </c>
      <c r="N759" s="3">
        <f t="shared" si="33"/>
        <v>28984.632527203947</v>
      </c>
      <c r="O759" s="2">
        <v>5.0553797303043204</v>
      </c>
      <c r="P759" s="2">
        <v>2.63449180164478</v>
      </c>
      <c r="Q759" s="2">
        <v>11.839969339976999</v>
      </c>
      <c r="R759" s="2">
        <v>14.754395113851199</v>
      </c>
      <c r="S759" s="2">
        <v>11.711823653359399</v>
      </c>
      <c r="T759" s="2">
        <v>0.91648179049600098</v>
      </c>
      <c r="U759" s="2">
        <v>6.3899749627381199</v>
      </c>
      <c r="V759" s="2">
        <v>6.4485464800333698</v>
      </c>
      <c r="W759" s="2">
        <v>0.49072352559812099</v>
      </c>
      <c r="X759" s="2">
        <v>6.2449194829114303</v>
      </c>
      <c r="Y759" s="2">
        <v>0</v>
      </c>
      <c r="Z759" s="2">
        <v>3.1615862063203202</v>
      </c>
      <c r="AA759" s="3">
        <f t="shared" si="34"/>
        <v>69.648292087234069</v>
      </c>
      <c r="AB759" t="s">
        <v>63</v>
      </c>
      <c r="AC759">
        <v>17.8</v>
      </c>
      <c r="AD759">
        <v>26.13</v>
      </c>
      <c r="AE759">
        <v>72.739999999999995</v>
      </c>
      <c r="AF759">
        <v>47.43</v>
      </c>
      <c r="AG759">
        <v>34.68</v>
      </c>
      <c r="AH759">
        <v>29.03</v>
      </c>
      <c r="AI759">
        <v>37.65</v>
      </c>
      <c r="AJ759">
        <v>158.29</v>
      </c>
      <c r="AK759">
        <v>26.97</v>
      </c>
      <c r="AL759">
        <v>7.99</v>
      </c>
      <c r="AM759">
        <v>42.34</v>
      </c>
      <c r="AN759">
        <v>85.48</v>
      </c>
      <c r="AO759" s="1">
        <f t="shared" si="35"/>
        <v>586.53000000000009</v>
      </c>
    </row>
    <row r="760" spans="1:41" x14ac:dyDescent="0.25">
      <c r="A760" t="s">
        <v>803</v>
      </c>
      <c r="B760" s="2">
        <v>852.45472431646101</v>
      </c>
      <c r="C760" s="2">
        <v>0</v>
      </c>
      <c r="D760" s="2">
        <v>3940.8299953062401</v>
      </c>
      <c r="E760" s="2">
        <v>1703.5312194529599</v>
      </c>
      <c r="F760" s="2">
        <v>8120.8736624981002</v>
      </c>
      <c r="G760" s="2">
        <v>2713.1235457876901</v>
      </c>
      <c r="H760" s="2">
        <v>546.20542562531398</v>
      </c>
      <c r="I760" s="2">
        <v>4356.2892511235996</v>
      </c>
      <c r="J760" s="2">
        <v>3742.3711067926502</v>
      </c>
      <c r="K760" s="2">
        <v>4874.1204024817298</v>
      </c>
      <c r="L760" s="2">
        <v>4448.7683506728599</v>
      </c>
      <c r="M760" s="2">
        <v>0</v>
      </c>
      <c r="N760" s="3">
        <f t="shared" si="33"/>
        <v>35298.567684057605</v>
      </c>
      <c r="O760" s="2">
        <v>1.14987742543606</v>
      </c>
      <c r="P760" s="2">
        <v>0.24982187058832001</v>
      </c>
      <c r="Q760" s="2">
        <v>3.6800345800891798</v>
      </c>
      <c r="R760" s="2">
        <v>0.12970495413678801</v>
      </c>
      <c r="S760" s="2">
        <v>2.3123397382265698</v>
      </c>
      <c r="T760" s="2">
        <v>3.6554525633324499</v>
      </c>
      <c r="U760" s="2">
        <v>0</v>
      </c>
      <c r="V760" s="2">
        <v>0</v>
      </c>
      <c r="W760" s="2">
        <v>1.4657097077599801</v>
      </c>
      <c r="X760" s="2">
        <v>1.22888672456457</v>
      </c>
      <c r="Y760" s="2">
        <v>1.65937526809172</v>
      </c>
      <c r="Z760" s="2">
        <v>23.4673677135163</v>
      </c>
      <c r="AA760" s="3">
        <f t="shared" si="34"/>
        <v>38.998570545741934</v>
      </c>
      <c r="AB760" t="s">
        <v>63</v>
      </c>
      <c r="AC760">
        <v>17.239999999999998</v>
      </c>
      <c r="AD760">
        <v>0.09</v>
      </c>
      <c r="AE760">
        <v>79.180000000000007</v>
      </c>
      <c r="AF760">
        <v>34.17</v>
      </c>
      <c r="AG760">
        <v>162.69</v>
      </c>
      <c r="AH760">
        <v>54.64</v>
      </c>
      <c r="AI760">
        <v>10.94</v>
      </c>
      <c r="AJ760">
        <v>87.14</v>
      </c>
      <c r="AK760">
        <v>75.040000000000006</v>
      </c>
      <c r="AL760">
        <v>97.68</v>
      </c>
      <c r="AM760">
        <v>89.16</v>
      </c>
      <c r="AN760">
        <v>2.16</v>
      </c>
      <c r="AO760" s="1">
        <f t="shared" si="35"/>
        <v>710.12999999999988</v>
      </c>
    </row>
    <row r="761" spans="1:41" x14ac:dyDescent="0.25">
      <c r="A761" t="s">
        <v>804</v>
      </c>
      <c r="B761" s="2">
        <v>847.97918914491095</v>
      </c>
      <c r="C761" s="2">
        <v>968.37664355081699</v>
      </c>
      <c r="D761" s="2">
        <v>813.42076722991806</v>
      </c>
      <c r="E761" s="2">
        <v>951.46082801564899</v>
      </c>
      <c r="F761" s="2">
        <v>1763.69802150133</v>
      </c>
      <c r="G761" s="2">
        <v>0</v>
      </c>
      <c r="H761" s="2">
        <v>2945.9566458765898</v>
      </c>
      <c r="I761" s="2">
        <v>22367.544857180899</v>
      </c>
      <c r="J761" s="2">
        <v>1041.7036187400299</v>
      </c>
      <c r="K761" s="2">
        <v>6937.7733388140396</v>
      </c>
      <c r="L761" s="2">
        <v>33.205523678406102</v>
      </c>
      <c r="M761" s="2">
        <v>4336.6326272511596</v>
      </c>
      <c r="N761" s="3">
        <f t="shared" si="33"/>
        <v>43007.752060983752</v>
      </c>
      <c r="O761" s="2">
        <v>6.7855662613829004</v>
      </c>
      <c r="P761" s="2">
        <v>8.0343428857833299</v>
      </c>
      <c r="Q761" s="2">
        <v>1.10328738391851</v>
      </c>
      <c r="R761" s="2">
        <v>1.3381674974062701</v>
      </c>
      <c r="S761" s="2">
        <v>0</v>
      </c>
      <c r="T761" s="2">
        <v>4.0482626483183504</v>
      </c>
      <c r="U761" s="2">
        <v>5.2989496037847896</v>
      </c>
      <c r="V761" s="2">
        <v>3.7386106099756198</v>
      </c>
      <c r="W761" s="2">
        <v>0</v>
      </c>
      <c r="X761" s="2">
        <v>0.76055315354199804</v>
      </c>
      <c r="Y761" s="2">
        <v>2.6245200512673001</v>
      </c>
      <c r="Z761" s="2">
        <v>3.6358457747033799</v>
      </c>
      <c r="AA761" s="3">
        <f t="shared" si="34"/>
        <v>37.368105870082445</v>
      </c>
      <c r="AB761" t="s">
        <v>45</v>
      </c>
      <c r="AC761">
        <v>18.82</v>
      </c>
      <c r="AD761">
        <v>20.13</v>
      </c>
      <c r="AE761">
        <v>18.23</v>
      </c>
      <c r="AF761">
        <v>19.61</v>
      </c>
      <c r="AG761">
        <v>27.63</v>
      </c>
      <c r="AH761">
        <v>10.24</v>
      </c>
      <c r="AI761">
        <v>39.75</v>
      </c>
      <c r="AJ761">
        <v>233.87</v>
      </c>
      <c r="AK761">
        <v>20.41</v>
      </c>
      <c r="AL761">
        <v>79.42</v>
      </c>
      <c r="AM761">
        <v>10.48</v>
      </c>
      <c r="AN761">
        <v>53.56</v>
      </c>
      <c r="AO761" s="1">
        <f t="shared" si="35"/>
        <v>552.15000000000009</v>
      </c>
    </row>
    <row r="762" spans="1:41" x14ac:dyDescent="0.25">
      <c r="A762" t="s">
        <v>805</v>
      </c>
      <c r="B762" s="2">
        <v>844.23982932645004</v>
      </c>
      <c r="C762" s="2">
        <v>1979.7090403494601</v>
      </c>
      <c r="D762" s="2">
        <v>3040.52623477213</v>
      </c>
      <c r="E762" s="2">
        <v>3175.8001440530002</v>
      </c>
      <c r="F762" s="2">
        <v>4888.0792483927598</v>
      </c>
      <c r="G762" s="2">
        <v>6303.9054851473102</v>
      </c>
      <c r="H762" s="2">
        <v>4748.1683124978099</v>
      </c>
      <c r="I762" s="2">
        <v>2691.34184511589</v>
      </c>
      <c r="J762" s="2">
        <v>6434.5816382821604</v>
      </c>
      <c r="K762" s="2">
        <v>7932.2772074526902</v>
      </c>
      <c r="L762" s="2">
        <v>2664.9298731870199</v>
      </c>
      <c r="M762" s="2">
        <v>705.738347645815</v>
      </c>
      <c r="N762" s="3">
        <f t="shared" si="33"/>
        <v>45409.297206222494</v>
      </c>
      <c r="O762" s="2">
        <v>4.5615039169141101</v>
      </c>
      <c r="P762" s="2">
        <v>1.07484172522942</v>
      </c>
      <c r="Q762" s="2">
        <v>0</v>
      </c>
      <c r="R762" s="2">
        <v>1.7773901266132299</v>
      </c>
      <c r="S762" s="2">
        <v>8.5676782051214904</v>
      </c>
      <c r="T762" s="2">
        <v>1.78150509027895</v>
      </c>
      <c r="U762" s="2">
        <v>7.7062370290735904</v>
      </c>
      <c r="V762" s="2">
        <v>20.280055144431099</v>
      </c>
      <c r="W762" s="2">
        <v>0.230094389288342</v>
      </c>
      <c r="X762" s="2">
        <v>3.1945123430803402</v>
      </c>
      <c r="Y762" s="2">
        <v>6.1096206692620001</v>
      </c>
      <c r="Z762" s="2">
        <v>14.851518921513399</v>
      </c>
      <c r="AA762" s="3">
        <f t="shared" si="34"/>
        <v>70.134957560805972</v>
      </c>
      <c r="AB762" t="s">
        <v>63</v>
      </c>
      <c r="AC762">
        <v>17.350000000000001</v>
      </c>
      <c r="AD762">
        <v>39.78</v>
      </c>
      <c r="AE762">
        <v>60.82</v>
      </c>
      <c r="AF762">
        <v>63.7</v>
      </c>
      <c r="AG762">
        <v>98.59</v>
      </c>
      <c r="AH762">
        <v>126.26</v>
      </c>
      <c r="AI762">
        <v>95.7</v>
      </c>
      <c r="AJ762">
        <v>55.73</v>
      </c>
      <c r="AK762">
        <v>128.79</v>
      </c>
      <c r="AL762">
        <v>159.02000000000001</v>
      </c>
      <c r="AM762">
        <v>53.93</v>
      </c>
      <c r="AN762">
        <v>15.47</v>
      </c>
      <c r="AO762" s="1">
        <f t="shared" si="35"/>
        <v>915.13999999999987</v>
      </c>
    </row>
    <row r="763" spans="1:41" x14ac:dyDescent="0.25">
      <c r="A763" t="s">
        <v>806</v>
      </c>
      <c r="B763" s="2">
        <v>841.66863617936895</v>
      </c>
      <c r="C763" s="2">
        <v>8795.8946865477301</v>
      </c>
      <c r="D763" s="2">
        <v>1212.9306752251</v>
      </c>
      <c r="E763" s="2">
        <v>2723.5004330439201</v>
      </c>
      <c r="F763" s="2">
        <v>2493.4367569266901</v>
      </c>
      <c r="G763" s="2">
        <v>8226.5868029548492</v>
      </c>
      <c r="H763" s="2">
        <v>1677.8026956726201</v>
      </c>
      <c r="I763" s="2">
        <v>4128.9924254303396</v>
      </c>
      <c r="J763" s="2">
        <v>1403.9068214112101</v>
      </c>
      <c r="K763" s="2">
        <v>10105.5046752856</v>
      </c>
      <c r="L763" s="2">
        <v>4045.4598944875202</v>
      </c>
      <c r="M763" s="2">
        <v>3636.1914392061899</v>
      </c>
      <c r="N763" s="3">
        <f t="shared" si="33"/>
        <v>49291.875942371131</v>
      </c>
      <c r="O763" s="2">
        <v>0</v>
      </c>
      <c r="P763" s="2">
        <v>1.52950593026026</v>
      </c>
      <c r="Q763" s="2">
        <v>0.17414211465290699</v>
      </c>
      <c r="R763" s="2">
        <v>1.3106424625977</v>
      </c>
      <c r="S763" s="2">
        <v>0</v>
      </c>
      <c r="T763" s="2">
        <v>4.16519036356756</v>
      </c>
      <c r="U763" s="2">
        <v>0.79743513827847201</v>
      </c>
      <c r="V763" s="2">
        <v>1.58610711396499</v>
      </c>
      <c r="W763" s="2">
        <v>0.84980109912719404</v>
      </c>
      <c r="X763" s="2">
        <v>0</v>
      </c>
      <c r="Y763" s="2">
        <v>15.450952507112</v>
      </c>
      <c r="Z763" s="2">
        <v>6.3961148002724704</v>
      </c>
      <c r="AA763" s="3">
        <f t="shared" si="34"/>
        <v>32.259891529833553</v>
      </c>
      <c r="AB763" t="s">
        <v>45</v>
      </c>
      <c r="AC763">
        <v>18.41</v>
      </c>
      <c r="AD763">
        <v>98.05</v>
      </c>
      <c r="AE763">
        <v>22.17</v>
      </c>
      <c r="AF763">
        <v>37.33</v>
      </c>
      <c r="AG763">
        <v>34.93</v>
      </c>
      <c r="AH763">
        <v>92.51</v>
      </c>
      <c r="AI763">
        <v>26.82</v>
      </c>
      <c r="AJ763">
        <v>51.38</v>
      </c>
      <c r="AK763">
        <v>24.08</v>
      </c>
      <c r="AL763">
        <v>111.05</v>
      </c>
      <c r="AM763">
        <v>51.25</v>
      </c>
      <c r="AN763">
        <v>46.71</v>
      </c>
      <c r="AO763" s="1">
        <f t="shared" si="35"/>
        <v>614.68999999999994</v>
      </c>
    </row>
    <row r="764" spans="1:41" x14ac:dyDescent="0.25">
      <c r="A764" t="s">
        <v>807</v>
      </c>
      <c r="B764" s="2">
        <v>840.87266091815297</v>
      </c>
      <c r="C764" s="2">
        <v>2283.5414928820101</v>
      </c>
      <c r="D764" s="2">
        <v>321.60816627744202</v>
      </c>
      <c r="E764" s="2">
        <v>868.28745003769905</v>
      </c>
      <c r="F764" s="2">
        <v>5720.2488152301203</v>
      </c>
      <c r="G764" s="2">
        <v>3468.2347697430801</v>
      </c>
      <c r="H764" s="2">
        <v>1517.6650524281999</v>
      </c>
      <c r="I764" s="2">
        <v>2208.38275154747</v>
      </c>
      <c r="J764" s="2">
        <v>5952.8451608452797</v>
      </c>
      <c r="K764" s="2">
        <v>5104.1000234766298</v>
      </c>
      <c r="L764" s="2">
        <v>0</v>
      </c>
      <c r="M764" s="2">
        <v>1803.3528525316101</v>
      </c>
      <c r="N764" s="3">
        <f t="shared" si="33"/>
        <v>30089.139195917691</v>
      </c>
      <c r="O764" s="2">
        <v>6.4893371380629397</v>
      </c>
      <c r="P764" s="2">
        <v>2.9445978569926399</v>
      </c>
      <c r="Q764" s="2">
        <v>3.4720557959418401</v>
      </c>
      <c r="R764" s="2">
        <v>6.2660131795233198</v>
      </c>
      <c r="S764" s="2">
        <v>3.0419422640365998</v>
      </c>
      <c r="T764" s="2">
        <v>0.59689147191228398</v>
      </c>
      <c r="U764" s="2">
        <v>1.6191752901340299</v>
      </c>
      <c r="V764" s="2">
        <v>1.5644902674825201</v>
      </c>
      <c r="W764" s="2">
        <v>1.7098703870807901</v>
      </c>
      <c r="X764" s="2">
        <v>11.062684299554499</v>
      </c>
      <c r="Y764" s="2">
        <v>0.18473952693284701</v>
      </c>
      <c r="Z764" s="2">
        <v>0.75007287670087197</v>
      </c>
      <c r="AA764" s="3">
        <f t="shared" si="34"/>
        <v>39.701870354355179</v>
      </c>
      <c r="AB764" t="s">
        <v>63</v>
      </c>
      <c r="AC764">
        <v>17.45</v>
      </c>
      <c r="AD764">
        <v>45.95</v>
      </c>
      <c r="AE764">
        <v>6.8</v>
      </c>
      <c r="AF764">
        <v>18.010000000000002</v>
      </c>
      <c r="AG764">
        <v>114.78</v>
      </c>
      <c r="AH764">
        <v>69.47</v>
      </c>
      <c r="AI764">
        <v>30.54</v>
      </c>
      <c r="AJ764">
        <v>44.36</v>
      </c>
      <c r="AK764">
        <v>119.24</v>
      </c>
      <c r="AL764">
        <v>103.18</v>
      </c>
      <c r="AM764">
        <v>0.09</v>
      </c>
      <c r="AN764">
        <v>36.17</v>
      </c>
      <c r="AO764" s="1">
        <f t="shared" si="35"/>
        <v>606.04000000000008</v>
      </c>
    </row>
    <row r="765" spans="1:41" x14ac:dyDescent="0.25">
      <c r="A765" t="s">
        <v>808</v>
      </c>
      <c r="B765" s="2">
        <v>840.467453358532</v>
      </c>
      <c r="C765" s="2">
        <v>2468.7333166333601</v>
      </c>
      <c r="D765" s="2">
        <v>3107.4938572308401</v>
      </c>
      <c r="E765" s="2">
        <v>2862.3906483516498</v>
      </c>
      <c r="F765" s="2">
        <v>908.10049216074299</v>
      </c>
      <c r="G765" s="2">
        <v>321.38246122984702</v>
      </c>
      <c r="H765" s="2">
        <v>597.27107973128204</v>
      </c>
      <c r="I765" s="2">
        <v>1972.2451068933501</v>
      </c>
      <c r="J765" s="2">
        <v>1245.5036974873599</v>
      </c>
      <c r="K765" s="2">
        <v>2336.4090480667901</v>
      </c>
      <c r="L765" s="2">
        <v>6494.9836311752997</v>
      </c>
      <c r="M765" s="2">
        <v>462.09838755024401</v>
      </c>
      <c r="N765" s="3">
        <f t="shared" si="33"/>
        <v>23617.079179869295</v>
      </c>
      <c r="O765" s="2">
        <v>1.98568091042023</v>
      </c>
      <c r="P765" s="2">
        <v>6.7251464517066699</v>
      </c>
      <c r="Q765" s="2">
        <v>0.62802022213610298</v>
      </c>
      <c r="R765" s="2">
        <v>5.4407242896055497</v>
      </c>
      <c r="S765" s="2">
        <v>1.1227389645859001</v>
      </c>
      <c r="T765" s="2">
        <v>1.9179851877716501</v>
      </c>
      <c r="U765" s="2">
        <v>3.6790106956822299</v>
      </c>
      <c r="V765" s="2">
        <v>1.7123496936715199</v>
      </c>
      <c r="W765" s="2">
        <v>2.5081740628097</v>
      </c>
      <c r="X765" s="2">
        <v>8.9593002588557002</v>
      </c>
      <c r="Y765" s="2">
        <v>0.79961254930660197</v>
      </c>
      <c r="Z765" s="2">
        <v>1.7014805660693799</v>
      </c>
      <c r="AA765" s="3">
        <f t="shared" si="34"/>
        <v>37.180223852621232</v>
      </c>
      <c r="AB765" t="s">
        <v>63</v>
      </c>
      <c r="AC765">
        <v>17</v>
      </c>
      <c r="AD765">
        <v>50.01</v>
      </c>
      <c r="AE765">
        <v>62.25</v>
      </c>
      <c r="AF765">
        <v>57.8</v>
      </c>
      <c r="AG765">
        <v>18.36</v>
      </c>
      <c r="AH765">
        <v>6.62</v>
      </c>
      <c r="AI765">
        <v>12.32</v>
      </c>
      <c r="AJ765">
        <v>39.64</v>
      </c>
      <c r="AK765">
        <v>25.19</v>
      </c>
      <c r="AL765">
        <v>47.55</v>
      </c>
      <c r="AM765">
        <v>129.99</v>
      </c>
      <c r="AN765">
        <v>9.44</v>
      </c>
      <c r="AO765" s="1">
        <f t="shared" si="35"/>
        <v>476.17</v>
      </c>
    </row>
    <row r="766" spans="1:41" x14ac:dyDescent="0.25">
      <c r="A766" t="s">
        <v>809</v>
      </c>
      <c r="B766" s="2">
        <v>825.121799116376</v>
      </c>
      <c r="C766" s="2">
        <v>1491.3651218142199</v>
      </c>
      <c r="D766" s="2">
        <v>3321.1515319637801</v>
      </c>
      <c r="E766" s="2">
        <v>0</v>
      </c>
      <c r="F766" s="2">
        <v>187.24984523644599</v>
      </c>
      <c r="G766" s="2">
        <v>436.66003150895602</v>
      </c>
      <c r="H766" s="2">
        <v>1559.54446156429</v>
      </c>
      <c r="I766" s="2">
        <v>0</v>
      </c>
      <c r="J766" s="2">
        <v>1696.1659268161</v>
      </c>
      <c r="K766" s="2">
        <v>10236.440997235701</v>
      </c>
      <c r="L766" s="2">
        <v>840.95650659989599</v>
      </c>
      <c r="M766" s="2">
        <v>3798.02355813432</v>
      </c>
      <c r="N766" s="3">
        <f t="shared" si="33"/>
        <v>24392.679779990085</v>
      </c>
      <c r="O766" s="2">
        <v>8.4367724686821202</v>
      </c>
      <c r="P766" s="2">
        <v>24.6264541446455</v>
      </c>
      <c r="Q766" s="2">
        <v>0.21330397783890601</v>
      </c>
      <c r="R766" s="2">
        <v>8.0932887600185293</v>
      </c>
      <c r="S766" s="2">
        <v>7.7034429808268001</v>
      </c>
      <c r="T766" s="2">
        <v>0</v>
      </c>
      <c r="U766" s="2">
        <v>6.7029535861608799E-2</v>
      </c>
      <c r="V766" s="2">
        <v>16.834310839711701</v>
      </c>
      <c r="W766" s="2">
        <v>1.47177588515119</v>
      </c>
      <c r="X766" s="2">
        <v>7.6805102421106497</v>
      </c>
      <c r="Y766" s="2">
        <v>0</v>
      </c>
      <c r="Z766" s="2">
        <v>0</v>
      </c>
      <c r="AA766" s="3">
        <f t="shared" si="34"/>
        <v>75.126888834846994</v>
      </c>
      <c r="AB766" t="s">
        <v>63</v>
      </c>
      <c r="AC766">
        <v>17.329999999999998</v>
      </c>
      <c r="AD766">
        <v>32.090000000000003</v>
      </c>
      <c r="AE766">
        <v>66.53</v>
      </c>
      <c r="AF766">
        <v>0.81</v>
      </c>
      <c r="AG766">
        <v>4.4800000000000004</v>
      </c>
      <c r="AH766">
        <v>8.74</v>
      </c>
      <c r="AI766">
        <v>31.29</v>
      </c>
      <c r="AJ766">
        <v>1.53</v>
      </c>
      <c r="AK766">
        <v>34.119999999999997</v>
      </c>
      <c r="AL766">
        <v>205.46</v>
      </c>
      <c r="AM766">
        <v>16.82</v>
      </c>
      <c r="AN766">
        <v>75.98</v>
      </c>
      <c r="AO766" s="1">
        <f t="shared" si="35"/>
        <v>495.18</v>
      </c>
    </row>
    <row r="767" spans="1:41" x14ac:dyDescent="0.25">
      <c r="A767" t="s">
        <v>810</v>
      </c>
      <c r="B767" s="2">
        <v>824.42481715945598</v>
      </c>
      <c r="C767" s="2">
        <v>7481.9395499572402</v>
      </c>
      <c r="D767" s="2">
        <v>2885.5191175500199</v>
      </c>
      <c r="E767" s="2">
        <v>1259.31143894604</v>
      </c>
      <c r="F767" s="2">
        <v>1132.04972584495</v>
      </c>
      <c r="G767" s="2">
        <v>3414.4638976331598</v>
      </c>
      <c r="H767" s="2">
        <v>1087.80297320668</v>
      </c>
      <c r="I767" s="2">
        <v>9404.3153302099709</v>
      </c>
      <c r="J767" s="2">
        <v>0</v>
      </c>
      <c r="K767" s="2">
        <v>515.80607493354898</v>
      </c>
      <c r="L767" s="2">
        <v>11249.624834215099</v>
      </c>
      <c r="M767" s="2">
        <v>12672.3690649742</v>
      </c>
      <c r="N767" s="3">
        <f t="shared" si="33"/>
        <v>51927.626824630366</v>
      </c>
      <c r="O767" s="2">
        <v>5.0723056097119299</v>
      </c>
      <c r="P767" s="2">
        <v>3.8433976885596501</v>
      </c>
      <c r="Q767" s="2">
        <v>4.7599919368520496</v>
      </c>
      <c r="R767" s="2">
        <v>8.9252105552013106</v>
      </c>
      <c r="S767" s="2">
        <v>3.5080331744354099</v>
      </c>
      <c r="T767" s="2">
        <v>4.1299565369191198</v>
      </c>
      <c r="U767" s="2">
        <v>0.886852356204201</v>
      </c>
      <c r="V767" s="2">
        <v>13.924704343611699</v>
      </c>
      <c r="W767" s="2">
        <v>4.5337031839398998</v>
      </c>
      <c r="X767" s="2">
        <v>0</v>
      </c>
      <c r="Y767" s="2">
        <v>8.1686968763887098</v>
      </c>
      <c r="Z767" s="2">
        <v>3.56129240494321</v>
      </c>
      <c r="AA767" s="3">
        <f t="shared" si="34"/>
        <v>61.314144666767191</v>
      </c>
      <c r="AB767" t="s">
        <v>45</v>
      </c>
      <c r="AC767">
        <v>18.54</v>
      </c>
      <c r="AD767">
        <v>85.01</v>
      </c>
      <c r="AE767">
        <v>39.1</v>
      </c>
      <c r="AF767">
        <v>23.04</v>
      </c>
      <c r="AG767">
        <v>21.52</v>
      </c>
      <c r="AH767">
        <v>44.39</v>
      </c>
      <c r="AI767">
        <v>20.92</v>
      </c>
      <c r="AJ767">
        <v>104.74</v>
      </c>
      <c r="AK767">
        <v>10.24</v>
      </c>
      <c r="AL767">
        <v>15.15</v>
      </c>
      <c r="AM767">
        <v>122.94</v>
      </c>
      <c r="AN767">
        <v>136.91999999999999</v>
      </c>
      <c r="AO767" s="1">
        <f t="shared" si="35"/>
        <v>642.51</v>
      </c>
    </row>
    <row r="768" spans="1:41" x14ac:dyDescent="0.25">
      <c r="A768" t="s">
        <v>811</v>
      </c>
      <c r="B768" s="2">
        <v>812.24842089607603</v>
      </c>
      <c r="C768" s="2">
        <v>8892.7153448817407</v>
      </c>
      <c r="D768" s="2">
        <v>697.69281888951298</v>
      </c>
      <c r="E768" s="2">
        <v>11540.9196617301</v>
      </c>
      <c r="F768" s="2">
        <v>1036.4343554719701</v>
      </c>
      <c r="G768" s="2">
        <v>533.75147724592898</v>
      </c>
      <c r="H768" s="2">
        <v>1616.2316941254601</v>
      </c>
      <c r="I768" s="2">
        <v>2259.5336117540301</v>
      </c>
      <c r="J768" s="2">
        <v>4240.3204979810298</v>
      </c>
      <c r="K768" s="2">
        <v>12533.1674415283</v>
      </c>
      <c r="L768" s="2">
        <v>2860.3161097246202</v>
      </c>
      <c r="M768" s="2">
        <v>5070.1235913518303</v>
      </c>
      <c r="N768" s="3">
        <f t="shared" si="33"/>
        <v>52093.455025580603</v>
      </c>
      <c r="O768" s="2">
        <v>9.5639764534642406</v>
      </c>
      <c r="P768" s="2">
        <v>2.25727317187452</v>
      </c>
      <c r="Q768" s="2">
        <v>3.4849427483582698</v>
      </c>
      <c r="R768" s="2">
        <v>5.5396778158130102</v>
      </c>
      <c r="S768" s="2">
        <v>1.1574344292916601</v>
      </c>
      <c r="T768" s="2">
        <v>9.14060329589398</v>
      </c>
      <c r="U768" s="2">
        <v>1.9063058966401401</v>
      </c>
      <c r="V768" s="2">
        <v>2.6214244651198499</v>
      </c>
      <c r="W768" s="2">
        <v>4.50440354170372</v>
      </c>
      <c r="X768" s="2">
        <v>1.50288105176602</v>
      </c>
      <c r="Y768" s="2">
        <v>0.20222284813834501</v>
      </c>
      <c r="Z768" s="2">
        <v>7.0188159593220396</v>
      </c>
      <c r="AA768" s="3">
        <f t="shared" si="34"/>
        <v>48.899961677385797</v>
      </c>
      <c r="AB768" t="s">
        <v>45</v>
      </c>
      <c r="AC768">
        <v>18.62</v>
      </c>
      <c r="AD768">
        <v>99.07</v>
      </c>
      <c r="AE768">
        <v>17.170000000000002</v>
      </c>
      <c r="AF768">
        <v>125.7</v>
      </c>
      <c r="AG768">
        <v>20.46</v>
      </c>
      <c r="AH768">
        <v>15.83</v>
      </c>
      <c r="AI768">
        <v>26.26</v>
      </c>
      <c r="AJ768">
        <v>32.74</v>
      </c>
      <c r="AK768">
        <v>52.65</v>
      </c>
      <c r="AL768">
        <v>135.43</v>
      </c>
      <c r="AM768">
        <v>38.65</v>
      </c>
      <c r="AN768">
        <v>61.1</v>
      </c>
      <c r="AO768" s="1">
        <f t="shared" si="35"/>
        <v>643.67999999999995</v>
      </c>
    </row>
    <row r="769" spans="1:41" x14ac:dyDescent="0.25">
      <c r="A769" t="s">
        <v>812</v>
      </c>
      <c r="B769" s="2">
        <v>812.05372504932097</v>
      </c>
      <c r="C769" s="2">
        <v>2010.7202281822399</v>
      </c>
      <c r="D769" s="2">
        <v>504.73648524457701</v>
      </c>
      <c r="E769" s="2">
        <v>2348.1275080670098</v>
      </c>
      <c r="F769" s="2">
        <v>1745.56458991416</v>
      </c>
      <c r="G769" s="2">
        <v>17513.585591852901</v>
      </c>
      <c r="H769" s="2">
        <v>2701.62003077087</v>
      </c>
      <c r="I769" s="2">
        <v>3533.2421896951901</v>
      </c>
      <c r="J769" s="2">
        <v>169.05348049403301</v>
      </c>
      <c r="K769" s="2">
        <v>2513.8735507264</v>
      </c>
      <c r="L769" s="2">
        <v>718.87525698444801</v>
      </c>
      <c r="M769" s="2">
        <v>5229.0910976365403</v>
      </c>
      <c r="N769" s="3">
        <f t="shared" si="33"/>
        <v>39800.543734617699</v>
      </c>
      <c r="O769" s="2">
        <v>1.09059528474832</v>
      </c>
      <c r="P769" s="2">
        <v>3.22923031252401</v>
      </c>
      <c r="Q769" s="2">
        <v>0</v>
      </c>
      <c r="R769" s="2">
        <v>3.8092494537186998</v>
      </c>
      <c r="S769" s="2">
        <v>4.1985615707741903</v>
      </c>
      <c r="T769" s="2">
        <v>3.9743276517598898</v>
      </c>
      <c r="U769" s="2">
        <v>5.2420274675561096</v>
      </c>
      <c r="V769" s="2">
        <v>0</v>
      </c>
      <c r="W769" s="2">
        <v>11.646159880715899</v>
      </c>
      <c r="X769" s="2">
        <v>8.1779580367309599</v>
      </c>
      <c r="Y769" s="2">
        <v>8.7412976784444094</v>
      </c>
      <c r="Z769" s="2">
        <v>0</v>
      </c>
      <c r="AA769" s="3">
        <f t="shared" si="34"/>
        <v>50.109407336972495</v>
      </c>
      <c r="AB769" t="s">
        <v>45</v>
      </c>
      <c r="AC769">
        <v>18.22</v>
      </c>
      <c r="AD769">
        <v>30.3</v>
      </c>
      <c r="AE769">
        <v>15.04</v>
      </c>
      <c r="AF769">
        <v>33.68</v>
      </c>
      <c r="AG769">
        <v>27.7</v>
      </c>
      <c r="AH769">
        <v>185.33</v>
      </c>
      <c r="AI769">
        <v>37.31</v>
      </c>
      <c r="AJ769">
        <v>45.33</v>
      </c>
      <c r="AK769">
        <v>12.29</v>
      </c>
      <c r="AL769">
        <v>35.58</v>
      </c>
      <c r="AM769">
        <v>17.63</v>
      </c>
      <c r="AN769">
        <v>62.29</v>
      </c>
      <c r="AO769" s="1">
        <f t="shared" si="35"/>
        <v>520.69999999999993</v>
      </c>
    </row>
    <row r="770" spans="1:41" x14ac:dyDescent="0.25">
      <c r="A770" t="s">
        <v>813</v>
      </c>
      <c r="B770" s="2">
        <v>808.76627995956301</v>
      </c>
      <c r="C770" s="2">
        <v>2476.8092668491299</v>
      </c>
      <c r="D770" s="2">
        <v>12045.119344566199</v>
      </c>
      <c r="E770" s="2">
        <v>1036.1749778056001</v>
      </c>
      <c r="F770" s="2">
        <v>2838.4844670267998</v>
      </c>
      <c r="G770" s="2">
        <v>5731.94465223716</v>
      </c>
      <c r="H770" s="2">
        <v>5348.39832053593</v>
      </c>
      <c r="I770" s="2">
        <v>4501.5265532735302</v>
      </c>
      <c r="J770" s="2">
        <v>4973.6688599045901</v>
      </c>
      <c r="K770" s="2">
        <v>614.00568922869104</v>
      </c>
      <c r="L770" s="2">
        <v>2096.9208817292701</v>
      </c>
      <c r="M770" s="2">
        <v>5966.9638675248498</v>
      </c>
      <c r="N770" s="3">
        <f t="shared" si="33"/>
        <v>48438.783160641309</v>
      </c>
      <c r="O770" s="2">
        <v>0</v>
      </c>
      <c r="P770" s="2">
        <v>3.0321401189264701</v>
      </c>
      <c r="Q770" s="2">
        <v>5.6083322172384804</v>
      </c>
      <c r="R770" s="2">
        <v>4.1434326942561297</v>
      </c>
      <c r="S770" s="2">
        <v>2.4615777133215699</v>
      </c>
      <c r="T770" s="2">
        <v>2.2041089205035398</v>
      </c>
      <c r="U770" s="2">
        <v>2.1363950941954801</v>
      </c>
      <c r="V770" s="2">
        <v>0</v>
      </c>
      <c r="W770" s="2">
        <v>0</v>
      </c>
      <c r="X770" s="2">
        <v>9.2729215859036298</v>
      </c>
      <c r="Y770" s="2">
        <v>0</v>
      </c>
      <c r="Z770" s="2">
        <v>5.5813621316199198</v>
      </c>
      <c r="AA770" s="3">
        <f t="shared" si="34"/>
        <v>34.440270475965221</v>
      </c>
      <c r="AB770" t="s">
        <v>45</v>
      </c>
      <c r="AC770">
        <v>18.079999999999998</v>
      </c>
      <c r="AD770">
        <v>34.96</v>
      </c>
      <c r="AE770">
        <v>130.75</v>
      </c>
      <c r="AF770">
        <v>20.61</v>
      </c>
      <c r="AG770">
        <v>38.53</v>
      </c>
      <c r="AH770">
        <v>67.459999999999994</v>
      </c>
      <c r="AI770">
        <v>63.63</v>
      </c>
      <c r="AJ770">
        <v>55.01</v>
      </c>
      <c r="AK770">
        <v>59.73</v>
      </c>
      <c r="AL770">
        <v>16.64</v>
      </c>
      <c r="AM770">
        <v>30.96</v>
      </c>
      <c r="AN770">
        <v>69.959999999999994</v>
      </c>
      <c r="AO770" s="1">
        <f t="shared" si="35"/>
        <v>606.32000000000005</v>
      </c>
    </row>
    <row r="771" spans="1:41" x14ac:dyDescent="0.25">
      <c r="A771" t="s">
        <v>814</v>
      </c>
      <c r="B771" s="2">
        <v>806.472823067121</v>
      </c>
      <c r="C771" s="2">
        <v>1287.0862496667701</v>
      </c>
      <c r="D771" s="2">
        <v>2547.6829465132</v>
      </c>
      <c r="E771" s="2">
        <v>2016.88620069541</v>
      </c>
      <c r="F771" s="2">
        <v>13646.917569916001</v>
      </c>
      <c r="G771" s="2">
        <v>5554.0484581481096</v>
      </c>
      <c r="H771" s="2">
        <v>1389.5595193481199</v>
      </c>
      <c r="I771" s="2">
        <v>5960.5657214487901</v>
      </c>
      <c r="J771" s="2">
        <v>2631.9966186264501</v>
      </c>
      <c r="K771" s="2">
        <v>712.027406720871</v>
      </c>
      <c r="L771" s="2">
        <v>2485.6881024858399</v>
      </c>
      <c r="M771" s="2">
        <v>3533.3543339625098</v>
      </c>
      <c r="N771" s="3">
        <f t="shared" ref="N771:N834" si="36">SUM(B771:M771)</f>
        <v>42572.285950599195</v>
      </c>
      <c r="O771" s="2">
        <v>3.09134801287497</v>
      </c>
      <c r="P771" s="2">
        <v>1.58682982818272</v>
      </c>
      <c r="Q771" s="2">
        <v>0.35913742308425001</v>
      </c>
      <c r="R771" s="2">
        <v>1.2308837449765</v>
      </c>
      <c r="S771" s="2">
        <v>3.9411295578197998</v>
      </c>
      <c r="T771" s="2">
        <v>1.7506877937188801</v>
      </c>
      <c r="U771" s="2">
        <v>0.59227718753825398</v>
      </c>
      <c r="V771" s="2">
        <v>0.16468828356116699</v>
      </c>
      <c r="W771" s="2">
        <v>3.6208016493431598</v>
      </c>
      <c r="X771" s="2">
        <v>1.6163297032114601</v>
      </c>
      <c r="Y771" s="2">
        <v>5.5433757488328901</v>
      </c>
      <c r="Z771" s="2">
        <v>0</v>
      </c>
      <c r="AA771" s="3">
        <f t="shared" si="34"/>
        <v>23.497488933144052</v>
      </c>
      <c r="AB771" t="s">
        <v>45</v>
      </c>
      <c r="AC771">
        <v>18.260000000000002</v>
      </c>
      <c r="AD771">
        <v>22.97</v>
      </c>
      <c r="AE771">
        <v>35.520000000000003</v>
      </c>
      <c r="AF771">
        <v>30.26</v>
      </c>
      <c r="AG771">
        <v>146.66</v>
      </c>
      <c r="AH771">
        <v>65.64</v>
      </c>
      <c r="AI771">
        <v>23.94</v>
      </c>
      <c r="AJ771">
        <v>69.650000000000006</v>
      </c>
      <c r="AK771">
        <v>36.51</v>
      </c>
      <c r="AL771">
        <v>17.22</v>
      </c>
      <c r="AM771">
        <v>35.15</v>
      </c>
      <c r="AN771">
        <v>45.33</v>
      </c>
      <c r="AO771" s="1">
        <f t="shared" si="35"/>
        <v>547.11</v>
      </c>
    </row>
    <row r="772" spans="1:41" x14ac:dyDescent="0.25">
      <c r="A772" t="s">
        <v>815</v>
      </c>
      <c r="B772" s="2">
        <v>796.75516727816398</v>
      </c>
      <c r="C772" s="2">
        <v>3968.9664961222702</v>
      </c>
      <c r="D772" s="2">
        <v>2449.35636553115</v>
      </c>
      <c r="E772" s="2">
        <v>0</v>
      </c>
      <c r="F772" s="2">
        <v>696.29827954497603</v>
      </c>
      <c r="G772" s="2">
        <v>2828.17715872801</v>
      </c>
      <c r="H772" s="2">
        <v>8729.3272887912299</v>
      </c>
      <c r="I772" s="2">
        <v>9292.8874631975796</v>
      </c>
      <c r="J772" s="2">
        <v>295.83651365908401</v>
      </c>
      <c r="K772" s="2">
        <v>1419.2578682621599</v>
      </c>
      <c r="L772" s="2">
        <v>782.80846054705898</v>
      </c>
      <c r="M772" s="2">
        <v>1916.49197435834</v>
      </c>
      <c r="N772" s="3">
        <f t="shared" si="36"/>
        <v>33176.163036020022</v>
      </c>
      <c r="O772" s="2">
        <v>5.6696320104710898</v>
      </c>
      <c r="P772" s="2">
        <v>2.0505269718861698</v>
      </c>
      <c r="Q772" s="2">
        <v>2.6798769218190399</v>
      </c>
      <c r="R772" s="2">
        <v>0.80602057134264404</v>
      </c>
      <c r="S772" s="2">
        <v>6.5142613653245602</v>
      </c>
      <c r="T772" s="2">
        <v>0.79959853769294698</v>
      </c>
      <c r="U772" s="2">
        <v>0.61265601540237902</v>
      </c>
      <c r="V772" s="2">
        <v>12.164138229952499</v>
      </c>
      <c r="W772" s="2">
        <v>1.1234752246058199</v>
      </c>
      <c r="X772" s="2">
        <v>24.355755492691099</v>
      </c>
      <c r="Y772" s="2">
        <v>4.5971805252292999</v>
      </c>
      <c r="Z772" s="2">
        <v>8.6601299225770596</v>
      </c>
      <c r="AA772" s="3">
        <f t="shared" ref="AA772:AA835" si="37">SUM(O772:Z772)</f>
        <v>70.033251788994605</v>
      </c>
      <c r="AB772" t="s">
        <v>63</v>
      </c>
      <c r="AC772">
        <v>16.48</v>
      </c>
      <c r="AD772">
        <v>79.650000000000006</v>
      </c>
      <c r="AE772">
        <v>49.27</v>
      </c>
      <c r="AF772">
        <v>0.09</v>
      </c>
      <c r="AG772">
        <v>14.57</v>
      </c>
      <c r="AH772">
        <v>56.67</v>
      </c>
      <c r="AI772">
        <v>174.69</v>
      </c>
      <c r="AJ772">
        <v>187.03</v>
      </c>
      <c r="AK772">
        <v>6.1</v>
      </c>
      <c r="AL772">
        <v>30.65</v>
      </c>
      <c r="AM772">
        <v>16.11</v>
      </c>
      <c r="AN772">
        <v>39.15</v>
      </c>
      <c r="AO772" s="1">
        <f t="shared" si="35"/>
        <v>670.46</v>
      </c>
    </row>
    <row r="773" spans="1:41" x14ac:dyDescent="0.25">
      <c r="A773" t="s">
        <v>816</v>
      </c>
      <c r="B773" s="2">
        <v>793.84593607877696</v>
      </c>
      <c r="C773" s="2">
        <v>1015.1919727807</v>
      </c>
      <c r="D773" s="2">
        <v>6843.7465640546498</v>
      </c>
      <c r="E773" s="2">
        <v>4825.6744374375703</v>
      </c>
      <c r="F773" s="2">
        <v>2319.2367968753601</v>
      </c>
      <c r="G773" s="2">
        <v>10978.0885155048</v>
      </c>
      <c r="H773" s="2">
        <v>6127.1538946683804</v>
      </c>
      <c r="I773" s="2">
        <v>12959.2605474313</v>
      </c>
      <c r="J773" s="2">
        <v>10018.152641947299</v>
      </c>
      <c r="K773" s="2">
        <v>1593.5483511825601</v>
      </c>
      <c r="L773" s="2">
        <v>5681.7913232718802</v>
      </c>
      <c r="M773" s="2">
        <v>3482.6358900479199</v>
      </c>
      <c r="N773" s="3">
        <f t="shared" si="36"/>
        <v>66638.326871281199</v>
      </c>
      <c r="O773" s="2">
        <v>10.745674536639401</v>
      </c>
      <c r="P773" s="2">
        <v>1.1269387746102399</v>
      </c>
      <c r="Q773" s="2">
        <v>0.63535880502836795</v>
      </c>
      <c r="R773" s="2">
        <v>2.7485288303435098</v>
      </c>
      <c r="S773" s="2">
        <v>7.93873969155762</v>
      </c>
      <c r="T773" s="2">
        <v>12.050693587894299</v>
      </c>
      <c r="U773" s="2">
        <v>4.0940577006633099</v>
      </c>
      <c r="V773" s="2">
        <v>1.4593075388205901</v>
      </c>
      <c r="W773" s="2">
        <v>5.2944352557430099</v>
      </c>
      <c r="X773" s="2">
        <v>1.0669470237685099</v>
      </c>
      <c r="Y773" s="2">
        <v>3.2753550930477</v>
      </c>
      <c r="Z773" s="2">
        <v>0.76329966379853897</v>
      </c>
      <c r="AA773" s="3">
        <f t="shared" si="37"/>
        <v>51.199336501915099</v>
      </c>
      <c r="AB773" t="s">
        <v>45</v>
      </c>
      <c r="AC773">
        <v>18.48</v>
      </c>
      <c r="AD773">
        <v>20.25</v>
      </c>
      <c r="AE773">
        <v>78.48</v>
      </c>
      <c r="AF773">
        <v>58.4</v>
      </c>
      <c r="AG773">
        <v>33.590000000000003</v>
      </c>
      <c r="AH773">
        <v>120.43</v>
      </c>
      <c r="AI773">
        <v>71.52</v>
      </c>
      <c r="AJ773">
        <v>139.69</v>
      </c>
      <c r="AK773">
        <v>110.48</v>
      </c>
      <c r="AL773">
        <v>26.03</v>
      </c>
      <c r="AM773">
        <v>67.010000000000005</v>
      </c>
      <c r="AN773">
        <v>44.87</v>
      </c>
      <c r="AO773" s="1">
        <f t="shared" ref="AO773:AO836" si="38">SUM(AC773:AN773)</f>
        <v>789.2299999999999</v>
      </c>
    </row>
    <row r="774" spans="1:41" x14ac:dyDescent="0.25">
      <c r="A774" t="s">
        <v>817</v>
      </c>
      <c r="B774" s="2">
        <v>789.74442340385997</v>
      </c>
      <c r="C774" s="2">
        <v>1362.8459721884001</v>
      </c>
      <c r="D774" s="2">
        <v>407.66341454861498</v>
      </c>
      <c r="E774" s="2">
        <v>5516.2069769715999</v>
      </c>
      <c r="F774" s="2">
        <v>37.502819305451901</v>
      </c>
      <c r="G774" s="2">
        <v>638.10190217836202</v>
      </c>
      <c r="H774" s="2">
        <v>279.00254775048501</v>
      </c>
      <c r="I774" s="2">
        <v>18637.7035999531</v>
      </c>
      <c r="J774" s="2">
        <v>2061.5416508132898</v>
      </c>
      <c r="K774" s="2">
        <v>1300.9476984944899</v>
      </c>
      <c r="L774" s="2">
        <v>1601.4355438560001</v>
      </c>
      <c r="M774" s="2">
        <v>17.928860609056599</v>
      </c>
      <c r="N774" s="3">
        <f t="shared" si="36"/>
        <v>32650.625410072713</v>
      </c>
      <c r="O774" s="2">
        <v>0.42770378660800901</v>
      </c>
      <c r="P774" s="2">
        <v>5.7070915673018199</v>
      </c>
      <c r="Q774" s="2">
        <v>15.842241906376699</v>
      </c>
      <c r="R774" s="2">
        <v>0</v>
      </c>
      <c r="S774" s="2">
        <v>0.49556232334907002</v>
      </c>
      <c r="T774" s="2">
        <v>1.34466776129582</v>
      </c>
      <c r="U774" s="2">
        <v>0.51767163405573302</v>
      </c>
      <c r="V774" s="2">
        <v>0</v>
      </c>
      <c r="W774" s="2">
        <v>6.2034746375351002</v>
      </c>
      <c r="X774" s="2">
        <v>1.7711116122620301</v>
      </c>
      <c r="Y774" s="2">
        <v>4.4835707832771297</v>
      </c>
      <c r="Z774" s="2">
        <v>23.877051552449</v>
      </c>
      <c r="AA774" s="3">
        <f t="shared" si="37"/>
        <v>60.670147564510415</v>
      </c>
      <c r="AB774" t="s">
        <v>63</v>
      </c>
      <c r="AC774">
        <v>15.89</v>
      </c>
      <c r="AD774">
        <v>27.8</v>
      </c>
      <c r="AE774">
        <v>9.6</v>
      </c>
      <c r="AF774">
        <v>110.34</v>
      </c>
      <c r="AG774">
        <v>0.85</v>
      </c>
      <c r="AH774">
        <v>12.96</v>
      </c>
      <c r="AI774">
        <v>5.69</v>
      </c>
      <c r="AJ774">
        <v>372.76</v>
      </c>
      <c r="AK774">
        <v>41.87</v>
      </c>
      <c r="AL774">
        <v>26.2</v>
      </c>
      <c r="AM774">
        <v>32.49</v>
      </c>
      <c r="AN774">
        <v>2.52</v>
      </c>
      <c r="AO774" s="1">
        <f t="shared" si="38"/>
        <v>658.97</v>
      </c>
    </row>
    <row r="775" spans="1:41" x14ac:dyDescent="0.25">
      <c r="A775" t="s">
        <v>818</v>
      </c>
      <c r="B775" s="2">
        <v>786.581816398103</v>
      </c>
      <c r="C775" s="2">
        <v>1474.09573261687</v>
      </c>
      <c r="D775" s="2">
        <v>1673.8345074772501</v>
      </c>
      <c r="E775" s="2">
        <v>3017.9656839835402</v>
      </c>
      <c r="F775" s="2">
        <v>3421.5381033860599</v>
      </c>
      <c r="G775" s="2">
        <v>5035.0344140199904</v>
      </c>
      <c r="H775" s="2">
        <v>580.82765361625695</v>
      </c>
      <c r="I775" s="2">
        <v>456.72135034175602</v>
      </c>
      <c r="J775" s="2">
        <v>0</v>
      </c>
      <c r="K775" s="2">
        <v>2383.8068225756701</v>
      </c>
      <c r="L775" s="2">
        <v>525.20537327438694</v>
      </c>
      <c r="M775" s="2">
        <v>4546.5075292458196</v>
      </c>
      <c r="N775" s="3">
        <f t="shared" si="36"/>
        <v>23902.118986935704</v>
      </c>
      <c r="O775" s="2">
        <v>1.74042529752123</v>
      </c>
      <c r="P775" s="2">
        <v>0.158674445206965</v>
      </c>
      <c r="Q775" s="2">
        <v>8.4541802048237091</v>
      </c>
      <c r="R775" s="2">
        <v>0.81441604151577296</v>
      </c>
      <c r="S775" s="2">
        <v>15.426844279813499</v>
      </c>
      <c r="T775" s="2">
        <v>0.14521105092241801</v>
      </c>
      <c r="U775" s="2">
        <v>0.78181580337860801</v>
      </c>
      <c r="V775" s="2">
        <v>5.5568278075239403</v>
      </c>
      <c r="W775" s="2">
        <v>3.72068169229243</v>
      </c>
      <c r="X775" s="2">
        <v>4.2945718734206002</v>
      </c>
      <c r="Y775" s="2">
        <v>2.1843092388337499</v>
      </c>
      <c r="Z775" s="2">
        <v>4.45129326751118</v>
      </c>
      <c r="AA775" s="3">
        <f t="shared" si="37"/>
        <v>47.729251002764101</v>
      </c>
      <c r="AB775" t="s">
        <v>63</v>
      </c>
      <c r="AC775">
        <v>15.92</v>
      </c>
      <c r="AD775">
        <v>29.59</v>
      </c>
      <c r="AE775">
        <v>34.29</v>
      </c>
      <c r="AF775">
        <v>60.45</v>
      </c>
      <c r="AG775">
        <v>69.88</v>
      </c>
      <c r="AH775">
        <v>100.81</v>
      </c>
      <c r="AI775">
        <v>11.71</v>
      </c>
      <c r="AJ775">
        <v>9.68</v>
      </c>
      <c r="AK775">
        <v>0.36</v>
      </c>
      <c r="AL775">
        <v>48.13</v>
      </c>
      <c r="AM775">
        <v>10.79</v>
      </c>
      <c r="AN775">
        <v>91.39</v>
      </c>
      <c r="AO775" s="1">
        <f t="shared" si="38"/>
        <v>483</v>
      </c>
    </row>
    <row r="776" spans="1:41" x14ac:dyDescent="0.25">
      <c r="A776" t="s">
        <v>819</v>
      </c>
      <c r="B776" s="2">
        <v>775.15839204662097</v>
      </c>
      <c r="C776" s="2">
        <v>17988.602695530899</v>
      </c>
      <c r="D776" s="2">
        <v>0</v>
      </c>
      <c r="E776" s="2">
        <v>0</v>
      </c>
      <c r="F776" s="2">
        <v>727.33864114155904</v>
      </c>
      <c r="G776" s="2">
        <v>6748.9504166329298</v>
      </c>
      <c r="H776" s="2">
        <v>673.794776123666</v>
      </c>
      <c r="I776" s="2">
        <v>1561.3457893294899</v>
      </c>
      <c r="J776" s="2">
        <v>880.73730114477996</v>
      </c>
      <c r="K776" s="2">
        <v>1186.13877480472</v>
      </c>
      <c r="L776" s="2">
        <v>2650.1755876606499</v>
      </c>
      <c r="M776" s="2">
        <v>247.678030515052</v>
      </c>
      <c r="N776" s="3">
        <f t="shared" si="36"/>
        <v>33439.920404930373</v>
      </c>
      <c r="O776" s="2">
        <v>0.55015255844246302</v>
      </c>
      <c r="P776" s="2">
        <v>0.99135457276437999</v>
      </c>
      <c r="Q776" s="2">
        <v>3.2672305884064499</v>
      </c>
      <c r="R776" s="2">
        <v>9.1447238904053201</v>
      </c>
      <c r="S776" s="2">
        <v>2.7591412867703502</v>
      </c>
      <c r="T776" s="2">
        <v>10.9797464219321</v>
      </c>
      <c r="U776" s="2">
        <v>11.226196871887</v>
      </c>
      <c r="V776" s="2">
        <v>0</v>
      </c>
      <c r="W776" s="2">
        <v>0.16709364952837699</v>
      </c>
      <c r="X776" s="2">
        <v>8.2067236647294202</v>
      </c>
      <c r="Y776" s="2">
        <v>1.54461014669966</v>
      </c>
      <c r="Z776" s="2">
        <v>0.219860362731335</v>
      </c>
      <c r="AA776" s="3">
        <f t="shared" si="37"/>
        <v>49.056834014296854</v>
      </c>
      <c r="AB776" t="s">
        <v>63</v>
      </c>
      <c r="AC776">
        <v>15.61</v>
      </c>
      <c r="AD776">
        <v>359.87</v>
      </c>
      <c r="AE776">
        <v>0.36</v>
      </c>
      <c r="AF776">
        <v>0.9</v>
      </c>
      <c r="AG776">
        <v>14.83</v>
      </c>
      <c r="AH776">
        <v>135.97</v>
      </c>
      <c r="AI776">
        <v>14.56</v>
      </c>
      <c r="AJ776">
        <v>31.24</v>
      </c>
      <c r="AK776">
        <v>17.71</v>
      </c>
      <c r="AL776">
        <v>24.55</v>
      </c>
      <c r="AM776">
        <v>53.2</v>
      </c>
      <c r="AN776">
        <v>5.05</v>
      </c>
      <c r="AO776" s="1">
        <f t="shared" si="38"/>
        <v>673.84999999999991</v>
      </c>
    </row>
    <row r="777" spans="1:41" x14ac:dyDescent="0.25">
      <c r="A777" t="s">
        <v>820</v>
      </c>
      <c r="B777" s="2">
        <v>774.74541746534305</v>
      </c>
      <c r="C777" s="2">
        <v>1059.5583258634699</v>
      </c>
      <c r="D777" s="2">
        <v>2234.4290097883199</v>
      </c>
      <c r="E777" s="2">
        <v>4822.7454322541998</v>
      </c>
      <c r="F777" s="2">
        <v>2110.61644876844</v>
      </c>
      <c r="G777" s="2">
        <v>2935.5960641138099</v>
      </c>
      <c r="H777" s="2">
        <v>0</v>
      </c>
      <c r="I777" s="2">
        <v>1541.7386633902299</v>
      </c>
      <c r="J777" s="2">
        <v>1557.1167039475499</v>
      </c>
      <c r="K777" s="2">
        <v>13557.422992341801</v>
      </c>
      <c r="L777" s="2">
        <v>0</v>
      </c>
      <c r="M777" s="2">
        <v>1749.63279770402</v>
      </c>
      <c r="N777" s="3">
        <f t="shared" si="36"/>
        <v>32343.601855637186</v>
      </c>
      <c r="O777" s="2">
        <v>5.3892899112458199</v>
      </c>
      <c r="P777" s="2">
        <v>10.488901448294699</v>
      </c>
      <c r="Q777" s="2">
        <v>1.0343111449339599</v>
      </c>
      <c r="R777" s="2">
        <v>12.735560113517501</v>
      </c>
      <c r="S777" s="2">
        <v>5.6290422870943999</v>
      </c>
      <c r="T777" s="2">
        <v>0</v>
      </c>
      <c r="U777" s="2">
        <v>8.7517581468770107</v>
      </c>
      <c r="V777" s="2">
        <v>1.72118343843885</v>
      </c>
      <c r="W777" s="2">
        <v>2.0666828299918198</v>
      </c>
      <c r="X777" s="2">
        <v>4.2212954608514703</v>
      </c>
      <c r="Y777" s="2">
        <v>1.35954085644467</v>
      </c>
      <c r="Z777" s="2">
        <v>3.0749704311872001</v>
      </c>
      <c r="AA777" s="3">
        <f t="shared" si="37"/>
        <v>56.472536068877389</v>
      </c>
      <c r="AB777" t="s">
        <v>63</v>
      </c>
      <c r="AC777">
        <v>16.04</v>
      </c>
      <c r="AD777">
        <v>22.19</v>
      </c>
      <c r="AE777">
        <v>44.88</v>
      </c>
      <c r="AF777">
        <v>97.63</v>
      </c>
      <c r="AG777">
        <v>42.76</v>
      </c>
      <c r="AH777">
        <v>58.72</v>
      </c>
      <c r="AI777">
        <v>0.81</v>
      </c>
      <c r="AJ777">
        <v>31.02</v>
      </c>
      <c r="AK777">
        <v>31.43</v>
      </c>
      <c r="AL777">
        <v>271.61</v>
      </c>
      <c r="AM777">
        <v>0.18</v>
      </c>
      <c r="AN777">
        <v>35.36</v>
      </c>
      <c r="AO777" s="1">
        <f t="shared" si="38"/>
        <v>652.63</v>
      </c>
    </row>
    <row r="778" spans="1:41" x14ac:dyDescent="0.25">
      <c r="A778" t="s">
        <v>821</v>
      </c>
      <c r="B778" s="2">
        <v>765.85295123043295</v>
      </c>
      <c r="C778" s="2">
        <v>3642.8899712283901</v>
      </c>
      <c r="D778" s="2">
        <v>1687.94508599759</v>
      </c>
      <c r="E778" s="2">
        <v>8028.9779511460702</v>
      </c>
      <c r="F778" s="2">
        <v>1705.25442925213</v>
      </c>
      <c r="G778" s="2">
        <v>9150.0486600731892</v>
      </c>
      <c r="H778" s="2">
        <v>1095.9279987560999</v>
      </c>
      <c r="I778" s="2">
        <v>372.33491074371602</v>
      </c>
      <c r="J778" s="2">
        <v>2227.8011723157001</v>
      </c>
      <c r="K778" s="2">
        <v>2304.3117103284699</v>
      </c>
      <c r="L778" s="2">
        <v>1130.7396300707801</v>
      </c>
      <c r="M778" s="2">
        <v>1520.4990310037999</v>
      </c>
      <c r="N778" s="3">
        <f t="shared" si="36"/>
        <v>33632.583502146372</v>
      </c>
      <c r="O778" s="2">
        <v>1.4305154165896601</v>
      </c>
      <c r="P778" s="2">
        <v>5.35102386356973</v>
      </c>
      <c r="Q778" s="2">
        <v>7.1927457647728303</v>
      </c>
      <c r="R778" s="2">
        <v>1.59816934113914</v>
      </c>
      <c r="S778" s="2">
        <v>12.2094779201758</v>
      </c>
      <c r="T778" s="2">
        <v>1.46701782566855</v>
      </c>
      <c r="U778" s="2">
        <v>9.1708093394168806</v>
      </c>
      <c r="V778" s="2">
        <v>3.6772226388405498</v>
      </c>
      <c r="W778" s="2">
        <v>4.4425520827281204</v>
      </c>
      <c r="X778" s="2">
        <v>0</v>
      </c>
      <c r="Y778" s="2">
        <v>1.4528380139825201</v>
      </c>
      <c r="Z778" s="2">
        <v>1.5504024165780601</v>
      </c>
      <c r="AA778" s="3">
        <f t="shared" si="37"/>
        <v>49.542774623461838</v>
      </c>
      <c r="AB778" t="s">
        <v>63</v>
      </c>
      <c r="AC778">
        <v>15.5</v>
      </c>
      <c r="AD778">
        <v>73.400000000000006</v>
      </c>
      <c r="AE778">
        <v>34.479999999999997</v>
      </c>
      <c r="AF778">
        <v>160.76</v>
      </c>
      <c r="AG778">
        <v>35.29</v>
      </c>
      <c r="AH778">
        <v>183.2</v>
      </c>
      <c r="AI778">
        <v>22.82</v>
      </c>
      <c r="AJ778">
        <v>7.82</v>
      </c>
      <c r="AK778">
        <v>45.01</v>
      </c>
      <c r="AL778">
        <v>46.1</v>
      </c>
      <c r="AM778">
        <v>22.8</v>
      </c>
      <c r="AN778">
        <v>30.6</v>
      </c>
      <c r="AO778" s="1">
        <f t="shared" si="38"/>
        <v>677.78000000000009</v>
      </c>
    </row>
    <row r="779" spans="1:41" x14ac:dyDescent="0.25">
      <c r="A779" t="s">
        <v>822</v>
      </c>
      <c r="B779" s="2">
        <v>764.35182098290704</v>
      </c>
      <c r="C779" s="2">
        <v>2091.3495188639599</v>
      </c>
      <c r="D779" s="2">
        <v>2059.3464709630698</v>
      </c>
      <c r="E779" s="2">
        <v>252.007694768882</v>
      </c>
      <c r="F779" s="2">
        <v>9407.8740624428192</v>
      </c>
      <c r="G779" s="2">
        <v>274.34373778715599</v>
      </c>
      <c r="H779" s="2">
        <v>3863.0734101082699</v>
      </c>
      <c r="I779" s="2">
        <v>4930.5413699477904</v>
      </c>
      <c r="J779" s="2">
        <v>7544.8708859668805</v>
      </c>
      <c r="K779" s="2">
        <v>3086.30750396751</v>
      </c>
      <c r="L779" s="2">
        <v>4883.4981141240996</v>
      </c>
      <c r="M779" s="2">
        <v>2141.4139824188201</v>
      </c>
      <c r="N779" s="3">
        <f t="shared" si="36"/>
        <v>41298.978572342166</v>
      </c>
      <c r="O779" s="2">
        <v>0.48232685834830402</v>
      </c>
      <c r="P779" s="2">
        <v>6.4986519390606201</v>
      </c>
      <c r="Q779" s="2">
        <v>6.2002536254186502</v>
      </c>
      <c r="R779" s="2">
        <v>8.9493468696133102E-2</v>
      </c>
      <c r="S779" s="2">
        <v>1.3178474543634999</v>
      </c>
      <c r="T779" s="2">
        <v>1.78246919595121</v>
      </c>
      <c r="U779" s="2">
        <v>16.5514203220471</v>
      </c>
      <c r="V779" s="2">
        <v>2.8536668980372002</v>
      </c>
      <c r="W779" s="2">
        <v>3.6679132088435802</v>
      </c>
      <c r="X779" s="2">
        <v>0.98853146682417603</v>
      </c>
      <c r="Y779" s="2">
        <v>1.6463833110371</v>
      </c>
      <c r="Z779" s="2">
        <v>4.2324341376595198</v>
      </c>
      <c r="AA779" s="3">
        <f t="shared" si="37"/>
        <v>46.311391886287083</v>
      </c>
      <c r="AB779" t="s">
        <v>45</v>
      </c>
      <c r="AC779">
        <v>17.690000000000001</v>
      </c>
      <c r="AD779">
        <v>31.26</v>
      </c>
      <c r="AE779">
        <v>30.94</v>
      </c>
      <c r="AF779">
        <v>12.57</v>
      </c>
      <c r="AG779">
        <v>104.17</v>
      </c>
      <c r="AH779">
        <v>12.84</v>
      </c>
      <c r="AI779">
        <v>49.48</v>
      </c>
      <c r="AJ779">
        <v>59.45</v>
      </c>
      <c r="AK779">
        <v>85.64</v>
      </c>
      <c r="AL779">
        <v>40.909999999999997</v>
      </c>
      <c r="AM779">
        <v>58.93</v>
      </c>
      <c r="AN779">
        <v>31.66</v>
      </c>
      <c r="AO779" s="1">
        <f t="shared" si="38"/>
        <v>535.54</v>
      </c>
    </row>
    <row r="780" spans="1:41" x14ac:dyDescent="0.25">
      <c r="A780" t="s">
        <v>823</v>
      </c>
      <c r="B780" s="2">
        <v>756.17328822137097</v>
      </c>
      <c r="C780" s="2">
        <v>494.83479189168099</v>
      </c>
      <c r="D780" s="2">
        <v>9594.0810466881903</v>
      </c>
      <c r="E780" s="2">
        <v>1639.90107695915</v>
      </c>
      <c r="F780" s="2">
        <v>4745.9553535259802</v>
      </c>
      <c r="G780" s="2">
        <v>1169.0696217611801</v>
      </c>
      <c r="H780" s="2">
        <v>5004.36319594407</v>
      </c>
      <c r="I780" s="2">
        <v>1155.7329788535201</v>
      </c>
      <c r="J780" s="2">
        <v>4884.6090186646597</v>
      </c>
      <c r="K780" s="2">
        <v>3520.8624396082801</v>
      </c>
      <c r="L780" s="2">
        <v>12105.902616342501</v>
      </c>
      <c r="M780" s="2">
        <v>126.412109546756</v>
      </c>
      <c r="N780" s="3">
        <f t="shared" si="36"/>
        <v>45197.897538007346</v>
      </c>
      <c r="O780" s="2">
        <v>1.4595785580501801</v>
      </c>
      <c r="P780" s="2">
        <v>0.55725838697490404</v>
      </c>
      <c r="Q780" s="2">
        <v>17.885434543947898</v>
      </c>
      <c r="R780" s="2">
        <v>0.58428806065521899</v>
      </c>
      <c r="S780" s="2">
        <v>1.2151836585598501</v>
      </c>
      <c r="T780" s="2">
        <v>2.64624115388429</v>
      </c>
      <c r="U780" s="2">
        <v>7.6594091975194498</v>
      </c>
      <c r="V780" s="2">
        <v>4.72604882775983</v>
      </c>
      <c r="W780" s="2">
        <v>2.0251241446537298</v>
      </c>
      <c r="X780" s="2">
        <v>2.4276872589592999</v>
      </c>
      <c r="Y780" s="2">
        <v>6.1388619487515497</v>
      </c>
      <c r="Z780" s="2">
        <v>5.94882563096703</v>
      </c>
      <c r="AA780" s="3">
        <f t="shared" si="37"/>
        <v>53.273941370683232</v>
      </c>
      <c r="AB780" t="s">
        <v>45</v>
      </c>
      <c r="AC780">
        <v>17.66</v>
      </c>
      <c r="AD780">
        <v>14.99</v>
      </c>
      <c r="AE780">
        <v>106.84</v>
      </c>
      <c r="AF780">
        <v>26.44</v>
      </c>
      <c r="AG780">
        <v>57.55</v>
      </c>
      <c r="AH780">
        <v>21.84</v>
      </c>
      <c r="AI780">
        <v>60.44</v>
      </c>
      <c r="AJ780">
        <v>21.8</v>
      </c>
      <c r="AK780">
        <v>58.99</v>
      </c>
      <c r="AL780">
        <v>45.35</v>
      </c>
      <c r="AM780">
        <v>131.4</v>
      </c>
      <c r="AN780">
        <v>11.56</v>
      </c>
      <c r="AO780" s="1">
        <f t="shared" si="38"/>
        <v>574.86</v>
      </c>
    </row>
    <row r="781" spans="1:41" x14ac:dyDescent="0.25">
      <c r="A781" t="s">
        <v>824</v>
      </c>
      <c r="B781" s="2">
        <v>752.58427660451298</v>
      </c>
      <c r="C781" s="2">
        <v>2428.4561782374499</v>
      </c>
      <c r="D781" s="2">
        <v>2158.1516914956001</v>
      </c>
      <c r="E781" s="2">
        <v>0</v>
      </c>
      <c r="F781" s="2">
        <v>2671.4359152172501</v>
      </c>
      <c r="G781" s="2">
        <v>18589.748304686898</v>
      </c>
      <c r="H781" s="2">
        <v>11478.0075721836</v>
      </c>
      <c r="I781" s="2">
        <v>6225.3279654203197</v>
      </c>
      <c r="J781" s="2">
        <v>1880.9836008223899</v>
      </c>
      <c r="K781" s="2">
        <v>184.48242430482901</v>
      </c>
      <c r="L781" s="2">
        <v>7271.5592869428701</v>
      </c>
      <c r="M781" s="2">
        <v>1038.3916937629101</v>
      </c>
      <c r="N781" s="3">
        <f t="shared" si="36"/>
        <v>54679.128909678628</v>
      </c>
      <c r="O781" s="2">
        <v>2.6271517164979401</v>
      </c>
      <c r="P781" s="2">
        <v>1.85815017508335</v>
      </c>
      <c r="Q781" s="2">
        <v>3.2660952668088501</v>
      </c>
      <c r="R781" s="2">
        <v>9.0242430650268695</v>
      </c>
      <c r="S781" s="2">
        <v>3.4276950641817501</v>
      </c>
      <c r="T781" s="2">
        <v>2.7736492628623499</v>
      </c>
      <c r="U781" s="2">
        <v>1.15239651810134</v>
      </c>
      <c r="V781" s="2">
        <v>14.836671469368801</v>
      </c>
      <c r="W781" s="2">
        <v>2.3224207672183699</v>
      </c>
      <c r="X781" s="2">
        <v>0</v>
      </c>
      <c r="Y781" s="2">
        <v>3.1815640304127601</v>
      </c>
      <c r="Z781" s="2">
        <v>3.8750586508323099</v>
      </c>
      <c r="AA781" s="3">
        <f t="shared" si="37"/>
        <v>48.345095986394689</v>
      </c>
      <c r="AB781" t="s">
        <v>45</v>
      </c>
      <c r="AC781">
        <v>17.670000000000002</v>
      </c>
      <c r="AD781">
        <v>34.380000000000003</v>
      </c>
      <c r="AE781">
        <v>31.78</v>
      </c>
      <c r="AF781">
        <v>10.49</v>
      </c>
      <c r="AG781">
        <v>36.909999999999997</v>
      </c>
      <c r="AH781">
        <v>196.04</v>
      </c>
      <c r="AI781">
        <v>124.88</v>
      </c>
      <c r="AJ781">
        <v>73</v>
      </c>
      <c r="AK781">
        <v>28.95</v>
      </c>
      <c r="AL781">
        <v>11.84</v>
      </c>
      <c r="AM781">
        <v>82.91</v>
      </c>
      <c r="AN781">
        <v>20.58</v>
      </c>
      <c r="AO781" s="1">
        <f t="shared" si="38"/>
        <v>669.43000000000006</v>
      </c>
    </row>
    <row r="782" spans="1:41" x14ac:dyDescent="0.25">
      <c r="A782" t="s">
        <v>825</v>
      </c>
      <c r="B782" s="2">
        <v>750.482419053282</v>
      </c>
      <c r="C782" s="2">
        <v>7769.1126847449495</v>
      </c>
      <c r="D782" s="2">
        <v>3213.00453470805</v>
      </c>
      <c r="E782" s="2">
        <v>13744.198400884001</v>
      </c>
      <c r="F782" s="2">
        <v>1012.825259433</v>
      </c>
      <c r="G782" s="2">
        <v>1886.6457082854399</v>
      </c>
      <c r="H782" s="2">
        <v>2043.22294992247</v>
      </c>
      <c r="I782" s="2">
        <v>1697.67638858182</v>
      </c>
      <c r="J782" s="2">
        <v>665.29173964746803</v>
      </c>
      <c r="K782" s="2">
        <v>2512.4001578069501</v>
      </c>
      <c r="L782" s="2">
        <v>3889.7916374679799</v>
      </c>
      <c r="M782" s="2">
        <v>451.453007089886</v>
      </c>
      <c r="N782" s="3">
        <f t="shared" si="36"/>
        <v>39636.10488762529</v>
      </c>
      <c r="O782" s="2">
        <v>0</v>
      </c>
      <c r="P782" s="2">
        <v>0.21647723459235299</v>
      </c>
      <c r="Q782" s="2">
        <v>12.3696821675472</v>
      </c>
      <c r="R782" s="2">
        <v>1.00777807116326</v>
      </c>
      <c r="S782" s="2">
        <v>1.1953689712820199</v>
      </c>
      <c r="T782" s="2">
        <v>0.81281275282350096</v>
      </c>
      <c r="U782" s="2">
        <v>1.08348656639136</v>
      </c>
      <c r="V782" s="2">
        <v>5.054896985159</v>
      </c>
      <c r="W782" s="2">
        <v>2.6356902725897902</v>
      </c>
      <c r="X782" s="2">
        <v>2.6163257927657302</v>
      </c>
      <c r="Y782" s="2">
        <v>0.74225228994254899</v>
      </c>
      <c r="Z782" s="2">
        <v>6.9953417805321001</v>
      </c>
      <c r="AA782" s="3">
        <f t="shared" si="37"/>
        <v>34.730112884788866</v>
      </c>
      <c r="AB782" t="s">
        <v>63</v>
      </c>
      <c r="AC782">
        <v>15.02</v>
      </c>
      <c r="AD782">
        <v>155.49</v>
      </c>
      <c r="AE782">
        <v>65.45</v>
      </c>
      <c r="AF782">
        <v>275.08</v>
      </c>
      <c r="AG782">
        <v>20.440000000000001</v>
      </c>
      <c r="AH782">
        <v>37.83</v>
      </c>
      <c r="AI782">
        <v>41.06</v>
      </c>
      <c r="AJ782">
        <v>34.5</v>
      </c>
      <c r="AK782">
        <v>13.59</v>
      </c>
      <c r="AL782">
        <v>50.53</v>
      </c>
      <c r="AM782">
        <v>77.89</v>
      </c>
      <c r="AN782">
        <v>9.67</v>
      </c>
      <c r="AO782" s="1">
        <f t="shared" si="38"/>
        <v>796.55000000000007</v>
      </c>
    </row>
    <row r="783" spans="1:41" x14ac:dyDescent="0.25">
      <c r="A783" t="s">
        <v>826</v>
      </c>
      <c r="B783" s="2">
        <v>750.05139389529199</v>
      </c>
      <c r="C783" s="2">
        <v>2978.8481168110402</v>
      </c>
      <c r="D783" s="2">
        <v>177.43607643592401</v>
      </c>
      <c r="E783" s="2">
        <v>7389.5413648894501</v>
      </c>
      <c r="F783" s="2">
        <v>4947.6835359543302</v>
      </c>
      <c r="G783" s="2">
        <v>5605.4939387797103</v>
      </c>
      <c r="H783" s="2">
        <v>5704.2569583691602</v>
      </c>
      <c r="I783" s="2">
        <v>523.96366030428101</v>
      </c>
      <c r="J783" s="2">
        <v>3904.27279175798</v>
      </c>
      <c r="K783" s="2">
        <v>1690.15032562068</v>
      </c>
      <c r="L783" s="2">
        <v>3440.9674695879598</v>
      </c>
      <c r="M783" s="2">
        <v>0</v>
      </c>
      <c r="N783" s="3">
        <f t="shared" si="36"/>
        <v>37112.665632405806</v>
      </c>
      <c r="O783" s="2">
        <v>2.94360796059732</v>
      </c>
      <c r="P783" s="2">
        <v>0.78156141527519196</v>
      </c>
      <c r="Q783" s="2">
        <v>7.55220778941462</v>
      </c>
      <c r="R783" s="2">
        <v>2.44988680606312</v>
      </c>
      <c r="S783" s="2">
        <v>7.2179942304747398</v>
      </c>
      <c r="T783" s="2">
        <v>4.1224735513852497</v>
      </c>
      <c r="U783" s="2">
        <v>2.9764599036295198</v>
      </c>
      <c r="V783" s="2">
        <v>1.8780261493370001</v>
      </c>
      <c r="W783" s="2">
        <v>1.1638862131449801</v>
      </c>
      <c r="X783" s="2">
        <v>6.9663207216152303</v>
      </c>
      <c r="Y783" s="2">
        <v>4.39578736271935</v>
      </c>
      <c r="Z783" s="2">
        <v>2.9712435266169299</v>
      </c>
      <c r="AA783" s="3">
        <f t="shared" si="37"/>
        <v>45.419455630273248</v>
      </c>
      <c r="AB783" t="s">
        <v>45</v>
      </c>
      <c r="AC783">
        <v>17.649999999999999</v>
      </c>
      <c r="AD783">
        <v>39.83</v>
      </c>
      <c r="AE783">
        <v>12.17</v>
      </c>
      <c r="AF783">
        <v>84.04</v>
      </c>
      <c r="AG783">
        <v>59.87</v>
      </c>
      <c r="AH783">
        <v>66.3</v>
      </c>
      <c r="AI783">
        <v>67.19</v>
      </c>
      <c r="AJ783">
        <v>15.33</v>
      </c>
      <c r="AK783">
        <v>49.14</v>
      </c>
      <c r="AL783">
        <v>27.25</v>
      </c>
      <c r="AM783">
        <v>44.65</v>
      </c>
      <c r="AN783">
        <v>10.14</v>
      </c>
      <c r="AO783" s="1">
        <f t="shared" si="38"/>
        <v>493.55999999999995</v>
      </c>
    </row>
    <row r="784" spans="1:41" x14ac:dyDescent="0.25">
      <c r="A784" t="s">
        <v>827</v>
      </c>
      <c r="B784" s="2">
        <v>728.334126318568</v>
      </c>
      <c r="C784" s="2">
        <v>5168.6228447394997</v>
      </c>
      <c r="D784" s="2">
        <v>1224.80885749918</v>
      </c>
      <c r="E784" s="2">
        <v>4143.88624593229</v>
      </c>
      <c r="F784" s="2">
        <v>7604.1169386988604</v>
      </c>
      <c r="G784" s="2">
        <v>1038.6089983946599</v>
      </c>
      <c r="H784" s="2">
        <v>686.05511591306094</v>
      </c>
      <c r="I784" s="2">
        <v>0</v>
      </c>
      <c r="J784" s="2">
        <v>0</v>
      </c>
      <c r="K784" s="2">
        <v>207.917005758073</v>
      </c>
      <c r="L784" s="2">
        <v>4906.3411552290099</v>
      </c>
      <c r="M784" s="2">
        <v>1814.4570366092901</v>
      </c>
      <c r="N784" s="3">
        <f t="shared" si="36"/>
        <v>27523.148325092487</v>
      </c>
      <c r="O784" s="2">
        <v>0</v>
      </c>
      <c r="P784" s="2">
        <v>4.7561853285672697</v>
      </c>
      <c r="Q784" s="2">
        <v>3.1923382768559998</v>
      </c>
      <c r="R784" s="2">
        <v>9.2439081419103992</v>
      </c>
      <c r="S784" s="2">
        <v>1.7805551957038399</v>
      </c>
      <c r="T784" s="2">
        <v>6.6356972474920797</v>
      </c>
      <c r="U784" s="2">
        <v>4.1017004744244003</v>
      </c>
      <c r="V784" s="2">
        <v>0</v>
      </c>
      <c r="W784" s="2">
        <v>15.6091868560971</v>
      </c>
      <c r="X784" s="2">
        <v>1.7988802696259401</v>
      </c>
      <c r="Y784" s="2">
        <v>0.68272906000418798</v>
      </c>
      <c r="Z784" s="2">
        <v>2.7061640710399599</v>
      </c>
      <c r="AA784" s="3">
        <f t="shared" si="37"/>
        <v>50.50734492172117</v>
      </c>
      <c r="AB784" t="s">
        <v>63</v>
      </c>
      <c r="AC784">
        <v>14.58</v>
      </c>
      <c r="AD784">
        <v>103.83</v>
      </c>
      <c r="AE784">
        <v>24.86</v>
      </c>
      <c r="AF784">
        <v>83.78</v>
      </c>
      <c r="AG784">
        <v>152.28</v>
      </c>
      <c r="AH784">
        <v>21.41</v>
      </c>
      <c r="AI784">
        <v>14.19</v>
      </c>
      <c r="AJ784">
        <v>0</v>
      </c>
      <c r="AK784">
        <v>1.44</v>
      </c>
      <c r="AL784">
        <v>4.34</v>
      </c>
      <c r="AM784">
        <v>98.23</v>
      </c>
      <c r="AN784">
        <v>36.57</v>
      </c>
      <c r="AO784" s="1">
        <f t="shared" si="38"/>
        <v>555.51</v>
      </c>
    </row>
    <row r="785" spans="1:41" x14ac:dyDescent="0.25">
      <c r="A785" t="s">
        <v>828</v>
      </c>
      <c r="B785" s="2">
        <v>726.34940834043095</v>
      </c>
      <c r="C785" s="2">
        <v>6307.18737060083</v>
      </c>
      <c r="D785" s="2">
        <v>911.68129438278595</v>
      </c>
      <c r="E785" s="2">
        <v>0</v>
      </c>
      <c r="F785" s="2">
        <v>2735.7515334660802</v>
      </c>
      <c r="G785" s="2">
        <v>2525.63958332629</v>
      </c>
      <c r="H785" s="2">
        <v>0</v>
      </c>
      <c r="I785" s="2">
        <v>637.42228913812801</v>
      </c>
      <c r="J785" s="2">
        <v>5574.2748197917799</v>
      </c>
      <c r="K785" s="2">
        <v>2745.33309483223</v>
      </c>
      <c r="L785" s="2">
        <v>2574.0541910668398</v>
      </c>
      <c r="M785" s="2">
        <v>1485.3492627221101</v>
      </c>
      <c r="N785" s="3">
        <f t="shared" si="36"/>
        <v>26223.042847667504</v>
      </c>
      <c r="O785" s="2">
        <v>4.8578458257004096</v>
      </c>
      <c r="P785" s="2">
        <v>0</v>
      </c>
      <c r="Q785" s="2">
        <v>0</v>
      </c>
      <c r="R785" s="2">
        <v>13.070134240939399</v>
      </c>
      <c r="S785" s="2">
        <v>0</v>
      </c>
      <c r="T785" s="2">
        <v>5.20182216503059</v>
      </c>
      <c r="U785" s="2">
        <v>4.7576407028899803</v>
      </c>
      <c r="V785" s="2">
        <v>2.2628377323825402</v>
      </c>
      <c r="W785" s="2">
        <v>0</v>
      </c>
      <c r="X785" s="2">
        <v>2.0092980226969699</v>
      </c>
      <c r="Y785" s="2">
        <v>4.3417907448481996</v>
      </c>
      <c r="Z785" s="2">
        <v>4.68659756136043</v>
      </c>
      <c r="AA785" s="3">
        <f t="shared" si="37"/>
        <v>41.187966995848512</v>
      </c>
      <c r="AB785" t="s">
        <v>63</v>
      </c>
      <c r="AC785">
        <v>14.99</v>
      </c>
      <c r="AD785">
        <v>126.16</v>
      </c>
      <c r="AE785">
        <v>18.239999999999998</v>
      </c>
      <c r="AF785">
        <v>1.26</v>
      </c>
      <c r="AG785">
        <v>54.72</v>
      </c>
      <c r="AH785">
        <v>51.06</v>
      </c>
      <c r="AI785">
        <v>0.45</v>
      </c>
      <c r="AJ785">
        <v>13.03</v>
      </c>
      <c r="AK785">
        <v>111.5</v>
      </c>
      <c r="AL785">
        <v>55.19</v>
      </c>
      <c r="AM785">
        <v>51.95</v>
      </c>
      <c r="AN785">
        <v>30.17</v>
      </c>
      <c r="AO785" s="1">
        <f t="shared" si="38"/>
        <v>528.71999999999991</v>
      </c>
    </row>
    <row r="786" spans="1:41" x14ac:dyDescent="0.25">
      <c r="A786" t="s">
        <v>829</v>
      </c>
      <c r="B786" s="2">
        <v>726.19874866750604</v>
      </c>
      <c r="C786" s="2">
        <v>463.34088812392099</v>
      </c>
      <c r="D786" s="2">
        <v>3557.8710534935899</v>
      </c>
      <c r="E786" s="2">
        <v>14264.1599828199</v>
      </c>
      <c r="F786" s="2">
        <v>123.33237779644701</v>
      </c>
      <c r="G786" s="2">
        <v>15335.983816258</v>
      </c>
      <c r="H786" s="2">
        <v>5303.6563143466301</v>
      </c>
      <c r="I786" s="2">
        <v>7067.1660858915102</v>
      </c>
      <c r="J786" s="2">
        <v>0</v>
      </c>
      <c r="K786" s="2">
        <v>1709.4978092855099</v>
      </c>
      <c r="L786" s="2">
        <v>0</v>
      </c>
      <c r="M786" s="2">
        <v>945.70713289344997</v>
      </c>
      <c r="N786" s="3">
        <f t="shared" si="36"/>
        <v>49496.914209576469</v>
      </c>
      <c r="O786" s="2">
        <v>2.1197996129274301</v>
      </c>
      <c r="P786" s="2">
        <v>4.2106155148835196</v>
      </c>
      <c r="Q786" s="2">
        <v>0.141841815386717</v>
      </c>
      <c r="R786" s="2">
        <v>0</v>
      </c>
      <c r="S786" s="2">
        <v>8.1989177076480502</v>
      </c>
      <c r="T786" s="2">
        <v>12.234327181995599</v>
      </c>
      <c r="U786" s="2">
        <v>2.5782687597623801</v>
      </c>
      <c r="V786" s="2">
        <v>2.5362174319910902</v>
      </c>
      <c r="W786" s="2">
        <v>3.7018734626748699</v>
      </c>
      <c r="X786" s="2">
        <v>0.68647459119195797</v>
      </c>
      <c r="Y786" s="2">
        <v>1.6306852070337201</v>
      </c>
      <c r="Z786" s="2">
        <v>0.46250750465629298</v>
      </c>
      <c r="AA786" s="3">
        <f t="shared" si="37"/>
        <v>38.501528790151632</v>
      </c>
      <c r="AB786" t="s">
        <v>45</v>
      </c>
      <c r="AC786">
        <v>17.41</v>
      </c>
      <c r="AD786">
        <v>14.88</v>
      </c>
      <c r="AE786">
        <v>45.62</v>
      </c>
      <c r="AF786">
        <v>152.63999999999999</v>
      </c>
      <c r="AG786">
        <v>11.68</v>
      </c>
      <c r="AH786">
        <v>164</v>
      </c>
      <c r="AI786">
        <v>63.18</v>
      </c>
      <c r="AJ786">
        <v>80.819999999999993</v>
      </c>
      <c r="AK786">
        <v>10.19</v>
      </c>
      <c r="AL786">
        <v>27.14</v>
      </c>
      <c r="AM786">
        <v>10.09</v>
      </c>
      <c r="AN786">
        <v>19.5</v>
      </c>
      <c r="AO786" s="1">
        <f t="shared" si="38"/>
        <v>617.15000000000009</v>
      </c>
    </row>
    <row r="787" spans="1:41" x14ac:dyDescent="0.25">
      <c r="A787" t="s">
        <v>830</v>
      </c>
      <c r="B787" s="2">
        <v>718.21529456117503</v>
      </c>
      <c r="C787" s="2">
        <v>1339.82396620082</v>
      </c>
      <c r="D787" s="2">
        <v>300.18285013829302</v>
      </c>
      <c r="E787" s="2">
        <v>675.20206357592497</v>
      </c>
      <c r="F787" s="2">
        <v>1700.2884912071499</v>
      </c>
      <c r="G787" s="2">
        <v>2198.81904541629</v>
      </c>
      <c r="H787" s="2">
        <v>2773.2848171012702</v>
      </c>
      <c r="I787" s="2">
        <v>5254.8240124521899</v>
      </c>
      <c r="J787" s="2">
        <v>617.54253627040703</v>
      </c>
      <c r="K787" s="2">
        <v>5882.4844039816398</v>
      </c>
      <c r="L787" s="2">
        <v>0</v>
      </c>
      <c r="M787" s="2">
        <v>1850.4952844991001</v>
      </c>
      <c r="N787" s="3">
        <f t="shared" si="36"/>
        <v>23311.162765404257</v>
      </c>
      <c r="O787" s="2">
        <v>0</v>
      </c>
      <c r="P787" s="2">
        <v>2.6965317453206601</v>
      </c>
      <c r="Q787" s="2">
        <v>2.1465406868654</v>
      </c>
      <c r="R787" s="2">
        <v>2.0740290368453</v>
      </c>
      <c r="S787" s="2">
        <v>3.6153579673548002</v>
      </c>
      <c r="T787" s="2">
        <v>0</v>
      </c>
      <c r="U787" s="2">
        <v>3.72930822180503</v>
      </c>
      <c r="V787" s="2">
        <v>9.6222704201771307</v>
      </c>
      <c r="W787" s="2">
        <v>0.74342185221559898</v>
      </c>
      <c r="X787" s="2">
        <v>2.2801907563486998</v>
      </c>
      <c r="Y787" s="2">
        <v>4.6476729007119397</v>
      </c>
      <c r="Z787" s="2">
        <v>2.5467826066853099</v>
      </c>
      <c r="AA787" s="3">
        <f t="shared" si="37"/>
        <v>34.102106194329863</v>
      </c>
      <c r="AB787" t="s">
        <v>63</v>
      </c>
      <c r="AC787">
        <v>14.38</v>
      </c>
      <c r="AD787">
        <v>27.07</v>
      </c>
      <c r="AE787">
        <v>6.29</v>
      </c>
      <c r="AF787">
        <v>13.79</v>
      </c>
      <c r="AG787">
        <v>34.380000000000003</v>
      </c>
      <c r="AH787">
        <v>43.98</v>
      </c>
      <c r="AI787">
        <v>55.84</v>
      </c>
      <c r="AJ787">
        <v>106</v>
      </c>
      <c r="AK787">
        <v>12.45</v>
      </c>
      <c r="AL787">
        <v>117.93</v>
      </c>
      <c r="AM787">
        <v>0.45</v>
      </c>
      <c r="AN787">
        <v>37.29</v>
      </c>
      <c r="AO787" s="1">
        <f t="shared" si="38"/>
        <v>469.85</v>
      </c>
    </row>
    <row r="788" spans="1:41" x14ac:dyDescent="0.25">
      <c r="A788" t="s">
        <v>831</v>
      </c>
      <c r="B788" s="2">
        <v>718.06646767145298</v>
      </c>
      <c r="C788" s="2">
        <v>0</v>
      </c>
      <c r="D788" s="2">
        <v>4678.8889340901997</v>
      </c>
      <c r="E788" s="2">
        <v>2053.0920648347301</v>
      </c>
      <c r="F788" s="2">
        <v>3001.93764374271</v>
      </c>
      <c r="G788" s="2">
        <v>7366.8358875628901</v>
      </c>
      <c r="H788" s="2">
        <v>3879.3113668973501</v>
      </c>
      <c r="I788" s="2">
        <v>0</v>
      </c>
      <c r="J788" s="2">
        <v>14964.2255173872</v>
      </c>
      <c r="K788" s="2">
        <v>2717.8162324759301</v>
      </c>
      <c r="L788" s="2">
        <v>0</v>
      </c>
      <c r="M788" s="2">
        <v>18092.380634354999</v>
      </c>
      <c r="N788" s="3">
        <f t="shared" si="36"/>
        <v>57472.554749017465</v>
      </c>
      <c r="O788" s="2">
        <v>5.5680717519661398</v>
      </c>
      <c r="P788" s="2">
        <v>0.82835952378135302</v>
      </c>
      <c r="Q788" s="2">
        <v>4.3774153312397797</v>
      </c>
      <c r="R788" s="2">
        <v>2.29110910619307</v>
      </c>
      <c r="S788" s="2">
        <v>1.02042102871544</v>
      </c>
      <c r="T788" s="2">
        <v>12.237976584217799</v>
      </c>
      <c r="U788" s="2">
        <v>4.2889032058038996</v>
      </c>
      <c r="V788" s="2">
        <v>0</v>
      </c>
      <c r="W788" s="2">
        <v>9.35032161096618</v>
      </c>
      <c r="X788" s="2">
        <v>1.7181530391108899</v>
      </c>
      <c r="Y788" s="2">
        <v>8.7527909437237206</v>
      </c>
      <c r="Z788" s="2">
        <v>7.8997941081025198</v>
      </c>
      <c r="AA788" s="3">
        <f t="shared" si="37"/>
        <v>58.333316233820788</v>
      </c>
      <c r="AB788" t="s">
        <v>45</v>
      </c>
      <c r="AC788">
        <v>17.48</v>
      </c>
      <c r="AD788">
        <v>10.039999999999999</v>
      </c>
      <c r="AE788">
        <v>57.03</v>
      </c>
      <c r="AF788">
        <v>30.68</v>
      </c>
      <c r="AG788">
        <v>40.11</v>
      </c>
      <c r="AH788">
        <v>84.31</v>
      </c>
      <c r="AI788">
        <v>49.04</v>
      </c>
      <c r="AJ788">
        <v>9.99</v>
      </c>
      <c r="AK788">
        <v>160.13999999999999</v>
      </c>
      <c r="AL788">
        <v>37.270000000000003</v>
      </c>
      <c r="AM788">
        <v>10.44</v>
      </c>
      <c r="AN788">
        <v>191.32</v>
      </c>
      <c r="AO788" s="1">
        <f t="shared" si="38"/>
        <v>697.84999999999991</v>
      </c>
    </row>
    <row r="789" spans="1:41" x14ac:dyDescent="0.25">
      <c r="A789" t="s">
        <v>832</v>
      </c>
      <c r="B789" s="2">
        <v>713.46287889345297</v>
      </c>
      <c r="C789" s="2">
        <v>567.52827465748999</v>
      </c>
      <c r="D789" s="2">
        <v>1726.50939693548</v>
      </c>
      <c r="E789" s="2">
        <v>1351.2354172968301</v>
      </c>
      <c r="F789" s="2">
        <v>1581.1191401000699</v>
      </c>
      <c r="G789" s="2">
        <v>6779.9575542899001</v>
      </c>
      <c r="H789" s="2">
        <v>10531.778216066699</v>
      </c>
      <c r="I789" s="2">
        <v>7495.9026749325503</v>
      </c>
      <c r="J789" s="2">
        <v>2440.5770748555601</v>
      </c>
      <c r="K789" s="2">
        <v>7449.8884063033902</v>
      </c>
      <c r="L789" s="2">
        <v>9768.5633197754996</v>
      </c>
      <c r="M789" s="2">
        <v>2323.55159217556</v>
      </c>
      <c r="N789" s="3">
        <f t="shared" si="36"/>
        <v>52730.073946282479</v>
      </c>
      <c r="O789" s="2">
        <v>0</v>
      </c>
      <c r="P789" s="2">
        <v>8.5387852654230496</v>
      </c>
      <c r="Q789" s="2">
        <v>2.7641425048642199</v>
      </c>
      <c r="R789" s="2">
        <v>0</v>
      </c>
      <c r="S789" s="2">
        <v>9.2999369219001409</v>
      </c>
      <c r="T789" s="2">
        <v>10.940694391533199</v>
      </c>
      <c r="U789" s="2">
        <v>6.4804284861712897</v>
      </c>
      <c r="V789" s="2">
        <v>6.8055106263463996</v>
      </c>
      <c r="W789" s="2">
        <v>2.94278060588764</v>
      </c>
      <c r="X789" s="2">
        <v>1.60948175436911</v>
      </c>
      <c r="Y789" s="2">
        <v>0</v>
      </c>
      <c r="Z789" s="2">
        <v>2.3162219029729698</v>
      </c>
      <c r="AA789" s="3">
        <f t="shared" si="37"/>
        <v>51.697982459468022</v>
      </c>
      <c r="AB789" t="s">
        <v>63</v>
      </c>
      <c r="AC789">
        <v>14.28</v>
      </c>
      <c r="AD789">
        <v>12.17</v>
      </c>
      <c r="AE789">
        <v>34.81</v>
      </c>
      <c r="AF789">
        <v>27.04</v>
      </c>
      <c r="AG789">
        <v>32.54</v>
      </c>
      <c r="AH789">
        <v>136.59</v>
      </c>
      <c r="AI789">
        <v>211.27</v>
      </c>
      <c r="AJ789">
        <v>150.55000000000001</v>
      </c>
      <c r="AK789">
        <v>49.09</v>
      </c>
      <c r="AL789">
        <v>149.18</v>
      </c>
      <c r="AM789">
        <v>195.38</v>
      </c>
      <c r="AN789">
        <v>46.75</v>
      </c>
      <c r="AO789" s="1">
        <f t="shared" si="38"/>
        <v>1059.6500000000001</v>
      </c>
    </row>
    <row r="790" spans="1:41" x14ac:dyDescent="0.25">
      <c r="A790" t="s">
        <v>833</v>
      </c>
      <c r="B790" s="2">
        <v>710.14791942723798</v>
      </c>
      <c r="C790" s="2">
        <v>3904.8059190385002</v>
      </c>
      <c r="D790" s="2">
        <v>978.73030465552495</v>
      </c>
      <c r="E790" s="2">
        <v>3686.57014859534</v>
      </c>
      <c r="F790" s="2">
        <v>2231.0262556869702</v>
      </c>
      <c r="G790" s="2">
        <v>0</v>
      </c>
      <c r="H790" s="2">
        <v>13150.886207899999</v>
      </c>
      <c r="I790" s="2">
        <v>9131.9650810692892</v>
      </c>
      <c r="J790" s="2">
        <v>7372.7445671825199</v>
      </c>
      <c r="K790" s="2">
        <v>5042.2921121425697</v>
      </c>
      <c r="L790" s="2">
        <v>3498.4742474415002</v>
      </c>
      <c r="M790" s="2">
        <v>3756.9338443119</v>
      </c>
      <c r="N790" s="3">
        <f t="shared" si="36"/>
        <v>53464.576607451352</v>
      </c>
      <c r="O790" s="2">
        <v>0</v>
      </c>
      <c r="P790" s="2">
        <v>3.0745293929725999</v>
      </c>
      <c r="Q790" s="2">
        <v>2.86111132063616</v>
      </c>
      <c r="R790" s="2">
        <v>9.9965294710917192</v>
      </c>
      <c r="S790" s="2">
        <v>0.25263170982627697</v>
      </c>
      <c r="T790" s="2">
        <v>5.6389486972015002</v>
      </c>
      <c r="U790" s="2">
        <v>7.7180515431507599</v>
      </c>
      <c r="V790" s="2">
        <v>1.6159615047368601</v>
      </c>
      <c r="W790" s="2">
        <v>2.4946275680803698</v>
      </c>
      <c r="X790" s="2">
        <v>0</v>
      </c>
      <c r="Y790" s="2">
        <v>0</v>
      </c>
      <c r="Z790" s="2">
        <v>0</v>
      </c>
      <c r="AA790" s="3">
        <f t="shared" si="37"/>
        <v>33.652391207696247</v>
      </c>
      <c r="AB790" t="s">
        <v>45</v>
      </c>
      <c r="AC790">
        <v>17.100000000000001</v>
      </c>
      <c r="AD790">
        <v>49.24</v>
      </c>
      <c r="AE790">
        <v>19.93</v>
      </c>
      <c r="AF790">
        <v>47.36</v>
      </c>
      <c r="AG790">
        <v>32.36</v>
      </c>
      <c r="AH790">
        <v>10.29</v>
      </c>
      <c r="AI790">
        <v>141.9</v>
      </c>
      <c r="AJ790">
        <v>101.41</v>
      </c>
      <c r="AK790">
        <v>83.87</v>
      </c>
      <c r="AL790">
        <v>60.42</v>
      </c>
      <c r="AM790">
        <v>44.98</v>
      </c>
      <c r="AN790">
        <v>47.56</v>
      </c>
      <c r="AO790" s="1">
        <f t="shared" si="38"/>
        <v>656.42000000000007</v>
      </c>
    </row>
    <row r="791" spans="1:41" x14ac:dyDescent="0.25">
      <c r="A791" t="s">
        <v>834</v>
      </c>
      <c r="B791" s="2">
        <v>707.40072866474895</v>
      </c>
      <c r="C791" s="2">
        <v>1182.1191419720101</v>
      </c>
      <c r="D791" s="2">
        <v>724.72444425379604</v>
      </c>
      <c r="E791" s="2">
        <v>6033.6651893744402</v>
      </c>
      <c r="F791" s="2">
        <v>36.158640489232198</v>
      </c>
      <c r="G791" s="2">
        <v>3048.2785608505701</v>
      </c>
      <c r="H791" s="2">
        <v>3657.1633509164799</v>
      </c>
      <c r="I791" s="2">
        <v>11916.9099150648</v>
      </c>
      <c r="J791" s="2">
        <v>26582.0595306453</v>
      </c>
      <c r="K791" s="2">
        <v>11462.7679056077</v>
      </c>
      <c r="L791" s="2">
        <v>3708.4407619762101</v>
      </c>
      <c r="M791" s="2">
        <v>5070.7381212884002</v>
      </c>
      <c r="N791" s="3">
        <f t="shared" si="36"/>
        <v>74130.426291103693</v>
      </c>
      <c r="O791" s="2">
        <v>1.1167794544843099</v>
      </c>
      <c r="P791" s="2">
        <v>4.1286700132507796</v>
      </c>
      <c r="Q791" s="2">
        <v>1.7975990224690099</v>
      </c>
      <c r="R791" s="2">
        <v>7.0146643478597603</v>
      </c>
      <c r="S791" s="2">
        <v>0.91601958224914504</v>
      </c>
      <c r="T791" s="2">
        <v>4.5060415923568096</v>
      </c>
      <c r="U791" s="2">
        <v>2.9563428477997999</v>
      </c>
      <c r="V791" s="2">
        <v>2.7051814421976101</v>
      </c>
      <c r="W791" s="2">
        <v>7.3669550033392097</v>
      </c>
      <c r="X791" s="2">
        <v>0</v>
      </c>
      <c r="Y791" s="2">
        <v>1.69622063766631</v>
      </c>
      <c r="Z791" s="2">
        <v>3.85250886465766</v>
      </c>
      <c r="AA791" s="3">
        <f t="shared" si="37"/>
        <v>38.056982808330396</v>
      </c>
      <c r="AB791" t="s">
        <v>45</v>
      </c>
      <c r="AC791">
        <v>17.170000000000002</v>
      </c>
      <c r="AD791">
        <v>22.07</v>
      </c>
      <c r="AE791">
        <v>17.34</v>
      </c>
      <c r="AF791">
        <v>70.73</v>
      </c>
      <c r="AG791">
        <v>10.41</v>
      </c>
      <c r="AH791">
        <v>40.729999999999997</v>
      </c>
      <c r="AI791">
        <v>46.72</v>
      </c>
      <c r="AJ791">
        <v>129.31</v>
      </c>
      <c r="AK791">
        <v>276.22000000000003</v>
      </c>
      <c r="AL791">
        <v>124.62</v>
      </c>
      <c r="AM791">
        <v>47.18</v>
      </c>
      <c r="AN791">
        <v>60.9</v>
      </c>
      <c r="AO791" s="1">
        <f t="shared" si="38"/>
        <v>863.4</v>
      </c>
    </row>
    <row r="792" spans="1:41" x14ac:dyDescent="0.25">
      <c r="A792" t="s">
        <v>835</v>
      </c>
      <c r="B792" s="2">
        <v>701.79568338218405</v>
      </c>
      <c r="C792" s="2">
        <v>9454.1101245747104</v>
      </c>
      <c r="D792" s="2">
        <v>2957.1877734781401</v>
      </c>
      <c r="E792" s="2">
        <v>2177.25483259467</v>
      </c>
      <c r="F792" s="2">
        <v>2572.25365515766</v>
      </c>
      <c r="G792" s="2">
        <v>0</v>
      </c>
      <c r="H792" s="2">
        <v>7140.6044501658398</v>
      </c>
      <c r="I792" s="2">
        <v>1710.2491379186899</v>
      </c>
      <c r="J792" s="2">
        <v>3094.8370616540301</v>
      </c>
      <c r="K792" s="2">
        <v>3700.3632642502498</v>
      </c>
      <c r="L792" s="2">
        <v>4079.1416658685198</v>
      </c>
      <c r="M792" s="2">
        <v>3320.6268355253701</v>
      </c>
      <c r="N792" s="3">
        <f t="shared" si="36"/>
        <v>40908.424484570067</v>
      </c>
      <c r="O792" s="2">
        <v>0.268176287223369</v>
      </c>
      <c r="P792" s="2">
        <v>6.4312849853574603</v>
      </c>
      <c r="Q792" s="2">
        <v>3.41576166292315</v>
      </c>
      <c r="R792" s="2">
        <v>0.81516385152360304</v>
      </c>
      <c r="S792" s="2">
        <v>7.0247829809389204</v>
      </c>
      <c r="T792" s="2">
        <v>5.20282530681851</v>
      </c>
      <c r="U792" s="2">
        <v>2.8619169516226499</v>
      </c>
      <c r="V792" s="2">
        <v>4.1223642161249501</v>
      </c>
      <c r="W792" s="2">
        <v>1.42259710195436</v>
      </c>
      <c r="X792" s="2">
        <v>3.3646267442350402</v>
      </c>
      <c r="Y792" s="2">
        <v>2.9707375261625901</v>
      </c>
      <c r="Z792" s="2">
        <v>11.5895874655528</v>
      </c>
      <c r="AA792" s="3">
        <f t="shared" si="37"/>
        <v>49.489825080437399</v>
      </c>
      <c r="AB792" t="s">
        <v>45</v>
      </c>
      <c r="AC792">
        <v>17.059999999999999</v>
      </c>
      <c r="AD792">
        <v>104.89</v>
      </c>
      <c r="AE792">
        <v>39.770000000000003</v>
      </c>
      <c r="AF792">
        <v>31.82</v>
      </c>
      <c r="AG792">
        <v>36.119999999999997</v>
      </c>
      <c r="AH792">
        <v>10.29</v>
      </c>
      <c r="AI792">
        <v>81.55</v>
      </c>
      <c r="AJ792">
        <v>27.35</v>
      </c>
      <c r="AK792">
        <v>41.04</v>
      </c>
      <c r="AL792">
        <v>47.2</v>
      </c>
      <c r="AM792">
        <v>50.94</v>
      </c>
      <c r="AN792">
        <v>43.8</v>
      </c>
      <c r="AO792" s="1">
        <f t="shared" si="38"/>
        <v>531.83000000000004</v>
      </c>
    </row>
    <row r="793" spans="1:41" x14ac:dyDescent="0.25">
      <c r="A793" t="s">
        <v>836</v>
      </c>
      <c r="B793" s="2">
        <v>698.374942831623</v>
      </c>
      <c r="C793" s="2">
        <v>3411.3013989802598</v>
      </c>
      <c r="D793" s="2">
        <v>2132.8538618859998</v>
      </c>
      <c r="E793" s="2">
        <v>1618.3319529820701</v>
      </c>
      <c r="F793" s="2">
        <v>715.96532627173701</v>
      </c>
      <c r="G793" s="2">
        <v>2348.76114300987</v>
      </c>
      <c r="H793" s="2">
        <v>2582.79088907101</v>
      </c>
      <c r="I793" s="2">
        <v>13483.783809212</v>
      </c>
      <c r="J793" s="2">
        <v>2785.7028346523998</v>
      </c>
      <c r="K793" s="2">
        <v>2639.0671153879598</v>
      </c>
      <c r="L793" s="2">
        <v>0</v>
      </c>
      <c r="M793" s="2">
        <v>5658.9268816355197</v>
      </c>
      <c r="N793" s="3">
        <f t="shared" si="36"/>
        <v>38075.860155920447</v>
      </c>
      <c r="O793" s="2">
        <v>2.3056625289072898</v>
      </c>
      <c r="P793" s="2">
        <v>0</v>
      </c>
      <c r="Q793" s="2">
        <v>10.958403696473001</v>
      </c>
      <c r="R793" s="2">
        <v>2.3600997524901302</v>
      </c>
      <c r="S793" s="2">
        <v>4.0584459732964104</v>
      </c>
      <c r="T793" s="2">
        <v>4.8091931275164699</v>
      </c>
      <c r="U793" s="2">
        <v>1.29678396635861</v>
      </c>
      <c r="V793" s="2">
        <v>5.3168998089876602</v>
      </c>
      <c r="W793" s="2">
        <v>0</v>
      </c>
      <c r="X793" s="2">
        <v>0.16090512317404401</v>
      </c>
      <c r="Y793" s="2">
        <v>1.1707583518206099</v>
      </c>
      <c r="Z793" s="2">
        <v>6.7410428992097096</v>
      </c>
      <c r="AA793" s="3">
        <f t="shared" si="37"/>
        <v>39.178195228233932</v>
      </c>
      <c r="AB793" t="s">
        <v>45</v>
      </c>
      <c r="AC793">
        <v>17.13</v>
      </c>
      <c r="AD793">
        <v>44.11</v>
      </c>
      <c r="AE793">
        <v>31.87</v>
      </c>
      <c r="AF793">
        <v>26.33</v>
      </c>
      <c r="AG793">
        <v>17.399999999999999</v>
      </c>
      <c r="AH793">
        <v>33.729999999999997</v>
      </c>
      <c r="AI793">
        <v>35.92</v>
      </c>
      <c r="AJ793">
        <v>145.13</v>
      </c>
      <c r="AK793">
        <v>37.85</v>
      </c>
      <c r="AL793">
        <v>36.44</v>
      </c>
      <c r="AM793">
        <v>10.09</v>
      </c>
      <c r="AN793">
        <v>66.930000000000007</v>
      </c>
      <c r="AO793" s="1">
        <f t="shared" si="38"/>
        <v>502.93</v>
      </c>
    </row>
    <row r="794" spans="1:41" x14ac:dyDescent="0.25">
      <c r="A794" t="s">
        <v>837</v>
      </c>
      <c r="B794" s="2">
        <v>694.37988319814497</v>
      </c>
      <c r="C794" s="2">
        <v>3269.0806830184902</v>
      </c>
      <c r="D794" s="2">
        <v>403.78246848406002</v>
      </c>
      <c r="E794" s="2">
        <v>2868.2148869994398</v>
      </c>
      <c r="F794" s="2">
        <v>894.04637732832498</v>
      </c>
      <c r="G794" s="2">
        <v>4734.7357108822398</v>
      </c>
      <c r="H794" s="2">
        <v>702.13359114688296</v>
      </c>
      <c r="I794" s="2">
        <v>3994.98346684342</v>
      </c>
      <c r="J794" s="2">
        <v>3348.7800428834498</v>
      </c>
      <c r="K794" s="2">
        <v>11891.0082030181</v>
      </c>
      <c r="L794" s="2">
        <v>8789.2415006556203</v>
      </c>
      <c r="M794" s="2">
        <v>555.68926663188699</v>
      </c>
      <c r="N794" s="3">
        <f t="shared" si="36"/>
        <v>42146.076081090061</v>
      </c>
      <c r="O794" s="2">
        <v>8.9499566477325097</v>
      </c>
      <c r="P794" s="2">
        <v>9.3784409293171596</v>
      </c>
      <c r="Q794" s="2">
        <v>1.70515763406035</v>
      </c>
      <c r="R794" s="2">
        <v>9.4554684369896904</v>
      </c>
      <c r="S794" s="2">
        <v>1.05725881683624</v>
      </c>
      <c r="T794" s="2">
        <v>1.9607695248600101</v>
      </c>
      <c r="U794" s="2">
        <v>3.5875748169528898</v>
      </c>
      <c r="V794" s="2">
        <v>9.3358521116326791</v>
      </c>
      <c r="W794" s="2">
        <v>6.0243360051211697E-2</v>
      </c>
      <c r="X794" s="2">
        <v>2.4960587747562601</v>
      </c>
      <c r="Y794" s="2">
        <v>6.1763103859592299</v>
      </c>
      <c r="Z794" s="2">
        <v>4.9098146131670104</v>
      </c>
      <c r="AA794" s="3">
        <f t="shared" si="37"/>
        <v>59.072906052315226</v>
      </c>
      <c r="AB794" t="s">
        <v>63</v>
      </c>
      <c r="AC794">
        <v>14.71</v>
      </c>
      <c r="AD794">
        <v>66.3</v>
      </c>
      <c r="AE794">
        <v>8.26</v>
      </c>
      <c r="AF794">
        <v>58.28</v>
      </c>
      <c r="AG794">
        <v>18.079999999999998</v>
      </c>
      <c r="AH794">
        <v>94.88</v>
      </c>
      <c r="AI794">
        <v>14.42</v>
      </c>
      <c r="AJ794">
        <v>80.8</v>
      </c>
      <c r="AK794">
        <v>67.069999999999993</v>
      </c>
      <c r="AL794">
        <v>238.11</v>
      </c>
      <c r="AM794">
        <v>176.43</v>
      </c>
      <c r="AN794">
        <v>11.57</v>
      </c>
      <c r="AO794" s="1">
        <f t="shared" si="38"/>
        <v>848.9100000000002</v>
      </c>
    </row>
    <row r="795" spans="1:41" x14ac:dyDescent="0.25">
      <c r="A795" t="s">
        <v>838</v>
      </c>
      <c r="B795" s="2">
        <v>690.70124467809103</v>
      </c>
      <c r="C795" s="2">
        <v>1160.12816880726</v>
      </c>
      <c r="D795" s="2">
        <v>3275.9814256837699</v>
      </c>
      <c r="E795" s="2">
        <v>0</v>
      </c>
      <c r="F795" s="2">
        <v>6129.2038207638898</v>
      </c>
      <c r="G795" s="2">
        <v>0</v>
      </c>
      <c r="H795" s="2">
        <v>1853.7878864755401</v>
      </c>
      <c r="I795" s="2">
        <v>5089.7167249209797</v>
      </c>
      <c r="J795" s="2">
        <v>2293.3121258566398</v>
      </c>
      <c r="K795" s="2">
        <v>1592.62245510558</v>
      </c>
      <c r="L795" s="2">
        <v>2622.2313594327402</v>
      </c>
      <c r="M795" s="2">
        <v>6249.2698289343398</v>
      </c>
      <c r="N795" s="3">
        <f t="shared" si="36"/>
        <v>30956.955040658828</v>
      </c>
      <c r="O795" s="2">
        <v>3.3965542188029301</v>
      </c>
      <c r="P795" s="2">
        <v>9.1419549683703902</v>
      </c>
      <c r="Q795" s="2">
        <v>3.3009076683467602</v>
      </c>
      <c r="R795" s="2">
        <v>5.44359224064433</v>
      </c>
      <c r="S795" s="2">
        <v>2.0606185068310401</v>
      </c>
      <c r="T795" s="2">
        <v>0</v>
      </c>
      <c r="U795" s="2">
        <v>2.4627961206992102</v>
      </c>
      <c r="V795" s="2">
        <v>1.29824065569744</v>
      </c>
      <c r="W795" s="2">
        <v>1.8508216615859601</v>
      </c>
      <c r="X795" s="2">
        <v>1.4082024422453301</v>
      </c>
      <c r="Y795" s="2">
        <v>2.8242612697427898</v>
      </c>
      <c r="Z795" s="2">
        <v>2.20665195809713</v>
      </c>
      <c r="AA795" s="3">
        <f t="shared" si="37"/>
        <v>35.394601711063316</v>
      </c>
      <c r="AB795" t="s">
        <v>63</v>
      </c>
      <c r="AC795">
        <v>14.18</v>
      </c>
      <c r="AD795">
        <v>24.12</v>
      </c>
      <c r="AE795">
        <v>65.88</v>
      </c>
      <c r="AF795">
        <v>0.54</v>
      </c>
      <c r="AG795">
        <v>122.87</v>
      </c>
      <c r="AH795">
        <v>0</v>
      </c>
      <c r="AI795">
        <v>37.35</v>
      </c>
      <c r="AJ795">
        <v>101.98</v>
      </c>
      <c r="AK795">
        <v>46.06</v>
      </c>
      <c r="AL795">
        <v>32.04</v>
      </c>
      <c r="AM795">
        <v>52.73</v>
      </c>
      <c r="AN795">
        <v>125.27</v>
      </c>
      <c r="AO795" s="1">
        <f t="shared" si="38"/>
        <v>623.0200000000001</v>
      </c>
    </row>
    <row r="796" spans="1:41" x14ac:dyDescent="0.25">
      <c r="A796" t="s">
        <v>839</v>
      </c>
      <c r="B796" s="2">
        <v>689.33179021968101</v>
      </c>
      <c r="C796" s="2">
        <v>0</v>
      </c>
      <c r="D796" s="2">
        <v>264.06636350567902</v>
      </c>
      <c r="E796" s="2">
        <v>1422.31938906498</v>
      </c>
      <c r="F796" s="2">
        <v>3089.1685320834099</v>
      </c>
      <c r="G796" s="2">
        <v>4552.3584547814598</v>
      </c>
      <c r="H796" s="2">
        <v>10819.733435296001</v>
      </c>
      <c r="I796" s="2">
        <v>10226.566854664899</v>
      </c>
      <c r="J796" s="2">
        <v>3804.0666190442598</v>
      </c>
      <c r="K796" s="2">
        <v>0</v>
      </c>
      <c r="L796" s="2">
        <v>1309.80693338892</v>
      </c>
      <c r="M796" s="2">
        <v>3030.8284520556599</v>
      </c>
      <c r="N796" s="3">
        <f t="shared" si="36"/>
        <v>39208.246824104957</v>
      </c>
      <c r="O796" s="2">
        <v>3.2432337090525798</v>
      </c>
      <c r="P796" s="2">
        <v>0.69459946018739804</v>
      </c>
      <c r="Q796" s="2">
        <v>5.2706768068976704</v>
      </c>
      <c r="R796" s="2">
        <v>5.7983296930908503</v>
      </c>
      <c r="S796" s="2">
        <v>0</v>
      </c>
      <c r="T796" s="2">
        <v>1.3773944422333799</v>
      </c>
      <c r="U796" s="2">
        <v>5.3358438626934399</v>
      </c>
      <c r="V796" s="2">
        <v>3.3395257097920301</v>
      </c>
      <c r="W796" s="2">
        <v>12.775183450996201</v>
      </c>
      <c r="X796" s="2">
        <v>5.4224211101397399</v>
      </c>
      <c r="Y796" s="2">
        <v>12.709370804325699</v>
      </c>
      <c r="Z796" s="2">
        <v>5.3123201742316999</v>
      </c>
      <c r="AA796" s="3">
        <f t="shared" si="37"/>
        <v>61.278899223640693</v>
      </c>
      <c r="AB796" t="s">
        <v>45</v>
      </c>
      <c r="AC796">
        <v>17.09</v>
      </c>
      <c r="AD796">
        <v>10.039999999999999</v>
      </c>
      <c r="AE796">
        <v>12.94</v>
      </c>
      <c r="AF796">
        <v>24.52</v>
      </c>
      <c r="AG796">
        <v>40.89</v>
      </c>
      <c r="AH796">
        <v>55.62</v>
      </c>
      <c r="AI796">
        <v>118.49</v>
      </c>
      <c r="AJ796">
        <v>112.46</v>
      </c>
      <c r="AK796">
        <v>48.69</v>
      </c>
      <c r="AL796">
        <v>10.29</v>
      </c>
      <c r="AM796">
        <v>23.74</v>
      </c>
      <c r="AN796">
        <v>40.6</v>
      </c>
      <c r="AO796" s="1">
        <f t="shared" si="38"/>
        <v>515.37</v>
      </c>
    </row>
    <row r="797" spans="1:41" x14ac:dyDescent="0.25">
      <c r="A797" t="s">
        <v>840</v>
      </c>
      <c r="B797" s="2">
        <v>680.11697689423397</v>
      </c>
      <c r="C797" s="2">
        <v>2273.5838490377901</v>
      </c>
      <c r="D797" s="2">
        <v>87.5213034863948</v>
      </c>
      <c r="E797" s="2">
        <v>755.32628165090705</v>
      </c>
      <c r="F797" s="2">
        <v>3584.0549037976598</v>
      </c>
      <c r="G797" s="2">
        <v>6718.1147340452399</v>
      </c>
      <c r="H797" s="2">
        <v>1671.7064119863101</v>
      </c>
      <c r="I797" s="2">
        <v>1321.28414452989</v>
      </c>
      <c r="J797" s="2">
        <v>6059.1045972208904</v>
      </c>
      <c r="K797" s="2">
        <v>8716.8076248247908</v>
      </c>
      <c r="L797" s="2">
        <v>1796.9679741653499</v>
      </c>
      <c r="M797" s="2">
        <v>124.528607374129</v>
      </c>
      <c r="N797" s="3">
        <f t="shared" si="36"/>
        <v>33789.11740901359</v>
      </c>
      <c r="O797" s="2">
        <v>0</v>
      </c>
      <c r="P797" s="2">
        <v>2.0181591228040801</v>
      </c>
      <c r="Q797" s="2">
        <v>2.2768032377888701</v>
      </c>
      <c r="R797" s="2">
        <v>4.1426496153790602</v>
      </c>
      <c r="S797" s="2">
        <v>5.4476628042291197E-2</v>
      </c>
      <c r="T797" s="2">
        <v>11.66169901822</v>
      </c>
      <c r="U797" s="2">
        <v>5.2476883005539801</v>
      </c>
      <c r="V797" s="2">
        <v>2.9991847559977001</v>
      </c>
      <c r="W797" s="2">
        <v>7.49952480036578</v>
      </c>
      <c r="X797" s="2">
        <v>0.63787876448546599</v>
      </c>
      <c r="Y797" s="2">
        <v>1.90322300400244</v>
      </c>
      <c r="Z797" s="2">
        <v>2.8091774980444502</v>
      </c>
      <c r="AA797" s="3">
        <f t="shared" si="37"/>
        <v>41.25046474568412</v>
      </c>
      <c r="AB797" t="s">
        <v>63</v>
      </c>
      <c r="AC797">
        <v>13.62</v>
      </c>
      <c r="AD797">
        <v>45.75</v>
      </c>
      <c r="AE797">
        <v>2.0299999999999998</v>
      </c>
      <c r="AF797">
        <v>15.57</v>
      </c>
      <c r="AG797">
        <v>71.790000000000006</v>
      </c>
      <c r="AH797">
        <v>135.46</v>
      </c>
      <c r="AI797">
        <v>33.979999999999997</v>
      </c>
      <c r="AJ797">
        <v>26.71</v>
      </c>
      <c r="AK797">
        <v>121.92</v>
      </c>
      <c r="AL797">
        <v>174.43</v>
      </c>
      <c r="AM797">
        <v>36.119999999999997</v>
      </c>
      <c r="AN797">
        <v>2.77</v>
      </c>
      <c r="AO797" s="1">
        <f t="shared" si="38"/>
        <v>680.15</v>
      </c>
    </row>
    <row r="798" spans="1:41" x14ac:dyDescent="0.25">
      <c r="A798" t="s">
        <v>841</v>
      </c>
      <c r="B798" s="2">
        <v>673.876793190527</v>
      </c>
      <c r="C798" s="2">
        <v>6639.8871265343296</v>
      </c>
      <c r="D798" s="2">
        <v>1145.20010506008</v>
      </c>
      <c r="E798" s="2">
        <v>2642.8424333463799</v>
      </c>
      <c r="F798" s="2">
        <v>5241.9953728032597</v>
      </c>
      <c r="G798" s="2">
        <v>5669.8099207775604</v>
      </c>
      <c r="H798" s="2">
        <v>4431.5588199654603</v>
      </c>
      <c r="I798" s="2">
        <v>1470.3861878126299</v>
      </c>
      <c r="J798" s="2">
        <v>5398.0203001950704</v>
      </c>
      <c r="K798" s="2">
        <v>4619.7375631377699</v>
      </c>
      <c r="L798" s="2">
        <v>5157.0364308174503</v>
      </c>
      <c r="M798" s="2">
        <v>156.82094738715199</v>
      </c>
      <c r="N798" s="3">
        <f t="shared" si="36"/>
        <v>43247.172001027677</v>
      </c>
      <c r="O798" s="2">
        <v>2.0238115141841102</v>
      </c>
      <c r="P798" s="2">
        <v>0.33851297429642202</v>
      </c>
      <c r="Q798" s="2">
        <v>6.5550516508352201</v>
      </c>
      <c r="R798" s="2">
        <v>0</v>
      </c>
      <c r="S798" s="2">
        <v>8.2948522382177394</v>
      </c>
      <c r="T798" s="2">
        <v>6.2688350021374601</v>
      </c>
      <c r="U798" s="2">
        <v>5.7657527111395002</v>
      </c>
      <c r="V798" s="2">
        <v>1.2058332974674899</v>
      </c>
      <c r="W798" s="2">
        <v>3.6356377657100798</v>
      </c>
      <c r="X798" s="2">
        <v>3.0270638868030901</v>
      </c>
      <c r="Y798" s="2">
        <v>5.7821447952085903</v>
      </c>
      <c r="Z798" s="2">
        <v>0</v>
      </c>
      <c r="AA798" s="3">
        <f t="shared" si="37"/>
        <v>42.897495835999706</v>
      </c>
      <c r="AB798" t="s">
        <v>45</v>
      </c>
      <c r="AC798">
        <v>16.88</v>
      </c>
      <c r="AD798">
        <v>76.44</v>
      </c>
      <c r="AE798">
        <v>21.8</v>
      </c>
      <c r="AF798">
        <v>36.42</v>
      </c>
      <c r="AG798">
        <v>62.86</v>
      </c>
      <c r="AH798">
        <v>67.040000000000006</v>
      </c>
      <c r="AI798">
        <v>54.61</v>
      </c>
      <c r="AJ798">
        <v>24.8</v>
      </c>
      <c r="AK798">
        <v>64.180000000000007</v>
      </c>
      <c r="AL798">
        <v>56.39</v>
      </c>
      <c r="AM798">
        <v>61.87</v>
      </c>
      <c r="AN798">
        <v>11.56</v>
      </c>
      <c r="AO798" s="1">
        <f t="shared" si="38"/>
        <v>554.84999999999991</v>
      </c>
    </row>
    <row r="799" spans="1:41" x14ac:dyDescent="0.25">
      <c r="A799" t="s">
        <v>842</v>
      </c>
      <c r="B799" s="2">
        <v>673.25605831436496</v>
      </c>
      <c r="C799" s="2">
        <v>0</v>
      </c>
      <c r="D799" s="2">
        <v>1519.6280796390799</v>
      </c>
      <c r="E799" s="2">
        <v>3600.2863890576</v>
      </c>
      <c r="F799" s="2">
        <v>8314.6879289011595</v>
      </c>
      <c r="G799" s="2">
        <v>563.92789647029804</v>
      </c>
      <c r="H799" s="2">
        <v>2731.7817782789198</v>
      </c>
      <c r="I799" s="2">
        <v>5122.8340568515196</v>
      </c>
      <c r="J799" s="2">
        <v>2054.9079024314601</v>
      </c>
      <c r="K799" s="2">
        <v>3028.9722868940999</v>
      </c>
      <c r="L799" s="2">
        <v>4578.2918807603201</v>
      </c>
      <c r="M799" s="2">
        <v>6955.9685068543104</v>
      </c>
      <c r="N799" s="3">
        <f t="shared" si="36"/>
        <v>39144.54276445313</v>
      </c>
      <c r="O799" s="2">
        <v>8.0017312117160899E-2</v>
      </c>
      <c r="P799" s="2">
        <v>4.9394339444976296</v>
      </c>
      <c r="Q799" s="2">
        <v>1.1334603069483</v>
      </c>
      <c r="R799" s="2">
        <v>2.3103368154244199</v>
      </c>
      <c r="S799" s="2">
        <v>0.20253794390711899</v>
      </c>
      <c r="T799" s="2">
        <v>0</v>
      </c>
      <c r="U799" s="2">
        <v>7.9345504032358898</v>
      </c>
      <c r="V799" s="2">
        <v>1.96542617633422</v>
      </c>
      <c r="W799" s="2">
        <v>11.079231440201299</v>
      </c>
      <c r="X799" s="2">
        <v>14.191895551906001</v>
      </c>
      <c r="Y799" s="2">
        <v>3.5995506111692102</v>
      </c>
      <c r="Z799" s="2">
        <v>1.4029330325417599</v>
      </c>
      <c r="AA799" s="3">
        <f t="shared" si="37"/>
        <v>48.839373538283006</v>
      </c>
      <c r="AB799" t="s">
        <v>45</v>
      </c>
      <c r="AC799">
        <v>16.78</v>
      </c>
      <c r="AD799">
        <v>10.24</v>
      </c>
      <c r="AE799">
        <v>25.29</v>
      </c>
      <c r="AF799">
        <v>46.15</v>
      </c>
      <c r="AG799">
        <v>93.19</v>
      </c>
      <c r="AH799">
        <v>15.63</v>
      </c>
      <c r="AI799">
        <v>37.71</v>
      </c>
      <c r="AJ799">
        <v>61.32</v>
      </c>
      <c r="AK799">
        <v>31.14</v>
      </c>
      <c r="AL799">
        <v>41.03</v>
      </c>
      <c r="AM799">
        <v>55.98</v>
      </c>
      <c r="AN799">
        <v>79.650000000000006</v>
      </c>
      <c r="AO799" s="1">
        <f t="shared" si="38"/>
        <v>514.11</v>
      </c>
    </row>
    <row r="800" spans="1:41" x14ac:dyDescent="0.25">
      <c r="A800" t="s">
        <v>843</v>
      </c>
      <c r="B800" s="2">
        <v>667.09353404220997</v>
      </c>
      <c r="C800" s="2">
        <v>3570.3946688116598</v>
      </c>
      <c r="D800" s="2">
        <v>7786.6668316294599</v>
      </c>
      <c r="E800" s="2">
        <v>838.03086784328298</v>
      </c>
      <c r="F800" s="2">
        <v>2179.80765521686</v>
      </c>
      <c r="G800" s="2">
        <v>276.30563125166299</v>
      </c>
      <c r="H800" s="2">
        <v>1218.5697831079999</v>
      </c>
      <c r="I800" s="2">
        <v>4858.9970991523196</v>
      </c>
      <c r="J800" s="2">
        <v>4751.8852193285202</v>
      </c>
      <c r="K800" s="2">
        <v>5522.2882307381897</v>
      </c>
      <c r="L800" s="2">
        <v>1872.63312449008</v>
      </c>
      <c r="M800" s="2">
        <v>7503.0256576018701</v>
      </c>
      <c r="N800" s="3">
        <f t="shared" si="36"/>
        <v>41045.698303214122</v>
      </c>
      <c r="O800" s="2">
        <v>4.3723712175714198</v>
      </c>
      <c r="P800" s="2">
        <v>1.7738755402898201</v>
      </c>
      <c r="Q800" s="2">
        <v>2.3294642606598401</v>
      </c>
      <c r="R800" s="2">
        <v>4.3356278291752801</v>
      </c>
      <c r="S800" s="2">
        <v>0.53106993800669799</v>
      </c>
      <c r="T800" s="2">
        <v>2.60459741705492</v>
      </c>
      <c r="U800" s="2">
        <v>3.5143092075322602</v>
      </c>
      <c r="V800" s="2">
        <v>2.2107748400292402</v>
      </c>
      <c r="W800" s="2">
        <v>6.9791902688412097</v>
      </c>
      <c r="X800" s="2">
        <v>4.6356994702714998</v>
      </c>
      <c r="Y800" s="2">
        <v>11.720970025396101</v>
      </c>
      <c r="Z800" s="2">
        <v>1.04283040881995</v>
      </c>
      <c r="AA800" s="3">
        <f t="shared" si="37"/>
        <v>46.050780423648241</v>
      </c>
      <c r="AB800" t="s">
        <v>45</v>
      </c>
      <c r="AC800">
        <v>16.920000000000002</v>
      </c>
      <c r="AD800">
        <v>45.8</v>
      </c>
      <c r="AE800">
        <v>88.01</v>
      </c>
      <c r="AF800">
        <v>18.63</v>
      </c>
      <c r="AG800">
        <v>31.84</v>
      </c>
      <c r="AH800">
        <v>12.91</v>
      </c>
      <c r="AI800">
        <v>22.38</v>
      </c>
      <c r="AJ800">
        <v>58.73</v>
      </c>
      <c r="AK800">
        <v>57.86</v>
      </c>
      <c r="AL800">
        <v>65.47</v>
      </c>
      <c r="AM800">
        <v>29.32</v>
      </c>
      <c r="AN800">
        <v>85.13</v>
      </c>
      <c r="AO800" s="1">
        <f t="shared" si="38"/>
        <v>533</v>
      </c>
    </row>
    <row r="801" spans="1:41" x14ac:dyDescent="0.25">
      <c r="A801" t="s">
        <v>844</v>
      </c>
      <c r="B801" s="2">
        <v>660.46205745256805</v>
      </c>
      <c r="C801" s="2">
        <v>3422.9272404436001</v>
      </c>
      <c r="D801" s="2">
        <v>16959.662251892601</v>
      </c>
      <c r="E801" s="2">
        <v>3877.7048460749302</v>
      </c>
      <c r="F801" s="2">
        <v>1206.48371905314</v>
      </c>
      <c r="G801" s="2">
        <v>3281.1406864864002</v>
      </c>
      <c r="H801" s="2">
        <v>0</v>
      </c>
      <c r="I801" s="2">
        <v>94.865691841032103</v>
      </c>
      <c r="J801" s="2">
        <v>1887.8489479269999</v>
      </c>
      <c r="K801" s="2">
        <v>183.124216441654</v>
      </c>
      <c r="L801" s="2">
        <v>5403.4005380865001</v>
      </c>
      <c r="M801" s="2">
        <v>1004.20069400216</v>
      </c>
      <c r="N801" s="3">
        <f t="shared" si="36"/>
        <v>37981.820889701579</v>
      </c>
      <c r="O801" s="2">
        <v>0.65551993991438695</v>
      </c>
      <c r="P801" s="2">
        <v>0</v>
      </c>
      <c r="Q801" s="2">
        <v>13.9658402754433</v>
      </c>
      <c r="R801" s="2">
        <v>0</v>
      </c>
      <c r="S801" s="2">
        <v>4.8507333371153898</v>
      </c>
      <c r="T801" s="2">
        <v>0.77158050648092902</v>
      </c>
      <c r="U801" s="2">
        <v>0</v>
      </c>
      <c r="V801" s="2">
        <v>3.5675661235567402</v>
      </c>
      <c r="W801" s="2">
        <v>1.16721374627904</v>
      </c>
      <c r="X801" s="2">
        <v>10.912335901615901</v>
      </c>
      <c r="Y801" s="2">
        <v>10.455370895838699</v>
      </c>
      <c r="Z801" s="2">
        <v>7.4790344173576599</v>
      </c>
      <c r="AA801" s="3">
        <f t="shared" si="37"/>
        <v>53.825195143602045</v>
      </c>
      <c r="AB801" t="s">
        <v>45</v>
      </c>
      <c r="AC801">
        <v>16.649999999999999</v>
      </c>
      <c r="AD801">
        <v>44.22</v>
      </c>
      <c r="AE801">
        <v>180.29</v>
      </c>
      <c r="AF801">
        <v>48.77</v>
      </c>
      <c r="AG801">
        <v>22.31</v>
      </c>
      <c r="AH801">
        <v>42.86</v>
      </c>
      <c r="AI801">
        <v>9.99</v>
      </c>
      <c r="AJ801">
        <v>11.14</v>
      </c>
      <c r="AK801">
        <v>28.97</v>
      </c>
      <c r="AL801">
        <v>12.38</v>
      </c>
      <c r="AM801">
        <v>64.58</v>
      </c>
      <c r="AN801">
        <v>20.440000000000001</v>
      </c>
      <c r="AO801" s="1">
        <f t="shared" si="38"/>
        <v>502.6</v>
      </c>
    </row>
    <row r="802" spans="1:41" x14ac:dyDescent="0.25">
      <c r="A802" t="s">
        <v>845</v>
      </c>
      <c r="B802" s="2">
        <v>659.11976056452295</v>
      </c>
      <c r="C802" s="2">
        <v>2204.3150509749298</v>
      </c>
      <c r="D802" s="2">
        <v>4705.9647515284996</v>
      </c>
      <c r="E802" s="2">
        <v>3976.7312046696502</v>
      </c>
      <c r="F802" s="2">
        <v>1354.57822693713</v>
      </c>
      <c r="G802" s="2">
        <v>1449.2623818244499</v>
      </c>
      <c r="H802" s="2">
        <v>1611.56034438239</v>
      </c>
      <c r="I802" s="2">
        <v>8795.8226084210091</v>
      </c>
      <c r="J802" s="2">
        <v>1601.2836623941701</v>
      </c>
      <c r="K802" s="2">
        <v>540.19217055449894</v>
      </c>
      <c r="L802" s="2">
        <v>188.404963397405</v>
      </c>
      <c r="M802" s="2">
        <v>10777.054321842201</v>
      </c>
      <c r="N802" s="3">
        <f t="shared" si="36"/>
        <v>37864.289447490853</v>
      </c>
      <c r="O802" s="2">
        <v>4.1247722185534501</v>
      </c>
      <c r="P802" s="2">
        <v>0.58282612854954496</v>
      </c>
      <c r="Q802" s="2">
        <v>0</v>
      </c>
      <c r="R802" s="2">
        <v>3.20862960356023</v>
      </c>
      <c r="S802" s="2">
        <v>0.77723958934051696</v>
      </c>
      <c r="T802" s="2">
        <v>4.6924311842453603</v>
      </c>
      <c r="U802" s="2">
        <v>4.6877297781272702</v>
      </c>
      <c r="V802" s="2">
        <v>1.25558670092964</v>
      </c>
      <c r="W802" s="2">
        <v>3.1824208161902501</v>
      </c>
      <c r="X802" s="2">
        <v>0</v>
      </c>
      <c r="Y802" s="2">
        <v>2.6884056900337199</v>
      </c>
      <c r="Z802" s="2">
        <v>2.7098182502013599</v>
      </c>
      <c r="AA802" s="3">
        <f t="shared" si="37"/>
        <v>27.909859959731342</v>
      </c>
      <c r="AB802" t="s">
        <v>45</v>
      </c>
      <c r="AC802">
        <v>16.84</v>
      </c>
      <c r="AD802">
        <v>32.090000000000003</v>
      </c>
      <c r="AE802">
        <v>57.05</v>
      </c>
      <c r="AF802">
        <v>49.96</v>
      </c>
      <c r="AG802">
        <v>23.59</v>
      </c>
      <c r="AH802">
        <v>24.74</v>
      </c>
      <c r="AI802">
        <v>26.36</v>
      </c>
      <c r="AJ802">
        <v>98.05</v>
      </c>
      <c r="AK802">
        <v>26.21</v>
      </c>
      <c r="AL802">
        <v>15.4</v>
      </c>
      <c r="AM802">
        <v>12.03</v>
      </c>
      <c r="AN802">
        <v>117.92</v>
      </c>
      <c r="AO802" s="1">
        <f t="shared" si="38"/>
        <v>500.23999999999995</v>
      </c>
    </row>
    <row r="803" spans="1:41" x14ac:dyDescent="0.25">
      <c r="A803" t="s">
        <v>846</v>
      </c>
      <c r="B803" s="2">
        <v>646.63562947037599</v>
      </c>
      <c r="C803" s="2">
        <v>761.42283200488203</v>
      </c>
      <c r="D803" s="2">
        <v>906.49296754312502</v>
      </c>
      <c r="E803" s="2">
        <v>109.620354851401</v>
      </c>
      <c r="F803" s="2">
        <v>4287.1882861516897</v>
      </c>
      <c r="G803" s="2">
        <v>1218.01203484857</v>
      </c>
      <c r="H803" s="2">
        <v>295.41304429804597</v>
      </c>
      <c r="I803" s="2">
        <v>4986.8008419390699</v>
      </c>
      <c r="J803" s="2">
        <v>6469.5852279165401</v>
      </c>
      <c r="K803" s="2">
        <v>0</v>
      </c>
      <c r="L803" s="2">
        <v>1133.5551754862599</v>
      </c>
      <c r="M803" s="2">
        <v>9674.2878963794592</v>
      </c>
      <c r="N803" s="3">
        <f t="shared" si="36"/>
        <v>30489.014290889419</v>
      </c>
      <c r="O803" s="2">
        <v>3.4296469223244901</v>
      </c>
      <c r="P803" s="2">
        <v>6.1678415621759797</v>
      </c>
      <c r="Q803" s="2">
        <v>1.8462710275748999</v>
      </c>
      <c r="R803" s="2">
        <v>3.64653104996794</v>
      </c>
      <c r="S803" s="2">
        <v>1.0442124330823901</v>
      </c>
      <c r="T803" s="2">
        <v>1.93360356670439</v>
      </c>
      <c r="U803" s="2">
        <v>5.8173344810621401</v>
      </c>
      <c r="V803" s="2">
        <v>0.57680592217864501</v>
      </c>
      <c r="W803" s="2">
        <v>0.60191931101566898</v>
      </c>
      <c r="X803" s="2">
        <v>10.433321380134201</v>
      </c>
      <c r="Y803" s="2">
        <v>0</v>
      </c>
      <c r="Z803" s="2">
        <v>3.66065001704622</v>
      </c>
      <c r="AA803" s="3">
        <f t="shared" si="37"/>
        <v>39.158137673266971</v>
      </c>
      <c r="AB803" t="s">
        <v>63</v>
      </c>
      <c r="AC803">
        <v>13.3</v>
      </c>
      <c r="AD803">
        <v>15.87</v>
      </c>
      <c r="AE803">
        <v>18.32</v>
      </c>
      <c r="AF803">
        <v>2.56</v>
      </c>
      <c r="AG803">
        <v>85.94</v>
      </c>
      <c r="AH803">
        <v>24.56</v>
      </c>
      <c r="AI803">
        <v>6.46</v>
      </c>
      <c r="AJ803">
        <v>99.83</v>
      </c>
      <c r="AK803">
        <v>129.49</v>
      </c>
      <c r="AL803">
        <v>0.99</v>
      </c>
      <c r="AM803">
        <v>22.68</v>
      </c>
      <c r="AN803">
        <v>193.86</v>
      </c>
      <c r="AO803" s="1">
        <f t="shared" si="38"/>
        <v>613.86000000000013</v>
      </c>
    </row>
    <row r="804" spans="1:41" x14ac:dyDescent="0.25">
      <c r="A804" t="s">
        <v>847</v>
      </c>
      <c r="B804" s="2">
        <v>643.36871259284305</v>
      </c>
      <c r="C804" s="2">
        <v>181.82508999321999</v>
      </c>
      <c r="D804" s="2">
        <v>8266.3217139110693</v>
      </c>
      <c r="E804" s="2">
        <v>3886.21099751466</v>
      </c>
      <c r="F804" s="2">
        <v>2423.7273780865798</v>
      </c>
      <c r="G804" s="2">
        <v>0</v>
      </c>
      <c r="H804" s="2">
        <v>2425.6954061123301</v>
      </c>
      <c r="I804" s="2">
        <v>1772.47976610981</v>
      </c>
      <c r="J804" s="2">
        <v>550.83909506827899</v>
      </c>
      <c r="K804" s="2">
        <v>5877.5486097896001</v>
      </c>
      <c r="L804" s="2">
        <v>0</v>
      </c>
      <c r="M804" s="2">
        <v>4013.4560762999899</v>
      </c>
      <c r="N804" s="3">
        <f t="shared" si="36"/>
        <v>30041.47284547838</v>
      </c>
      <c r="O804" s="2">
        <v>3.5065706441356399</v>
      </c>
      <c r="P804" s="2">
        <v>9.7691460540369093</v>
      </c>
      <c r="Q804" s="2">
        <v>8.71345280652897</v>
      </c>
      <c r="R804" s="2">
        <v>3.3013100205199799</v>
      </c>
      <c r="S804" s="2">
        <v>1.1058922820347701</v>
      </c>
      <c r="T804" s="2">
        <v>4.2148275569126001</v>
      </c>
      <c r="U804" s="2">
        <v>5.7022427436507197</v>
      </c>
      <c r="V804" s="2">
        <v>0</v>
      </c>
      <c r="W804" s="2">
        <v>19.007468145259001</v>
      </c>
      <c r="X804" s="2">
        <v>1.54107683160617</v>
      </c>
      <c r="Y804" s="2">
        <v>1.5160032724139301</v>
      </c>
      <c r="Z804" s="2">
        <v>9.2967338982723309</v>
      </c>
      <c r="AA804" s="3">
        <f t="shared" si="37"/>
        <v>67.674724255371032</v>
      </c>
      <c r="AB804" t="s">
        <v>63</v>
      </c>
      <c r="AC804">
        <v>13.24</v>
      </c>
      <c r="AD804">
        <v>4.54</v>
      </c>
      <c r="AE804">
        <v>166.15</v>
      </c>
      <c r="AF804">
        <v>78.099999999999994</v>
      </c>
      <c r="AG804">
        <v>48.66</v>
      </c>
      <c r="AH804">
        <v>0.45</v>
      </c>
      <c r="AI804">
        <v>49.06</v>
      </c>
      <c r="AJ804">
        <v>35.46</v>
      </c>
      <c r="AK804">
        <v>12.82</v>
      </c>
      <c r="AL804">
        <v>117.74</v>
      </c>
      <c r="AM804">
        <v>0.18</v>
      </c>
      <c r="AN804">
        <v>81.180000000000007</v>
      </c>
      <c r="AO804" s="1">
        <f t="shared" si="38"/>
        <v>607.57999999999993</v>
      </c>
    </row>
    <row r="805" spans="1:41" x14ac:dyDescent="0.25">
      <c r="A805" t="s">
        <v>848</v>
      </c>
      <c r="B805" s="2">
        <v>642.52777978778397</v>
      </c>
      <c r="C805" s="2">
        <v>248.189468317859</v>
      </c>
      <c r="D805" s="2">
        <v>5080.2501839344905</v>
      </c>
      <c r="E805" s="2">
        <v>629.75083248268402</v>
      </c>
      <c r="F805" s="2">
        <v>1213.8589468760599</v>
      </c>
      <c r="G805" s="2">
        <v>4174.0177435047899</v>
      </c>
      <c r="H805" s="2">
        <v>2027.7545841260701</v>
      </c>
      <c r="I805" s="2">
        <v>14467.5513936397</v>
      </c>
      <c r="J805" s="2">
        <v>4958.3769802161296</v>
      </c>
      <c r="K805" s="2">
        <v>5309.6836838403897</v>
      </c>
      <c r="L805" s="2">
        <v>739.52293978677199</v>
      </c>
      <c r="M805" s="2">
        <v>150.74846738609</v>
      </c>
      <c r="N805" s="3">
        <f t="shared" si="36"/>
        <v>39642.233003898815</v>
      </c>
      <c r="O805" s="2">
        <v>6.75691926784146</v>
      </c>
      <c r="P805" s="2">
        <v>3.2386993802738702</v>
      </c>
      <c r="Q805" s="2">
        <v>0</v>
      </c>
      <c r="R805" s="2">
        <v>2.6054957234562401</v>
      </c>
      <c r="S805" s="2">
        <v>5.4653383561267503</v>
      </c>
      <c r="T805" s="2">
        <v>6.3509273614836497</v>
      </c>
      <c r="U805" s="2">
        <v>2.9206206094637501</v>
      </c>
      <c r="V805" s="2">
        <v>1.4571620731952299</v>
      </c>
      <c r="W805" s="2">
        <v>7.1948960149779904</v>
      </c>
      <c r="X805" s="2">
        <v>3.6330296313005199</v>
      </c>
      <c r="Y805" s="2">
        <v>2.3479590328940798</v>
      </c>
      <c r="Z805" s="2">
        <v>2.40773277236765</v>
      </c>
      <c r="AA805" s="3">
        <f t="shared" si="37"/>
        <v>44.378780223381199</v>
      </c>
      <c r="AB805" t="s">
        <v>45</v>
      </c>
      <c r="AC805">
        <v>16.77</v>
      </c>
      <c r="AD805">
        <v>12.68</v>
      </c>
      <c r="AE805">
        <v>60.8</v>
      </c>
      <c r="AF805">
        <v>16.440000000000001</v>
      </c>
      <c r="AG805">
        <v>22.43</v>
      </c>
      <c r="AH805">
        <v>52.09</v>
      </c>
      <c r="AI805">
        <v>30.42</v>
      </c>
      <c r="AJ805">
        <v>154.77000000000001</v>
      </c>
      <c r="AK805">
        <v>59.98</v>
      </c>
      <c r="AL805">
        <v>63.29</v>
      </c>
      <c r="AM805">
        <v>17.54</v>
      </c>
      <c r="AN805">
        <v>11.65</v>
      </c>
      <c r="AO805" s="1">
        <f t="shared" si="38"/>
        <v>518.86</v>
      </c>
    </row>
    <row r="806" spans="1:41" x14ac:dyDescent="0.25">
      <c r="A806" t="s">
        <v>849</v>
      </c>
      <c r="B806" s="2">
        <v>625.11385604860595</v>
      </c>
      <c r="C806" s="2">
        <v>2285.7416208147702</v>
      </c>
      <c r="D806" s="2">
        <v>980.82582423041595</v>
      </c>
      <c r="E806" s="2">
        <v>1932.67837967782</v>
      </c>
      <c r="F806" s="2">
        <v>1335.0196785271401</v>
      </c>
      <c r="G806" s="2">
        <v>5800.3883409636801</v>
      </c>
      <c r="H806" s="2">
        <v>607.93020960275305</v>
      </c>
      <c r="I806" s="2">
        <v>3546.4605138934598</v>
      </c>
      <c r="J806" s="2">
        <v>793.74139141749799</v>
      </c>
      <c r="K806" s="2">
        <v>13467.1996624724</v>
      </c>
      <c r="L806" s="2">
        <v>1475.8670300377</v>
      </c>
      <c r="M806" s="2">
        <v>6291.4236359993301</v>
      </c>
      <c r="N806" s="3">
        <f t="shared" si="36"/>
        <v>39142.390143685574</v>
      </c>
      <c r="O806" s="2">
        <v>3.7869609757160898</v>
      </c>
      <c r="P806" s="2">
        <v>1.02619397938483</v>
      </c>
      <c r="Q806" s="2">
        <v>1.4522267552385899</v>
      </c>
      <c r="R806" s="2">
        <v>0.18259942644263599</v>
      </c>
      <c r="S806" s="2">
        <v>2.3807636888023</v>
      </c>
      <c r="T806" s="2">
        <v>0.73701170337102495</v>
      </c>
      <c r="U806" s="2">
        <v>0.91018271261069295</v>
      </c>
      <c r="V806" s="2">
        <v>0.63765524020474396</v>
      </c>
      <c r="W806" s="2">
        <v>11.1023200128116</v>
      </c>
      <c r="X806" s="2">
        <v>4.5500812260549903</v>
      </c>
      <c r="Y806" s="2">
        <v>8.6108918111420198</v>
      </c>
      <c r="Z806" s="2">
        <v>4.1286133298388297</v>
      </c>
      <c r="AA806" s="3">
        <f t="shared" si="37"/>
        <v>39.505500861618344</v>
      </c>
      <c r="AB806" t="s">
        <v>45</v>
      </c>
      <c r="AC806">
        <v>16.45</v>
      </c>
      <c r="AD806">
        <v>32.950000000000003</v>
      </c>
      <c r="AE806">
        <v>19.899999999999999</v>
      </c>
      <c r="AF806">
        <v>29.37</v>
      </c>
      <c r="AG806">
        <v>23.5</v>
      </c>
      <c r="AH806">
        <v>68.05</v>
      </c>
      <c r="AI806">
        <v>16.12</v>
      </c>
      <c r="AJ806">
        <v>45.51</v>
      </c>
      <c r="AK806">
        <v>18.53</v>
      </c>
      <c r="AL806">
        <v>144.91999999999999</v>
      </c>
      <c r="AM806">
        <v>25.2</v>
      </c>
      <c r="AN806">
        <v>73.16</v>
      </c>
      <c r="AO806" s="1">
        <f t="shared" si="38"/>
        <v>513.66</v>
      </c>
    </row>
    <row r="807" spans="1:41" x14ac:dyDescent="0.25">
      <c r="A807" t="s">
        <v>850</v>
      </c>
      <c r="B807" s="2">
        <v>616.31715269038705</v>
      </c>
      <c r="C807" s="2">
        <v>3286.26170060819</v>
      </c>
      <c r="D807" s="2">
        <v>555.70816626103897</v>
      </c>
      <c r="E807" s="2">
        <v>2286.5155630801801</v>
      </c>
      <c r="F807" s="2">
        <v>715.78909794721903</v>
      </c>
      <c r="G807" s="2">
        <v>7469.5334012694802</v>
      </c>
      <c r="H807" s="2">
        <v>1161.3809451213001</v>
      </c>
      <c r="I807" s="2">
        <v>7225.9934268306997</v>
      </c>
      <c r="J807" s="2">
        <v>773.86948128677102</v>
      </c>
      <c r="K807" s="2">
        <v>596.59425256816803</v>
      </c>
      <c r="L807" s="2">
        <v>267.01623428783802</v>
      </c>
      <c r="M807" s="2">
        <v>860.75637268097398</v>
      </c>
      <c r="N807" s="3">
        <f t="shared" si="36"/>
        <v>25815.735794632248</v>
      </c>
      <c r="O807" s="2">
        <v>0</v>
      </c>
      <c r="P807" s="2">
        <v>3.2927698840046999</v>
      </c>
      <c r="Q807" s="2">
        <v>11.7231459123061</v>
      </c>
      <c r="R807" s="2">
        <v>3.5467451879471201</v>
      </c>
      <c r="S807" s="2">
        <v>2.6289053090322398</v>
      </c>
      <c r="T807" s="2">
        <v>5.3023544694920099</v>
      </c>
      <c r="U807" s="2">
        <v>0.87026087332876101</v>
      </c>
      <c r="V807" s="2">
        <v>1.63400635907003</v>
      </c>
      <c r="W807" s="2">
        <v>23.451341054119801</v>
      </c>
      <c r="X807" s="2">
        <v>5.4465532444631002</v>
      </c>
      <c r="Y807" s="2">
        <v>3.5951180082749099</v>
      </c>
      <c r="Z807" s="2">
        <v>2.1529883277747901</v>
      </c>
      <c r="AA807" s="3">
        <f t="shared" si="37"/>
        <v>63.64418862981357</v>
      </c>
      <c r="AB807" t="s">
        <v>63</v>
      </c>
      <c r="AC807">
        <v>12.34</v>
      </c>
      <c r="AD807">
        <v>66.099999999999994</v>
      </c>
      <c r="AE807">
        <v>12.2</v>
      </c>
      <c r="AF807">
        <v>46.1</v>
      </c>
      <c r="AG807">
        <v>14.59</v>
      </c>
      <c r="AH807">
        <v>149.94</v>
      </c>
      <c r="AI807">
        <v>23.33</v>
      </c>
      <c r="AJ807">
        <v>144.69999999999999</v>
      </c>
      <c r="AK807">
        <v>17.64</v>
      </c>
      <c r="AL807">
        <v>12.48</v>
      </c>
      <c r="AM807">
        <v>5.72</v>
      </c>
      <c r="AN807">
        <v>17.489999999999998</v>
      </c>
      <c r="AO807" s="1">
        <f t="shared" si="38"/>
        <v>522.63</v>
      </c>
    </row>
    <row r="808" spans="1:41" x14ac:dyDescent="0.25">
      <c r="A808" t="s">
        <v>851</v>
      </c>
      <c r="B808" s="2">
        <v>607.22582706026799</v>
      </c>
      <c r="C808" s="2">
        <v>3503.6313362567398</v>
      </c>
      <c r="D808" s="2">
        <v>1769.17758526117</v>
      </c>
      <c r="E808" s="2">
        <v>4118.0219507582297</v>
      </c>
      <c r="F808" s="2">
        <v>1614.3468028105101</v>
      </c>
      <c r="G808" s="2">
        <v>5319.3410998202598</v>
      </c>
      <c r="H808" s="2">
        <v>173.44293051550801</v>
      </c>
      <c r="I808" s="2">
        <v>7168.0681457754499</v>
      </c>
      <c r="J808" s="2">
        <v>6504.6283499322099</v>
      </c>
      <c r="K808" s="2">
        <v>4508.0377738289299</v>
      </c>
      <c r="L808" s="2">
        <v>0</v>
      </c>
      <c r="M808" s="2">
        <v>765.54303598317995</v>
      </c>
      <c r="N808" s="3">
        <f t="shared" si="36"/>
        <v>36051.464838002452</v>
      </c>
      <c r="O808" s="2">
        <v>4.9042115806829196</v>
      </c>
      <c r="P808" s="2">
        <v>0.22239523957445001</v>
      </c>
      <c r="Q808" s="2">
        <v>3.07165915629658</v>
      </c>
      <c r="R808" s="2">
        <v>7.1344509615840801</v>
      </c>
      <c r="S808" s="2">
        <v>1.84318811712889</v>
      </c>
      <c r="T808" s="2">
        <v>1.3703915435215299</v>
      </c>
      <c r="U808" s="2">
        <v>0.80147004038659098</v>
      </c>
      <c r="V808" s="2">
        <v>4.9623009810411496</v>
      </c>
      <c r="W808" s="2">
        <v>8.0587130773721896</v>
      </c>
      <c r="X808" s="2">
        <v>1.6714081224850901</v>
      </c>
      <c r="Y808" s="2">
        <v>4.5704397199637201</v>
      </c>
      <c r="Z808" s="2">
        <v>1.9877933830051799</v>
      </c>
      <c r="AA808" s="3">
        <f t="shared" si="37"/>
        <v>40.598421923042373</v>
      </c>
      <c r="AB808" t="s">
        <v>45</v>
      </c>
      <c r="AC808">
        <v>16.32</v>
      </c>
      <c r="AD808">
        <v>45.08</v>
      </c>
      <c r="AE808">
        <v>27.89</v>
      </c>
      <c r="AF808">
        <v>51.58</v>
      </c>
      <c r="AG808">
        <v>26.24</v>
      </c>
      <c r="AH808">
        <v>63.29</v>
      </c>
      <c r="AI808">
        <v>11.78</v>
      </c>
      <c r="AJ808">
        <v>81.93</v>
      </c>
      <c r="AK808">
        <v>75.489999999999995</v>
      </c>
      <c r="AL808">
        <v>55.18</v>
      </c>
      <c r="AM808">
        <v>10.24</v>
      </c>
      <c r="AN808">
        <v>17.75</v>
      </c>
      <c r="AO808" s="1">
        <f t="shared" si="38"/>
        <v>482.77000000000004</v>
      </c>
    </row>
    <row r="809" spans="1:41" x14ac:dyDescent="0.25">
      <c r="A809" t="s">
        <v>852</v>
      </c>
      <c r="B809" s="2">
        <v>607.05699329772995</v>
      </c>
      <c r="C809" s="2">
        <v>1748.7581490492901</v>
      </c>
      <c r="D809" s="2">
        <v>3561.6029191595999</v>
      </c>
      <c r="E809" s="2">
        <v>2664.2201271378199</v>
      </c>
      <c r="F809" s="2">
        <v>2225.8391355252002</v>
      </c>
      <c r="G809" s="2">
        <v>919.29750345636603</v>
      </c>
      <c r="H809" s="2">
        <v>3035.46694929675</v>
      </c>
      <c r="I809" s="2">
        <v>5676.2546324873201</v>
      </c>
      <c r="J809" s="2">
        <v>7717.0177791499</v>
      </c>
      <c r="K809" s="2">
        <v>1697.7410955610701</v>
      </c>
      <c r="L809" s="2">
        <v>2774.41869030926</v>
      </c>
      <c r="M809" s="2">
        <v>6921.46415091783</v>
      </c>
      <c r="N809" s="3">
        <f t="shared" si="36"/>
        <v>39549.138125348138</v>
      </c>
      <c r="O809" s="2">
        <v>3.3696588545350998</v>
      </c>
      <c r="P809" s="2">
        <v>0</v>
      </c>
      <c r="Q809" s="2">
        <v>0</v>
      </c>
      <c r="R809" s="2">
        <v>0</v>
      </c>
      <c r="S809" s="2">
        <v>2.4170145298044301</v>
      </c>
      <c r="T809" s="2">
        <v>3.7760112031308299</v>
      </c>
      <c r="U809" s="2">
        <v>0</v>
      </c>
      <c r="V809" s="2">
        <v>3.4755837547271602</v>
      </c>
      <c r="W809" s="2">
        <v>2.6985410464227702</v>
      </c>
      <c r="X809" s="2">
        <v>3.4674530408525599</v>
      </c>
      <c r="Y809" s="2">
        <v>9.0885120742046605E-2</v>
      </c>
      <c r="Z809" s="2">
        <v>2.0304140987003199</v>
      </c>
      <c r="AA809" s="3">
        <f t="shared" si="37"/>
        <v>21.325561648915215</v>
      </c>
      <c r="AB809" t="s">
        <v>45</v>
      </c>
      <c r="AC809">
        <v>16.27</v>
      </c>
      <c r="AD809">
        <v>27.48</v>
      </c>
      <c r="AE809">
        <v>45.61</v>
      </c>
      <c r="AF809">
        <v>36.64</v>
      </c>
      <c r="AG809">
        <v>32.4</v>
      </c>
      <c r="AH809">
        <v>19.39</v>
      </c>
      <c r="AI809">
        <v>40.35</v>
      </c>
      <c r="AJ809">
        <v>66.959999999999994</v>
      </c>
      <c r="AK809">
        <v>87.32</v>
      </c>
      <c r="AL809">
        <v>27.17</v>
      </c>
      <c r="AM809">
        <v>37.79</v>
      </c>
      <c r="AN809">
        <v>79.36</v>
      </c>
      <c r="AO809" s="1">
        <f t="shared" si="38"/>
        <v>516.74</v>
      </c>
    </row>
    <row r="810" spans="1:41" x14ac:dyDescent="0.25">
      <c r="A810" t="s">
        <v>853</v>
      </c>
      <c r="B810" s="2">
        <v>602.59995019908604</v>
      </c>
      <c r="C810" s="2">
        <v>0</v>
      </c>
      <c r="D810" s="2">
        <v>2424.4765111727702</v>
      </c>
      <c r="E810" s="2">
        <v>0</v>
      </c>
      <c r="F810" s="2">
        <v>6474.8797960557104</v>
      </c>
      <c r="G810" s="2">
        <v>2302.7464090680101</v>
      </c>
      <c r="H810" s="2">
        <v>1706.1538113961899</v>
      </c>
      <c r="I810" s="2">
        <v>542.29146827074499</v>
      </c>
      <c r="J810" s="2">
        <v>3967.87233829762</v>
      </c>
      <c r="K810" s="2">
        <v>900.84276816129704</v>
      </c>
      <c r="L810" s="2">
        <v>5773.1735851978601</v>
      </c>
      <c r="M810" s="2">
        <v>6327.6621780871601</v>
      </c>
      <c r="N810" s="3">
        <f t="shared" si="36"/>
        <v>31022.698815906446</v>
      </c>
      <c r="O810" s="2">
        <v>1.0514108626129499</v>
      </c>
      <c r="P810" s="2">
        <v>4.5839199847796603</v>
      </c>
      <c r="Q810" s="2">
        <v>2.2858690113401101</v>
      </c>
      <c r="R810" s="2">
        <v>3.2752757005894</v>
      </c>
      <c r="S810" s="2">
        <v>0</v>
      </c>
      <c r="T810" s="2">
        <v>2.3459605981068901</v>
      </c>
      <c r="U810" s="2">
        <v>0</v>
      </c>
      <c r="V810" s="2">
        <v>5.5132591486886904</v>
      </c>
      <c r="W810" s="2">
        <v>0</v>
      </c>
      <c r="X810" s="2">
        <v>2.6964830000106099</v>
      </c>
      <c r="Y810" s="2">
        <v>0</v>
      </c>
      <c r="Z810" s="2">
        <v>9.1095788459369</v>
      </c>
      <c r="AA810" s="3">
        <f t="shared" si="37"/>
        <v>30.861757152065209</v>
      </c>
      <c r="AB810" t="s">
        <v>63</v>
      </c>
      <c r="AC810">
        <v>12.24</v>
      </c>
      <c r="AD810">
        <v>0.45</v>
      </c>
      <c r="AE810">
        <v>48.77</v>
      </c>
      <c r="AF810">
        <v>0.36</v>
      </c>
      <c r="AG810">
        <v>129.5</v>
      </c>
      <c r="AH810">
        <v>46.33</v>
      </c>
      <c r="AI810">
        <v>34.14</v>
      </c>
      <c r="AJ810">
        <v>11.4</v>
      </c>
      <c r="AK810">
        <v>79.36</v>
      </c>
      <c r="AL810">
        <v>18.29</v>
      </c>
      <c r="AM810">
        <v>115.48</v>
      </c>
      <c r="AN810">
        <v>127.46</v>
      </c>
      <c r="AO810" s="1">
        <f t="shared" si="38"/>
        <v>623.78</v>
      </c>
    </row>
    <row r="811" spans="1:41" x14ac:dyDescent="0.25">
      <c r="A811" t="s">
        <v>854</v>
      </c>
      <c r="B811" s="2">
        <v>597.00142724473301</v>
      </c>
      <c r="C811" s="2">
        <v>5800.2080638425396</v>
      </c>
      <c r="D811" s="2">
        <v>1079.56356329961</v>
      </c>
      <c r="E811" s="2">
        <v>1282.07704774184</v>
      </c>
      <c r="F811" s="2">
        <v>646.31014714141804</v>
      </c>
      <c r="G811" s="2">
        <v>1276.2666043009201</v>
      </c>
      <c r="H811" s="2">
        <v>1499.25233935551</v>
      </c>
      <c r="I811" s="2">
        <v>1511.06317937732</v>
      </c>
      <c r="J811" s="2">
        <v>5098.3896418897702</v>
      </c>
      <c r="K811" s="2">
        <v>11499.8706415447</v>
      </c>
      <c r="L811" s="2">
        <v>5460.9198126638003</v>
      </c>
      <c r="M811" s="2">
        <v>0</v>
      </c>
      <c r="N811" s="3">
        <f t="shared" si="36"/>
        <v>35750.922468402161</v>
      </c>
      <c r="O811" s="2">
        <v>2.4118611040124298</v>
      </c>
      <c r="P811" s="2">
        <v>2.2208872175775598</v>
      </c>
      <c r="Q811" s="2">
        <v>0.44075678446132099</v>
      </c>
      <c r="R811" s="2">
        <v>1.6825278589986801</v>
      </c>
      <c r="S811" s="2">
        <v>1.5812376243980599</v>
      </c>
      <c r="T811" s="2">
        <v>3.7519459450161299</v>
      </c>
      <c r="U811" s="2">
        <v>11.002088645903701</v>
      </c>
      <c r="V811" s="2">
        <v>2.68463381553414</v>
      </c>
      <c r="W811" s="2">
        <v>4.4008274255142998</v>
      </c>
      <c r="X811" s="2">
        <v>2.7864252232446902</v>
      </c>
      <c r="Y811" s="2">
        <v>5.0147294572406498</v>
      </c>
      <c r="Z811" s="2">
        <v>0.52419442652199</v>
      </c>
      <c r="AA811" s="3">
        <f t="shared" si="37"/>
        <v>38.502115528423651</v>
      </c>
      <c r="AB811" t="s">
        <v>63</v>
      </c>
      <c r="AC811">
        <v>12.23</v>
      </c>
      <c r="AD811">
        <v>116.29</v>
      </c>
      <c r="AE811">
        <v>21.69</v>
      </c>
      <c r="AF811">
        <v>25.84</v>
      </c>
      <c r="AG811">
        <v>13.12</v>
      </c>
      <c r="AH811">
        <v>25.9</v>
      </c>
      <c r="AI811">
        <v>31.08</v>
      </c>
      <c r="AJ811">
        <v>30.51</v>
      </c>
      <c r="AK811">
        <v>102.43</v>
      </c>
      <c r="AL811">
        <v>230.27</v>
      </c>
      <c r="AM811">
        <v>109.76</v>
      </c>
      <c r="AN811">
        <v>0.09</v>
      </c>
      <c r="AO811" s="1">
        <f t="shared" si="38"/>
        <v>719.21</v>
      </c>
    </row>
    <row r="812" spans="1:41" x14ac:dyDescent="0.25">
      <c r="A812" t="s">
        <v>855</v>
      </c>
      <c r="B812" s="2">
        <v>595.89222184570895</v>
      </c>
      <c r="C812" s="2">
        <v>396.26022820166799</v>
      </c>
      <c r="D812" s="2">
        <v>5051.2434832047702</v>
      </c>
      <c r="E812" s="2">
        <v>756.27899284813998</v>
      </c>
      <c r="F812" s="2">
        <v>9510.4136393148201</v>
      </c>
      <c r="G812" s="2">
        <v>2448.88773611653</v>
      </c>
      <c r="H812" s="2">
        <v>1104.25243603845</v>
      </c>
      <c r="I812" s="2">
        <v>0</v>
      </c>
      <c r="J812" s="2">
        <v>1920.87392205424</v>
      </c>
      <c r="K812" s="2">
        <v>11390.3852623686</v>
      </c>
      <c r="L812" s="2">
        <v>15463.8151435741</v>
      </c>
      <c r="M812" s="2">
        <v>4016.7908303467102</v>
      </c>
      <c r="N812" s="3">
        <f t="shared" si="36"/>
        <v>52655.093895913742</v>
      </c>
      <c r="O812" s="2">
        <v>17.569892413517699</v>
      </c>
      <c r="P812" s="2">
        <v>12.9813594865421</v>
      </c>
      <c r="Q812" s="2">
        <v>0.28766365557056101</v>
      </c>
      <c r="R812" s="2">
        <v>6.9565889125738796</v>
      </c>
      <c r="S812" s="2">
        <v>3.4034363894942401</v>
      </c>
      <c r="T812" s="2">
        <v>3.5931970282523</v>
      </c>
      <c r="U812" s="2">
        <v>3.87955266491895</v>
      </c>
      <c r="V812" s="2">
        <v>0</v>
      </c>
      <c r="W812" s="2">
        <v>2.08233179670022</v>
      </c>
      <c r="X812" s="2">
        <v>1.4682420631738</v>
      </c>
      <c r="Y812" s="2">
        <v>4.2459752823347197</v>
      </c>
      <c r="Z812" s="2">
        <v>2.0077390775187198</v>
      </c>
      <c r="AA812" s="3">
        <f t="shared" si="37"/>
        <v>58.47597877059718</v>
      </c>
      <c r="AB812" t="s">
        <v>45</v>
      </c>
      <c r="AC812">
        <v>16.850000000000001</v>
      </c>
      <c r="AD812">
        <v>14.61</v>
      </c>
      <c r="AE812">
        <v>60.56</v>
      </c>
      <c r="AF812">
        <v>17.91</v>
      </c>
      <c r="AG812">
        <v>105.3</v>
      </c>
      <c r="AH812">
        <v>34.68</v>
      </c>
      <c r="AI812">
        <v>21.24</v>
      </c>
      <c r="AJ812">
        <v>9.99</v>
      </c>
      <c r="AK812">
        <v>29.35</v>
      </c>
      <c r="AL812">
        <v>124</v>
      </c>
      <c r="AM812">
        <v>164.88</v>
      </c>
      <c r="AN812">
        <v>50.31</v>
      </c>
      <c r="AO812" s="1">
        <f t="shared" si="38"/>
        <v>649.68000000000006</v>
      </c>
    </row>
    <row r="813" spans="1:41" x14ac:dyDescent="0.25">
      <c r="A813" t="s">
        <v>856</v>
      </c>
      <c r="B813" s="2">
        <v>591.15063904234705</v>
      </c>
      <c r="C813" s="2">
        <v>3924.50231958518</v>
      </c>
      <c r="D813" s="2">
        <v>130.855553834322</v>
      </c>
      <c r="E813" s="2">
        <v>2964.1909808315099</v>
      </c>
      <c r="F813" s="2">
        <v>425.31269672925299</v>
      </c>
      <c r="G813" s="2">
        <v>1054.5267521037099</v>
      </c>
      <c r="H813" s="2">
        <v>1595.3284659809799</v>
      </c>
      <c r="I813" s="2">
        <v>9165.4244109074898</v>
      </c>
      <c r="J813" s="2">
        <v>4567.4554537868298</v>
      </c>
      <c r="K813" s="2">
        <v>9787.3992307346198</v>
      </c>
      <c r="L813" s="2">
        <v>4048.2084291372798</v>
      </c>
      <c r="M813" s="2">
        <v>29.001014296842001</v>
      </c>
      <c r="N813" s="3">
        <f t="shared" si="36"/>
        <v>38283.355946970361</v>
      </c>
      <c r="O813" s="2">
        <v>4.3369252701427197</v>
      </c>
      <c r="P813" s="2">
        <v>0.30060373841906102</v>
      </c>
      <c r="Q813" s="2">
        <v>2.7489623204139502</v>
      </c>
      <c r="R813" s="2">
        <v>11.8256594815971</v>
      </c>
      <c r="S813" s="2">
        <v>3.6615651735602901</v>
      </c>
      <c r="T813" s="2">
        <v>5.1064412557724497</v>
      </c>
      <c r="U813" s="2">
        <v>4.8230721329044099</v>
      </c>
      <c r="V813" s="2">
        <v>0</v>
      </c>
      <c r="W813" s="2">
        <v>2.9743092712518302</v>
      </c>
      <c r="X813" s="2">
        <v>3.4908772986790999</v>
      </c>
      <c r="Y813" s="2">
        <v>4.0889643179809996</v>
      </c>
      <c r="Z813" s="2">
        <v>0.91166875870764097</v>
      </c>
      <c r="AA813" s="3">
        <f t="shared" si="37"/>
        <v>44.269049019429559</v>
      </c>
      <c r="AB813" t="s">
        <v>45</v>
      </c>
      <c r="AC813">
        <v>16.16</v>
      </c>
      <c r="AD813">
        <v>49.29</v>
      </c>
      <c r="AE813">
        <v>11.45</v>
      </c>
      <c r="AF813">
        <v>40.24</v>
      </c>
      <c r="AG813">
        <v>14.45</v>
      </c>
      <c r="AH813">
        <v>20.84</v>
      </c>
      <c r="AI813">
        <v>26.2</v>
      </c>
      <c r="AJ813">
        <v>101.65</v>
      </c>
      <c r="AK813">
        <v>55.82</v>
      </c>
      <c r="AL813">
        <v>108.07</v>
      </c>
      <c r="AM813">
        <v>50.73</v>
      </c>
      <c r="AN813">
        <v>10.34</v>
      </c>
      <c r="AO813" s="1">
        <f t="shared" si="38"/>
        <v>505.23999999999995</v>
      </c>
    </row>
    <row r="814" spans="1:41" x14ac:dyDescent="0.25">
      <c r="A814" t="s">
        <v>857</v>
      </c>
      <c r="B814" s="2">
        <v>575.95027862003303</v>
      </c>
      <c r="C814" s="2">
        <v>662.92911858709795</v>
      </c>
      <c r="D814" s="2">
        <v>444.81850369682201</v>
      </c>
      <c r="E814" s="2">
        <v>3004.3987712767898</v>
      </c>
      <c r="F814" s="2">
        <v>3855.6949026544098</v>
      </c>
      <c r="G814" s="2">
        <v>2866.84721355375</v>
      </c>
      <c r="H814" s="2">
        <v>43.352372280569</v>
      </c>
      <c r="I814" s="2">
        <v>2065.9034180713102</v>
      </c>
      <c r="J814" s="2">
        <v>403.83957956566098</v>
      </c>
      <c r="K814" s="2">
        <v>5122.8600369955702</v>
      </c>
      <c r="L814" s="2">
        <v>1230.83289016811</v>
      </c>
      <c r="M814" s="2">
        <v>3316.8829092534802</v>
      </c>
      <c r="N814" s="3">
        <f t="shared" si="36"/>
        <v>23594.309994723601</v>
      </c>
      <c r="O814" s="2">
        <v>8.8892612592930398</v>
      </c>
      <c r="P814" s="2">
        <v>1.98899200308154</v>
      </c>
      <c r="Q814" s="2">
        <v>1.25979671279143</v>
      </c>
      <c r="R814" s="2">
        <v>1.38723101023733</v>
      </c>
      <c r="S814" s="2">
        <v>1.60758739847751</v>
      </c>
      <c r="T814" s="2">
        <v>2.5665633933048899</v>
      </c>
      <c r="U814" s="2">
        <v>2.2854255122724298</v>
      </c>
      <c r="V814" s="2">
        <v>0.56715645983582896</v>
      </c>
      <c r="W814" s="2">
        <v>1.96118341076077</v>
      </c>
      <c r="X814" s="2">
        <v>0</v>
      </c>
      <c r="Y814" s="2">
        <v>1.7457437892924399</v>
      </c>
      <c r="Z814" s="2">
        <v>0.738413450396042</v>
      </c>
      <c r="AA814" s="3">
        <f t="shared" si="37"/>
        <v>24.997354399743248</v>
      </c>
      <c r="AB814" t="s">
        <v>63</v>
      </c>
      <c r="AC814">
        <v>12.33</v>
      </c>
      <c r="AD814">
        <v>13.44</v>
      </c>
      <c r="AE814">
        <v>9.08</v>
      </c>
      <c r="AF814">
        <v>60.28</v>
      </c>
      <c r="AG814">
        <v>77.3</v>
      </c>
      <c r="AH814">
        <v>57.61</v>
      </c>
      <c r="AI814">
        <v>1.1499999999999999</v>
      </c>
      <c r="AJ814">
        <v>41.41</v>
      </c>
      <c r="AK814">
        <v>8.26</v>
      </c>
      <c r="AL814">
        <v>102.46</v>
      </c>
      <c r="AM814">
        <v>24.8</v>
      </c>
      <c r="AN814">
        <v>66.430000000000007</v>
      </c>
      <c r="AO814" s="1">
        <f t="shared" si="38"/>
        <v>474.55</v>
      </c>
    </row>
    <row r="815" spans="1:41" x14ac:dyDescent="0.25">
      <c r="A815" t="s">
        <v>858</v>
      </c>
      <c r="B815" s="2">
        <v>575.55686521470102</v>
      </c>
      <c r="C815" s="2">
        <v>8904.4714383481496</v>
      </c>
      <c r="D815" s="2">
        <v>152.21380905307299</v>
      </c>
      <c r="E815" s="2">
        <v>1972.9228104068</v>
      </c>
      <c r="F815" s="2">
        <v>2962.5836247874099</v>
      </c>
      <c r="G815" s="2">
        <v>3741.8999983855101</v>
      </c>
      <c r="H815" s="2">
        <v>275.66427631700498</v>
      </c>
      <c r="I815" s="2">
        <v>6342.0160338508804</v>
      </c>
      <c r="J815" s="2">
        <v>12488.601671439899</v>
      </c>
      <c r="K815" s="2">
        <v>1094.7541919949001</v>
      </c>
      <c r="L815" s="2">
        <v>7896.8367602478402</v>
      </c>
      <c r="M815" s="2">
        <v>2001.3421492734701</v>
      </c>
      <c r="N815" s="3">
        <f t="shared" si="36"/>
        <v>48408.86362931964</v>
      </c>
      <c r="O815" s="2">
        <v>6.2711361255970299</v>
      </c>
      <c r="P815" s="2">
        <v>3.8941404442107999</v>
      </c>
      <c r="Q815" s="2">
        <v>6.3893743263948002</v>
      </c>
      <c r="R815" s="2">
        <v>0.55705243803390403</v>
      </c>
      <c r="S815" s="2">
        <v>0.802245470982628</v>
      </c>
      <c r="T815" s="2">
        <v>2.0222315806079099</v>
      </c>
      <c r="U815" s="2">
        <v>1.72023023205091</v>
      </c>
      <c r="V815" s="2">
        <v>1.7981663727830901</v>
      </c>
      <c r="W815" s="2">
        <v>6.4802159488686</v>
      </c>
      <c r="X815" s="2">
        <v>0</v>
      </c>
      <c r="Y815" s="2">
        <v>1.66148041773914</v>
      </c>
      <c r="Z815" s="2">
        <v>0.2256539901107</v>
      </c>
      <c r="AA815" s="3">
        <f t="shared" si="37"/>
        <v>31.821927347379511</v>
      </c>
      <c r="AB815" t="s">
        <v>45</v>
      </c>
      <c r="AC815">
        <v>16.100000000000001</v>
      </c>
      <c r="AD815">
        <v>99.24</v>
      </c>
      <c r="AE815">
        <v>11.87</v>
      </c>
      <c r="AF815">
        <v>29.77</v>
      </c>
      <c r="AG815">
        <v>39.67</v>
      </c>
      <c r="AH815">
        <v>47.56</v>
      </c>
      <c r="AI815">
        <v>12.85</v>
      </c>
      <c r="AJ815">
        <v>73.52</v>
      </c>
      <c r="AK815">
        <v>135.22999999999999</v>
      </c>
      <c r="AL815">
        <v>20.94</v>
      </c>
      <c r="AM815">
        <v>89.06</v>
      </c>
      <c r="AN815">
        <v>30.06</v>
      </c>
      <c r="AO815" s="1">
        <f t="shared" si="38"/>
        <v>605.87</v>
      </c>
    </row>
    <row r="816" spans="1:41" x14ac:dyDescent="0.25">
      <c r="A816" t="s">
        <v>859</v>
      </c>
      <c r="B816" s="2">
        <v>566.97162186264597</v>
      </c>
      <c r="C816" s="2">
        <v>3591.71467562527</v>
      </c>
      <c r="D816" s="2">
        <v>1345.5841128946399</v>
      </c>
      <c r="E816" s="2">
        <v>349.15275298243102</v>
      </c>
      <c r="F816" s="2">
        <v>1892.10756765931</v>
      </c>
      <c r="G816" s="2">
        <v>1287.0916787399899</v>
      </c>
      <c r="H816" s="2">
        <v>5077.9066819447798</v>
      </c>
      <c r="I816" s="2">
        <v>1301.3808919061801</v>
      </c>
      <c r="J816" s="2">
        <v>786.56188036924198</v>
      </c>
      <c r="K816" s="2">
        <v>977.58400180013803</v>
      </c>
      <c r="L816" s="2">
        <v>1472.62012971066</v>
      </c>
      <c r="M816" s="2">
        <v>3327.98274690684</v>
      </c>
      <c r="N816" s="3">
        <f t="shared" si="36"/>
        <v>21976.658742402124</v>
      </c>
      <c r="O816" s="2">
        <v>3.2850261308903002</v>
      </c>
      <c r="P816" s="2">
        <v>7.52597881133289</v>
      </c>
      <c r="Q816" s="2">
        <v>1.1189881337779499</v>
      </c>
      <c r="R816" s="2">
        <v>4.3495996613926398</v>
      </c>
      <c r="S816" s="2">
        <v>1.9876865427030399</v>
      </c>
      <c r="T816" s="2">
        <v>4.4655624988338296</v>
      </c>
      <c r="U816" s="2">
        <v>0.239445938391804</v>
      </c>
      <c r="V816" s="2">
        <v>1.6548216589582201</v>
      </c>
      <c r="W816" s="2">
        <v>0.922436255183398</v>
      </c>
      <c r="X816" s="2">
        <v>5.8072794615723202</v>
      </c>
      <c r="Y816" s="2">
        <v>2.0865727331836998</v>
      </c>
      <c r="Z816" s="2">
        <v>4.2618286289311298</v>
      </c>
      <c r="AA816" s="3">
        <f t="shared" si="37"/>
        <v>37.70522645515122</v>
      </c>
      <c r="AB816" t="s">
        <v>63</v>
      </c>
      <c r="AC816">
        <v>11.7</v>
      </c>
      <c r="AD816">
        <v>72.56</v>
      </c>
      <c r="AE816">
        <v>27.1</v>
      </c>
      <c r="AF816">
        <v>7.45</v>
      </c>
      <c r="AG816">
        <v>38.04</v>
      </c>
      <c r="AH816">
        <v>26.21</v>
      </c>
      <c r="AI816">
        <v>101.65</v>
      </c>
      <c r="AJ816">
        <v>26.22</v>
      </c>
      <c r="AK816">
        <v>15.83</v>
      </c>
      <c r="AL816">
        <v>20.100000000000001</v>
      </c>
      <c r="AM816">
        <v>29.73</v>
      </c>
      <c r="AN816">
        <v>67.010000000000005</v>
      </c>
      <c r="AO816" s="1">
        <f t="shared" si="38"/>
        <v>443.60000000000008</v>
      </c>
    </row>
    <row r="817" spans="1:41" x14ac:dyDescent="0.25">
      <c r="A817" t="s">
        <v>860</v>
      </c>
      <c r="B817" s="2">
        <v>560.35541721661002</v>
      </c>
      <c r="C817" s="2">
        <v>540.761036576793</v>
      </c>
      <c r="D817" s="2">
        <v>526.39786755550404</v>
      </c>
      <c r="E817" s="2">
        <v>3483.3366160600799</v>
      </c>
      <c r="F817" s="2">
        <v>1105.2447282913599</v>
      </c>
      <c r="G817" s="2">
        <v>2015.8599727677699</v>
      </c>
      <c r="H817" s="2">
        <v>466.67777787184298</v>
      </c>
      <c r="I817" s="2">
        <v>1107.41568311167</v>
      </c>
      <c r="J817" s="2">
        <v>2125.74040286236</v>
      </c>
      <c r="K817" s="2">
        <v>243.396966856939</v>
      </c>
      <c r="L817" s="2">
        <v>3394.7220610079198</v>
      </c>
      <c r="M817" s="2">
        <v>0</v>
      </c>
      <c r="N817" s="3">
        <f t="shared" si="36"/>
        <v>15569.908530178849</v>
      </c>
      <c r="O817" s="2">
        <v>3.4359579220072001</v>
      </c>
      <c r="P817" s="2">
        <v>8.47419470645419</v>
      </c>
      <c r="Q817" s="2">
        <v>0</v>
      </c>
      <c r="R817" s="2">
        <v>7.2119691466663403</v>
      </c>
      <c r="S817" s="2">
        <v>3.0679939162888501</v>
      </c>
      <c r="T817" s="2">
        <v>1.7086097127845199</v>
      </c>
      <c r="U817" s="2">
        <v>2.05133044865079</v>
      </c>
      <c r="V817" s="2">
        <v>2.5773294553552</v>
      </c>
      <c r="W817" s="2">
        <v>2.2876667400911401</v>
      </c>
      <c r="X817" s="2">
        <v>2.4098649959077401</v>
      </c>
      <c r="Y817" s="2">
        <v>0.90924928350968104</v>
      </c>
      <c r="Z817" s="2">
        <v>2.94199350668005</v>
      </c>
      <c r="AA817" s="3">
        <f t="shared" si="37"/>
        <v>37.076159834395703</v>
      </c>
      <c r="AB817" t="s">
        <v>63</v>
      </c>
      <c r="AC817">
        <v>11.58</v>
      </c>
      <c r="AD817">
        <v>11.63</v>
      </c>
      <c r="AE817">
        <v>10.54</v>
      </c>
      <c r="AF817">
        <v>70.400000000000006</v>
      </c>
      <c r="AG817">
        <v>22.48</v>
      </c>
      <c r="AH817">
        <v>40.5</v>
      </c>
      <c r="AI817">
        <v>9.61</v>
      </c>
      <c r="AJ817">
        <v>22.43</v>
      </c>
      <c r="AK817">
        <v>42.79</v>
      </c>
      <c r="AL817">
        <v>5.15</v>
      </c>
      <c r="AM817">
        <v>67.989999999999995</v>
      </c>
      <c r="AN817">
        <v>0.27</v>
      </c>
      <c r="AO817" s="1">
        <f t="shared" si="38"/>
        <v>315.37</v>
      </c>
    </row>
    <row r="818" spans="1:41" x14ac:dyDescent="0.25">
      <c r="A818" t="s">
        <v>861</v>
      </c>
      <c r="B818" s="2">
        <v>559.40069694009105</v>
      </c>
      <c r="C818" s="2">
        <v>2989.9518464559701</v>
      </c>
      <c r="D818" s="2">
        <v>5089.8448773323598</v>
      </c>
      <c r="E818" s="2">
        <v>8766.8096467883097</v>
      </c>
      <c r="F818" s="2">
        <v>3060.3051982178699</v>
      </c>
      <c r="G818" s="2">
        <v>0</v>
      </c>
      <c r="H818" s="2">
        <v>1632.34206642154</v>
      </c>
      <c r="I818" s="2">
        <v>3661.3048263996502</v>
      </c>
      <c r="J818" s="2">
        <v>2444.42483428577</v>
      </c>
      <c r="K818" s="2">
        <v>0</v>
      </c>
      <c r="L818" s="2">
        <v>55.839429026603803</v>
      </c>
      <c r="M818" s="2">
        <v>3211.96289785411</v>
      </c>
      <c r="N818" s="3">
        <f t="shared" si="36"/>
        <v>31472.186319722277</v>
      </c>
      <c r="O818" s="2">
        <v>1.29223610551535</v>
      </c>
      <c r="P818" s="2">
        <v>2.8426850956054701</v>
      </c>
      <c r="Q818" s="2">
        <v>2.95049586359892</v>
      </c>
      <c r="R818" s="2">
        <v>7.97296190886538</v>
      </c>
      <c r="S818" s="2">
        <v>11.6757664083161</v>
      </c>
      <c r="T818" s="2">
        <v>4.2560622035925197</v>
      </c>
      <c r="U818" s="2">
        <v>7.7569402141675798</v>
      </c>
      <c r="V818" s="2">
        <v>2.4037771463297299</v>
      </c>
      <c r="W818" s="2">
        <v>1.5686262756698</v>
      </c>
      <c r="X818" s="2">
        <v>1.5119179237696001</v>
      </c>
      <c r="Y818" s="2">
        <v>4.4305820240916498</v>
      </c>
      <c r="Z818" s="2">
        <v>6.48150712560646</v>
      </c>
      <c r="AA818" s="3">
        <f t="shared" si="37"/>
        <v>55.143558295128564</v>
      </c>
      <c r="AB818" t="s">
        <v>63</v>
      </c>
      <c r="AC818">
        <v>11.38</v>
      </c>
      <c r="AD818">
        <v>60.07</v>
      </c>
      <c r="AE818">
        <v>102.07</v>
      </c>
      <c r="AF818">
        <v>176.06</v>
      </c>
      <c r="AG818">
        <v>62.3</v>
      </c>
      <c r="AH818">
        <v>0.45</v>
      </c>
      <c r="AI818">
        <v>33.380000000000003</v>
      </c>
      <c r="AJ818">
        <v>73.510000000000005</v>
      </c>
      <c r="AK818">
        <v>49.08</v>
      </c>
      <c r="AL818">
        <v>0.18</v>
      </c>
      <c r="AM818">
        <v>1.57</v>
      </c>
      <c r="AN818">
        <v>64.87</v>
      </c>
      <c r="AO818" s="1">
        <f t="shared" si="38"/>
        <v>634.92000000000007</v>
      </c>
    </row>
    <row r="819" spans="1:41" x14ac:dyDescent="0.25">
      <c r="A819" t="s">
        <v>862</v>
      </c>
      <c r="B819" s="2">
        <v>559.16603533240198</v>
      </c>
      <c r="C819" s="2">
        <v>1456.23350663466</v>
      </c>
      <c r="D819" s="2">
        <v>1309.4869464922299</v>
      </c>
      <c r="E819" s="2">
        <v>5299.24683020474</v>
      </c>
      <c r="F819" s="2">
        <v>0</v>
      </c>
      <c r="G819" s="2">
        <v>387.03426083132098</v>
      </c>
      <c r="H819" s="2">
        <v>3091.3764567415801</v>
      </c>
      <c r="I819" s="2">
        <v>3519.9031484376901</v>
      </c>
      <c r="J819" s="2">
        <v>989.37349508925001</v>
      </c>
      <c r="K819" s="2">
        <v>6062.6439665358803</v>
      </c>
      <c r="L819" s="2">
        <v>2315.9944129773899</v>
      </c>
      <c r="M819" s="2">
        <v>2116.6203858819099</v>
      </c>
      <c r="N819" s="3">
        <f t="shared" si="36"/>
        <v>27107.079445159052</v>
      </c>
      <c r="O819" s="2">
        <v>13.7815424626459</v>
      </c>
      <c r="P819" s="2">
        <v>0</v>
      </c>
      <c r="Q819" s="2">
        <v>1.75542167923958</v>
      </c>
      <c r="R819" s="2">
        <v>3.7505792500300799</v>
      </c>
      <c r="S819" s="2">
        <v>2.36151420843535</v>
      </c>
      <c r="T819" s="2">
        <v>0.75724313862833303</v>
      </c>
      <c r="U819" s="2">
        <v>7.2846658744816999</v>
      </c>
      <c r="V819" s="2">
        <v>4.7562270413451797</v>
      </c>
      <c r="W819" s="2">
        <v>2.3827848112515801</v>
      </c>
      <c r="X819" s="2">
        <v>1.6234766611695699</v>
      </c>
      <c r="Y819" s="2">
        <v>12.6237823430031</v>
      </c>
      <c r="Z819" s="2">
        <v>5.81439146743734</v>
      </c>
      <c r="AA819" s="3">
        <f t="shared" si="37"/>
        <v>56.891628937667711</v>
      </c>
      <c r="AB819" t="s">
        <v>63</v>
      </c>
      <c r="AC819">
        <v>12.46</v>
      </c>
      <c r="AD819">
        <v>29.14</v>
      </c>
      <c r="AE819">
        <v>26.38</v>
      </c>
      <c r="AF819">
        <v>106.36</v>
      </c>
      <c r="AG819">
        <v>0.27</v>
      </c>
      <c r="AH819">
        <v>7.85</v>
      </c>
      <c r="AI819">
        <v>62.56</v>
      </c>
      <c r="AJ819">
        <v>70.849999999999994</v>
      </c>
      <c r="AK819">
        <v>20.07</v>
      </c>
      <c r="AL819">
        <v>121.44</v>
      </c>
      <c r="AM819">
        <v>47.49</v>
      </c>
      <c r="AN819">
        <v>42.88</v>
      </c>
      <c r="AO819" s="1">
        <f t="shared" si="38"/>
        <v>547.75</v>
      </c>
    </row>
    <row r="820" spans="1:41" x14ac:dyDescent="0.25">
      <c r="A820" t="s">
        <v>863</v>
      </c>
      <c r="B820" s="2">
        <v>558.91922946408999</v>
      </c>
      <c r="C820" s="2">
        <v>91.063939977969298</v>
      </c>
      <c r="D820" s="2">
        <v>274.110314718295</v>
      </c>
      <c r="E820" s="2">
        <v>0</v>
      </c>
      <c r="F820" s="2">
        <v>4036.3013460086399</v>
      </c>
      <c r="G820" s="2">
        <v>6334.9065279199503</v>
      </c>
      <c r="H820" s="2">
        <v>1604.99238270161</v>
      </c>
      <c r="I820" s="2">
        <v>1354.4833542455101</v>
      </c>
      <c r="J820" s="2">
        <v>6915.9074509731399</v>
      </c>
      <c r="K820" s="2">
        <v>1144.6257083998801</v>
      </c>
      <c r="L820" s="2">
        <v>1034.11556292826</v>
      </c>
      <c r="M820" s="2">
        <v>1522.11258856207</v>
      </c>
      <c r="N820" s="3">
        <f t="shared" si="36"/>
        <v>24871.538405899417</v>
      </c>
      <c r="O820" s="2">
        <v>17.147510326667501</v>
      </c>
      <c r="P820" s="2">
        <v>5.1736358514332901</v>
      </c>
      <c r="Q820" s="2">
        <v>4.6630063059728997</v>
      </c>
      <c r="R820" s="2">
        <v>0</v>
      </c>
      <c r="S820" s="2">
        <v>9.0688119452011708</v>
      </c>
      <c r="T820" s="2">
        <v>1.4975232902478901</v>
      </c>
      <c r="U820" s="2">
        <v>0</v>
      </c>
      <c r="V820" s="2">
        <v>0</v>
      </c>
      <c r="W820" s="2">
        <v>3.0601787762015</v>
      </c>
      <c r="X820" s="2">
        <v>2.88860090314216</v>
      </c>
      <c r="Y820" s="2">
        <v>5.7653865969574296</v>
      </c>
      <c r="Z820" s="2">
        <v>8.2013071200832393</v>
      </c>
      <c r="AA820" s="3">
        <f t="shared" si="37"/>
        <v>57.465961115907078</v>
      </c>
      <c r="AB820" t="s">
        <v>63</v>
      </c>
      <c r="AC820">
        <v>12.8</v>
      </c>
      <c r="AD820">
        <v>2.38</v>
      </c>
      <c r="AE820">
        <v>5.95</v>
      </c>
      <c r="AF820">
        <v>0</v>
      </c>
      <c r="AG820">
        <v>81.64</v>
      </c>
      <c r="AH820">
        <v>126.88</v>
      </c>
      <c r="AI820">
        <v>32.1</v>
      </c>
      <c r="AJ820">
        <v>27.1</v>
      </c>
      <c r="AK820">
        <v>138.68</v>
      </c>
      <c r="AL820">
        <v>23.17</v>
      </c>
      <c r="AM820">
        <v>21.24</v>
      </c>
      <c r="AN820">
        <v>31.27</v>
      </c>
      <c r="AO820" s="1">
        <f t="shared" si="38"/>
        <v>503.21000000000004</v>
      </c>
    </row>
    <row r="821" spans="1:41" x14ac:dyDescent="0.25">
      <c r="A821" t="s">
        <v>864</v>
      </c>
      <c r="B821" s="2">
        <v>556.85825319803405</v>
      </c>
      <c r="C821" s="2">
        <v>3386.6564386571699</v>
      </c>
      <c r="D821" s="2">
        <v>2513.2497945576702</v>
      </c>
      <c r="E821" s="2">
        <v>2562.67571789875</v>
      </c>
      <c r="F821" s="2">
        <v>21515.858972331102</v>
      </c>
      <c r="G821" s="2">
        <v>15281.0669532585</v>
      </c>
      <c r="H821" s="2">
        <v>1488.40062799149</v>
      </c>
      <c r="I821" s="2">
        <v>2583.90358580363</v>
      </c>
      <c r="J821" s="2">
        <v>8492.4983905518093</v>
      </c>
      <c r="K821" s="2">
        <v>0</v>
      </c>
      <c r="L821" s="2">
        <v>2508.67351765069</v>
      </c>
      <c r="M821" s="2">
        <v>760.13961730526603</v>
      </c>
      <c r="N821" s="3">
        <f t="shared" si="36"/>
        <v>61649.981869204108</v>
      </c>
      <c r="O821" s="2">
        <v>9.6920919443469394E-2</v>
      </c>
      <c r="P821" s="2">
        <v>8.2785427414068895</v>
      </c>
      <c r="Q821" s="2">
        <v>0.334577723606444</v>
      </c>
      <c r="R821" s="2">
        <v>12.030378843765799</v>
      </c>
      <c r="S821" s="2">
        <v>18.548657665235702</v>
      </c>
      <c r="T821" s="2">
        <v>0.50820002312706103</v>
      </c>
      <c r="U821" s="2">
        <v>1.3877837161094599</v>
      </c>
      <c r="V821" s="2">
        <v>1.16562034862338</v>
      </c>
      <c r="W821" s="2">
        <v>5.3420778616567404</v>
      </c>
      <c r="X821" s="2">
        <v>4.6131105906371204</v>
      </c>
      <c r="Y821" s="2">
        <v>3.9655067840311</v>
      </c>
      <c r="Z821" s="2">
        <v>4.5455969989326901</v>
      </c>
      <c r="AA821" s="3">
        <f t="shared" si="37"/>
        <v>60.816974216575851</v>
      </c>
      <c r="AB821" t="s">
        <v>45</v>
      </c>
      <c r="AC821">
        <v>15.61</v>
      </c>
      <c r="AD821">
        <v>44.31</v>
      </c>
      <c r="AE821">
        <v>35.18</v>
      </c>
      <c r="AF821">
        <v>36.270000000000003</v>
      </c>
      <c r="AG821">
        <v>226.1</v>
      </c>
      <c r="AH821">
        <v>162.86000000000001</v>
      </c>
      <c r="AI821">
        <v>24.98</v>
      </c>
      <c r="AJ821">
        <v>35.93</v>
      </c>
      <c r="AK821">
        <v>95.22</v>
      </c>
      <c r="AL821">
        <v>10.24</v>
      </c>
      <c r="AM821">
        <v>35.28</v>
      </c>
      <c r="AN821">
        <v>17.850000000000001</v>
      </c>
      <c r="AO821" s="1">
        <f t="shared" si="38"/>
        <v>739.83</v>
      </c>
    </row>
    <row r="822" spans="1:41" x14ac:dyDescent="0.25">
      <c r="A822" t="s">
        <v>865</v>
      </c>
      <c r="B822" s="2">
        <v>555.46548996479601</v>
      </c>
      <c r="C822" s="2">
        <v>1343.56293636347</v>
      </c>
      <c r="D822" s="2">
        <v>6999.1320965083196</v>
      </c>
      <c r="E822" s="2">
        <v>7527.9926603245403</v>
      </c>
      <c r="F822" s="2">
        <v>4149.6746906791705</v>
      </c>
      <c r="G822" s="2">
        <v>18023.385292207899</v>
      </c>
      <c r="H822" s="2">
        <v>0</v>
      </c>
      <c r="I822" s="2">
        <v>2873.8861817387101</v>
      </c>
      <c r="J822" s="2">
        <v>4153.2875457767304</v>
      </c>
      <c r="K822" s="2">
        <v>4554.8752690186602</v>
      </c>
      <c r="L822" s="2">
        <v>5322.8480626008804</v>
      </c>
      <c r="M822" s="2">
        <v>9779.2769953666102</v>
      </c>
      <c r="N822" s="3">
        <f t="shared" si="36"/>
        <v>65283.38722054979</v>
      </c>
      <c r="O822" s="2">
        <v>9.8471965620311899</v>
      </c>
      <c r="P822" s="2">
        <v>0</v>
      </c>
      <c r="Q822" s="2">
        <v>3.44687788307361</v>
      </c>
      <c r="R822" s="2">
        <v>5.3848348798416499</v>
      </c>
      <c r="S822" s="2">
        <v>5.1875108650618103</v>
      </c>
      <c r="T822" s="2">
        <v>1.9261561567538099</v>
      </c>
      <c r="U822" s="2">
        <v>9.2782474573840297</v>
      </c>
      <c r="V822" s="2">
        <v>11.6643882542641</v>
      </c>
      <c r="W822" s="2">
        <v>0.95259834294114898</v>
      </c>
      <c r="X822" s="2">
        <v>3.0922874241993998</v>
      </c>
      <c r="Y822" s="2">
        <v>0.46341235143293602</v>
      </c>
      <c r="Z822" s="2">
        <v>0.30136450106326301</v>
      </c>
      <c r="AA822" s="3">
        <f t="shared" si="37"/>
        <v>51.544874678046945</v>
      </c>
      <c r="AB822" t="s">
        <v>45</v>
      </c>
      <c r="AC822">
        <v>16.05</v>
      </c>
      <c r="AD822">
        <v>23.43</v>
      </c>
      <c r="AE822">
        <v>80.19</v>
      </c>
      <c r="AF822">
        <v>85.57</v>
      </c>
      <c r="AG822">
        <v>51.79</v>
      </c>
      <c r="AH822">
        <v>190.33</v>
      </c>
      <c r="AI822">
        <v>10.49</v>
      </c>
      <c r="AJ822">
        <v>39.33</v>
      </c>
      <c r="AK822">
        <v>51.58</v>
      </c>
      <c r="AL822">
        <v>55.74</v>
      </c>
      <c r="AM822">
        <v>63.27</v>
      </c>
      <c r="AN822">
        <v>107.84</v>
      </c>
      <c r="AO822" s="1">
        <f t="shared" si="38"/>
        <v>775.61</v>
      </c>
    </row>
    <row r="823" spans="1:41" x14ac:dyDescent="0.25">
      <c r="A823" t="s">
        <v>866</v>
      </c>
      <c r="B823" s="2">
        <v>548.56722994408301</v>
      </c>
      <c r="C823" s="2">
        <v>804.36822414457004</v>
      </c>
      <c r="D823" s="2">
        <v>5326.6003923990902</v>
      </c>
      <c r="E823" s="2">
        <v>6497.8435608944401</v>
      </c>
      <c r="F823" s="2">
        <v>0</v>
      </c>
      <c r="G823" s="2">
        <v>1431.28352805493</v>
      </c>
      <c r="H823" s="2">
        <v>0</v>
      </c>
      <c r="I823" s="2">
        <v>1132.3793187193701</v>
      </c>
      <c r="J823" s="2">
        <v>0</v>
      </c>
      <c r="K823" s="2">
        <v>12545.012678659999</v>
      </c>
      <c r="L823" s="2">
        <v>4579.5250714404501</v>
      </c>
      <c r="M823" s="2">
        <v>15337.1269651533</v>
      </c>
      <c r="N823" s="3">
        <f t="shared" si="36"/>
        <v>48202.706969410232</v>
      </c>
      <c r="O823" s="2">
        <v>7.5584947809165097</v>
      </c>
      <c r="P823" s="2">
        <v>20.209771132408999</v>
      </c>
      <c r="Q823" s="2">
        <v>1.27612520176778</v>
      </c>
      <c r="R823" s="2">
        <v>4.2735698074183599</v>
      </c>
      <c r="S823" s="2">
        <v>1.4066791090189299</v>
      </c>
      <c r="T823" s="2">
        <v>3.27035869240874</v>
      </c>
      <c r="U823" s="2">
        <v>7.2695173762049903</v>
      </c>
      <c r="V823" s="2">
        <v>2.3926617655387101</v>
      </c>
      <c r="W823" s="2">
        <v>0</v>
      </c>
      <c r="X823" s="2">
        <v>2.90110693267482</v>
      </c>
      <c r="Y823" s="2">
        <v>2.6365562889843299</v>
      </c>
      <c r="Z823" s="2">
        <v>12.862694290423899</v>
      </c>
      <c r="AA823" s="3">
        <f t="shared" si="37"/>
        <v>66.057535377766072</v>
      </c>
      <c r="AB823" t="s">
        <v>45</v>
      </c>
      <c r="AC823">
        <v>15.88</v>
      </c>
      <c r="AD823">
        <v>19.09</v>
      </c>
      <c r="AE823">
        <v>63.36</v>
      </c>
      <c r="AF823">
        <v>75.22</v>
      </c>
      <c r="AG823">
        <v>10.09</v>
      </c>
      <c r="AH823">
        <v>24.51</v>
      </c>
      <c r="AI823">
        <v>10.39</v>
      </c>
      <c r="AJ823">
        <v>21.47</v>
      </c>
      <c r="AK823">
        <v>9.99</v>
      </c>
      <c r="AL823">
        <v>135.6</v>
      </c>
      <c r="AM823">
        <v>55.94</v>
      </c>
      <c r="AN823">
        <v>164.02</v>
      </c>
      <c r="AO823" s="1">
        <f t="shared" si="38"/>
        <v>605.56000000000006</v>
      </c>
    </row>
    <row r="824" spans="1:41" x14ac:dyDescent="0.25">
      <c r="A824" t="s">
        <v>867</v>
      </c>
      <c r="B824" s="2">
        <v>544.16247905828698</v>
      </c>
      <c r="C824" s="2">
        <v>3964.3977779818201</v>
      </c>
      <c r="D824" s="2">
        <v>1456.0202536753</v>
      </c>
      <c r="E824" s="2">
        <v>6168.6443393796899</v>
      </c>
      <c r="F824" s="2">
        <v>3270.7974426670798</v>
      </c>
      <c r="G824" s="2">
        <v>3818.8959470422901</v>
      </c>
      <c r="H824" s="2">
        <v>9712.0477686046106</v>
      </c>
      <c r="I824" s="2">
        <v>9332.2158611907107</v>
      </c>
      <c r="J824" s="2">
        <v>2831.1324756951899</v>
      </c>
      <c r="K824" s="2">
        <v>3289.01776622534</v>
      </c>
      <c r="L824" s="2">
        <v>510.23903471798502</v>
      </c>
      <c r="M824" s="2">
        <v>4242.27788997074</v>
      </c>
      <c r="N824" s="3">
        <f t="shared" si="36"/>
        <v>49139.849036209038</v>
      </c>
      <c r="O824" s="2">
        <v>2.9672777518400002</v>
      </c>
      <c r="P824" s="2">
        <v>1.6078118196264699</v>
      </c>
      <c r="Q824" s="2">
        <v>8.1947737394509002</v>
      </c>
      <c r="R824" s="2">
        <v>0.229329506097911</v>
      </c>
      <c r="S824" s="2">
        <v>1.75389930327954</v>
      </c>
      <c r="T824" s="2">
        <v>3.6591679368187102</v>
      </c>
      <c r="U824" s="2">
        <v>0.27900738438661199</v>
      </c>
      <c r="V824" s="2">
        <v>3.9837084261945002E-2</v>
      </c>
      <c r="W824" s="2">
        <v>3.68055191963863</v>
      </c>
      <c r="X824" s="2">
        <v>3.7686928321359301</v>
      </c>
      <c r="Y824" s="2">
        <v>2.7671601294449402</v>
      </c>
      <c r="Z824" s="2">
        <v>13.5611197958291</v>
      </c>
      <c r="AA824" s="3">
        <f t="shared" si="37"/>
        <v>42.508629202810688</v>
      </c>
      <c r="AB824" t="s">
        <v>45</v>
      </c>
      <c r="AC824">
        <v>15.59</v>
      </c>
      <c r="AD824">
        <v>49.74</v>
      </c>
      <c r="AE824">
        <v>25.01</v>
      </c>
      <c r="AF824">
        <v>71.73</v>
      </c>
      <c r="AG824">
        <v>42.8</v>
      </c>
      <c r="AH824">
        <v>48.38</v>
      </c>
      <c r="AI824">
        <v>107.17</v>
      </c>
      <c r="AJ824">
        <v>103.37</v>
      </c>
      <c r="AK824">
        <v>38.51</v>
      </c>
      <c r="AL824">
        <v>43.09</v>
      </c>
      <c r="AM824">
        <v>15.25</v>
      </c>
      <c r="AN824">
        <v>53.12</v>
      </c>
      <c r="AO824" s="1">
        <f t="shared" si="38"/>
        <v>613.76</v>
      </c>
    </row>
    <row r="825" spans="1:41" x14ac:dyDescent="0.25">
      <c r="A825" t="s">
        <v>868</v>
      </c>
      <c r="B825" s="2">
        <v>537.78983009160504</v>
      </c>
      <c r="C825" s="2">
        <v>2028.14607438436</v>
      </c>
      <c r="D825" s="2">
        <v>4050.2008813454399</v>
      </c>
      <c r="E825" s="2">
        <v>1950.28582407166</v>
      </c>
      <c r="F825" s="2">
        <v>3807.0666106282101</v>
      </c>
      <c r="G825" s="2">
        <v>413.95892718971203</v>
      </c>
      <c r="H825" s="2">
        <v>0</v>
      </c>
      <c r="I825" s="2">
        <v>3558.4273067674098</v>
      </c>
      <c r="J825" s="2">
        <v>3212.0324669196898</v>
      </c>
      <c r="K825" s="2">
        <v>4290.9793173962698</v>
      </c>
      <c r="L825" s="2">
        <v>4534.0641425613703</v>
      </c>
      <c r="M825" s="2">
        <v>9076.2350968354494</v>
      </c>
      <c r="N825" s="3">
        <f t="shared" si="36"/>
        <v>37459.186478191179</v>
      </c>
      <c r="O825" s="2">
        <v>2.8304680854724702</v>
      </c>
      <c r="P825" s="2">
        <v>6.1220447412819397</v>
      </c>
      <c r="Q825" s="2">
        <v>5.5369338455517196</v>
      </c>
      <c r="R825" s="2">
        <v>1.61683217150972</v>
      </c>
      <c r="S825" s="2">
        <v>1.2900428592300599</v>
      </c>
      <c r="T825" s="2">
        <v>2.4406006957429902</v>
      </c>
      <c r="U825" s="2">
        <v>0.14665024024700199</v>
      </c>
      <c r="V825" s="2">
        <v>6.2588553376768399</v>
      </c>
      <c r="W825" s="2">
        <v>8.0160250984762396</v>
      </c>
      <c r="X825" s="2">
        <v>1.9465529954778999</v>
      </c>
      <c r="Y825" s="2">
        <v>4.9569141648634103</v>
      </c>
      <c r="Z825" s="2">
        <v>2.3520247397575602</v>
      </c>
      <c r="AA825" s="3">
        <f t="shared" si="37"/>
        <v>43.513944975287856</v>
      </c>
      <c r="AB825" t="s">
        <v>45</v>
      </c>
      <c r="AC825">
        <v>15.52</v>
      </c>
      <c r="AD825">
        <v>30.63</v>
      </c>
      <c r="AE825">
        <v>50.8</v>
      </c>
      <c r="AF825">
        <v>29.6</v>
      </c>
      <c r="AG825">
        <v>48.17</v>
      </c>
      <c r="AH825">
        <v>14.28</v>
      </c>
      <c r="AI825">
        <v>10.039999999999999</v>
      </c>
      <c r="AJ825">
        <v>45.93</v>
      </c>
      <c r="AK825">
        <v>42.57</v>
      </c>
      <c r="AL825">
        <v>53</v>
      </c>
      <c r="AM825">
        <v>55.59</v>
      </c>
      <c r="AN825">
        <v>100.91</v>
      </c>
      <c r="AO825" s="1">
        <f t="shared" si="38"/>
        <v>497.03999999999996</v>
      </c>
    </row>
    <row r="826" spans="1:41" x14ac:dyDescent="0.25">
      <c r="A826" t="s">
        <v>869</v>
      </c>
      <c r="B826" s="2">
        <v>534.05622362582005</v>
      </c>
      <c r="C826" s="2">
        <v>1308.62987703935</v>
      </c>
      <c r="D826" s="2">
        <v>4695.3161883194198</v>
      </c>
      <c r="E826" s="2">
        <v>779.68570687761598</v>
      </c>
      <c r="F826" s="2">
        <v>2471.1232148763602</v>
      </c>
      <c r="G826" s="2">
        <v>459.64986142142698</v>
      </c>
      <c r="H826" s="2">
        <v>3496.9148577237902</v>
      </c>
      <c r="I826" s="2">
        <v>1848.0352065234099</v>
      </c>
      <c r="J826" s="2">
        <v>4171.9156511847896</v>
      </c>
      <c r="K826" s="2">
        <v>5816.4779003489102</v>
      </c>
      <c r="L826" s="2">
        <v>2597.27582940208</v>
      </c>
      <c r="M826" s="2">
        <v>1004.97350642629</v>
      </c>
      <c r="N826" s="3">
        <f t="shared" si="36"/>
        <v>29184.054023769258</v>
      </c>
      <c r="O826" s="2">
        <v>3.8595537263439699</v>
      </c>
      <c r="P826" s="2">
        <v>0.40097253631884799</v>
      </c>
      <c r="Q826" s="2">
        <v>1.1142271459013799</v>
      </c>
      <c r="R826" s="2">
        <v>1.7687101932162701</v>
      </c>
      <c r="S826" s="2">
        <v>2.09602061076408</v>
      </c>
      <c r="T826" s="2">
        <v>12.4699561779444</v>
      </c>
      <c r="U826" s="2">
        <v>1.2074566522349199</v>
      </c>
      <c r="V826" s="2">
        <v>0</v>
      </c>
      <c r="W826" s="2">
        <v>4.53362148371159</v>
      </c>
      <c r="X826" s="2">
        <v>0.29709108479108898</v>
      </c>
      <c r="Y826" s="2">
        <v>9.0441391462537304</v>
      </c>
      <c r="Z826" s="2">
        <v>3.6464370539091702</v>
      </c>
      <c r="AA826" s="3">
        <f t="shared" si="37"/>
        <v>40.438185811389445</v>
      </c>
      <c r="AB826" t="s">
        <v>63</v>
      </c>
      <c r="AC826">
        <v>11.06</v>
      </c>
      <c r="AD826">
        <v>26.27</v>
      </c>
      <c r="AE826">
        <v>94.1</v>
      </c>
      <c r="AF826">
        <v>15.78</v>
      </c>
      <c r="AG826">
        <v>49.71</v>
      </c>
      <c r="AH826">
        <v>10.37</v>
      </c>
      <c r="AI826">
        <v>70.12</v>
      </c>
      <c r="AJ826">
        <v>36.979999999999997</v>
      </c>
      <c r="AK826">
        <v>83.89</v>
      </c>
      <c r="AL826">
        <v>116.43</v>
      </c>
      <c r="AM826">
        <v>52.86</v>
      </c>
      <c r="AN826">
        <v>20.46</v>
      </c>
      <c r="AO826" s="1">
        <f t="shared" si="38"/>
        <v>588.03000000000009</v>
      </c>
    </row>
    <row r="827" spans="1:41" x14ac:dyDescent="0.25">
      <c r="A827" t="s">
        <v>870</v>
      </c>
      <c r="B827" s="2">
        <v>526.738901775518</v>
      </c>
      <c r="C827" s="2">
        <v>4189.7153112217702</v>
      </c>
      <c r="D827" s="2">
        <v>92.291261433799093</v>
      </c>
      <c r="E827" s="2">
        <v>767.09572108633097</v>
      </c>
      <c r="F827" s="2">
        <v>3079.20988401253</v>
      </c>
      <c r="G827" s="2">
        <v>5127.4303617735804</v>
      </c>
      <c r="H827" s="2">
        <v>661.126485511993</v>
      </c>
      <c r="I827" s="2">
        <v>2481.6090937757199</v>
      </c>
      <c r="J827" s="2">
        <v>9940.9772452371908</v>
      </c>
      <c r="K827" s="2">
        <v>10337.870652228799</v>
      </c>
      <c r="L827" s="2">
        <v>1645.00972405117</v>
      </c>
      <c r="M827" s="2">
        <v>6688.3057293850998</v>
      </c>
      <c r="N827" s="3">
        <f t="shared" si="36"/>
        <v>45537.380371493498</v>
      </c>
      <c r="O827" s="2">
        <v>0</v>
      </c>
      <c r="P827" s="2">
        <v>7.7569355326966303</v>
      </c>
      <c r="Q827" s="2">
        <v>3.1732468203141999</v>
      </c>
      <c r="R827" s="2">
        <v>0.872910595465057</v>
      </c>
      <c r="S827" s="2">
        <v>0</v>
      </c>
      <c r="T827" s="2">
        <v>5.11424141627705</v>
      </c>
      <c r="U827" s="2">
        <v>5.38327833625587</v>
      </c>
      <c r="V827" s="2">
        <v>0.81133713321685696</v>
      </c>
      <c r="W827" s="2">
        <v>11.8089579166165</v>
      </c>
      <c r="X827" s="2">
        <v>2.2614497477833102</v>
      </c>
      <c r="Y827" s="2">
        <v>3.2112822556109899</v>
      </c>
      <c r="Z827" s="2">
        <v>12.826287500971199</v>
      </c>
      <c r="AA827" s="3">
        <f t="shared" si="37"/>
        <v>53.219927255207658</v>
      </c>
      <c r="AB827" t="s">
        <v>45</v>
      </c>
      <c r="AC827">
        <v>15.26</v>
      </c>
      <c r="AD827">
        <v>52.29</v>
      </c>
      <c r="AE827">
        <v>11.12</v>
      </c>
      <c r="AF827">
        <v>17.72</v>
      </c>
      <c r="AG827">
        <v>40.79</v>
      </c>
      <c r="AH827">
        <v>61.57</v>
      </c>
      <c r="AI827">
        <v>16.91</v>
      </c>
      <c r="AJ827">
        <v>34.86</v>
      </c>
      <c r="AK827">
        <v>110</v>
      </c>
      <c r="AL827">
        <v>113.52</v>
      </c>
      <c r="AM827">
        <v>26.65</v>
      </c>
      <c r="AN827">
        <v>77.53</v>
      </c>
      <c r="AO827" s="1">
        <f t="shared" si="38"/>
        <v>578.21999999999991</v>
      </c>
    </row>
    <row r="828" spans="1:41" x14ac:dyDescent="0.25">
      <c r="A828" t="s">
        <v>871</v>
      </c>
      <c r="B828" s="2">
        <v>519.69100962778703</v>
      </c>
      <c r="C828" s="2">
        <v>4461.4900199623698</v>
      </c>
      <c r="D828" s="2">
        <v>366.69857179693099</v>
      </c>
      <c r="E828" s="2">
        <v>4474.8121900362203</v>
      </c>
      <c r="F828" s="2">
        <v>2749.7066861220201</v>
      </c>
      <c r="G828" s="2">
        <v>14520.3301614677</v>
      </c>
      <c r="H828" s="2">
        <v>6355.2951943102398</v>
      </c>
      <c r="I828" s="2">
        <v>1092.2554853066399</v>
      </c>
      <c r="J828" s="2">
        <v>3619.5077881028501</v>
      </c>
      <c r="K828" s="2">
        <v>288.61874796988502</v>
      </c>
      <c r="L828" s="2">
        <v>943.27118663336603</v>
      </c>
      <c r="M828" s="2">
        <v>4931.7642209566202</v>
      </c>
      <c r="N828" s="3">
        <f t="shared" si="36"/>
        <v>44323.441262292625</v>
      </c>
      <c r="O828" s="2">
        <v>3.4282876261598099</v>
      </c>
      <c r="P828" s="2">
        <v>2.2315845842139299</v>
      </c>
      <c r="Q828" s="2">
        <v>9.2956364617692895</v>
      </c>
      <c r="R828" s="2">
        <v>0.23430318063689501</v>
      </c>
      <c r="S828" s="2">
        <v>2.39414106524237</v>
      </c>
      <c r="T828" s="2">
        <v>10.4685999520095</v>
      </c>
      <c r="U828" s="2">
        <v>1.2635923456787499</v>
      </c>
      <c r="V828" s="2">
        <v>1.3571463693368899</v>
      </c>
      <c r="W828" s="2">
        <v>2.2496550552976098</v>
      </c>
      <c r="X828" s="2">
        <v>7.1685540239377303</v>
      </c>
      <c r="Y828" s="2">
        <v>2.18844563062857</v>
      </c>
      <c r="Z828" s="2">
        <v>3.4369858541222098</v>
      </c>
      <c r="AA828" s="3">
        <f t="shared" si="37"/>
        <v>45.716932149033561</v>
      </c>
      <c r="AB828" t="s">
        <v>45</v>
      </c>
      <c r="AC828">
        <v>15.39</v>
      </c>
      <c r="AD828">
        <v>54.76</v>
      </c>
      <c r="AE828">
        <v>14.16</v>
      </c>
      <c r="AF828">
        <v>54.79</v>
      </c>
      <c r="AG828">
        <v>37.64</v>
      </c>
      <c r="AH828">
        <v>155.75</v>
      </c>
      <c r="AI828">
        <v>73.650000000000006</v>
      </c>
      <c r="AJ828">
        <v>21.02</v>
      </c>
      <c r="AK828">
        <v>46.34</v>
      </c>
      <c r="AL828">
        <v>13.28</v>
      </c>
      <c r="AM828">
        <v>19.579999999999998</v>
      </c>
      <c r="AN828">
        <v>59.51</v>
      </c>
      <c r="AO828" s="1">
        <f t="shared" si="38"/>
        <v>565.87</v>
      </c>
    </row>
    <row r="829" spans="1:41" x14ac:dyDescent="0.25">
      <c r="A829" t="s">
        <v>872</v>
      </c>
      <c r="B829" s="2">
        <v>511.33252286251701</v>
      </c>
      <c r="C829" s="2">
        <v>1563.1064945582</v>
      </c>
      <c r="D829" s="2">
        <v>588.82811967553005</v>
      </c>
      <c r="E829" s="2">
        <v>8666.0433631110009</v>
      </c>
      <c r="F829" s="2">
        <v>5793.5555888811195</v>
      </c>
      <c r="G829" s="2">
        <v>0</v>
      </c>
      <c r="H829" s="2">
        <v>84.426306847423305</v>
      </c>
      <c r="I829" s="2">
        <v>5791.2271288196698</v>
      </c>
      <c r="J829" s="2">
        <v>5140.0756355724698</v>
      </c>
      <c r="K829" s="2">
        <v>11217.9335067144</v>
      </c>
      <c r="L829" s="2">
        <v>20909.403184480499</v>
      </c>
      <c r="M829" s="2">
        <v>13201.328984665501</v>
      </c>
      <c r="N829" s="3">
        <f t="shared" si="36"/>
        <v>73467.260836188332</v>
      </c>
      <c r="O829" s="2">
        <v>8.1531030951299801</v>
      </c>
      <c r="P829" s="2">
        <v>1.0956269038064901</v>
      </c>
      <c r="Q829" s="2">
        <v>5.6775584749671699</v>
      </c>
      <c r="R829" s="2">
        <v>4.7199385201345203</v>
      </c>
      <c r="S829" s="2">
        <v>1.2478061250683501</v>
      </c>
      <c r="T829" s="2">
        <v>9.4073107964442695</v>
      </c>
      <c r="U829" s="2">
        <v>2.5189211677992098</v>
      </c>
      <c r="V829" s="2">
        <v>6.2346538839832402</v>
      </c>
      <c r="W829" s="2">
        <v>3.2052699774623199</v>
      </c>
      <c r="X829" s="2">
        <v>7.6075304611334804</v>
      </c>
      <c r="Y829" s="2">
        <v>0.45048941814875099</v>
      </c>
      <c r="Z829" s="2">
        <v>0</v>
      </c>
      <c r="AA829" s="3">
        <f t="shared" si="37"/>
        <v>50.318208824077786</v>
      </c>
      <c r="AB829" t="s">
        <v>45</v>
      </c>
      <c r="AC829">
        <v>15.56</v>
      </c>
      <c r="AD829">
        <v>25.73</v>
      </c>
      <c r="AE829">
        <v>16.18</v>
      </c>
      <c r="AF829">
        <v>96.91</v>
      </c>
      <c r="AG829">
        <v>68.03</v>
      </c>
      <c r="AH829">
        <v>10.49</v>
      </c>
      <c r="AI829">
        <v>10.99</v>
      </c>
      <c r="AJ829">
        <v>68.260000000000005</v>
      </c>
      <c r="AK829">
        <v>61.6</v>
      </c>
      <c r="AL829">
        <v>122.57</v>
      </c>
      <c r="AM829">
        <v>219.14</v>
      </c>
      <c r="AN829">
        <v>142.01</v>
      </c>
      <c r="AO829" s="1">
        <f t="shared" si="38"/>
        <v>857.47</v>
      </c>
    </row>
    <row r="830" spans="1:41" x14ac:dyDescent="0.25">
      <c r="A830" t="s">
        <v>873</v>
      </c>
      <c r="B830" s="2">
        <v>503.189868257233</v>
      </c>
      <c r="C830" s="2">
        <v>0</v>
      </c>
      <c r="D830" s="2">
        <v>2032.88715858202</v>
      </c>
      <c r="E830" s="2">
        <v>89.555849491250797</v>
      </c>
      <c r="F830" s="2">
        <v>10481.6414080576</v>
      </c>
      <c r="G830" s="2">
        <v>428.74391553146199</v>
      </c>
      <c r="H830" s="2">
        <v>1103.1035863355701</v>
      </c>
      <c r="I830" s="2">
        <v>9605.1070936702909</v>
      </c>
      <c r="J830" s="2">
        <v>2469.6452437916901</v>
      </c>
      <c r="K830" s="2">
        <v>735.75336515624497</v>
      </c>
      <c r="L830" s="2">
        <v>1314.8787957383599</v>
      </c>
      <c r="M830" s="2">
        <v>2102.5517762417999</v>
      </c>
      <c r="N830" s="3">
        <f t="shared" si="36"/>
        <v>30867.058060853517</v>
      </c>
      <c r="O830" s="2">
        <v>3.2179156186476998</v>
      </c>
      <c r="P830" s="2">
        <v>0.97565985448417303</v>
      </c>
      <c r="Q830" s="2">
        <v>2.0127696617707902</v>
      </c>
      <c r="R830" s="2">
        <v>6.8871327863051999</v>
      </c>
      <c r="S830" s="2">
        <v>0.39986703241711902</v>
      </c>
      <c r="T830" s="2">
        <v>1.95771947861125</v>
      </c>
      <c r="U830" s="2">
        <v>4.9650316202467097</v>
      </c>
      <c r="V830" s="2">
        <v>7.4525933951095302</v>
      </c>
      <c r="W830" s="2">
        <v>1.41443473549298</v>
      </c>
      <c r="X830" s="2">
        <v>3.1645281136385601</v>
      </c>
      <c r="Y830" s="2">
        <v>1.18274213689607</v>
      </c>
      <c r="Z830" s="2">
        <v>1.4236747427633001</v>
      </c>
      <c r="AA830" s="3">
        <f t="shared" si="37"/>
        <v>35.054069176383379</v>
      </c>
      <c r="AB830" t="s">
        <v>63</v>
      </c>
      <c r="AC830">
        <v>10.44</v>
      </c>
      <c r="AD830">
        <v>0.09</v>
      </c>
      <c r="AE830">
        <v>40.93</v>
      </c>
      <c r="AF830">
        <v>2.4300000000000002</v>
      </c>
      <c r="AG830">
        <v>209.73</v>
      </c>
      <c r="AH830">
        <v>8.76</v>
      </c>
      <c r="AI830">
        <v>22.53</v>
      </c>
      <c r="AJ830">
        <v>192.84</v>
      </c>
      <c r="AK830">
        <v>49.58</v>
      </c>
      <c r="AL830">
        <v>15.08</v>
      </c>
      <c r="AM830">
        <v>26.48</v>
      </c>
      <c r="AN830">
        <v>42.24</v>
      </c>
      <c r="AO830" s="1">
        <f t="shared" si="38"/>
        <v>621.13000000000011</v>
      </c>
    </row>
    <row r="831" spans="1:41" x14ac:dyDescent="0.25">
      <c r="A831" t="s">
        <v>874</v>
      </c>
      <c r="B831" s="2">
        <v>475.84392487026702</v>
      </c>
      <c r="C831" s="2">
        <v>10952.241708883501</v>
      </c>
      <c r="D831" s="2">
        <v>4681.7164870776596</v>
      </c>
      <c r="E831" s="2">
        <v>452.73015861099901</v>
      </c>
      <c r="F831" s="2">
        <v>6374.9525809544702</v>
      </c>
      <c r="G831" s="2">
        <v>2266.0607811488499</v>
      </c>
      <c r="H831" s="2">
        <v>3771.3829813463999</v>
      </c>
      <c r="I831" s="2">
        <v>1042.6043938478199</v>
      </c>
      <c r="J831" s="2">
        <v>4692.9919609995804</v>
      </c>
      <c r="K831" s="2">
        <v>4889.9461095469696</v>
      </c>
      <c r="L831" s="2">
        <v>2292.6152417592398</v>
      </c>
      <c r="M831" s="2">
        <v>184.53288720190699</v>
      </c>
      <c r="N831" s="3">
        <f t="shared" si="36"/>
        <v>42077.619216247665</v>
      </c>
      <c r="O831" s="2">
        <v>2.15115406064298</v>
      </c>
      <c r="P831" s="2">
        <v>4.1069923266741899</v>
      </c>
      <c r="Q831" s="2">
        <v>9.8628075417092997</v>
      </c>
      <c r="R831" s="2">
        <v>3.8499948521506102</v>
      </c>
      <c r="S831" s="2">
        <v>0.148000065470931</v>
      </c>
      <c r="T831" s="2">
        <v>4.8894273767410299</v>
      </c>
      <c r="U831" s="2">
        <v>2.5097476199264501</v>
      </c>
      <c r="V831" s="2">
        <v>0</v>
      </c>
      <c r="W831" s="2">
        <v>4.3809699161094402</v>
      </c>
      <c r="X831" s="2">
        <v>10.6940254351471</v>
      </c>
      <c r="Y831" s="2">
        <v>1.2141911320831</v>
      </c>
      <c r="Z831" s="2">
        <v>0.82457519009606794</v>
      </c>
      <c r="AA831" s="3">
        <f t="shared" si="37"/>
        <v>44.631885516751197</v>
      </c>
      <c r="AB831" t="s">
        <v>45</v>
      </c>
      <c r="AC831">
        <v>14.9</v>
      </c>
      <c r="AD831">
        <v>119.77</v>
      </c>
      <c r="AE831">
        <v>57.31</v>
      </c>
      <c r="AF831">
        <v>14.72</v>
      </c>
      <c r="AG831">
        <v>73.790000000000006</v>
      </c>
      <c r="AH831">
        <v>32.909999999999997</v>
      </c>
      <c r="AI831">
        <v>47.86</v>
      </c>
      <c r="AJ831">
        <v>20.420000000000002</v>
      </c>
      <c r="AK831">
        <v>57.17</v>
      </c>
      <c r="AL831">
        <v>59.44</v>
      </c>
      <c r="AM831">
        <v>33.020000000000003</v>
      </c>
      <c r="AN831">
        <v>11.89</v>
      </c>
      <c r="AO831" s="1">
        <f t="shared" si="38"/>
        <v>543.20000000000005</v>
      </c>
    </row>
    <row r="832" spans="1:41" x14ac:dyDescent="0.25">
      <c r="A832" t="s">
        <v>875</v>
      </c>
      <c r="B832" s="2">
        <v>473.75348004865998</v>
      </c>
      <c r="C832" s="2">
        <v>1633.4555962439799</v>
      </c>
      <c r="D832" s="2">
        <v>0</v>
      </c>
      <c r="E832" s="2">
        <v>1172.4544064307199</v>
      </c>
      <c r="F832" s="2">
        <v>87.114295223534896</v>
      </c>
      <c r="G832" s="2">
        <v>1985.7390028712</v>
      </c>
      <c r="H832" s="2">
        <v>6406.6896649595101</v>
      </c>
      <c r="I832" s="2">
        <v>1332.4676964348901</v>
      </c>
      <c r="J832" s="2">
        <v>6098.4696369614503</v>
      </c>
      <c r="K832" s="2">
        <v>4423.00620558023</v>
      </c>
      <c r="L832" s="2">
        <v>2750.5711930284901</v>
      </c>
      <c r="M832" s="2">
        <v>1894.73025057104</v>
      </c>
      <c r="N832" s="3">
        <f t="shared" si="36"/>
        <v>28258.451428353703</v>
      </c>
      <c r="O832" s="2">
        <v>1.82741599710855</v>
      </c>
      <c r="P832" s="2">
        <v>4.2968952683300596</v>
      </c>
      <c r="Q832" s="2">
        <v>5.2166932792907597</v>
      </c>
      <c r="R832" s="2">
        <v>6.5411957936262102</v>
      </c>
      <c r="S832" s="2">
        <v>6.8628087751911497</v>
      </c>
      <c r="T832" s="2">
        <v>1.5660667870824001</v>
      </c>
      <c r="U832" s="2">
        <v>1.4700096058713801</v>
      </c>
      <c r="V832" s="2">
        <v>3.80359850646501</v>
      </c>
      <c r="W832" s="2">
        <v>3.1339548310673901</v>
      </c>
      <c r="X832" s="2">
        <v>1.6722859007250099</v>
      </c>
      <c r="Y832" s="2">
        <v>0</v>
      </c>
      <c r="Z832" s="2">
        <v>2.3467703838098899</v>
      </c>
      <c r="AA832" s="3">
        <f t="shared" si="37"/>
        <v>38.737695128567808</v>
      </c>
      <c r="AB832" t="s">
        <v>63</v>
      </c>
      <c r="AC832">
        <v>9.66</v>
      </c>
      <c r="AD832">
        <v>33.130000000000003</v>
      </c>
      <c r="AE832">
        <v>0.54</v>
      </c>
      <c r="AF832">
        <v>24.09</v>
      </c>
      <c r="AG832">
        <v>2.39</v>
      </c>
      <c r="AH832">
        <v>39.9</v>
      </c>
      <c r="AI832">
        <v>128.32</v>
      </c>
      <c r="AJ832">
        <v>27.02</v>
      </c>
      <c r="AK832">
        <v>122.34</v>
      </c>
      <c r="AL832">
        <v>88.66</v>
      </c>
      <c r="AM832">
        <v>55.02</v>
      </c>
      <c r="AN832">
        <v>38.17</v>
      </c>
      <c r="AO832" s="1">
        <f t="shared" si="38"/>
        <v>569.2399999999999</v>
      </c>
    </row>
    <row r="833" spans="1:41" x14ac:dyDescent="0.25">
      <c r="A833" t="s">
        <v>876</v>
      </c>
      <c r="B833" s="2">
        <v>463.67736084652699</v>
      </c>
      <c r="C833" s="2">
        <v>2476.0540959067098</v>
      </c>
      <c r="D833" s="2">
        <v>4361.9919237865697</v>
      </c>
      <c r="E833" s="2">
        <v>0</v>
      </c>
      <c r="F833" s="2">
        <v>1383.61676674093</v>
      </c>
      <c r="G833" s="2">
        <v>0</v>
      </c>
      <c r="H833" s="2">
        <v>3737.0734189711302</v>
      </c>
      <c r="I833" s="2">
        <v>399.05799885393299</v>
      </c>
      <c r="J833" s="2">
        <v>501.63617336449101</v>
      </c>
      <c r="K833" s="2">
        <v>3201.0840364463802</v>
      </c>
      <c r="L833" s="2">
        <v>5135.6408130289501</v>
      </c>
      <c r="M833" s="2">
        <v>1479.03289445673</v>
      </c>
      <c r="N833" s="3">
        <f t="shared" si="36"/>
        <v>23138.865482402351</v>
      </c>
      <c r="O833" s="2">
        <v>1.2536099132170599</v>
      </c>
      <c r="P833" s="2">
        <v>0.64532990288610304</v>
      </c>
      <c r="Q833" s="2">
        <v>2.1895172874302902</v>
      </c>
      <c r="R833" s="2">
        <v>1.17711274516791</v>
      </c>
      <c r="S833" s="2">
        <v>0</v>
      </c>
      <c r="T833" s="2">
        <v>0.47871846752637998</v>
      </c>
      <c r="U833" s="2">
        <v>9.3206075494262794</v>
      </c>
      <c r="V833" s="2">
        <v>1.0535771211009299</v>
      </c>
      <c r="W833" s="2">
        <v>0</v>
      </c>
      <c r="X833" s="2">
        <v>3.2670603682806401</v>
      </c>
      <c r="Y833" s="2">
        <v>17.296608136116099</v>
      </c>
      <c r="Z833" s="2">
        <v>0.42345958370943898</v>
      </c>
      <c r="AA833" s="3">
        <f t="shared" si="37"/>
        <v>37.105601074861127</v>
      </c>
      <c r="AB833" t="s">
        <v>63</v>
      </c>
      <c r="AC833">
        <v>9.4600000000000009</v>
      </c>
      <c r="AD833">
        <v>49.63</v>
      </c>
      <c r="AE833">
        <v>87.51</v>
      </c>
      <c r="AF833">
        <v>0.18</v>
      </c>
      <c r="AG833">
        <v>27.68</v>
      </c>
      <c r="AH833">
        <v>0.09</v>
      </c>
      <c r="AI833">
        <v>75.66</v>
      </c>
      <c r="AJ833">
        <v>8.18</v>
      </c>
      <c r="AK833">
        <v>10.039999999999999</v>
      </c>
      <c r="AL833">
        <v>64.400000000000006</v>
      </c>
      <c r="AM833">
        <v>104.34</v>
      </c>
      <c r="AN833">
        <v>29.69</v>
      </c>
      <c r="AO833" s="1">
        <f t="shared" si="38"/>
        <v>466.86000000000007</v>
      </c>
    </row>
    <row r="834" spans="1:41" x14ac:dyDescent="0.25">
      <c r="A834" t="s">
        <v>877</v>
      </c>
      <c r="B834" s="2">
        <v>460.664074174836</v>
      </c>
      <c r="C834" s="2">
        <v>86.734347582033294</v>
      </c>
      <c r="D834" s="2">
        <v>1758.1118111006101</v>
      </c>
      <c r="E834" s="2">
        <v>16122.9621854876</v>
      </c>
      <c r="F834" s="2">
        <v>1887.72846007669</v>
      </c>
      <c r="G834" s="2">
        <v>3933.4380180242501</v>
      </c>
      <c r="H834" s="2">
        <v>0</v>
      </c>
      <c r="I834" s="2">
        <v>2576.9381632714799</v>
      </c>
      <c r="J834" s="2">
        <v>15649.4038879331</v>
      </c>
      <c r="K834" s="2">
        <v>369.92290017949603</v>
      </c>
      <c r="L834" s="2">
        <v>6006.7343046155902</v>
      </c>
      <c r="M834" s="2">
        <v>20724.999675375799</v>
      </c>
      <c r="N834" s="3">
        <f t="shared" si="36"/>
        <v>69577.637827821483</v>
      </c>
      <c r="O834" s="2">
        <v>10.657852090993501</v>
      </c>
      <c r="P834" s="2">
        <v>2.5353359485690099</v>
      </c>
      <c r="Q834" s="2">
        <v>0</v>
      </c>
      <c r="R834" s="2">
        <v>2.79032034094294</v>
      </c>
      <c r="S834" s="2">
        <v>0</v>
      </c>
      <c r="T834" s="2">
        <v>0.82284579202299002</v>
      </c>
      <c r="U834" s="2">
        <v>1.9208409472999499</v>
      </c>
      <c r="V834" s="2">
        <v>7.9434610375211196</v>
      </c>
      <c r="W834" s="2">
        <v>3.2339238680795499</v>
      </c>
      <c r="X834" s="2">
        <v>4.6395613254849399</v>
      </c>
      <c r="Y834" s="2">
        <v>20.663975997078701</v>
      </c>
      <c r="Z834" s="2">
        <v>1.29479568349264</v>
      </c>
      <c r="AA834" s="3">
        <f t="shared" si="37"/>
        <v>56.502913031485342</v>
      </c>
      <c r="AB834" t="s">
        <v>63</v>
      </c>
      <c r="AC834">
        <v>10.210000000000001</v>
      </c>
      <c r="AD834">
        <v>2.0099999999999998</v>
      </c>
      <c r="AE834">
        <v>35.18</v>
      </c>
      <c r="AF834">
        <v>322.73</v>
      </c>
      <c r="AG834">
        <v>37.76</v>
      </c>
      <c r="AH834">
        <v>78.77</v>
      </c>
      <c r="AI834">
        <v>0.18</v>
      </c>
      <c r="AJ834">
        <v>52.26</v>
      </c>
      <c r="AK834">
        <v>313.36</v>
      </c>
      <c r="AL834">
        <v>7.85</v>
      </c>
      <c r="AM834">
        <v>122.03</v>
      </c>
      <c r="AN834">
        <v>414.68</v>
      </c>
      <c r="AO834" s="1">
        <f t="shared" si="38"/>
        <v>1397.02</v>
      </c>
    </row>
    <row r="835" spans="1:41" x14ac:dyDescent="0.25">
      <c r="A835" t="s">
        <v>878</v>
      </c>
      <c r="B835" s="2">
        <v>459.37233962442002</v>
      </c>
      <c r="C835" s="2">
        <v>3708.2884136971902</v>
      </c>
      <c r="D835" s="2">
        <v>1601.4332536634499</v>
      </c>
      <c r="E835" s="2">
        <v>8028.0902129224996</v>
      </c>
      <c r="F835" s="2">
        <v>2289.6343516744701</v>
      </c>
      <c r="G835" s="2">
        <v>4830.0698455207303</v>
      </c>
      <c r="H835" s="2">
        <v>1390.4865701369899</v>
      </c>
      <c r="I835" s="2">
        <v>1225.29416083195</v>
      </c>
      <c r="J835" s="2">
        <v>2029.33234608523</v>
      </c>
      <c r="K835" s="2">
        <v>1270.1097590335501</v>
      </c>
      <c r="L835" s="2">
        <v>516.23445644399601</v>
      </c>
      <c r="M835" s="2">
        <v>929.08352807957897</v>
      </c>
      <c r="N835" s="3">
        <f t="shared" ref="N835:N898" si="39">SUM(B835:M835)</f>
        <v>28277.429237714052</v>
      </c>
      <c r="O835" s="2">
        <v>0</v>
      </c>
      <c r="P835" s="2">
        <v>2.12224139530184</v>
      </c>
      <c r="Q835" s="2">
        <v>2.2054685183057399</v>
      </c>
      <c r="R835" s="2">
        <v>0.97077798381092595</v>
      </c>
      <c r="S835" s="2">
        <v>0</v>
      </c>
      <c r="T835" s="2">
        <v>0.88202082167975404</v>
      </c>
      <c r="U835" s="2">
        <v>4.8319231264909401</v>
      </c>
      <c r="V835" s="2">
        <v>2.17884039320022</v>
      </c>
      <c r="W835" s="2">
        <v>3.75702587799349</v>
      </c>
      <c r="X835" s="2">
        <v>1.71084320529578</v>
      </c>
      <c r="Y835" s="2">
        <v>4.3695651860393196</v>
      </c>
      <c r="Z835" s="2">
        <v>12.4684002747137</v>
      </c>
      <c r="AA835" s="3">
        <f t="shared" si="37"/>
        <v>35.497106782831708</v>
      </c>
      <c r="AB835" t="s">
        <v>63</v>
      </c>
      <c r="AC835">
        <v>9.1999999999999993</v>
      </c>
      <c r="AD835">
        <v>74.45</v>
      </c>
      <c r="AE835">
        <v>32.31</v>
      </c>
      <c r="AF835">
        <v>160.66999999999999</v>
      </c>
      <c r="AG835">
        <v>45.8</v>
      </c>
      <c r="AH835">
        <v>96.71</v>
      </c>
      <c r="AI835">
        <v>28.27</v>
      </c>
      <c r="AJ835">
        <v>24.79</v>
      </c>
      <c r="AK835">
        <v>40.96</v>
      </c>
      <c r="AL835">
        <v>25.6</v>
      </c>
      <c r="AM835">
        <v>10.79</v>
      </c>
      <c r="AN835">
        <v>19.77</v>
      </c>
      <c r="AO835" s="1">
        <f t="shared" si="38"/>
        <v>569.31999999999994</v>
      </c>
    </row>
    <row r="836" spans="1:41" x14ac:dyDescent="0.25">
      <c r="A836" t="s">
        <v>879</v>
      </c>
      <c r="B836" s="2">
        <v>454.74632682938801</v>
      </c>
      <c r="C836" s="2">
        <v>0</v>
      </c>
      <c r="D836" s="2">
        <v>4127.8071613758302</v>
      </c>
      <c r="E836" s="2">
        <v>2258.24271848833</v>
      </c>
      <c r="F836" s="2">
        <v>534.35757327656404</v>
      </c>
      <c r="G836" s="2">
        <v>0</v>
      </c>
      <c r="H836" s="2">
        <v>1689.96415094241</v>
      </c>
      <c r="I836" s="2">
        <v>275.16611540917199</v>
      </c>
      <c r="J836" s="2">
        <v>15607.215002442101</v>
      </c>
      <c r="K836" s="2">
        <v>6194.4052392281801</v>
      </c>
      <c r="L836" s="2">
        <v>372.81750601498698</v>
      </c>
      <c r="M836" s="2">
        <v>2605.7776615769199</v>
      </c>
      <c r="N836" s="3">
        <f t="shared" si="39"/>
        <v>34120.499455583886</v>
      </c>
      <c r="O836" s="2">
        <v>0.79312978319689398</v>
      </c>
      <c r="P836" s="2">
        <v>0.70288367634468796</v>
      </c>
      <c r="Q836" s="2">
        <v>0</v>
      </c>
      <c r="R836" s="2">
        <v>3.6924276984517399</v>
      </c>
      <c r="S836" s="2">
        <v>3.90603648131458</v>
      </c>
      <c r="T836" s="2">
        <v>1.8074368316938201</v>
      </c>
      <c r="U836" s="2">
        <v>0</v>
      </c>
      <c r="V836" s="2">
        <v>1.0376792515240301</v>
      </c>
      <c r="W836" s="2">
        <v>6.03841278726558</v>
      </c>
      <c r="X836" s="2">
        <v>0.87871200206053801</v>
      </c>
      <c r="Y836" s="2">
        <v>3.8757851014883502</v>
      </c>
      <c r="Z836" s="2">
        <v>0.389486522651873</v>
      </c>
      <c r="AA836" s="3">
        <f t="shared" ref="AA836:AA899" si="40">SUM(O836:Z836)</f>
        <v>23.121990135992096</v>
      </c>
      <c r="AB836" t="s">
        <v>63</v>
      </c>
      <c r="AC836">
        <v>9.19</v>
      </c>
      <c r="AD836">
        <v>0.09</v>
      </c>
      <c r="AE836">
        <v>82.56</v>
      </c>
      <c r="AF836">
        <v>45.54</v>
      </c>
      <c r="AG836">
        <v>11.06</v>
      </c>
      <c r="AH836">
        <v>0.18</v>
      </c>
      <c r="AI836">
        <v>33.799999999999997</v>
      </c>
      <c r="AJ836">
        <v>5.7</v>
      </c>
      <c r="AK836">
        <v>312.79000000000002</v>
      </c>
      <c r="AL836">
        <v>123.99</v>
      </c>
      <c r="AM836">
        <v>7.82</v>
      </c>
      <c r="AN836">
        <v>52.21</v>
      </c>
      <c r="AO836" s="1">
        <f t="shared" si="38"/>
        <v>684.93000000000006</v>
      </c>
    </row>
    <row r="837" spans="1:41" x14ac:dyDescent="0.25">
      <c r="A837" t="s">
        <v>880</v>
      </c>
      <c r="B837" s="2">
        <v>452.50650633431002</v>
      </c>
      <c r="C837" s="2">
        <v>3451.4418456738599</v>
      </c>
      <c r="D837" s="2">
        <v>1290.7471096905099</v>
      </c>
      <c r="E837" s="2">
        <v>849.87563188781098</v>
      </c>
      <c r="F837" s="2">
        <v>2426.33708099553</v>
      </c>
      <c r="G837" s="2">
        <v>2294.66147932173</v>
      </c>
      <c r="H837" s="2">
        <v>0</v>
      </c>
      <c r="I837" s="2">
        <v>1020.59418233683</v>
      </c>
      <c r="J837" s="2">
        <v>299.66664919714799</v>
      </c>
      <c r="K837" s="2">
        <v>0</v>
      </c>
      <c r="L837" s="2">
        <v>327.31669197627502</v>
      </c>
      <c r="M837" s="2">
        <v>0</v>
      </c>
      <c r="N837" s="3">
        <f t="shared" si="39"/>
        <v>12413.147177414005</v>
      </c>
      <c r="O837" s="2">
        <v>5.1400582880093602</v>
      </c>
      <c r="P837" s="2">
        <v>0.63404319153995103</v>
      </c>
      <c r="Q837" s="2">
        <v>0</v>
      </c>
      <c r="R837" s="2">
        <v>6.3451329199765896</v>
      </c>
      <c r="S837" s="2">
        <v>0.24669870163285099</v>
      </c>
      <c r="T837" s="2">
        <v>6.3397109208122702</v>
      </c>
      <c r="U837" s="2">
        <v>3.8383244400894898</v>
      </c>
      <c r="V837" s="2">
        <v>0</v>
      </c>
      <c r="W837" s="2">
        <v>1.4641122764160299</v>
      </c>
      <c r="X837" s="2">
        <v>0</v>
      </c>
      <c r="Y837" s="2">
        <v>3.2528357285035399</v>
      </c>
      <c r="Z837" s="2">
        <v>0.95878254909386895</v>
      </c>
      <c r="AA837" s="3">
        <f t="shared" si="40"/>
        <v>28.219699016073953</v>
      </c>
      <c r="AB837" t="s">
        <v>63</v>
      </c>
      <c r="AC837">
        <v>9.6</v>
      </c>
      <c r="AD837">
        <v>69.13</v>
      </c>
      <c r="AE837">
        <v>25.82</v>
      </c>
      <c r="AF837">
        <v>17.63</v>
      </c>
      <c r="AG837">
        <v>48.63</v>
      </c>
      <c r="AH837">
        <v>46.53</v>
      </c>
      <c r="AI837">
        <v>0.36</v>
      </c>
      <c r="AJ837">
        <v>20.420000000000002</v>
      </c>
      <c r="AK837">
        <v>6.18</v>
      </c>
      <c r="AL837">
        <v>0</v>
      </c>
      <c r="AM837">
        <v>6.92</v>
      </c>
      <c r="AN837">
        <v>0.09</v>
      </c>
      <c r="AO837" s="1">
        <f t="shared" ref="AO837:AO900" si="41">SUM(AC837:AN837)</f>
        <v>251.31</v>
      </c>
    </row>
    <row r="838" spans="1:41" x14ac:dyDescent="0.25">
      <c r="A838" t="s">
        <v>881</v>
      </c>
      <c r="B838" s="2">
        <v>439.86009966344301</v>
      </c>
      <c r="C838" s="2">
        <v>455.41898949793199</v>
      </c>
      <c r="D838" s="2">
        <v>4174.2746628837704</v>
      </c>
      <c r="E838" s="2">
        <v>1794.72987239655</v>
      </c>
      <c r="F838" s="2">
        <v>1016.59032526843</v>
      </c>
      <c r="G838" s="2">
        <v>123.270386852131</v>
      </c>
      <c r="H838" s="2">
        <v>5096.7168479945003</v>
      </c>
      <c r="I838" s="2">
        <v>1111.34290540494</v>
      </c>
      <c r="J838" s="2">
        <v>8079.4806132668</v>
      </c>
      <c r="K838" s="2">
        <v>1830.61123067567</v>
      </c>
      <c r="L838" s="2">
        <v>0</v>
      </c>
      <c r="M838" s="2">
        <v>4370.2561800617004</v>
      </c>
      <c r="N838" s="3">
        <f t="shared" si="39"/>
        <v>28492.552113965867</v>
      </c>
      <c r="O838" s="2">
        <v>20.3438868472075</v>
      </c>
      <c r="P838" s="2">
        <v>1.66191332539476</v>
      </c>
      <c r="Q838" s="2">
        <v>1.08899407454724</v>
      </c>
      <c r="R838" s="2">
        <v>0.81878960757305597</v>
      </c>
      <c r="S838" s="2">
        <v>1.9865047912527201</v>
      </c>
      <c r="T838" s="2">
        <v>1.44190404358238</v>
      </c>
      <c r="U838" s="2">
        <v>0</v>
      </c>
      <c r="V838" s="2">
        <v>14.2884266415144</v>
      </c>
      <c r="W838" s="2">
        <v>0.42034051360631602</v>
      </c>
      <c r="X838" s="2">
        <v>5.99542287579846</v>
      </c>
      <c r="Y838" s="2">
        <v>0.48719453189814699</v>
      </c>
      <c r="Z838" s="2">
        <v>2.57788968153627</v>
      </c>
      <c r="AA838" s="3">
        <f t="shared" si="40"/>
        <v>51.111266933911246</v>
      </c>
      <c r="AB838" t="s">
        <v>63</v>
      </c>
      <c r="AC838">
        <v>10.69</v>
      </c>
      <c r="AD838">
        <v>9.3000000000000007</v>
      </c>
      <c r="AE838">
        <v>83.68</v>
      </c>
      <c r="AF838">
        <v>35.99</v>
      </c>
      <c r="AG838">
        <v>20.52</v>
      </c>
      <c r="AH838">
        <v>2.66</v>
      </c>
      <c r="AI838">
        <v>101.94</v>
      </c>
      <c r="AJ838">
        <v>23.59</v>
      </c>
      <c r="AK838">
        <v>161.69</v>
      </c>
      <c r="AL838">
        <v>37.159999999999997</v>
      </c>
      <c r="AM838">
        <v>0.09</v>
      </c>
      <c r="AN838">
        <v>87.69</v>
      </c>
      <c r="AO838" s="1">
        <f t="shared" si="41"/>
        <v>575</v>
      </c>
    </row>
    <row r="839" spans="1:41" x14ac:dyDescent="0.25">
      <c r="A839" t="s">
        <v>882</v>
      </c>
      <c r="B839" s="2">
        <v>427.78621336871498</v>
      </c>
      <c r="C839" s="2">
        <v>1563.7097562670001</v>
      </c>
      <c r="D839" s="2">
        <v>9869.4587552281901</v>
      </c>
      <c r="E839" s="2">
        <v>3772.3341663391702</v>
      </c>
      <c r="F839" s="2">
        <v>551.96923490450604</v>
      </c>
      <c r="G839" s="2">
        <v>1045.17028825082</v>
      </c>
      <c r="H839" s="2">
        <v>601.562579393286</v>
      </c>
      <c r="I839" s="2">
        <v>4885.8149101592699</v>
      </c>
      <c r="J839" s="2">
        <v>2964.70018071708</v>
      </c>
      <c r="K839" s="2">
        <v>17384.887412604701</v>
      </c>
      <c r="L839" s="2">
        <v>4274.3723849729704</v>
      </c>
      <c r="M839" s="2">
        <v>2710.3118152642701</v>
      </c>
      <c r="N839" s="3">
        <f t="shared" si="39"/>
        <v>50052.077697469984</v>
      </c>
      <c r="O839" s="2">
        <v>0.73583021029072504</v>
      </c>
      <c r="P839" s="2">
        <v>16.271894861410601</v>
      </c>
      <c r="Q839" s="2">
        <v>8.7381310740717204</v>
      </c>
      <c r="R839" s="2">
        <v>0.68768927435451499</v>
      </c>
      <c r="S839" s="2">
        <v>2.6087584137661302</v>
      </c>
      <c r="T839" s="2">
        <v>8.7257620226048402</v>
      </c>
      <c r="U839" s="2">
        <v>3.6409117864211802</v>
      </c>
      <c r="V839" s="2">
        <v>0</v>
      </c>
      <c r="W839" s="2">
        <v>4.4764330907493599E-2</v>
      </c>
      <c r="X839" s="2">
        <v>3.9719258542338198</v>
      </c>
      <c r="Y839" s="2">
        <v>14.855529670452601</v>
      </c>
      <c r="Z839" s="2">
        <v>5.7727482714110696</v>
      </c>
      <c r="AA839" s="3">
        <f t="shared" si="40"/>
        <v>66.053945769924695</v>
      </c>
      <c r="AB839" t="s">
        <v>45</v>
      </c>
      <c r="AC839">
        <v>14.32</v>
      </c>
      <c r="AD839">
        <v>26.48</v>
      </c>
      <c r="AE839">
        <v>109.14</v>
      </c>
      <c r="AF839">
        <v>47.77</v>
      </c>
      <c r="AG839">
        <v>15.66</v>
      </c>
      <c r="AH839">
        <v>20.9</v>
      </c>
      <c r="AI839">
        <v>16.21</v>
      </c>
      <c r="AJ839">
        <v>58.85</v>
      </c>
      <c r="AK839">
        <v>39.69</v>
      </c>
      <c r="AL839">
        <v>184.04</v>
      </c>
      <c r="AM839">
        <v>53.49</v>
      </c>
      <c r="AN839">
        <v>37.4</v>
      </c>
      <c r="AO839" s="1">
        <f t="shared" si="41"/>
        <v>623.95000000000005</v>
      </c>
    </row>
    <row r="840" spans="1:41" x14ac:dyDescent="0.25">
      <c r="A840" t="s">
        <v>883</v>
      </c>
      <c r="B840" s="2">
        <v>427.59517338450797</v>
      </c>
      <c r="C840" s="2">
        <v>2705.0937880055999</v>
      </c>
      <c r="D840" s="2">
        <v>6538.11783701492</v>
      </c>
      <c r="E840" s="2">
        <v>10521.545244586199</v>
      </c>
      <c r="F840" s="2">
        <v>6514.5568077522403</v>
      </c>
      <c r="G840" s="2">
        <v>3999.3284531172299</v>
      </c>
      <c r="H840" s="2">
        <v>1568.8356142575699</v>
      </c>
      <c r="I840" s="2">
        <v>0</v>
      </c>
      <c r="J840" s="2">
        <v>0</v>
      </c>
      <c r="K840" s="2">
        <v>4083.2910587461201</v>
      </c>
      <c r="L840" s="2">
        <v>0</v>
      </c>
      <c r="M840" s="2">
        <v>5720.6015057786699</v>
      </c>
      <c r="N840" s="3">
        <f t="shared" si="39"/>
        <v>42078.965482643056</v>
      </c>
      <c r="O840" s="2">
        <v>0.38280543266496397</v>
      </c>
      <c r="P840" s="2">
        <v>0.56658413055271595</v>
      </c>
      <c r="Q840" s="2">
        <v>15.054078074683099</v>
      </c>
      <c r="R840" s="2">
        <v>0</v>
      </c>
      <c r="S840" s="2">
        <v>9.8105674883136107</v>
      </c>
      <c r="T840" s="2">
        <v>1.1596553793275599</v>
      </c>
      <c r="U840" s="2">
        <v>10.5156911269474</v>
      </c>
      <c r="V840" s="2">
        <v>1.56711108032714</v>
      </c>
      <c r="W840" s="2">
        <v>3.8169498324006601</v>
      </c>
      <c r="X840" s="2">
        <v>4.6405296194079604</v>
      </c>
      <c r="Y840" s="2">
        <v>4.7550044651404502</v>
      </c>
      <c r="Z840" s="2">
        <v>0.71864231172368698</v>
      </c>
      <c r="AA840" s="3">
        <f t="shared" si="40"/>
        <v>52.987618941489252</v>
      </c>
      <c r="AB840" t="s">
        <v>45</v>
      </c>
      <c r="AC840">
        <v>14.32</v>
      </c>
      <c r="AD840">
        <v>37.1</v>
      </c>
      <c r="AE840">
        <v>76.180000000000007</v>
      </c>
      <c r="AF840">
        <v>115.21</v>
      </c>
      <c r="AG840">
        <v>75.64</v>
      </c>
      <c r="AH840">
        <v>50.09</v>
      </c>
      <c r="AI840">
        <v>26.23</v>
      </c>
      <c r="AJ840">
        <v>10.09</v>
      </c>
      <c r="AK840">
        <v>10.19</v>
      </c>
      <c r="AL840">
        <v>51.08</v>
      </c>
      <c r="AM840">
        <v>10.24</v>
      </c>
      <c r="AN840">
        <v>67.25</v>
      </c>
      <c r="AO840" s="1">
        <f t="shared" si="41"/>
        <v>543.61999999999989</v>
      </c>
    </row>
    <row r="841" spans="1:41" x14ac:dyDescent="0.25">
      <c r="A841" t="s">
        <v>884</v>
      </c>
      <c r="B841" s="2">
        <v>422.64466745033798</v>
      </c>
      <c r="C841" s="2">
        <v>6672.8651910877697</v>
      </c>
      <c r="D841" s="2">
        <v>2734.58354068473</v>
      </c>
      <c r="E841" s="2">
        <v>2847.3614966847299</v>
      </c>
      <c r="F841" s="2">
        <v>1359.28109180403</v>
      </c>
      <c r="G841" s="2">
        <v>2829.2990559398099</v>
      </c>
      <c r="H841" s="2">
        <v>1657.76425447011</v>
      </c>
      <c r="I841" s="2">
        <v>2132.5249628115598</v>
      </c>
      <c r="J841" s="2">
        <v>2969.61813823697</v>
      </c>
      <c r="K841" s="2">
        <v>220.736019176479</v>
      </c>
      <c r="L841" s="2">
        <v>3048.0386788115902</v>
      </c>
      <c r="M841" s="2">
        <v>7821.9210057208402</v>
      </c>
      <c r="N841" s="3">
        <f t="shared" si="39"/>
        <v>34716.638102878955</v>
      </c>
      <c r="O841" s="2">
        <v>5.68800900393334</v>
      </c>
      <c r="P841" s="2">
        <v>2.8602667091436902</v>
      </c>
      <c r="Q841" s="2">
        <v>0.93001280408924702</v>
      </c>
      <c r="R841" s="2">
        <v>3.3053316757210598</v>
      </c>
      <c r="S841" s="2">
        <v>4.5167493871115001</v>
      </c>
      <c r="T841" s="2">
        <v>3.1846645882057598</v>
      </c>
      <c r="U841" s="2">
        <v>1.3070116773132201</v>
      </c>
      <c r="V841" s="2">
        <v>7.66069498610862</v>
      </c>
      <c r="W841" s="2">
        <v>3.75486731704556</v>
      </c>
      <c r="X841" s="2">
        <v>1.9586779932662299</v>
      </c>
      <c r="Y841" s="2">
        <v>0.71274687129148595</v>
      </c>
      <c r="Z841" s="2">
        <v>3.3758621783504399</v>
      </c>
      <c r="AA841" s="3">
        <f t="shared" si="40"/>
        <v>39.254895191580147</v>
      </c>
      <c r="AB841" t="s">
        <v>63</v>
      </c>
      <c r="AC841">
        <v>9</v>
      </c>
      <c r="AD841">
        <v>133.72999999999999</v>
      </c>
      <c r="AE841">
        <v>54.79</v>
      </c>
      <c r="AF841">
        <v>57.32</v>
      </c>
      <c r="AG841">
        <v>27.65</v>
      </c>
      <c r="AH841">
        <v>56.96</v>
      </c>
      <c r="AI841">
        <v>33.340000000000003</v>
      </c>
      <c r="AJ841">
        <v>43.38</v>
      </c>
      <c r="AK841">
        <v>59.76</v>
      </c>
      <c r="AL841">
        <v>4.5999999999999996</v>
      </c>
      <c r="AM841">
        <v>61.07</v>
      </c>
      <c r="AN841">
        <v>156.80000000000001</v>
      </c>
      <c r="AO841" s="1">
        <f t="shared" si="41"/>
        <v>698.40000000000009</v>
      </c>
    </row>
    <row r="842" spans="1:41" x14ac:dyDescent="0.25">
      <c r="A842" t="s">
        <v>885</v>
      </c>
      <c r="B842" s="2">
        <v>416.67936357881302</v>
      </c>
      <c r="C842" s="2">
        <v>6748.6468339077301</v>
      </c>
      <c r="D842" s="2">
        <v>870.95089587309894</v>
      </c>
      <c r="E842" s="2">
        <v>0</v>
      </c>
      <c r="F842" s="2">
        <v>11865.278248921901</v>
      </c>
      <c r="G842" s="2">
        <v>0</v>
      </c>
      <c r="H842" s="2">
        <v>6912.730769152</v>
      </c>
      <c r="I842" s="2">
        <v>3572.0846282688099</v>
      </c>
      <c r="J842" s="2">
        <v>0</v>
      </c>
      <c r="K842" s="2">
        <v>1574.22945906937</v>
      </c>
      <c r="L842" s="2">
        <v>3338.0097962118898</v>
      </c>
      <c r="M842" s="2">
        <v>8794.5341398528708</v>
      </c>
      <c r="N842" s="3">
        <f t="shared" si="39"/>
        <v>44093.144134836482</v>
      </c>
      <c r="O842" s="2">
        <v>1.20753723436169E-2</v>
      </c>
      <c r="P842" s="2">
        <v>1.3243486081507401</v>
      </c>
      <c r="Q842" s="2">
        <v>1.4845196130107201</v>
      </c>
      <c r="R842" s="2">
        <v>1.5723748489762499</v>
      </c>
      <c r="S842" s="2">
        <v>6.5148377321493998</v>
      </c>
      <c r="T842" s="2">
        <v>3.1077868194668601</v>
      </c>
      <c r="U842" s="2">
        <v>12.137845601223001</v>
      </c>
      <c r="V842" s="2">
        <v>2.4575332045601699</v>
      </c>
      <c r="W842" s="2">
        <v>3.5593245230930202</v>
      </c>
      <c r="X842" s="2">
        <v>5.9548305704419198</v>
      </c>
      <c r="Y842" s="2">
        <v>4.7745069757774603</v>
      </c>
      <c r="Z842" s="2">
        <v>2.2199038666125599</v>
      </c>
      <c r="AA842" s="3">
        <f t="shared" si="40"/>
        <v>45.119887735805719</v>
      </c>
      <c r="AB842" t="s">
        <v>45</v>
      </c>
      <c r="AC842">
        <v>14.21</v>
      </c>
      <c r="AD842">
        <v>77.58</v>
      </c>
      <c r="AE842">
        <v>18.8</v>
      </c>
      <c r="AF842">
        <v>10.09</v>
      </c>
      <c r="AG842">
        <v>129</v>
      </c>
      <c r="AH842">
        <v>10.19</v>
      </c>
      <c r="AI842">
        <v>79.77</v>
      </c>
      <c r="AJ842">
        <v>45.87</v>
      </c>
      <c r="AK842">
        <v>10.19</v>
      </c>
      <c r="AL842">
        <v>26.04</v>
      </c>
      <c r="AM842">
        <v>43.63</v>
      </c>
      <c r="AN842">
        <v>98.09</v>
      </c>
      <c r="AO842" s="1">
        <f t="shared" si="41"/>
        <v>563.46</v>
      </c>
    </row>
    <row r="843" spans="1:41" x14ac:dyDescent="0.25">
      <c r="A843" t="s">
        <v>886</v>
      </c>
      <c r="B843" s="2">
        <v>402.50945947653503</v>
      </c>
      <c r="C843" s="2">
        <v>3644.50328700913</v>
      </c>
      <c r="D843" s="2">
        <v>0</v>
      </c>
      <c r="E843" s="2">
        <v>492.84211020405002</v>
      </c>
      <c r="F843" s="2">
        <v>7628.47081592824</v>
      </c>
      <c r="G843" s="2">
        <v>5367.9509229843998</v>
      </c>
      <c r="H843" s="2">
        <v>3850.9350708925799</v>
      </c>
      <c r="I843" s="2">
        <v>7649.2699569474898</v>
      </c>
      <c r="J843" s="2">
        <v>5008.6228636927999</v>
      </c>
      <c r="K843" s="2">
        <v>2836.6426697243501</v>
      </c>
      <c r="L843" s="2">
        <v>14482.5263949247</v>
      </c>
      <c r="M843" s="2">
        <v>4153.9803527534204</v>
      </c>
      <c r="N843" s="3">
        <f t="shared" si="39"/>
        <v>55518.253904537705</v>
      </c>
      <c r="O843" s="2">
        <v>5.9726781143881498</v>
      </c>
      <c r="P843" s="2">
        <v>3.0847235782196099</v>
      </c>
      <c r="Q843" s="2">
        <v>4.7334862113706997</v>
      </c>
      <c r="R843" s="2">
        <v>0.50669519190929202</v>
      </c>
      <c r="S843" s="2">
        <v>2.0316193964493201</v>
      </c>
      <c r="T843" s="2">
        <v>2.0838010712219401</v>
      </c>
      <c r="U843" s="2">
        <v>11.203345446091101</v>
      </c>
      <c r="V843" s="2">
        <v>8.9979082006277</v>
      </c>
      <c r="W843" s="2">
        <v>2.8813097370032801</v>
      </c>
      <c r="X843" s="2">
        <v>1.8591595560582199</v>
      </c>
      <c r="Y843" s="2">
        <v>0.998752604225423</v>
      </c>
      <c r="Z843" s="2">
        <v>22.056820449669701</v>
      </c>
      <c r="AA843" s="3">
        <f t="shared" si="40"/>
        <v>66.410299557234424</v>
      </c>
      <c r="AB843" t="s">
        <v>45</v>
      </c>
      <c r="AC843">
        <v>14.32</v>
      </c>
      <c r="AD843">
        <v>46.64</v>
      </c>
      <c r="AE843">
        <v>10.24</v>
      </c>
      <c r="AF843">
        <v>14.97</v>
      </c>
      <c r="AG843">
        <v>86.43</v>
      </c>
      <c r="AH843">
        <v>63.82</v>
      </c>
      <c r="AI843">
        <v>49.1</v>
      </c>
      <c r="AJ843">
        <v>86.94</v>
      </c>
      <c r="AK843">
        <v>60.23</v>
      </c>
      <c r="AL843">
        <v>38.46</v>
      </c>
      <c r="AM843">
        <v>154.87</v>
      </c>
      <c r="AN843">
        <v>52.68</v>
      </c>
      <c r="AO843" s="1">
        <f t="shared" si="41"/>
        <v>678.69999999999993</v>
      </c>
    </row>
    <row r="844" spans="1:41" x14ac:dyDescent="0.25">
      <c r="A844" t="s">
        <v>887</v>
      </c>
      <c r="B844" s="2">
        <v>388.99977373640098</v>
      </c>
      <c r="C844" s="2">
        <v>268.44213684350001</v>
      </c>
      <c r="D844" s="2">
        <v>2743.1908506469099</v>
      </c>
      <c r="E844" s="2">
        <v>1359.9891506333299</v>
      </c>
      <c r="F844" s="2">
        <v>5223.4008572971898</v>
      </c>
      <c r="G844" s="2">
        <v>3871.67227233419</v>
      </c>
      <c r="H844" s="2">
        <v>3959.8553836088799</v>
      </c>
      <c r="I844" s="2">
        <v>2474.8323799792802</v>
      </c>
      <c r="J844" s="2">
        <v>1858.83143527217</v>
      </c>
      <c r="K844" s="2">
        <v>2732.99055570263</v>
      </c>
      <c r="L844" s="2">
        <v>4370.8300116597102</v>
      </c>
      <c r="M844" s="2">
        <v>852.32285396638395</v>
      </c>
      <c r="N844" s="3">
        <f t="shared" si="39"/>
        <v>30105.357661680573</v>
      </c>
      <c r="O844" s="2">
        <v>1.76735977681385</v>
      </c>
      <c r="P844" s="2">
        <v>18.250149834479402</v>
      </c>
      <c r="Q844" s="2">
        <v>1.7621717488319799</v>
      </c>
      <c r="R844" s="2">
        <v>0.33825875030201202</v>
      </c>
      <c r="S844" s="2">
        <v>8.8288648329664898</v>
      </c>
      <c r="T844" s="2">
        <v>0.77921605139725503</v>
      </c>
      <c r="U844" s="2">
        <v>5.7583426507644901</v>
      </c>
      <c r="V844" s="2">
        <v>0.86881525254560898</v>
      </c>
      <c r="W844" s="2">
        <v>2.28299286515049</v>
      </c>
      <c r="X844" s="2">
        <v>2.86058052920884</v>
      </c>
      <c r="Y844" s="2">
        <v>2.9508676251667501</v>
      </c>
      <c r="Z844" s="2">
        <v>2.2363816852413301</v>
      </c>
      <c r="AA844" s="3">
        <f t="shared" si="40"/>
        <v>48.684001602868491</v>
      </c>
      <c r="AB844" t="s">
        <v>63</v>
      </c>
      <c r="AC844">
        <v>7.96</v>
      </c>
      <c r="AD844">
        <v>7.09</v>
      </c>
      <c r="AE844">
        <v>55.06</v>
      </c>
      <c r="AF844">
        <v>27.29</v>
      </c>
      <c r="AG844">
        <v>105.29</v>
      </c>
      <c r="AH844">
        <v>77.53</v>
      </c>
      <c r="AI844">
        <v>79.739999999999995</v>
      </c>
      <c r="AJ844">
        <v>49.59</v>
      </c>
      <c r="AK844">
        <v>37.450000000000003</v>
      </c>
      <c r="AL844">
        <v>54.93</v>
      </c>
      <c r="AM844">
        <v>87.69</v>
      </c>
      <c r="AN844">
        <v>17.329999999999998</v>
      </c>
      <c r="AO844" s="1">
        <f t="shared" si="41"/>
        <v>606.95000000000016</v>
      </c>
    </row>
    <row r="845" spans="1:41" x14ac:dyDescent="0.25">
      <c r="A845" t="s">
        <v>888</v>
      </c>
      <c r="B845" s="2">
        <v>388.822008423292</v>
      </c>
      <c r="C845" s="2">
        <v>1276.66627717805</v>
      </c>
      <c r="D845" s="2">
        <v>2012.9709945606301</v>
      </c>
      <c r="E845" s="2">
        <v>4646.2186467093197</v>
      </c>
      <c r="F845" s="2">
        <v>1779.92808092328</v>
      </c>
      <c r="G845" s="2">
        <v>2355.7046748225798</v>
      </c>
      <c r="H845" s="2">
        <v>2988.34074210872</v>
      </c>
      <c r="I845" s="2">
        <v>8429.2569747060097</v>
      </c>
      <c r="J845" s="2">
        <v>394.36062298062302</v>
      </c>
      <c r="K845" s="2">
        <v>4273.2346067627896</v>
      </c>
      <c r="L845" s="2">
        <v>9656.1887765493793</v>
      </c>
      <c r="M845" s="2">
        <v>130.40784831195299</v>
      </c>
      <c r="N845" s="3">
        <f t="shared" si="39"/>
        <v>38332.100254036632</v>
      </c>
      <c r="O845" s="2">
        <v>1.7845736978611799</v>
      </c>
      <c r="P845" s="2">
        <v>0</v>
      </c>
      <c r="Q845" s="2">
        <v>0</v>
      </c>
      <c r="R845" s="2">
        <v>4.2123019728931403</v>
      </c>
      <c r="S845" s="2">
        <v>0</v>
      </c>
      <c r="T845" s="2">
        <v>2.7488756689883802</v>
      </c>
      <c r="U845" s="2">
        <v>3.0191540946151001</v>
      </c>
      <c r="V845" s="2">
        <v>2.3799771910978298</v>
      </c>
      <c r="W845" s="2">
        <v>4.1584740204037196</v>
      </c>
      <c r="X845" s="2">
        <v>1.3019663280134199</v>
      </c>
      <c r="Y845" s="2">
        <v>2.3484086387855601</v>
      </c>
      <c r="Z845" s="2">
        <v>6.8756232334634699</v>
      </c>
      <c r="AA845" s="3">
        <f t="shared" si="40"/>
        <v>28.829354846121802</v>
      </c>
      <c r="AB845" t="s">
        <v>45</v>
      </c>
      <c r="AC845">
        <v>13.98</v>
      </c>
      <c r="AD845">
        <v>22.76</v>
      </c>
      <c r="AE845">
        <v>30.12</v>
      </c>
      <c r="AF845">
        <v>56.71</v>
      </c>
      <c r="AG845">
        <v>27.79</v>
      </c>
      <c r="AH845">
        <v>33.700000000000003</v>
      </c>
      <c r="AI845">
        <v>40.08</v>
      </c>
      <c r="AJ845">
        <v>94.44</v>
      </c>
      <c r="AK845">
        <v>14.19</v>
      </c>
      <c r="AL845">
        <v>52.83</v>
      </c>
      <c r="AM845">
        <v>106.71</v>
      </c>
      <c r="AN845">
        <v>11.65</v>
      </c>
      <c r="AO845" s="1">
        <f t="shared" si="41"/>
        <v>504.95999999999992</v>
      </c>
    </row>
    <row r="846" spans="1:41" x14ac:dyDescent="0.25">
      <c r="A846" t="s">
        <v>889</v>
      </c>
      <c r="B846" s="2">
        <v>382.001800371157</v>
      </c>
      <c r="C846" s="2">
        <v>6333.7949564971996</v>
      </c>
      <c r="D846" s="2">
        <v>3763.6128316855602</v>
      </c>
      <c r="E846" s="2">
        <v>3812.9112852496401</v>
      </c>
      <c r="F846" s="2">
        <v>2777.1045829036302</v>
      </c>
      <c r="G846" s="2">
        <v>1117.43524681554</v>
      </c>
      <c r="H846" s="2">
        <v>6683.77570526419</v>
      </c>
      <c r="I846" s="2">
        <v>5509.0943866871503</v>
      </c>
      <c r="J846" s="2">
        <v>3876.6435082692701</v>
      </c>
      <c r="K846" s="2">
        <v>8033.2598480779998</v>
      </c>
      <c r="L846" s="2">
        <v>204.297871902239</v>
      </c>
      <c r="M846" s="2">
        <v>4956.61752021968</v>
      </c>
      <c r="N846" s="3">
        <f t="shared" si="39"/>
        <v>47450.549543943256</v>
      </c>
      <c r="O846" s="2">
        <v>0</v>
      </c>
      <c r="P846" s="2">
        <v>4.6282526402689497</v>
      </c>
      <c r="Q846" s="2">
        <v>5.8593890172588701</v>
      </c>
      <c r="R846" s="2">
        <v>1.4425466341230999</v>
      </c>
      <c r="S846" s="2">
        <v>2.8037786096379498</v>
      </c>
      <c r="T846" s="2">
        <v>8.9377460948500502</v>
      </c>
      <c r="U846" s="2">
        <v>7.1102926016097996</v>
      </c>
      <c r="V846" s="2">
        <v>0.53513009101191</v>
      </c>
      <c r="W846" s="2">
        <v>0.34638457362270397</v>
      </c>
      <c r="X846" s="2">
        <v>3.52064713706512</v>
      </c>
      <c r="Y846" s="2">
        <v>4.8830574561658304</v>
      </c>
      <c r="Z846" s="2">
        <v>0.87295960116766003</v>
      </c>
      <c r="AA846" s="3">
        <f t="shared" si="40"/>
        <v>40.940184456781942</v>
      </c>
      <c r="AB846" t="s">
        <v>63</v>
      </c>
      <c r="AC846">
        <v>7.66</v>
      </c>
      <c r="AD846">
        <v>127.13</v>
      </c>
      <c r="AE846">
        <v>75.819999999999993</v>
      </c>
      <c r="AF846">
        <v>76.44</v>
      </c>
      <c r="AG846">
        <v>55.83</v>
      </c>
      <c r="AH846">
        <v>23.17</v>
      </c>
      <c r="AI846">
        <v>134.4</v>
      </c>
      <c r="AJ846">
        <v>110.29</v>
      </c>
      <c r="AK846">
        <v>77.63</v>
      </c>
      <c r="AL846">
        <v>161.04</v>
      </c>
      <c r="AM846">
        <v>4.55</v>
      </c>
      <c r="AN846">
        <v>99.23</v>
      </c>
      <c r="AO846" s="1">
        <f t="shared" si="41"/>
        <v>953.18999999999983</v>
      </c>
    </row>
    <row r="847" spans="1:41" x14ac:dyDescent="0.25">
      <c r="A847" t="s">
        <v>890</v>
      </c>
      <c r="B847" s="2">
        <v>363.589301411073</v>
      </c>
      <c r="C847" s="2">
        <v>419.38853088115098</v>
      </c>
      <c r="D847" s="2">
        <v>4271.9635762200096</v>
      </c>
      <c r="E847" s="2">
        <v>1891.04802194632</v>
      </c>
      <c r="F847" s="2">
        <v>5056.8916189492402</v>
      </c>
      <c r="G847" s="2">
        <v>2074.3455307956001</v>
      </c>
      <c r="H847" s="2">
        <v>4291.7410014834804</v>
      </c>
      <c r="I847" s="2">
        <v>538.61058051585201</v>
      </c>
      <c r="J847" s="2">
        <v>3295.61848463054</v>
      </c>
      <c r="K847" s="2">
        <v>11948.5140820488</v>
      </c>
      <c r="L847" s="2">
        <v>3206.06572475136</v>
      </c>
      <c r="M847" s="2">
        <v>584.45994707095701</v>
      </c>
      <c r="N847" s="3">
        <f t="shared" si="39"/>
        <v>37942.236400704387</v>
      </c>
      <c r="O847" s="2">
        <v>1.30017626168678</v>
      </c>
      <c r="P847" s="2">
        <v>6.5661223290710096</v>
      </c>
      <c r="Q847" s="2">
        <v>8.5191298070834502</v>
      </c>
      <c r="R847" s="2">
        <v>3.3300161971584301</v>
      </c>
      <c r="S847" s="2">
        <v>1.0748293880062401</v>
      </c>
      <c r="T847" s="2">
        <v>0.52898077536260601</v>
      </c>
      <c r="U847" s="2">
        <v>7.7057691056209299</v>
      </c>
      <c r="V847" s="2">
        <v>0</v>
      </c>
      <c r="W847" s="2">
        <v>11.759239448624999</v>
      </c>
      <c r="X847" s="2">
        <v>2.9487283819248602</v>
      </c>
      <c r="Y847" s="2">
        <v>1.42903321080181</v>
      </c>
      <c r="Z847" s="2">
        <v>8.89388832040102</v>
      </c>
      <c r="AA847" s="3">
        <f t="shared" si="40"/>
        <v>54.055913225742131</v>
      </c>
      <c r="AB847" t="s">
        <v>45</v>
      </c>
      <c r="AC847">
        <v>13.73</v>
      </c>
      <c r="AD847">
        <v>14.54</v>
      </c>
      <c r="AE847">
        <v>53.16</v>
      </c>
      <c r="AF847">
        <v>29.11</v>
      </c>
      <c r="AG847">
        <v>60.66</v>
      </c>
      <c r="AH847">
        <v>30.79</v>
      </c>
      <c r="AI847">
        <v>53.31</v>
      </c>
      <c r="AJ847">
        <v>15.38</v>
      </c>
      <c r="AK847">
        <v>43.55</v>
      </c>
      <c r="AL847">
        <v>129.63</v>
      </c>
      <c r="AM847">
        <v>42.16</v>
      </c>
      <c r="AN847">
        <v>16.29</v>
      </c>
      <c r="AO847" s="1">
        <f t="shared" si="41"/>
        <v>502.31</v>
      </c>
    </row>
    <row r="848" spans="1:41" x14ac:dyDescent="0.25">
      <c r="A848" t="s">
        <v>891</v>
      </c>
      <c r="B848" s="2">
        <v>356.13893441202902</v>
      </c>
      <c r="C848" s="2">
        <v>1783.1854748954599</v>
      </c>
      <c r="D848" s="2">
        <v>5079.0715759894101</v>
      </c>
      <c r="E848" s="2">
        <v>5608.6320118359499</v>
      </c>
      <c r="F848" s="2">
        <v>1875.0942717748801</v>
      </c>
      <c r="G848" s="2">
        <v>1069.01987115569</v>
      </c>
      <c r="H848" s="2">
        <v>0</v>
      </c>
      <c r="I848" s="2">
        <v>18.766390626601801</v>
      </c>
      <c r="J848" s="2">
        <v>4784.00068953749</v>
      </c>
      <c r="K848" s="2">
        <v>3592.8966744517602</v>
      </c>
      <c r="L848" s="2">
        <v>1578.74216040136</v>
      </c>
      <c r="M848" s="2">
        <v>1326.1295194214099</v>
      </c>
      <c r="N848" s="3">
        <f t="shared" si="39"/>
        <v>27071.677574502046</v>
      </c>
      <c r="O848" s="2">
        <v>1.7725668928823499</v>
      </c>
      <c r="P848" s="2">
        <v>4.4398138497339499</v>
      </c>
      <c r="Q848" s="2">
        <v>1.6314156835903699</v>
      </c>
      <c r="R848" s="2">
        <v>1.4087129080518299</v>
      </c>
      <c r="S848" s="2">
        <v>0</v>
      </c>
      <c r="T848" s="2">
        <v>0</v>
      </c>
      <c r="U848" s="2">
        <v>2.1312263133307798</v>
      </c>
      <c r="V848" s="2">
        <v>0</v>
      </c>
      <c r="W848" s="2">
        <v>3.51731964276664</v>
      </c>
      <c r="X848" s="2">
        <v>3.0156130509363699</v>
      </c>
      <c r="Y848" s="2">
        <v>5.8623349789291801</v>
      </c>
      <c r="Z848" s="2">
        <v>0</v>
      </c>
      <c r="AA848" s="3">
        <f t="shared" si="40"/>
        <v>23.77900332022147</v>
      </c>
      <c r="AB848" t="s">
        <v>63</v>
      </c>
      <c r="AC848">
        <v>7.32</v>
      </c>
      <c r="AD848">
        <v>36.130000000000003</v>
      </c>
      <c r="AE848">
        <v>101.78</v>
      </c>
      <c r="AF848">
        <v>112.36</v>
      </c>
      <c r="AG848">
        <v>37.520000000000003</v>
      </c>
      <c r="AH848">
        <v>21.4</v>
      </c>
      <c r="AI848">
        <v>0.27</v>
      </c>
      <c r="AJ848">
        <v>0.38</v>
      </c>
      <c r="AK848">
        <v>96.06</v>
      </c>
      <c r="AL848">
        <v>72.22</v>
      </c>
      <c r="AM848">
        <v>32.119999999999997</v>
      </c>
      <c r="AN848">
        <v>26.54</v>
      </c>
      <c r="AO848" s="1">
        <f t="shared" si="41"/>
        <v>544.09999999999991</v>
      </c>
    </row>
    <row r="849" spans="1:41" x14ac:dyDescent="0.25">
      <c r="A849" t="s">
        <v>892</v>
      </c>
      <c r="B849" s="2">
        <v>355.22843903800401</v>
      </c>
      <c r="C849" s="2">
        <v>8506.0526885063391</v>
      </c>
      <c r="D849" s="2">
        <v>2163.83336456912</v>
      </c>
      <c r="E849" s="2">
        <v>7539.1769504472604</v>
      </c>
      <c r="F849" s="2">
        <v>1136.5230331324001</v>
      </c>
      <c r="G849" s="2">
        <v>910.32333589276595</v>
      </c>
      <c r="H849" s="2">
        <v>0</v>
      </c>
      <c r="I849" s="2">
        <v>434.48847348939103</v>
      </c>
      <c r="J849" s="2">
        <v>2708.7885704231298</v>
      </c>
      <c r="K849" s="2">
        <v>9806.7658677866093</v>
      </c>
      <c r="L849" s="2">
        <v>1729.0627679746899</v>
      </c>
      <c r="M849" s="2">
        <v>4047.6331703246801</v>
      </c>
      <c r="N849" s="3">
        <f t="shared" si="39"/>
        <v>39337.876661584385</v>
      </c>
      <c r="O849" s="2">
        <v>2.6641570226084998</v>
      </c>
      <c r="P849" s="2">
        <v>6.9234805017032004</v>
      </c>
      <c r="Q849" s="2">
        <v>1.06569513411284</v>
      </c>
      <c r="R849" s="2">
        <v>0.40343940265936601</v>
      </c>
      <c r="S849" s="2">
        <v>5.1564553546338603</v>
      </c>
      <c r="T849" s="2">
        <v>2.4642404056377898</v>
      </c>
      <c r="U849" s="2">
        <v>0</v>
      </c>
      <c r="V849" s="2">
        <v>6.0481768381367704</v>
      </c>
      <c r="W849" s="2">
        <v>3.42218844550997</v>
      </c>
      <c r="X849" s="2">
        <v>5.1267081064680999</v>
      </c>
      <c r="Y849" s="2">
        <v>4.7556169461459197</v>
      </c>
      <c r="Z849" s="2">
        <v>3.6276906249481899</v>
      </c>
      <c r="AA849" s="3">
        <f t="shared" si="40"/>
        <v>41.6578487825645</v>
      </c>
      <c r="AB849" t="s">
        <v>45</v>
      </c>
      <c r="AC849">
        <v>13.7</v>
      </c>
      <c r="AD849">
        <v>95.41</v>
      </c>
      <c r="AE849">
        <v>31.73</v>
      </c>
      <c r="AF849">
        <v>85.44</v>
      </c>
      <c r="AG849">
        <v>21.66</v>
      </c>
      <c r="AH849">
        <v>19.25</v>
      </c>
      <c r="AI849">
        <v>9.99</v>
      </c>
      <c r="AJ849">
        <v>14.69</v>
      </c>
      <c r="AK849">
        <v>37.28</v>
      </c>
      <c r="AL849">
        <v>108.36</v>
      </c>
      <c r="AM849">
        <v>27.54</v>
      </c>
      <c r="AN849">
        <v>50.67</v>
      </c>
      <c r="AO849" s="1">
        <f t="shared" si="41"/>
        <v>515.72</v>
      </c>
    </row>
    <row r="850" spans="1:41" x14ac:dyDescent="0.25">
      <c r="A850" t="s">
        <v>893</v>
      </c>
      <c r="B850" s="2">
        <v>335.671891406383</v>
      </c>
      <c r="C850" s="2">
        <v>0</v>
      </c>
      <c r="D850" s="2">
        <v>8043.8776028628599</v>
      </c>
      <c r="E850" s="2">
        <v>7570.0550934564098</v>
      </c>
      <c r="F850" s="2">
        <v>736.69095307290502</v>
      </c>
      <c r="G850" s="2">
        <v>4554.1185072140097</v>
      </c>
      <c r="H850" s="2">
        <v>0</v>
      </c>
      <c r="I850" s="2">
        <v>414.04277990358997</v>
      </c>
      <c r="J850" s="2">
        <v>2616.4741050928601</v>
      </c>
      <c r="K850" s="2">
        <v>5126.4366093777198</v>
      </c>
      <c r="L850" s="2">
        <v>0</v>
      </c>
      <c r="M850" s="2">
        <v>2265.57054711104</v>
      </c>
      <c r="N850" s="3">
        <f t="shared" si="39"/>
        <v>31662.93808949778</v>
      </c>
      <c r="O850" s="2">
        <v>6.8734187628899299</v>
      </c>
      <c r="P850" s="2">
        <v>3.7813888500557802</v>
      </c>
      <c r="Q850" s="2">
        <v>6.7597652636071004</v>
      </c>
      <c r="R850" s="2">
        <v>1.6692375128642001</v>
      </c>
      <c r="S850" s="2">
        <v>2.7834855199411499</v>
      </c>
      <c r="T850" s="2">
        <v>0.84333005031439401</v>
      </c>
      <c r="U850" s="2">
        <v>0.38183184959030902</v>
      </c>
      <c r="V850" s="2">
        <v>3.9427434670460602</v>
      </c>
      <c r="W850" s="2">
        <v>1.0041375043030401</v>
      </c>
      <c r="X850" s="2">
        <v>0</v>
      </c>
      <c r="Y850" s="2">
        <v>0</v>
      </c>
      <c r="Z850" s="2">
        <v>0</v>
      </c>
      <c r="AA850" s="3">
        <f t="shared" si="40"/>
        <v>28.03933878061196</v>
      </c>
      <c r="AB850" t="s">
        <v>63</v>
      </c>
      <c r="AC850">
        <v>7.35</v>
      </c>
      <c r="AD850">
        <v>0.36</v>
      </c>
      <c r="AE850">
        <v>161.51</v>
      </c>
      <c r="AF850">
        <v>151.6</v>
      </c>
      <c r="AG850">
        <v>15.01</v>
      </c>
      <c r="AH850">
        <v>91.19</v>
      </c>
      <c r="AI850">
        <v>0.09</v>
      </c>
      <c r="AJ850">
        <v>8.66</v>
      </c>
      <c r="AK850">
        <v>52.52</v>
      </c>
      <c r="AL850">
        <v>102.54</v>
      </c>
      <c r="AM850">
        <v>0</v>
      </c>
      <c r="AN850">
        <v>45.32</v>
      </c>
      <c r="AO850" s="1">
        <f t="shared" si="41"/>
        <v>636.15</v>
      </c>
    </row>
    <row r="851" spans="1:41" x14ac:dyDescent="0.25">
      <c r="A851" t="s">
        <v>894</v>
      </c>
      <c r="B851" s="2">
        <v>334.46115384386798</v>
      </c>
      <c r="C851" s="2">
        <v>2528.5227105747099</v>
      </c>
      <c r="D851" s="2">
        <v>453.56935430412398</v>
      </c>
      <c r="E851" s="2">
        <v>1409.6694828827001</v>
      </c>
      <c r="F851" s="2">
        <v>1814.63080963842</v>
      </c>
      <c r="G851" s="2">
        <v>3602.9395057480401</v>
      </c>
      <c r="H851" s="2">
        <v>2413.1155539250599</v>
      </c>
      <c r="I851" s="2">
        <v>4939.5652905765701</v>
      </c>
      <c r="J851" s="2">
        <v>5642.8090287591704</v>
      </c>
      <c r="K851" s="2">
        <v>3784.5897344974901</v>
      </c>
      <c r="L851" s="2">
        <v>15955.1073806447</v>
      </c>
      <c r="M851" s="2">
        <v>1165.62099641389</v>
      </c>
      <c r="N851" s="3">
        <f t="shared" si="39"/>
        <v>44044.60100180874</v>
      </c>
      <c r="O851" s="2">
        <v>7.69035351031168</v>
      </c>
      <c r="P851" s="2">
        <v>3.8487318947954701</v>
      </c>
      <c r="Q851" s="2">
        <v>2.53855392064456</v>
      </c>
      <c r="R851" s="2">
        <v>2.9138676462304498</v>
      </c>
      <c r="S851" s="2">
        <v>8.9295945254167393</v>
      </c>
      <c r="T851" s="2">
        <v>0.55104720281879405</v>
      </c>
      <c r="U851" s="2">
        <v>3.42224238184644</v>
      </c>
      <c r="V851" s="2">
        <v>3.56837139552011</v>
      </c>
      <c r="W851" s="2">
        <v>4.6779752142390203</v>
      </c>
      <c r="X851" s="2">
        <v>0.96804054163841302</v>
      </c>
      <c r="Y851" s="2">
        <v>3.91353851557718</v>
      </c>
      <c r="Z851" s="2">
        <v>10.742283799977001</v>
      </c>
      <c r="AA851" s="3">
        <f t="shared" si="40"/>
        <v>53.76460054901586</v>
      </c>
      <c r="AB851" t="s">
        <v>45</v>
      </c>
      <c r="AC851">
        <v>13.74</v>
      </c>
      <c r="AD851">
        <v>35.479999999999997</v>
      </c>
      <c r="AE851">
        <v>14.68</v>
      </c>
      <c r="AF851">
        <v>24.24</v>
      </c>
      <c r="AG851">
        <v>28.59</v>
      </c>
      <c r="AH851">
        <v>46.07</v>
      </c>
      <c r="AI851">
        <v>34.33</v>
      </c>
      <c r="AJ851">
        <v>59.59</v>
      </c>
      <c r="AK851">
        <v>66.67</v>
      </c>
      <c r="AL851">
        <v>47.89</v>
      </c>
      <c r="AM851">
        <v>169.75</v>
      </c>
      <c r="AN851">
        <v>22.2</v>
      </c>
      <c r="AO851" s="1">
        <f t="shared" si="41"/>
        <v>563.23</v>
      </c>
    </row>
    <row r="852" spans="1:41" x14ac:dyDescent="0.25">
      <c r="A852" t="s">
        <v>895</v>
      </c>
      <c r="B852" s="2">
        <v>333.40413313311501</v>
      </c>
      <c r="C852" s="2">
        <v>1201.95420514069</v>
      </c>
      <c r="D852" s="2">
        <v>1218.20897892947</v>
      </c>
      <c r="E852" s="2">
        <v>1343.6142145574699</v>
      </c>
      <c r="F852" s="2">
        <v>443.92256840948102</v>
      </c>
      <c r="G852" s="2">
        <v>869.35726272379304</v>
      </c>
      <c r="H852" s="2">
        <v>1119.46392262888</v>
      </c>
      <c r="I852" s="2">
        <v>1564.99945081744</v>
      </c>
      <c r="J852" s="2">
        <v>13112.5888406755</v>
      </c>
      <c r="K852" s="2">
        <v>10103.749158086301</v>
      </c>
      <c r="L852" s="2">
        <v>2911.5526755104302</v>
      </c>
      <c r="M852" s="2">
        <v>13928.454868721399</v>
      </c>
      <c r="N852" s="3">
        <f t="shared" si="39"/>
        <v>48151.270279333963</v>
      </c>
      <c r="O852" s="2">
        <v>0.48676992114831202</v>
      </c>
      <c r="P852" s="2">
        <v>0</v>
      </c>
      <c r="Q852" s="2">
        <v>1.19770306531452</v>
      </c>
      <c r="R852" s="2">
        <v>2.8099667052348898</v>
      </c>
      <c r="S852" s="2">
        <v>0</v>
      </c>
      <c r="T852" s="2">
        <v>1.7627278605879</v>
      </c>
      <c r="U852" s="2">
        <v>1.4949705651607299</v>
      </c>
      <c r="V852" s="2">
        <v>1.6475966808063001</v>
      </c>
      <c r="W852" s="2">
        <v>0.77906326899058698</v>
      </c>
      <c r="X852" s="2">
        <v>7.2480069808283796</v>
      </c>
      <c r="Y852" s="2">
        <v>0.72566238768005897</v>
      </c>
      <c r="Z852" s="2">
        <v>4.3148913889039404</v>
      </c>
      <c r="AA852" s="3">
        <f t="shared" si="40"/>
        <v>22.467358824655619</v>
      </c>
      <c r="AB852" t="s">
        <v>45</v>
      </c>
      <c r="AC852">
        <v>13.38</v>
      </c>
      <c r="AD852">
        <v>22.01</v>
      </c>
      <c r="AE852">
        <v>22.28</v>
      </c>
      <c r="AF852">
        <v>23.58</v>
      </c>
      <c r="AG852">
        <v>14.43</v>
      </c>
      <c r="AH852">
        <v>18.79</v>
      </c>
      <c r="AI852">
        <v>21.29</v>
      </c>
      <c r="AJ852">
        <v>25.74</v>
      </c>
      <c r="AK852">
        <v>141.16999999999999</v>
      </c>
      <c r="AL852">
        <v>111.43</v>
      </c>
      <c r="AM852">
        <v>39.159999999999997</v>
      </c>
      <c r="AN852">
        <v>149.53</v>
      </c>
      <c r="AO852" s="1">
        <f t="shared" si="41"/>
        <v>602.79</v>
      </c>
    </row>
    <row r="853" spans="1:41" x14ac:dyDescent="0.25">
      <c r="A853" t="s">
        <v>896</v>
      </c>
      <c r="B853" s="2">
        <v>327.865011872092</v>
      </c>
      <c r="C853" s="2">
        <v>907.57116392959495</v>
      </c>
      <c r="D853" s="2">
        <v>1172.6646737696301</v>
      </c>
      <c r="E853" s="2">
        <v>1892.3252963132099</v>
      </c>
      <c r="F853" s="2">
        <v>3989.0917739534402</v>
      </c>
      <c r="G853" s="2">
        <v>2639.8368475688299</v>
      </c>
      <c r="H853" s="2">
        <v>4629.1861139286802</v>
      </c>
      <c r="I853" s="2">
        <v>782.39242817306103</v>
      </c>
      <c r="J853" s="2">
        <v>2426.2628213753401</v>
      </c>
      <c r="K853" s="2">
        <v>695.81034231663898</v>
      </c>
      <c r="L853" s="2">
        <v>6379.0650934524701</v>
      </c>
      <c r="M853" s="2">
        <v>4453.5788343190197</v>
      </c>
      <c r="N853" s="3">
        <f t="shared" si="39"/>
        <v>30295.650400972008</v>
      </c>
      <c r="O853" s="2">
        <v>1.0447826200373</v>
      </c>
      <c r="P853" s="2">
        <v>0.33349510311045799</v>
      </c>
      <c r="Q853" s="2">
        <v>0.53379976340754898</v>
      </c>
      <c r="R853" s="2">
        <v>1.3292345217045201</v>
      </c>
      <c r="S853" s="2">
        <v>5.9671730709239696</v>
      </c>
      <c r="T853" s="2">
        <v>5.4845624424299899</v>
      </c>
      <c r="U853" s="2">
        <v>1.9505070017566799</v>
      </c>
      <c r="V853" s="2">
        <v>3.0027906465021101</v>
      </c>
      <c r="W853" s="2">
        <v>0</v>
      </c>
      <c r="X853" s="2">
        <v>3.9119530312227599</v>
      </c>
      <c r="Y853" s="2">
        <v>1.29733011820906</v>
      </c>
      <c r="Z853" s="2">
        <v>17.969295571381899</v>
      </c>
      <c r="AA853" s="3">
        <f t="shared" si="40"/>
        <v>42.824923890686293</v>
      </c>
      <c r="AB853" t="s">
        <v>63</v>
      </c>
      <c r="AC853">
        <v>6.74</v>
      </c>
      <c r="AD853">
        <v>18.25</v>
      </c>
      <c r="AE853">
        <v>23.55</v>
      </c>
      <c r="AF853">
        <v>38.04</v>
      </c>
      <c r="AG853">
        <v>80.34</v>
      </c>
      <c r="AH853">
        <v>53.34</v>
      </c>
      <c r="AI853">
        <v>92.78</v>
      </c>
      <c r="AJ853">
        <v>16.02</v>
      </c>
      <c r="AK853">
        <v>48.54</v>
      </c>
      <c r="AL853">
        <v>14.28</v>
      </c>
      <c r="AM853">
        <v>127.78</v>
      </c>
      <c r="AN853">
        <v>90.7</v>
      </c>
      <c r="AO853" s="1">
        <f t="shared" si="41"/>
        <v>610.36</v>
      </c>
    </row>
    <row r="854" spans="1:41" x14ac:dyDescent="0.25">
      <c r="A854" t="s">
        <v>897</v>
      </c>
      <c r="B854" s="2">
        <v>327.55668467450198</v>
      </c>
      <c r="C854" s="2">
        <v>3816.6581987519999</v>
      </c>
      <c r="D854" s="2">
        <v>9563.8321564932994</v>
      </c>
      <c r="E854" s="2">
        <v>1759.41096075308</v>
      </c>
      <c r="F854" s="2">
        <v>829.73632685808104</v>
      </c>
      <c r="G854" s="2">
        <v>3138.33488499753</v>
      </c>
      <c r="H854" s="2">
        <v>9423.5316767488493</v>
      </c>
      <c r="I854" s="2">
        <v>593.36387812701696</v>
      </c>
      <c r="J854" s="2">
        <v>1794.21550766422</v>
      </c>
      <c r="K854" s="2">
        <v>890.991915462056</v>
      </c>
      <c r="L854" s="2">
        <v>2907.8149785742899</v>
      </c>
      <c r="M854" s="2">
        <v>1816.65846792142</v>
      </c>
      <c r="N854" s="3">
        <f t="shared" si="39"/>
        <v>36862.105637026347</v>
      </c>
      <c r="O854" s="2">
        <v>4.2035570580245603</v>
      </c>
      <c r="P854" s="2">
        <v>7.8500338905342604</v>
      </c>
      <c r="Q854" s="2">
        <v>10.3633807174513</v>
      </c>
      <c r="R854" s="2">
        <v>7.7891334540688799</v>
      </c>
      <c r="S854" s="2">
        <v>3.0330749167916702</v>
      </c>
      <c r="T854" s="2">
        <v>0</v>
      </c>
      <c r="U854" s="2">
        <v>17.5213201038334</v>
      </c>
      <c r="V854" s="2">
        <v>0.70306949862795698</v>
      </c>
      <c r="W854" s="2">
        <v>0.62087267474516505</v>
      </c>
      <c r="X854" s="2">
        <v>2.1558035963883202</v>
      </c>
      <c r="Y854" s="2">
        <v>1.3949951139019201</v>
      </c>
      <c r="Z854" s="2">
        <v>14.8174201614138</v>
      </c>
      <c r="AA854" s="3">
        <f t="shared" si="40"/>
        <v>70.452661185781224</v>
      </c>
      <c r="AB854" t="s">
        <v>45</v>
      </c>
      <c r="AC854">
        <v>13.52</v>
      </c>
      <c r="AD854">
        <v>48.56</v>
      </c>
      <c r="AE854">
        <v>106.18</v>
      </c>
      <c r="AF854">
        <v>27.99</v>
      </c>
      <c r="AG854">
        <v>18.489999999999998</v>
      </c>
      <c r="AH854">
        <v>41.38</v>
      </c>
      <c r="AI854">
        <v>105.13</v>
      </c>
      <c r="AJ854">
        <v>15.98</v>
      </c>
      <c r="AK854">
        <v>27.99</v>
      </c>
      <c r="AL854">
        <v>19.05</v>
      </c>
      <c r="AM854">
        <v>39.17</v>
      </c>
      <c r="AN854">
        <v>28.91</v>
      </c>
      <c r="AO854" s="1">
        <f t="shared" si="41"/>
        <v>492.35000000000008</v>
      </c>
    </row>
    <row r="855" spans="1:41" x14ac:dyDescent="0.25">
      <c r="A855" t="s">
        <v>898</v>
      </c>
      <c r="B855" s="2">
        <v>326.54302364484801</v>
      </c>
      <c r="C855" s="2">
        <v>926.20321863801803</v>
      </c>
      <c r="D855" s="2">
        <v>3403.8009122078902</v>
      </c>
      <c r="E855" s="2">
        <v>6835.20164651492</v>
      </c>
      <c r="F855" s="2">
        <v>5418.2429011987297</v>
      </c>
      <c r="G855" s="2">
        <v>1256.8778538684001</v>
      </c>
      <c r="H855" s="2">
        <v>8040.93938516873</v>
      </c>
      <c r="I855" s="2">
        <v>503.71500898978701</v>
      </c>
      <c r="J855" s="2">
        <v>4239.1264534144602</v>
      </c>
      <c r="K855" s="2">
        <v>3173.27585536178</v>
      </c>
      <c r="L855" s="2">
        <v>9055.6254204021407</v>
      </c>
      <c r="M855" s="2">
        <v>6209.4442330376396</v>
      </c>
      <c r="N855" s="3">
        <f t="shared" si="39"/>
        <v>49388.995912447346</v>
      </c>
      <c r="O855" s="2">
        <v>0</v>
      </c>
      <c r="P855" s="2">
        <v>8.8951103097776496</v>
      </c>
      <c r="Q855" s="2">
        <v>0</v>
      </c>
      <c r="R855" s="2">
        <v>7.2904787944439597</v>
      </c>
      <c r="S855" s="2">
        <v>28.497328521674302</v>
      </c>
      <c r="T855" s="2">
        <v>0.20887444801712099</v>
      </c>
      <c r="U855" s="2">
        <v>2.5599304247407901</v>
      </c>
      <c r="V855" s="2">
        <v>4.2394358078877596</v>
      </c>
      <c r="W855" s="2">
        <v>13.1016599966858</v>
      </c>
      <c r="X855" s="2">
        <v>10.645159907664199</v>
      </c>
      <c r="Y855" s="2">
        <v>4.1610386093483998</v>
      </c>
      <c r="Z855" s="2">
        <v>4.7579214200302697</v>
      </c>
      <c r="AA855" s="3">
        <f t="shared" si="40"/>
        <v>84.356938240270239</v>
      </c>
      <c r="AB855" t="s">
        <v>45</v>
      </c>
      <c r="AC855">
        <v>13.26</v>
      </c>
      <c r="AD855">
        <v>19.71</v>
      </c>
      <c r="AE855">
        <v>44.03</v>
      </c>
      <c r="AF855">
        <v>78.75</v>
      </c>
      <c r="AG855">
        <v>65.63</v>
      </c>
      <c r="AH855">
        <v>22.61</v>
      </c>
      <c r="AI855">
        <v>90.55</v>
      </c>
      <c r="AJ855">
        <v>15.28</v>
      </c>
      <c r="AK855">
        <v>53.09</v>
      </c>
      <c r="AL855">
        <v>42.28</v>
      </c>
      <c r="AM855">
        <v>100.8</v>
      </c>
      <c r="AN855">
        <v>72.34</v>
      </c>
      <c r="AO855" s="1">
        <f t="shared" si="41"/>
        <v>618.32999999999993</v>
      </c>
    </row>
    <row r="856" spans="1:41" x14ac:dyDescent="0.25">
      <c r="A856" t="s">
        <v>899</v>
      </c>
      <c r="B856" s="2">
        <v>321.951464770651</v>
      </c>
      <c r="C856" s="2">
        <v>1140.4264695171501</v>
      </c>
      <c r="D856" s="2">
        <v>3440.78358800872</v>
      </c>
      <c r="E856" s="2">
        <v>1457.46583666474</v>
      </c>
      <c r="F856" s="2">
        <v>3965.73681198844</v>
      </c>
      <c r="G856" s="2">
        <v>3326.6426961546299</v>
      </c>
      <c r="H856" s="2">
        <v>3642.5907654635498</v>
      </c>
      <c r="I856" s="2">
        <v>418.08906658382801</v>
      </c>
      <c r="J856" s="2">
        <v>1987.37721748987</v>
      </c>
      <c r="K856" s="2">
        <v>6050.10622794763</v>
      </c>
      <c r="L856" s="2">
        <v>507.93269885977998</v>
      </c>
      <c r="M856" s="2">
        <v>2900.5157282999098</v>
      </c>
      <c r="N856" s="3">
        <f t="shared" si="39"/>
        <v>29159.618571748892</v>
      </c>
      <c r="O856" s="2">
        <v>1.7073747718313601</v>
      </c>
      <c r="P856" s="2">
        <v>0.72940329509098301</v>
      </c>
      <c r="Q856" s="2">
        <v>3.1878102260660302</v>
      </c>
      <c r="R856" s="2">
        <v>4.0975212143695696</v>
      </c>
      <c r="S856" s="2">
        <v>10.688130737173701</v>
      </c>
      <c r="T856" s="2">
        <v>1.18609264985945</v>
      </c>
      <c r="U856" s="2">
        <v>12.0729611932786</v>
      </c>
      <c r="V856" s="2">
        <v>1.7707580938684699</v>
      </c>
      <c r="W856" s="2">
        <v>4.0417333440232301</v>
      </c>
      <c r="X856" s="2">
        <v>0.58789178021771904</v>
      </c>
      <c r="Y856" s="2">
        <v>7.7288351293417898</v>
      </c>
      <c r="Z856" s="2">
        <v>4.6734285081634104</v>
      </c>
      <c r="AA856" s="3">
        <f t="shared" si="40"/>
        <v>52.471940943284309</v>
      </c>
      <c r="AB856" t="s">
        <v>63</v>
      </c>
      <c r="AC856">
        <v>6.62</v>
      </c>
      <c r="AD856">
        <v>22.91</v>
      </c>
      <c r="AE856">
        <v>69.180000000000007</v>
      </c>
      <c r="AF856">
        <v>29.61</v>
      </c>
      <c r="AG856">
        <v>80.31</v>
      </c>
      <c r="AH856">
        <v>66.72</v>
      </c>
      <c r="AI856">
        <v>74.03</v>
      </c>
      <c r="AJ856">
        <v>8.56</v>
      </c>
      <c r="AK856">
        <v>40.21</v>
      </c>
      <c r="AL856">
        <v>121.11</v>
      </c>
      <c r="AM856">
        <v>10.88</v>
      </c>
      <c r="AN856">
        <v>58.47</v>
      </c>
      <c r="AO856" s="1">
        <f t="shared" si="41"/>
        <v>588.61</v>
      </c>
    </row>
    <row r="857" spans="1:41" x14ac:dyDescent="0.25">
      <c r="A857" t="s">
        <v>900</v>
      </c>
      <c r="B857" s="2">
        <v>318.55173605295403</v>
      </c>
      <c r="C857" s="2">
        <v>0</v>
      </c>
      <c r="D857" s="2">
        <v>1955.0697345589999</v>
      </c>
      <c r="E857" s="2">
        <v>12180.847653189699</v>
      </c>
      <c r="F857" s="2">
        <v>2799.0871248911699</v>
      </c>
      <c r="G857" s="2">
        <v>1605.49542336728</v>
      </c>
      <c r="H857" s="2">
        <v>21724.727965964401</v>
      </c>
      <c r="I857" s="2">
        <v>1944.3711347041799</v>
      </c>
      <c r="J857" s="2">
        <v>1015.12834607689</v>
      </c>
      <c r="K857" s="2">
        <v>1790.7811401889101</v>
      </c>
      <c r="L857" s="2">
        <v>401.90376319330699</v>
      </c>
      <c r="M857" s="2">
        <v>1678.5449125580301</v>
      </c>
      <c r="N857" s="3">
        <f t="shared" si="39"/>
        <v>47414.508934745827</v>
      </c>
      <c r="O857" s="2">
        <v>0.58069281767479997</v>
      </c>
      <c r="P857" s="2">
        <v>1.5814155341171701</v>
      </c>
      <c r="Q857" s="2">
        <v>4.8017332021614596</v>
      </c>
      <c r="R857" s="2">
        <v>1.3431668308201301</v>
      </c>
      <c r="S857" s="2">
        <v>0.93230163567186797</v>
      </c>
      <c r="T857" s="2">
        <v>2.2599114623446899</v>
      </c>
      <c r="U857" s="2">
        <v>1.28799359341413</v>
      </c>
      <c r="V857" s="2">
        <v>9.4460240117272392</v>
      </c>
      <c r="W857" s="2">
        <v>1.95263563438746</v>
      </c>
      <c r="X857" s="2">
        <v>2.9968105530473701</v>
      </c>
      <c r="Y857" s="2">
        <v>1.1476008143049801</v>
      </c>
      <c r="Z857" s="2">
        <v>4.5472483718782399</v>
      </c>
      <c r="AA857" s="3">
        <f t="shared" si="40"/>
        <v>32.877534461549537</v>
      </c>
      <c r="AB857" t="s">
        <v>45</v>
      </c>
      <c r="AC857">
        <v>13.23</v>
      </c>
      <c r="AD857">
        <v>10.09</v>
      </c>
      <c r="AE857">
        <v>29.8</v>
      </c>
      <c r="AF857">
        <v>131.9</v>
      </c>
      <c r="AG857">
        <v>38.04</v>
      </c>
      <c r="AH857">
        <v>26.2</v>
      </c>
      <c r="AI857">
        <v>227.34</v>
      </c>
      <c r="AJ857">
        <v>29.94</v>
      </c>
      <c r="AK857">
        <v>20.25</v>
      </c>
      <c r="AL857">
        <v>28.05</v>
      </c>
      <c r="AM857">
        <v>14.11</v>
      </c>
      <c r="AN857">
        <v>27.03</v>
      </c>
      <c r="AO857" s="1">
        <f t="shared" si="41"/>
        <v>595.9799999999999</v>
      </c>
    </row>
    <row r="858" spans="1:41" x14ac:dyDescent="0.25">
      <c r="A858" t="s">
        <v>901</v>
      </c>
      <c r="B858" s="2">
        <v>317.03078093391798</v>
      </c>
      <c r="C858" s="2">
        <v>18417.8188548137</v>
      </c>
      <c r="D858" s="2">
        <v>4821.9181804509399</v>
      </c>
      <c r="E858" s="2">
        <v>1324.53465388576</v>
      </c>
      <c r="F858" s="2">
        <v>6431.0603681775801</v>
      </c>
      <c r="G858" s="2">
        <v>2442.3845314780401</v>
      </c>
      <c r="H858" s="2">
        <v>7096.3855544129601</v>
      </c>
      <c r="I858" s="2">
        <v>1406.62860147477</v>
      </c>
      <c r="J858" s="2">
        <v>1801.47501655827</v>
      </c>
      <c r="K858" s="2">
        <v>1000.14641193344</v>
      </c>
      <c r="L858" s="2">
        <v>3329.9532854898398</v>
      </c>
      <c r="M858" s="2">
        <v>741.14579573351705</v>
      </c>
      <c r="N858" s="3">
        <f t="shared" si="39"/>
        <v>49130.482035342728</v>
      </c>
      <c r="O858" s="2">
        <v>0</v>
      </c>
      <c r="P858" s="2">
        <v>7.0737996699504597</v>
      </c>
      <c r="Q858" s="2">
        <v>4.7747160681541398</v>
      </c>
      <c r="R858" s="2">
        <v>3.9562927436808799</v>
      </c>
      <c r="S858" s="2">
        <v>8.7230452817925208</v>
      </c>
      <c r="T858" s="2">
        <v>3.63156370323843</v>
      </c>
      <c r="U858" s="2">
        <v>0.92709267807382101</v>
      </c>
      <c r="V858" s="2">
        <v>3.6026539517279801</v>
      </c>
      <c r="W858" s="2">
        <v>1.59001802759141</v>
      </c>
      <c r="X858" s="2">
        <v>0.859718153395583</v>
      </c>
      <c r="Y858" s="2">
        <v>12.6851434203942</v>
      </c>
      <c r="Z858" s="2">
        <v>1.3791313715040301</v>
      </c>
      <c r="AA858" s="3">
        <f t="shared" si="40"/>
        <v>49.203175069503452</v>
      </c>
      <c r="AB858" t="s">
        <v>45</v>
      </c>
      <c r="AC858">
        <v>13.17</v>
      </c>
      <c r="AD858">
        <v>194.57</v>
      </c>
      <c r="AE858">
        <v>58.46</v>
      </c>
      <c r="AF858">
        <v>23.44</v>
      </c>
      <c r="AG858">
        <v>74.760000000000005</v>
      </c>
      <c r="AH858">
        <v>34.619999999999997</v>
      </c>
      <c r="AI858">
        <v>81.010000000000005</v>
      </c>
      <c r="AJ858">
        <v>24.26</v>
      </c>
      <c r="AK858">
        <v>28.11</v>
      </c>
      <c r="AL858">
        <v>20.05</v>
      </c>
      <c r="AM858">
        <v>43.94</v>
      </c>
      <c r="AN858">
        <v>17.510000000000002</v>
      </c>
      <c r="AO858" s="1">
        <f t="shared" si="41"/>
        <v>613.89999999999986</v>
      </c>
    </row>
    <row r="859" spans="1:41" x14ac:dyDescent="0.25">
      <c r="A859" t="s">
        <v>902</v>
      </c>
      <c r="B859" s="2">
        <v>312.74436277193502</v>
      </c>
      <c r="C859" s="2">
        <v>67.973736431829906</v>
      </c>
      <c r="D859" s="2">
        <v>1519.9814012790901</v>
      </c>
      <c r="E859" s="2">
        <v>3504.1754453538902</v>
      </c>
      <c r="F859" s="2">
        <v>1058.66957859589</v>
      </c>
      <c r="G859" s="2">
        <v>1995.8075986762401</v>
      </c>
      <c r="H859" s="2">
        <v>4979.53285789643</v>
      </c>
      <c r="I859" s="2">
        <v>4090.7052706981499</v>
      </c>
      <c r="J859" s="2">
        <v>382.24293249162503</v>
      </c>
      <c r="K859" s="2">
        <v>7478.1729328865304</v>
      </c>
      <c r="L859" s="2">
        <v>4772.2792402946097</v>
      </c>
      <c r="M859" s="2">
        <v>2061.4782500206602</v>
      </c>
      <c r="N859" s="3">
        <f t="shared" si="39"/>
        <v>32223.763607396882</v>
      </c>
      <c r="O859" s="2">
        <v>2.5520139846131298</v>
      </c>
      <c r="P859" s="2">
        <v>0.28097779740190199</v>
      </c>
      <c r="Q859" s="2">
        <v>2.9767284826079501</v>
      </c>
      <c r="R859" s="2">
        <v>0</v>
      </c>
      <c r="S859" s="2">
        <v>1.0969084182309099</v>
      </c>
      <c r="T859" s="2">
        <v>0.78120056540903504</v>
      </c>
      <c r="U859" s="2">
        <v>4.26499606711773</v>
      </c>
      <c r="V859" s="2">
        <v>1.0725579103381</v>
      </c>
      <c r="W859" s="2">
        <v>3.3158832322439098</v>
      </c>
      <c r="X859" s="2">
        <v>1.6206331336931801</v>
      </c>
      <c r="Y859" s="2">
        <v>13.5453160088492</v>
      </c>
      <c r="Z859" s="2">
        <v>12.0020282200847</v>
      </c>
      <c r="AA859" s="3">
        <f t="shared" si="40"/>
        <v>43.509243820589745</v>
      </c>
      <c r="AB859" t="s">
        <v>63</v>
      </c>
      <c r="AC859">
        <v>6.53</v>
      </c>
      <c r="AD859">
        <v>1.45</v>
      </c>
      <c r="AE859">
        <v>30.67</v>
      </c>
      <c r="AF859">
        <v>70.099999999999994</v>
      </c>
      <c r="AG859">
        <v>21.36</v>
      </c>
      <c r="AH859">
        <v>40.01</v>
      </c>
      <c r="AI859">
        <v>100.05</v>
      </c>
      <c r="AJ859">
        <v>82</v>
      </c>
      <c r="AK859">
        <v>8.02</v>
      </c>
      <c r="AL859">
        <v>149.76</v>
      </c>
      <c r="AM859">
        <v>96.72</v>
      </c>
      <c r="AN859">
        <v>42.41</v>
      </c>
      <c r="AO859" s="1">
        <f t="shared" si="41"/>
        <v>649.07999999999993</v>
      </c>
    </row>
    <row r="860" spans="1:41" x14ac:dyDescent="0.25">
      <c r="A860" t="s">
        <v>903</v>
      </c>
      <c r="B860" s="2">
        <v>293.24039326006903</v>
      </c>
      <c r="C860" s="2">
        <v>3153.3749677276001</v>
      </c>
      <c r="D860" s="2">
        <v>2823.5375581714502</v>
      </c>
      <c r="E860" s="2">
        <v>2578.5637861162199</v>
      </c>
      <c r="F860" s="2">
        <v>6264.6669099118599</v>
      </c>
      <c r="G860" s="2">
        <v>4922.9199885657999</v>
      </c>
      <c r="H860" s="2">
        <v>14948.0330722942</v>
      </c>
      <c r="I860" s="2">
        <v>93.711630384767503</v>
      </c>
      <c r="J860" s="2">
        <v>0</v>
      </c>
      <c r="K860" s="2">
        <v>1991.6020859329999</v>
      </c>
      <c r="L860" s="2">
        <v>0</v>
      </c>
      <c r="M860" s="2">
        <v>8923.5298769178698</v>
      </c>
      <c r="N860" s="3">
        <f t="shared" si="39"/>
        <v>45993.180269282835</v>
      </c>
      <c r="O860" s="2">
        <v>1.0302075596562501</v>
      </c>
      <c r="P860" s="2">
        <v>0</v>
      </c>
      <c r="Q860" s="2">
        <v>3.6837638076785599</v>
      </c>
      <c r="R860" s="2">
        <v>16.8644235068131</v>
      </c>
      <c r="S860" s="2">
        <v>0.91056342646063904</v>
      </c>
      <c r="T860" s="2">
        <v>4.3432241651324999</v>
      </c>
      <c r="U860" s="2">
        <v>2.84015404047044</v>
      </c>
      <c r="V860" s="2">
        <v>0</v>
      </c>
      <c r="W860" s="2">
        <v>1.6769208267895701</v>
      </c>
      <c r="X860" s="2">
        <v>4.7434558764739601</v>
      </c>
      <c r="Y860" s="2">
        <v>4.2516822818848903</v>
      </c>
      <c r="Z860" s="2">
        <v>6.5928618425172498</v>
      </c>
      <c r="AA860" s="3">
        <f t="shared" si="40"/>
        <v>46.937257333877163</v>
      </c>
      <c r="AB860" t="s">
        <v>45</v>
      </c>
      <c r="AC860">
        <v>13.03</v>
      </c>
      <c r="AD860">
        <v>41.53</v>
      </c>
      <c r="AE860">
        <v>38.43</v>
      </c>
      <c r="AF860">
        <v>36.630000000000003</v>
      </c>
      <c r="AG860">
        <v>72.69</v>
      </c>
      <c r="AH860">
        <v>59.47</v>
      </c>
      <c r="AI860">
        <v>159.63</v>
      </c>
      <c r="AJ860">
        <v>10.93</v>
      </c>
      <c r="AK860">
        <v>10.09</v>
      </c>
      <c r="AL860">
        <v>30.16</v>
      </c>
      <c r="AM860">
        <v>10.24</v>
      </c>
      <c r="AN860">
        <v>99.58</v>
      </c>
      <c r="AO860" s="1">
        <f t="shared" si="41"/>
        <v>582.41</v>
      </c>
    </row>
    <row r="861" spans="1:41" x14ac:dyDescent="0.25">
      <c r="A861" t="s">
        <v>904</v>
      </c>
      <c r="B861" s="2">
        <v>282.79103602206601</v>
      </c>
      <c r="C861" s="2">
        <v>52.8809233088772</v>
      </c>
      <c r="D861" s="2">
        <v>1656.38388480955</v>
      </c>
      <c r="E861" s="2">
        <v>7314.7708791792702</v>
      </c>
      <c r="F861" s="2">
        <v>2255.9222493141401</v>
      </c>
      <c r="G861" s="2">
        <v>3309.8423344646899</v>
      </c>
      <c r="H861" s="2">
        <v>9462.1839698346703</v>
      </c>
      <c r="I861" s="2">
        <v>3197.5773268031098</v>
      </c>
      <c r="J861" s="2">
        <v>6620.8683596370502</v>
      </c>
      <c r="K861" s="2">
        <v>685.53906093435899</v>
      </c>
      <c r="L861" s="2">
        <v>13430.702578381501</v>
      </c>
      <c r="M861" s="2">
        <v>0</v>
      </c>
      <c r="N861" s="3">
        <f t="shared" si="39"/>
        <v>48269.462602689295</v>
      </c>
      <c r="O861" s="2">
        <v>1.2446889705033299</v>
      </c>
      <c r="P861" s="2">
        <v>3.7816068226605899</v>
      </c>
      <c r="Q861" s="2">
        <v>8.5614012615713708</v>
      </c>
      <c r="R861" s="2">
        <v>3.8085064854031998</v>
      </c>
      <c r="S861" s="2">
        <v>4.1842723524028296</v>
      </c>
      <c r="T861" s="2">
        <v>1.5973861761833601</v>
      </c>
      <c r="U861" s="2">
        <v>0</v>
      </c>
      <c r="V861" s="2">
        <v>4.0128119575140202</v>
      </c>
      <c r="W861" s="2">
        <v>2.2128961159618701</v>
      </c>
      <c r="X861" s="2">
        <v>2.7961440753421498</v>
      </c>
      <c r="Y861" s="2">
        <v>1.4055128928826901</v>
      </c>
      <c r="Z861" s="2">
        <v>2.97218132402184</v>
      </c>
      <c r="AA861" s="3">
        <f t="shared" si="40"/>
        <v>36.57740843444725</v>
      </c>
      <c r="AB861" t="s">
        <v>63</v>
      </c>
      <c r="AC861">
        <v>5.84</v>
      </c>
      <c r="AD861">
        <v>1.42</v>
      </c>
      <c r="AE861">
        <v>33.950000000000003</v>
      </c>
      <c r="AF861">
        <v>146.66</v>
      </c>
      <c r="AG861">
        <v>45.57</v>
      </c>
      <c r="AH861">
        <v>66.38</v>
      </c>
      <c r="AI861">
        <v>189.26</v>
      </c>
      <c r="AJ861">
        <v>64.41</v>
      </c>
      <c r="AK861">
        <v>132.69</v>
      </c>
      <c r="AL861">
        <v>13.99</v>
      </c>
      <c r="AM861">
        <v>268.8</v>
      </c>
      <c r="AN861">
        <v>0.27</v>
      </c>
      <c r="AO861" s="1">
        <f t="shared" si="41"/>
        <v>969.24</v>
      </c>
    </row>
    <row r="862" spans="1:41" x14ac:dyDescent="0.25">
      <c r="A862" t="s">
        <v>905</v>
      </c>
      <c r="B862" s="2">
        <v>282.58655919717302</v>
      </c>
      <c r="C862" s="2">
        <v>1965.8186197980399</v>
      </c>
      <c r="D862" s="2">
        <v>5094.25563560726</v>
      </c>
      <c r="E862" s="2">
        <v>2101.2570770672401</v>
      </c>
      <c r="F862" s="2">
        <v>922.155405434719</v>
      </c>
      <c r="G862" s="2">
        <v>2541.0865270603499</v>
      </c>
      <c r="H862" s="2">
        <v>1118.3885668816199</v>
      </c>
      <c r="I862" s="2">
        <v>3474.6711956009999</v>
      </c>
      <c r="J862" s="2">
        <v>140.076298771914</v>
      </c>
      <c r="K862" s="2">
        <v>6604.0112029625898</v>
      </c>
      <c r="L862" s="2">
        <v>1996.38362892998</v>
      </c>
      <c r="M862" s="2">
        <v>2579.4213356772102</v>
      </c>
      <c r="N862" s="3">
        <f t="shared" si="39"/>
        <v>28820.112052989094</v>
      </c>
      <c r="O862" s="2">
        <v>12.242964622966401</v>
      </c>
      <c r="P862" s="2">
        <v>2.22084868461295</v>
      </c>
      <c r="Q862" s="2">
        <v>4.2052367153649302</v>
      </c>
      <c r="R862" s="2">
        <v>4.0451904856413199</v>
      </c>
      <c r="S862" s="2">
        <v>0</v>
      </c>
      <c r="T862" s="2">
        <v>5.8557112027181901</v>
      </c>
      <c r="U862" s="2">
        <v>5.3551598592679603</v>
      </c>
      <c r="V862" s="2">
        <v>1.1948246118908501</v>
      </c>
      <c r="W862" s="2">
        <v>2.58114114298245</v>
      </c>
      <c r="X862" s="2">
        <v>6.87887499261375</v>
      </c>
      <c r="Y862" s="2">
        <v>0</v>
      </c>
      <c r="Z862" s="2">
        <v>7.07085557832053</v>
      </c>
      <c r="AA862" s="3">
        <f t="shared" si="40"/>
        <v>51.650807896379341</v>
      </c>
      <c r="AB862" t="s">
        <v>63</v>
      </c>
      <c r="AC862">
        <v>6.83</v>
      </c>
      <c r="AD862">
        <v>39.590000000000003</v>
      </c>
      <c r="AE862">
        <v>102.35</v>
      </c>
      <c r="AF862">
        <v>42.49</v>
      </c>
      <c r="AG862">
        <v>18.46</v>
      </c>
      <c r="AH862">
        <v>51.38</v>
      </c>
      <c r="AI862">
        <v>22.92</v>
      </c>
      <c r="AJ862">
        <v>69.680000000000007</v>
      </c>
      <c r="AK862">
        <v>3.09</v>
      </c>
      <c r="AL862">
        <v>132.72999999999999</v>
      </c>
      <c r="AM862">
        <v>39.94</v>
      </c>
      <c r="AN862">
        <v>52.32</v>
      </c>
      <c r="AO862" s="1">
        <f t="shared" si="41"/>
        <v>581.78000000000009</v>
      </c>
    </row>
    <row r="863" spans="1:41" x14ac:dyDescent="0.25">
      <c r="A863" t="s">
        <v>906</v>
      </c>
      <c r="B863" s="2">
        <v>281.31230593177798</v>
      </c>
      <c r="C863" s="2">
        <v>2912.7868684934001</v>
      </c>
      <c r="D863" s="2">
        <v>2892.60661918599</v>
      </c>
      <c r="E863" s="2">
        <v>0</v>
      </c>
      <c r="F863" s="2">
        <v>4829.6692986160497</v>
      </c>
      <c r="G863" s="2">
        <v>465.26621978633102</v>
      </c>
      <c r="H863" s="2">
        <v>9589.5304584760706</v>
      </c>
      <c r="I863" s="2">
        <v>3788.51121832631</v>
      </c>
      <c r="J863" s="2">
        <v>1007.34218902288</v>
      </c>
      <c r="K863" s="2">
        <v>12043.8475388597</v>
      </c>
      <c r="L863" s="2">
        <v>843.75276397666505</v>
      </c>
      <c r="M863" s="2">
        <v>1214.9585472097201</v>
      </c>
      <c r="N863" s="3">
        <f t="shared" si="39"/>
        <v>39869.584027884892</v>
      </c>
      <c r="O863" s="2">
        <v>1.5181760597901299</v>
      </c>
      <c r="P863" s="2">
        <v>0</v>
      </c>
      <c r="Q863" s="2">
        <v>1.7104057518954201</v>
      </c>
      <c r="R863" s="2">
        <v>8.6723139671869607</v>
      </c>
      <c r="S863" s="2">
        <v>9.9525891899659094</v>
      </c>
      <c r="T863" s="2">
        <v>2.8769012342213802</v>
      </c>
      <c r="U863" s="2">
        <v>1.3877162109146</v>
      </c>
      <c r="V863" s="2">
        <v>2.7139779920078602</v>
      </c>
      <c r="W863" s="2">
        <v>4.7372179396763201</v>
      </c>
      <c r="X863" s="2">
        <v>7.3446138477254799</v>
      </c>
      <c r="Y863" s="2">
        <v>2.0893507983908499</v>
      </c>
      <c r="Z863" s="2">
        <v>0.19296904103618101</v>
      </c>
      <c r="AA863" s="3">
        <f t="shared" si="40"/>
        <v>43.196232032811096</v>
      </c>
      <c r="AB863" t="s">
        <v>45</v>
      </c>
      <c r="AC863">
        <v>12.91</v>
      </c>
      <c r="AD863">
        <v>39.119999999999997</v>
      </c>
      <c r="AE863">
        <v>39.020000000000003</v>
      </c>
      <c r="AF863">
        <v>10.44</v>
      </c>
      <c r="AG863">
        <v>58.79</v>
      </c>
      <c r="AH863">
        <v>14.8</v>
      </c>
      <c r="AI863">
        <v>105.99</v>
      </c>
      <c r="AJ863">
        <v>48.03</v>
      </c>
      <c r="AK863">
        <v>20.32</v>
      </c>
      <c r="AL863">
        <v>130.83000000000001</v>
      </c>
      <c r="AM863">
        <v>18.579999999999998</v>
      </c>
      <c r="AN863">
        <v>22.19</v>
      </c>
      <c r="AO863" s="1">
        <f t="shared" si="41"/>
        <v>521.02</v>
      </c>
    </row>
    <row r="864" spans="1:41" x14ac:dyDescent="0.25">
      <c r="A864" t="s">
        <v>907</v>
      </c>
      <c r="B864" s="2">
        <v>266.08428980518403</v>
      </c>
      <c r="C864" s="2">
        <v>4059.14128672488</v>
      </c>
      <c r="D864" s="2">
        <v>2762.0165057192098</v>
      </c>
      <c r="E864" s="2">
        <v>11277.2009994776</v>
      </c>
      <c r="F864" s="2">
        <v>706.89518481474397</v>
      </c>
      <c r="G864" s="2">
        <v>0</v>
      </c>
      <c r="H864" s="2">
        <v>3289.1881238781798</v>
      </c>
      <c r="I864" s="2">
        <v>5139.8942125704798</v>
      </c>
      <c r="J864" s="2">
        <v>430.06293503024699</v>
      </c>
      <c r="K864" s="2">
        <v>3917.7264348067001</v>
      </c>
      <c r="L864" s="2">
        <v>0</v>
      </c>
      <c r="M864" s="2">
        <v>11140.8627971433</v>
      </c>
      <c r="N864" s="3">
        <f t="shared" si="39"/>
        <v>42989.072769970524</v>
      </c>
      <c r="O864" s="2">
        <v>1.87541230030953</v>
      </c>
      <c r="P864" s="2">
        <v>1.94097967046688</v>
      </c>
      <c r="Q864" s="2">
        <v>2.27513116289574</v>
      </c>
      <c r="R864" s="2">
        <v>1.7250391648590699</v>
      </c>
      <c r="S864" s="2">
        <v>7.71335701930056E-3</v>
      </c>
      <c r="T864" s="2">
        <v>14.261946191632701</v>
      </c>
      <c r="U864" s="2">
        <v>8.6957899240906809</v>
      </c>
      <c r="V864" s="2">
        <v>3.2200492841984101</v>
      </c>
      <c r="W864" s="2">
        <v>3.91598996895639</v>
      </c>
      <c r="X864" s="2">
        <v>0.117765045210023</v>
      </c>
      <c r="Y864" s="2">
        <v>4.5327710511358701</v>
      </c>
      <c r="Z864" s="2">
        <v>3.7199924622328</v>
      </c>
      <c r="AA864" s="3">
        <f t="shared" si="40"/>
        <v>46.28857958300739</v>
      </c>
      <c r="AB864" t="s">
        <v>63</v>
      </c>
      <c r="AC864">
        <v>5.52</v>
      </c>
      <c r="AD864">
        <v>81.38</v>
      </c>
      <c r="AE864">
        <v>55.53</v>
      </c>
      <c r="AF864">
        <v>225.74</v>
      </c>
      <c r="AG864">
        <v>14.23</v>
      </c>
      <c r="AH864">
        <v>1.35</v>
      </c>
      <c r="AI864">
        <v>66.61</v>
      </c>
      <c r="AJ864">
        <v>103.16</v>
      </c>
      <c r="AK864">
        <v>8.98</v>
      </c>
      <c r="AL864">
        <v>78.45</v>
      </c>
      <c r="AM864">
        <v>0.45</v>
      </c>
      <c r="AN864">
        <v>223.18</v>
      </c>
      <c r="AO864" s="1">
        <f t="shared" si="41"/>
        <v>864.58000000000015</v>
      </c>
    </row>
    <row r="865" spans="1:41" x14ac:dyDescent="0.25">
      <c r="A865" t="s">
        <v>908</v>
      </c>
      <c r="B865" s="2">
        <v>260.64061622265802</v>
      </c>
      <c r="C865" s="2">
        <v>643.08271393087898</v>
      </c>
      <c r="D865" s="2">
        <v>2315.1470982542801</v>
      </c>
      <c r="E865" s="2">
        <v>7258.9561402416502</v>
      </c>
      <c r="F865" s="2">
        <v>4977.9566220496699</v>
      </c>
      <c r="G865" s="2">
        <v>7288.4391975115104</v>
      </c>
      <c r="H865" s="2">
        <v>518.64288715798398</v>
      </c>
      <c r="I865" s="2">
        <v>0</v>
      </c>
      <c r="J865" s="2">
        <v>1671.8540038686899</v>
      </c>
      <c r="K865" s="2">
        <v>726.50596759760299</v>
      </c>
      <c r="L865" s="2">
        <v>3682.8622486273798</v>
      </c>
      <c r="M865" s="2">
        <v>0</v>
      </c>
      <c r="N865" s="3">
        <f t="shared" si="39"/>
        <v>29344.087495462307</v>
      </c>
      <c r="O865" s="2">
        <v>10.6724430694793</v>
      </c>
      <c r="P865" s="2">
        <v>4.6592603142862901</v>
      </c>
      <c r="Q865" s="2">
        <v>3.85629935394121</v>
      </c>
      <c r="R865" s="2">
        <v>0.22364178200014001</v>
      </c>
      <c r="S865" s="2">
        <v>6.4790847827600802</v>
      </c>
      <c r="T865" s="2">
        <v>0.58565535285706505</v>
      </c>
      <c r="U865" s="2">
        <v>1.8694472436614999</v>
      </c>
      <c r="V865" s="2">
        <v>0</v>
      </c>
      <c r="W865" s="2">
        <v>2.8837643556269401</v>
      </c>
      <c r="X865" s="2">
        <v>2.15706358285611</v>
      </c>
      <c r="Y865" s="2">
        <v>1.2284516862986301</v>
      </c>
      <c r="Z865" s="2">
        <v>4.1563764297791197</v>
      </c>
      <c r="AA865" s="3">
        <f t="shared" si="40"/>
        <v>38.771487953546391</v>
      </c>
      <c r="AB865" t="s">
        <v>63</v>
      </c>
      <c r="AC865">
        <v>6.21</v>
      </c>
      <c r="AD865">
        <v>13.33</v>
      </c>
      <c r="AE865">
        <v>46.68</v>
      </c>
      <c r="AF865">
        <v>145.27000000000001</v>
      </c>
      <c r="AG865">
        <v>100.19</v>
      </c>
      <c r="AH865">
        <v>145.87</v>
      </c>
      <c r="AI865">
        <v>10.56</v>
      </c>
      <c r="AJ865">
        <v>0</v>
      </c>
      <c r="AK865">
        <v>33.71</v>
      </c>
      <c r="AL865">
        <v>14.81</v>
      </c>
      <c r="AM865">
        <v>73.84</v>
      </c>
      <c r="AN865">
        <v>0.45</v>
      </c>
      <c r="AO865" s="1">
        <f t="shared" si="41"/>
        <v>590.92000000000007</v>
      </c>
    </row>
    <row r="866" spans="1:41" x14ac:dyDescent="0.25">
      <c r="A866" t="s">
        <v>909</v>
      </c>
      <c r="B866" s="2">
        <v>257.50935158647701</v>
      </c>
      <c r="C866" s="2">
        <v>7044.5848261936299</v>
      </c>
      <c r="D866" s="2">
        <v>52.264219393203703</v>
      </c>
      <c r="E866" s="2">
        <v>841.430570649115</v>
      </c>
      <c r="F866" s="2">
        <v>656.37645402241799</v>
      </c>
      <c r="G866" s="2">
        <v>2506.3651836757099</v>
      </c>
      <c r="H866" s="2">
        <v>6786.1431235784003</v>
      </c>
      <c r="I866" s="2">
        <v>1077.44305295646</v>
      </c>
      <c r="J866" s="2">
        <v>2453.4362929019499</v>
      </c>
      <c r="K866" s="2">
        <v>1114.54015440181</v>
      </c>
      <c r="L866" s="2">
        <v>533.11338649377501</v>
      </c>
      <c r="M866" s="2">
        <v>123.190297295677</v>
      </c>
      <c r="N866" s="3">
        <f t="shared" si="39"/>
        <v>23446.39691314863</v>
      </c>
      <c r="O866" s="2">
        <v>0.69241039346849698</v>
      </c>
      <c r="P866" s="2">
        <v>8.6523033992887797</v>
      </c>
      <c r="Q866" s="2">
        <v>4.8944461073795296</v>
      </c>
      <c r="R866" s="2">
        <v>2.49462172340988</v>
      </c>
      <c r="S866" s="2">
        <v>5.3384021857355899</v>
      </c>
      <c r="T866" s="2">
        <v>0.61125122199564896</v>
      </c>
      <c r="U866" s="2">
        <v>6.2092771278618697</v>
      </c>
      <c r="V866" s="2">
        <v>2.9203284957601801</v>
      </c>
      <c r="W866" s="2">
        <v>5.9131226976350204</v>
      </c>
      <c r="X866" s="2">
        <v>13.7468801419417</v>
      </c>
      <c r="Y866" s="2">
        <v>8.7973940547117202</v>
      </c>
      <c r="Z866" s="2">
        <v>9.1544560836295901</v>
      </c>
      <c r="AA866" s="3">
        <f t="shared" si="40"/>
        <v>69.424893632817998</v>
      </c>
      <c r="AB866" t="s">
        <v>63</v>
      </c>
      <c r="AC866">
        <v>5.25</v>
      </c>
      <c r="AD866">
        <v>141.71</v>
      </c>
      <c r="AE866">
        <v>1.51</v>
      </c>
      <c r="AF866">
        <v>17.11</v>
      </c>
      <c r="AG866">
        <v>13.68</v>
      </c>
      <c r="AH866">
        <v>50.23</v>
      </c>
      <c r="AI866">
        <v>136.37</v>
      </c>
      <c r="AJ866">
        <v>21.83</v>
      </c>
      <c r="AK866">
        <v>49.62</v>
      </c>
      <c r="AL866">
        <v>23.56</v>
      </c>
      <c r="AM866">
        <v>11.49</v>
      </c>
      <c r="AN866">
        <v>3.38</v>
      </c>
      <c r="AO866" s="1">
        <f t="shared" si="41"/>
        <v>475.74</v>
      </c>
    </row>
    <row r="867" spans="1:41" x14ac:dyDescent="0.25">
      <c r="A867" t="s">
        <v>910</v>
      </c>
      <c r="B867" s="2">
        <v>250.15520147577001</v>
      </c>
      <c r="C867" s="2">
        <v>6635.1627696866599</v>
      </c>
      <c r="D867" s="2">
        <v>1146.40629167111</v>
      </c>
      <c r="E867" s="2">
        <v>94.051319962416599</v>
      </c>
      <c r="F867" s="2">
        <v>1607.3781233079401</v>
      </c>
      <c r="G867" s="2">
        <v>2510.1194965284999</v>
      </c>
      <c r="H867" s="2">
        <v>2456.9766348766998</v>
      </c>
      <c r="I867" s="2">
        <v>9146.8461629268804</v>
      </c>
      <c r="J867" s="2">
        <v>4687.1344009043796</v>
      </c>
      <c r="K867" s="2">
        <v>1176.36842486723</v>
      </c>
      <c r="L867" s="2">
        <v>291.59101234979897</v>
      </c>
      <c r="M867" s="2">
        <v>1985.0058737161701</v>
      </c>
      <c r="N867" s="3">
        <f t="shared" si="39"/>
        <v>31987.195712273551</v>
      </c>
      <c r="O867" s="2">
        <v>0.47883394568580001</v>
      </c>
      <c r="P867" s="2">
        <v>2.4459858566237398</v>
      </c>
      <c r="Q867" s="2">
        <v>8.6268625672363903</v>
      </c>
      <c r="R867" s="2">
        <v>3.2534683312236998</v>
      </c>
      <c r="S867" s="2">
        <v>7.3772898194939502</v>
      </c>
      <c r="T867" s="2">
        <v>2.67147817244678</v>
      </c>
      <c r="U867" s="2">
        <v>1.39592505803995</v>
      </c>
      <c r="V867" s="2">
        <v>4.4715989810022299</v>
      </c>
      <c r="W867" s="2">
        <v>2.2186496176662001</v>
      </c>
      <c r="X867" s="2">
        <v>2.5186080663654602</v>
      </c>
      <c r="Y867" s="2">
        <v>0</v>
      </c>
      <c r="Z867" s="2">
        <v>1.62936167589145</v>
      </c>
      <c r="AA867" s="3">
        <f t="shared" si="40"/>
        <v>37.088062091675653</v>
      </c>
      <c r="AB867" t="s">
        <v>63</v>
      </c>
      <c r="AC867">
        <v>5.1100000000000003</v>
      </c>
      <c r="AD867">
        <v>132.99</v>
      </c>
      <c r="AE867">
        <v>23.75</v>
      </c>
      <c r="AF867">
        <v>2.2599999999999998</v>
      </c>
      <c r="AG867">
        <v>32.880000000000003</v>
      </c>
      <c r="AH867">
        <v>50.49</v>
      </c>
      <c r="AI867">
        <v>49.32</v>
      </c>
      <c r="AJ867">
        <v>183.39</v>
      </c>
      <c r="AK867">
        <v>94.03</v>
      </c>
      <c r="AL867">
        <v>23.81</v>
      </c>
      <c r="AM867">
        <v>5.84</v>
      </c>
      <c r="AN867">
        <v>39.9</v>
      </c>
      <c r="AO867" s="1">
        <f t="shared" si="41"/>
        <v>643.77</v>
      </c>
    </row>
    <row r="868" spans="1:41" x14ac:dyDescent="0.25">
      <c r="A868" t="s">
        <v>911</v>
      </c>
      <c r="B868" s="2">
        <v>238.28244828428799</v>
      </c>
      <c r="C868" s="2">
        <v>3764.4040759109198</v>
      </c>
      <c r="D868" s="2">
        <v>1062.95358439554</v>
      </c>
      <c r="E868" s="2">
        <v>0</v>
      </c>
      <c r="F868" s="2">
        <v>2195.6776732840599</v>
      </c>
      <c r="G868" s="2">
        <v>850.78503168862596</v>
      </c>
      <c r="H868" s="2">
        <v>4865.62681144614</v>
      </c>
      <c r="I868" s="2">
        <v>752.64036577732304</v>
      </c>
      <c r="J868" s="2">
        <v>13085.3464745815</v>
      </c>
      <c r="K868" s="2">
        <v>4827.2975189839999</v>
      </c>
      <c r="L868" s="2">
        <v>421.96078922777298</v>
      </c>
      <c r="M868" s="2">
        <v>1857.7837710843601</v>
      </c>
      <c r="N868" s="3">
        <f t="shared" si="39"/>
        <v>33922.758544664532</v>
      </c>
      <c r="O868" s="2">
        <v>6.82783505956629</v>
      </c>
      <c r="P868" s="2">
        <v>2.6859606849852402</v>
      </c>
      <c r="Q868" s="2">
        <v>5.3399895536153998</v>
      </c>
      <c r="R868" s="2">
        <v>10.369959364426499</v>
      </c>
      <c r="S868" s="2">
        <v>2.0906152176006101</v>
      </c>
      <c r="T868" s="2">
        <v>2.3352330669830401</v>
      </c>
      <c r="U868" s="2">
        <v>2.08610940115905</v>
      </c>
      <c r="V868" s="2">
        <v>1.32305017112586</v>
      </c>
      <c r="W868" s="2">
        <v>0.52174098528980895</v>
      </c>
      <c r="X868" s="2">
        <v>0.33338013651471299</v>
      </c>
      <c r="Y868" s="2">
        <v>2.9377366250604902</v>
      </c>
      <c r="Z868" s="2">
        <v>4.0854355872614097</v>
      </c>
      <c r="AA868" s="3">
        <f t="shared" si="40"/>
        <v>40.937045853588408</v>
      </c>
      <c r="AB868" t="s">
        <v>63</v>
      </c>
      <c r="AC868">
        <v>5.41</v>
      </c>
      <c r="AD868">
        <v>75.569999999999993</v>
      </c>
      <c r="AE868">
        <v>21.8</v>
      </c>
      <c r="AF868">
        <v>0.99</v>
      </c>
      <c r="AG868">
        <v>44.19</v>
      </c>
      <c r="AH868">
        <v>17.29</v>
      </c>
      <c r="AI868">
        <v>97.59</v>
      </c>
      <c r="AJ868">
        <v>15.24</v>
      </c>
      <c r="AK868">
        <v>261.81</v>
      </c>
      <c r="AL868">
        <v>96.65</v>
      </c>
      <c r="AM868">
        <v>8.7100000000000009</v>
      </c>
      <c r="AN868">
        <v>37.61</v>
      </c>
      <c r="AO868" s="1">
        <f t="shared" si="41"/>
        <v>682.86</v>
      </c>
    </row>
    <row r="869" spans="1:41" x14ac:dyDescent="0.25">
      <c r="A869" t="s">
        <v>912</v>
      </c>
      <c r="B869" s="2">
        <v>235.51523389530601</v>
      </c>
      <c r="C869" s="2">
        <v>2718.1426785684298</v>
      </c>
      <c r="D869" s="2">
        <v>1757.4197376786699</v>
      </c>
      <c r="E869" s="2">
        <v>8998.02875645518</v>
      </c>
      <c r="F869" s="2">
        <v>1825.9352670209501</v>
      </c>
      <c r="G869" s="2">
        <v>3471.35800913608</v>
      </c>
      <c r="H869" s="2">
        <v>4739.7638796371702</v>
      </c>
      <c r="I869" s="2">
        <v>5525.1799189842704</v>
      </c>
      <c r="J869" s="2">
        <v>4184.2600145270999</v>
      </c>
      <c r="K869" s="2">
        <v>1773.2107012726799</v>
      </c>
      <c r="L869" s="2">
        <v>4103.6480183367103</v>
      </c>
      <c r="M869" s="2">
        <v>3814.92065535862</v>
      </c>
      <c r="N869" s="3">
        <f t="shared" si="39"/>
        <v>43147.382870871159</v>
      </c>
      <c r="O869" s="2">
        <v>2.7438921361383901</v>
      </c>
      <c r="P869" s="2">
        <v>1.7435146649279001</v>
      </c>
      <c r="Q869" s="2">
        <v>6.6678739401467002</v>
      </c>
      <c r="R869" s="2">
        <v>2.1341258507565501</v>
      </c>
      <c r="S869" s="2">
        <v>5.9006560482401298</v>
      </c>
      <c r="T869" s="2">
        <v>1.9439694318777601</v>
      </c>
      <c r="U869" s="2">
        <v>1.5066528602315199</v>
      </c>
      <c r="V869" s="2">
        <v>2.2443243262107999</v>
      </c>
      <c r="W869" s="2">
        <v>3.0203899667088501</v>
      </c>
      <c r="X869" s="2">
        <v>0</v>
      </c>
      <c r="Y869" s="2">
        <v>11.846514522750599</v>
      </c>
      <c r="Z869" s="2">
        <v>3.1148308687841801</v>
      </c>
      <c r="AA869" s="3">
        <f t="shared" si="40"/>
        <v>42.866744616773389</v>
      </c>
      <c r="AB869" t="s">
        <v>45</v>
      </c>
      <c r="AC869">
        <v>12.5</v>
      </c>
      <c r="AD869">
        <v>37.28</v>
      </c>
      <c r="AE869">
        <v>27.92</v>
      </c>
      <c r="AF869">
        <v>100.13</v>
      </c>
      <c r="AG869">
        <v>28.55</v>
      </c>
      <c r="AH869">
        <v>44.81</v>
      </c>
      <c r="AI869">
        <v>57.49</v>
      </c>
      <c r="AJ869">
        <v>65.400000000000006</v>
      </c>
      <c r="AK869">
        <v>52.04</v>
      </c>
      <c r="AL869">
        <v>27.73</v>
      </c>
      <c r="AM869">
        <v>51.63</v>
      </c>
      <c r="AN869">
        <v>48.34</v>
      </c>
      <c r="AO869" s="1">
        <f t="shared" si="41"/>
        <v>553.82000000000005</v>
      </c>
    </row>
    <row r="870" spans="1:41" x14ac:dyDescent="0.25">
      <c r="A870" t="s">
        <v>913</v>
      </c>
      <c r="B870" s="2">
        <v>227.766215204796</v>
      </c>
      <c r="C870" s="2">
        <v>1820.6959720355601</v>
      </c>
      <c r="D870" s="2">
        <v>1997.83677620715</v>
      </c>
      <c r="E870" s="2">
        <v>2838.7352436144502</v>
      </c>
      <c r="F870" s="2">
        <v>842.67026560246302</v>
      </c>
      <c r="G870" s="2">
        <v>0</v>
      </c>
      <c r="H870" s="2">
        <v>11594.0759666141</v>
      </c>
      <c r="I870" s="2">
        <v>14629.5177481381</v>
      </c>
      <c r="J870" s="2">
        <v>2426.6223573984398</v>
      </c>
      <c r="K870" s="2">
        <v>5991.6759309216905</v>
      </c>
      <c r="L870" s="2">
        <v>3371.0055651367102</v>
      </c>
      <c r="M870" s="2">
        <v>1015.94085225167</v>
      </c>
      <c r="N870" s="3">
        <f t="shared" si="39"/>
        <v>46756.542893125123</v>
      </c>
      <c r="O870" s="2">
        <v>4.9390333972928397</v>
      </c>
      <c r="P870" s="2">
        <v>2.9021639789247198</v>
      </c>
      <c r="Q870" s="2">
        <v>1.7154941713494301</v>
      </c>
      <c r="R870" s="2">
        <v>0</v>
      </c>
      <c r="S870" s="2">
        <v>2.3065627979089398</v>
      </c>
      <c r="T870" s="2">
        <v>1.41799984835862</v>
      </c>
      <c r="U870" s="2">
        <v>3.5368390869723401</v>
      </c>
      <c r="V870" s="2">
        <v>1.4304690034756899</v>
      </c>
      <c r="W870" s="2">
        <v>4.23407593485899</v>
      </c>
      <c r="X870" s="2">
        <v>5.1530355708172602</v>
      </c>
      <c r="Y870" s="2">
        <v>2.9233634508306499</v>
      </c>
      <c r="Z870" s="2">
        <v>0</v>
      </c>
      <c r="AA870" s="3">
        <f t="shared" si="40"/>
        <v>30.559037240789479</v>
      </c>
      <c r="AB870" t="s">
        <v>45</v>
      </c>
      <c r="AC870">
        <v>12.52</v>
      </c>
      <c r="AD870">
        <v>28.35</v>
      </c>
      <c r="AE870">
        <v>30.07</v>
      </c>
      <c r="AF870">
        <v>38.380000000000003</v>
      </c>
      <c r="AG870">
        <v>18.57</v>
      </c>
      <c r="AH870">
        <v>10.09</v>
      </c>
      <c r="AI870">
        <v>126.14</v>
      </c>
      <c r="AJ870">
        <v>156.38999999999999</v>
      </c>
      <c r="AK870">
        <v>34.51</v>
      </c>
      <c r="AL870">
        <v>70.209999999999994</v>
      </c>
      <c r="AM870">
        <v>43.86</v>
      </c>
      <c r="AN870">
        <v>20.149999999999999</v>
      </c>
      <c r="AO870" s="1">
        <f t="shared" si="41"/>
        <v>589.24</v>
      </c>
    </row>
    <row r="871" spans="1:41" x14ac:dyDescent="0.25">
      <c r="A871" t="s">
        <v>914</v>
      </c>
      <c r="B871" s="2">
        <v>225.49633680808901</v>
      </c>
      <c r="C871" s="2">
        <v>87.237666539228698</v>
      </c>
      <c r="D871" s="2">
        <v>709.91577095161995</v>
      </c>
      <c r="E871" s="2">
        <v>837.59202205811096</v>
      </c>
      <c r="F871" s="2">
        <v>2358.2763194269901</v>
      </c>
      <c r="G871" s="2">
        <v>6190.8389826306302</v>
      </c>
      <c r="H871" s="2">
        <v>1778.49354805035</v>
      </c>
      <c r="I871" s="2">
        <v>11058.4253803548</v>
      </c>
      <c r="J871" s="2">
        <v>5737.0856732264701</v>
      </c>
      <c r="K871" s="2">
        <v>14368.777765655899</v>
      </c>
      <c r="L871" s="2">
        <v>8246.7338043963591</v>
      </c>
      <c r="M871" s="2">
        <v>3428.6846653303301</v>
      </c>
      <c r="N871" s="3">
        <f t="shared" si="39"/>
        <v>55027.557935428878</v>
      </c>
      <c r="O871" s="2">
        <v>3.7481339068237398</v>
      </c>
      <c r="P871" s="2">
        <v>5.9802709876645901</v>
      </c>
      <c r="Q871" s="2">
        <v>0</v>
      </c>
      <c r="R871" s="2">
        <v>1.40195657914025</v>
      </c>
      <c r="S871" s="2">
        <v>1.1016180899743899</v>
      </c>
      <c r="T871" s="2">
        <v>4.4829719215366701</v>
      </c>
      <c r="U871" s="2">
        <v>2.80380128015454</v>
      </c>
      <c r="V871" s="2">
        <v>0</v>
      </c>
      <c r="W871" s="2">
        <v>2.6757259645250202</v>
      </c>
      <c r="X871" s="2">
        <v>7.2926168817938199</v>
      </c>
      <c r="Y871" s="2">
        <v>2.49360023563416</v>
      </c>
      <c r="Z871" s="2">
        <v>1.9045968983858701</v>
      </c>
      <c r="AA871" s="3">
        <f t="shared" si="40"/>
        <v>33.885292745633052</v>
      </c>
      <c r="AB871" t="s">
        <v>45</v>
      </c>
      <c r="AC871">
        <v>12.45</v>
      </c>
      <c r="AD871">
        <v>11.17</v>
      </c>
      <c r="AE871">
        <v>17.09</v>
      </c>
      <c r="AF871">
        <v>18.47</v>
      </c>
      <c r="AG871">
        <v>33.68</v>
      </c>
      <c r="AH871">
        <v>72.150000000000006</v>
      </c>
      <c r="AI871">
        <v>27.93</v>
      </c>
      <c r="AJ871">
        <v>120.58</v>
      </c>
      <c r="AK871">
        <v>67.52</v>
      </c>
      <c r="AL871">
        <v>154.08000000000001</v>
      </c>
      <c r="AM871">
        <v>92.61</v>
      </c>
      <c r="AN871">
        <v>44.38</v>
      </c>
      <c r="AO871" s="1">
        <f t="shared" si="41"/>
        <v>672.11</v>
      </c>
    </row>
    <row r="872" spans="1:41" x14ac:dyDescent="0.25">
      <c r="A872" t="s">
        <v>915</v>
      </c>
      <c r="B872" s="2">
        <v>222.758151292229</v>
      </c>
      <c r="C872" s="2">
        <v>0</v>
      </c>
      <c r="D872" s="2">
        <v>2443.52381009286</v>
      </c>
      <c r="E872" s="2">
        <v>924.254993150617</v>
      </c>
      <c r="F872" s="2">
        <v>1319.9491777838</v>
      </c>
      <c r="G872" s="2">
        <v>1750.0092433173199</v>
      </c>
      <c r="H872" s="2">
        <v>653.12765291721905</v>
      </c>
      <c r="I872" s="2">
        <v>3343.2858133080299</v>
      </c>
      <c r="J872" s="2">
        <v>4566.28723821328</v>
      </c>
      <c r="K872" s="2">
        <v>3752.4983919331698</v>
      </c>
      <c r="L872" s="2">
        <v>2701.0271044532201</v>
      </c>
      <c r="M872" s="2">
        <v>10584.784106229001</v>
      </c>
      <c r="N872" s="3">
        <f t="shared" si="39"/>
        <v>32261.505682690746</v>
      </c>
      <c r="O872" s="2">
        <v>3.2289587437447702</v>
      </c>
      <c r="P872" s="2">
        <v>2.11653230154938</v>
      </c>
      <c r="Q872" s="2">
        <v>0</v>
      </c>
      <c r="R872" s="2">
        <v>8.7380218692595495</v>
      </c>
      <c r="S872" s="2">
        <v>5.5955151899206497</v>
      </c>
      <c r="T872" s="2">
        <v>2.1987578016830902</v>
      </c>
      <c r="U872" s="2">
        <v>5.9881895288810396</v>
      </c>
      <c r="V872" s="2">
        <v>5.5859480463864299</v>
      </c>
      <c r="W872" s="2">
        <v>2.0706836087890501</v>
      </c>
      <c r="X872" s="2">
        <v>0.238069664644078</v>
      </c>
      <c r="Y872" s="2">
        <v>7.8815512014322504</v>
      </c>
      <c r="Z872" s="2">
        <v>3.2837207018079502</v>
      </c>
      <c r="AA872" s="3">
        <f t="shared" si="40"/>
        <v>46.925948658098235</v>
      </c>
      <c r="AB872" t="s">
        <v>63</v>
      </c>
      <c r="AC872">
        <v>4.82</v>
      </c>
      <c r="AD872">
        <v>0.27</v>
      </c>
      <c r="AE872">
        <v>48.88</v>
      </c>
      <c r="AF872">
        <v>19.309999999999999</v>
      </c>
      <c r="AG872">
        <v>26.94</v>
      </c>
      <c r="AH872">
        <v>35.29</v>
      </c>
      <c r="AI872">
        <v>13.62</v>
      </c>
      <c r="AJ872">
        <v>67.42</v>
      </c>
      <c r="AK872">
        <v>91.61</v>
      </c>
      <c r="AL872">
        <v>75.150000000000006</v>
      </c>
      <c r="AM872">
        <v>54.76</v>
      </c>
      <c r="AN872">
        <v>212.06</v>
      </c>
      <c r="AO872" s="1">
        <f t="shared" si="41"/>
        <v>650.13000000000011</v>
      </c>
    </row>
    <row r="873" spans="1:41" x14ac:dyDescent="0.25">
      <c r="A873" t="s">
        <v>916</v>
      </c>
      <c r="B873" s="2">
        <v>213.929577443521</v>
      </c>
      <c r="C873" s="2">
        <v>2712.7684086294098</v>
      </c>
      <c r="D873" s="2">
        <v>2244.4729280255701</v>
      </c>
      <c r="E873" s="2">
        <v>2497.7681926907499</v>
      </c>
      <c r="F873" s="2">
        <v>3239.4623082072098</v>
      </c>
      <c r="G873" s="2">
        <v>37.436627942662497</v>
      </c>
      <c r="H873" s="2">
        <v>2529.115538818</v>
      </c>
      <c r="I873" s="2">
        <v>5815.6049732040601</v>
      </c>
      <c r="J873" s="2">
        <v>1616.60829306905</v>
      </c>
      <c r="K873" s="2">
        <v>1804.9257230333501</v>
      </c>
      <c r="L873" s="2">
        <v>1900.8679509871899</v>
      </c>
      <c r="M873" s="2">
        <v>6130.0867361749597</v>
      </c>
      <c r="N873" s="3">
        <f t="shared" si="39"/>
        <v>30743.047258225732</v>
      </c>
      <c r="O873" s="2">
        <v>1.9769059363867501</v>
      </c>
      <c r="P873" s="2">
        <v>0</v>
      </c>
      <c r="Q873" s="2">
        <v>1.0533910181838699</v>
      </c>
      <c r="R873" s="2">
        <v>3.1851935777776998</v>
      </c>
      <c r="S873" s="2">
        <v>4.4547604748430398</v>
      </c>
      <c r="T873" s="2">
        <v>2.19532805610485</v>
      </c>
      <c r="U873" s="2">
        <v>0.44063836120390898</v>
      </c>
      <c r="V873" s="2">
        <v>8.2638181322833599</v>
      </c>
      <c r="W873" s="2">
        <v>16.7548988572558</v>
      </c>
      <c r="X873" s="2">
        <v>2.4451798891149399</v>
      </c>
      <c r="Y873" s="2">
        <v>1.27992221503834</v>
      </c>
      <c r="Z873" s="2">
        <v>1.9972467360607</v>
      </c>
      <c r="AA873" s="3">
        <f t="shared" si="40"/>
        <v>44.047283254253259</v>
      </c>
      <c r="AB873" t="s">
        <v>63</v>
      </c>
      <c r="AC873">
        <v>4.46</v>
      </c>
      <c r="AD873">
        <v>54.26</v>
      </c>
      <c r="AE873">
        <v>45.08</v>
      </c>
      <c r="AF873">
        <v>50.32</v>
      </c>
      <c r="AG873">
        <v>65.25</v>
      </c>
      <c r="AH873">
        <v>1.03</v>
      </c>
      <c r="AI873">
        <v>50.69</v>
      </c>
      <c r="AJ873">
        <v>117.13</v>
      </c>
      <c r="AK873">
        <v>33.869999999999997</v>
      </c>
      <c r="AL873">
        <v>36.369999999999997</v>
      </c>
      <c r="AM873">
        <v>38.200000000000003</v>
      </c>
      <c r="AN873">
        <v>122.8</v>
      </c>
      <c r="AO873" s="1">
        <f t="shared" si="41"/>
        <v>619.46</v>
      </c>
    </row>
    <row r="874" spans="1:41" x14ac:dyDescent="0.25">
      <c r="A874" t="s">
        <v>917</v>
      </c>
      <c r="B874" s="2">
        <v>206.98858103636201</v>
      </c>
      <c r="C874" s="2">
        <v>0</v>
      </c>
      <c r="D874" s="2">
        <v>6898.6438756698199</v>
      </c>
      <c r="E874" s="2">
        <v>436.93019672998201</v>
      </c>
      <c r="F874" s="2">
        <v>1360.30709289319</v>
      </c>
      <c r="G874" s="2">
        <v>8683.6277056543295</v>
      </c>
      <c r="H874" s="2">
        <v>4209.41527014862</v>
      </c>
      <c r="I874" s="2">
        <v>0</v>
      </c>
      <c r="J874" s="2">
        <v>27.217852724458599</v>
      </c>
      <c r="K874" s="2">
        <v>1426.6457868595501</v>
      </c>
      <c r="L874" s="2">
        <v>2806.6324267456898</v>
      </c>
      <c r="M874" s="2">
        <v>5073.3773111602304</v>
      </c>
      <c r="N874" s="3">
        <f t="shared" si="39"/>
        <v>31129.786099622233</v>
      </c>
      <c r="O874" s="2">
        <v>27.431355456344701</v>
      </c>
      <c r="P874" s="2">
        <v>2.3521911547010501</v>
      </c>
      <c r="Q874" s="2">
        <v>4.4340455696455701</v>
      </c>
      <c r="R874" s="2">
        <v>2.0301989718918501</v>
      </c>
      <c r="S874" s="2">
        <v>3.1325761604024498</v>
      </c>
      <c r="T874" s="2">
        <v>3.7781364322876598</v>
      </c>
      <c r="U874" s="2">
        <v>1.32709781389363</v>
      </c>
      <c r="V874" s="2">
        <v>8.0122718979293293</v>
      </c>
      <c r="W874" s="2">
        <v>2.1354216530622998</v>
      </c>
      <c r="X874" s="2">
        <v>2.2577128105439801</v>
      </c>
      <c r="Y874" s="2">
        <v>3.5774267985033799</v>
      </c>
      <c r="Z874" s="2">
        <v>4.8677440935850003</v>
      </c>
      <c r="AA874" s="3">
        <f t="shared" si="40"/>
        <v>65.336178812790905</v>
      </c>
      <c r="AB874" t="s">
        <v>63</v>
      </c>
      <c r="AC874">
        <v>6.66</v>
      </c>
      <c r="AD874">
        <v>0.27</v>
      </c>
      <c r="AE874">
        <v>138.43</v>
      </c>
      <c r="AF874">
        <v>9.01</v>
      </c>
      <c r="AG874">
        <v>27.58</v>
      </c>
      <c r="AH874">
        <v>174.04</v>
      </c>
      <c r="AI874">
        <v>84.38</v>
      </c>
      <c r="AJ874">
        <v>0.81</v>
      </c>
      <c r="AK874">
        <v>0.83</v>
      </c>
      <c r="AL874">
        <v>28.81</v>
      </c>
      <c r="AM874">
        <v>56.5</v>
      </c>
      <c r="AN874">
        <v>101.93</v>
      </c>
      <c r="AO874" s="1">
        <f t="shared" si="41"/>
        <v>629.25</v>
      </c>
    </row>
    <row r="875" spans="1:41" x14ac:dyDescent="0.25">
      <c r="A875" t="s">
        <v>918</v>
      </c>
      <c r="B875" s="2">
        <v>187.20171582982499</v>
      </c>
      <c r="C875" s="2">
        <v>3939.1937504754301</v>
      </c>
      <c r="D875" s="2">
        <v>701.58857779984203</v>
      </c>
      <c r="E875" s="2">
        <v>128.609800598964</v>
      </c>
      <c r="F875" s="2">
        <v>1994.0646404924601</v>
      </c>
      <c r="G875" s="2">
        <v>8072.0663407291904</v>
      </c>
      <c r="H875" s="2">
        <v>5032.2086785390202</v>
      </c>
      <c r="I875" s="2">
        <v>5401.0058181824597</v>
      </c>
      <c r="J875" s="2">
        <v>783.435700354152</v>
      </c>
      <c r="K875" s="2">
        <v>7568.8829806092299</v>
      </c>
      <c r="L875" s="2">
        <v>1299.3326731725599</v>
      </c>
      <c r="M875" s="2">
        <v>7706.8147865979399</v>
      </c>
      <c r="N875" s="3">
        <f t="shared" si="39"/>
        <v>42814.405463381074</v>
      </c>
      <c r="O875" s="2">
        <v>0</v>
      </c>
      <c r="P875" s="2">
        <v>0</v>
      </c>
      <c r="Q875" s="2">
        <v>13.0998985849309</v>
      </c>
      <c r="R875" s="2">
        <v>11.364911318617301</v>
      </c>
      <c r="S875" s="2">
        <v>0.88487080754770797</v>
      </c>
      <c r="T875" s="2">
        <v>1.55379724413565</v>
      </c>
      <c r="U875" s="2">
        <v>6.4470831503459503E-2</v>
      </c>
      <c r="V875" s="2">
        <v>4.3871821537278901</v>
      </c>
      <c r="W875" s="2">
        <v>2.8492839717165399</v>
      </c>
      <c r="X875" s="2">
        <v>0.33618805633365201</v>
      </c>
      <c r="Y875" s="2">
        <v>6.2698328346513899</v>
      </c>
      <c r="Z875" s="2">
        <v>2.5000540038960102</v>
      </c>
      <c r="AA875" s="3">
        <f t="shared" si="40"/>
        <v>43.310489807060499</v>
      </c>
      <c r="AB875" t="s">
        <v>45</v>
      </c>
      <c r="AC875">
        <v>11.87</v>
      </c>
      <c r="AD875">
        <v>49.39</v>
      </c>
      <c r="AE875">
        <v>17.71</v>
      </c>
      <c r="AF875">
        <v>11.88</v>
      </c>
      <c r="AG875">
        <v>29.99</v>
      </c>
      <c r="AH875">
        <v>90.82</v>
      </c>
      <c r="AI875">
        <v>60.37</v>
      </c>
      <c r="AJ875">
        <v>64.260000000000005</v>
      </c>
      <c r="AK875">
        <v>17.98</v>
      </c>
      <c r="AL875">
        <v>85.73</v>
      </c>
      <c r="AM875">
        <v>23.34</v>
      </c>
      <c r="AN875">
        <v>87.21</v>
      </c>
      <c r="AO875" s="1">
        <f t="shared" si="41"/>
        <v>550.54999999999995</v>
      </c>
    </row>
    <row r="876" spans="1:41" x14ac:dyDescent="0.25">
      <c r="A876" t="s">
        <v>919</v>
      </c>
      <c r="B876" s="2">
        <v>176.139911338085</v>
      </c>
      <c r="C876" s="2">
        <v>7080.6425049889503</v>
      </c>
      <c r="D876" s="2">
        <v>793.41098740416896</v>
      </c>
      <c r="E876" s="2">
        <v>3334.2421817906002</v>
      </c>
      <c r="F876" s="2">
        <v>7773.0472208665797</v>
      </c>
      <c r="G876" s="2">
        <v>0</v>
      </c>
      <c r="H876" s="2">
        <v>6240.1515589452702</v>
      </c>
      <c r="I876" s="2">
        <v>5326.4228312253299</v>
      </c>
      <c r="J876" s="2">
        <v>2286.4945686597698</v>
      </c>
      <c r="K876" s="2">
        <v>2135.7371225700199</v>
      </c>
      <c r="L876" s="2">
        <v>1604.7772465225801</v>
      </c>
      <c r="M876" s="2">
        <v>12457.2304021411</v>
      </c>
      <c r="N876" s="3">
        <f t="shared" si="39"/>
        <v>49208.296536452443</v>
      </c>
      <c r="O876" s="2">
        <v>7.45977642360159</v>
      </c>
      <c r="P876" s="2">
        <v>1.5374620008117701</v>
      </c>
      <c r="Q876" s="2">
        <v>0</v>
      </c>
      <c r="R876" s="2">
        <v>3.5132659188392399</v>
      </c>
      <c r="S876" s="2">
        <v>3.7109659332365501</v>
      </c>
      <c r="T876" s="2">
        <v>2.5273462777638298</v>
      </c>
      <c r="U876" s="2">
        <v>3.7015614642420198</v>
      </c>
      <c r="V876" s="2">
        <v>7.5353129921169799</v>
      </c>
      <c r="W876" s="2">
        <v>6.1756137904293196</v>
      </c>
      <c r="X876" s="2">
        <v>3.8021439745592698</v>
      </c>
      <c r="Y876" s="2">
        <v>0.87093618039614895</v>
      </c>
      <c r="Z876" s="2">
        <v>8.6378978102570301</v>
      </c>
      <c r="AA876" s="3">
        <f t="shared" si="40"/>
        <v>49.472282766253748</v>
      </c>
      <c r="AB876" t="s">
        <v>45</v>
      </c>
      <c r="AC876">
        <v>12.16</v>
      </c>
      <c r="AD876">
        <v>80.900000000000006</v>
      </c>
      <c r="AE876">
        <v>17.93</v>
      </c>
      <c r="AF876">
        <v>43.54</v>
      </c>
      <c r="AG876">
        <v>87.93</v>
      </c>
      <c r="AH876">
        <v>10.14</v>
      </c>
      <c r="AI876">
        <v>72.599999999999994</v>
      </c>
      <c r="AJ876">
        <v>63.66</v>
      </c>
      <c r="AK876">
        <v>33.21</v>
      </c>
      <c r="AL876">
        <v>31.55</v>
      </c>
      <c r="AM876">
        <v>26.09</v>
      </c>
      <c r="AN876">
        <v>135.02000000000001</v>
      </c>
      <c r="AO876" s="1">
        <f t="shared" si="41"/>
        <v>614.73</v>
      </c>
    </row>
    <row r="877" spans="1:41" x14ac:dyDescent="0.25">
      <c r="A877" t="s">
        <v>920</v>
      </c>
      <c r="B877" s="2">
        <v>147.25446617340501</v>
      </c>
      <c r="C877" s="2">
        <v>3566.6320388449999</v>
      </c>
      <c r="D877" s="2">
        <v>429.22283445007201</v>
      </c>
      <c r="E877" s="2">
        <v>763.449217462825</v>
      </c>
      <c r="F877" s="2">
        <v>6038.0661713098798</v>
      </c>
      <c r="G877" s="2">
        <v>2054.6447810464401</v>
      </c>
      <c r="H877" s="2">
        <v>15551.1677883541</v>
      </c>
      <c r="I877" s="2">
        <v>3313.9532060830602</v>
      </c>
      <c r="J877" s="2">
        <v>2731.3254657969001</v>
      </c>
      <c r="K877" s="2">
        <v>771.12318671971002</v>
      </c>
      <c r="L877" s="2">
        <v>11061.1886980176</v>
      </c>
      <c r="M877" s="2">
        <v>0</v>
      </c>
      <c r="N877" s="3">
        <f t="shared" si="39"/>
        <v>46428.027854258995</v>
      </c>
      <c r="O877" s="2">
        <v>5.17481533039102</v>
      </c>
      <c r="P877" s="2">
        <v>4.27156443511738</v>
      </c>
      <c r="Q877" s="2">
        <v>2.0951133934207302</v>
      </c>
      <c r="R877" s="2">
        <v>7.8263168028313297</v>
      </c>
      <c r="S877" s="2">
        <v>6.8331773640233697</v>
      </c>
      <c r="T877" s="2">
        <v>1.3072587493219101</v>
      </c>
      <c r="U877" s="2">
        <v>2.4767672224816701</v>
      </c>
      <c r="V877" s="2">
        <v>8.4437928128176392</v>
      </c>
      <c r="W877" s="2">
        <v>0.587228164541585</v>
      </c>
      <c r="X877" s="2">
        <v>12.491788165174</v>
      </c>
      <c r="Y877" s="2">
        <v>2.9768323748641001</v>
      </c>
      <c r="Z877" s="2">
        <v>3.64220733046418</v>
      </c>
      <c r="AA877" s="3">
        <f t="shared" si="40"/>
        <v>58.126862145448918</v>
      </c>
      <c r="AB877" t="s">
        <v>45</v>
      </c>
      <c r="AC877">
        <v>11.77</v>
      </c>
      <c r="AD877">
        <v>45.91</v>
      </c>
      <c r="AE877">
        <v>14.44</v>
      </c>
      <c r="AF877">
        <v>18.03</v>
      </c>
      <c r="AG877">
        <v>70.73</v>
      </c>
      <c r="AH877">
        <v>30.64</v>
      </c>
      <c r="AI877">
        <v>165.66</v>
      </c>
      <c r="AJ877">
        <v>43.58</v>
      </c>
      <c r="AK877">
        <v>37.36</v>
      </c>
      <c r="AL877">
        <v>18.36</v>
      </c>
      <c r="AM877">
        <v>120.76</v>
      </c>
      <c r="AN877">
        <v>10.19</v>
      </c>
      <c r="AO877" s="1">
        <f t="shared" si="41"/>
        <v>587.43000000000006</v>
      </c>
    </row>
    <row r="878" spans="1:41" x14ac:dyDescent="0.25">
      <c r="A878" t="s">
        <v>921</v>
      </c>
      <c r="B878" s="2">
        <v>146.331294577839</v>
      </c>
      <c r="C878" s="2">
        <v>0</v>
      </c>
      <c r="D878" s="2">
        <v>491.520832883607</v>
      </c>
      <c r="E878" s="2">
        <v>18004.645464651501</v>
      </c>
      <c r="F878" s="2">
        <v>12997.377255822101</v>
      </c>
      <c r="G878" s="2">
        <v>974.05167569118703</v>
      </c>
      <c r="H878" s="2">
        <v>774.31626238176796</v>
      </c>
      <c r="I878" s="2">
        <v>0</v>
      </c>
      <c r="J878" s="2">
        <v>894.571689845886</v>
      </c>
      <c r="K878" s="2">
        <v>1430.19062284863</v>
      </c>
      <c r="L878" s="2">
        <v>5802.9991759545301</v>
      </c>
      <c r="M878" s="2">
        <v>7915.0412150653701</v>
      </c>
      <c r="N878" s="3">
        <f t="shared" si="39"/>
        <v>49431.045489722419</v>
      </c>
      <c r="O878" s="2">
        <v>1.9279712450073301</v>
      </c>
      <c r="P878" s="2">
        <v>0.32892903199443302</v>
      </c>
      <c r="Q878" s="2">
        <v>1.7888649868178499</v>
      </c>
      <c r="R878" s="2">
        <v>1.82796532073804</v>
      </c>
      <c r="S878" s="2">
        <v>4.2396938908394599</v>
      </c>
      <c r="T878" s="2">
        <v>3.50718530247301</v>
      </c>
      <c r="U878" s="2">
        <v>6.59183478147445</v>
      </c>
      <c r="V878" s="2">
        <v>3.66989619437319</v>
      </c>
      <c r="W878" s="2">
        <v>0</v>
      </c>
      <c r="X878" s="2">
        <v>8.2500551413164906</v>
      </c>
      <c r="Y878" s="2">
        <v>1.27146063419344</v>
      </c>
      <c r="Z878" s="2">
        <v>14.0585086401257</v>
      </c>
      <c r="AA878" s="3">
        <f t="shared" si="40"/>
        <v>47.46236516935339</v>
      </c>
      <c r="AB878" t="s">
        <v>45</v>
      </c>
      <c r="AC878">
        <v>11.56</v>
      </c>
      <c r="AD878">
        <v>10.039999999999999</v>
      </c>
      <c r="AE878">
        <v>15.01</v>
      </c>
      <c r="AF878">
        <v>190.14</v>
      </c>
      <c r="AG878">
        <v>140.22</v>
      </c>
      <c r="AH878">
        <v>19.940000000000001</v>
      </c>
      <c r="AI878">
        <v>18.09</v>
      </c>
      <c r="AJ878">
        <v>10.19</v>
      </c>
      <c r="AK878">
        <v>18.940000000000001</v>
      </c>
      <c r="AL878">
        <v>24.75</v>
      </c>
      <c r="AM878">
        <v>68.12</v>
      </c>
      <c r="AN878">
        <v>89.9</v>
      </c>
      <c r="AO878" s="1">
        <f t="shared" si="41"/>
        <v>616.9</v>
      </c>
    </row>
    <row r="879" spans="1:41" x14ac:dyDescent="0.25">
      <c r="A879" t="s">
        <v>922</v>
      </c>
      <c r="B879" s="2">
        <v>144.47393969521801</v>
      </c>
      <c r="C879" s="2">
        <v>12350.6562025158</v>
      </c>
      <c r="D879" s="2">
        <v>649.51256937425796</v>
      </c>
      <c r="E879" s="2">
        <v>9637.1478565409598</v>
      </c>
      <c r="F879" s="2">
        <v>3246.3150021865299</v>
      </c>
      <c r="G879" s="2">
        <v>4410.63827373596</v>
      </c>
      <c r="H879" s="2">
        <v>238.51140684150701</v>
      </c>
      <c r="I879" s="2">
        <v>3791.9472406295399</v>
      </c>
      <c r="J879" s="2">
        <v>8302.4075482609005</v>
      </c>
      <c r="K879" s="2">
        <v>431.82403699487401</v>
      </c>
      <c r="L879" s="2">
        <v>0</v>
      </c>
      <c r="M879" s="2">
        <v>401.87681614245997</v>
      </c>
      <c r="N879" s="3">
        <f t="shared" si="39"/>
        <v>43605.310892918009</v>
      </c>
      <c r="O879" s="2">
        <v>5.4279251621123397</v>
      </c>
      <c r="P879" s="2">
        <v>1.76117773637672</v>
      </c>
      <c r="Q879" s="2">
        <v>10.4928901687653</v>
      </c>
      <c r="R879" s="2">
        <v>0.78657555298440696</v>
      </c>
      <c r="S879" s="2">
        <v>3.0178436257291801</v>
      </c>
      <c r="T879" s="2">
        <v>0.336926098876553</v>
      </c>
      <c r="U879" s="2">
        <v>8.7212179213538192</v>
      </c>
      <c r="V879" s="2">
        <v>0</v>
      </c>
      <c r="W879" s="2">
        <v>1.8397449368094601</v>
      </c>
      <c r="X879" s="2">
        <v>0.96672427340642297</v>
      </c>
      <c r="Y879" s="2">
        <v>3.3369380647229199</v>
      </c>
      <c r="Z879" s="2">
        <v>0.131834513894837</v>
      </c>
      <c r="AA879" s="3">
        <f t="shared" si="40"/>
        <v>36.81979805503196</v>
      </c>
      <c r="AB879" t="s">
        <v>45</v>
      </c>
      <c r="AC879">
        <v>11.74</v>
      </c>
      <c r="AD879">
        <v>133.6</v>
      </c>
      <c r="AE879">
        <v>17.04</v>
      </c>
      <c r="AF879">
        <v>106.42</v>
      </c>
      <c r="AG879">
        <v>42.66</v>
      </c>
      <c r="AH879">
        <v>54.15</v>
      </c>
      <c r="AI879">
        <v>12.83</v>
      </c>
      <c r="AJ879">
        <v>47.91</v>
      </c>
      <c r="AK879">
        <v>93.12</v>
      </c>
      <c r="AL879">
        <v>14.36</v>
      </c>
      <c r="AM879">
        <v>10.19</v>
      </c>
      <c r="AN879">
        <v>14.06</v>
      </c>
      <c r="AO879" s="1">
        <f t="shared" si="41"/>
        <v>558.08000000000004</v>
      </c>
    </row>
    <row r="880" spans="1:41" x14ac:dyDescent="0.25">
      <c r="A880" t="s">
        <v>923</v>
      </c>
      <c r="B880" s="2">
        <v>141.67655155084401</v>
      </c>
      <c r="C880" s="2">
        <v>290.37717951368199</v>
      </c>
      <c r="D880" s="2">
        <v>3213.4802749156402</v>
      </c>
      <c r="E880" s="2">
        <v>2610.76232028192</v>
      </c>
      <c r="F880" s="2">
        <v>197.80937638702801</v>
      </c>
      <c r="G880" s="2">
        <v>3801.6873851668802</v>
      </c>
      <c r="H880" s="2">
        <v>978.88928300472696</v>
      </c>
      <c r="I880" s="2">
        <v>3062.18143467957</v>
      </c>
      <c r="J880" s="2">
        <v>2836.2256316490998</v>
      </c>
      <c r="K880" s="2">
        <v>2147.0172194330798</v>
      </c>
      <c r="L880" s="2">
        <v>529.19837721410101</v>
      </c>
      <c r="M880" s="2">
        <v>3102.2981558891101</v>
      </c>
      <c r="N880" s="3">
        <f t="shared" si="39"/>
        <v>22911.603189685684</v>
      </c>
      <c r="O880" s="2">
        <v>4.1494730283631096</v>
      </c>
      <c r="P880" s="2">
        <v>2.2790170343253502</v>
      </c>
      <c r="Q880" s="2">
        <v>7.4529365105777199</v>
      </c>
      <c r="R880" s="2">
        <v>8.2756879909307699</v>
      </c>
      <c r="S880" s="2">
        <v>1.67924788008432</v>
      </c>
      <c r="T880" s="2">
        <v>4.3872646945771097</v>
      </c>
      <c r="U880" s="2">
        <v>9.6097070084046301</v>
      </c>
      <c r="V880" s="2">
        <v>2.6303719275624902</v>
      </c>
      <c r="W880" s="2">
        <v>2.64319586142806</v>
      </c>
      <c r="X880" s="2">
        <v>5.0772077409624599</v>
      </c>
      <c r="Y880" s="2">
        <v>2.5196395330798498</v>
      </c>
      <c r="Z880" s="2">
        <v>0.99912648815955196</v>
      </c>
      <c r="AA880" s="3">
        <f t="shared" si="40"/>
        <v>51.702875698455415</v>
      </c>
      <c r="AB880" t="s">
        <v>63</v>
      </c>
      <c r="AC880">
        <v>3.29</v>
      </c>
      <c r="AD880">
        <v>6.09</v>
      </c>
      <c r="AE880">
        <v>65</v>
      </c>
      <c r="AF880">
        <v>53.03</v>
      </c>
      <c r="AG880">
        <v>4.1399999999999997</v>
      </c>
      <c r="AH880">
        <v>76.489999999999995</v>
      </c>
      <c r="AI880">
        <v>20.48</v>
      </c>
      <c r="AJ880">
        <v>61.53</v>
      </c>
      <c r="AK880">
        <v>57.01</v>
      </c>
      <c r="AL880">
        <v>43.5</v>
      </c>
      <c r="AM880">
        <v>10.87</v>
      </c>
      <c r="AN880">
        <v>62.15</v>
      </c>
      <c r="AO880" s="1">
        <f t="shared" si="41"/>
        <v>463.57999999999993</v>
      </c>
    </row>
    <row r="881" spans="1:41" x14ac:dyDescent="0.25">
      <c r="A881" t="s">
        <v>924</v>
      </c>
      <c r="B881" s="2">
        <v>125.033321349063</v>
      </c>
      <c r="C881" s="2">
        <v>2865.28309749339</v>
      </c>
      <c r="D881" s="2">
        <v>292.58922542371403</v>
      </c>
      <c r="E881" s="2">
        <v>4883.2204687619997</v>
      </c>
      <c r="F881" s="2">
        <v>2514.8827569228201</v>
      </c>
      <c r="G881" s="2">
        <v>2831.5089289928901</v>
      </c>
      <c r="H881" s="2">
        <v>1393.3065321274701</v>
      </c>
      <c r="I881" s="2">
        <v>1444.7466314246001</v>
      </c>
      <c r="J881" s="2">
        <v>984.75259274438304</v>
      </c>
      <c r="K881" s="2">
        <v>3989.1989045906998</v>
      </c>
      <c r="L881" s="2">
        <v>0</v>
      </c>
      <c r="M881" s="2">
        <v>3398.1041991685902</v>
      </c>
      <c r="N881" s="3">
        <f t="shared" si="39"/>
        <v>24722.626658999619</v>
      </c>
      <c r="O881" s="2">
        <v>0</v>
      </c>
      <c r="P881" s="2">
        <v>2.3490808196320101</v>
      </c>
      <c r="Q881" s="2">
        <v>4.2322700557519699</v>
      </c>
      <c r="R881" s="2">
        <v>3.5353108734960701</v>
      </c>
      <c r="S881" s="2">
        <v>8.8401466053136009</v>
      </c>
      <c r="T881" s="2">
        <v>5.5696914374583297</v>
      </c>
      <c r="U881" s="2">
        <v>2.81631518312911</v>
      </c>
      <c r="V881" s="2">
        <v>10.3705843308749</v>
      </c>
      <c r="W881" s="2">
        <v>6.4742223530627703</v>
      </c>
      <c r="X881" s="2">
        <v>0.65853492587383899</v>
      </c>
      <c r="Y881" s="2">
        <v>0.44538716033792503</v>
      </c>
      <c r="Z881" s="2">
        <v>5.79508846268926</v>
      </c>
      <c r="AA881" s="3">
        <f t="shared" si="40"/>
        <v>51.086632207619779</v>
      </c>
      <c r="AB881" t="s">
        <v>63</v>
      </c>
      <c r="AC881">
        <v>2.52</v>
      </c>
      <c r="AD881">
        <v>57.59</v>
      </c>
      <c r="AE881">
        <v>6.31</v>
      </c>
      <c r="AF881">
        <v>98.04</v>
      </c>
      <c r="AG881">
        <v>51.11</v>
      </c>
      <c r="AH881">
        <v>57.18</v>
      </c>
      <c r="AI881">
        <v>28.15</v>
      </c>
      <c r="AJ881">
        <v>29.89</v>
      </c>
      <c r="AK881">
        <v>20.329999999999998</v>
      </c>
      <c r="AL881">
        <v>79.89</v>
      </c>
      <c r="AM881">
        <v>0.09</v>
      </c>
      <c r="AN881">
        <v>68.52</v>
      </c>
      <c r="AO881" s="1">
        <f t="shared" si="41"/>
        <v>499.61999999999989</v>
      </c>
    </row>
    <row r="882" spans="1:41" x14ac:dyDescent="0.25">
      <c r="A882" t="s">
        <v>925</v>
      </c>
      <c r="B882" s="2">
        <v>117.714540211208</v>
      </c>
      <c r="C882" s="2">
        <v>1496.2998046053999</v>
      </c>
      <c r="D882" s="2">
        <v>3124.1572664641299</v>
      </c>
      <c r="E882" s="2">
        <v>5750.0050046382203</v>
      </c>
      <c r="F882" s="2">
        <v>7285.9795964387804</v>
      </c>
      <c r="G882" s="2">
        <v>4437.5472986920504</v>
      </c>
      <c r="H882" s="2">
        <v>1397.6209006402</v>
      </c>
      <c r="I882" s="2">
        <v>3757.5203686237501</v>
      </c>
      <c r="J882" s="2">
        <v>428.91601195967797</v>
      </c>
      <c r="K882" s="2">
        <v>1375.8859452977199</v>
      </c>
      <c r="L882" s="2">
        <v>1886.5669845397899</v>
      </c>
      <c r="M882" s="2">
        <v>4986.0183929800196</v>
      </c>
      <c r="N882" s="3">
        <f t="shared" si="39"/>
        <v>36044.232115090948</v>
      </c>
      <c r="O882" s="2">
        <v>0.168079370908301</v>
      </c>
      <c r="P882" s="2">
        <v>4.4650282032039401</v>
      </c>
      <c r="Q882" s="2">
        <v>0</v>
      </c>
      <c r="R882" s="2">
        <v>0.51116428111985801</v>
      </c>
      <c r="S882" s="2">
        <v>1.13160925326772</v>
      </c>
      <c r="T882" s="2">
        <v>6.0268521893643197</v>
      </c>
      <c r="U882" s="2">
        <v>6.4485794345023697</v>
      </c>
      <c r="V882" s="2">
        <v>0.26824259344780399</v>
      </c>
      <c r="W882" s="2">
        <v>6.9811752789856696</v>
      </c>
      <c r="X882" s="2">
        <v>2.69952478171512</v>
      </c>
      <c r="Y882" s="2">
        <v>3.0314995896279102</v>
      </c>
      <c r="Z882" s="2">
        <v>4.0223533770051798</v>
      </c>
      <c r="AA882" s="3">
        <f t="shared" si="40"/>
        <v>35.75410835314819</v>
      </c>
      <c r="AB882" t="s">
        <v>45</v>
      </c>
      <c r="AC882">
        <v>11.22</v>
      </c>
      <c r="AD882">
        <v>25.21</v>
      </c>
      <c r="AE882">
        <v>41.24</v>
      </c>
      <c r="AF882">
        <v>67.55</v>
      </c>
      <c r="AG882">
        <v>82.95</v>
      </c>
      <c r="AH882">
        <v>54.72</v>
      </c>
      <c r="AI882">
        <v>24.32</v>
      </c>
      <c r="AJ882">
        <v>47.62</v>
      </c>
      <c r="AK882">
        <v>14.63</v>
      </c>
      <c r="AL882">
        <v>23.9</v>
      </c>
      <c r="AM882">
        <v>29.06</v>
      </c>
      <c r="AN882">
        <v>60.11</v>
      </c>
      <c r="AO882" s="1">
        <f t="shared" si="41"/>
        <v>482.53</v>
      </c>
    </row>
    <row r="883" spans="1:41" x14ac:dyDescent="0.25">
      <c r="A883" t="s">
        <v>926</v>
      </c>
      <c r="B883" s="2">
        <v>105.06965437625399</v>
      </c>
      <c r="C883" s="2">
        <v>1156.3353183240399</v>
      </c>
      <c r="D883" s="2">
        <v>0</v>
      </c>
      <c r="E883" s="2">
        <v>7866.5075509237404</v>
      </c>
      <c r="F883" s="2">
        <v>824.30779763060298</v>
      </c>
      <c r="G883" s="2">
        <v>1299.8923264806699</v>
      </c>
      <c r="H883" s="2">
        <v>550.20126404042298</v>
      </c>
      <c r="I883" s="2">
        <v>1197.4918174816901</v>
      </c>
      <c r="J883" s="2">
        <v>5261.4576573863396</v>
      </c>
      <c r="K883" s="2">
        <v>6484.5566104203899</v>
      </c>
      <c r="L883" s="2">
        <v>0</v>
      </c>
      <c r="M883" s="2">
        <v>3658.3255190505902</v>
      </c>
      <c r="N883" s="3">
        <f t="shared" si="39"/>
        <v>28404.145516114742</v>
      </c>
      <c r="O883" s="2">
        <v>3.44882005147121</v>
      </c>
      <c r="P883" s="2">
        <v>4.2982436879234402</v>
      </c>
      <c r="Q883" s="2">
        <v>8.0177019040128599</v>
      </c>
      <c r="R883" s="2">
        <v>5.6339281333217501</v>
      </c>
      <c r="S883" s="2">
        <v>0</v>
      </c>
      <c r="T883" s="2">
        <v>1.89611419031319</v>
      </c>
      <c r="U883" s="2">
        <v>0.87557711042970698</v>
      </c>
      <c r="V883" s="2">
        <v>5.8270834036133001</v>
      </c>
      <c r="W883" s="2">
        <v>1.00867984407863</v>
      </c>
      <c r="X883" s="2">
        <v>3.5271976123210602</v>
      </c>
      <c r="Y883" s="2">
        <v>6.1750893797783997</v>
      </c>
      <c r="Z883" s="2">
        <v>9.8255037588581899</v>
      </c>
      <c r="AA883" s="3">
        <f t="shared" si="40"/>
        <v>50.53393907612174</v>
      </c>
      <c r="AB883" t="s">
        <v>63</v>
      </c>
      <c r="AC883">
        <v>2.48</v>
      </c>
      <c r="AD883">
        <v>23.59</v>
      </c>
      <c r="AE883">
        <v>0.81</v>
      </c>
      <c r="AF883">
        <v>157.88</v>
      </c>
      <c r="AG883">
        <v>16.5</v>
      </c>
      <c r="AH883">
        <v>26.18</v>
      </c>
      <c r="AI883">
        <v>11.11</v>
      </c>
      <c r="AJ883">
        <v>24.5</v>
      </c>
      <c r="AK883">
        <v>105.42</v>
      </c>
      <c r="AL883">
        <v>130.06</v>
      </c>
      <c r="AM883">
        <v>0.63</v>
      </c>
      <c r="AN883">
        <v>74.08</v>
      </c>
      <c r="AO883" s="1">
        <f t="shared" si="41"/>
        <v>573.24</v>
      </c>
    </row>
    <row r="884" spans="1:41" x14ac:dyDescent="0.25">
      <c r="A884" t="s">
        <v>927</v>
      </c>
      <c r="B884" s="2">
        <v>98.130826394354301</v>
      </c>
      <c r="C884" s="2">
        <v>0</v>
      </c>
      <c r="D884" s="2">
        <v>2988.45023765631</v>
      </c>
      <c r="E884" s="2">
        <v>0</v>
      </c>
      <c r="F884" s="2">
        <v>4775.9669313549402</v>
      </c>
      <c r="G884" s="2">
        <v>464.90706816305601</v>
      </c>
      <c r="H884" s="2">
        <v>1226.74483946447</v>
      </c>
      <c r="I884" s="2">
        <v>1348.0870061608</v>
      </c>
      <c r="J884" s="2">
        <v>1410.0101227919599</v>
      </c>
      <c r="K884" s="2">
        <v>758.16886078077005</v>
      </c>
      <c r="L884" s="2">
        <v>0</v>
      </c>
      <c r="M884" s="2">
        <v>2244.52561474406</v>
      </c>
      <c r="N884" s="3">
        <f t="shared" si="39"/>
        <v>15314.991507510722</v>
      </c>
      <c r="O884" s="2">
        <v>3.83101859817108</v>
      </c>
      <c r="P884" s="2">
        <v>11.197751862750801</v>
      </c>
      <c r="Q884" s="2">
        <v>2.21281223612778</v>
      </c>
      <c r="R884" s="2">
        <v>0</v>
      </c>
      <c r="S884" s="2">
        <v>2.0731226256041202</v>
      </c>
      <c r="T884" s="2">
        <v>2.7525634039658402</v>
      </c>
      <c r="U884" s="2">
        <v>2.2829514027345299</v>
      </c>
      <c r="V884" s="2">
        <v>0</v>
      </c>
      <c r="W884" s="2">
        <v>5.2778136937912796</v>
      </c>
      <c r="X884" s="2">
        <v>1.02510970151155</v>
      </c>
      <c r="Y884" s="2">
        <v>6.0455104872964904</v>
      </c>
      <c r="Z884" s="2">
        <v>1.94053577303678</v>
      </c>
      <c r="AA884" s="3">
        <f t="shared" si="40"/>
        <v>38.639189784990251</v>
      </c>
      <c r="AB884" t="s">
        <v>63</v>
      </c>
      <c r="AC884">
        <v>2.34</v>
      </c>
      <c r="AD884">
        <v>1.08</v>
      </c>
      <c r="AE884">
        <v>60.05</v>
      </c>
      <c r="AF884">
        <v>0</v>
      </c>
      <c r="AG884">
        <v>95.79</v>
      </c>
      <c r="AH884">
        <v>9.57</v>
      </c>
      <c r="AI884">
        <v>24.81</v>
      </c>
      <c r="AJ884">
        <v>26.98</v>
      </c>
      <c r="AK884">
        <v>28.76</v>
      </c>
      <c r="AL884">
        <v>15.36</v>
      </c>
      <c r="AM884">
        <v>0.63</v>
      </c>
      <c r="AN884">
        <v>45.08</v>
      </c>
      <c r="AO884" s="1">
        <f t="shared" si="41"/>
        <v>310.44999999999993</v>
      </c>
    </row>
    <row r="885" spans="1:41" x14ac:dyDescent="0.25">
      <c r="A885" t="s">
        <v>928</v>
      </c>
      <c r="B885" s="2">
        <v>94.785206734009805</v>
      </c>
      <c r="C885" s="2">
        <v>1106.5104671914501</v>
      </c>
      <c r="D885" s="2">
        <v>11127.6158585389</v>
      </c>
      <c r="E885" s="2">
        <v>5675.0768579166197</v>
      </c>
      <c r="F885" s="2">
        <v>2352.5048531266798</v>
      </c>
      <c r="G885" s="2">
        <v>0</v>
      </c>
      <c r="H885" s="2">
        <v>4277.6282142253403</v>
      </c>
      <c r="I885" s="2">
        <v>1420.25753359943</v>
      </c>
      <c r="J885" s="2">
        <v>4832.4973168816095</v>
      </c>
      <c r="K885" s="2">
        <v>2856.5574921401799</v>
      </c>
      <c r="L885" s="2">
        <v>3126.9917914512198</v>
      </c>
      <c r="M885" s="2">
        <v>12459.1919751839</v>
      </c>
      <c r="N885" s="3">
        <f t="shared" si="39"/>
        <v>49329.617566989342</v>
      </c>
      <c r="O885" s="2">
        <v>1.7343000076135</v>
      </c>
      <c r="P885" s="2">
        <v>11.5841976186327</v>
      </c>
      <c r="Q885" s="2">
        <v>2.8739518032987301</v>
      </c>
      <c r="R885" s="2">
        <v>2.4345937841130501</v>
      </c>
      <c r="S885" s="2">
        <v>0</v>
      </c>
      <c r="T885" s="2">
        <v>0</v>
      </c>
      <c r="U885" s="2">
        <v>3.8301178048471098</v>
      </c>
      <c r="V885" s="2">
        <v>0.97024013507644502</v>
      </c>
      <c r="W885" s="2">
        <v>0.96934136495416601</v>
      </c>
      <c r="X885" s="2">
        <v>3.0799704460040398</v>
      </c>
      <c r="Y885" s="2">
        <v>0.50159857144846598</v>
      </c>
      <c r="Z885" s="2">
        <v>1.1484757624542601</v>
      </c>
      <c r="AA885" s="3">
        <f t="shared" si="40"/>
        <v>29.126787298442466</v>
      </c>
      <c r="AB885" t="s">
        <v>45</v>
      </c>
      <c r="AC885">
        <v>11.04</v>
      </c>
      <c r="AD885">
        <v>21.66</v>
      </c>
      <c r="AE885">
        <v>121.42</v>
      </c>
      <c r="AF885">
        <v>66.900000000000006</v>
      </c>
      <c r="AG885">
        <v>33.520000000000003</v>
      </c>
      <c r="AH885">
        <v>9.99</v>
      </c>
      <c r="AI885">
        <v>52.97</v>
      </c>
      <c r="AJ885">
        <v>24.25</v>
      </c>
      <c r="AK885">
        <v>58.37</v>
      </c>
      <c r="AL885">
        <v>38.76</v>
      </c>
      <c r="AM885">
        <v>41.31</v>
      </c>
      <c r="AN885">
        <v>134.69</v>
      </c>
      <c r="AO885" s="1">
        <f t="shared" si="41"/>
        <v>614.88</v>
      </c>
    </row>
    <row r="886" spans="1:41" x14ac:dyDescent="0.25">
      <c r="A886" t="s">
        <v>929</v>
      </c>
      <c r="B886" s="2">
        <v>88.739476609026099</v>
      </c>
      <c r="C886" s="2">
        <v>24878.005875516101</v>
      </c>
      <c r="D886" s="2">
        <v>3176.6023017478001</v>
      </c>
      <c r="E886" s="2">
        <v>2097.6840224738698</v>
      </c>
      <c r="F886" s="2">
        <v>0</v>
      </c>
      <c r="G886" s="2">
        <v>3910.3835288355599</v>
      </c>
      <c r="H886" s="2">
        <v>2822.0828374002899</v>
      </c>
      <c r="I886" s="2">
        <v>6958.7856526510304</v>
      </c>
      <c r="J886" s="2">
        <v>336.04529075783398</v>
      </c>
      <c r="K886" s="2">
        <v>13780.5605315541</v>
      </c>
      <c r="L886" s="2">
        <v>2004.7001417137101</v>
      </c>
      <c r="M886" s="2">
        <v>1757.7280226236901</v>
      </c>
      <c r="N886" s="3">
        <f t="shared" si="39"/>
        <v>61811.317681883011</v>
      </c>
      <c r="O886" s="2">
        <v>4.3438490506965497</v>
      </c>
      <c r="P886" s="2">
        <v>1.90963184722219</v>
      </c>
      <c r="Q886" s="2">
        <v>13.3012746335662</v>
      </c>
      <c r="R886" s="2">
        <v>2.4550053331077102</v>
      </c>
      <c r="S886" s="2">
        <v>0</v>
      </c>
      <c r="T886" s="2">
        <v>3.0422617422113798</v>
      </c>
      <c r="U886" s="2">
        <v>6.2150338355628003</v>
      </c>
      <c r="V886" s="2">
        <v>23.237191022134599</v>
      </c>
      <c r="W886" s="2">
        <v>2.7965954760041201</v>
      </c>
      <c r="X886" s="2">
        <v>8.5855231608884003E-2</v>
      </c>
      <c r="Y886" s="2">
        <v>10.7228459814618</v>
      </c>
      <c r="Z886" s="2">
        <v>0</v>
      </c>
      <c r="AA886" s="3">
        <f t="shared" si="40"/>
        <v>68.109544153576238</v>
      </c>
      <c r="AB886" t="s">
        <v>45</v>
      </c>
      <c r="AC886">
        <v>11.13</v>
      </c>
      <c r="AD886">
        <v>258.88</v>
      </c>
      <c r="AE886">
        <v>42.46</v>
      </c>
      <c r="AF886">
        <v>31.12</v>
      </c>
      <c r="AG886">
        <v>9.99</v>
      </c>
      <c r="AH886">
        <v>49.3</v>
      </c>
      <c r="AI886">
        <v>38.57</v>
      </c>
      <c r="AJ886">
        <v>80.78</v>
      </c>
      <c r="AK886">
        <v>13.51</v>
      </c>
      <c r="AL886">
        <v>147.85</v>
      </c>
      <c r="AM886">
        <v>30.59</v>
      </c>
      <c r="AN886">
        <v>27.57</v>
      </c>
      <c r="AO886" s="1">
        <f t="shared" si="41"/>
        <v>741.75000000000011</v>
      </c>
    </row>
    <row r="887" spans="1:41" x14ac:dyDescent="0.25">
      <c r="A887" t="s">
        <v>930</v>
      </c>
      <c r="B887" s="2">
        <v>79.435047111181603</v>
      </c>
      <c r="C887" s="2">
        <v>0</v>
      </c>
      <c r="D887" s="2">
        <v>2964.1739457144399</v>
      </c>
      <c r="E887" s="2">
        <v>10944.6012689449</v>
      </c>
      <c r="F887" s="2">
        <v>8815.0145725961102</v>
      </c>
      <c r="G887" s="2">
        <v>17669.688566876699</v>
      </c>
      <c r="H887" s="2">
        <v>1716.4054767264599</v>
      </c>
      <c r="I887" s="2">
        <v>0</v>
      </c>
      <c r="J887" s="2">
        <v>336.76235030611099</v>
      </c>
      <c r="K887" s="2">
        <v>3568.43124590147</v>
      </c>
      <c r="L887" s="2">
        <v>0</v>
      </c>
      <c r="M887" s="2">
        <v>2228.0741569440802</v>
      </c>
      <c r="N887" s="3">
        <f t="shared" si="39"/>
        <v>48322.586631121449</v>
      </c>
      <c r="O887" s="2">
        <v>8.9482883106084596</v>
      </c>
      <c r="P887" s="2">
        <v>1.9053605603047601</v>
      </c>
      <c r="Q887" s="2">
        <v>12.6379441509952</v>
      </c>
      <c r="R887" s="2">
        <v>0</v>
      </c>
      <c r="S887" s="2">
        <v>1.9862745641070301</v>
      </c>
      <c r="T887" s="2">
        <v>4.2465778545714796</v>
      </c>
      <c r="U887" s="2">
        <v>2.65062622893107</v>
      </c>
      <c r="V887" s="2">
        <v>3.35426156615664</v>
      </c>
      <c r="W887" s="2">
        <v>1.1270724961410601</v>
      </c>
      <c r="X887" s="2">
        <v>6.6317585407895701</v>
      </c>
      <c r="Y887" s="2">
        <v>1.41682741447247</v>
      </c>
      <c r="Z887" s="2">
        <v>0</v>
      </c>
      <c r="AA887" s="3">
        <f t="shared" si="40"/>
        <v>44.904991687077739</v>
      </c>
      <c r="AB887" t="s">
        <v>45</v>
      </c>
      <c r="AC887">
        <v>11.24</v>
      </c>
      <c r="AD887">
        <v>10.09</v>
      </c>
      <c r="AE887">
        <v>40.29</v>
      </c>
      <c r="AF887">
        <v>119.44</v>
      </c>
      <c r="AG887">
        <v>98.25</v>
      </c>
      <c r="AH887">
        <v>186.94</v>
      </c>
      <c r="AI887">
        <v>27.31</v>
      </c>
      <c r="AJ887">
        <v>10.19</v>
      </c>
      <c r="AK887">
        <v>13.46</v>
      </c>
      <c r="AL887">
        <v>46.03</v>
      </c>
      <c r="AM887">
        <v>10.09</v>
      </c>
      <c r="AN887">
        <v>32.28</v>
      </c>
      <c r="AO887" s="1">
        <f t="shared" si="41"/>
        <v>605.61</v>
      </c>
    </row>
    <row r="888" spans="1:41" x14ac:dyDescent="0.25">
      <c r="A888" t="s">
        <v>931</v>
      </c>
      <c r="B888" s="2">
        <v>78.910788562495696</v>
      </c>
      <c r="C888" s="2">
        <v>1453.76361871315</v>
      </c>
      <c r="D888" s="2">
        <v>6365.8025050347596</v>
      </c>
      <c r="E888" s="2">
        <v>1687.8579239985099</v>
      </c>
      <c r="F888" s="2">
        <v>3578.9004583686201</v>
      </c>
      <c r="G888" s="2">
        <v>12743.9664930174</v>
      </c>
      <c r="H888" s="2">
        <v>3524.5491955095599</v>
      </c>
      <c r="I888" s="2">
        <v>547.61377362335099</v>
      </c>
      <c r="J888" s="2">
        <v>1494.6136436528</v>
      </c>
      <c r="K888" s="2">
        <v>5979.2005614933296</v>
      </c>
      <c r="L888" s="2">
        <v>1642.66740239005</v>
      </c>
      <c r="M888" s="2">
        <v>3788.7230151100198</v>
      </c>
      <c r="N888" s="3">
        <f t="shared" si="39"/>
        <v>42886.569379474044</v>
      </c>
      <c r="O888" s="2">
        <v>1.7604331826622099</v>
      </c>
      <c r="P888" s="2">
        <v>1.56743197873803</v>
      </c>
      <c r="Q888" s="2">
        <v>1.18193810086975</v>
      </c>
      <c r="R888" s="2">
        <v>2.2905746955219102</v>
      </c>
      <c r="S888" s="2">
        <v>2.08772434810678</v>
      </c>
      <c r="T888" s="2">
        <v>12.724062399909201</v>
      </c>
      <c r="U888" s="2">
        <v>8.9848870433544299</v>
      </c>
      <c r="V888" s="2">
        <v>4.3648935909182898</v>
      </c>
      <c r="W888" s="2">
        <v>1.7451411091520601</v>
      </c>
      <c r="X888" s="2">
        <v>1.5748111657877499</v>
      </c>
      <c r="Y888" s="2">
        <v>3.5845147476295298</v>
      </c>
      <c r="Z888" s="2">
        <v>5.2363134863594496</v>
      </c>
      <c r="AA888" s="3">
        <f t="shared" si="40"/>
        <v>47.102725849009389</v>
      </c>
      <c r="AB888" t="s">
        <v>45</v>
      </c>
      <c r="AC888">
        <v>10.88</v>
      </c>
      <c r="AD888">
        <v>24.63</v>
      </c>
      <c r="AE888">
        <v>73.75</v>
      </c>
      <c r="AF888">
        <v>27.02</v>
      </c>
      <c r="AG888">
        <v>45.93</v>
      </c>
      <c r="AH888">
        <v>138.08000000000001</v>
      </c>
      <c r="AI888">
        <v>45.69</v>
      </c>
      <c r="AJ888">
        <v>15.72</v>
      </c>
      <c r="AK888">
        <v>25.04</v>
      </c>
      <c r="AL888">
        <v>69.89</v>
      </c>
      <c r="AM888">
        <v>26.62</v>
      </c>
      <c r="AN888">
        <v>48.18</v>
      </c>
      <c r="AO888" s="1">
        <f t="shared" si="41"/>
        <v>551.43000000000006</v>
      </c>
    </row>
    <row r="889" spans="1:41" x14ac:dyDescent="0.25">
      <c r="A889" t="s">
        <v>932</v>
      </c>
      <c r="B889" s="2">
        <v>78.2979373593746</v>
      </c>
      <c r="C889" s="2">
        <v>1869.6936614557501</v>
      </c>
      <c r="D889" s="2">
        <v>2849.0232378952801</v>
      </c>
      <c r="E889" s="2">
        <v>412.42168296867698</v>
      </c>
      <c r="F889" s="2">
        <v>4566.8555996469304</v>
      </c>
      <c r="G889" s="2">
        <v>0</v>
      </c>
      <c r="H889" s="2">
        <v>4581.2097882872004</v>
      </c>
      <c r="I889" s="2">
        <v>2175.9572012294402</v>
      </c>
      <c r="J889" s="2">
        <v>3812.1322286578302</v>
      </c>
      <c r="K889" s="2">
        <v>1631.8481243598801</v>
      </c>
      <c r="L889" s="2">
        <v>13261.821854076001</v>
      </c>
      <c r="M889" s="2">
        <v>1723.92561645405</v>
      </c>
      <c r="N889" s="3">
        <f t="shared" si="39"/>
        <v>36963.18693239041</v>
      </c>
      <c r="O889" s="2">
        <v>1.0212859577059901</v>
      </c>
      <c r="P889" s="2">
        <v>2.2167164355339701</v>
      </c>
      <c r="Q889" s="2">
        <v>2.7885674872458801</v>
      </c>
      <c r="R889" s="2">
        <v>3.27493273011972</v>
      </c>
      <c r="S889" s="2">
        <v>3.1136068940946902</v>
      </c>
      <c r="T889" s="2">
        <v>0</v>
      </c>
      <c r="U889" s="2">
        <v>3.6666636308002598</v>
      </c>
      <c r="V889" s="2">
        <v>7.1938842073060503</v>
      </c>
      <c r="W889" s="2">
        <v>1.6022755229861001</v>
      </c>
      <c r="X889" s="2">
        <v>1.8079779310210899</v>
      </c>
      <c r="Y889" s="2">
        <v>16.241904889330101</v>
      </c>
      <c r="Z889" s="2">
        <v>1.87101952741147</v>
      </c>
      <c r="AA889" s="3">
        <f t="shared" si="40"/>
        <v>44.798835213555321</v>
      </c>
      <c r="AB889" t="s">
        <v>63</v>
      </c>
      <c r="AC889">
        <v>1.76</v>
      </c>
      <c r="AD889">
        <v>37.67</v>
      </c>
      <c r="AE889">
        <v>57.27</v>
      </c>
      <c r="AF889">
        <v>8.6199999999999992</v>
      </c>
      <c r="AG889">
        <v>91.7</v>
      </c>
      <c r="AH889">
        <v>0</v>
      </c>
      <c r="AI889">
        <v>92</v>
      </c>
      <c r="AJ889">
        <v>44.24</v>
      </c>
      <c r="AK889">
        <v>76.44</v>
      </c>
      <c r="AL889">
        <v>32.82</v>
      </c>
      <c r="AM889">
        <v>266.77</v>
      </c>
      <c r="AN889">
        <v>34.659999999999997</v>
      </c>
      <c r="AO889" s="1">
        <f t="shared" si="41"/>
        <v>743.94999999999993</v>
      </c>
    </row>
    <row r="890" spans="1:41" x14ac:dyDescent="0.25">
      <c r="A890" t="s">
        <v>933</v>
      </c>
      <c r="B890" s="2">
        <v>61.707464689817499</v>
      </c>
      <c r="C890" s="2">
        <v>1865.8861154942299</v>
      </c>
      <c r="D890" s="2">
        <v>1461.54830726461</v>
      </c>
      <c r="E890" s="2">
        <v>3047.7026412212899</v>
      </c>
      <c r="F890" s="2">
        <v>7385.84264743516</v>
      </c>
      <c r="G890" s="2">
        <v>3281.4915402695201</v>
      </c>
      <c r="H890" s="2">
        <v>1461.5468560211</v>
      </c>
      <c r="I890" s="2">
        <v>7591.5124345105696</v>
      </c>
      <c r="J890" s="2">
        <v>4206.1591834298597</v>
      </c>
      <c r="K890" s="2">
        <v>1397.79092796545</v>
      </c>
      <c r="L890" s="2">
        <v>2112.6350257153199</v>
      </c>
      <c r="M890" s="2">
        <v>5107.9430462274304</v>
      </c>
      <c r="N890" s="3">
        <f t="shared" si="39"/>
        <v>38981.766190244358</v>
      </c>
      <c r="O890" s="2">
        <v>12.306045855236</v>
      </c>
      <c r="P890" s="2">
        <v>5.6579743187278</v>
      </c>
      <c r="Q890" s="2">
        <v>12.384450772225</v>
      </c>
      <c r="R890" s="2">
        <v>2.6106212386701801</v>
      </c>
      <c r="S890" s="2">
        <v>4.2727049362800402</v>
      </c>
      <c r="T890" s="2">
        <v>14.431524383831301</v>
      </c>
      <c r="U890" s="2">
        <v>4.9071337040479799</v>
      </c>
      <c r="V890" s="2">
        <v>1.6606125039415E-3</v>
      </c>
      <c r="W890" s="2">
        <v>5.4717082792036704</v>
      </c>
      <c r="X890" s="2">
        <v>9.1547634016367301</v>
      </c>
      <c r="Y890" s="2">
        <v>5.22359562329195</v>
      </c>
      <c r="Z890" s="2">
        <v>2.4334423469101201</v>
      </c>
      <c r="AA890" s="3">
        <f t="shared" si="40"/>
        <v>78.855625472564725</v>
      </c>
      <c r="AB890" t="s">
        <v>45</v>
      </c>
      <c r="AC890">
        <v>11.26</v>
      </c>
      <c r="AD890">
        <v>28.95</v>
      </c>
      <c r="AE890">
        <v>25.26</v>
      </c>
      <c r="AF890">
        <v>40.619999999999997</v>
      </c>
      <c r="AG890">
        <v>84.1</v>
      </c>
      <c r="AH890">
        <v>43.56</v>
      </c>
      <c r="AI890">
        <v>24.86</v>
      </c>
      <c r="AJ890">
        <v>85.96</v>
      </c>
      <c r="AK890">
        <v>52.36</v>
      </c>
      <c r="AL890">
        <v>24.47</v>
      </c>
      <c r="AM890">
        <v>31.42</v>
      </c>
      <c r="AN890">
        <v>61.22</v>
      </c>
      <c r="AO890" s="1">
        <f t="shared" si="41"/>
        <v>514.04</v>
      </c>
    </row>
    <row r="891" spans="1:41" x14ac:dyDescent="0.25">
      <c r="A891" t="s">
        <v>934</v>
      </c>
      <c r="B891" s="2">
        <v>53.504908172360999</v>
      </c>
      <c r="C891" s="2">
        <v>1220.4110689389099</v>
      </c>
      <c r="D891" s="2">
        <v>2510.2379797438498</v>
      </c>
      <c r="E891" s="2">
        <v>6542.4487258170002</v>
      </c>
      <c r="F891" s="2">
        <v>2934.1947827956901</v>
      </c>
      <c r="G891" s="2">
        <v>89.065976953734804</v>
      </c>
      <c r="H891" s="2">
        <v>1128.2252857419801</v>
      </c>
      <c r="I891" s="2">
        <v>3299.5424132031899</v>
      </c>
      <c r="J891" s="2">
        <v>1620.36677994359</v>
      </c>
      <c r="K891" s="2">
        <v>193.78346982377801</v>
      </c>
      <c r="L891" s="2">
        <v>3605.9280064813802</v>
      </c>
      <c r="M891" s="2">
        <v>1523.7903326922799</v>
      </c>
      <c r="N891" s="3">
        <f t="shared" si="39"/>
        <v>24721.499730307743</v>
      </c>
      <c r="O891" s="2">
        <v>7.3786511779531798</v>
      </c>
      <c r="P891" s="2">
        <v>3.5201436323183799</v>
      </c>
      <c r="Q891" s="2">
        <v>1.82172610359091</v>
      </c>
      <c r="R891" s="2">
        <v>0</v>
      </c>
      <c r="S891" s="2">
        <v>2.5400838830647601</v>
      </c>
      <c r="T891" s="2">
        <v>1.0338711698951399</v>
      </c>
      <c r="U891" s="2">
        <v>1.25527941723708</v>
      </c>
      <c r="V891" s="2">
        <v>1.7303940902414501</v>
      </c>
      <c r="W891" s="2">
        <v>1.80165002822565</v>
      </c>
      <c r="X891" s="2">
        <v>14.5938430244857</v>
      </c>
      <c r="Y891" s="2">
        <v>0.303796763386946</v>
      </c>
      <c r="Z891" s="2">
        <v>10.512208212440299</v>
      </c>
      <c r="AA891" s="3">
        <f t="shared" si="40"/>
        <v>46.491647502839506</v>
      </c>
      <c r="AB891" t="s">
        <v>63</v>
      </c>
      <c r="AC891">
        <v>1.8</v>
      </c>
      <c r="AD891">
        <v>24.78</v>
      </c>
      <c r="AE891">
        <v>50.4</v>
      </c>
      <c r="AF891">
        <v>130.86000000000001</v>
      </c>
      <c r="AG891">
        <v>58.97</v>
      </c>
      <c r="AH891">
        <v>1.98</v>
      </c>
      <c r="AI891">
        <v>22.76</v>
      </c>
      <c r="AJ891">
        <v>66.180000000000007</v>
      </c>
      <c r="AK891">
        <v>32.6</v>
      </c>
      <c r="AL891">
        <v>5.23</v>
      </c>
      <c r="AM891">
        <v>72.209999999999994</v>
      </c>
      <c r="AN891">
        <v>31.47</v>
      </c>
      <c r="AO891" s="1">
        <f t="shared" si="41"/>
        <v>499.24000000000012</v>
      </c>
    </row>
    <row r="892" spans="1:41" x14ac:dyDescent="0.25">
      <c r="A892" t="s">
        <v>935</v>
      </c>
      <c r="B892" s="2">
        <v>28.0467367690656</v>
      </c>
      <c r="C892" s="2">
        <v>3057.3223788818</v>
      </c>
      <c r="D892" s="2">
        <v>7544.6856829912203</v>
      </c>
      <c r="E892" s="2">
        <v>12.611228929227</v>
      </c>
      <c r="F892" s="2">
        <v>4400.1451800144996</v>
      </c>
      <c r="G892" s="2">
        <v>0</v>
      </c>
      <c r="H892" s="2">
        <v>8906.4234692822301</v>
      </c>
      <c r="I892" s="2">
        <v>14488.577450593</v>
      </c>
      <c r="J892" s="2">
        <v>1341.7569902442201</v>
      </c>
      <c r="K892" s="2">
        <v>942.20362514745204</v>
      </c>
      <c r="L892" s="2">
        <v>4668.6828494122801</v>
      </c>
      <c r="M892" s="2">
        <v>0</v>
      </c>
      <c r="N892" s="3">
        <f t="shared" si="39"/>
        <v>45390.455592264996</v>
      </c>
      <c r="O892" s="2">
        <v>13.227890501785099</v>
      </c>
      <c r="P892" s="2">
        <v>1.2906579049520199</v>
      </c>
      <c r="Q892" s="2">
        <v>6.5698798713484301</v>
      </c>
      <c r="R892" s="2">
        <v>1.4272165348385</v>
      </c>
      <c r="S892" s="2">
        <v>9.6009612691184092</v>
      </c>
      <c r="T892" s="2">
        <v>4.0554024391661203</v>
      </c>
      <c r="U892" s="2">
        <v>4.9048993568317298</v>
      </c>
      <c r="V892" s="2">
        <v>2.2895447996760399</v>
      </c>
      <c r="W892" s="2">
        <v>1.2509456672169801</v>
      </c>
      <c r="X892" s="2">
        <v>5.2569603303201999</v>
      </c>
      <c r="Y892" s="2">
        <v>5.9541975362539903</v>
      </c>
      <c r="Z892" s="2">
        <v>1.1576435621829499</v>
      </c>
      <c r="AA892" s="3">
        <f t="shared" si="40"/>
        <v>56.986199773690466</v>
      </c>
      <c r="AB892" t="s">
        <v>45</v>
      </c>
      <c r="AC892">
        <v>10.98</v>
      </c>
      <c r="AD892">
        <v>40.67</v>
      </c>
      <c r="AE892">
        <v>85.79</v>
      </c>
      <c r="AF892">
        <v>10.220000000000001</v>
      </c>
      <c r="AG892">
        <v>54.5</v>
      </c>
      <c r="AH892">
        <v>10.24</v>
      </c>
      <c r="AI892">
        <v>99.31</v>
      </c>
      <c r="AJ892">
        <v>155.03</v>
      </c>
      <c r="AK892">
        <v>23.51</v>
      </c>
      <c r="AL892">
        <v>19.72</v>
      </c>
      <c r="AM892">
        <v>56.98</v>
      </c>
      <c r="AN892">
        <v>10.09</v>
      </c>
      <c r="AO892" s="1">
        <f t="shared" si="41"/>
        <v>577.04000000000008</v>
      </c>
    </row>
    <row r="893" spans="1:41" x14ac:dyDescent="0.25">
      <c r="A893" t="s">
        <v>936</v>
      </c>
      <c r="B893" s="2">
        <v>9.9468182374138099</v>
      </c>
      <c r="C893" s="2">
        <v>3853.0979724443901</v>
      </c>
      <c r="D893" s="2">
        <v>2169.3201104070499</v>
      </c>
      <c r="E893" s="2">
        <v>3469.7821505110401</v>
      </c>
      <c r="F893" s="2">
        <v>4577.73921529373</v>
      </c>
      <c r="G893" s="2">
        <v>4563.6135177821297</v>
      </c>
      <c r="H893" s="2">
        <v>3504.2403011542101</v>
      </c>
      <c r="I893" s="2">
        <v>3348.3779801904302</v>
      </c>
      <c r="J893" s="2">
        <v>787.56728655685401</v>
      </c>
      <c r="K893" s="2">
        <v>886.27348872455696</v>
      </c>
      <c r="L893" s="2">
        <v>3231.5868096178201</v>
      </c>
      <c r="M893" s="2">
        <v>2240.2038860511402</v>
      </c>
      <c r="N893" s="3">
        <f t="shared" si="39"/>
        <v>32641.749536970769</v>
      </c>
      <c r="O893" s="2">
        <v>2.2824461668632501</v>
      </c>
      <c r="P893" s="2">
        <v>2.78430539998454</v>
      </c>
      <c r="Q893" s="2">
        <v>3.4749851957918998</v>
      </c>
      <c r="R893" s="2">
        <v>3.22322848638554</v>
      </c>
      <c r="S893" s="2">
        <v>2.3887400553223901</v>
      </c>
      <c r="T893" s="2">
        <v>6.5501937298010704</v>
      </c>
      <c r="U893" s="2">
        <v>4.0512609073672703</v>
      </c>
      <c r="V893" s="2">
        <v>0</v>
      </c>
      <c r="W893" s="2">
        <v>2.0447171430439499</v>
      </c>
      <c r="X893" s="2">
        <v>5.6797414778681299</v>
      </c>
      <c r="Y893" s="2">
        <v>2.66027686883361</v>
      </c>
      <c r="Z893" s="2">
        <v>3.61380551109976</v>
      </c>
      <c r="AA893" s="3">
        <f t="shared" si="40"/>
        <v>38.753700942361419</v>
      </c>
      <c r="AB893" t="s">
        <v>63</v>
      </c>
      <c r="AC893">
        <v>0.47</v>
      </c>
      <c r="AD893">
        <v>77.349999999999994</v>
      </c>
      <c r="AE893">
        <v>43.76</v>
      </c>
      <c r="AF893">
        <v>69.760000000000005</v>
      </c>
      <c r="AG893">
        <v>91.83</v>
      </c>
      <c r="AH893">
        <v>91.91</v>
      </c>
      <c r="AI893">
        <v>70.55</v>
      </c>
      <c r="AJ893">
        <v>66.98</v>
      </c>
      <c r="AK893">
        <v>16.03</v>
      </c>
      <c r="AL893">
        <v>18.28</v>
      </c>
      <c r="AM893">
        <v>64.91</v>
      </c>
      <c r="AN893">
        <v>45.18</v>
      </c>
      <c r="AO893" s="1">
        <f t="shared" si="41"/>
        <v>657.00999999999976</v>
      </c>
    </row>
    <row r="894" spans="1:41" x14ac:dyDescent="0.25">
      <c r="A894" t="s">
        <v>937</v>
      </c>
      <c r="B894" s="2">
        <v>0</v>
      </c>
      <c r="C894" s="2">
        <v>12943.1155703187</v>
      </c>
      <c r="D894" s="2">
        <v>6297.5226401792197</v>
      </c>
      <c r="E894" s="2">
        <v>0</v>
      </c>
      <c r="F894" s="2">
        <v>28266.9854116354</v>
      </c>
      <c r="G894" s="2">
        <v>2921.4545316176</v>
      </c>
      <c r="H894" s="2">
        <v>6336.0007350805699</v>
      </c>
      <c r="I894" s="2">
        <v>216.282255989801</v>
      </c>
      <c r="J894" s="2">
        <v>1422.9196419181601</v>
      </c>
      <c r="K894" s="2">
        <v>4797.8423633470002</v>
      </c>
      <c r="L894" s="2">
        <v>286.286965359688</v>
      </c>
      <c r="M894" s="2">
        <v>2230.07576193055</v>
      </c>
      <c r="N894" s="3">
        <f t="shared" si="39"/>
        <v>65718.48587737669</v>
      </c>
      <c r="O894" s="2">
        <v>0</v>
      </c>
      <c r="P894" s="2">
        <v>3.1437459610562799</v>
      </c>
      <c r="Q894" s="2">
        <v>10.9091333904554</v>
      </c>
      <c r="R894" s="2">
        <v>4.6205671921196902</v>
      </c>
      <c r="S894" s="2">
        <v>4.4109608035144303</v>
      </c>
      <c r="T894" s="2">
        <v>3.5561012444856801</v>
      </c>
      <c r="U894" s="2">
        <v>1.3723441823267399</v>
      </c>
      <c r="V894" s="2">
        <v>3.6591778505476902</v>
      </c>
      <c r="W894" s="2">
        <v>4.0311417103101004</v>
      </c>
      <c r="X894" s="2">
        <v>1.82372467449446</v>
      </c>
      <c r="Y894" s="2">
        <v>1.6657105153098899</v>
      </c>
      <c r="Z894" s="2">
        <v>2.31799996779591</v>
      </c>
      <c r="AA894" s="3">
        <f t="shared" si="40"/>
        <v>41.51060749241627</v>
      </c>
      <c r="AB894" t="s">
        <v>63</v>
      </c>
      <c r="AD894">
        <v>259.24</v>
      </c>
      <c r="AE894">
        <v>126.95</v>
      </c>
      <c r="AF894">
        <v>0.45</v>
      </c>
      <c r="AG894">
        <v>565.79</v>
      </c>
      <c r="AH894">
        <v>58.8</v>
      </c>
      <c r="AI894">
        <v>126.92</v>
      </c>
      <c r="AJ894">
        <v>4.7</v>
      </c>
      <c r="AK894">
        <v>28.91</v>
      </c>
      <c r="AL894">
        <v>96.14</v>
      </c>
      <c r="AM894">
        <v>5.92</v>
      </c>
      <c r="AN894">
        <v>44.89</v>
      </c>
      <c r="AO894" s="1">
        <f t="shared" si="41"/>
        <v>1318.7100000000003</v>
      </c>
    </row>
    <row r="895" spans="1:41" x14ac:dyDescent="0.25">
      <c r="A895" t="s">
        <v>938</v>
      </c>
      <c r="B895" s="2">
        <v>0</v>
      </c>
      <c r="C895" s="2">
        <v>8454.2086282563705</v>
      </c>
      <c r="D895" s="2">
        <v>10680.126927470201</v>
      </c>
      <c r="E895" s="2">
        <v>16875.696618636601</v>
      </c>
      <c r="F895" s="2">
        <v>6880.6843313814297</v>
      </c>
      <c r="G895" s="2">
        <v>611.321788015896</v>
      </c>
      <c r="H895" s="2">
        <v>4752.2527202854699</v>
      </c>
      <c r="I895" s="2">
        <v>516.24559957756799</v>
      </c>
      <c r="J895" s="2">
        <v>7758.3414041944397</v>
      </c>
      <c r="K895" s="2">
        <v>1042.6836637480301</v>
      </c>
      <c r="L895" s="2">
        <v>517.05685982011596</v>
      </c>
      <c r="M895" s="2">
        <v>8528.1631506128797</v>
      </c>
      <c r="N895" s="3">
        <f t="shared" si="39"/>
        <v>66616.781691999</v>
      </c>
      <c r="O895" s="2">
        <v>2.94618086569263</v>
      </c>
      <c r="P895" s="2">
        <v>16.467007110563099</v>
      </c>
      <c r="Q895" s="2">
        <v>4.0925788728462802</v>
      </c>
      <c r="R895" s="2">
        <v>0.47543170800444501</v>
      </c>
      <c r="S895" s="2">
        <v>0.55776133080741996</v>
      </c>
      <c r="T895" s="2">
        <v>2.6805405223831098</v>
      </c>
      <c r="U895" s="2">
        <v>0</v>
      </c>
      <c r="V895" s="2">
        <v>0</v>
      </c>
      <c r="W895" s="2">
        <v>1.5391586095060601</v>
      </c>
      <c r="X895" s="2">
        <v>2.9263749967305199</v>
      </c>
      <c r="Y895" s="2">
        <v>2.4096701958780602</v>
      </c>
      <c r="Z895" s="2">
        <v>1.1639022419492699</v>
      </c>
      <c r="AA895" s="3">
        <f t="shared" si="40"/>
        <v>35.258606454360901</v>
      </c>
      <c r="AB895" t="s">
        <v>63</v>
      </c>
      <c r="AC895">
        <v>0.27</v>
      </c>
      <c r="AD895">
        <v>170.63</v>
      </c>
      <c r="AE895">
        <v>214.07</v>
      </c>
      <c r="AF895">
        <v>337.61</v>
      </c>
      <c r="AG895">
        <v>137.71</v>
      </c>
      <c r="AH895">
        <v>12.51</v>
      </c>
      <c r="AI895">
        <v>95.06</v>
      </c>
      <c r="AJ895">
        <v>10.34</v>
      </c>
      <c r="AK895">
        <v>155.36000000000001</v>
      </c>
      <c r="AL895">
        <v>21.13</v>
      </c>
      <c r="AM895">
        <v>10.63</v>
      </c>
      <c r="AN895">
        <v>170.76</v>
      </c>
      <c r="AO895" s="1">
        <f t="shared" si="41"/>
        <v>1336.0800000000004</v>
      </c>
    </row>
    <row r="896" spans="1:41" x14ac:dyDescent="0.25">
      <c r="A896" t="s">
        <v>939</v>
      </c>
      <c r="B896" s="2">
        <v>0</v>
      </c>
      <c r="C896" s="2">
        <v>6783.8767588047804</v>
      </c>
      <c r="D896" s="2">
        <v>1702.1000251617099</v>
      </c>
      <c r="E896" s="2">
        <v>1356.20984860663</v>
      </c>
      <c r="F896" s="2">
        <v>3224.3312479593601</v>
      </c>
      <c r="G896" s="2">
        <v>2121.5025372417899</v>
      </c>
      <c r="H896" s="2">
        <v>3375.4283137310399</v>
      </c>
      <c r="I896" s="2">
        <v>3243.7489659049702</v>
      </c>
      <c r="J896" s="2">
        <v>4071.1388427809002</v>
      </c>
      <c r="K896" s="2">
        <v>6329.0776073791903</v>
      </c>
      <c r="L896" s="2">
        <v>886.36755090870497</v>
      </c>
      <c r="M896" s="2">
        <v>1918.4680244885201</v>
      </c>
      <c r="N896" s="3">
        <f t="shared" si="39"/>
        <v>35012.249722967594</v>
      </c>
      <c r="O896" s="2">
        <v>0</v>
      </c>
      <c r="P896" s="2">
        <v>0.853335575092246</v>
      </c>
      <c r="Q896" s="2">
        <v>14.725981517127799</v>
      </c>
      <c r="R896" s="2">
        <v>0.96556170965603105</v>
      </c>
      <c r="S896" s="2">
        <v>4.09691377274976</v>
      </c>
      <c r="T896" s="2">
        <v>0.93532242300716295</v>
      </c>
      <c r="U896" s="2">
        <v>6.2974213744211296</v>
      </c>
      <c r="V896" s="2">
        <v>0</v>
      </c>
      <c r="W896" s="2">
        <v>14.425496082077199</v>
      </c>
      <c r="X896" s="2">
        <v>1.3316665457764101</v>
      </c>
      <c r="Y896" s="2">
        <v>0</v>
      </c>
      <c r="Z896" s="2">
        <v>0</v>
      </c>
      <c r="AA896" s="3">
        <f t="shared" si="40"/>
        <v>43.631698999907741</v>
      </c>
      <c r="AB896" t="s">
        <v>63</v>
      </c>
      <c r="AD896">
        <v>135.77000000000001</v>
      </c>
      <c r="AE896">
        <v>35.409999999999997</v>
      </c>
      <c r="AF896">
        <v>27.23</v>
      </c>
      <c r="AG896">
        <v>64.95</v>
      </c>
      <c r="AH896">
        <v>42.53</v>
      </c>
      <c r="AI896">
        <v>68.150000000000006</v>
      </c>
      <c r="AJ896">
        <v>64.88</v>
      </c>
      <c r="AK896">
        <v>82.79</v>
      </c>
      <c r="AL896">
        <v>126.78</v>
      </c>
      <c r="AM896">
        <v>17.739999999999998</v>
      </c>
      <c r="AN896">
        <v>38.380000000000003</v>
      </c>
      <c r="AO896" s="1">
        <f t="shared" si="41"/>
        <v>704.6099999999999</v>
      </c>
    </row>
    <row r="897" spans="1:41" x14ac:dyDescent="0.25">
      <c r="A897" t="s">
        <v>940</v>
      </c>
      <c r="B897" s="2">
        <v>0</v>
      </c>
      <c r="C897" s="2">
        <v>5484.7744114171801</v>
      </c>
      <c r="D897" s="2">
        <v>0</v>
      </c>
      <c r="E897" s="2">
        <v>1240.4971099230099</v>
      </c>
      <c r="F897" s="2">
        <v>3882.5124000085598</v>
      </c>
      <c r="G897" s="2">
        <v>3913.9763767351701</v>
      </c>
      <c r="H897" s="2">
        <v>5068.3519193297698</v>
      </c>
      <c r="I897" s="2">
        <v>2804.4772198196601</v>
      </c>
      <c r="J897" s="2">
        <v>2661.87516515991</v>
      </c>
      <c r="K897" s="2">
        <v>8753.3646730130295</v>
      </c>
      <c r="L897" s="2">
        <v>2345.7654445286998</v>
      </c>
      <c r="M897" s="2">
        <v>2.29109348892006</v>
      </c>
      <c r="N897" s="3">
        <f t="shared" si="39"/>
        <v>36157.885813423905</v>
      </c>
      <c r="O897" s="2">
        <v>0</v>
      </c>
      <c r="P897" s="2">
        <v>0.35948279892804202</v>
      </c>
      <c r="Q897" s="2">
        <v>10.1659854831159</v>
      </c>
      <c r="R897" s="2">
        <v>1.0537743497556</v>
      </c>
      <c r="S897" s="2">
        <v>3.8019961493618402</v>
      </c>
      <c r="T897" s="2">
        <v>5.2162517995172903</v>
      </c>
      <c r="U897" s="2">
        <v>0.48317986363791798</v>
      </c>
      <c r="V897" s="2">
        <v>15.4453143030865</v>
      </c>
      <c r="W897" s="2">
        <v>13.465931548132399</v>
      </c>
      <c r="X897" s="2">
        <v>2.6964304359180802</v>
      </c>
      <c r="Y897" s="2">
        <v>3.3179220052260798</v>
      </c>
      <c r="Z897" s="2">
        <v>0.34897138599679001</v>
      </c>
      <c r="AA897" s="3">
        <f t="shared" si="40"/>
        <v>56.355240122676442</v>
      </c>
      <c r="AB897" t="s">
        <v>63</v>
      </c>
      <c r="AD897">
        <v>109.79</v>
      </c>
      <c r="AE897">
        <v>0.99</v>
      </c>
      <c r="AF897">
        <v>25</v>
      </c>
      <c r="AG897">
        <v>78.02</v>
      </c>
      <c r="AH897">
        <v>78.819999999999993</v>
      </c>
      <c r="AI897">
        <v>101.47</v>
      </c>
      <c r="AJ897">
        <v>57.54</v>
      </c>
      <c r="AK897">
        <v>54.5</v>
      </c>
      <c r="AL897">
        <v>175.35</v>
      </c>
      <c r="AM897">
        <v>47.28</v>
      </c>
      <c r="AN897">
        <v>0.15</v>
      </c>
      <c r="AO897" s="1">
        <f t="shared" si="41"/>
        <v>728.91</v>
      </c>
    </row>
    <row r="898" spans="1:41" x14ac:dyDescent="0.25">
      <c r="A898" t="s">
        <v>941</v>
      </c>
      <c r="B898" s="2">
        <v>0</v>
      </c>
      <c r="C898" s="2">
        <v>5079.4745177672803</v>
      </c>
      <c r="D898" s="2">
        <v>3051.7562457816198</v>
      </c>
      <c r="E898" s="2">
        <v>4641.0842682700904</v>
      </c>
      <c r="F898" s="2">
        <v>386.82587408778198</v>
      </c>
      <c r="G898" s="2">
        <v>11215.751872864101</v>
      </c>
      <c r="H898" s="2">
        <v>0</v>
      </c>
      <c r="I898" s="2">
        <v>1680.3037374836799</v>
      </c>
      <c r="J898" s="2">
        <v>3298.6346185564298</v>
      </c>
      <c r="K898" s="2">
        <v>0</v>
      </c>
      <c r="L898" s="2">
        <v>332.59172456741601</v>
      </c>
      <c r="M898" s="2">
        <v>527.06217717858601</v>
      </c>
      <c r="N898" s="3">
        <f t="shared" si="39"/>
        <v>30213.485036556984</v>
      </c>
      <c r="O898" s="2">
        <v>6.0295045352038104</v>
      </c>
      <c r="P898" s="2">
        <v>1.92045561828926</v>
      </c>
      <c r="Q898" s="2">
        <v>3.9256962017332602</v>
      </c>
      <c r="R898" s="2">
        <v>6.22118334402583</v>
      </c>
      <c r="S898" s="2">
        <v>0.26186595198671297</v>
      </c>
      <c r="T898" s="2">
        <v>13.566047681236499</v>
      </c>
      <c r="U898" s="2">
        <v>7.3645142523799896</v>
      </c>
      <c r="V898" s="2">
        <v>2.2805143048978</v>
      </c>
      <c r="W898" s="2">
        <v>1.5158334910764499</v>
      </c>
      <c r="X898" s="2">
        <v>0</v>
      </c>
      <c r="Y898" s="2">
        <v>1.7242916345114701</v>
      </c>
      <c r="Z898" s="2">
        <v>7.14705721302622</v>
      </c>
      <c r="AA898" s="3">
        <f t="shared" si="40"/>
        <v>51.956964228367305</v>
      </c>
      <c r="AB898" t="s">
        <v>63</v>
      </c>
      <c r="AC898">
        <v>0.63</v>
      </c>
      <c r="AD898">
        <v>101.78</v>
      </c>
      <c r="AE898">
        <v>61.4</v>
      </c>
      <c r="AF898">
        <v>93.47</v>
      </c>
      <c r="AG898">
        <v>7.83</v>
      </c>
      <c r="AH898">
        <v>225.58</v>
      </c>
      <c r="AI898">
        <v>0.72</v>
      </c>
      <c r="AJ898">
        <v>33.89</v>
      </c>
      <c r="AK898">
        <v>66.16</v>
      </c>
      <c r="AL898">
        <v>0</v>
      </c>
      <c r="AM898">
        <v>6.84</v>
      </c>
      <c r="AN898">
        <v>11.28</v>
      </c>
      <c r="AO898" s="1">
        <f t="shared" si="41"/>
        <v>609.57999999999993</v>
      </c>
    </row>
    <row r="899" spans="1:41" x14ac:dyDescent="0.25">
      <c r="A899" t="s">
        <v>942</v>
      </c>
      <c r="B899" s="2">
        <v>0</v>
      </c>
      <c r="C899" s="2">
        <v>5014.2499786587396</v>
      </c>
      <c r="D899" s="2">
        <v>739.38301513007798</v>
      </c>
      <c r="E899" s="2">
        <v>3380.8393392089101</v>
      </c>
      <c r="F899" s="2">
        <v>718.52349533802203</v>
      </c>
      <c r="G899" s="2">
        <v>2377.1628114294099</v>
      </c>
      <c r="H899" s="2">
        <v>6412.1370156541298</v>
      </c>
      <c r="I899" s="2">
        <v>5459.3946952736997</v>
      </c>
      <c r="J899" s="2">
        <v>908.63327719467497</v>
      </c>
      <c r="K899" s="2">
        <v>2807.3974974832399</v>
      </c>
      <c r="L899" s="2">
        <v>2701.4435801464601</v>
      </c>
      <c r="M899" s="2">
        <v>877.34389335654203</v>
      </c>
      <c r="N899" s="3">
        <f t="shared" ref="N899:N962" si="42">SUM(B899:M899)</f>
        <v>31396.508598873905</v>
      </c>
      <c r="O899" s="2">
        <v>0.336327508665547</v>
      </c>
      <c r="P899" s="2">
        <v>0</v>
      </c>
      <c r="Q899" s="2">
        <v>2.8809273758806899</v>
      </c>
      <c r="R899" s="2">
        <v>4.4286643418498697</v>
      </c>
      <c r="S899" s="2">
        <v>4.0173057064119702</v>
      </c>
      <c r="T899" s="2">
        <v>0</v>
      </c>
      <c r="U899" s="2">
        <v>13.658445557326401</v>
      </c>
      <c r="V899" s="2">
        <v>0</v>
      </c>
      <c r="W899" s="2">
        <v>1.4127248607927401</v>
      </c>
      <c r="X899" s="2">
        <v>0</v>
      </c>
      <c r="Y899" s="2">
        <v>3.1925685057301099</v>
      </c>
      <c r="Z899" s="2">
        <v>11.9401703639745</v>
      </c>
      <c r="AA899" s="3">
        <f t="shared" si="40"/>
        <v>41.867134220631833</v>
      </c>
      <c r="AB899" t="s">
        <v>63</v>
      </c>
      <c r="AC899">
        <v>0.09</v>
      </c>
      <c r="AD899">
        <v>100.3</v>
      </c>
      <c r="AE899">
        <v>15.07</v>
      </c>
      <c r="AF899">
        <v>68.069999999999993</v>
      </c>
      <c r="AG899">
        <v>14.83</v>
      </c>
      <c r="AH899">
        <v>47.56</v>
      </c>
      <c r="AI899">
        <v>129.52000000000001</v>
      </c>
      <c r="AJ899">
        <v>109.2</v>
      </c>
      <c r="AK899">
        <v>18.36</v>
      </c>
      <c r="AL899">
        <v>56.16</v>
      </c>
      <c r="AM899">
        <v>54.4</v>
      </c>
      <c r="AN899">
        <v>18.64</v>
      </c>
      <c r="AO899" s="1">
        <f t="shared" si="41"/>
        <v>632.20000000000005</v>
      </c>
    </row>
    <row r="900" spans="1:41" x14ac:dyDescent="0.25">
      <c r="A900" t="s">
        <v>943</v>
      </c>
      <c r="B900" s="2">
        <v>0</v>
      </c>
      <c r="C900" s="2">
        <v>4804.5748505840202</v>
      </c>
      <c r="D900" s="2">
        <v>2451.5003758358898</v>
      </c>
      <c r="E900" s="2">
        <v>0</v>
      </c>
      <c r="F900" s="2">
        <v>5312.3956321107698</v>
      </c>
      <c r="G900" s="2">
        <v>4973.7967374170103</v>
      </c>
      <c r="H900" s="2">
        <v>1409.7628223694301</v>
      </c>
      <c r="I900" s="2">
        <v>531.20554245786604</v>
      </c>
      <c r="J900" s="2">
        <v>1428.6927195022299</v>
      </c>
      <c r="K900" s="2">
        <v>2789.2732951713001</v>
      </c>
      <c r="L900" s="2">
        <v>7452.1113554916101</v>
      </c>
      <c r="M900" s="2">
        <v>1635.8804532035499</v>
      </c>
      <c r="N900" s="3">
        <f t="shared" si="42"/>
        <v>32789.193784143674</v>
      </c>
      <c r="O900" s="2">
        <v>3.51909817395646</v>
      </c>
      <c r="P900" s="2">
        <v>7.8010407662052597</v>
      </c>
      <c r="Q900" s="2">
        <v>2.5400860623471</v>
      </c>
      <c r="R900" s="2">
        <v>2.4616910594949601</v>
      </c>
      <c r="S900" s="2">
        <v>4.4692417147347898</v>
      </c>
      <c r="T900" s="2">
        <v>0.81136147006498505</v>
      </c>
      <c r="U900" s="2">
        <v>2.9430812169375402</v>
      </c>
      <c r="V900" s="2">
        <v>6.4497894221767398</v>
      </c>
      <c r="W900" s="2">
        <v>2.0919546379315399</v>
      </c>
      <c r="X900" s="2">
        <v>4.9004954170565798</v>
      </c>
      <c r="Y900" s="2">
        <v>3.2855947773329</v>
      </c>
      <c r="Z900" s="2">
        <v>0</v>
      </c>
      <c r="AA900" s="3">
        <f t="shared" ref="AA900:AA963" si="43">SUM(O900:Z900)</f>
        <v>41.273434718238846</v>
      </c>
      <c r="AB900" t="s">
        <v>63</v>
      </c>
      <c r="AC900">
        <v>0.36</v>
      </c>
      <c r="AD900">
        <v>96.82</v>
      </c>
      <c r="AE900">
        <v>49.31</v>
      </c>
      <c r="AF900">
        <v>0.27</v>
      </c>
      <c r="AG900">
        <v>106.71</v>
      </c>
      <c r="AH900">
        <v>99.57</v>
      </c>
      <c r="AI900">
        <v>28.47</v>
      </c>
      <c r="AJ900">
        <v>11.27</v>
      </c>
      <c r="AK900">
        <v>28.85</v>
      </c>
      <c r="AL900">
        <v>56.25</v>
      </c>
      <c r="AM900">
        <v>149.41999999999999</v>
      </c>
      <c r="AN900">
        <v>32.72</v>
      </c>
      <c r="AO900" s="1">
        <f t="shared" si="41"/>
        <v>660.02</v>
      </c>
    </row>
    <row r="901" spans="1:41" x14ac:dyDescent="0.25">
      <c r="A901" t="s">
        <v>944</v>
      </c>
      <c r="B901" s="2">
        <v>0</v>
      </c>
      <c r="C901" s="2">
        <v>4620.9846779444997</v>
      </c>
      <c r="D901" s="2">
        <v>1886.83437206287</v>
      </c>
      <c r="E901" s="2">
        <v>0</v>
      </c>
      <c r="F901" s="2">
        <v>1444.3624174398501</v>
      </c>
      <c r="G901" s="2">
        <v>0</v>
      </c>
      <c r="H901" s="2">
        <v>5514.5868932134799</v>
      </c>
      <c r="I901" s="2">
        <v>4785.34391433169</v>
      </c>
      <c r="J901" s="2">
        <v>7557.7599188455497</v>
      </c>
      <c r="K901" s="2">
        <v>2455.7599967102901</v>
      </c>
      <c r="L901" s="2">
        <v>809.99158421434902</v>
      </c>
      <c r="M901" s="2">
        <v>352.24999709456398</v>
      </c>
      <c r="N901" s="3">
        <f t="shared" si="42"/>
        <v>29427.873771857143</v>
      </c>
      <c r="O901" s="2">
        <v>1.30097872747861</v>
      </c>
      <c r="P901" s="2">
        <v>3.1672883771362699</v>
      </c>
      <c r="Q901" s="2">
        <v>4.1297905294350201</v>
      </c>
      <c r="R901" s="2">
        <v>2.6446200876747898</v>
      </c>
      <c r="S901" s="2">
        <v>3.3277667877174801</v>
      </c>
      <c r="T901" s="2">
        <v>0</v>
      </c>
      <c r="U901" s="2">
        <v>2.3122589480209199</v>
      </c>
      <c r="V901" s="2">
        <v>1.5170059241818601</v>
      </c>
      <c r="W901" s="2">
        <v>12.619266457250401</v>
      </c>
      <c r="X901" s="2">
        <v>7.1188982823450004</v>
      </c>
      <c r="Y901" s="2">
        <v>12.8922634064809</v>
      </c>
      <c r="Z901" s="2">
        <v>0</v>
      </c>
      <c r="AA901" s="3">
        <f t="shared" si="43"/>
        <v>51.030137527721244</v>
      </c>
      <c r="AB901" t="s">
        <v>63</v>
      </c>
      <c r="AC901">
        <v>0.18</v>
      </c>
      <c r="AD901">
        <v>92.78</v>
      </c>
      <c r="AE901">
        <v>38.19</v>
      </c>
      <c r="AF901">
        <v>0.27</v>
      </c>
      <c r="AG901">
        <v>29.26</v>
      </c>
      <c r="AH901">
        <v>0</v>
      </c>
      <c r="AI901">
        <v>110.57</v>
      </c>
      <c r="AJ901">
        <v>95.9</v>
      </c>
      <c r="AK901">
        <v>152.33000000000001</v>
      </c>
      <c r="AL901">
        <v>49.84</v>
      </c>
      <c r="AM901">
        <v>17.37</v>
      </c>
      <c r="AN901">
        <v>7.06</v>
      </c>
      <c r="AO901" s="1">
        <f t="shared" ref="AO901:AO964" si="44">SUM(AC901:AN901)</f>
        <v>593.75</v>
      </c>
    </row>
    <row r="902" spans="1:41" x14ac:dyDescent="0.25">
      <c r="A902" t="s">
        <v>945</v>
      </c>
      <c r="B902" s="2">
        <v>0</v>
      </c>
      <c r="C902" s="2">
        <v>4605.8995560379199</v>
      </c>
      <c r="D902" s="2">
        <v>3328.3965142830798</v>
      </c>
      <c r="E902" s="2">
        <v>3228.9677667047799</v>
      </c>
      <c r="F902" s="2">
        <v>1212.7425297480099</v>
      </c>
      <c r="G902" s="2">
        <v>227.11129311680901</v>
      </c>
      <c r="H902" s="2">
        <v>5438.5607817899399</v>
      </c>
      <c r="I902" s="2">
        <v>7126.2901811457004</v>
      </c>
      <c r="J902" s="2">
        <v>2028.2078538754499</v>
      </c>
      <c r="K902" s="2">
        <v>926.65433574764802</v>
      </c>
      <c r="L902" s="2">
        <v>0</v>
      </c>
      <c r="M902" s="2">
        <v>4875.7540798071695</v>
      </c>
      <c r="N902" s="3">
        <f t="shared" si="42"/>
        <v>32998.584892256506</v>
      </c>
      <c r="O902" s="2">
        <v>6.2240736788286197</v>
      </c>
      <c r="P902" s="2">
        <v>5.1990476364308504</v>
      </c>
      <c r="Q902" s="2">
        <v>0</v>
      </c>
      <c r="R902" s="2">
        <v>3.7238477092773401</v>
      </c>
      <c r="S902" s="2">
        <v>2.0036780970502002</v>
      </c>
      <c r="T902" s="2">
        <v>0</v>
      </c>
      <c r="U902" s="2">
        <v>8.2255529232435798</v>
      </c>
      <c r="V902" s="2">
        <v>0</v>
      </c>
      <c r="W902" s="2">
        <v>1.0910262316466399</v>
      </c>
      <c r="X902" s="2">
        <v>11.4783117942033</v>
      </c>
      <c r="Y902" s="2">
        <v>1.5648236831707301</v>
      </c>
      <c r="Z902" s="2">
        <v>16.8019428946264</v>
      </c>
      <c r="AA902" s="3">
        <f t="shared" si="43"/>
        <v>56.312304648477657</v>
      </c>
      <c r="AB902" t="s">
        <v>63</v>
      </c>
      <c r="AC902">
        <v>0.63</v>
      </c>
      <c r="AD902">
        <v>92.66</v>
      </c>
      <c r="AE902">
        <v>66.58</v>
      </c>
      <c r="AF902">
        <v>64.94</v>
      </c>
      <c r="AG902">
        <v>24.53</v>
      </c>
      <c r="AH902">
        <v>4.5599999999999996</v>
      </c>
      <c r="AI902">
        <v>109.59</v>
      </c>
      <c r="AJ902">
        <v>142.54</v>
      </c>
      <c r="AK902">
        <v>40.76</v>
      </c>
      <c r="AL902">
        <v>19.62</v>
      </c>
      <c r="AM902">
        <v>0.18</v>
      </c>
      <c r="AN902">
        <v>99.05</v>
      </c>
      <c r="AO902" s="1">
        <f t="shared" si="44"/>
        <v>665.63999999999987</v>
      </c>
    </row>
    <row r="903" spans="1:41" x14ac:dyDescent="0.25">
      <c r="A903" t="s">
        <v>946</v>
      </c>
      <c r="B903" s="2">
        <v>0</v>
      </c>
      <c r="C903" s="2">
        <v>3664.2393791187401</v>
      </c>
      <c r="D903" s="2">
        <v>8411.2077604394708</v>
      </c>
      <c r="E903" s="2">
        <v>454.06967474755999</v>
      </c>
      <c r="F903" s="2">
        <v>1633.68990079847</v>
      </c>
      <c r="G903" s="2">
        <v>5542.6689351263303</v>
      </c>
      <c r="H903" s="2">
        <v>1794.0525841014201</v>
      </c>
      <c r="I903" s="2">
        <v>0</v>
      </c>
      <c r="J903" s="2">
        <v>1216.32244125071</v>
      </c>
      <c r="K903" s="2">
        <v>1436.7164850051099</v>
      </c>
      <c r="L903" s="2">
        <v>7041.9234142204396</v>
      </c>
      <c r="M903" s="2">
        <v>2812.2744390370599</v>
      </c>
      <c r="N903" s="3">
        <f t="shared" si="42"/>
        <v>34007.165013845311</v>
      </c>
      <c r="O903" s="2">
        <v>8.4321304081413793</v>
      </c>
      <c r="P903" s="2">
        <v>2.1134550817146098</v>
      </c>
      <c r="Q903" s="2">
        <v>0</v>
      </c>
      <c r="R903" s="2">
        <v>1.2247470272732599</v>
      </c>
      <c r="S903" s="2">
        <v>2.6622636474624501E-2</v>
      </c>
      <c r="T903" s="2">
        <v>4.0980803920549498</v>
      </c>
      <c r="U903" s="2">
        <v>1.177301212133</v>
      </c>
      <c r="V903" s="2">
        <v>0</v>
      </c>
      <c r="W903" s="2">
        <v>3.45288048072856</v>
      </c>
      <c r="X903" s="2">
        <v>0.85734524357483299</v>
      </c>
      <c r="Y903" s="2">
        <v>2.56511857654217</v>
      </c>
      <c r="Z903" s="2">
        <v>3.4059172912891702</v>
      </c>
      <c r="AA903" s="3">
        <f t="shared" si="43"/>
        <v>27.353598349926557</v>
      </c>
      <c r="AB903" t="s">
        <v>63</v>
      </c>
      <c r="AC903">
        <v>0.81</v>
      </c>
      <c r="AD903">
        <v>73.569999999999993</v>
      </c>
      <c r="AE903">
        <v>168.24</v>
      </c>
      <c r="AF903">
        <v>9.2799999999999994</v>
      </c>
      <c r="AG903">
        <v>32.770000000000003</v>
      </c>
      <c r="AH903">
        <v>111.31</v>
      </c>
      <c r="AI903">
        <v>36.08</v>
      </c>
      <c r="AJ903">
        <v>0</v>
      </c>
      <c r="AK903">
        <v>24.7</v>
      </c>
      <c r="AL903">
        <v>28.83</v>
      </c>
      <c r="AM903">
        <v>141.11000000000001</v>
      </c>
      <c r="AN903">
        <v>56.62</v>
      </c>
      <c r="AO903" s="1">
        <f t="shared" si="44"/>
        <v>683.32</v>
      </c>
    </row>
    <row r="904" spans="1:41" x14ac:dyDescent="0.25">
      <c r="A904" t="s">
        <v>947</v>
      </c>
      <c r="B904" s="2">
        <v>0</v>
      </c>
      <c r="C904" s="2">
        <v>3662.5494005115502</v>
      </c>
      <c r="D904" s="2">
        <v>3229.8721398052899</v>
      </c>
      <c r="E904" s="2">
        <v>7818.6524177625697</v>
      </c>
      <c r="F904" s="2">
        <v>50.228969559025302</v>
      </c>
      <c r="G904" s="2">
        <v>1620.02920866622</v>
      </c>
      <c r="H904" s="2">
        <v>602.43523221208602</v>
      </c>
      <c r="I904" s="2">
        <v>11646.1782101395</v>
      </c>
      <c r="J904" s="2">
        <v>1330.8063407188199</v>
      </c>
      <c r="K904" s="2">
        <v>299.56011119338501</v>
      </c>
      <c r="L904" s="2">
        <v>2454.4619294754598</v>
      </c>
      <c r="M904" s="2">
        <v>2452.6880820091901</v>
      </c>
      <c r="N904" s="3">
        <f t="shared" si="42"/>
        <v>35167.462042053099</v>
      </c>
      <c r="O904" s="2">
        <v>8.4747469389773897</v>
      </c>
      <c r="P904" s="2">
        <v>0.98242479944647598</v>
      </c>
      <c r="Q904" s="2">
        <v>4.13979835972897</v>
      </c>
      <c r="R904" s="2">
        <v>1.9751673813923201</v>
      </c>
      <c r="S904" s="2">
        <v>0</v>
      </c>
      <c r="T904" s="2">
        <v>9.1914476258591602</v>
      </c>
      <c r="U904" s="2">
        <v>7.8677079875052298</v>
      </c>
      <c r="V904" s="2">
        <v>4.6662279273872</v>
      </c>
      <c r="W904" s="2">
        <v>8.3235229259224592</v>
      </c>
      <c r="X904" s="2">
        <v>8.9517150348726293</v>
      </c>
      <c r="Y904" s="2">
        <v>4.1383621988137103</v>
      </c>
      <c r="Z904" s="2">
        <v>5.74044617221778</v>
      </c>
      <c r="AA904" s="3">
        <f t="shared" si="43"/>
        <v>64.45156735212332</v>
      </c>
      <c r="AB904" t="s">
        <v>63</v>
      </c>
      <c r="AC904">
        <v>0.81</v>
      </c>
      <c r="AD904">
        <v>73.349999999999994</v>
      </c>
      <c r="AE904">
        <v>65.05</v>
      </c>
      <c r="AF904">
        <v>156.56</v>
      </c>
      <c r="AG904">
        <v>1.02</v>
      </c>
      <c r="AH904">
        <v>33.32</v>
      </c>
      <c r="AI904">
        <v>12.78</v>
      </c>
      <c r="AJ904">
        <v>233.39</v>
      </c>
      <c r="AK904">
        <v>27.43</v>
      </c>
      <c r="AL904">
        <v>6.81</v>
      </c>
      <c r="AM904">
        <v>49.55</v>
      </c>
      <c r="AN904">
        <v>49.6</v>
      </c>
      <c r="AO904" s="1">
        <f t="shared" si="44"/>
        <v>709.66999999999985</v>
      </c>
    </row>
    <row r="905" spans="1:41" x14ac:dyDescent="0.25">
      <c r="A905" t="s">
        <v>948</v>
      </c>
      <c r="B905" s="2">
        <v>0</v>
      </c>
      <c r="C905" s="2">
        <v>3422.9037288934701</v>
      </c>
      <c r="D905" s="2">
        <v>3194.2142852188399</v>
      </c>
      <c r="E905" s="2">
        <v>925.211930356533</v>
      </c>
      <c r="F905" s="2">
        <v>6027.4984251517699</v>
      </c>
      <c r="G905" s="2">
        <v>147.44331649109299</v>
      </c>
      <c r="H905" s="2">
        <v>5406.6288223252805</v>
      </c>
      <c r="I905" s="2">
        <v>793.94907771179805</v>
      </c>
      <c r="J905" s="2">
        <v>4140.8473608866298</v>
      </c>
      <c r="K905" s="2">
        <v>993.63491709014102</v>
      </c>
      <c r="L905" s="2">
        <v>599.49862920595899</v>
      </c>
      <c r="M905" s="2">
        <v>4854.57316217065</v>
      </c>
      <c r="N905" s="3">
        <f t="shared" si="42"/>
        <v>30506.403655502163</v>
      </c>
      <c r="O905" s="2">
        <v>3.1652242332277001</v>
      </c>
      <c r="P905" s="2">
        <v>6.6371869956376504</v>
      </c>
      <c r="Q905" s="2">
        <v>0.31920958569019697</v>
      </c>
      <c r="R905" s="2">
        <v>4.0460599243628499</v>
      </c>
      <c r="S905" s="2">
        <v>4.3977899068270201</v>
      </c>
      <c r="T905" s="2">
        <v>0</v>
      </c>
      <c r="U905" s="2">
        <v>3.6307328824613201</v>
      </c>
      <c r="V905" s="2">
        <v>5.7180518150963797</v>
      </c>
      <c r="W905" s="2">
        <v>2.5861689672726502</v>
      </c>
      <c r="X905" s="2">
        <v>0</v>
      </c>
      <c r="Y905" s="2">
        <v>0</v>
      </c>
      <c r="Z905" s="2">
        <v>1.84027555699639</v>
      </c>
      <c r="AA905" s="3">
        <f t="shared" si="43"/>
        <v>32.340699867572162</v>
      </c>
      <c r="AB905" t="s">
        <v>63</v>
      </c>
      <c r="AC905">
        <v>0.36</v>
      </c>
      <c r="AD905">
        <v>69.09</v>
      </c>
      <c r="AE905">
        <v>63.99</v>
      </c>
      <c r="AF905">
        <v>18.97</v>
      </c>
      <c r="AG905">
        <v>121.01</v>
      </c>
      <c r="AH905">
        <v>2.96</v>
      </c>
      <c r="AI905">
        <v>108.5</v>
      </c>
      <c r="AJ905">
        <v>16.420000000000002</v>
      </c>
      <c r="AK905">
        <v>83.09</v>
      </c>
      <c r="AL905">
        <v>19.88</v>
      </c>
      <c r="AM905">
        <v>12</v>
      </c>
      <c r="AN905">
        <v>97.28</v>
      </c>
      <c r="AO905" s="1">
        <f t="shared" si="44"/>
        <v>613.54999999999995</v>
      </c>
    </row>
    <row r="906" spans="1:41" x14ac:dyDescent="0.25">
      <c r="A906" t="s">
        <v>949</v>
      </c>
      <c r="B906" s="2">
        <v>0</v>
      </c>
      <c r="C906" s="2">
        <v>3354.92295753905</v>
      </c>
      <c r="D906" s="2">
        <v>2162.1738077646201</v>
      </c>
      <c r="E906" s="2">
        <v>5881.6181030319103</v>
      </c>
      <c r="F906" s="2">
        <v>3083.3458783149699</v>
      </c>
      <c r="G906" s="2">
        <v>6987.3868975686601</v>
      </c>
      <c r="H906" s="2">
        <v>675.44655695499603</v>
      </c>
      <c r="I906" s="2">
        <v>3188.7627768677098</v>
      </c>
      <c r="J906" s="2">
        <v>953.43202998587606</v>
      </c>
      <c r="K906" s="2">
        <v>1651.8940333612099</v>
      </c>
      <c r="L906" s="2">
        <v>7813.6042639427396</v>
      </c>
      <c r="M906" s="2">
        <v>1368.2589972355099</v>
      </c>
      <c r="N906" s="3">
        <f t="shared" si="42"/>
        <v>37120.846302567254</v>
      </c>
      <c r="O906" s="2">
        <v>6.88471966939513</v>
      </c>
      <c r="P906" s="2">
        <v>10.0978490117195</v>
      </c>
      <c r="Q906" s="2">
        <v>2.0008782767861102</v>
      </c>
      <c r="R906" s="2">
        <v>1.7907601165337199</v>
      </c>
      <c r="S906" s="2">
        <v>2.4606165332473999</v>
      </c>
      <c r="T906" s="2">
        <v>8.2887288486888906</v>
      </c>
      <c r="U906" s="2">
        <v>0.71058939507969399</v>
      </c>
      <c r="V906" s="2">
        <v>0.59352954419419801</v>
      </c>
      <c r="W906" s="2">
        <v>7.1342775230894002</v>
      </c>
      <c r="X906" s="2">
        <v>0.44956576289907002</v>
      </c>
      <c r="Y906" s="2">
        <v>4.1726052462878096</v>
      </c>
      <c r="Z906" s="2">
        <v>0.69299066760412598</v>
      </c>
      <c r="AA906" s="3">
        <f t="shared" si="43"/>
        <v>45.277110595525052</v>
      </c>
      <c r="AB906" t="s">
        <v>63</v>
      </c>
      <c r="AC906">
        <v>0.63</v>
      </c>
      <c r="AD906">
        <v>68.09</v>
      </c>
      <c r="AE906">
        <v>43.53</v>
      </c>
      <c r="AF906">
        <v>117.82</v>
      </c>
      <c r="AG906">
        <v>61.95</v>
      </c>
      <c r="AH906">
        <v>140.57</v>
      </c>
      <c r="AI906">
        <v>13.61</v>
      </c>
      <c r="AJ906">
        <v>63.87</v>
      </c>
      <c r="AK906">
        <v>19.8</v>
      </c>
      <c r="AL906">
        <v>33.130000000000003</v>
      </c>
      <c r="AM906">
        <v>156.72999999999999</v>
      </c>
      <c r="AN906">
        <v>27.47</v>
      </c>
      <c r="AO906" s="1">
        <f t="shared" si="44"/>
        <v>747.2</v>
      </c>
    </row>
    <row r="907" spans="1:41" x14ac:dyDescent="0.25">
      <c r="A907" t="s">
        <v>950</v>
      </c>
      <c r="B907" s="2">
        <v>0</v>
      </c>
      <c r="C907" s="2">
        <v>3178.4601066974201</v>
      </c>
      <c r="D907" s="2">
        <v>8157.9795760222196</v>
      </c>
      <c r="E907" s="2">
        <v>489.227317211995</v>
      </c>
      <c r="F907" s="2">
        <v>2367.0084662322902</v>
      </c>
      <c r="G907" s="2">
        <v>5264.7095929617499</v>
      </c>
      <c r="H907" s="2">
        <v>636.722909056297</v>
      </c>
      <c r="I907" s="2">
        <v>0</v>
      </c>
      <c r="J907" s="2">
        <v>2523.74374793058</v>
      </c>
      <c r="K907" s="2">
        <v>5092.2596683510201</v>
      </c>
      <c r="L907" s="2">
        <v>169.45737090169601</v>
      </c>
      <c r="M907" s="2">
        <v>6130.40702576078</v>
      </c>
      <c r="N907" s="3">
        <f t="shared" si="42"/>
        <v>34009.97578112605</v>
      </c>
      <c r="O907" s="2">
        <v>4.4804097500830196</v>
      </c>
      <c r="P907" s="2">
        <v>6.9490901575688504</v>
      </c>
      <c r="Q907" s="2">
        <v>8.8145112355626107</v>
      </c>
      <c r="R907" s="2">
        <v>6.3976384258889896</v>
      </c>
      <c r="S907" s="2">
        <v>1.0936349929712099</v>
      </c>
      <c r="T907" s="2">
        <v>2.4004426795850899</v>
      </c>
      <c r="U907" s="2">
        <v>2.0596671003848899</v>
      </c>
      <c r="V907" s="2">
        <v>4.5974445455465496</v>
      </c>
      <c r="W907" s="2">
        <v>1.98283254851757</v>
      </c>
      <c r="X907" s="2">
        <v>3.2631922166979099</v>
      </c>
      <c r="Y907" s="2">
        <v>1.13175751284569</v>
      </c>
      <c r="Z907" s="2">
        <v>0.63164020463877202</v>
      </c>
      <c r="AA907" s="3">
        <f t="shared" si="43"/>
        <v>43.802261370291149</v>
      </c>
      <c r="AB907" t="s">
        <v>63</v>
      </c>
      <c r="AC907">
        <v>0.45</v>
      </c>
      <c r="AD907">
        <v>64.209999999999994</v>
      </c>
      <c r="AE907">
        <v>163.97</v>
      </c>
      <c r="AF907">
        <v>10.43</v>
      </c>
      <c r="AG907">
        <v>47.54</v>
      </c>
      <c r="AH907">
        <v>105.57</v>
      </c>
      <c r="AI907">
        <v>13.01</v>
      </c>
      <c r="AJ907">
        <v>0.45</v>
      </c>
      <c r="AK907">
        <v>50.66</v>
      </c>
      <c r="AL907">
        <v>102.22</v>
      </c>
      <c r="AM907">
        <v>3.58</v>
      </c>
      <c r="AN907">
        <v>122.71</v>
      </c>
      <c r="AO907" s="1">
        <f t="shared" si="44"/>
        <v>684.80000000000007</v>
      </c>
    </row>
    <row r="908" spans="1:41" x14ac:dyDescent="0.25">
      <c r="A908" t="s">
        <v>951</v>
      </c>
      <c r="B908" s="2">
        <v>0</v>
      </c>
      <c r="C908" s="2">
        <v>2740.1332277359402</v>
      </c>
      <c r="D908" s="2">
        <v>2012.96595783872</v>
      </c>
      <c r="E908" s="2">
        <v>1934.61939682298</v>
      </c>
      <c r="F908" s="2">
        <v>5212.49893969411</v>
      </c>
      <c r="G908" s="2">
        <v>1487.22388640442</v>
      </c>
      <c r="H908" s="2">
        <v>7323.9395729486396</v>
      </c>
      <c r="I908" s="2">
        <v>0</v>
      </c>
      <c r="J908" s="2">
        <v>1773.8143788289799</v>
      </c>
      <c r="K908" s="2">
        <v>4350.4284113241401</v>
      </c>
      <c r="L908" s="2">
        <v>2431.9344398982198</v>
      </c>
      <c r="M908" s="2">
        <v>0</v>
      </c>
      <c r="N908" s="3">
        <f t="shared" si="42"/>
        <v>29267.558211496147</v>
      </c>
      <c r="O908" s="2">
        <v>9.0067892078430098</v>
      </c>
      <c r="P908" s="2">
        <v>6.1576561614796201</v>
      </c>
      <c r="Q908" s="2">
        <v>6.5630082757239601</v>
      </c>
      <c r="R908" s="2">
        <v>4.3489986187596799</v>
      </c>
      <c r="S908" s="2">
        <v>0.92153979916061202</v>
      </c>
      <c r="T908" s="2">
        <v>4.7684233082864997</v>
      </c>
      <c r="U908" s="2">
        <v>0.53045653429391304</v>
      </c>
      <c r="V908" s="2">
        <v>3.65697617442529</v>
      </c>
      <c r="W908" s="2">
        <v>0</v>
      </c>
      <c r="X908" s="2">
        <v>6.2648289712471197</v>
      </c>
      <c r="Y908" s="2">
        <v>0</v>
      </c>
      <c r="Z908" s="2">
        <v>10.1999304520983</v>
      </c>
      <c r="AA908" s="3">
        <f t="shared" si="43"/>
        <v>52.418607503318007</v>
      </c>
      <c r="AB908" t="s">
        <v>63</v>
      </c>
      <c r="AC908">
        <v>0.9</v>
      </c>
      <c r="AD908">
        <v>55.45</v>
      </c>
      <c r="AE908">
        <v>40.89</v>
      </c>
      <c r="AF908">
        <v>39.15</v>
      </c>
      <c r="AG908">
        <v>104.35</v>
      </c>
      <c r="AH908">
        <v>30.21</v>
      </c>
      <c r="AI908">
        <v>146.57</v>
      </c>
      <c r="AJ908">
        <v>0.36</v>
      </c>
      <c r="AK908">
        <v>35.479999999999997</v>
      </c>
      <c r="AL908">
        <v>87.65</v>
      </c>
      <c r="AM908">
        <v>48.64</v>
      </c>
      <c r="AN908">
        <v>0.99</v>
      </c>
      <c r="AO908" s="1">
        <f t="shared" si="44"/>
        <v>590.64</v>
      </c>
    </row>
    <row r="909" spans="1:41" x14ac:dyDescent="0.25">
      <c r="A909" t="s">
        <v>952</v>
      </c>
      <c r="B909" s="2">
        <v>0</v>
      </c>
      <c r="C909" s="2">
        <v>2500.5925004882201</v>
      </c>
      <c r="D909" s="2">
        <v>1211.2453683916599</v>
      </c>
      <c r="E909" s="2">
        <v>2888.3055689184998</v>
      </c>
      <c r="F909" s="2">
        <v>0</v>
      </c>
      <c r="G909" s="2">
        <v>3454.45794506433</v>
      </c>
      <c r="H909" s="2">
        <v>4242.7550646271802</v>
      </c>
      <c r="I909" s="2">
        <v>1785.76059250201</v>
      </c>
      <c r="J909" s="2">
        <v>1281.8911357896</v>
      </c>
      <c r="K909" s="2">
        <v>0</v>
      </c>
      <c r="L909" s="2">
        <v>381.16362366552602</v>
      </c>
      <c r="M909" s="2">
        <v>2290.5001477323099</v>
      </c>
      <c r="N909" s="3">
        <f t="shared" si="42"/>
        <v>20036.671947179337</v>
      </c>
      <c r="O909" s="2">
        <v>11.1375806323846</v>
      </c>
      <c r="P909" s="2">
        <v>1.975182376889</v>
      </c>
      <c r="Q909" s="2">
        <v>14.7632206052178</v>
      </c>
      <c r="R909" s="2">
        <v>1.7478709506348</v>
      </c>
      <c r="S909" s="2">
        <v>11.0101650420673</v>
      </c>
      <c r="T909" s="2">
        <v>0.26696745439259401</v>
      </c>
      <c r="U909" s="2">
        <v>6.5584538656642399</v>
      </c>
      <c r="V909" s="2">
        <v>2.1556626997325998</v>
      </c>
      <c r="W909" s="2">
        <v>3.3403359343173999</v>
      </c>
      <c r="X909" s="2">
        <v>0.79504317603206098</v>
      </c>
      <c r="Y909" s="2">
        <v>5.3994001930881197</v>
      </c>
      <c r="Z909" s="2">
        <v>0</v>
      </c>
      <c r="AA909" s="3">
        <f t="shared" si="43"/>
        <v>59.149882930420517</v>
      </c>
      <c r="AB909" t="s">
        <v>63</v>
      </c>
      <c r="AC909">
        <v>1.08</v>
      </c>
      <c r="AD909">
        <v>50.2</v>
      </c>
      <c r="AE909">
        <v>25.59</v>
      </c>
      <c r="AF909">
        <v>57.96</v>
      </c>
      <c r="AG909">
        <v>1.08</v>
      </c>
      <c r="AH909">
        <v>69.19</v>
      </c>
      <c r="AI909">
        <v>85.49</v>
      </c>
      <c r="AJ909">
        <v>35.99</v>
      </c>
      <c r="AK909">
        <v>26</v>
      </c>
      <c r="AL909">
        <v>0.09</v>
      </c>
      <c r="AM909">
        <v>8.18</v>
      </c>
      <c r="AN909">
        <v>45.82</v>
      </c>
      <c r="AO909" s="1">
        <f t="shared" si="44"/>
        <v>406.67</v>
      </c>
    </row>
    <row r="910" spans="1:41" x14ac:dyDescent="0.25">
      <c r="A910" t="s">
        <v>953</v>
      </c>
      <c r="B910" s="2">
        <v>0</v>
      </c>
      <c r="C910" s="2">
        <v>2467.5348965245398</v>
      </c>
      <c r="D910" s="2">
        <v>2861.9697227386</v>
      </c>
      <c r="E910" s="2">
        <v>961.01032675930696</v>
      </c>
      <c r="F910" s="2">
        <v>2014.0963381782501</v>
      </c>
      <c r="G910" s="2">
        <v>5256.0685905748896</v>
      </c>
      <c r="H910" s="2">
        <v>778.88419414691703</v>
      </c>
      <c r="I910" s="2">
        <v>869.48796745731102</v>
      </c>
      <c r="J910" s="2">
        <v>1808.94067273173</v>
      </c>
      <c r="K910" s="2">
        <v>9181.9187544403194</v>
      </c>
      <c r="L910" s="2">
        <v>671.83317893418803</v>
      </c>
      <c r="M910" s="2">
        <v>1508.61574680992</v>
      </c>
      <c r="N910" s="3">
        <f t="shared" si="42"/>
        <v>28380.360389295969</v>
      </c>
      <c r="O910" s="2">
        <v>9.6490157925019098</v>
      </c>
      <c r="P910" s="2">
        <v>5.0459007151613697</v>
      </c>
      <c r="Q910" s="2">
        <v>15.3909377936727</v>
      </c>
      <c r="R910" s="2">
        <v>2.09915634062888</v>
      </c>
      <c r="S910" s="2">
        <v>7.4484316214839703</v>
      </c>
      <c r="T910" s="2">
        <v>0</v>
      </c>
      <c r="U910" s="2">
        <v>0.94026547041991604</v>
      </c>
      <c r="V910" s="2">
        <v>1.20455675218783</v>
      </c>
      <c r="W910" s="2">
        <v>16.124060732666901</v>
      </c>
      <c r="X910" s="2">
        <v>7.5407076232009498</v>
      </c>
      <c r="Y910" s="2">
        <v>7.54090694165735</v>
      </c>
      <c r="Z910" s="2">
        <v>9.7419386343043595</v>
      </c>
      <c r="AA910" s="3">
        <f t="shared" si="43"/>
        <v>82.725878417886136</v>
      </c>
      <c r="AB910" t="s">
        <v>63</v>
      </c>
      <c r="AC910">
        <v>0.9</v>
      </c>
      <c r="AD910">
        <v>49.9</v>
      </c>
      <c r="AE910">
        <v>58.68</v>
      </c>
      <c r="AF910">
        <v>19.510000000000002</v>
      </c>
      <c r="AG910">
        <v>41.02</v>
      </c>
      <c r="AH910">
        <v>105.14</v>
      </c>
      <c r="AI910">
        <v>15.67</v>
      </c>
      <c r="AJ910">
        <v>17.579999999999998</v>
      </c>
      <c r="AK910">
        <v>37.71</v>
      </c>
      <c r="AL910">
        <v>184.36</v>
      </c>
      <c r="AM910">
        <v>14.16</v>
      </c>
      <c r="AN910">
        <v>31.08</v>
      </c>
      <c r="AO910" s="1">
        <f t="shared" si="44"/>
        <v>575.71</v>
      </c>
    </row>
    <row r="911" spans="1:41" x14ac:dyDescent="0.25">
      <c r="A911" t="s">
        <v>954</v>
      </c>
      <c r="B911" s="2">
        <v>0</v>
      </c>
      <c r="C911" s="2">
        <v>1860.5350390916501</v>
      </c>
      <c r="D911" s="2">
        <v>2089.08880419977</v>
      </c>
      <c r="E911" s="2">
        <v>2245.7462576993298</v>
      </c>
      <c r="F911" s="2">
        <v>2886.1190567942199</v>
      </c>
      <c r="G911" s="2">
        <v>0</v>
      </c>
      <c r="H911" s="2">
        <v>2993.1368412147499</v>
      </c>
      <c r="I911" s="2">
        <v>4085.3296247272301</v>
      </c>
      <c r="J911" s="2">
        <v>4526.5208813580502</v>
      </c>
      <c r="K911" s="2">
        <v>0</v>
      </c>
      <c r="L911" s="2">
        <v>1434.68590805595</v>
      </c>
      <c r="M911" s="2">
        <v>2813.43656678344</v>
      </c>
      <c r="N911" s="3">
        <f t="shared" si="42"/>
        <v>24934.598979924391</v>
      </c>
      <c r="O911" s="2">
        <v>5.1887299719034301</v>
      </c>
      <c r="P911" s="2">
        <v>4.5313319826146703</v>
      </c>
      <c r="Q911" s="2">
        <v>4.7999157758359798</v>
      </c>
      <c r="R911" s="2">
        <v>0.85683464414775401</v>
      </c>
      <c r="S911" s="2">
        <v>8.7091043640740295</v>
      </c>
      <c r="T911" s="2">
        <v>4.0826769142483403</v>
      </c>
      <c r="U911" s="2">
        <v>3.6863562000952501</v>
      </c>
      <c r="V911" s="2">
        <v>2.48231131608904</v>
      </c>
      <c r="W911" s="2">
        <v>9.2080874797922991</v>
      </c>
      <c r="X911" s="2">
        <v>2.82144180010066</v>
      </c>
      <c r="Y911" s="2">
        <v>3.8625676490304901</v>
      </c>
      <c r="Z911" s="2">
        <v>20.299049408964201</v>
      </c>
      <c r="AA911" s="3">
        <f t="shared" si="43"/>
        <v>70.528407506896144</v>
      </c>
      <c r="AB911" t="s">
        <v>63</v>
      </c>
      <c r="AC911">
        <v>0.54</v>
      </c>
      <c r="AD911">
        <v>37.67</v>
      </c>
      <c r="AE911">
        <v>42.25</v>
      </c>
      <c r="AF911">
        <v>45.01</v>
      </c>
      <c r="AG911">
        <v>58.55</v>
      </c>
      <c r="AH911">
        <v>0.45</v>
      </c>
      <c r="AI911">
        <v>60.24</v>
      </c>
      <c r="AJ911">
        <v>81.99</v>
      </c>
      <c r="AK911">
        <v>91.44</v>
      </c>
      <c r="AL911">
        <v>0.27</v>
      </c>
      <c r="AM911">
        <v>29.06</v>
      </c>
      <c r="AN911">
        <v>58.17</v>
      </c>
      <c r="AO911" s="1">
        <f t="shared" si="44"/>
        <v>505.64</v>
      </c>
    </row>
    <row r="912" spans="1:41" x14ac:dyDescent="0.25">
      <c r="A912" t="s">
        <v>955</v>
      </c>
      <c r="B912" s="2">
        <v>0</v>
      </c>
      <c r="C912" s="2">
        <v>1749.7793480453099</v>
      </c>
      <c r="D912" s="2">
        <v>2290.0087433745298</v>
      </c>
      <c r="E912" s="2">
        <v>5171.3159425228896</v>
      </c>
      <c r="F912" s="2">
        <v>1886.5658964486599</v>
      </c>
      <c r="G912" s="2">
        <v>0</v>
      </c>
      <c r="H912" s="2">
        <v>426.22548501532202</v>
      </c>
      <c r="I912" s="2">
        <v>4468.1050763062103</v>
      </c>
      <c r="J912" s="2">
        <v>6759.5904567776897</v>
      </c>
      <c r="K912" s="2">
        <v>9510.8921486486197</v>
      </c>
      <c r="L912" s="2">
        <v>1519.3052348807</v>
      </c>
      <c r="M912" s="2">
        <v>757.37811434794696</v>
      </c>
      <c r="N912" s="3">
        <f t="shared" si="42"/>
        <v>34539.166446367883</v>
      </c>
      <c r="O912" s="2">
        <v>2.5995459906872198</v>
      </c>
      <c r="P912" s="2">
        <v>0</v>
      </c>
      <c r="Q912" s="2">
        <v>24.598564751443099</v>
      </c>
      <c r="R912" s="2">
        <v>1.9646435059991201</v>
      </c>
      <c r="S912" s="2">
        <v>3.4256554489186799</v>
      </c>
      <c r="T912" s="2">
        <v>0</v>
      </c>
      <c r="U912" s="2">
        <v>3.6255351987562201</v>
      </c>
      <c r="V912" s="2">
        <v>10.0427716924129</v>
      </c>
      <c r="W912" s="2">
        <v>3.2045550566116301</v>
      </c>
      <c r="X912" s="2">
        <v>3.9664336884492601</v>
      </c>
      <c r="Y912" s="2">
        <v>2.1537600583841399</v>
      </c>
      <c r="Z912" s="2">
        <v>3.5275767130936302</v>
      </c>
      <c r="AA912" s="3">
        <f t="shared" si="43"/>
        <v>59.109042104755893</v>
      </c>
      <c r="AB912" t="s">
        <v>63</v>
      </c>
      <c r="AC912">
        <v>0.27</v>
      </c>
      <c r="AD912">
        <v>35</v>
      </c>
      <c r="AE912">
        <v>48.07</v>
      </c>
      <c r="AF912">
        <v>103.62</v>
      </c>
      <c r="AG912">
        <v>38.1</v>
      </c>
      <c r="AH912">
        <v>0</v>
      </c>
      <c r="AI912">
        <v>8.9</v>
      </c>
      <c r="AJ912">
        <v>90.37</v>
      </c>
      <c r="AK912">
        <v>135.56</v>
      </c>
      <c r="AL912">
        <v>190.58</v>
      </c>
      <c r="AM912">
        <v>30.67</v>
      </c>
      <c r="AN912">
        <v>15.52</v>
      </c>
      <c r="AO912" s="1">
        <f t="shared" si="44"/>
        <v>696.66</v>
      </c>
    </row>
    <row r="913" spans="1:41" x14ac:dyDescent="0.25">
      <c r="A913" t="s">
        <v>956</v>
      </c>
      <c r="B913" s="2">
        <v>0</v>
      </c>
      <c r="C913" s="2">
        <v>1728.87991880494</v>
      </c>
      <c r="D913" s="2">
        <v>5149.5210404228001</v>
      </c>
      <c r="E913" s="2">
        <v>4030.7618693591498</v>
      </c>
      <c r="F913" s="2">
        <v>596.65812041854394</v>
      </c>
      <c r="G913" s="2">
        <v>2013.62457222943</v>
      </c>
      <c r="H913" s="2">
        <v>1350.86275630091</v>
      </c>
      <c r="I913" s="2">
        <v>845.51110040066396</v>
      </c>
      <c r="J913" s="2">
        <v>1910.7608031157399</v>
      </c>
      <c r="K913" s="2">
        <v>1188.0438213086099</v>
      </c>
      <c r="L913" s="2">
        <v>3378.1678228064502</v>
      </c>
      <c r="M913" s="2">
        <v>8561.0234303614907</v>
      </c>
      <c r="N913" s="3">
        <f t="shared" si="42"/>
        <v>30753.815255528731</v>
      </c>
      <c r="O913" s="2">
        <v>4.0144965610253003</v>
      </c>
      <c r="P913" s="2">
        <v>3.5109876551643899</v>
      </c>
      <c r="Q913" s="2">
        <v>4.0415675239819899</v>
      </c>
      <c r="R913" s="2">
        <v>3.0320001392806</v>
      </c>
      <c r="S913" s="2">
        <v>5.7072504036870697</v>
      </c>
      <c r="T913" s="2">
        <v>2.5309160521787901</v>
      </c>
      <c r="U913" s="2">
        <v>4.5157998398330603</v>
      </c>
      <c r="V913" s="2">
        <v>6.6187529427209304</v>
      </c>
      <c r="W913" s="2">
        <v>1.23422564841399</v>
      </c>
      <c r="X913" s="2">
        <v>8.46006907549598</v>
      </c>
      <c r="Y913" s="2">
        <v>1.57891577258922</v>
      </c>
      <c r="Z913" s="2">
        <v>6.0205042987076496</v>
      </c>
      <c r="AA913" s="3">
        <f t="shared" si="43"/>
        <v>51.265485913078969</v>
      </c>
      <c r="AB913" t="s">
        <v>63</v>
      </c>
      <c r="AC913">
        <v>0.45</v>
      </c>
      <c r="AD913">
        <v>34.94</v>
      </c>
      <c r="AE913">
        <v>103.45</v>
      </c>
      <c r="AF913">
        <v>80.98</v>
      </c>
      <c r="AG913">
        <v>12.48</v>
      </c>
      <c r="AH913">
        <v>40.549999999999997</v>
      </c>
      <c r="AI913">
        <v>27.47</v>
      </c>
      <c r="AJ913">
        <v>17.55</v>
      </c>
      <c r="AK913">
        <v>38.4</v>
      </c>
      <c r="AL913">
        <v>24.59</v>
      </c>
      <c r="AM913">
        <v>67.760000000000005</v>
      </c>
      <c r="AN913">
        <v>171.87</v>
      </c>
      <c r="AO913" s="1">
        <f t="shared" si="44"/>
        <v>620.4899999999999</v>
      </c>
    </row>
    <row r="914" spans="1:41" x14ac:dyDescent="0.25">
      <c r="A914" t="s">
        <v>957</v>
      </c>
      <c r="B914" s="2">
        <v>0</v>
      </c>
      <c r="C914" s="2">
        <v>1680.6310819712601</v>
      </c>
      <c r="D914" s="2">
        <v>2114.1530726770102</v>
      </c>
      <c r="E914" s="2">
        <v>879.123520795535</v>
      </c>
      <c r="F914" s="2">
        <v>3588.2668490711499</v>
      </c>
      <c r="G914" s="2">
        <v>2256.46220444042</v>
      </c>
      <c r="H914" s="2">
        <v>5114.30240132979</v>
      </c>
      <c r="I914" s="2">
        <v>38.005777904751497</v>
      </c>
      <c r="J914" s="2">
        <v>4948.4562717611798</v>
      </c>
      <c r="K914" s="2">
        <v>1669.0179495091199</v>
      </c>
      <c r="L914" s="2">
        <v>734.25518431706803</v>
      </c>
      <c r="M914" s="2">
        <v>11776.6101332613</v>
      </c>
      <c r="N914" s="3">
        <f t="shared" si="42"/>
        <v>34799.28444703859</v>
      </c>
      <c r="O914" s="2">
        <v>0.49824941420926799</v>
      </c>
      <c r="P914" s="2">
        <v>0</v>
      </c>
      <c r="Q914" s="2">
        <v>2.9449247377857999</v>
      </c>
      <c r="R914" s="2">
        <v>0.74680290886046896</v>
      </c>
      <c r="S914" s="2">
        <v>1.36723287928851</v>
      </c>
      <c r="T914" s="2">
        <v>1.1457260341148101</v>
      </c>
      <c r="U914" s="2">
        <v>6.7650382909547204</v>
      </c>
      <c r="V914" s="2">
        <v>4.1836706820900202</v>
      </c>
      <c r="W914" s="2">
        <v>0.33866522671752602</v>
      </c>
      <c r="X914" s="2">
        <v>3.9178529828647002</v>
      </c>
      <c r="Y914" s="2">
        <v>0.998681854735056</v>
      </c>
      <c r="Z914" s="2">
        <v>0</v>
      </c>
      <c r="AA914" s="3">
        <f t="shared" si="43"/>
        <v>22.906845011620884</v>
      </c>
      <c r="AB914" t="s">
        <v>63</v>
      </c>
      <c r="AC914">
        <v>0.09</v>
      </c>
      <c r="AD914">
        <v>33.619999999999997</v>
      </c>
      <c r="AE914">
        <v>42.57</v>
      </c>
      <c r="AF914">
        <v>17.690000000000001</v>
      </c>
      <c r="AG914">
        <v>71.959999999999994</v>
      </c>
      <c r="AH914">
        <v>45.32</v>
      </c>
      <c r="AI914">
        <v>102.93</v>
      </c>
      <c r="AJ914">
        <v>1.23</v>
      </c>
      <c r="AK914">
        <v>99.07</v>
      </c>
      <c r="AL914">
        <v>33.76</v>
      </c>
      <c r="AM914">
        <v>14.79</v>
      </c>
      <c r="AN914">
        <v>235.54</v>
      </c>
      <c r="AO914" s="1">
        <f t="shared" si="44"/>
        <v>698.57</v>
      </c>
    </row>
    <row r="915" spans="1:41" x14ac:dyDescent="0.25">
      <c r="A915" t="s">
        <v>958</v>
      </c>
      <c r="B915" s="2">
        <v>0</v>
      </c>
      <c r="C915" s="2">
        <v>1450.6205621623701</v>
      </c>
      <c r="D915" s="2">
        <v>0</v>
      </c>
      <c r="E915" s="2">
        <v>742.88925323157105</v>
      </c>
      <c r="F915" s="2">
        <v>8089.8329996539096</v>
      </c>
      <c r="G915" s="2">
        <v>3725.0648020035901</v>
      </c>
      <c r="H915" s="2">
        <v>967.987445638753</v>
      </c>
      <c r="I915" s="2">
        <v>5420.7488174371802</v>
      </c>
      <c r="J915" s="2">
        <v>2398.0716201199102</v>
      </c>
      <c r="K915" s="2">
        <v>745.46944448575198</v>
      </c>
      <c r="L915" s="2">
        <v>7899.1820174606801</v>
      </c>
      <c r="M915" s="2">
        <v>1737.24880618303</v>
      </c>
      <c r="N915" s="3">
        <f t="shared" si="42"/>
        <v>33177.115768376745</v>
      </c>
      <c r="O915" s="2">
        <v>3.8087775240067399</v>
      </c>
      <c r="P915" s="2">
        <v>0</v>
      </c>
      <c r="Q915" s="2">
        <v>0</v>
      </c>
      <c r="R915" s="2">
        <v>5.4623561148374096</v>
      </c>
      <c r="S915" s="2">
        <v>1.05197605412397</v>
      </c>
      <c r="T915" s="2">
        <v>0</v>
      </c>
      <c r="U915" s="2">
        <v>7.38635529974853</v>
      </c>
      <c r="V915" s="2">
        <v>6.2149020355959497</v>
      </c>
      <c r="W915" s="2">
        <v>4.12245589251624</v>
      </c>
      <c r="X915" s="2">
        <v>1.09560179932833</v>
      </c>
      <c r="Y915" s="2">
        <v>4.3205552473792599</v>
      </c>
      <c r="Z915" s="2">
        <v>4.8138984553473696</v>
      </c>
      <c r="AA915" s="3">
        <f t="shared" si="43"/>
        <v>38.276878422883804</v>
      </c>
      <c r="AB915" t="s">
        <v>63</v>
      </c>
      <c r="AC915">
        <v>0.36</v>
      </c>
      <c r="AD915">
        <v>29.02</v>
      </c>
      <c r="AE915">
        <v>0</v>
      </c>
      <c r="AF915">
        <v>15.4</v>
      </c>
      <c r="AG915">
        <v>161.97999999999999</v>
      </c>
      <c r="AH915">
        <v>74.52</v>
      </c>
      <c r="AI915">
        <v>20.079999999999998</v>
      </c>
      <c r="AJ915">
        <v>109.05</v>
      </c>
      <c r="AK915">
        <v>48.43</v>
      </c>
      <c r="AL915">
        <v>15.1</v>
      </c>
      <c r="AM915">
        <v>158.44999999999999</v>
      </c>
      <c r="AN915">
        <v>35.21</v>
      </c>
      <c r="AO915" s="1">
        <f t="shared" si="44"/>
        <v>667.6</v>
      </c>
    </row>
    <row r="916" spans="1:41" x14ac:dyDescent="0.25">
      <c r="A916" t="s">
        <v>959</v>
      </c>
      <c r="B916" s="2">
        <v>0</v>
      </c>
      <c r="C916" s="2">
        <v>1414.45159758509</v>
      </c>
      <c r="D916" s="2">
        <v>550.06710036482798</v>
      </c>
      <c r="E916" s="2">
        <v>7614.9376235578702</v>
      </c>
      <c r="F916" s="2">
        <v>194.67372342079301</v>
      </c>
      <c r="G916" s="2">
        <v>0</v>
      </c>
      <c r="H916" s="2">
        <v>3090.5630308077898</v>
      </c>
      <c r="I916" s="2">
        <v>1182.85121013106</v>
      </c>
      <c r="J916" s="2">
        <v>2817.0972314611899</v>
      </c>
      <c r="K916" s="2">
        <v>1174.07425369115</v>
      </c>
      <c r="L916" s="2">
        <v>5579.3335112137902</v>
      </c>
      <c r="M916" s="2">
        <v>3300.1145487434201</v>
      </c>
      <c r="N916" s="3">
        <f t="shared" si="42"/>
        <v>26918.163830976981</v>
      </c>
      <c r="O916" s="2">
        <v>2.7108976969538099</v>
      </c>
      <c r="P916" s="2">
        <v>1.35813175832962</v>
      </c>
      <c r="Q916" s="2">
        <v>2.1158331015820799</v>
      </c>
      <c r="R916" s="2">
        <v>2.0285407823294199</v>
      </c>
      <c r="S916" s="2">
        <v>5.6548730774842699</v>
      </c>
      <c r="T916" s="2">
        <v>0</v>
      </c>
      <c r="U916" s="2">
        <v>2.9899239741960599</v>
      </c>
      <c r="V916" s="2">
        <v>9.5134252995952604</v>
      </c>
      <c r="W916" s="2">
        <v>1.4773866941226901</v>
      </c>
      <c r="X916" s="2">
        <v>3.9430646712136999</v>
      </c>
      <c r="Y916" s="2">
        <v>2.4199690571667598</v>
      </c>
      <c r="Z916" s="2">
        <v>0</v>
      </c>
      <c r="AA916" s="3">
        <f t="shared" si="43"/>
        <v>34.212046112973674</v>
      </c>
      <c r="AB916" t="s">
        <v>63</v>
      </c>
      <c r="AC916">
        <v>0.27</v>
      </c>
      <c r="AD916">
        <v>28.48</v>
      </c>
      <c r="AE916">
        <v>11.29</v>
      </c>
      <c r="AF916">
        <v>152.57</v>
      </c>
      <c r="AG916">
        <v>4.4400000000000004</v>
      </c>
      <c r="AH916">
        <v>0</v>
      </c>
      <c r="AI916">
        <v>62.09</v>
      </c>
      <c r="AJ916">
        <v>24.56</v>
      </c>
      <c r="AK916">
        <v>56.54</v>
      </c>
      <c r="AL916">
        <v>23.86</v>
      </c>
      <c r="AM916">
        <v>111.87</v>
      </c>
      <c r="AN916">
        <v>66.02</v>
      </c>
      <c r="AO916" s="1">
        <f t="shared" si="44"/>
        <v>541.99</v>
      </c>
    </row>
    <row r="917" spans="1:41" x14ac:dyDescent="0.25">
      <c r="A917" t="s">
        <v>960</v>
      </c>
      <c r="B917" s="2">
        <v>0</v>
      </c>
      <c r="C917" s="2">
        <v>1394.4691629122799</v>
      </c>
      <c r="D917" s="2">
        <v>592.98556910395996</v>
      </c>
      <c r="E917" s="2">
        <v>573.32498833768</v>
      </c>
      <c r="F917" s="2">
        <v>1592.9015651422401</v>
      </c>
      <c r="G917" s="2">
        <v>4211.9395466890401</v>
      </c>
      <c r="H917" s="2">
        <v>4914.4088134172998</v>
      </c>
      <c r="I917" s="2">
        <v>10739.033223906999</v>
      </c>
      <c r="J917" s="2">
        <v>4576.1795508768</v>
      </c>
      <c r="K917" s="2">
        <v>5018.9903495614799</v>
      </c>
      <c r="L917" s="2">
        <v>4844.46151559175</v>
      </c>
      <c r="M917" s="2">
        <v>8239.2815639432301</v>
      </c>
      <c r="N917" s="3">
        <f t="shared" si="42"/>
        <v>46697.975849482762</v>
      </c>
      <c r="O917" s="2">
        <v>1.84463590001373</v>
      </c>
      <c r="P917" s="2">
        <v>1.74721110502125</v>
      </c>
      <c r="Q917" s="2">
        <v>1.4263434133092101</v>
      </c>
      <c r="R917" s="2">
        <v>2.8231769147875299</v>
      </c>
      <c r="S917" s="2">
        <v>5.4969023535379904</v>
      </c>
      <c r="T917" s="2">
        <v>12.953988904273199</v>
      </c>
      <c r="U917" s="2">
        <v>3.3000169851644702E-2</v>
      </c>
      <c r="V917" s="2">
        <v>0</v>
      </c>
      <c r="W917" s="2">
        <v>1.3331479834692801</v>
      </c>
      <c r="X917" s="2">
        <v>2.8063029870935301</v>
      </c>
      <c r="Y917" s="2">
        <v>1.80977115284116</v>
      </c>
      <c r="Z917" s="2">
        <v>6.8630708079097298</v>
      </c>
      <c r="AA917" s="3">
        <f t="shared" si="43"/>
        <v>39.137551692108254</v>
      </c>
      <c r="AB917" t="s">
        <v>63</v>
      </c>
      <c r="AC917">
        <v>0.18</v>
      </c>
      <c r="AD917">
        <v>28.08</v>
      </c>
      <c r="AE917">
        <v>12.04</v>
      </c>
      <c r="AF917">
        <v>11.75</v>
      </c>
      <c r="AG917">
        <v>32.4</v>
      </c>
      <c r="AH917">
        <v>85.41</v>
      </c>
      <c r="AI917">
        <v>98.39</v>
      </c>
      <c r="AJ917">
        <v>214.8</v>
      </c>
      <c r="AK917">
        <v>91.72</v>
      </c>
      <c r="AL917">
        <v>100.65</v>
      </c>
      <c r="AM917">
        <v>97.08</v>
      </c>
      <c r="AN917">
        <v>165.43</v>
      </c>
      <c r="AO917" s="1">
        <f t="shared" si="44"/>
        <v>937.93000000000006</v>
      </c>
    </row>
    <row r="918" spans="1:41" x14ac:dyDescent="0.25">
      <c r="A918" t="s">
        <v>961</v>
      </c>
      <c r="B918" s="2">
        <v>0</v>
      </c>
      <c r="C918" s="2">
        <v>746.53761997567597</v>
      </c>
      <c r="D918" s="2">
        <v>3329.4029953571899</v>
      </c>
      <c r="E918" s="2">
        <v>7881.9227959865202</v>
      </c>
      <c r="F918" s="2">
        <v>7501.2269767754697</v>
      </c>
      <c r="G918" s="2">
        <v>7479.03214272068</v>
      </c>
      <c r="H918" s="2">
        <v>259.93294533729699</v>
      </c>
      <c r="I918" s="2">
        <v>5813.4761695473999</v>
      </c>
      <c r="J918" s="2">
        <v>6065.3057333380902</v>
      </c>
      <c r="K918" s="2">
        <v>8887.4869611587892</v>
      </c>
      <c r="L918" s="2">
        <v>1116.3844058412601</v>
      </c>
      <c r="M918" s="2">
        <v>9503.0060436128697</v>
      </c>
      <c r="N918" s="3">
        <f t="shared" si="42"/>
        <v>58583.71478965124</v>
      </c>
      <c r="O918" s="2">
        <v>1.8810995338472101</v>
      </c>
      <c r="P918" s="2">
        <v>8.1100206595315303</v>
      </c>
      <c r="Q918" s="2">
        <v>13.119824683917299</v>
      </c>
      <c r="R918" s="2">
        <v>7.7418146886296899</v>
      </c>
      <c r="S918" s="2">
        <v>3.18946287534345</v>
      </c>
      <c r="T918" s="2">
        <v>3.3101561090357001</v>
      </c>
      <c r="U918" s="2">
        <v>0</v>
      </c>
      <c r="V918" s="2">
        <v>17.016449611861798</v>
      </c>
      <c r="W918" s="2">
        <v>0.69995111282113798</v>
      </c>
      <c r="X918" s="2">
        <v>0</v>
      </c>
      <c r="Y918" s="2">
        <v>5.8333947895025497</v>
      </c>
      <c r="Z918" s="2">
        <v>1.5208925799316699</v>
      </c>
      <c r="AA918" s="3">
        <f t="shared" si="43"/>
        <v>62.423066644422036</v>
      </c>
      <c r="AB918" t="s">
        <v>63</v>
      </c>
      <c r="AC918">
        <v>0.18</v>
      </c>
      <c r="AD918">
        <v>15.75</v>
      </c>
      <c r="AE918">
        <v>67.86</v>
      </c>
      <c r="AF918">
        <v>158.36000000000001</v>
      </c>
      <c r="AG918">
        <v>150.4</v>
      </c>
      <c r="AH918">
        <v>149.96</v>
      </c>
      <c r="AI918">
        <v>5.2</v>
      </c>
      <c r="AJ918">
        <v>117.9</v>
      </c>
      <c r="AK918">
        <v>121.41</v>
      </c>
      <c r="AL918">
        <v>177.76</v>
      </c>
      <c r="AM918">
        <v>22.88</v>
      </c>
      <c r="AN918">
        <v>190.26</v>
      </c>
      <c r="AO918" s="1">
        <f t="shared" si="44"/>
        <v>1177.92</v>
      </c>
    </row>
    <row r="919" spans="1:41" x14ac:dyDescent="0.25">
      <c r="A919" t="s">
        <v>962</v>
      </c>
      <c r="B919" s="2">
        <v>0</v>
      </c>
      <c r="C919" s="2">
        <v>689.66780049510999</v>
      </c>
      <c r="D919" s="2">
        <v>1887.7480719657201</v>
      </c>
      <c r="E919" s="2">
        <v>4841.6962525108802</v>
      </c>
      <c r="F919" s="2">
        <v>3742.20216270231</v>
      </c>
      <c r="G919" s="2">
        <v>3894.9588663954801</v>
      </c>
      <c r="H919" s="2">
        <v>7075.5151293738099</v>
      </c>
      <c r="I919" s="2">
        <v>1150.79137041473</v>
      </c>
      <c r="J919" s="2">
        <v>1847.8962870089599</v>
      </c>
      <c r="K919" s="2">
        <v>5575.1026175849001</v>
      </c>
      <c r="L919" s="2">
        <v>3576.4333315664699</v>
      </c>
      <c r="M919" s="2">
        <v>1518.3721644920099</v>
      </c>
      <c r="N919" s="3">
        <f t="shared" si="42"/>
        <v>35800.384054510381</v>
      </c>
      <c r="O919" s="2">
        <v>1.3515409803081799</v>
      </c>
      <c r="P919" s="2">
        <v>6.1788540909063903</v>
      </c>
      <c r="Q919" s="2">
        <v>1.5982184780323201</v>
      </c>
      <c r="R919" s="2">
        <v>2.0051272261933799</v>
      </c>
      <c r="S919" s="2">
        <v>1.8202994453127701</v>
      </c>
      <c r="T919" s="2">
        <v>2.4046207826755799</v>
      </c>
      <c r="U919" s="2">
        <v>0</v>
      </c>
      <c r="V919" s="2">
        <v>0.57931252254187704</v>
      </c>
      <c r="W919" s="2">
        <v>0.94152392307181398</v>
      </c>
      <c r="X919" s="2">
        <v>5.8340341190315002</v>
      </c>
      <c r="Y919" s="2">
        <v>5.7001748370537699</v>
      </c>
      <c r="Z919" s="2">
        <v>6.2141107964845697</v>
      </c>
      <c r="AA919" s="3">
        <f t="shared" si="43"/>
        <v>34.627817201612153</v>
      </c>
      <c r="AB919" t="s">
        <v>63</v>
      </c>
      <c r="AC919">
        <v>0.18</v>
      </c>
      <c r="AD919">
        <v>14.43</v>
      </c>
      <c r="AE919">
        <v>37.94</v>
      </c>
      <c r="AF919">
        <v>97.11</v>
      </c>
      <c r="AG919">
        <v>75.040000000000006</v>
      </c>
      <c r="AH919">
        <v>78.17</v>
      </c>
      <c r="AI919">
        <v>141.52000000000001</v>
      </c>
      <c r="AJ919">
        <v>23.11</v>
      </c>
      <c r="AK919">
        <v>37.049999999999997</v>
      </c>
      <c r="AL919">
        <v>112.06</v>
      </c>
      <c r="AM919">
        <v>72.08</v>
      </c>
      <c r="AN919">
        <v>31.01</v>
      </c>
      <c r="AO919" s="1">
        <f t="shared" si="44"/>
        <v>719.7</v>
      </c>
    </row>
    <row r="920" spans="1:41" x14ac:dyDescent="0.25">
      <c r="A920" t="s">
        <v>963</v>
      </c>
      <c r="B920" s="2">
        <v>0</v>
      </c>
      <c r="C920" s="2">
        <v>604.02133581267196</v>
      </c>
      <c r="D920" s="2">
        <v>772.64419177686</v>
      </c>
      <c r="E920" s="2">
        <v>4189.8772852936399</v>
      </c>
      <c r="F920" s="2">
        <v>683.12819543649903</v>
      </c>
      <c r="G920" s="2">
        <v>5179.7421763576604</v>
      </c>
      <c r="H920" s="2">
        <v>416.45665746173597</v>
      </c>
      <c r="I920" s="2">
        <v>438.24101314954402</v>
      </c>
      <c r="J920" s="2">
        <v>1346.4443496961001</v>
      </c>
      <c r="K920" s="2">
        <v>1241.5039198367101</v>
      </c>
      <c r="L920" s="2">
        <v>953.682091788143</v>
      </c>
      <c r="M920" s="2">
        <v>18065.502088949099</v>
      </c>
      <c r="N920" s="3">
        <f t="shared" si="42"/>
        <v>33891.243305558659</v>
      </c>
      <c r="O920" s="2">
        <v>7.8305569048274597</v>
      </c>
      <c r="P920" s="2">
        <v>4.1100448281580197</v>
      </c>
      <c r="Q920" s="2">
        <v>1.8990756589654001</v>
      </c>
      <c r="R920" s="2">
        <v>0.115211932351322</v>
      </c>
      <c r="S920" s="2">
        <v>2.7834047768518699</v>
      </c>
      <c r="T920" s="2">
        <v>3.4229841749654599</v>
      </c>
      <c r="U920" s="2">
        <v>2.3956218882129399</v>
      </c>
      <c r="V920" s="2">
        <v>4.4614809773849897</v>
      </c>
      <c r="W920" s="2">
        <v>3.66692292447184</v>
      </c>
      <c r="X920" s="2">
        <v>0.43452412983948302</v>
      </c>
      <c r="Y920" s="2">
        <v>2.1502801164151299</v>
      </c>
      <c r="Z920" s="2">
        <v>1.36616535060615</v>
      </c>
      <c r="AA920" s="3">
        <f t="shared" si="43"/>
        <v>34.636273663050069</v>
      </c>
      <c r="AB920" t="s">
        <v>63</v>
      </c>
      <c r="AC920">
        <v>0.72</v>
      </c>
      <c r="AD920">
        <v>12.55</v>
      </c>
      <c r="AE920">
        <v>15.64</v>
      </c>
      <c r="AF920">
        <v>83.89</v>
      </c>
      <c r="AG920">
        <v>13.95</v>
      </c>
      <c r="AH920">
        <v>103.96</v>
      </c>
      <c r="AI920">
        <v>8.61</v>
      </c>
      <c r="AJ920">
        <v>9.23</v>
      </c>
      <c r="AK920">
        <v>27.3</v>
      </c>
      <c r="AL920">
        <v>24.93</v>
      </c>
      <c r="AM920">
        <v>19.350000000000001</v>
      </c>
      <c r="AN920">
        <v>361.5</v>
      </c>
      <c r="AO920" s="1">
        <f t="shared" si="44"/>
        <v>681.63</v>
      </c>
    </row>
    <row r="921" spans="1:41" x14ac:dyDescent="0.25">
      <c r="A921" t="s">
        <v>964</v>
      </c>
      <c r="B921" s="2">
        <v>0</v>
      </c>
      <c r="C921" s="2">
        <v>517.67798536911096</v>
      </c>
      <c r="D921" s="2">
        <v>2818.3452962473302</v>
      </c>
      <c r="E921" s="2">
        <v>2892.8306291430399</v>
      </c>
      <c r="F921" s="2">
        <v>1347.14009942805</v>
      </c>
      <c r="G921" s="2">
        <v>6088.4790431238498</v>
      </c>
      <c r="H921" s="2">
        <v>2642.3582527359499</v>
      </c>
      <c r="I921" s="2">
        <v>861.17525363502398</v>
      </c>
      <c r="J921" s="2">
        <v>0</v>
      </c>
      <c r="K921" s="2">
        <v>5808.7988082620504</v>
      </c>
      <c r="L921" s="2">
        <v>3003.65566450908</v>
      </c>
      <c r="M921" s="2">
        <v>1047.88157122397</v>
      </c>
      <c r="N921" s="3">
        <f t="shared" si="42"/>
        <v>27028.342603677454</v>
      </c>
      <c r="O921" s="2">
        <v>0.88766655278043005</v>
      </c>
      <c r="P921" s="2">
        <v>0</v>
      </c>
      <c r="Q921" s="2">
        <v>2.7351653528867201</v>
      </c>
      <c r="R921" s="2">
        <v>7.9636777167824899</v>
      </c>
      <c r="S921" s="2">
        <v>0.77432197220514998</v>
      </c>
      <c r="T921" s="2">
        <v>6.6077121769012397</v>
      </c>
      <c r="U921" s="2">
        <v>5.8984932900073197</v>
      </c>
      <c r="V921" s="2">
        <v>11.219092714695901</v>
      </c>
      <c r="W921" s="2">
        <v>8.2704646940353399</v>
      </c>
      <c r="X921" s="2">
        <v>3.82023163076102</v>
      </c>
      <c r="Y921" s="2">
        <v>2.7244432946338102</v>
      </c>
      <c r="Z921" s="2">
        <v>10.8021894824697</v>
      </c>
      <c r="AA921" s="3">
        <f t="shared" si="43"/>
        <v>61.703458878159118</v>
      </c>
      <c r="AB921" t="s">
        <v>63</v>
      </c>
      <c r="AC921">
        <v>0.09</v>
      </c>
      <c r="AD921">
        <v>10.36</v>
      </c>
      <c r="AE921">
        <v>56.65</v>
      </c>
      <c r="AF921">
        <v>58.58</v>
      </c>
      <c r="AG921">
        <v>27.05</v>
      </c>
      <c r="AH921">
        <v>122.41</v>
      </c>
      <c r="AI921">
        <v>53.4</v>
      </c>
      <c r="AJ921">
        <v>18.32</v>
      </c>
      <c r="AK921">
        <v>0.81</v>
      </c>
      <c r="AL921">
        <v>116.54</v>
      </c>
      <c r="AM921">
        <v>60.35</v>
      </c>
      <c r="AN921">
        <v>21.95</v>
      </c>
      <c r="AO921" s="1">
        <f t="shared" si="44"/>
        <v>546.51</v>
      </c>
    </row>
    <row r="922" spans="1:41" x14ac:dyDescent="0.25">
      <c r="A922" t="s">
        <v>965</v>
      </c>
      <c r="B922" s="2">
        <v>0</v>
      </c>
      <c r="C922" s="2">
        <v>471.10043055526302</v>
      </c>
      <c r="D922" s="2">
        <v>1407.5286553590099</v>
      </c>
      <c r="E922" s="2">
        <v>3872.4865173395101</v>
      </c>
      <c r="F922" s="2">
        <v>3926.0602634166198</v>
      </c>
      <c r="G922" s="2">
        <v>1037.0047395577999</v>
      </c>
      <c r="H922" s="2">
        <v>2891.3640039665802</v>
      </c>
      <c r="I922" s="2">
        <v>1208.7613678155799</v>
      </c>
      <c r="J922" s="2">
        <v>2181.5679543052302</v>
      </c>
      <c r="K922" s="2">
        <v>6766.67791806078</v>
      </c>
      <c r="L922" s="2">
        <v>1167.54785275827</v>
      </c>
      <c r="M922" s="2">
        <v>428.28870475444802</v>
      </c>
      <c r="N922" s="3">
        <f t="shared" si="42"/>
        <v>25358.388407889091</v>
      </c>
      <c r="O922" s="2">
        <v>4.6424096294497703</v>
      </c>
      <c r="P922" s="2">
        <v>10.386693028179799</v>
      </c>
      <c r="Q922" s="2">
        <v>4.2129724034070399</v>
      </c>
      <c r="R922" s="2">
        <v>3.4457676138209998</v>
      </c>
      <c r="S922" s="2">
        <v>9.4703682283055208</v>
      </c>
      <c r="T922" s="2">
        <v>0.28014908525512899</v>
      </c>
      <c r="U922" s="2">
        <v>0.57621156279133501</v>
      </c>
      <c r="V922" s="2">
        <v>5.55041629168164</v>
      </c>
      <c r="W922" s="2">
        <v>5.3063489328338997</v>
      </c>
      <c r="X922" s="2">
        <v>10.460633943329199</v>
      </c>
      <c r="Y922" s="2">
        <v>0</v>
      </c>
      <c r="Z922" s="2">
        <v>6.0812348828860801</v>
      </c>
      <c r="AA922" s="3">
        <f t="shared" si="43"/>
        <v>60.413205601940419</v>
      </c>
      <c r="AB922" t="s">
        <v>63</v>
      </c>
      <c r="AC922">
        <v>0.45</v>
      </c>
      <c r="AD922">
        <v>10.43</v>
      </c>
      <c r="AE922">
        <v>28.61</v>
      </c>
      <c r="AF922">
        <v>77.819999999999993</v>
      </c>
      <c r="AG922">
        <v>79.44</v>
      </c>
      <c r="AH922">
        <v>20.85</v>
      </c>
      <c r="AI922">
        <v>57.93</v>
      </c>
      <c r="AJ922">
        <v>24.72</v>
      </c>
      <c r="AK922">
        <v>44.18</v>
      </c>
      <c r="AL922">
        <v>136.33000000000001</v>
      </c>
      <c r="AM922">
        <v>23.36</v>
      </c>
      <c r="AN922">
        <v>9.2100000000000009</v>
      </c>
      <c r="AO922" s="1">
        <f t="shared" si="44"/>
        <v>513.33000000000004</v>
      </c>
    </row>
    <row r="923" spans="1:41" x14ac:dyDescent="0.25">
      <c r="A923" t="s">
        <v>966</v>
      </c>
      <c r="B923" s="2">
        <v>0</v>
      </c>
      <c r="C923" s="2">
        <v>293.508445174271</v>
      </c>
      <c r="D923" s="2">
        <v>1936.7163250866499</v>
      </c>
      <c r="E923" s="2">
        <v>1591.9759190219399</v>
      </c>
      <c r="F923" s="2">
        <v>3688.0732616477999</v>
      </c>
      <c r="G923" s="2">
        <v>2863.0992851649398</v>
      </c>
      <c r="H923" s="2">
        <v>2375.02229370947</v>
      </c>
      <c r="I923" s="2">
        <v>866.14779859477301</v>
      </c>
      <c r="J923" s="2">
        <v>6516.1736278016897</v>
      </c>
      <c r="K923" s="2">
        <v>1307.94513748688</v>
      </c>
      <c r="L923" s="2">
        <v>1314.6633162350499</v>
      </c>
      <c r="M923" s="2">
        <v>0</v>
      </c>
      <c r="N923" s="3">
        <f t="shared" si="42"/>
        <v>22753.325409923462</v>
      </c>
      <c r="O923" s="2">
        <v>2.2221809520394702</v>
      </c>
      <c r="P923" s="2">
        <v>7.0696016780800699</v>
      </c>
      <c r="Q923" s="2">
        <v>8.6830294504120094</v>
      </c>
      <c r="R923" s="2">
        <v>9.5201407303800103</v>
      </c>
      <c r="S923" s="2">
        <v>0.63198916272993999</v>
      </c>
      <c r="T923" s="2">
        <v>9.2491536958142895</v>
      </c>
      <c r="U923" s="2">
        <v>0.36946542482943801</v>
      </c>
      <c r="V923" s="2">
        <v>2.7384210984905901</v>
      </c>
      <c r="W923" s="2">
        <v>1.39936880030443</v>
      </c>
      <c r="X923" s="2">
        <v>0</v>
      </c>
      <c r="Y923" s="2">
        <v>3.9334580262129601</v>
      </c>
      <c r="Z923" s="2">
        <v>1.10178970806239</v>
      </c>
      <c r="AA923" s="3">
        <f t="shared" si="43"/>
        <v>46.918598727355601</v>
      </c>
      <c r="AB923" t="s">
        <v>63</v>
      </c>
      <c r="AC923">
        <v>0.27</v>
      </c>
      <c r="AD923">
        <v>6.6</v>
      </c>
      <c r="AE923">
        <v>39.549999999999997</v>
      </c>
      <c r="AF923">
        <v>32.74</v>
      </c>
      <c r="AG923">
        <v>73.87</v>
      </c>
      <c r="AH923">
        <v>58.18</v>
      </c>
      <c r="AI923">
        <v>47.61</v>
      </c>
      <c r="AJ923">
        <v>17.61</v>
      </c>
      <c r="AK923">
        <v>130.52000000000001</v>
      </c>
      <c r="AL923">
        <v>26.16</v>
      </c>
      <c r="AM923">
        <v>26.66</v>
      </c>
      <c r="AN923">
        <v>0.18</v>
      </c>
      <c r="AO923" s="1">
        <f t="shared" si="44"/>
        <v>459.9500000000001</v>
      </c>
    </row>
    <row r="924" spans="1:41" x14ac:dyDescent="0.25">
      <c r="A924" t="s">
        <v>967</v>
      </c>
      <c r="B924" s="2">
        <v>0</v>
      </c>
      <c r="C924" s="2">
        <v>268.471343430258</v>
      </c>
      <c r="D924" s="2">
        <v>6513.3870348390701</v>
      </c>
      <c r="E924" s="2">
        <v>11194.3425192664</v>
      </c>
      <c r="F924" s="2">
        <v>135.54605928089401</v>
      </c>
      <c r="G924" s="2">
        <v>1140.5653996672099</v>
      </c>
      <c r="H924" s="2">
        <v>0</v>
      </c>
      <c r="I924" s="2">
        <v>7639.9453260678301</v>
      </c>
      <c r="J924" s="2">
        <v>0</v>
      </c>
      <c r="K924" s="2">
        <v>433.35769014066398</v>
      </c>
      <c r="L924" s="2">
        <v>1529.64736239332</v>
      </c>
      <c r="M924" s="2">
        <v>1885.25807086345</v>
      </c>
      <c r="N924" s="3">
        <f t="shared" si="42"/>
        <v>30740.520805949094</v>
      </c>
      <c r="O924" s="2">
        <v>14.1519618660161</v>
      </c>
      <c r="P924" s="2">
        <v>1.8745391139418299</v>
      </c>
      <c r="Q924" s="2">
        <v>2.8171133626376399</v>
      </c>
      <c r="R924" s="2">
        <v>2.11434265396012</v>
      </c>
      <c r="S924" s="2">
        <v>1.6581977695354899</v>
      </c>
      <c r="T924" s="2">
        <v>6.2455953166542697</v>
      </c>
      <c r="U924" s="2">
        <v>13.541798329557199</v>
      </c>
      <c r="V924" s="2">
        <v>2.8073678940411799</v>
      </c>
      <c r="W924" s="2">
        <v>0</v>
      </c>
      <c r="X924" s="2">
        <v>3.4337195943781502</v>
      </c>
      <c r="Y924" s="2">
        <v>1.7944876503673299</v>
      </c>
      <c r="Z924" s="2">
        <v>9.9700093155524208</v>
      </c>
      <c r="AA924" s="3">
        <f t="shared" si="43"/>
        <v>60.409132866641727</v>
      </c>
      <c r="AB924" t="s">
        <v>63</v>
      </c>
      <c r="AC924">
        <v>1.35</v>
      </c>
      <c r="AD924">
        <v>5.56</v>
      </c>
      <c r="AE924">
        <v>130.55000000000001</v>
      </c>
      <c r="AF924">
        <v>224.17</v>
      </c>
      <c r="AG924">
        <v>2.9</v>
      </c>
      <c r="AH924">
        <v>23.45</v>
      </c>
      <c r="AI924">
        <v>1.26</v>
      </c>
      <c r="AJ924">
        <v>153.07</v>
      </c>
      <c r="AK924">
        <v>0</v>
      </c>
      <c r="AL924">
        <v>9.0399999999999991</v>
      </c>
      <c r="AM924">
        <v>30.78</v>
      </c>
      <c r="AN924">
        <v>38.619999999999997</v>
      </c>
      <c r="AO924" s="1">
        <f t="shared" si="44"/>
        <v>620.74999999999989</v>
      </c>
    </row>
    <row r="925" spans="1:41" x14ac:dyDescent="0.25">
      <c r="A925" t="s">
        <v>968</v>
      </c>
      <c r="B925" s="2">
        <v>0</v>
      </c>
      <c r="C925" s="2">
        <v>255.234044965186</v>
      </c>
      <c r="D925" s="2">
        <v>0</v>
      </c>
      <c r="E925" s="2">
        <v>1072.61296215675</v>
      </c>
      <c r="F925" s="2">
        <v>1920.69384578161</v>
      </c>
      <c r="G925" s="2">
        <v>2924.7498426933398</v>
      </c>
      <c r="H925" s="2">
        <v>1875.4573302224101</v>
      </c>
      <c r="I925" s="2">
        <v>3786.0467728563999</v>
      </c>
      <c r="J925" s="2">
        <v>3079.15685209602</v>
      </c>
      <c r="K925" s="2">
        <v>1681.9781818640099</v>
      </c>
      <c r="L925" s="2">
        <v>11580.623484836</v>
      </c>
      <c r="M925" s="2">
        <v>510.65600815113299</v>
      </c>
      <c r="N925" s="3">
        <f t="shared" si="42"/>
        <v>28687.209325622862</v>
      </c>
      <c r="O925" s="2">
        <v>8.4387826699051107</v>
      </c>
      <c r="P925" s="2">
        <v>4.3094154956708204</v>
      </c>
      <c r="Q925" s="2">
        <v>0</v>
      </c>
      <c r="R925" s="2">
        <v>0.30055427129358703</v>
      </c>
      <c r="S925" s="2">
        <v>9.7683543826248602</v>
      </c>
      <c r="T925" s="2">
        <v>0.147045840649452</v>
      </c>
      <c r="U925" s="2">
        <v>9.7336920637171698</v>
      </c>
      <c r="V925" s="2">
        <v>2.7021712835557499</v>
      </c>
      <c r="W925" s="2">
        <v>12.854783461786001</v>
      </c>
      <c r="X925" s="2">
        <v>6.6775568761843598</v>
      </c>
      <c r="Y925" s="2">
        <v>23.203007624175701</v>
      </c>
      <c r="Z925" s="2">
        <v>2.0166971230310899</v>
      </c>
      <c r="AA925" s="3">
        <f t="shared" si="43"/>
        <v>80.152061092593897</v>
      </c>
      <c r="AB925" t="s">
        <v>63</v>
      </c>
      <c r="AC925">
        <v>0.81</v>
      </c>
      <c r="AD925">
        <v>5.57</v>
      </c>
      <c r="AE925">
        <v>0</v>
      </c>
      <c r="AF925">
        <v>21.55</v>
      </c>
      <c r="AG925">
        <v>39.32</v>
      </c>
      <c r="AH925">
        <v>58.59</v>
      </c>
      <c r="AI925">
        <v>38.42</v>
      </c>
      <c r="AJ925">
        <v>76.010000000000005</v>
      </c>
      <c r="AK925">
        <v>62.77</v>
      </c>
      <c r="AL925">
        <v>34.270000000000003</v>
      </c>
      <c r="AM925">
        <v>233.78</v>
      </c>
      <c r="AN925">
        <v>10.49</v>
      </c>
      <c r="AO925" s="1">
        <f t="shared" si="44"/>
        <v>581.57999999999993</v>
      </c>
    </row>
    <row r="926" spans="1:41" x14ac:dyDescent="0.25">
      <c r="A926" t="s">
        <v>969</v>
      </c>
      <c r="B926" s="2">
        <v>0</v>
      </c>
      <c r="C926" s="2">
        <v>4068.5538134646299</v>
      </c>
      <c r="D926" s="2">
        <v>6561.69468281426</v>
      </c>
      <c r="E926" s="2">
        <v>5992.5915286698601</v>
      </c>
      <c r="F926" s="2">
        <v>3777.93737709773</v>
      </c>
      <c r="G926" s="2">
        <v>187.87733809186699</v>
      </c>
      <c r="H926" s="2">
        <v>386.95461021894801</v>
      </c>
      <c r="I926" s="2">
        <v>1235.0258217779499</v>
      </c>
      <c r="J926" s="2">
        <v>6612.3177330441204</v>
      </c>
      <c r="K926" s="2">
        <v>11237.286302856401</v>
      </c>
      <c r="L926" s="2">
        <v>1068.9852528711699</v>
      </c>
      <c r="M926" s="2">
        <v>5037.0681812693801</v>
      </c>
      <c r="N926" s="3">
        <f t="shared" si="42"/>
        <v>46166.292642176319</v>
      </c>
      <c r="O926" s="2">
        <v>4.4035753206434398</v>
      </c>
      <c r="P926" s="2">
        <v>1.48019213714498</v>
      </c>
      <c r="Q926" s="2">
        <v>2.5501861212163699</v>
      </c>
      <c r="R926" s="2">
        <v>2.1680336797347501</v>
      </c>
      <c r="S926" s="2">
        <v>0.56240398291609195</v>
      </c>
      <c r="T926" s="2">
        <v>6.8604227621867002</v>
      </c>
      <c r="U926" s="2">
        <v>10.211973763375401</v>
      </c>
      <c r="V926" s="2">
        <v>3.39426089949816</v>
      </c>
      <c r="W926" s="2">
        <v>4.61612684245772</v>
      </c>
      <c r="X926" s="2">
        <v>9.2641874423974997</v>
      </c>
      <c r="Y926" s="2">
        <v>7.8256530626315799</v>
      </c>
      <c r="Z926" s="2">
        <v>2.46971081486004</v>
      </c>
      <c r="AA926" s="3">
        <f t="shared" si="43"/>
        <v>55.806726829062725</v>
      </c>
      <c r="AB926" t="s">
        <v>45</v>
      </c>
      <c r="AC926">
        <v>10.24</v>
      </c>
      <c r="AD926">
        <v>50.78</v>
      </c>
      <c r="AE926">
        <v>75.760000000000005</v>
      </c>
      <c r="AF926">
        <v>70.069999999999993</v>
      </c>
      <c r="AG926">
        <v>47.82</v>
      </c>
      <c r="AH926">
        <v>12.22</v>
      </c>
      <c r="AI926">
        <v>14.41</v>
      </c>
      <c r="AJ926">
        <v>22.55</v>
      </c>
      <c r="AK926">
        <v>76.37</v>
      </c>
      <c r="AL926">
        <v>122.87</v>
      </c>
      <c r="AM926">
        <v>21.08</v>
      </c>
      <c r="AN926">
        <v>60.52</v>
      </c>
      <c r="AO926" s="1">
        <f t="shared" si="44"/>
        <v>584.69000000000005</v>
      </c>
    </row>
    <row r="927" spans="1:41" x14ac:dyDescent="0.25">
      <c r="A927" t="s">
        <v>970</v>
      </c>
      <c r="B927" s="2">
        <v>0</v>
      </c>
      <c r="C927" s="2">
        <v>2246.1889984752102</v>
      </c>
      <c r="D927" s="2">
        <v>2913.4076740673399</v>
      </c>
      <c r="E927" s="2">
        <v>1710.9018736165301</v>
      </c>
      <c r="F927" s="2">
        <v>4390.4332856806104</v>
      </c>
      <c r="G927" s="2">
        <v>603.18066727423502</v>
      </c>
      <c r="H927" s="2">
        <v>4174.5060300545902</v>
      </c>
      <c r="I927" s="2">
        <v>6204.2496834511203</v>
      </c>
      <c r="J927" s="2">
        <v>214.45402891081599</v>
      </c>
      <c r="K927" s="2">
        <v>2983.47031132558</v>
      </c>
      <c r="L927" s="2">
        <v>10989.1624844823</v>
      </c>
      <c r="M927" s="2">
        <v>1178.6760048808001</v>
      </c>
      <c r="N927" s="3">
        <f t="shared" si="42"/>
        <v>37608.631042219131</v>
      </c>
      <c r="O927" s="2">
        <v>2.11579775437774</v>
      </c>
      <c r="P927" s="2">
        <v>1.58963795870663</v>
      </c>
      <c r="Q927" s="2">
        <v>1.4321855672992401</v>
      </c>
      <c r="R927" s="2">
        <v>7.1983658148284997</v>
      </c>
      <c r="S927" s="2">
        <v>22.619172025047401</v>
      </c>
      <c r="T927" s="2">
        <v>2.56324297354523</v>
      </c>
      <c r="U927" s="2">
        <v>3.4195713020422298</v>
      </c>
      <c r="V927" s="2">
        <v>3.4387854758082601</v>
      </c>
      <c r="W927" s="2">
        <v>5.3267169827008702</v>
      </c>
      <c r="X927" s="2">
        <v>0.61142642648032697</v>
      </c>
      <c r="Y927" s="2">
        <v>8.9418932124261001</v>
      </c>
      <c r="Z927" s="2">
        <v>2.9907892271257799</v>
      </c>
      <c r="AA927" s="3">
        <f t="shared" si="43"/>
        <v>62.247584720388311</v>
      </c>
      <c r="AB927" t="s">
        <v>45</v>
      </c>
      <c r="AC927">
        <v>10.14</v>
      </c>
      <c r="AD927">
        <v>32.56</v>
      </c>
      <c r="AE927">
        <v>39.229999999999997</v>
      </c>
      <c r="AF927">
        <v>27.5</v>
      </c>
      <c r="AG927">
        <v>55.05</v>
      </c>
      <c r="AH927">
        <v>16.18</v>
      </c>
      <c r="AI927">
        <v>51.94</v>
      </c>
      <c r="AJ927">
        <v>72.239999999999995</v>
      </c>
      <c r="AK927">
        <v>12.44</v>
      </c>
      <c r="AL927">
        <v>39.880000000000003</v>
      </c>
      <c r="AM927">
        <v>120.34</v>
      </c>
      <c r="AN927">
        <v>21.93</v>
      </c>
      <c r="AO927" s="1">
        <f t="shared" si="44"/>
        <v>499.43</v>
      </c>
    </row>
    <row r="928" spans="1:41" x14ac:dyDescent="0.25">
      <c r="A928" t="s">
        <v>971</v>
      </c>
      <c r="B928" s="2">
        <v>0</v>
      </c>
      <c r="C928" s="2">
        <v>0</v>
      </c>
      <c r="D928" s="2">
        <v>3.4401202218863598</v>
      </c>
      <c r="E928" s="2">
        <v>1742.8466163307701</v>
      </c>
      <c r="F928" s="2">
        <v>0</v>
      </c>
      <c r="G928" s="2">
        <v>3995.5811502393999</v>
      </c>
      <c r="H928" s="2">
        <v>7822.8508334826201</v>
      </c>
      <c r="I928" s="2">
        <v>1623.8362657203099</v>
      </c>
      <c r="J928" s="2">
        <v>3431.98932598279</v>
      </c>
      <c r="K928" s="2">
        <v>0</v>
      </c>
      <c r="L928" s="2">
        <v>1370.16414654248</v>
      </c>
      <c r="M928" s="2">
        <v>1348.6909720987301</v>
      </c>
      <c r="N928" s="3">
        <f t="shared" si="42"/>
        <v>21339.399430618989</v>
      </c>
      <c r="O928" s="2">
        <v>3.87897311922594</v>
      </c>
      <c r="P928" s="2">
        <v>20.091982576605599</v>
      </c>
      <c r="Q928" s="2">
        <v>4.5371942240229401</v>
      </c>
      <c r="R928" s="2">
        <v>3.4971915070435</v>
      </c>
      <c r="S928" s="2">
        <v>6.4198103641330402</v>
      </c>
      <c r="T928" s="2">
        <v>0</v>
      </c>
      <c r="U928" s="2">
        <v>0.95411575029383699</v>
      </c>
      <c r="V928" s="2">
        <v>1.11967543506666</v>
      </c>
      <c r="W928" s="2">
        <v>0.61827725392382005</v>
      </c>
      <c r="X928" s="2">
        <v>6.6946645792164796</v>
      </c>
      <c r="Y928" s="2">
        <v>1.8768282289760501</v>
      </c>
      <c r="Z928" s="2">
        <v>7.3704078126096304</v>
      </c>
      <c r="AA928" s="3">
        <f t="shared" si="43"/>
        <v>57.059120851117498</v>
      </c>
      <c r="AB928" t="s">
        <v>63</v>
      </c>
      <c r="AC928">
        <v>0.36</v>
      </c>
      <c r="AD928">
        <v>1.89</v>
      </c>
      <c r="AE928">
        <v>0.53</v>
      </c>
      <c r="AF928">
        <v>35.22</v>
      </c>
      <c r="AG928">
        <v>0.63</v>
      </c>
      <c r="AH928">
        <v>79.92</v>
      </c>
      <c r="AI928">
        <v>156.55000000000001</v>
      </c>
      <c r="AJ928">
        <v>32.659999999999997</v>
      </c>
      <c r="AK928">
        <v>68.73</v>
      </c>
      <c r="AL928">
        <v>0.63</v>
      </c>
      <c r="AM928">
        <v>27.6</v>
      </c>
      <c r="AN928">
        <v>27.7</v>
      </c>
      <c r="AO928" s="1">
        <f t="shared" si="44"/>
        <v>432.42</v>
      </c>
    </row>
    <row r="929" spans="1:41" x14ac:dyDescent="0.25">
      <c r="A929" t="s">
        <v>972</v>
      </c>
      <c r="B929" s="2">
        <v>0</v>
      </c>
      <c r="C929" s="2">
        <v>1996.26004638922</v>
      </c>
      <c r="D929" s="2">
        <v>10017.626035600701</v>
      </c>
      <c r="E929" s="2">
        <v>3289.3818674997001</v>
      </c>
      <c r="F929" s="2">
        <v>4398.1991366575003</v>
      </c>
      <c r="G929" s="2">
        <v>5920.1652406015801</v>
      </c>
      <c r="H929" s="2">
        <v>1623.2693524143899</v>
      </c>
      <c r="I929" s="2">
        <v>0</v>
      </c>
      <c r="J929" s="2">
        <v>5053.9596880127201</v>
      </c>
      <c r="K929" s="2">
        <v>4935.3931966965401</v>
      </c>
      <c r="L929" s="2">
        <v>0</v>
      </c>
      <c r="M929" s="2">
        <v>1190.2302119268099</v>
      </c>
      <c r="N929" s="3">
        <f t="shared" si="42"/>
        <v>38424.484775799167</v>
      </c>
      <c r="O929" s="2">
        <v>0.17757714702449301</v>
      </c>
      <c r="P929" s="2">
        <v>3.70025408987919</v>
      </c>
      <c r="Q929" s="2">
        <v>2.7346960893204599</v>
      </c>
      <c r="R929" s="2">
        <v>0</v>
      </c>
      <c r="S929" s="2">
        <v>0</v>
      </c>
      <c r="T929" s="2">
        <v>6.27343033839339</v>
      </c>
      <c r="U929" s="2">
        <v>0.70250070446681701</v>
      </c>
      <c r="V929" s="2">
        <v>3.8734720252952402</v>
      </c>
      <c r="W929" s="2">
        <v>0.89342050290022301</v>
      </c>
      <c r="X929" s="2">
        <v>3.5993979708408301</v>
      </c>
      <c r="Y929" s="2">
        <v>1.5471797901377</v>
      </c>
      <c r="Z929" s="2">
        <v>0</v>
      </c>
      <c r="AA929" s="3">
        <f t="shared" si="43"/>
        <v>23.501928658258343</v>
      </c>
      <c r="AB929" t="s">
        <v>45</v>
      </c>
      <c r="AC929">
        <v>10.039999999999999</v>
      </c>
      <c r="AD929">
        <v>30.16</v>
      </c>
      <c r="AE929">
        <v>110.32</v>
      </c>
      <c r="AF929">
        <v>42.89</v>
      </c>
      <c r="AG929">
        <v>53.98</v>
      </c>
      <c r="AH929">
        <v>69.55</v>
      </c>
      <c r="AI929">
        <v>26.28</v>
      </c>
      <c r="AJ929">
        <v>10.19</v>
      </c>
      <c r="AK929">
        <v>60.58</v>
      </c>
      <c r="AL929">
        <v>59.55</v>
      </c>
      <c r="AM929">
        <v>10.09</v>
      </c>
      <c r="AN929">
        <v>21.9</v>
      </c>
      <c r="AO929" s="1">
        <f t="shared" si="44"/>
        <v>505.52999999999986</v>
      </c>
    </row>
    <row r="930" spans="1:41" x14ac:dyDescent="0.25">
      <c r="A930" t="s">
        <v>973</v>
      </c>
      <c r="B930" s="2">
        <v>0</v>
      </c>
      <c r="C930" s="2">
        <v>9885.7638812377299</v>
      </c>
      <c r="D930" s="2">
        <v>2152.3325979421302</v>
      </c>
      <c r="E930" s="2">
        <v>482.71548317431802</v>
      </c>
      <c r="F930" s="2">
        <v>10016.924744748099</v>
      </c>
      <c r="G930" s="2">
        <v>243.42139799876099</v>
      </c>
      <c r="H930" s="2">
        <v>5295.5501983566601</v>
      </c>
      <c r="I930" s="2">
        <v>3384.1330776078798</v>
      </c>
      <c r="J930" s="2">
        <v>470.40562161679202</v>
      </c>
      <c r="K930" s="2">
        <v>1132.9529583042299</v>
      </c>
      <c r="L930" s="2">
        <v>980.69316330959703</v>
      </c>
      <c r="M930" s="2">
        <v>3626.73699603864</v>
      </c>
      <c r="N930" s="3">
        <f t="shared" si="42"/>
        <v>37671.630120334834</v>
      </c>
      <c r="O930" s="2">
        <v>0.38501686240306598</v>
      </c>
      <c r="P930" s="2">
        <v>3.1985860095916201</v>
      </c>
      <c r="Q930" s="2">
        <v>2.5492883706373002</v>
      </c>
      <c r="R930" s="2">
        <v>12.4732094926801</v>
      </c>
      <c r="S930" s="2">
        <v>3.1738641650101398</v>
      </c>
      <c r="T930" s="2">
        <v>3.2773974068302199</v>
      </c>
      <c r="U930" s="2">
        <v>3.04901242191896</v>
      </c>
      <c r="V930" s="2">
        <v>0.17146739172924499</v>
      </c>
      <c r="W930" s="2">
        <v>1.3316967997354601</v>
      </c>
      <c r="X930" s="2">
        <v>2.6509152035251198</v>
      </c>
      <c r="Y930" s="2">
        <v>3.4857590531045002</v>
      </c>
      <c r="Z930" s="2">
        <v>2.95528034176139</v>
      </c>
      <c r="AA930" s="3">
        <f t="shared" si="43"/>
        <v>38.701493518927116</v>
      </c>
      <c r="AB930" t="s">
        <v>45</v>
      </c>
      <c r="AC930">
        <v>10.039999999999999</v>
      </c>
      <c r="AD930">
        <v>109.05</v>
      </c>
      <c r="AE930">
        <v>31.67</v>
      </c>
      <c r="AF930">
        <v>15.47</v>
      </c>
      <c r="AG930">
        <v>110.36</v>
      </c>
      <c r="AH930">
        <v>12.63</v>
      </c>
      <c r="AI930">
        <v>63.15</v>
      </c>
      <c r="AJ930">
        <v>43.89</v>
      </c>
      <c r="AK930">
        <v>14.8</v>
      </c>
      <c r="AL930">
        <v>21.47</v>
      </c>
      <c r="AM930">
        <v>20</v>
      </c>
      <c r="AN930">
        <v>46.41</v>
      </c>
      <c r="AO930" s="1">
        <f t="shared" si="44"/>
        <v>498.93999999999994</v>
      </c>
    </row>
    <row r="931" spans="1:41" x14ac:dyDescent="0.25">
      <c r="A931" t="s">
        <v>974</v>
      </c>
      <c r="B931" s="2">
        <v>0</v>
      </c>
      <c r="C931" s="2">
        <v>8227.6868337256892</v>
      </c>
      <c r="D931" s="2">
        <v>9587.8407936606509</v>
      </c>
      <c r="E931" s="2">
        <v>3415.3144523290998</v>
      </c>
      <c r="F931" s="2">
        <v>205.87184026023101</v>
      </c>
      <c r="G931" s="2">
        <v>5208.1118251848602</v>
      </c>
      <c r="H931" s="2">
        <v>2061.3241917096202</v>
      </c>
      <c r="I931" s="2">
        <v>5666.9062375411004</v>
      </c>
      <c r="J931" s="2">
        <v>5747.6795504052097</v>
      </c>
      <c r="K931" s="2">
        <v>978.37481556834996</v>
      </c>
      <c r="L931" s="2">
        <v>2898.3740458673601</v>
      </c>
      <c r="M931" s="2">
        <v>1450.3570934018301</v>
      </c>
      <c r="N931" s="3">
        <f t="shared" si="42"/>
        <v>45447.841679654004</v>
      </c>
      <c r="O931" s="2">
        <v>3.4642371801399299</v>
      </c>
      <c r="P931" s="2">
        <v>0.59157922702855303</v>
      </c>
      <c r="Q931" s="2">
        <v>0</v>
      </c>
      <c r="R931" s="2">
        <v>2.9430028870466498</v>
      </c>
      <c r="S931" s="2">
        <v>2.0508568091542099</v>
      </c>
      <c r="T931" s="2">
        <v>0</v>
      </c>
      <c r="U931" s="2">
        <v>0.79211418200379902</v>
      </c>
      <c r="V931" s="2">
        <v>1.57974370415079</v>
      </c>
      <c r="W931" s="2">
        <v>4.6832757371985201</v>
      </c>
      <c r="X931" s="2">
        <v>3.7184925540861502</v>
      </c>
      <c r="Y931" s="2">
        <v>1.8198863267958201</v>
      </c>
      <c r="Z931" s="2">
        <v>2.3346432273484199</v>
      </c>
      <c r="AA931" s="3">
        <f t="shared" si="43"/>
        <v>23.977831834952841</v>
      </c>
      <c r="AB931" t="s">
        <v>45</v>
      </c>
      <c r="AC931">
        <v>10.19</v>
      </c>
      <c r="AD931">
        <v>92.32</v>
      </c>
      <c r="AE931">
        <v>105.87</v>
      </c>
      <c r="AF931">
        <v>44.3</v>
      </c>
      <c r="AG931">
        <v>12.2</v>
      </c>
      <c r="AH931">
        <v>62.08</v>
      </c>
      <c r="AI931">
        <v>30.66</v>
      </c>
      <c r="AJ931">
        <v>66.760000000000005</v>
      </c>
      <c r="AK931">
        <v>67.72</v>
      </c>
      <c r="AL931">
        <v>19.98</v>
      </c>
      <c r="AM931">
        <v>39.08</v>
      </c>
      <c r="AN931">
        <v>24.65</v>
      </c>
      <c r="AO931" s="1">
        <f t="shared" si="44"/>
        <v>575.81000000000006</v>
      </c>
    </row>
    <row r="932" spans="1:41" x14ac:dyDescent="0.25">
      <c r="A932" t="s">
        <v>975</v>
      </c>
      <c r="B932" s="2">
        <v>0</v>
      </c>
      <c r="C932" s="2">
        <v>1237.8016088725301</v>
      </c>
      <c r="D932" s="2">
        <v>3998.28420763345</v>
      </c>
      <c r="E932" s="2">
        <v>12473.797136487499</v>
      </c>
      <c r="F932" s="2">
        <v>1250.40870177954</v>
      </c>
      <c r="G932" s="2">
        <v>1977.84267638654</v>
      </c>
      <c r="H932" s="2">
        <v>7070.4034517289801</v>
      </c>
      <c r="I932" s="2">
        <v>627.29139899359097</v>
      </c>
      <c r="J932" s="2">
        <v>0</v>
      </c>
      <c r="K932" s="2">
        <v>1424.18057086314</v>
      </c>
      <c r="L932" s="2">
        <v>8399.6706103290198</v>
      </c>
      <c r="M932" s="2">
        <v>0</v>
      </c>
      <c r="N932" s="3">
        <f t="shared" si="42"/>
        <v>38459.680363074294</v>
      </c>
      <c r="O932" s="2">
        <v>2.6208543336654002</v>
      </c>
      <c r="P932" s="2">
        <v>0.65984467788961199</v>
      </c>
      <c r="Q932" s="2">
        <v>3.4403372277753399</v>
      </c>
      <c r="R932" s="2">
        <v>3.6298021371242699</v>
      </c>
      <c r="S932" s="2">
        <v>0.17044261659897</v>
      </c>
      <c r="T932" s="2">
        <v>0.924994506041658</v>
      </c>
      <c r="U932" s="2">
        <v>5.9444231624697599</v>
      </c>
      <c r="V932" s="2">
        <v>2.4450124035797098</v>
      </c>
      <c r="W932" s="2">
        <v>1.09612537693731</v>
      </c>
      <c r="X932" s="2">
        <v>3.7465354096105798</v>
      </c>
      <c r="Y932" s="2">
        <v>6.8384446607286904</v>
      </c>
      <c r="Z932" s="2">
        <v>0</v>
      </c>
      <c r="AA932" s="3">
        <f t="shared" si="43"/>
        <v>31.5168165124213</v>
      </c>
      <c r="AB932" t="s">
        <v>45</v>
      </c>
      <c r="AC932">
        <v>10.14</v>
      </c>
      <c r="AD932">
        <v>22.42</v>
      </c>
      <c r="AE932">
        <v>50.18</v>
      </c>
      <c r="AF932">
        <v>134.93</v>
      </c>
      <c r="AG932">
        <v>22.55</v>
      </c>
      <c r="AH932">
        <v>29.82</v>
      </c>
      <c r="AI932">
        <v>81</v>
      </c>
      <c r="AJ932">
        <v>16.420000000000002</v>
      </c>
      <c r="AK932">
        <v>10.09</v>
      </c>
      <c r="AL932">
        <v>24.44</v>
      </c>
      <c r="AM932">
        <v>94.34</v>
      </c>
      <c r="AN932">
        <v>9.99</v>
      </c>
      <c r="AO932" s="1">
        <f t="shared" si="44"/>
        <v>506.32000000000005</v>
      </c>
    </row>
    <row r="933" spans="1:41" x14ac:dyDescent="0.25">
      <c r="A933" t="s">
        <v>976</v>
      </c>
      <c r="B933" s="2">
        <v>0</v>
      </c>
      <c r="C933" s="2">
        <v>4121.8747922581897</v>
      </c>
      <c r="D933" s="2">
        <v>4787.6685631194996</v>
      </c>
      <c r="E933" s="2">
        <v>1834.25581749809</v>
      </c>
      <c r="F933" s="2">
        <v>2520.9413267738</v>
      </c>
      <c r="G933" s="2">
        <v>12215.8870656408</v>
      </c>
      <c r="H933" s="2">
        <v>429.73653142269001</v>
      </c>
      <c r="I933" s="2">
        <v>1355.02691378503</v>
      </c>
      <c r="J933" s="2">
        <v>1212.0689672711301</v>
      </c>
      <c r="K933" s="2">
        <v>3206.21781313267</v>
      </c>
      <c r="L933" s="2">
        <v>10268.1745760379</v>
      </c>
      <c r="M933" s="2">
        <v>4235.24553719096</v>
      </c>
      <c r="N933" s="3">
        <f t="shared" si="42"/>
        <v>46187.097904130758</v>
      </c>
      <c r="O933" s="2">
        <v>0.79439680847504102</v>
      </c>
      <c r="P933" s="2">
        <v>0</v>
      </c>
      <c r="Q933" s="2">
        <v>7.2069363475259399E-2</v>
      </c>
      <c r="R933" s="2">
        <v>1.4457735434659</v>
      </c>
      <c r="S933" s="2">
        <v>9.8448398680353808</v>
      </c>
      <c r="T933" s="2">
        <v>7.6704128744257902</v>
      </c>
      <c r="U933" s="2">
        <v>5.6660058004635401</v>
      </c>
      <c r="V933" s="2">
        <v>6.7948116351820804</v>
      </c>
      <c r="W933" s="2">
        <v>6.4219928465745504</v>
      </c>
      <c r="X933" s="2">
        <v>1.83285710313723</v>
      </c>
      <c r="Y933" s="2">
        <v>9.8864232760796895</v>
      </c>
      <c r="Z933" s="2">
        <v>3.9670568023012498</v>
      </c>
      <c r="AA933" s="3">
        <f t="shared" si="43"/>
        <v>54.396639921615716</v>
      </c>
      <c r="AB933" t="s">
        <v>45</v>
      </c>
      <c r="AC933">
        <v>10.039999999999999</v>
      </c>
      <c r="AD933">
        <v>51.21</v>
      </c>
      <c r="AE933">
        <v>57.92</v>
      </c>
      <c r="AF933">
        <v>28.44</v>
      </c>
      <c r="AG933">
        <v>35.700000000000003</v>
      </c>
      <c r="AH933">
        <v>132.55000000000001</v>
      </c>
      <c r="AI933">
        <v>14.59</v>
      </c>
      <c r="AJ933">
        <v>23.9</v>
      </c>
      <c r="AK933">
        <v>22.47</v>
      </c>
      <c r="AL933">
        <v>42.16</v>
      </c>
      <c r="AM933">
        <v>113.18</v>
      </c>
      <c r="AN933">
        <v>52.55</v>
      </c>
      <c r="AO933" s="1">
        <f t="shared" si="44"/>
        <v>584.70999999999981</v>
      </c>
    </row>
    <row r="934" spans="1:41" x14ac:dyDescent="0.25">
      <c r="A934" t="s">
        <v>977</v>
      </c>
      <c r="B934" s="2">
        <v>0</v>
      </c>
      <c r="C934" s="2">
        <v>7798.6922143683296</v>
      </c>
      <c r="D934" s="2">
        <v>1417.94250530554</v>
      </c>
      <c r="E934" s="2">
        <v>784.17639990443695</v>
      </c>
      <c r="F934" s="2">
        <v>6558.02617977311</v>
      </c>
      <c r="G934" s="2">
        <v>954.875243067572</v>
      </c>
      <c r="H934" s="2">
        <v>4777.5302396513398</v>
      </c>
      <c r="I934" s="2">
        <v>7084.7914964370002</v>
      </c>
      <c r="J934" s="2">
        <v>6221.5107231973998</v>
      </c>
      <c r="K934" s="2">
        <v>6346.0363116349999</v>
      </c>
      <c r="L934" s="2">
        <v>0</v>
      </c>
      <c r="M934" s="2">
        <v>788.32788310123794</v>
      </c>
      <c r="N934" s="3">
        <f t="shared" si="42"/>
        <v>42731.90919644096</v>
      </c>
      <c r="O934" s="2">
        <v>2.26307752592272</v>
      </c>
      <c r="P934" s="2">
        <v>7.16187685993809</v>
      </c>
      <c r="Q934" s="2">
        <v>1.20228317633939</v>
      </c>
      <c r="R934" s="2">
        <v>1.3094542964698599</v>
      </c>
      <c r="S934" s="2">
        <v>7.2817516671716502</v>
      </c>
      <c r="T934" s="2">
        <v>6.7247495260363701</v>
      </c>
      <c r="U934" s="2">
        <v>4.1732938841894001</v>
      </c>
      <c r="V934" s="2">
        <v>1.66623418549564</v>
      </c>
      <c r="W934" s="2">
        <v>3.12826824407954</v>
      </c>
      <c r="X934" s="2">
        <v>7.3817770134063796</v>
      </c>
      <c r="Y934" s="2">
        <v>0</v>
      </c>
      <c r="Z934" s="2">
        <v>1.7646590760796299</v>
      </c>
      <c r="AA934" s="3">
        <f t="shared" si="43"/>
        <v>44.057425455128673</v>
      </c>
      <c r="AB934" t="s">
        <v>45</v>
      </c>
      <c r="AC934">
        <v>10.14</v>
      </c>
      <c r="AD934">
        <v>88.38</v>
      </c>
      <c r="AE934">
        <v>24.27</v>
      </c>
      <c r="AF934">
        <v>17.940000000000001</v>
      </c>
      <c r="AG934">
        <v>75.98</v>
      </c>
      <c r="AH934">
        <v>19.89</v>
      </c>
      <c r="AI934">
        <v>58.02</v>
      </c>
      <c r="AJ934">
        <v>80.94</v>
      </c>
      <c r="AK934">
        <v>72.41</v>
      </c>
      <c r="AL934">
        <v>73.86</v>
      </c>
      <c r="AM934">
        <v>9.99</v>
      </c>
      <c r="AN934">
        <v>17.98</v>
      </c>
      <c r="AO934" s="1">
        <f t="shared" si="44"/>
        <v>549.79999999999995</v>
      </c>
    </row>
    <row r="935" spans="1:41" x14ac:dyDescent="0.25">
      <c r="A935" t="s">
        <v>978</v>
      </c>
      <c r="B935" s="2">
        <v>0</v>
      </c>
      <c r="C935" s="2">
        <v>1005.64446889511</v>
      </c>
      <c r="D935" s="2">
        <v>5526.3729963891301</v>
      </c>
      <c r="E935" s="2">
        <v>7159.8249194257896</v>
      </c>
      <c r="F935" s="2">
        <v>2511.7565239165201</v>
      </c>
      <c r="G935" s="2">
        <v>1744.0280014602599</v>
      </c>
      <c r="H935" s="2">
        <v>6017.63706931662</v>
      </c>
      <c r="I935" s="2">
        <v>4727.6295738271901</v>
      </c>
      <c r="J935" s="2">
        <v>3204.7470884273098</v>
      </c>
      <c r="K935" s="2">
        <v>1790.4402104939099</v>
      </c>
      <c r="L935" s="2">
        <v>1529.6001279341001</v>
      </c>
      <c r="M935" s="2">
        <v>1881.9630638951201</v>
      </c>
      <c r="N935" s="3">
        <f t="shared" si="42"/>
        <v>37099.644043981061</v>
      </c>
      <c r="O935" s="2">
        <v>5.9486992244033097</v>
      </c>
      <c r="P935" s="2">
        <v>16.8247176157521</v>
      </c>
      <c r="Q935" s="2">
        <v>0.86732065863504104</v>
      </c>
      <c r="R935" s="2">
        <v>4.4297441271667797</v>
      </c>
      <c r="S935" s="2">
        <v>4.9315283578866396</v>
      </c>
      <c r="T935" s="2">
        <v>11.303743578268</v>
      </c>
      <c r="U935" s="2">
        <v>2.1123040762805601</v>
      </c>
      <c r="V935" s="2">
        <v>3.9338993001863698</v>
      </c>
      <c r="W935" s="2">
        <v>4.7661016761609103</v>
      </c>
      <c r="X935" s="2">
        <v>0</v>
      </c>
      <c r="Y935" s="2">
        <v>1.7923704876798701</v>
      </c>
      <c r="Z935" s="2">
        <v>1.6744804151753301</v>
      </c>
      <c r="AA935" s="3">
        <f t="shared" si="43"/>
        <v>58.584909517594902</v>
      </c>
      <c r="AB935" t="s">
        <v>45</v>
      </c>
      <c r="AC935">
        <v>10.29</v>
      </c>
      <c r="AD935">
        <v>20.9</v>
      </c>
      <c r="AE935">
        <v>65.31</v>
      </c>
      <c r="AF935">
        <v>81.84</v>
      </c>
      <c r="AG935">
        <v>35.36</v>
      </c>
      <c r="AH935">
        <v>28.04</v>
      </c>
      <c r="AI935">
        <v>70.319999999999993</v>
      </c>
      <c r="AJ935">
        <v>57.47</v>
      </c>
      <c r="AK935">
        <v>42.29</v>
      </c>
      <c r="AL935">
        <v>27.9</v>
      </c>
      <c r="AM935">
        <v>25.39</v>
      </c>
      <c r="AN935">
        <v>28.91</v>
      </c>
      <c r="AO935" s="1">
        <f t="shared" si="44"/>
        <v>494.02</v>
      </c>
    </row>
    <row r="936" spans="1:41" x14ac:dyDescent="0.25">
      <c r="A936" t="s">
        <v>979</v>
      </c>
      <c r="B936" s="2">
        <v>0</v>
      </c>
      <c r="C936" s="2">
        <v>0</v>
      </c>
      <c r="D936" s="2">
        <v>0</v>
      </c>
      <c r="E936" s="2">
        <v>1185.17611186255</v>
      </c>
      <c r="F936" s="2">
        <v>554.89051669399203</v>
      </c>
      <c r="G936" s="2">
        <v>1266.41492974675</v>
      </c>
      <c r="H936" s="2">
        <v>1048.99589193105</v>
      </c>
      <c r="I936" s="2">
        <v>6085.4910887209699</v>
      </c>
      <c r="J936" s="2">
        <v>7494.6886621760696</v>
      </c>
      <c r="K936" s="2">
        <v>1372.81071949443</v>
      </c>
      <c r="L936" s="2">
        <v>1826.9320572803699</v>
      </c>
      <c r="M936" s="2">
        <v>10050.2875804337</v>
      </c>
      <c r="N936" s="3">
        <f t="shared" si="42"/>
        <v>30885.687558339887</v>
      </c>
      <c r="O936" s="2">
        <v>4.8688449286145898</v>
      </c>
      <c r="P936" s="2">
        <v>5.6372945532048897</v>
      </c>
      <c r="Q936" s="2">
        <v>3.8241637702764</v>
      </c>
      <c r="R936" s="2">
        <v>4.0143024093359303</v>
      </c>
      <c r="S936" s="2">
        <v>1.73288597685087</v>
      </c>
      <c r="T936" s="2">
        <v>2.4710645009482199</v>
      </c>
      <c r="U936" s="2">
        <v>4.3626499523816697</v>
      </c>
      <c r="V936" s="2">
        <v>2.3776841791964398</v>
      </c>
      <c r="W936" s="2">
        <v>2.10662703282209</v>
      </c>
      <c r="X936" s="2">
        <v>1.73041302756666</v>
      </c>
      <c r="Y936" s="2">
        <v>4.0393464657731704</v>
      </c>
      <c r="Z936" s="2">
        <v>3.4706517621606801</v>
      </c>
      <c r="AA936" s="3">
        <f t="shared" si="43"/>
        <v>40.635928559131607</v>
      </c>
      <c r="AB936" t="s">
        <v>63</v>
      </c>
      <c r="AC936">
        <v>0.45</v>
      </c>
      <c r="AD936">
        <v>0.54</v>
      </c>
      <c r="AE936">
        <v>0.36</v>
      </c>
      <c r="AF936">
        <v>24.17</v>
      </c>
      <c r="AG936">
        <v>11.28</v>
      </c>
      <c r="AH936">
        <v>25.61</v>
      </c>
      <c r="AI936">
        <v>21.43</v>
      </c>
      <c r="AJ936">
        <v>121.99</v>
      </c>
      <c r="AK936">
        <v>150.16999999999999</v>
      </c>
      <c r="AL936">
        <v>27.64</v>
      </c>
      <c r="AM936">
        <v>36.99</v>
      </c>
      <c r="AN936">
        <v>201.38</v>
      </c>
      <c r="AO936" s="1">
        <f t="shared" si="44"/>
        <v>622.01</v>
      </c>
    </row>
    <row r="937" spans="1:41" x14ac:dyDescent="0.25">
      <c r="A937" t="s">
        <v>980</v>
      </c>
      <c r="B937" s="2">
        <v>0</v>
      </c>
      <c r="C937" s="2">
        <v>6308.0214507933997</v>
      </c>
      <c r="D937" s="2">
        <v>3136.0724381762798</v>
      </c>
      <c r="E937" s="2">
        <v>4296.8543985688802</v>
      </c>
      <c r="F937" s="2">
        <v>6057.4565693170498</v>
      </c>
      <c r="G937" s="2">
        <v>7953.9027505608201</v>
      </c>
      <c r="H937" s="2">
        <v>1368.10102450299</v>
      </c>
      <c r="I937" s="2">
        <v>6142.9749334225198</v>
      </c>
      <c r="J937" s="2">
        <v>1742.0595486478101</v>
      </c>
      <c r="K937" s="2">
        <v>3246.65018837358</v>
      </c>
      <c r="L937" s="2">
        <v>0</v>
      </c>
      <c r="M937" s="2">
        <v>0</v>
      </c>
      <c r="N937" s="3">
        <f t="shared" si="42"/>
        <v>40252.093302363326</v>
      </c>
      <c r="O937" s="2">
        <v>4.4295922727916102</v>
      </c>
      <c r="P937" s="2">
        <v>5.2069339330638398</v>
      </c>
      <c r="Q937" s="2">
        <v>2.2919349185907198</v>
      </c>
      <c r="R937" s="2">
        <v>4.8170328530172002</v>
      </c>
      <c r="S937" s="2">
        <v>1.6436054097716899</v>
      </c>
      <c r="T937" s="2">
        <v>7.1629117327244796</v>
      </c>
      <c r="U937" s="2">
        <v>1.31719291510854E-2</v>
      </c>
      <c r="V937" s="2">
        <v>5.3968833072396896</v>
      </c>
      <c r="W937" s="2">
        <v>0.99276807932066602</v>
      </c>
      <c r="X937" s="2">
        <v>3.4888057610086798</v>
      </c>
      <c r="Y937" s="2">
        <v>6.1630688303946002</v>
      </c>
      <c r="Z937" s="2">
        <v>2.1691038832165899</v>
      </c>
      <c r="AA937" s="3">
        <f t="shared" si="43"/>
        <v>43.775812910290853</v>
      </c>
      <c r="AB937" t="s">
        <v>45</v>
      </c>
      <c r="AC937">
        <v>10.24</v>
      </c>
      <c r="AD937">
        <v>73.38</v>
      </c>
      <c r="AE937">
        <v>41.51</v>
      </c>
      <c r="AF937">
        <v>53.21</v>
      </c>
      <c r="AG937">
        <v>70.67</v>
      </c>
      <c r="AH937">
        <v>89.93</v>
      </c>
      <c r="AI937">
        <v>23.73</v>
      </c>
      <c r="AJ937">
        <v>71.72</v>
      </c>
      <c r="AK937">
        <v>27.47</v>
      </c>
      <c r="AL937">
        <v>42.66</v>
      </c>
      <c r="AM937">
        <v>10.34</v>
      </c>
      <c r="AN937">
        <v>10.14</v>
      </c>
      <c r="AO937" s="1">
        <f t="shared" si="44"/>
        <v>525</v>
      </c>
    </row>
    <row r="938" spans="1:41" x14ac:dyDescent="0.25">
      <c r="A938" t="s">
        <v>981</v>
      </c>
      <c r="B938" s="2">
        <v>0</v>
      </c>
      <c r="C938" s="2">
        <v>0</v>
      </c>
      <c r="D938" s="2">
        <v>4020.8074627682699</v>
      </c>
      <c r="E938" s="2">
        <v>5616.9107309130604</v>
      </c>
      <c r="F938" s="2">
        <v>6962.3592897641902</v>
      </c>
      <c r="G938" s="2">
        <v>4092.70451979365</v>
      </c>
      <c r="H938" s="2">
        <v>7114.4351951147901</v>
      </c>
      <c r="I938" s="2">
        <v>4610.0577993520201</v>
      </c>
      <c r="J938" s="2">
        <v>696.85205560800205</v>
      </c>
      <c r="K938" s="2">
        <v>5357.2325809165204</v>
      </c>
      <c r="L938" s="2">
        <v>1656.6655875838401</v>
      </c>
      <c r="M938" s="2">
        <v>500.83182721928199</v>
      </c>
      <c r="N938" s="3">
        <f t="shared" si="42"/>
        <v>40628.857049033628</v>
      </c>
      <c r="O938" s="2">
        <v>2.6133688363093799</v>
      </c>
      <c r="P938" s="2">
        <v>6.4076171135384197</v>
      </c>
      <c r="Q938" s="2">
        <v>0</v>
      </c>
      <c r="R938" s="2">
        <v>3.3350544787801302</v>
      </c>
      <c r="S938" s="2">
        <v>2.59302134955376</v>
      </c>
      <c r="T938" s="2">
        <v>1.7038069182133799</v>
      </c>
      <c r="U938" s="2">
        <v>0</v>
      </c>
      <c r="V938" s="2">
        <v>2.09786142506595</v>
      </c>
      <c r="W938" s="2">
        <v>1.38585673019194</v>
      </c>
      <c r="X938" s="2">
        <v>10.3976070115813</v>
      </c>
      <c r="Y938" s="2">
        <v>7.0603894604486097</v>
      </c>
      <c r="Z938" s="2">
        <v>16.2726943004288</v>
      </c>
      <c r="AA938" s="3">
        <f t="shared" si="43"/>
        <v>53.867277624111665</v>
      </c>
      <c r="AB938" t="s">
        <v>45</v>
      </c>
      <c r="AC938">
        <v>10.14</v>
      </c>
      <c r="AD938">
        <v>10.34</v>
      </c>
      <c r="AE938">
        <v>50.2</v>
      </c>
      <c r="AF938">
        <v>66.36</v>
      </c>
      <c r="AG938">
        <v>79.77</v>
      </c>
      <c r="AH938">
        <v>51.02</v>
      </c>
      <c r="AI938">
        <v>81.14</v>
      </c>
      <c r="AJ938">
        <v>56.25</v>
      </c>
      <c r="AK938">
        <v>17.059999999999999</v>
      </c>
      <c r="AL938">
        <v>64.12</v>
      </c>
      <c r="AM938">
        <v>26.96</v>
      </c>
      <c r="AN938">
        <v>15.85</v>
      </c>
      <c r="AO938" s="1">
        <f t="shared" si="44"/>
        <v>529.21</v>
      </c>
    </row>
    <row r="939" spans="1:41" x14ac:dyDescent="0.25">
      <c r="A939" t="s">
        <v>982</v>
      </c>
      <c r="B939" s="2">
        <v>0</v>
      </c>
      <c r="C939" s="2">
        <v>7848.0417547597299</v>
      </c>
      <c r="D939" s="2">
        <v>2740.20361044625</v>
      </c>
      <c r="E939" s="2">
        <v>0</v>
      </c>
      <c r="F939" s="2">
        <v>1446.61871354595</v>
      </c>
      <c r="G939" s="2">
        <v>19714.349502182198</v>
      </c>
      <c r="H939" s="2">
        <v>2127.28335864681</v>
      </c>
      <c r="I939" s="2">
        <v>2031.94425841973</v>
      </c>
      <c r="J939" s="2">
        <v>802.58637942023802</v>
      </c>
      <c r="K939" s="2">
        <v>3787.8015669553502</v>
      </c>
      <c r="L939" s="2">
        <v>990.79593297369297</v>
      </c>
      <c r="M939" s="2">
        <v>5516.0421984311897</v>
      </c>
      <c r="N939" s="3">
        <f t="shared" si="42"/>
        <v>47005.667275781139</v>
      </c>
      <c r="O939" s="2">
        <v>0</v>
      </c>
      <c r="P939" s="2">
        <v>5.1724060158326504</v>
      </c>
      <c r="Q939" s="2">
        <v>12.855452450316699</v>
      </c>
      <c r="R939" s="2">
        <v>1.3864671568888101</v>
      </c>
      <c r="S939" s="2">
        <v>3.58181492341566</v>
      </c>
      <c r="T939" s="2">
        <v>1.0512427359663199</v>
      </c>
      <c r="U939" s="2">
        <v>0</v>
      </c>
      <c r="V939" s="2">
        <v>1.4179368555657099</v>
      </c>
      <c r="W939" s="2">
        <v>3.4363593477865302</v>
      </c>
      <c r="X939" s="2">
        <v>18.080197900655001</v>
      </c>
      <c r="Y939" s="2">
        <v>10.379940944506</v>
      </c>
      <c r="Z939" s="2">
        <v>8.3453531158650307</v>
      </c>
      <c r="AA939" s="3">
        <f t="shared" si="43"/>
        <v>65.707171446798412</v>
      </c>
      <c r="AB939" t="s">
        <v>45</v>
      </c>
      <c r="AC939">
        <v>9.99</v>
      </c>
      <c r="AD939">
        <v>88.78</v>
      </c>
      <c r="AE939">
        <v>38.049999999999997</v>
      </c>
      <c r="AF939">
        <v>10.09</v>
      </c>
      <c r="AG939">
        <v>24.66</v>
      </c>
      <c r="AH939">
        <v>207.24</v>
      </c>
      <c r="AI939">
        <v>31.27</v>
      </c>
      <c r="AJ939">
        <v>30.41</v>
      </c>
      <c r="AK939">
        <v>18.22</v>
      </c>
      <c r="AL939">
        <v>48.82</v>
      </c>
      <c r="AM939">
        <v>20.45</v>
      </c>
      <c r="AN939">
        <v>65.61</v>
      </c>
      <c r="AO939" s="1">
        <f t="shared" si="44"/>
        <v>593.59</v>
      </c>
    </row>
    <row r="940" spans="1:41" x14ac:dyDescent="0.25">
      <c r="A940" t="s">
        <v>983</v>
      </c>
      <c r="B940" s="2">
        <v>0</v>
      </c>
      <c r="C940" s="2">
        <v>1425.55234460568</v>
      </c>
      <c r="D940" s="2">
        <v>13635.7741181007</v>
      </c>
      <c r="E940" s="2">
        <v>6064.7418755539902</v>
      </c>
      <c r="F940" s="2">
        <v>6185.3426415609301</v>
      </c>
      <c r="G940" s="2">
        <v>6559.9861052946899</v>
      </c>
      <c r="H940" s="2">
        <v>3720.6806945855801</v>
      </c>
      <c r="I940" s="2">
        <v>4021.1614867665699</v>
      </c>
      <c r="J940" s="2">
        <v>1465.27714490781</v>
      </c>
      <c r="K940" s="2">
        <v>23223.098746060401</v>
      </c>
      <c r="L940" s="2">
        <v>800.75683481618398</v>
      </c>
      <c r="M940" s="2">
        <v>3821.6262595783201</v>
      </c>
      <c r="N940" s="3">
        <f t="shared" si="42"/>
        <v>70923.998251830853</v>
      </c>
      <c r="O940" s="2">
        <v>2.7617763625405098</v>
      </c>
      <c r="P940" s="2">
        <v>2.4371774617623201</v>
      </c>
      <c r="Q940" s="2">
        <v>2.2094033348493398</v>
      </c>
      <c r="R940" s="2">
        <v>0</v>
      </c>
      <c r="S940" s="2">
        <v>3.5709820608843099</v>
      </c>
      <c r="T940" s="2">
        <v>4.5607707512782802</v>
      </c>
      <c r="U940" s="2">
        <v>1.30961547359039</v>
      </c>
      <c r="V940" s="2">
        <v>1.4725073419238399</v>
      </c>
      <c r="W940" s="2">
        <v>0.44705619145245001</v>
      </c>
      <c r="X940" s="2">
        <v>4.3490713989497403</v>
      </c>
      <c r="Y940" s="2">
        <v>10.854688889950401</v>
      </c>
      <c r="Z940" s="2">
        <v>1.7926262272176301</v>
      </c>
      <c r="AA940" s="3">
        <f t="shared" si="43"/>
        <v>35.765675494399211</v>
      </c>
      <c r="AB940" t="s">
        <v>45</v>
      </c>
      <c r="AC940">
        <v>10.14</v>
      </c>
      <c r="AD940">
        <v>24.4</v>
      </c>
      <c r="AE940">
        <v>146.5</v>
      </c>
      <c r="AF940">
        <v>70.64</v>
      </c>
      <c r="AG940">
        <v>72.05</v>
      </c>
      <c r="AH940">
        <v>75.84</v>
      </c>
      <c r="AI940">
        <v>47.3</v>
      </c>
      <c r="AJ940">
        <v>50.31</v>
      </c>
      <c r="AK940">
        <v>24.7</v>
      </c>
      <c r="AL940">
        <v>242.48</v>
      </c>
      <c r="AM940">
        <v>18.55</v>
      </c>
      <c r="AN940">
        <v>48.31</v>
      </c>
      <c r="AO940" s="1">
        <f t="shared" si="44"/>
        <v>831.22</v>
      </c>
    </row>
    <row r="941" spans="1:41" x14ac:dyDescent="0.25">
      <c r="A941" t="s">
        <v>984</v>
      </c>
      <c r="B941" s="2">
        <v>0</v>
      </c>
      <c r="C941" s="2">
        <v>10687.2440255452</v>
      </c>
      <c r="D941" s="2">
        <v>1837.89677960221</v>
      </c>
      <c r="E941" s="2">
        <v>2045.46902233474</v>
      </c>
      <c r="F941" s="2">
        <v>8766.9452624850801</v>
      </c>
      <c r="G941" s="2">
        <v>2883.0247228635299</v>
      </c>
      <c r="H941" s="2">
        <v>2719.80952120241</v>
      </c>
      <c r="I941" s="2">
        <v>1549.14563626176</v>
      </c>
      <c r="J941" s="2">
        <v>2434.1756223805901</v>
      </c>
      <c r="K941" s="2">
        <v>8035.9825703364504</v>
      </c>
      <c r="L941" s="2">
        <v>2635.7984716362598</v>
      </c>
      <c r="M941" s="2">
        <v>333.48138616802902</v>
      </c>
      <c r="N941" s="3">
        <f t="shared" si="42"/>
        <v>43928.973020816265</v>
      </c>
      <c r="O941" s="2">
        <v>6.5315582627874802</v>
      </c>
      <c r="P941" s="2">
        <v>8.4614063639791208</v>
      </c>
      <c r="Q941" s="2">
        <v>1.2437213142817101</v>
      </c>
      <c r="R941" s="2">
        <v>4.0535493555866502</v>
      </c>
      <c r="S941" s="2">
        <v>0.68792841889980205</v>
      </c>
      <c r="T941" s="2">
        <v>0</v>
      </c>
      <c r="U941" s="2">
        <v>28.3723060805223</v>
      </c>
      <c r="V941" s="2">
        <v>0.56781327568214401</v>
      </c>
      <c r="W941" s="2">
        <v>6.9571655507523804</v>
      </c>
      <c r="X941" s="2">
        <v>5.7418954423335302</v>
      </c>
      <c r="Y941" s="2">
        <v>8.5879717048191004</v>
      </c>
      <c r="Z941" s="2">
        <v>23.458773389151499</v>
      </c>
      <c r="AA941" s="3">
        <f t="shared" si="43"/>
        <v>94.664089158795719</v>
      </c>
      <c r="AB941" t="s">
        <v>45</v>
      </c>
      <c r="AC941">
        <v>10.34</v>
      </c>
      <c r="AD941">
        <v>117.32</v>
      </c>
      <c r="AE941">
        <v>28.47</v>
      </c>
      <c r="AF941">
        <v>30.7</v>
      </c>
      <c r="AG941">
        <v>97.71</v>
      </c>
      <c r="AH941">
        <v>38.83</v>
      </c>
      <c r="AI941">
        <v>38.64</v>
      </c>
      <c r="AJ941">
        <v>25.54</v>
      </c>
      <c r="AK941">
        <v>34.69</v>
      </c>
      <c r="AL941">
        <v>90.65</v>
      </c>
      <c r="AM941">
        <v>36.799999999999997</v>
      </c>
      <c r="AN941">
        <v>14.53</v>
      </c>
      <c r="AO941" s="1">
        <f t="shared" si="44"/>
        <v>564.21999999999991</v>
      </c>
    </row>
    <row r="942" spans="1:41" x14ac:dyDescent="0.25">
      <c r="A942" t="s">
        <v>985</v>
      </c>
      <c r="B942" s="2">
        <v>0</v>
      </c>
      <c r="C942" s="2">
        <v>1787.9391079680499</v>
      </c>
      <c r="D942" s="2">
        <v>9596.6655317763907</v>
      </c>
      <c r="E942" s="2">
        <v>3754.9480658467101</v>
      </c>
      <c r="F942" s="2">
        <v>8069.37075742667</v>
      </c>
      <c r="G942" s="2">
        <v>1505.4757539493601</v>
      </c>
      <c r="H942" s="2">
        <v>10686.6553517094</v>
      </c>
      <c r="I942" s="2">
        <v>3006.9168617625501</v>
      </c>
      <c r="J942" s="2">
        <v>727.73498236565604</v>
      </c>
      <c r="K942" s="2">
        <v>205.76360929646199</v>
      </c>
      <c r="L942" s="2">
        <v>17839.788225295</v>
      </c>
      <c r="M942" s="2">
        <v>2231.8048447483102</v>
      </c>
      <c r="N942" s="3">
        <f t="shared" si="42"/>
        <v>59413.063092144555</v>
      </c>
      <c r="O942" s="2">
        <v>0.721669300873654</v>
      </c>
      <c r="P942" s="2">
        <v>0.19149609183845701</v>
      </c>
      <c r="Q942" s="2">
        <v>4.3925119351661097</v>
      </c>
      <c r="R942" s="2">
        <v>2.5516264256373802</v>
      </c>
      <c r="S942" s="2">
        <v>2.5245914823512701</v>
      </c>
      <c r="T942" s="2">
        <v>2.2956120284709698</v>
      </c>
      <c r="U942" s="2">
        <v>12.9034769511701</v>
      </c>
      <c r="V942" s="2">
        <v>8.5533366525807502</v>
      </c>
      <c r="W942" s="2">
        <v>7.7749715606959597</v>
      </c>
      <c r="X942" s="2">
        <v>6.1806824068779802</v>
      </c>
      <c r="Y942" s="2">
        <v>11.2680663135556</v>
      </c>
      <c r="Z942" s="2">
        <v>0.11922647167613599</v>
      </c>
      <c r="AA942" s="3">
        <f t="shared" si="43"/>
        <v>59.477267620894366</v>
      </c>
      <c r="AB942" t="s">
        <v>45</v>
      </c>
      <c r="AC942">
        <v>10.039999999999999</v>
      </c>
      <c r="AD942">
        <v>27.92</v>
      </c>
      <c r="AE942">
        <v>106.21</v>
      </c>
      <c r="AF942">
        <v>47.69</v>
      </c>
      <c r="AG942">
        <v>90.84</v>
      </c>
      <c r="AH942">
        <v>25.2</v>
      </c>
      <c r="AI942">
        <v>117.51</v>
      </c>
      <c r="AJ942">
        <v>40.51</v>
      </c>
      <c r="AK942">
        <v>17.670000000000002</v>
      </c>
      <c r="AL942">
        <v>12.4</v>
      </c>
      <c r="AM942">
        <v>188.99</v>
      </c>
      <c r="AN942">
        <v>32.36</v>
      </c>
      <c r="AO942" s="1">
        <f t="shared" si="44"/>
        <v>717.34</v>
      </c>
    </row>
    <row r="943" spans="1:41" x14ac:dyDescent="0.25">
      <c r="A943" t="s">
        <v>986</v>
      </c>
      <c r="B943" s="2">
        <v>0</v>
      </c>
      <c r="C943" s="2">
        <v>4540.9209049302199</v>
      </c>
      <c r="D943" s="2">
        <v>9801.6340932913699</v>
      </c>
      <c r="E943" s="2">
        <v>5372.3131052940998</v>
      </c>
      <c r="F943" s="2">
        <v>6713.0366569419402</v>
      </c>
      <c r="G943" s="2">
        <v>3515.2313068875301</v>
      </c>
      <c r="H943" s="2">
        <v>1677.8662804491501</v>
      </c>
      <c r="I943" s="2">
        <v>3832.7128081132</v>
      </c>
      <c r="J943" s="2">
        <v>4984.0293526473797</v>
      </c>
      <c r="K943" s="2">
        <v>4810.2401032552898</v>
      </c>
      <c r="L943" s="2">
        <v>10464.8177322703</v>
      </c>
      <c r="M943" s="2">
        <v>672.15084026503996</v>
      </c>
      <c r="N943" s="3">
        <f t="shared" si="42"/>
        <v>56384.953184345512</v>
      </c>
      <c r="O943" s="2">
        <v>0.25146507337685398</v>
      </c>
      <c r="P943" s="2">
        <v>0.91876020497370003</v>
      </c>
      <c r="Q943" s="2">
        <v>1.8450630422138401</v>
      </c>
      <c r="R943" s="2">
        <v>3.0884246137226201</v>
      </c>
      <c r="S943" s="2">
        <v>10.6242102437902</v>
      </c>
      <c r="T943" s="2">
        <v>2.4964772015141499</v>
      </c>
      <c r="U943" s="2">
        <v>6.8555503964478</v>
      </c>
      <c r="V943" s="2">
        <v>0</v>
      </c>
      <c r="W943" s="2">
        <v>0.21302064991899</v>
      </c>
      <c r="X943" s="2">
        <v>1.1124450127974801</v>
      </c>
      <c r="Y943" s="2">
        <v>1.8784534190147899</v>
      </c>
      <c r="Z943" s="2">
        <v>8.7305808129508495</v>
      </c>
      <c r="AA943" s="3">
        <f t="shared" si="43"/>
        <v>38.014450670721274</v>
      </c>
      <c r="AB943" t="s">
        <v>45</v>
      </c>
      <c r="AC943">
        <v>10.039999999999999</v>
      </c>
      <c r="AD943">
        <v>55.45</v>
      </c>
      <c r="AE943">
        <v>108.11</v>
      </c>
      <c r="AF943">
        <v>63.92</v>
      </c>
      <c r="AG943">
        <v>77.680000000000007</v>
      </c>
      <c r="AH943">
        <v>45.3</v>
      </c>
      <c r="AI943">
        <v>27.12</v>
      </c>
      <c r="AJ943">
        <v>48.32</v>
      </c>
      <c r="AK943">
        <v>59.89</v>
      </c>
      <c r="AL943">
        <v>58.2</v>
      </c>
      <c r="AM943">
        <v>114.74</v>
      </c>
      <c r="AN943">
        <v>17.170000000000002</v>
      </c>
      <c r="AO943" s="1">
        <f t="shared" si="44"/>
        <v>685.94</v>
      </c>
    </row>
    <row r="944" spans="1:41" x14ac:dyDescent="0.25">
      <c r="A944" t="s">
        <v>987</v>
      </c>
      <c r="B944" s="2">
        <v>0</v>
      </c>
      <c r="C944" s="2">
        <v>1783.7696543003899</v>
      </c>
      <c r="D944" s="2">
        <v>169.786831627232</v>
      </c>
      <c r="E944" s="2">
        <v>5035.98732844597</v>
      </c>
      <c r="F944" s="2">
        <v>758.164052778322</v>
      </c>
      <c r="G944" s="2">
        <v>2966.20467851786</v>
      </c>
      <c r="H944" s="2">
        <v>5643.6242223550198</v>
      </c>
      <c r="I944" s="2">
        <v>10804.916448268599</v>
      </c>
      <c r="J944" s="2">
        <v>3609.2114404088902</v>
      </c>
      <c r="K944" s="2">
        <v>783.98458470067806</v>
      </c>
      <c r="L944" s="2">
        <v>317.87876155788001</v>
      </c>
      <c r="M944" s="2">
        <v>4976.24905337974</v>
      </c>
      <c r="N944" s="3">
        <f t="shared" si="42"/>
        <v>36849.777056340579</v>
      </c>
      <c r="O944" s="2">
        <v>3.6378811320394799</v>
      </c>
      <c r="P944" s="2">
        <v>4.4961839436489504</v>
      </c>
      <c r="Q944" s="2">
        <v>1.0516816236965001</v>
      </c>
      <c r="R944" s="2">
        <v>1.1098744855485201</v>
      </c>
      <c r="S944" s="2">
        <v>9.8240304335619193</v>
      </c>
      <c r="T944" s="2">
        <v>1.51916958583649</v>
      </c>
      <c r="U944" s="2">
        <v>9.1881306107028902</v>
      </c>
      <c r="V944" s="2">
        <v>7.1724517866525899</v>
      </c>
      <c r="W944" s="2">
        <v>7.2855747802146702</v>
      </c>
      <c r="X944" s="2">
        <v>2.24026222188572</v>
      </c>
      <c r="Y944" s="2">
        <v>6.1299399479114998</v>
      </c>
      <c r="Z944" s="2">
        <v>6.7130308696883096</v>
      </c>
      <c r="AA944" s="3">
        <f t="shared" si="43"/>
        <v>60.368211421387542</v>
      </c>
      <c r="AB944" t="s">
        <v>45</v>
      </c>
      <c r="AC944">
        <v>10.19</v>
      </c>
      <c r="AD944">
        <v>28.08</v>
      </c>
      <c r="AE944">
        <v>11.79</v>
      </c>
      <c r="AF944">
        <v>60.45</v>
      </c>
      <c r="AG944">
        <v>18.079999999999998</v>
      </c>
      <c r="AH944">
        <v>39.76</v>
      </c>
      <c r="AI944">
        <v>66.930000000000007</v>
      </c>
      <c r="AJ944">
        <v>118.44</v>
      </c>
      <c r="AK944">
        <v>46.49</v>
      </c>
      <c r="AL944">
        <v>17.98</v>
      </c>
      <c r="AM944">
        <v>13.52</v>
      </c>
      <c r="AN944">
        <v>60.11</v>
      </c>
      <c r="AO944" s="1">
        <f t="shared" si="44"/>
        <v>491.82</v>
      </c>
    </row>
    <row r="945" spans="1:41" x14ac:dyDescent="0.25">
      <c r="A945" t="s">
        <v>988</v>
      </c>
      <c r="B945" s="2">
        <v>0</v>
      </c>
      <c r="C945" s="2">
        <v>5090.1614644090896</v>
      </c>
      <c r="D945" s="2">
        <v>3640.0619892869099</v>
      </c>
      <c r="E945" s="2">
        <v>1629.7561047412501</v>
      </c>
      <c r="F945" s="2">
        <v>7620.3600798819598</v>
      </c>
      <c r="G945" s="2">
        <v>2760.66048537396</v>
      </c>
      <c r="H945" s="2">
        <v>4284.1438331829304</v>
      </c>
      <c r="I945" s="2">
        <v>7841.3323673279001</v>
      </c>
      <c r="J945" s="2">
        <v>6520.8674027106799</v>
      </c>
      <c r="K945" s="2">
        <v>1948.3918294902401</v>
      </c>
      <c r="L945" s="2">
        <v>3536.4348243151098</v>
      </c>
      <c r="M945" s="2">
        <v>1493.53227234989</v>
      </c>
      <c r="N945" s="3">
        <f t="shared" si="42"/>
        <v>46365.702653069922</v>
      </c>
      <c r="O945" s="2">
        <v>14.6013741329906</v>
      </c>
      <c r="P945" s="2">
        <v>2.0895640790380399</v>
      </c>
      <c r="Q945" s="2">
        <v>0.86529241654695299</v>
      </c>
      <c r="R945" s="2">
        <v>4.18155018595776</v>
      </c>
      <c r="S945" s="2">
        <v>0.93861192758192102</v>
      </c>
      <c r="T945" s="2">
        <v>1.6183830100910701</v>
      </c>
      <c r="U945" s="2">
        <v>4.2964666427140399</v>
      </c>
      <c r="V945" s="2">
        <v>0</v>
      </c>
      <c r="W945" s="2">
        <v>8.2204793201062607</v>
      </c>
      <c r="X945" s="2">
        <v>1.9644531548653901</v>
      </c>
      <c r="Y945" s="2">
        <v>0</v>
      </c>
      <c r="Z945" s="2">
        <v>1.65876215274141</v>
      </c>
      <c r="AA945" s="3">
        <f t="shared" si="43"/>
        <v>40.434937022633449</v>
      </c>
      <c r="AB945" t="s">
        <v>45</v>
      </c>
      <c r="AC945">
        <v>10.74</v>
      </c>
      <c r="AD945">
        <v>61.05</v>
      </c>
      <c r="AE945">
        <v>46.45</v>
      </c>
      <c r="AF945">
        <v>26.54</v>
      </c>
      <c r="AG945">
        <v>86.25</v>
      </c>
      <c r="AH945">
        <v>37.700000000000003</v>
      </c>
      <c r="AI945">
        <v>53.09</v>
      </c>
      <c r="AJ945">
        <v>88.41</v>
      </c>
      <c r="AK945">
        <v>75.650000000000006</v>
      </c>
      <c r="AL945">
        <v>29.58</v>
      </c>
      <c r="AM945">
        <v>45.36</v>
      </c>
      <c r="AN945">
        <v>25.03</v>
      </c>
      <c r="AO945" s="1">
        <f t="shared" si="44"/>
        <v>585.85</v>
      </c>
    </row>
    <row r="946" spans="1:41" x14ac:dyDescent="0.25">
      <c r="A946" t="s">
        <v>989</v>
      </c>
      <c r="B946" s="2">
        <v>0</v>
      </c>
      <c r="C946" s="2">
        <v>63.586070613355702</v>
      </c>
      <c r="D946" s="2">
        <v>2302.6181841560001</v>
      </c>
      <c r="E946" s="2">
        <v>4175.6466738002</v>
      </c>
      <c r="F946" s="2">
        <v>2969.5378102141799</v>
      </c>
      <c r="G946" s="2">
        <v>0</v>
      </c>
      <c r="H946" s="2">
        <v>9328.6101973490895</v>
      </c>
      <c r="I946" s="2">
        <v>6781.6459601256802</v>
      </c>
      <c r="J946" s="2">
        <v>12158.2838330426</v>
      </c>
      <c r="K946" s="2">
        <v>809.23275838014695</v>
      </c>
      <c r="L946" s="2">
        <v>4001.0357977152798</v>
      </c>
      <c r="M946" s="2">
        <v>1410.4537592531301</v>
      </c>
      <c r="N946" s="3">
        <f t="shared" si="42"/>
        <v>44000.651044649661</v>
      </c>
      <c r="O946" s="2">
        <v>0.15900640439687899</v>
      </c>
      <c r="P946" s="2">
        <v>1.86083798202197</v>
      </c>
      <c r="Q946" s="2">
        <v>9.2048700204379301</v>
      </c>
      <c r="R946" s="2">
        <v>3.1277583052176698</v>
      </c>
      <c r="S946" s="2">
        <v>5.4941302968448698</v>
      </c>
      <c r="T946" s="2">
        <v>5.5504001530975398</v>
      </c>
      <c r="U946" s="2">
        <v>5.4316920900507801</v>
      </c>
      <c r="V946" s="2">
        <v>3.2681917246745802</v>
      </c>
      <c r="W946" s="2">
        <v>8.72412273372443</v>
      </c>
      <c r="X946" s="2">
        <v>1.8375748666462901</v>
      </c>
      <c r="Y946" s="2">
        <v>9.21543740324163</v>
      </c>
      <c r="Z946" s="2">
        <v>1.8207734008812799</v>
      </c>
      <c r="AA946" s="3">
        <f t="shared" si="43"/>
        <v>55.694795381235849</v>
      </c>
      <c r="AB946" t="s">
        <v>45</v>
      </c>
      <c r="AC946">
        <v>10.039999999999999</v>
      </c>
      <c r="AD946">
        <v>10.73</v>
      </c>
      <c r="AE946">
        <v>33.520000000000003</v>
      </c>
      <c r="AF946">
        <v>51.95</v>
      </c>
      <c r="AG946">
        <v>39.99</v>
      </c>
      <c r="AH946">
        <v>10.29</v>
      </c>
      <c r="AI946">
        <v>103.58</v>
      </c>
      <c r="AJ946">
        <v>78.010000000000005</v>
      </c>
      <c r="AK946">
        <v>132.03</v>
      </c>
      <c r="AL946">
        <v>18.190000000000001</v>
      </c>
      <c r="AM946">
        <v>50.51</v>
      </c>
      <c r="AN946">
        <v>24.2</v>
      </c>
      <c r="AO946" s="1">
        <f t="shared" si="44"/>
        <v>563.04000000000008</v>
      </c>
    </row>
    <row r="947" spans="1:41" x14ac:dyDescent="0.25">
      <c r="A947" t="s">
        <v>990</v>
      </c>
      <c r="B947" s="2">
        <v>0</v>
      </c>
      <c r="C947" s="2">
        <v>8554.2371007505099</v>
      </c>
      <c r="D947" s="2">
        <v>283.10010413305503</v>
      </c>
      <c r="E947" s="2">
        <v>12433.7838131103</v>
      </c>
      <c r="F947" s="2">
        <v>0</v>
      </c>
      <c r="G947" s="2">
        <v>2855.7323543359098</v>
      </c>
      <c r="H947" s="2">
        <v>26736.598621208901</v>
      </c>
      <c r="I947" s="2">
        <v>498.47953204806203</v>
      </c>
      <c r="J947" s="2">
        <v>1754.8083086256099</v>
      </c>
      <c r="K947" s="2">
        <v>5914.0762180142501</v>
      </c>
      <c r="L947" s="2">
        <v>243.73511183200699</v>
      </c>
      <c r="M947" s="2">
        <v>4605.69622288549</v>
      </c>
      <c r="N947" s="3">
        <f t="shared" si="42"/>
        <v>63880.247386944095</v>
      </c>
      <c r="O947" s="2">
        <v>3.7965362056908001</v>
      </c>
      <c r="P947" s="2">
        <v>2.3862084636224501</v>
      </c>
      <c r="Q947" s="2">
        <v>3.0260950263612898</v>
      </c>
      <c r="R947" s="2">
        <v>6.2839609060420596</v>
      </c>
      <c r="S947" s="2">
        <v>3.6974765652970998</v>
      </c>
      <c r="T947" s="2">
        <v>0</v>
      </c>
      <c r="U947" s="2">
        <v>3.80020667078161</v>
      </c>
      <c r="V947" s="2">
        <v>1.32659853344631</v>
      </c>
      <c r="W947" s="2">
        <v>9.1745543007048909</v>
      </c>
      <c r="X947" s="2">
        <v>3.2308232139231801</v>
      </c>
      <c r="Y947" s="2">
        <v>1.4854172814455799</v>
      </c>
      <c r="Z947" s="2">
        <v>0.54717037346347996</v>
      </c>
      <c r="AA947" s="3">
        <f t="shared" si="43"/>
        <v>38.755047540778747</v>
      </c>
      <c r="AB947" t="s">
        <v>45</v>
      </c>
      <c r="AC947">
        <v>10.19</v>
      </c>
      <c r="AD947">
        <v>95.69</v>
      </c>
      <c r="AE947">
        <v>13.03</v>
      </c>
      <c r="AF947">
        <v>134.68</v>
      </c>
      <c r="AG947">
        <v>10.19</v>
      </c>
      <c r="AH947">
        <v>38.549999999999997</v>
      </c>
      <c r="AI947">
        <v>277.56</v>
      </c>
      <c r="AJ947">
        <v>15.08</v>
      </c>
      <c r="AK947">
        <v>28.04</v>
      </c>
      <c r="AL947">
        <v>69.34</v>
      </c>
      <c r="AM947">
        <v>12.53</v>
      </c>
      <c r="AN947">
        <v>56.1</v>
      </c>
      <c r="AO947" s="1">
        <f t="shared" si="44"/>
        <v>760.98000000000013</v>
      </c>
    </row>
    <row r="948" spans="1:41" x14ac:dyDescent="0.25">
      <c r="A948" t="s">
        <v>991</v>
      </c>
      <c r="B948" s="2">
        <v>0</v>
      </c>
      <c r="C948" s="2">
        <v>2068.4690033451102</v>
      </c>
      <c r="D948" s="2">
        <v>695.57056028270097</v>
      </c>
      <c r="E948" s="2">
        <v>3547.2626554261701</v>
      </c>
      <c r="F948" s="2">
        <v>14517.297247480599</v>
      </c>
      <c r="G948" s="2">
        <v>2512.6481512329301</v>
      </c>
      <c r="H948" s="2">
        <v>2011.5239055069701</v>
      </c>
      <c r="I948" s="2">
        <v>1475.6140644246</v>
      </c>
      <c r="J948" s="2">
        <v>4918.1779725341803</v>
      </c>
      <c r="K948" s="2">
        <v>192.64477479041199</v>
      </c>
      <c r="L948" s="2">
        <v>11892.7067178734</v>
      </c>
      <c r="M948" s="2">
        <v>2847.4780792842898</v>
      </c>
      <c r="N948" s="3">
        <f t="shared" si="42"/>
        <v>46679.393132181358</v>
      </c>
      <c r="O948" s="2">
        <v>0.98289337479599403</v>
      </c>
      <c r="P948" s="2">
        <v>1.4341574507455701</v>
      </c>
      <c r="Q948" s="2">
        <v>0</v>
      </c>
      <c r="R948" s="2">
        <v>7.8481970864305897</v>
      </c>
      <c r="S948" s="2">
        <v>5.57149366430572</v>
      </c>
      <c r="T948" s="2">
        <v>2.6579423569009899</v>
      </c>
      <c r="U948" s="2">
        <v>3.8538335683214302</v>
      </c>
      <c r="V948" s="2">
        <v>3.99225864578134</v>
      </c>
      <c r="W948" s="2">
        <v>3.1833237889086701</v>
      </c>
      <c r="X948" s="2">
        <v>1.8009139812216699</v>
      </c>
      <c r="Y948" s="2">
        <v>8.3857744271540504</v>
      </c>
      <c r="Z948" s="2">
        <v>0.11910167561498</v>
      </c>
      <c r="AA948" s="3">
        <f t="shared" si="43"/>
        <v>39.829890020181004</v>
      </c>
      <c r="AB948" t="s">
        <v>45</v>
      </c>
      <c r="AC948">
        <v>10.039999999999999</v>
      </c>
      <c r="AD948">
        <v>30.78</v>
      </c>
      <c r="AE948">
        <v>16.95</v>
      </c>
      <c r="AF948">
        <v>45.87</v>
      </c>
      <c r="AG948">
        <v>155.47</v>
      </c>
      <c r="AH948">
        <v>35.270000000000003</v>
      </c>
      <c r="AI948">
        <v>30.31</v>
      </c>
      <c r="AJ948">
        <v>24.95</v>
      </c>
      <c r="AK948">
        <v>59.38</v>
      </c>
      <c r="AL948">
        <v>12.02</v>
      </c>
      <c r="AM948">
        <v>129.37</v>
      </c>
      <c r="AN948">
        <v>38.520000000000003</v>
      </c>
      <c r="AO948" s="1">
        <f t="shared" si="44"/>
        <v>588.92999999999995</v>
      </c>
    </row>
    <row r="949" spans="1:41" x14ac:dyDescent="0.25">
      <c r="A949" t="s">
        <v>992</v>
      </c>
      <c r="B949" s="2">
        <v>0</v>
      </c>
      <c r="C949" s="2">
        <v>5769.4767659074296</v>
      </c>
      <c r="D949" s="2">
        <v>5927.6481915500899</v>
      </c>
      <c r="E949" s="2">
        <v>4890.5559410382002</v>
      </c>
      <c r="F949" s="2">
        <v>382.825381940988</v>
      </c>
      <c r="G949" s="2">
        <v>4217.6233636323304</v>
      </c>
      <c r="H949" s="2">
        <v>1305.21953913368</v>
      </c>
      <c r="I949" s="2">
        <v>2043.31282347205</v>
      </c>
      <c r="J949" s="2">
        <v>754.442896989107</v>
      </c>
      <c r="K949" s="2">
        <v>9398.87418724911</v>
      </c>
      <c r="L949" s="2">
        <v>942.14410719951604</v>
      </c>
      <c r="M949" s="2">
        <v>2971.3993358162302</v>
      </c>
      <c r="N949" s="3">
        <f t="shared" si="42"/>
        <v>38603.522533928735</v>
      </c>
      <c r="O949" s="2">
        <v>1.4061369182805801</v>
      </c>
      <c r="P949" s="2">
        <v>2.4444008024372001</v>
      </c>
      <c r="Q949" s="2">
        <v>6.1520596719608998</v>
      </c>
      <c r="R949" s="2">
        <v>9.2948667525805693</v>
      </c>
      <c r="S949" s="2">
        <v>9.0367288878903302</v>
      </c>
      <c r="T949" s="2">
        <v>5.3916785751683998</v>
      </c>
      <c r="U949" s="2">
        <v>8.8367753008991397</v>
      </c>
      <c r="V949" s="2">
        <v>1.9468333710108501</v>
      </c>
      <c r="W949" s="2">
        <v>0.35880580602631601</v>
      </c>
      <c r="X949" s="2">
        <v>1.4556244775071601</v>
      </c>
      <c r="Y949" s="2">
        <v>0.90654344393327102</v>
      </c>
      <c r="Z949" s="2">
        <v>0.73464788537731995</v>
      </c>
      <c r="AA949" s="3">
        <f t="shared" si="43"/>
        <v>47.965101893072038</v>
      </c>
      <c r="AB949" t="s">
        <v>45</v>
      </c>
      <c r="AC949">
        <v>10.09</v>
      </c>
      <c r="AD949">
        <v>67.84</v>
      </c>
      <c r="AE949">
        <v>69.62</v>
      </c>
      <c r="AF949">
        <v>59.4</v>
      </c>
      <c r="AG949">
        <v>14.32</v>
      </c>
      <c r="AH949">
        <v>52.47</v>
      </c>
      <c r="AI949">
        <v>23.5</v>
      </c>
      <c r="AJ949">
        <v>30.53</v>
      </c>
      <c r="AK949">
        <v>17.59</v>
      </c>
      <c r="AL949">
        <v>104.08</v>
      </c>
      <c r="AM949">
        <v>19.47</v>
      </c>
      <c r="AN949">
        <v>39.76</v>
      </c>
      <c r="AO949" s="1">
        <f t="shared" si="44"/>
        <v>508.66999999999996</v>
      </c>
    </row>
    <row r="950" spans="1:41" x14ac:dyDescent="0.25">
      <c r="A950" t="s">
        <v>993</v>
      </c>
      <c r="C950">
        <v>5504.6600289857597</v>
      </c>
      <c r="D950">
        <v>2570.65489474169</v>
      </c>
      <c r="E950">
        <v>3231.99616257459</v>
      </c>
      <c r="F950">
        <v>980.81565163062896</v>
      </c>
      <c r="G950">
        <v>5089.2196124756001</v>
      </c>
      <c r="H950">
        <v>0</v>
      </c>
      <c r="I950">
        <v>584.03413981634299</v>
      </c>
      <c r="J950">
        <v>4044.8953716026199</v>
      </c>
      <c r="K950">
        <v>8117.0924271494796</v>
      </c>
      <c r="L950">
        <v>262.86767379991602</v>
      </c>
      <c r="M950">
        <v>3653.2444801411598</v>
      </c>
      <c r="N950" s="1">
        <f t="shared" si="42"/>
        <v>34039.480442917789</v>
      </c>
      <c r="P950">
        <v>0</v>
      </c>
      <c r="Q950">
        <v>0</v>
      </c>
      <c r="R950">
        <v>3.3525873646814</v>
      </c>
      <c r="S950">
        <v>1.84593142138417</v>
      </c>
      <c r="T950">
        <v>1.17285165183087</v>
      </c>
      <c r="U950">
        <v>2.8181484011501801</v>
      </c>
      <c r="V950">
        <v>1.97461153753804</v>
      </c>
      <c r="W950">
        <v>2.2603125543364699</v>
      </c>
      <c r="X950">
        <v>0.410157336844577</v>
      </c>
      <c r="Y950">
        <v>14.0587390440596</v>
      </c>
      <c r="Z950">
        <v>3.7040511442301298</v>
      </c>
      <c r="AA950" s="1">
        <f t="shared" si="43"/>
        <v>31.597390456055436</v>
      </c>
      <c r="AB950" t="s">
        <v>63</v>
      </c>
      <c r="AD950">
        <v>110.1</v>
      </c>
      <c r="AE950">
        <v>51.42</v>
      </c>
      <c r="AF950">
        <v>65</v>
      </c>
      <c r="AG950">
        <v>19.8</v>
      </c>
      <c r="AH950">
        <v>101.98</v>
      </c>
      <c r="AI950">
        <v>0.27</v>
      </c>
      <c r="AJ950">
        <v>11.88</v>
      </c>
      <c r="AK950">
        <v>81.17</v>
      </c>
      <c r="AL950">
        <v>162.44999999999999</v>
      </c>
      <c r="AM950">
        <v>6.61</v>
      </c>
      <c r="AN950">
        <v>73.44</v>
      </c>
      <c r="AO950" s="1">
        <f t="shared" si="44"/>
        <v>684.11999999999989</v>
      </c>
    </row>
    <row r="951" spans="1:41" x14ac:dyDescent="0.25">
      <c r="A951" t="s">
        <v>994</v>
      </c>
      <c r="C951">
        <v>5208.7134823127599</v>
      </c>
      <c r="D951">
        <v>1337.1389638513999</v>
      </c>
      <c r="E951">
        <v>2371.1417079352</v>
      </c>
      <c r="F951">
        <v>2223.9050093416099</v>
      </c>
      <c r="G951">
        <v>2951.73476041514</v>
      </c>
      <c r="H951">
        <v>401.81232718056401</v>
      </c>
      <c r="I951">
        <v>785.06155700285797</v>
      </c>
      <c r="J951">
        <v>3534.9555779457701</v>
      </c>
      <c r="K951">
        <v>2500.7236694737198</v>
      </c>
      <c r="L951">
        <v>3291.6458144384801</v>
      </c>
      <c r="M951">
        <v>3384.3168383882098</v>
      </c>
      <c r="N951" s="1">
        <f t="shared" si="42"/>
        <v>27991.149708285713</v>
      </c>
      <c r="P951">
        <v>0.41467863101719399</v>
      </c>
      <c r="Q951">
        <v>3.4933205401212302</v>
      </c>
      <c r="R951">
        <v>0.31359202990276502</v>
      </c>
      <c r="S951">
        <v>3.2341817856560802</v>
      </c>
      <c r="T951">
        <v>6.6733167156504898</v>
      </c>
      <c r="U951">
        <v>0.84185885405063599</v>
      </c>
      <c r="V951">
        <v>4.1716721781848998</v>
      </c>
      <c r="W951">
        <v>5.43950612949833</v>
      </c>
      <c r="X951">
        <v>0</v>
      </c>
      <c r="Y951">
        <v>5.5492367828889702</v>
      </c>
      <c r="Z951">
        <v>4.1568869676779201</v>
      </c>
      <c r="AA951" s="1">
        <f t="shared" si="43"/>
        <v>34.288250614648518</v>
      </c>
      <c r="AB951" t="s">
        <v>63</v>
      </c>
      <c r="AD951">
        <v>104.27</v>
      </c>
      <c r="AE951">
        <v>27.12</v>
      </c>
      <c r="AF951">
        <v>47.53</v>
      </c>
      <c r="AG951">
        <v>44.84</v>
      </c>
      <c r="AH951">
        <v>59.67</v>
      </c>
      <c r="AI951">
        <v>8.1300000000000008</v>
      </c>
      <c r="AJ951">
        <v>16.170000000000002</v>
      </c>
      <c r="AK951">
        <v>71.239999999999995</v>
      </c>
      <c r="AL951">
        <v>50.02</v>
      </c>
      <c r="AM951">
        <v>66.38</v>
      </c>
      <c r="AN951">
        <v>68.150000000000006</v>
      </c>
      <c r="AO951" s="1">
        <f t="shared" si="44"/>
        <v>563.52</v>
      </c>
    </row>
    <row r="952" spans="1:41" x14ac:dyDescent="0.25">
      <c r="A952" t="s">
        <v>995</v>
      </c>
      <c r="C952">
        <v>5014.0863037306399</v>
      </c>
      <c r="D952">
        <v>3215.6056991185101</v>
      </c>
      <c r="E952">
        <v>159.10658208221199</v>
      </c>
      <c r="F952">
        <v>1128.1899021674899</v>
      </c>
      <c r="G952">
        <v>4426.5064492234997</v>
      </c>
      <c r="H952">
        <v>595.374319197722</v>
      </c>
      <c r="I952">
        <v>548.63894322109604</v>
      </c>
      <c r="J952">
        <v>2367.3917720397799</v>
      </c>
      <c r="K952">
        <v>6626.3280671918201</v>
      </c>
      <c r="L952">
        <v>1109.3063220782799</v>
      </c>
      <c r="M952">
        <v>724.74798199848306</v>
      </c>
      <c r="N952" s="1">
        <f t="shared" si="42"/>
        <v>25915.28234204953</v>
      </c>
      <c r="P952">
        <v>1.0889759000374499</v>
      </c>
      <c r="Q952">
        <v>1.4563872012777499</v>
      </c>
      <c r="R952">
        <v>0</v>
      </c>
      <c r="S952">
        <v>2.4493562991478299</v>
      </c>
      <c r="T952">
        <v>6.1765685174181204</v>
      </c>
      <c r="U952">
        <v>11.821107144791901</v>
      </c>
      <c r="V952">
        <v>2.32934181663886</v>
      </c>
      <c r="W952">
        <v>3.0301253082022601</v>
      </c>
      <c r="X952">
        <v>0.69447142890903302</v>
      </c>
      <c r="Y952">
        <v>3.54592951870017</v>
      </c>
      <c r="Z952">
        <v>1.5392782351179899</v>
      </c>
      <c r="AA952" s="1">
        <f t="shared" si="43"/>
        <v>34.131541370241365</v>
      </c>
      <c r="AB952" t="s">
        <v>63</v>
      </c>
      <c r="AD952">
        <v>100.48</v>
      </c>
      <c r="AE952">
        <v>64.5</v>
      </c>
      <c r="AF952">
        <v>3.2</v>
      </c>
      <c r="AG952">
        <v>22.85</v>
      </c>
      <c r="AH952">
        <v>89.17</v>
      </c>
      <c r="AI952">
        <v>13</v>
      </c>
      <c r="AJ952">
        <v>11.25</v>
      </c>
      <c r="AK952">
        <v>47.72</v>
      </c>
      <c r="AL952">
        <v>132.63</v>
      </c>
      <c r="AM952">
        <v>22.56</v>
      </c>
      <c r="AN952">
        <v>14.68</v>
      </c>
      <c r="AO952" s="1">
        <f t="shared" si="44"/>
        <v>522.04</v>
      </c>
    </row>
    <row r="953" spans="1:41" x14ac:dyDescent="0.25">
      <c r="A953" t="s">
        <v>996</v>
      </c>
      <c r="C953">
        <v>4180.8798763939603</v>
      </c>
      <c r="D953">
        <v>2279.2318452024101</v>
      </c>
      <c r="E953">
        <v>1075.7987205070599</v>
      </c>
      <c r="F953">
        <v>1523.35224494042</v>
      </c>
      <c r="G953">
        <v>1439.1577891634299</v>
      </c>
      <c r="H953">
        <v>661.56517911753303</v>
      </c>
      <c r="I953">
        <v>5161.8153860943003</v>
      </c>
      <c r="J953">
        <v>4260.4521162111596</v>
      </c>
      <c r="K953">
        <v>1780.7453529329</v>
      </c>
      <c r="L953">
        <v>2335.6094249984098</v>
      </c>
      <c r="M953">
        <v>1876.99116878427</v>
      </c>
      <c r="N953" s="1">
        <f t="shared" si="42"/>
        <v>26575.599104345849</v>
      </c>
      <c r="P953">
        <v>4.6755479092230198E-2</v>
      </c>
      <c r="Q953">
        <v>17.2313878377024</v>
      </c>
      <c r="R953">
        <v>0.31299280219173897</v>
      </c>
      <c r="S953">
        <v>6.6335265330392996</v>
      </c>
      <c r="T953">
        <v>3.1937213888169498</v>
      </c>
      <c r="U953">
        <v>4.6393140550415497</v>
      </c>
      <c r="V953">
        <v>2.4992258041686002</v>
      </c>
      <c r="W953">
        <v>1.25654447811993</v>
      </c>
      <c r="X953">
        <v>9.5745005183537693</v>
      </c>
      <c r="Y953">
        <v>11.077008009649701</v>
      </c>
      <c r="Z953">
        <v>8.0202037402486397</v>
      </c>
      <c r="AA953" s="1">
        <f t="shared" si="43"/>
        <v>64.485180646424823</v>
      </c>
      <c r="AB953" t="s">
        <v>63</v>
      </c>
      <c r="AD953">
        <v>83.71</v>
      </c>
      <c r="AE953">
        <v>47.22</v>
      </c>
      <c r="AF953">
        <v>21.61</v>
      </c>
      <c r="AG953">
        <v>31.11</v>
      </c>
      <c r="AH953">
        <v>29.16</v>
      </c>
      <c r="AI953">
        <v>13.69</v>
      </c>
      <c r="AJ953">
        <v>103.51</v>
      </c>
      <c r="AK953">
        <v>85.4</v>
      </c>
      <c r="AL953">
        <v>36.520000000000003</v>
      </c>
      <c r="AM953">
        <v>47.8</v>
      </c>
      <c r="AN953">
        <v>38.35</v>
      </c>
      <c r="AO953" s="1">
        <f t="shared" si="44"/>
        <v>538.08000000000004</v>
      </c>
    </row>
    <row r="954" spans="1:41" x14ac:dyDescent="0.25">
      <c r="A954" t="s">
        <v>997</v>
      </c>
      <c r="C954">
        <v>3986.9135079472399</v>
      </c>
      <c r="D954">
        <v>6238.22323253168</v>
      </c>
      <c r="E954">
        <v>2244.9441537651701</v>
      </c>
      <c r="F954">
        <v>1717.2879448676699</v>
      </c>
      <c r="G954">
        <v>339.70410382417401</v>
      </c>
      <c r="H954">
        <v>5451.0594751884</v>
      </c>
      <c r="I954">
        <v>596.15930424423902</v>
      </c>
      <c r="J954">
        <v>2185.4463092910501</v>
      </c>
      <c r="K954">
        <v>1056.8738668424401</v>
      </c>
      <c r="L954">
        <v>3156.71874378038</v>
      </c>
      <c r="M954">
        <v>4557.2185726166699</v>
      </c>
      <c r="N954" s="1">
        <f t="shared" si="42"/>
        <v>31530.549214899118</v>
      </c>
      <c r="P954">
        <v>8.0788459493170208</v>
      </c>
      <c r="Q954">
        <v>4.1142584773361799</v>
      </c>
      <c r="R954">
        <v>8.0662553917338702</v>
      </c>
      <c r="S954">
        <v>0</v>
      </c>
      <c r="T954">
        <v>14.411464688576901</v>
      </c>
      <c r="U954">
        <v>4.8176332718634001</v>
      </c>
      <c r="V954">
        <v>0.18427497095541001</v>
      </c>
      <c r="W954">
        <v>5.6750868204507396</v>
      </c>
      <c r="X954">
        <v>0.17750264069746399</v>
      </c>
      <c r="Y954">
        <v>7.4128378392155403</v>
      </c>
      <c r="Z954">
        <v>0.439477216360464</v>
      </c>
      <c r="AA954" s="1">
        <f t="shared" si="43"/>
        <v>53.37763726650698</v>
      </c>
      <c r="AB954" t="s">
        <v>63</v>
      </c>
      <c r="AD954">
        <v>80.55</v>
      </c>
      <c r="AE954">
        <v>125.23</v>
      </c>
      <c r="AF954">
        <v>45.71</v>
      </c>
      <c r="AG954">
        <v>34.36</v>
      </c>
      <c r="AH954">
        <v>8.15</v>
      </c>
      <c r="AI954">
        <v>109.49</v>
      </c>
      <c r="AJ954">
        <v>12.03</v>
      </c>
      <c r="AK954">
        <v>44.26</v>
      </c>
      <c r="AL954">
        <v>21.23</v>
      </c>
      <c r="AM954">
        <v>63.86</v>
      </c>
      <c r="AN954">
        <v>91.25</v>
      </c>
      <c r="AO954" s="1">
        <f t="shared" si="44"/>
        <v>636.12</v>
      </c>
    </row>
    <row r="955" spans="1:41" x14ac:dyDescent="0.25">
      <c r="A955" t="s">
        <v>998</v>
      </c>
      <c r="C955">
        <v>3189.72447146885</v>
      </c>
      <c r="D955">
        <v>0</v>
      </c>
      <c r="E955">
        <v>112.860299006076</v>
      </c>
      <c r="F955">
        <v>2318.5949265972399</v>
      </c>
      <c r="G955">
        <v>982.75861370336395</v>
      </c>
      <c r="H955">
        <v>6309.3868854086504</v>
      </c>
      <c r="I955">
        <v>1647.32419340362</v>
      </c>
      <c r="J955">
        <v>14310.023684396099</v>
      </c>
      <c r="K955">
        <v>4528.1777130426399</v>
      </c>
      <c r="L955">
        <v>0</v>
      </c>
      <c r="M955">
        <v>1466.6295809242399</v>
      </c>
      <c r="N955" s="1">
        <f t="shared" si="42"/>
        <v>34865.480367950775</v>
      </c>
      <c r="P955">
        <v>1.10550329721811</v>
      </c>
      <c r="Q955">
        <v>1.0292283289003601</v>
      </c>
      <c r="R955">
        <v>0.93950205976159396</v>
      </c>
      <c r="S955">
        <v>4.5804589904222999</v>
      </c>
      <c r="T955">
        <v>2.0656365559794998</v>
      </c>
      <c r="U955">
        <v>10.435644389504001</v>
      </c>
      <c r="V955">
        <v>3.37428017016809</v>
      </c>
      <c r="W955">
        <v>19.297175352413099</v>
      </c>
      <c r="X955">
        <v>8.8811674967370902</v>
      </c>
      <c r="Y955">
        <v>0.74800420529015599</v>
      </c>
      <c r="Z955">
        <v>9.9542265858279606</v>
      </c>
      <c r="AA955" s="1">
        <f t="shared" si="43"/>
        <v>62.410827432222263</v>
      </c>
      <c r="AB955" t="s">
        <v>63</v>
      </c>
      <c r="AD955">
        <v>63.98</v>
      </c>
      <c r="AE955">
        <v>0.18</v>
      </c>
      <c r="AF955">
        <v>2.35</v>
      </c>
      <c r="AG955">
        <v>46.83</v>
      </c>
      <c r="AH955">
        <v>19.93</v>
      </c>
      <c r="AI955">
        <v>127.19</v>
      </c>
      <c r="AJ955">
        <v>33.32</v>
      </c>
      <c r="AK955">
        <v>288.02</v>
      </c>
      <c r="AL955">
        <v>91.39</v>
      </c>
      <c r="AM955">
        <v>0.09</v>
      </c>
      <c r="AN955">
        <v>30.24</v>
      </c>
      <c r="AO955" s="1">
        <f t="shared" si="44"/>
        <v>703.52</v>
      </c>
    </row>
    <row r="956" spans="1:41" x14ac:dyDescent="0.25">
      <c r="A956" t="s">
        <v>999</v>
      </c>
      <c r="C956">
        <v>3175.6350561198801</v>
      </c>
      <c r="D956">
        <v>3969.0511675099101</v>
      </c>
      <c r="E956">
        <v>3242.88253772488</v>
      </c>
      <c r="F956">
        <v>1650.7160791189899</v>
      </c>
      <c r="G956">
        <v>882.34254266799701</v>
      </c>
      <c r="H956">
        <v>1825.3119712248699</v>
      </c>
      <c r="I956">
        <v>1533.6087262398401</v>
      </c>
      <c r="J956">
        <v>0</v>
      </c>
      <c r="K956">
        <v>6793.5768619693899</v>
      </c>
      <c r="L956">
        <v>1678.0995186120199</v>
      </c>
      <c r="M956">
        <v>9342.7451878154698</v>
      </c>
      <c r="N956" s="1">
        <f t="shared" si="42"/>
        <v>34093.969649003244</v>
      </c>
      <c r="P956">
        <v>0</v>
      </c>
      <c r="Q956">
        <v>9.6370732163689201</v>
      </c>
      <c r="R956">
        <v>10.644249961642201</v>
      </c>
      <c r="S956">
        <v>0</v>
      </c>
      <c r="T956">
        <v>8.1302692551606895E-2</v>
      </c>
      <c r="U956">
        <v>5.41599448471315</v>
      </c>
      <c r="V956">
        <v>5.9521681214203097</v>
      </c>
      <c r="W956">
        <v>1.6006319466038701</v>
      </c>
      <c r="X956">
        <v>2.13840915994412</v>
      </c>
      <c r="Y956">
        <v>3.3199289427849501</v>
      </c>
      <c r="Z956">
        <v>1.6563321166292599</v>
      </c>
      <c r="AA956" s="1">
        <f t="shared" si="43"/>
        <v>40.446090642658383</v>
      </c>
      <c r="AB956" t="s">
        <v>63</v>
      </c>
      <c r="AD956">
        <v>63.52</v>
      </c>
      <c r="AE956">
        <v>80.3</v>
      </c>
      <c r="AF956">
        <v>65.849999999999994</v>
      </c>
      <c r="AG956">
        <v>33.020000000000003</v>
      </c>
      <c r="AH956">
        <v>17.75</v>
      </c>
      <c r="AI956">
        <v>37.06</v>
      </c>
      <c r="AJ956">
        <v>31.22</v>
      </c>
      <c r="AK956">
        <v>0.18</v>
      </c>
      <c r="AL956">
        <v>136.15</v>
      </c>
      <c r="AM956">
        <v>33.94</v>
      </c>
      <c r="AN956">
        <v>187.04</v>
      </c>
      <c r="AO956" s="1">
        <f t="shared" si="44"/>
        <v>686.03000000000009</v>
      </c>
    </row>
    <row r="957" spans="1:41" x14ac:dyDescent="0.25">
      <c r="A957" t="s">
        <v>1000</v>
      </c>
      <c r="C957">
        <v>2664.0765582500198</v>
      </c>
      <c r="D957">
        <v>3063.4038075743501</v>
      </c>
      <c r="E957">
        <v>1876.2938787344301</v>
      </c>
      <c r="F957">
        <v>3048.4531311777901</v>
      </c>
      <c r="G957">
        <v>704.35463418829704</v>
      </c>
      <c r="H957">
        <v>1069.3947276078</v>
      </c>
      <c r="I957">
        <v>2704.17418808098</v>
      </c>
      <c r="J957">
        <v>7947.6785064246897</v>
      </c>
      <c r="K957">
        <v>718.97870183322095</v>
      </c>
      <c r="L957">
        <v>2939.4831942164901</v>
      </c>
      <c r="M957">
        <v>329.93919155962698</v>
      </c>
      <c r="N957" s="1">
        <f t="shared" si="42"/>
        <v>27066.230519647695</v>
      </c>
      <c r="P957">
        <v>0</v>
      </c>
      <c r="Q957">
        <v>0.157255896914996</v>
      </c>
      <c r="R957">
        <v>0</v>
      </c>
      <c r="S957">
        <v>0.86068744772551597</v>
      </c>
      <c r="T957">
        <v>7.3222978071785496</v>
      </c>
      <c r="U957">
        <v>0</v>
      </c>
      <c r="V957">
        <v>5.7821692541586502</v>
      </c>
      <c r="W957">
        <v>0.74302976890956596</v>
      </c>
      <c r="X957">
        <v>8.91929026229875</v>
      </c>
      <c r="Y957">
        <v>2.7349859846031599</v>
      </c>
      <c r="Z957">
        <v>0.53455324038249696</v>
      </c>
      <c r="AA957" s="1">
        <f t="shared" si="43"/>
        <v>27.054269662171684</v>
      </c>
      <c r="AB957" t="s">
        <v>63</v>
      </c>
      <c r="AD957">
        <v>53.3</v>
      </c>
      <c r="AE957">
        <v>61.37</v>
      </c>
      <c r="AF957">
        <v>37.54</v>
      </c>
      <c r="AG957">
        <v>61.07</v>
      </c>
      <c r="AH957">
        <v>14.82</v>
      </c>
      <c r="AI957">
        <v>21.4</v>
      </c>
      <c r="AJ957">
        <v>54.64</v>
      </c>
      <c r="AK957">
        <v>159.05000000000001</v>
      </c>
      <c r="AL957">
        <v>15.19</v>
      </c>
      <c r="AM957">
        <v>59.07</v>
      </c>
      <c r="AN957">
        <v>6.69</v>
      </c>
      <c r="AO957" s="1">
        <f t="shared" si="44"/>
        <v>544.1400000000001</v>
      </c>
    </row>
    <row r="958" spans="1:41" x14ac:dyDescent="0.25">
      <c r="A958" t="s">
        <v>1001</v>
      </c>
      <c r="C958">
        <v>2636.1001270984798</v>
      </c>
      <c r="D958">
        <v>1486.3876262476699</v>
      </c>
      <c r="E958">
        <v>1138.90300982912</v>
      </c>
      <c r="F958">
        <v>1835.64104349165</v>
      </c>
      <c r="G958">
        <v>8355.0227082214496</v>
      </c>
      <c r="H958">
        <v>1157.5736490803299</v>
      </c>
      <c r="I958">
        <v>2444.2560048322998</v>
      </c>
      <c r="J958">
        <v>1734.07288668664</v>
      </c>
      <c r="K958">
        <v>6675.6734401037802</v>
      </c>
      <c r="L958">
        <v>4454.3878237407998</v>
      </c>
      <c r="M958">
        <v>1365.1809116376901</v>
      </c>
      <c r="N958" s="1">
        <f t="shared" si="42"/>
        <v>33283.199230969905</v>
      </c>
      <c r="P958">
        <v>2.2518953380936999</v>
      </c>
      <c r="Q958">
        <v>3.18950898504418</v>
      </c>
      <c r="R958">
        <v>0.74558470176604197</v>
      </c>
      <c r="S958">
        <v>0.434934286097792</v>
      </c>
      <c r="T958">
        <v>1.92748642374697</v>
      </c>
      <c r="U958">
        <v>12.801688085156201</v>
      </c>
      <c r="V958">
        <v>2.8094651009619902</v>
      </c>
      <c r="W958">
        <v>3.5574776886613901</v>
      </c>
      <c r="X958">
        <v>2.3876729221501299E-2</v>
      </c>
      <c r="Y958">
        <v>4.6678844147399303</v>
      </c>
      <c r="Z958">
        <v>0</v>
      </c>
      <c r="AA958" s="1">
        <f t="shared" si="43"/>
        <v>32.409801753489695</v>
      </c>
      <c r="AB958" t="s">
        <v>63</v>
      </c>
      <c r="AD958">
        <v>53.01</v>
      </c>
      <c r="AE958">
        <v>30.1</v>
      </c>
      <c r="AF958">
        <v>22.87</v>
      </c>
      <c r="AG958">
        <v>36.81</v>
      </c>
      <c r="AH958">
        <v>167.3</v>
      </c>
      <c r="AI958">
        <v>24.33</v>
      </c>
      <c r="AJ958">
        <v>49.17</v>
      </c>
      <c r="AK958">
        <v>35.06</v>
      </c>
      <c r="AL958">
        <v>133.61000000000001</v>
      </c>
      <c r="AM958">
        <v>89.55</v>
      </c>
      <c r="AN958">
        <v>27.32</v>
      </c>
      <c r="AO958" s="1">
        <f t="shared" si="44"/>
        <v>669.13</v>
      </c>
    </row>
    <row r="959" spans="1:41" x14ac:dyDescent="0.25">
      <c r="A959" t="s">
        <v>1002</v>
      </c>
      <c r="C959">
        <v>1874.8962010079999</v>
      </c>
      <c r="D959">
        <v>2535.86051175082</v>
      </c>
      <c r="E959">
        <v>7573.5525550079001</v>
      </c>
      <c r="F959">
        <v>387.26148021048698</v>
      </c>
      <c r="G959">
        <v>1293.4683919961201</v>
      </c>
      <c r="H959">
        <v>4496.8222960476396</v>
      </c>
      <c r="I959">
        <v>1184.6782770257701</v>
      </c>
      <c r="J959">
        <v>76.804745872093307</v>
      </c>
      <c r="K959">
        <v>430.50335109033898</v>
      </c>
      <c r="L959">
        <v>2247.5569024383799</v>
      </c>
      <c r="M959">
        <v>1288.62272239088</v>
      </c>
      <c r="N959" s="1">
        <f t="shared" si="42"/>
        <v>23390.02743483843</v>
      </c>
      <c r="P959">
        <v>1.81912911514724</v>
      </c>
      <c r="Q959">
        <v>1.11139841516556</v>
      </c>
      <c r="R959">
        <v>22.054053273436502</v>
      </c>
      <c r="S959">
        <v>0.120480983163356</v>
      </c>
      <c r="T959">
        <v>0.302585929505156</v>
      </c>
      <c r="U959">
        <v>1.98384227582949</v>
      </c>
      <c r="V959">
        <v>0</v>
      </c>
      <c r="W959">
        <v>2.9712848481204901</v>
      </c>
      <c r="X959">
        <v>5.4293227087159197</v>
      </c>
      <c r="Y959">
        <v>2.6966735316050698</v>
      </c>
      <c r="Z959">
        <v>2.7226040890685002</v>
      </c>
      <c r="AA959" s="1">
        <f t="shared" si="43"/>
        <v>41.211375169757289</v>
      </c>
      <c r="AB959" t="s">
        <v>63</v>
      </c>
      <c r="AD959">
        <v>37.68</v>
      </c>
      <c r="AE959">
        <v>50.9</v>
      </c>
      <c r="AF959">
        <v>153.55000000000001</v>
      </c>
      <c r="AG959">
        <v>7.85</v>
      </c>
      <c r="AH959">
        <v>25.97</v>
      </c>
      <c r="AI959">
        <v>90.12</v>
      </c>
      <c r="AJ959">
        <v>23.7</v>
      </c>
      <c r="AK959">
        <v>1.81</v>
      </c>
      <c r="AL959">
        <v>9.16</v>
      </c>
      <c r="AM959">
        <v>45.23</v>
      </c>
      <c r="AN959">
        <v>26.05</v>
      </c>
      <c r="AO959" s="1">
        <f t="shared" si="44"/>
        <v>472.02000000000004</v>
      </c>
    </row>
    <row r="960" spans="1:41" x14ac:dyDescent="0.25">
      <c r="A960" t="s">
        <v>1003</v>
      </c>
      <c r="C960">
        <v>8764.8148540237398</v>
      </c>
      <c r="D960">
        <v>4585.2650354972302</v>
      </c>
      <c r="E960">
        <v>1090.1464517202401</v>
      </c>
      <c r="F960">
        <v>4356.39757902985</v>
      </c>
      <c r="G960">
        <v>4737.1403372361201</v>
      </c>
      <c r="H960">
        <v>7862.4939416688003</v>
      </c>
      <c r="I960">
        <v>500.49490356994897</v>
      </c>
      <c r="J960">
        <v>16874.162155215701</v>
      </c>
      <c r="K960">
        <v>1171.66930807995</v>
      </c>
      <c r="L960">
        <v>3878.8275533943302</v>
      </c>
      <c r="M960">
        <v>3706.25438803631</v>
      </c>
      <c r="N960" s="1">
        <f t="shared" si="42"/>
        <v>57527.666507472226</v>
      </c>
      <c r="P960">
        <v>0.87343148306803897</v>
      </c>
      <c r="Q960">
        <v>5.7559365255679804</v>
      </c>
      <c r="R960">
        <v>3.2752497070806998</v>
      </c>
      <c r="S960">
        <v>7.5015064002046401</v>
      </c>
      <c r="T960">
        <v>8.2129188610598405</v>
      </c>
      <c r="U960">
        <v>1.0183022386466499E-2</v>
      </c>
      <c r="V960">
        <v>5.89838958218954</v>
      </c>
      <c r="W960">
        <v>3.69568879528126</v>
      </c>
      <c r="X960">
        <v>9.4496317724117507</v>
      </c>
      <c r="Y960">
        <v>0.40611293839861301</v>
      </c>
      <c r="Z960">
        <v>4.6492672896912204</v>
      </c>
      <c r="AA960" s="1">
        <f t="shared" si="43"/>
        <v>49.72831637734005</v>
      </c>
      <c r="AB960" t="s">
        <v>45</v>
      </c>
      <c r="AC960">
        <v>9.99</v>
      </c>
      <c r="AD960">
        <v>97.69</v>
      </c>
      <c r="AE960">
        <v>56.15</v>
      </c>
      <c r="AF960">
        <v>21.1</v>
      </c>
      <c r="AG960">
        <v>53.96</v>
      </c>
      <c r="AH960">
        <v>57.82</v>
      </c>
      <c r="AI960">
        <v>88.67</v>
      </c>
      <c r="AJ960">
        <v>15.3</v>
      </c>
      <c r="AK960">
        <v>178.94</v>
      </c>
      <c r="AL960">
        <v>22.21</v>
      </c>
      <c r="AM960">
        <v>48.83</v>
      </c>
      <c r="AN960">
        <v>47.31</v>
      </c>
      <c r="AO960" s="1">
        <f t="shared" si="44"/>
        <v>697.97</v>
      </c>
    </row>
    <row r="961" spans="1:41" x14ac:dyDescent="0.25">
      <c r="A961" t="s">
        <v>1004</v>
      </c>
      <c r="C961">
        <v>988.450238373209</v>
      </c>
      <c r="D961">
        <v>318.30054736711298</v>
      </c>
      <c r="E961">
        <v>7831.4693319952803</v>
      </c>
      <c r="F961">
        <v>760.03235420016404</v>
      </c>
      <c r="G961">
        <v>1744.1763676579801</v>
      </c>
      <c r="H961">
        <v>1114.0945078136699</v>
      </c>
      <c r="I961">
        <v>1494.6514882561501</v>
      </c>
      <c r="J961">
        <v>1165.87464323226</v>
      </c>
      <c r="K961">
        <v>3625.4939707241201</v>
      </c>
      <c r="L961">
        <v>46.564795814206903</v>
      </c>
      <c r="M961">
        <v>11910.921338136999</v>
      </c>
      <c r="N961" s="1">
        <f t="shared" si="42"/>
        <v>31000.029583571151</v>
      </c>
      <c r="P961">
        <v>0.85016393574028004</v>
      </c>
      <c r="Q961">
        <v>3.8402152840517401</v>
      </c>
      <c r="R961">
        <v>0.83456380705688904</v>
      </c>
      <c r="S961">
        <v>4.74912664980726</v>
      </c>
      <c r="T961">
        <v>2.1612174751619699</v>
      </c>
      <c r="U961">
        <v>1.9306975109312301</v>
      </c>
      <c r="V961">
        <v>1.52747451376145</v>
      </c>
      <c r="W961">
        <v>3.5786541346855501E-2</v>
      </c>
      <c r="X961">
        <v>3.6668138322325099</v>
      </c>
      <c r="Y961">
        <v>2.2476793804867499</v>
      </c>
      <c r="Z961">
        <v>3.8387454861321002</v>
      </c>
      <c r="AA961" s="1">
        <f t="shared" si="43"/>
        <v>25.682484416709034</v>
      </c>
      <c r="AB961" t="s">
        <v>63</v>
      </c>
      <c r="AD961">
        <v>19.87</v>
      </c>
      <c r="AE961">
        <v>6.74</v>
      </c>
      <c r="AF961">
        <v>156.72999999999999</v>
      </c>
      <c r="AG961">
        <v>15.67</v>
      </c>
      <c r="AH961">
        <v>35.17</v>
      </c>
      <c r="AI961">
        <v>22.48</v>
      </c>
      <c r="AJ961">
        <v>30.08</v>
      </c>
      <c r="AK961">
        <v>23.41</v>
      </c>
      <c r="AL961">
        <v>72.88</v>
      </c>
      <c r="AM961">
        <v>1.21</v>
      </c>
      <c r="AN961">
        <v>238.58</v>
      </c>
      <c r="AO961" s="1">
        <f t="shared" si="44"/>
        <v>622.81999999999994</v>
      </c>
    </row>
    <row r="962" spans="1:41" x14ac:dyDescent="0.25">
      <c r="A962" t="s">
        <v>1005</v>
      </c>
      <c r="C962">
        <v>90.032981443626198</v>
      </c>
      <c r="D962">
        <v>1686.28981258148</v>
      </c>
      <c r="E962">
        <v>6327.7142481131696</v>
      </c>
      <c r="F962">
        <v>2156.3746003083202</v>
      </c>
      <c r="G962">
        <v>5022.5990240410702</v>
      </c>
      <c r="H962">
        <v>2352.09804728778</v>
      </c>
      <c r="I962">
        <v>1653.83225951183</v>
      </c>
      <c r="J962">
        <v>12555.9271496373</v>
      </c>
      <c r="K962">
        <v>2989.9656091853999</v>
      </c>
      <c r="L962">
        <v>94.978989448938407</v>
      </c>
      <c r="M962">
        <v>1648.0125542389601</v>
      </c>
      <c r="N962" s="1">
        <f t="shared" si="42"/>
        <v>36577.82527579787</v>
      </c>
      <c r="P962">
        <v>1.9189693710758899</v>
      </c>
      <c r="Q962">
        <v>10.457427602176899</v>
      </c>
      <c r="R962">
        <v>5.4632691068933603</v>
      </c>
      <c r="S962">
        <v>6.5190733683883302</v>
      </c>
      <c r="T962">
        <v>9.0323485383269499</v>
      </c>
      <c r="U962">
        <v>1.64224560139363</v>
      </c>
      <c r="V962">
        <v>6.2097074084446797</v>
      </c>
      <c r="W962">
        <v>0.87952996117934601</v>
      </c>
      <c r="X962">
        <v>2.5903516212600599</v>
      </c>
      <c r="Y962">
        <v>2.8940316869458198</v>
      </c>
      <c r="Z962">
        <v>14.0428235829327</v>
      </c>
      <c r="AA962" s="1">
        <f t="shared" si="43"/>
        <v>61.649777849017674</v>
      </c>
      <c r="AB962" t="s">
        <v>63</v>
      </c>
      <c r="AD962">
        <v>2</v>
      </c>
      <c r="AE962">
        <v>34.729999999999997</v>
      </c>
      <c r="AF962">
        <v>127.1</v>
      </c>
      <c r="AG962">
        <v>43.77</v>
      </c>
      <c r="AH962">
        <v>101.36</v>
      </c>
      <c r="AI962">
        <v>47.24</v>
      </c>
      <c r="AJ962">
        <v>33.71</v>
      </c>
      <c r="AK962">
        <v>251.21</v>
      </c>
      <c r="AL962">
        <v>60.07</v>
      </c>
      <c r="AM962">
        <v>2.17</v>
      </c>
      <c r="AN962">
        <v>34.33</v>
      </c>
      <c r="AO962" s="1">
        <f t="shared" si="44"/>
        <v>737.69</v>
      </c>
    </row>
    <row r="963" spans="1:41" x14ac:dyDescent="0.25">
      <c r="A963" t="s">
        <v>1006</v>
      </c>
      <c r="C963">
        <v>60.224573664616599</v>
      </c>
      <c r="D963">
        <v>495.89834059157999</v>
      </c>
      <c r="E963">
        <v>2516.2029175624698</v>
      </c>
      <c r="F963">
        <v>1798.8901043886301</v>
      </c>
      <c r="G963">
        <v>2099.3755901950899</v>
      </c>
      <c r="H963">
        <v>3404.3116957192501</v>
      </c>
      <c r="I963">
        <v>3749.7964733884801</v>
      </c>
      <c r="J963">
        <v>464.85998928236802</v>
      </c>
      <c r="K963">
        <v>4852.8955678132497</v>
      </c>
      <c r="L963">
        <v>0</v>
      </c>
      <c r="M963">
        <v>523.33106705413104</v>
      </c>
      <c r="N963" s="1">
        <f t="shared" ref="N963:N1002" si="45">SUM(B963:M963)</f>
        <v>19965.786319659866</v>
      </c>
      <c r="P963">
        <v>1.66089102171826</v>
      </c>
      <c r="Q963">
        <v>2.9108169063184102</v>
      </c>
      <c r="R963">
        <v>1.2669768029950399</v>
      </c>
      <c r="S963">
        <v>2.9931519862052198</v>
      </c>
      <c r="T963">
        <v>1.6090966996985201</v>
      </c>
      <c r="U963">
        <v>1.3238138745502199</v>
      </c>
      <c r="V963">
        <v>1.19566508094219</v>
      </c>
      <c r="W963">
        <v>2.6874451103794601</v>
      </c>
      <c r="X963">
        <v>12.9394509620469</v>
      </c>
      <c r="Y963">
        <v>0.69371712804173102</v>
      </c>
      <c r="Z963">
        <v>11.2128202440918</v>
      </c>
      <c r="AA963" s="1">
        <f t="shared" si="43"/>
        <v>40.493845816987751</v>
      </c>
      <c r="AB963" t="s">
        <v>63</v>
      </c>
      <c r="AD963">
        <v>1.4</v>
      </c>
      <c r="AE963">
        <v>10.19</v>
      </c>
      <c r="AF963">
        <v>50.52</v>
      </c>
      <c r="AG963">
        <v>36.25</v>
      </c>
      <c r="AH963">
        <v>42.18</v>
      </c>
      <c r="AI963">
        <v>68.28</v>
      </c>
      <c r="AJ963">
        <v>75.180000000000007</v>
      </c>
      <c r="AK963">
        <v>9.57</v>
      </c>
      <c r="AL963">
        <v>98.23</v>
      </c>
      <c r="AM963">
        <v>0.09</v>
      </c>
      <c r="AN963">
        <v>11.56</v>
      </c>
      <c r="AO963" s="1">
        <f t="shared" si="44"/>
        <v>403.45</v>
      </c>
    </row>
    <row r="964" spans="1:41" x14ac:dyDescent="0.25">
      <c r="A964" t="s">
        <v>1007</v>
      </c>
      <c r="C964">
        <v>0</v>
      </c>
      <c r="D964">
        <v>1441.1024138216301</v>
      </c>
      <c r="E964">
        <v>9947.1757579066707</v>
      </c>
      <c r="F964">
        <v>1388.3932236134499</v>
      </c>
      <c r="G964">
        <v>2987.18821112246</v>
      </c>
      <c r="H964">
        <v>575.137332566694</v>
      </c>
      <c r="I964">
        <v>372.69270321271699</v>
      </c>
      <c r="J964">
        <v>1640.5070697686499</v>
      </c>
      <c r="K964">
        <v>2966.1005002511602</v>
      </c>
      <c r="L964">
        <v>8723.2689484075509</v>
      </c>
      <c r="M964">
        <v>1842.6507530486001</v>
      </c>
      <c r="N964" s="1">
        <f t="shared" si="45"/>
        <v>31884.216913719585</v>
      </c>
      <c r="P964">
        <v>2.7405939556693402</v>
      </c>
      <c r="Q964">
        <v>1.3998837823452901</v>
      </c>
      <c r="R964">
        <v>3.00434748944611</v>
      </c>
      <c r="S964">
        <v>3.68628352223265</v>
      </c>
      <c r="T964">
        <v>2.3796132979918401</v>
      </c>
      <c r="U964">
        <v>3.8131643707015201</v>
      </c>
      <c r="V964">
        <v>4.1781126518438603</v>
      </c>
      <c r="W964">
        <v>1.20006849625232</v>
      </c>
      <c r="X964">
        <v>3.3450134530357198</v>
      </c>
      <c r="Y964">
        <v>0</v>
      </c>
      <c r="Z964">
        <v>0.65642177689622505</v>
      </c>
      <c r="AA964" s="1">
        <f t="shared" ref="AA964:AA1002" si="46">SUM(O964:Z964)</f>
        <v>26.403502796414877</v>
      </c>
      <c r="AB964" t="s">
        <v>63</v>
      </c>
      <c r="AD964">
        <v>0.27</v>
      </c>
      <c r="AE964">
        <v>29.02</v>
      </c>
      <c r="AF964">
        <v>199.32</v>
      </c>
      <c r="AG964">
        <v>28.14</v>
      </c>
      <c r="AH964">
        <v>60.03</v>
      </c>
      <c r="AI964">
        <v>11.88</v>
      </c>
      <c r="AJ964">
        <v>7.91</v>
      </c>
      <c r="AK964">
        <v>33</v>
      </c>
      <c r="AL964">
        <v>59.7</v>
      </c>
      <c r="AM964">
        <v>174.48</v>
      </c>
      <c r="AN964">
        <v>36.950000000000003</v>
      </c>
      <c r="AO964" s="1">
        <f t="shared" si="44"/>
        <v>640.70000000000005</v>
      </c>
    </row>
    <row r="965" spans="1:41" x14ac:dyDescent="0.25">
      <c r="A965" t="s">
        <v>1008</v>
      </c>
      <c r="C965">
        <v>4017.27842446875</v>
      </c>
      <c r="D965">
        <v>2287.7203303164501</v>
      </c>
      <c r="E965">
        <v>5695.7096814941497</v>
      </c>
      <c r="F965">
        <v>4627.8056026722297</v>
      </c>
      <c r="G965">
        <v>7728.1511898214903</v>
      </c>
      <c r="H965">
        <v>7327.9363256476599</v>
      </c>
      <c r="I965">
        <v>2213.6807387807798</v>
      </c>
      <c r="J965">
        <v>1050.80276909079</v>
      </c>
      <c r="K965">
        <v>4239.0901409241096</v>
      </c>
      <c r="L965">
        <v>6991.4106174101398</v>
      </c>
      <c r="M965">
        <v>0</v>
      </c>
      <c r="N965" s="1">
        <f t="shared" si="45"/>
        <v>46179.585820626555</v>
      </c>
      <c r="P965">
        <v>5.5449206690044903</v>
      </c>
      <c r="Q965">
        <v>6.7440982800259297</v>
      </c>
      <c r="R965">
        <v>15.221126669403599</v>
      </c>
      <c r="S965">
        <v>2.5876984094816802</v>
      </c>
      <c r="T965">
        <v>4.1541356950681898</v>
      </c>
      <c r="U965">
        <v>0.92317384289982996</v>
      </c>
      <c r="V965">
        <v>5.17550013440915</v>
      </c>
      <c r="W965">
        <v>4.1748251551780502</v>
      </c>
      <c r="X965">
        <v>21.148692097668199</v>
      </c>
      <c r="Y965">
        <v>4.5030373998180098</v>
      </c>
      <c r="Z965">
        <v>11.920554490999899</v>
      </c>
      <c r="AA965" s="1">
        <f t="shared" si="46"/>
        <v>82.097762843957028</v>
      </c>
      <c r="AB965" t="s">
        <v>45</v>
      </c>
      <c r="AC965">
        <v>9.99</v>
      </c>
      <c r="AD965">
        <v>50.47</v>
      </c>
      <c r="AE965">
        <v>33.22</v>
      </c>
      <c r="AF965">
        <v>67.75</v>
      </c>
      <c r="AG965">
        <v>56.42</v>
      </c>
      <c r="AH965">
        <v>87.53</v>
      </c>
      <c r="AI965">
        <v>83.32</v>
      </c>
      <c r="AJ965">
        <v>32.43</v>
      </c>
      <c r="AK965">
        <v>20.75</v>
      </c>
      <c r="AL965">
        <v>53.49</v>
      </c>
      <c r="AM965">
        <v>80.16</v>
      </c>
      <c r="AN965">
        <v>10.59</v>
      </c>
      <c r="AO965" s="1">
        <f t="shared" ref="AO965:AO1002" si="47">SUM(AC965:AN965)</f>
        <v>586.12</v>
      </c>
    </row>
    <row r="966" spans="1:41" x14ac:dyDescent="0.25">
      <c r="A966" t="s">
        <v>1009</v>
      </c>
      <c r="C966">
        <v>0</v>
      </c>
      <c r="D966">
        <v>36.104536358719301</v>
      </c>
      <c r="E966">
        <v>1075.50181867423</v>
      </c>
      <c r="F966">
        <v>456.82998862051198</v>
      </c>
      <c r="G966">
        <v>7578.4062996961402</v>
      </c>
      <c r="H966">
        <v>3612.0740901362501</v>
      </c>
      <c r="I966">
        <v>4403.83186726037</v>
      </c>
      <c r="J966">
        <v>2685.0494969200499</v>
      </c>
      <c r="K966">
        <v>1180.89398663733</v>
      </c>
      <c r="L966">
        <v>1149.8413661934101</v>
      </c>
      <c r="M966">
        <v>8772.3483664789601</v>
      </c>
      <c r="N966" s="1">
        <f t="shared" si="45"/>
        <v>30950.881816975972</v>
      </c>
      <c r="P966">
        <v>5.4454100835962898</v>
      </c>
      <c r="Q966">
        <v>1.2995183173869</v>
      </c>
      <c r="R966">
        <v>14.314688039981601</v>
      </c>
      <c r="S966">
        <v>0.122836384906785</v>
      </c>
      <c r="T966">
        <v>10.563501287790601</v>
      </c>
      <c r="U966">
        <v>9.2161216111066704</v>
      </c>
      <c r="V966">
        <v>2.7529454501048098</v>
      </c>
      <c r="W966">
        <v>5.3469453376816096</v>
      </c>
      <c r="X966">
        <v>2.97246741793679</v>
      </c>
      <c r="Y966">
        <v>8.8312260896624597</v>
      </c>
      <c r="Z966">
        <v>2.5258966431208201</v>
      </c>
      <c r="AA966" s="1">
        <f t="shared" si="46"/>
        <v>63.391556663275338</v>
      </c>
      <c r="AB966" t="s">
        <v>63</v>
      </c>
      <c r="AD966">
        <v>0.54</v>
      </c>
      <c r="AE966">
        <v>0.92</v>
      </c>
      <c r="AF966">
        <v>22.87</v>
      </c>
      <c r="AG966">
        <v>9.23</v>
      </c>
      <c r="AH966">
        <v>152.57</v>
      </c>
      <c r="AI966">
        <v>73.16</v>
      </c>
      <c r="AJ966">
        <v>88.35</v>
      </c>
      <c r="AK966">
        <v>54.26</v>
      </c>
      <c r="AL966">
        <v>23.89</v>
      </c>
      <c r="AM966">
        <v>23.81</v>
      </c>
      <c r="AN966">
        <v>175.73</v>
      </c>
      <c r="AO966" s="1">
        <f t="shared" si="47"/>
        <v>625.32999999999993</v>
      </c>
    </row>
    <row r="967" spans="1:41" x14ac:dyDescent="0.25">
      <c r="A967" t="s">
        <v>1010</v>
      </c>
      <c r="C967">
        <v>0</v>
      </c>
      <c r="D967">
        <v>0</v>
      </c>
      <c r="E967">
        <v>3607.8871997142101</v>
      </c>
      <c r="F967">
        <v>12669.249723155401</v>
      </c>
      <c r="G967">
        <v>6628.4143036942996</v>
      </c>
      <c r="H967">
        <v>1000.02992818448</v>
      </c>
      <c r="I967">
        <v>1209.6002290649401</v>
      </c>
      <c r="J967">
        <v>3089.0827817408299</v>
      </c>
      <c r="K967">
        <v>5380.2816548293004</v>
      </c>
      <c r="L967">
        <v>1463.5464648971299</v>
      </c>
      <c r="M967">
        <v>1160.18358614979</v>
      </c>
      <c r="N967" s="1">
        <f t="shared" si="45"/>
        <v>36208.275871430378</v>
      </c>
      <c r="P967">
        <v>4.4364208333319803</v>
      </c>
      <c r="Q967">
        <v>6.1420521876804903</v>
      </c>
      <c r="R967">
        <v>2.6626815333855101</v>
      </c>
      <c r="S967">
        <v>2.4978102286960202</v>
      </c>
      <c r="T967">
        <v>0.86178364701477905</v>
      </c>
      <c r="U967">
        <v>12.0160880071225</v>
      </c>
      <c r="V967">
        <v>4.95924155069675</v>
      </c>
      <c r="W967">
        <v>0</v>
      </c>
      <c r="X967">
        <v>9.5448468311782602</v>
      </c>
      <c r="Y967">
        <v>9.0432895005686404</v>
      </c>
      <c r="Z967">
        <v>17.029700351398699</v>
      </c>
      <c r="AA967" s="1">
        <f t="shared" si="46"/>
        <v>69.193914671073628</v>
      </c>
      <c r="AB967" t="s">
        <v>45</v>
      </c>
      <c r="AC967">
        <v>9.99</v>
      </c>
      <c r="AD967">
        <v>10.24</v>
      </c>
      <c r="AE967">
        <v>10.34</v>
      </c>
      <c r="AF967">
        <v>46.22</v>
      </c>
      <c r="AG967">
        <v>136.84</v>
      </c>
      <c r="AH967">
        <v>76.33</v>
      </c>
      <c r="AI967">
        <v>20.65</v>
      </c>
      <c r="AJ967">
        <v>22.34</v>
      </c>
      <c r="AK967">
        <v>40.89</v>
      </c>
      <c r="AL967">
        <v>64.3</v>
      </c>
      <c r="AM967">
        <v>25.13</v>
      </c>
      <c r="AN967">
        <v>22.5</v>
      </c>
      <c r="AO967" s="1">
        <f t="shared" si="47"/>
        <v>485.76999999999992</v>
      </c>
    </row>
    <row r="968" spans="1:41" x14ac:dyDescent="0.25">
      <c r="A968" t="s">
        <v>1011</v>
      </c>
      <c r="E968">
        <v>9779.3818762206101</v>
      </c>
      <c r="F968">
        <v>5968.9118706212203</v>
      </c>
      <c r="G968">
        <v>10881.703221932001</v>
      </c>
      <c r="H968">
        <v>1532.34059290192</v>
      </c>
      <c r="I968">
        <v>6167.3733095737098</v>
      </c>
      <c r="J968">
        <v>2368.92748864748</v>
      </c>
      <c r="K968">
        <v>1393.20443705106</v>
      </c>
      <c r="L968">
        <v>4378.5879948611</v>
      </c>
      <c r="M968">
        <v>4853.1126482877098</v>
      </c>
      <c r="N968" s="1">
        <f t="shared" si="45"/>
        <v>47323.543440096815</v>
      </c>
      <c r="R968">
        <v>6.9956645558893298</v>
      </c>
      <c r="S968">
        <v>2.8714939560243899</v>
      </c>
      <c r="T968">
        <v>1.93804642073876</v>
      </c>
      <c r="U968">
        <v>0</v>
      </c>
      <c r="V968">
        <v>1.7845094108055</v>
      </c>
      <c r="W968">
        <v>2.1818883286446198</v>
      </c>
      <c r="X968">
        <v>1.0704537852025899</v>
      </c>
      <c r="Y968">
        <v>13.9008263265212</v>
      </c>
      <c r="Z968">
        <v>0.60539328928262204</v>
      </c>
      <c r="AA968" s="1">
        <f t="shared" si="46"/>
        <v>31.348276073109009</v>
      </c>
      <c r="AB968" t="s">
        <v>45</v>
      </c>
      <c r="AC968">
        <v>9.99</v>
      </c>
      <c r="AD968">
        <v>9.99</v>
      </c>
      <c r="AE968">
        <v>9.99</v>
      </c>
      <c r="AF968">
        <v>108.14</v>
      </c>
      <c r="AG968">
        <v>69.83</v>
      </c>
      <c r="AH968">
        <v>118.91</v>
      </c>
      <c r="AI968">
        <v>25.32</v>
      </c>
      <c r="AJ968">
        <v>71.77</v>
      </c>
      <c r="AK968">
        <v>33.83</v>
      </c>
      <c r="AL968">
        <v>24.03</v>
      </c>
      <c r="AM968">
        <v>54.48</v>
      </c>
      <c r="AN968">
        <v>58.58</v>
      </c>
      <c r="AO968" s="1">
        <f t="shared" si="47"/>
        <v>594.86</v>
      </c>
    </row>
    <row r="969" spans="1:41" x14ac:dyDescent="0.25">
      <c r="A969" t="s">
        <v>1012</v>
      </c>
      <c r="C969">
        <v>4216.4909688213802</v>
      </c>
      <c r="D969">
        <v>2067.78035535035</v>
      </c>
      <c r="E969">
        <v>1667.0271813888601</v>
      </c>
      <c r="F969">
        <v>2023.3718447788401</v>
      </c>
      <c r="G969">
        <v>934.78437559374095</v>
      </c>
      <c r="H969">
        <v>6349.0959975447504</v>
      </c>
      <c r="I969">
        <v>3807.5830341935098</v>
      </c>
      <c r="J969">
        <v>3681.21196821286</v>
      </c>
      <c r="K969">
        <v>933.45122996431598</v>
      </c>
      <c r="L969">
        <v>11751.176432554201</v>
      </c>
      <c r="M969">
        <v>3084.7998264794201</v>
      </c>
      <c r="N969" s="1">
        <f t="shared" si="45"/>
        <v>40516.773214882232</v>
      </c>
      <c r="P969">
        <v>2.9810885885554801</v>
      </c>
      <c r="Q969">
        <v>1.7863656567324799</v>
      </c>
      <c r="R969">
        <v>6.9032995193468301</v>
      </c>
      <c r="S969">
        <v>1.9181631461131401</v>
      </c>
      <c r="T969">
        <v>2.6007776706413299</v>
      </c>
      <c r="U969">
        <v>4.5039465763595103</v>
      </c>
      <c r="V969">
        <v>2.7762476963568701</v>
      </c>
      <c r="W969">
        <v>6.82337269213137</v>
      </c>
      <c r="X969">
        <v>1.4432589551318999</v>
      </c>
      <c r="Y969">
        <v>3.0884761130652598</v>
      </c>
      <c r="Z969">
        <v>0.68760390007287997</v>
      </c>
      <c r="AA969" s="1">
        <f t="shared" si="46"/>
        <v>35.512600514507049</v>
      </c>
      <c r="AB969" t="s">
        <v>45</v>
      </c>
      <c r="AC969">
        <v>9.99</v>
      </c>
      <c r="AD969">
        <v>52.31</v>
      </c>
      <c r="AE969">
        <v>30.77</v>
      </c>
      <c r="AF969">
        <v>27.02</v>
      </c>
      <c r="AG969">
        <v>30.33</v>
      </c>
      <c r="AH969">
        <v>19.489999999999998</v>
      </c>
      <c r="AI969">
        <v>73.739999999999995</v>
      </c>
      <c r="AJ969">
        <v>48.22</v>
      </c>
      <c r="AK969">
        <v>47.16</v>
      </c>
      <c r="AL969">
        <v>19.43</v>
      </c>
      <c r="AM969">
        <v>127.71</v>
      </c>
      <c r="AN969">
        <v>40.89</v>
      </c>
      <c r="AO969" s="1">
        <f t="shared" si="47"/>
        <v>527.05999999999995</v>
      </c>
    </row>
    <row r="970" spans="1:41" x14ac:dyDescent="0.25">
      <c r="A970" t="s">
        <v>1013</v>
      </c>
      <c r="E970">
        <v>6903.9363555843702</v>
      </c>
      <c r="F970">
        <v>789.94314063854597</v>
      </c>
      <c r="G970">
        <v>3472.6034456157599</v>
      </c>
      <c r="H970">
        <v>843.96726446225205</v>
      </c>
      <c r="I970">
        <v>4010.6091515682901</v>
      </c>
      <c r="J970">
        <v>12776.961926618</v>
      </c>
      <c r="K970">
        <v>6602.6563297590301</v>
      </c>
      <c r="L970">
        <v>2700.8920626692402</v>
      </c>
      <c r="M970">
        <v>4643.5241452741902</v>
      </c>
      <c r="N970" s="1">
        <f t="shared" si="45"/>
        <v>42745.093822189679</v>
      </c>
      <c r="R970">
        <v>12.4841030913122</v>
      </c>
      <c r="S970">
        <v>3.1674348145788498</v>
      </c>
      <c r="T970">
        <v>4.4077986345170803</v>
      </c>
      <c r="U970">
        <v>4.9382296931848302</v>
      </c>
      <c r="V970">
        <v>0</v>
      </c>
      <c r="W970">
        <v>3.2429321595309801</v>
      </c>
      <c r="X970">
        <v>9.1620586372580792</v>
      </c>
      <c r="Y970">
        <v>1.6161363498014201</v>
      </c>
      <c r="Z970">
        <v>10.032349128858399</v>
      </c>
      <c r="AA970" s="1">
        <f t="shared" si="46"/>
        <v>49.051042509041842</v>
      </c>
      <c r="AB970" t="s">
        <v>63</v>
      </c>
      <c r="AF970">
        <v>139.25</v>
      </c>
      <c r="AG970">
        <v>16.16</v>
      </c>
      <c r="AH970">
        <v>69.91</v>
      </c>
      <c r="AI970">
        <v>17.329999999999998</v>
      </c>
      <c r="AJ970">
        <v>80.22</v>
      </c>
      <c r="AK970">
        <v>255.9</v>
      </c>
      <c r="AL970">
        <v>132.96</v>
      </c>
      <c r="AM970">
        <v>54.2</v>
      </c>
      <c r="AN970">
        <v>93.87</v>
      </c>
      <c r="AO970" s="1">
        <f t="shared" si="47"/>
        <v>859.80000000000007</v>
      </c>
    </row>
    <row r="971" spans="1:41" x14ac:dyDescent="0.25">
      <c r="A971" t="s">
        <v>1014</v>
      </c>
      <c r="C971">
        <v>13306.6299630787</v>
      </c>
      <c r="D971">
        <v>1890.00982103553</v>
      </c>
      <c r="E971">
        <v>791.59957889497298</v>
      </c>
      <c r="F971">
        <v>2359.5980602742402</v>
      </c>
      <c r="G971">
        <v>183.00176476804899</v>
      </c>
      <c r="H971">
        <v>509.56549787074999</v>
      </c>
      <c r="I971">
        <v>4690.1917424969297</v>
      </c>
      <c r="J971">
        <v>5269.5970760750697</v>
      </c>
      <c r="K971">
        <v>2858.69174977901</v>
      </c>
      <c r="L971">
        <v>3596.66629030079</v>
      </c>
      <c r="M971">
        <v>3134.5477483716099</v>
      </c>
      <c r="N971" s="1">
        <f t="shared" si="45"/>
        <v>38590.099292945655</v>
      </c>
      <c r="P971">
        <v>6.4177783162771904</v>
      </c>
      <c r="Q971">
        <v>1.1946534127595601</v>
      </c>
      <c r="R971">
        <v>7.8659942190313696</v>
      </c>
      <c r="S971">
        <v>0</v>
      </c>
      <c r="T971">
        <v>1.61241622487442</v>
      </c>
      <c r="U971">
        <v>6.2768148303883402</v>
      </c>
      <c r="V971">
        <v>0.38098661957629498</v>
      </c>
      <c r="W971">
        <v>0</v>
      </c>
      <c r="X971">
        <v>6.5389393631938297</v>
      </c>
      <c r="Y971">
        <v>5.9667805602800303</v>
      </c>
      <c r="Z971">
        <v>4.0372296086424004</v>
      </c>
      <c r="AA971" s="1">
        <f t="shared" si="46"/>
        <v>40.291593155023435</v>
      </c>
      <c r="AB971" t="s">
        <v>45</v>
      </c>
      <c r="AC971">
        <v>9.99</v>
      </c>
      <c r="AD971">
        <v>143.41</v>
      </c>
      <c r="AE971">
        <v>29</v>
      </c>
      <c r="AF971">
        <v>18.309999999999999</v>
      </c>
      <c r="AG971">
        <v>33.590000000000003</v>
      </c>
      <c r="AH971">
        <v>11.93</v>
      </c>
      <c r="AI971">
        <v>15.44</v>
      </c>
      <c r="AJ971">
        <v>56.95</v>
      </c>
      <c r="AK971">
        <v>62.69</v>
      </c>
      <c r="AL971">
        <v>38.93</v>
      </c>
      <c r="AM971">
        <v>46.26</v>
      </c>
      <c r="AN971">
        <v>41.59</v>
      </c>
      <c r="AO971" s="1">
        <f t="shared" si="47"/>
        <v>508.09000000000003</v>
      </c>
    </row>
    <row r="972" spans="1:41" x14ac:dyDescent="0.25">
      <c r="A972" t="s">
        <v>1015</v>
      </c>
      <c r="C972">
        <v>4437.5254945277602</v>
      </c>
      <c r="D972">
        <v>11370.0631037163</v>
      </c>
      <c r="E972">
        <v>4013.9454282418401</v>
      </c>
      <c r="F972">
        <v>7256.9079560433402</v>
      </c>
      <c r="G972">
        <v>3637.20472730561</v>
      </c>
      <c r="H972">
        <v>2604.7964163459001</v>
      </c>
      <c r="I972">
        <v>371.23609416137498</v>
      </c>
      <c r="J972">
        <v>285.73067699749703</v>
      </c>
      <c r="K972">
        <v>3309.2487330863401</v>
      </c>
      <c r="L972">
        <v>1532.1801690064101</v>
      </c>
      <c r="M972">
        <v>6172.1448323840796</v>
      </c>
      <c r="N972" s="1">
        <f t="shared" si="45"/>
        <v>44990.983631816445</v>
      </c>
      <c r="P972">
        <v>3.50316937150059</v>
      </c>
      <c r="Q972">
        <v>9.7288587821111108</v>
      </c>
      <c r="R972">
        <v>5.2642776575853203</v>
      </c>
      <c r="S972">
        <v>7.6543438896006997</v>
      </c>
      <c r="T972">
        <v>1.13524745672413</v>
      </c>
      <c r="U972">
        <v>4.6622969409125101</v>
      </c>
      <c r="V972">
        <v>2.3114700060101798</v>
      </c>
      <c r="W972">
        <v>6.4039684564855799</v>
      </c>
      <c r="X972">
        <v>1.26824254432844</v>
      </c>
      <c r="Y972">
        <v>2.3505943720300402</v>
      </c>
      <c r="Z972">
        <v>4.7934006163610796</v>
      </c>
      <c r="AA972" s="1">
        <f t="shared" si="46"/>
        <v>49.075870093649684</v>
      </c>
      <c r="AB972" t="s">
        <v>45</v>
      </c>
      <c r="AC972">
        <v>9.99</v>
      </c>
      <c r="AD972">
        <v>54.57</v>
      </c>
      <c r="AE972">
        <v>124.2</v>
      </c>
      <c r="AF972">
        <v>50.43</v>
      </c>
      <c r="AG972">
        <v>82.96</v>
      </c>
      <c r="AH972">
        <v>46.47</v>
      </c>
      <c r="AI972">
        <v>36.29</v>
      </c>
      <c r="AJ972">
        <v>13.86</v>
      </c>
      <c r="AK972">
        <v>13.2</v>
      </c>
      <c r="AL972">
        <v>43.19</v>
      </c>
      <c r="AM972">
        <v>25.47</v>
      </c>
      <c r="AN972">
        <v>71.97</v>
      </c>
      <c r="AO972" s="1">
        <f t="shared" si="47"/>
        <v>572.6</v>
      </c>
    </row>
    <row r="973" spans="1:41" x14ac:dyDescent="0.25">
      <c r="A973" t="s">
        <v>1016</v>
      </c>
      <c r="C973">
        <v>7160.7045836273501</v>
      </c>
      <c r="D973">
        <v>7620.5246017314703</v>
      </c>
      <c r="E973">
        <v>2371.7398837187802</v>
      </c>
      <c r="F973">
        <v>0</v>
      </c>
      <c r="G973">
        <v>761.17377910200105</v>
      </c>
      <c r="H973">
        <v>391.72523580140899</v>
      </c>
      <c r="I973">
        <v>689.101693901467</v>
      </c>
      <c r="J973">
        <v>8336.4676948166398</v>
      </c>
      <c r="K973">
        <v>14744.499928200201</v>
      </c>
      <c r="L973">
        <v>5856.9909067910703</v>
      </c>
      <c r="M973">
        <v>5258.0703277284001</v>
      </c>
      <c r="N973" s="1">
        <f t="shared" si="45"/>
        <v>53190.998635418786</v>
      </c>
      <c r="P973">
        <v>1.97154737428144</v>
      </c>
      <c r="Q973">
        <v>10.4048660770915</v>
      </c>
      <c r="R973">
        <v>1.9550207913215101</v>
      </c>
      <c r="S973">
        <v>1.0367784506252999</v>
      </c>
      <c r="T973">
        <v>3.7899856257479199</v>
      </c>
      <c r="U973">
        <v>1.17174828766701</v>
      </c>
      <c r="V973">
        <v>12.407447634452099</v>
      </c>
      <c r="W973">
        <v>2.5215884493865799</v>
      </c>
      <c r="X973">
        <v>0.95968374353730801</v>
      </c>
      <c r="Y973">
        <v>2.0088394488685899</v>
      </c>
      <c r="Z973">
        <v>4.8935986066958801</v>
      </c>
      <c r="AA973" s="1">
        <f t="shared" si="46"/>
        <v>43.12110448967514</v>
      </c>
      <c r="AB973" t="s">
        <v>45</v>
      </c>
      <c r="AC973">
        <v>9.99</v>
      </c>
      <c r="AD973">
        <v>81.7</v>
      </c>
      <c r="AE973">
        <v>86.75</v>
      </c>
      <c r="AF973">
        <v>33.81</v>
      </c>
      <c r="AG973">
        <v>10.09</v>
      </c>
      <c r="AH973">
        <v>17.809999999999999</v>
      </c>
      <c r="AI973">
        <v>14.01</v>
      </c>
      <c r="AJ973">
        <v>17.54</v>
      </c>
      <c r="AK973">
        <v>93.51</v>
      </c>
      <c r="AL973">
        <v>157.49</v>
      </c>
      <c r="AM973">
        <v>68.709999999999994</v>
      </c>
      <c r="AN973">
        <v>62.83</v>
      </c>
      <c r="AO973" s="1">
        <f t="shared" si="47"/>
        <v>654.24000000000012</v>
      </c>
    </row>
    <row r="974" spans="1:41" x14ac:dyDescent="0.25">
      <c r="A974" t="s">
        <v>1017</v>
      </c>
      <c r="E974">
        <v>4910.36584747906</v>
      </c>
      <c r="F974">
        <v>569.04843522155102</v>
      </c>
      <c r="G974">
        <v>9043.0403725923297</v>
      </c>
      <c r="H974">
        <v>192.93131776847</v>
      </c>
      <c r="I974">
        <v>3475.1493919454801</v>
      </c>
      <c r="J974">
        <v>0</v>
      </c>
      <c r="K974">
        <v>924.48593658331197</v>
      </c>
      <c r="L974">
        <v>0</v>
      </c>
      <c r="M974">
        <v>3512.22823455757</v>
      </c>
      <c r="N974" s="1">
        <f t="shared" si="45"/>
        <v>22627.24953614777</v>
      </c>
      <c r="R974">
        <v>4.7480252216806598</v>
      </c>
      <c r="S974">
        <v>0.88880818359491998</v>
      </c>
      <c r="T974">
        <v>3.3006662728034799</v>
      </c>
      <c r="U974">
        <v>4.4627119804312096</v>
      </c>
      <c r="V974">
        <v>8.2001107201169496</v>
      </c>
      <c r="W974">
        <v>1.19803102246242</v>
      </c>
      <c r="X974">
        <v>10.1250597548045</v>
      </c>
      <c r="Y974">
        <v>1.8659811202813401</v>
      </c>
      <c r="Z974">
        <v>5.4406644913302404</v>
      </c>
      <c r="AA974" s="1">
        <f t="shared" si="46"/>
        <v>40.230058767505717</v>
      </c>
      <c r="AB974" t="s">
        <v>63</v>
      </c>
      <c r="AF974">
        <v>98.67</v>
      </c>
      <c r="AG974">
        <v>11.49</v>
      </c>
      <c r="AH974">
        <v>181.24</v>
      </c>
      <c r="AI974">
        <v>4.3099999999999996</v>
      </c>
      <c r="AJ974">
        <v>70.33</v>
      </c>
      <c r="AK974">
        <v>0.18</v>
      </c>
      <c r="AL974">
        <v>19.489999999999998</v>
      </c>
      <c r="AM974">
        <v>0.18</v>
      </c>
      <c r="AN974">
        <v>70.8</v>
      </c>
      <c r="AO974" s="1">
        <f t="shared" si="47"/>
        <v>456.69</v>
      </c>
    </row>
    <row r="975" spans="1:41" x14ac:dyDescent="0.25">
      <c r="A975" t="s">
        <v>1018</v>
      </c>
      <c r="E975">
        <v>2389.41736171504</v>
      </c>
      <c r="F975">
        <v>943.31711335219904</v>
      </c>
      <c r="G975">
        <v>2173.9529493453902</v>
      </c>
      <c r="H975">
        <v>539.33346376459303</v>
      </c>
      <c r="I975">
        <v>2257.4947102797501</v>
      </c>
      <c r="J975">
        <v>2447.4317418269102</v>
      </c>
      <c r="K975">
        <v>703.979349076169</v>
      </c>
      <c r="L975">
        <v>2226.70118083229</v>
      </c>
      <c r="M975">
        <v>2034.3495663245601</v>
      </c>
      <c r="N975" s="1">
        <f t="shared" si="45"/>
        <v>15715.9774365169</v>
      </c>
      <c r="R975">
        <v>7.3458073423201</v>
      </c>
      <c r="S975">
        <v>0</v>
      </c>
      <c r="T975">
        <v>3.4798642383961198</v>
      </c>
      <c r="U975">
        <v>6.27781764561992</v>
      </c>
      <c r="V975">
        <v>2.1782733260216598</v>
      </c>
      <c r="W975">
        <v>2.6714091087846201</v>
      </c>
      <c r="X975">
        <v>3.3360435735745302</v>
      </c>
      <c r="Y975">
        <v>8.5448818435825409</v>
      </c>
      <c r="Z975">
        <v>6.6981618411222996</v>
      </c>
      <c r="AA975" s="1">
        <f t="shared" si="46"/>
        <v>40.532258919421793</v>
      </c>
      <c r="AB975" t="s">
        <v>63</v>
      </c>
      <c r="AF975">
        <v>48.52</v>
      </c>
      <c r="AG975">
        <v>18.88</v>
      </c>
      <c r="AH975">
        <v>43.84</v>
      </c>
      <c r="AI975">
        <v>11.43</v>
      </c>
      <c r="AJ975">
        <v>45.43</v>
      </c>
      <c r="AK975">
        <v>49.23</v>
      </c>
      <c r="AL975">
        <v>14.44</v>
      </c>
      <c r="AM975">
        <v>45.35</v>
      </c>
      <c r="AN975">
        <v>41.33</v>
      </c>
      <c r="AO975" s="1">
        <f t="shared" si="47"/>
        <v>318.45</v>
      </c>
    </row>
    <row r="976" spans="1:41" x14ac:dyDescent="0.25">
      <c r="A976" t="s">
        <v>1019</v>
      </c>
      <c r="C976">
        <v>3152.3219797403599</v>
      </c>
      <c r="D976">
        <v>4603.4834315710696</v>
      </c>
      <c r="E976">
        <v>13472.6144630941</v>
      </c>
      <c r="F976">
        <v>1735.8467666433801</v>
      </c>
      <c r="G976">
        <v>5174.8675270280701</v>
      </c>
      <c r="H976">
        <v>1509.2911089501699</v>
      </c>
      <c r="I976">
        <v>6944.7339176983496</v>
      </c>
      <c r="J976">
        <v>6970.6356538546697</v>
      </c>
      <c r="K976">
        <v>8119.3800971771398</v>
      </c>
      <c r="L976">
        <v>0</v>
      </c>
      <c r="M976">
        <v>539.30212269063099</v>
      </c>
      <c r="N976" s="1">
        <f t="shared" si="45"/>
        <v>52222.47706844793</v>
      </c>
      <c r="P976">
        <v>1.62249992264709</v>
      </c>
      <c r="Q976">
        <v>0.34962164945886298</v>
      </c>
      <c r="R976">
        <v>0.69980552112682703</v>
      </c>
      <c r="S976">
        <v>2.2936654349554502</v>
      </c>
      <c r="T976">
        <v>3.9521258975858702</v>
      </c>
      <c r="U976">
        <v>2.0026378248266199</v>
      </c>
      <c r="V976">
        <v>0.43743881784600203</v>
      </c>
      <c r="W976">
        <v>0</v>
      </c>
      <c r="X976">
        <v>5.2136144510587101</v>
      </c>
      <c r="Y976">
        <v>1.54595786503371</v>
      </c>
      <c r="Z976">
        <v>0</v>
      </c>
      <c r="AA976" s="1">
        <f t="shared" si="46"/>
        <v>18.117367384539143</v>
      </c>
      <c r="AB976" t="s">
        <v>45</v>
      </c>
      <c r="AC976">
        <v>9.99</v>
      </c>
      <c r="AD976">
        <v>41.62</v>
      </c>
      <c r="AE976">
        <v>56.08</v>
      </c>
      <c r="AF976">
        <v>144.77000000000001</v>
      </c>
      <c r="AG976">
        <v>27.5</v>
      </c>
      <c r="AH976">
        <v>61.94</v>
      </c>
      <c r="AI976">
        <v>25.24</v>
      </c>
      <c r="AJ976">
        <v>79.489999999999995</v>
      </c>
      <c r="AK976">
        <v>79.7</v>
      </c>
      <c r="AL976">
        <v>91.49</v>
      </c>
      <c r="AM976">
        <v>10.09</v>
      </c>
      <c r="AN976">
        <v>15.39</v>
      </c>
      <c r="AO976" s="1">
        <f t="shared" si="47"/>
        <v>643.30000000000007</v>
      </c>
    </row>
    <row r="977" spans="1:41" x14ac:dyDescent="0.25">
      <c r="A977" t="s">
        <v>1020</v>
      </c>
      <c r="E977">
        <v>8355.7715425163497</v>
      </c>
      <c r="F977">
        <v>4832.5457888195097</v>
      </c>
      <c r="G977">
        <v>0</v>
      </c>
      <c r="H977">
        <v>1008.87838416</v>
      </c>
      <c r="I977">
        <v>4053.2023452962299</v>
      </c>
      <c r="J977">
        <v>2167.28726962154</v>
      </c>
      <c r="K977">
        <v>3290.1145236900602</v>
      </c>
      <c r="L977">
        <v>2059.2279082711302</v>
      </c>
      <c r="M977">
        <v>5196.4780669572301</v>
      </c>
      <c r="N977" s="1">
        <f t="shared" si="45"/>
        <v>30963.505829332047</v>
      </c>
      <c r="R977">
        <v>3.2233684247082799</v>
      </c>
      <c r="S977">
        <v>0</v>
      </c>
      <c r="T977">
        <v>5.3605233905500604</v>
      </c>
      <c r="U977">
        <v>10.189755410073101</v>
      </c>
      <c r="V977">
        <v>3.15693051353656</v>
      </c>
      <c r="W977">
        <v>0.56731970427315803</v>
      </c>
      <c r="X977">
        <v>1.06977484922956</v>
      </c>
      <c r="Y977">
        <v>9.2006917756982496</v>
      </c>
      <c r="Z977">
        <v>1.56566151068585</v>
      </c>
      <c r="AA977" s="1">
        <f t="shared" si="46"/>
        <v>34.334025578754819</v>
      </c>
      <c r="AB977" t="s">
        <v>63</v>
      </c>
      <c r="AF977">
        <v>167.48</v>
      </c>
      <c r="AG977">
        <v>96.66</v>
      </c>
      <c r="AH977">
        <v>0.54</v>
      </c>
      <c r="AI977">
        <v>21.17</v>
      </c>
      <c r="AJ977">
        <v>81.44</v>
      </c>
      <c r="AK977">
        <v>43.45</v>
      </c>
      <c r="AL977">
        <v>66</v>
      </c>
      <c r="AM977">
        <v>42.1</v>
      </c>
      <c r="AN977">
        <v>104.12</v>
      </c>
      <c r="AO977" s="1">
        <f t="shared" si="47"/>
        <v>622.96</v>
      </c>
    </row>
    <row r="978" spans="1:41" x14ac:dyDescent="0.25">
      <c r="A978" t="s">
        <v>1021</v>
      </c>
      <c r="E978">
        <v>6750.33570636484</v>
      </c>
      <c r="F978">
        <v>8023.6748702140303</v>
      </c>
      <c r="G978">
        <v>1238.3353387279899</v>
      </c>
      <c r="H978">
        <v>1324.1681867418799</v>
      </c>
      <c r="I978">
        <v>2839.9952091354899</v>
      </c>
      <c r="J978">
        <v>11925.708015446</v>
      </c>
      <c r="K978">
        <v>2196.32305262914</v>
      </c>
      <c r="L978">
        <v>7755.9495150806197</v>
      </c>
      <c r="M978">
        <v>2531.0841966736398</v>
      </c>
      <c r="N978" s="1">
        <f t="shared" si="45"/>
        <v>44585.574091013623</v>
      </c>
      <c r="R978">
        <v>4.05320674632262</v>
      </c>
      <c r="S978">
        <v>2.2023846135804201</v>
      </c>
      <c r="T978">
        <v>10.287588959498001</v>
      </c>
      <c r="U978">
        <v>9.6573339445595305</v>
      </c>
      <c r="V978">
        <v>0.97481996678161698</v>
      </c>
      <c r="W978">
        <v>5.4826344233552398</v>
      </c>
      <c r="X978">
        <v>0.45736792348314298</v>
      </c>
      <c r="Y978">
        <v>1.76984889289137</v>
      </c>
      <c r="Z978">
        <v>4.7193582687492803</v>
      </c>
      <c r="AA978" s="1">
        <f t="shared" si="46"/>
        <v>39.604543739221221</v>
      </c>
      <c r="AB978" t="s">
        <v>45</v>
      </c>
      <c r="AC978">
        <v>9.99</v>
      </c>
      <c r="AD978">
        <v>9.99</v>
      </c>
      <c r="AE978">
        <v>9.99</v>
      </c>
      <c r="AF978">
        <v>77.75</v>
      </c>
      <c r="AG978">
        <v>90.38</v>
      </c>
      <c r="AH978">
        <v>22.93</v>
      </c>
      <c r="AI978">
        <v>23.74</v>
      </c>
      <c r="AJ978">
        <v>38.44</v>
      </c>
      <c r="AK978">
        <v>129.55000000000001</v>
      </c>
      <c r="AL978">
        <v>32.01</v>
      </c>
      <c r="AM978">
        <v>87.65</v>
      </c>
      <c r="AN978">
        <v>35.56</v>
      </c>
      <c r="AO978" s="1">
        <f t="shared" si="47"/>
        <v>567.98</v>
      </c>
    </row>
    <row r="979" spans="1:41" x14ac:dyDescent="0.25">
      <c r="A979" t="s">
        <v>1022</v>
      </c>
      <c r="E979">
        <v>1128.76096214207</v>
      </c>
      <c r="F979">
        <v>2038.7660936955599</v>
      </c>
      <c r="G979">
        <v>1682.28937918477</v>
      </c>
      <c r="H979">
        <v>1715.6895067063101</v>
      </c>
      <c r="I979">
        <v>1009.3803274744</v>
      </c>
      <c r="J979">
        <v>3169.91923748095</v>
      </c>
      <c r="K979">
        <v>1101.07935683182</v>
      </c>
      <c r="L979">
        <v>5751.6563045783196</v>
      </c>
      <c r="M979">
        <v>4151.1372131361104</v>
      </c>
      <c r="N979" s="1">
        <f t="shared" si="45"/>
        <v>21748.678381230311</v>
      </c>
      <c r="R979">
        <v>0.57433549122860705</v>
      </c>
      <c r="S979">
        <v>3.7596927079408999</v>
      </c>
      <c r="T979">
        <v>4.01185199360547</v>
      </c>
      <c r="U979">
        <v>1.0770637522984601</v>
      </c>
      <c r="V979">
        <v>3.34847008884311</v>
      </c>
      <c r="W979">
        <v>14.0554907630708</v>
      </c>
      <c r="X979">
        <v>2.3024472644820499</v>
      </c>
      <c r="Y979">
        <v>2.1632565566153099</v>
      </c>
      <c r="Z979">
        <v>8.7133258709993608</v>
      </c>
      <c r="AA979" s="1">
        <f t="shared" si="46"/>
        <v>40.005934489084069</v>
      </c>
      <c r="AB979" t="s">
        <v>63</v>
      </c>
      <c r="AF979">
        <v>22.67</v>
      </c>
      <c r="AG979">
        <v>41.14</v>
      </c>
      <c r="AH979">
        <v>34.11</v>
      </c>
      <c r="AI979">
        <v>34.5</v>
      </c>
      <c r="AJ979">
        <v>20.56</v>
      </c>
      <c r="AK979">
        <v>64.75</v>
      </c>
      <c r="AL979">
        <v>22.31</v>
      </c>
      <c r="AM979">
        <v>115.31</v>
      </c>
      <c r="AN979">
        <v>83.85</v>
      </c>
      <c r="AO979" s="1">
        <f t="shared" si="47"/>
        <v>439.20000000000005</v>
      </c>
    </row>
    <row r="980" spans="1:41" x14ac:dyDescent="0.25">
      <c r="A980" t="s">
        <v>1023</v>
      </c>
      <c r="E980">
        <v>5440.3773300726998</v>
      </c>
      <c r="F980">
        <v>6713.1322511621702</v>
      </c>
      <c r="G980">
        <v>6936.2552603741597</v>
      </c>
      <c r="H980">
        <v>2685.51176698377</v>
      </c>
      <c r="I980">
        <v>2337.4147046493699</v>
      </c>
      <c r="J980">
        <v>0</v>
      </c>
      <c r="K980">
        <v>9782.6450684966694</v>
      </c>
      <c r="L980">
        <v>229.04626877190199</v>
      </c>
      <c r="M980">
        <v>5706.9265503247498</v>
      </c>
      <c r="N980" s="1">
        <f t="shared" si="45"/>
        <v>39831.309200835502</v>
      </c>
      <c r="R980">
        <v>5.6630055704865399</v>
      </c>
      <c r="S980">
        <v>0</v>
      </c>
      <c r="T980">
        <v>2.3678837617892099</v>
      </c>
      <c r="U980">
        <v>8.7703923030269006</v>
      </c>
      <c r="V980">
        <v>0.38688825952683098</v>
      </c>
      <c r="W980">
        <v>4.2907721299782997</v>
      </c>
      <c r="X980">
        <v>4.2871133902757101</v>
      </c>
      <c r="Y980">
        <v>2.36221036976236</v>
      </c>
      <c r="Z980">
        <v>3.2348484526375301</v>
      </c>
      <c r="AA980" s="1">
        <f t="shared" si="46"/>
        <v>31.36311423748338</v>
      </c>
      <c r="AB980" t="s">
        <v>45</v>
      </c>
      <c r="AC980">
        <v>9.99</v>
      </c>
      <c r="AD980">
        <v>9.99</v>
      </c>
      <c r="AE980">
        <v>9.99</v>
      </c>
      <c r="AF980">
        <v>64.7</v>
      </c>
      <c r="AG980">
        <v>77.13</v>
      </c>
      <c r="AH980">
        <v>79.510000000000005</v>
      </c>
      <c r="AI980">
        <v>37.299999999999997</v>
      </c>
      <c r="AJ980">
        <v>33.42</v>
      </c>
      <c r="AK980">
        <v>10.24</v>
      </c>
      <c r="AL980">
        <v>108.07</v>
      </c>
      <c r="AM980">
        <v>12.44</v>
      </c>
      <c r="AN980">
        <v>67.260000000000005</v>
      </c>
      <c r="AO980" s="1">
        <f t="shared" si="47"/>
        <v>520.04000000000008</v>
      </c>
    </row>
    <row r="981" spans="1:41" x14ac:dyDescent="0.25">
      <c r="A981" t="s">
        <v>1024</v>
      </c>
      <c r="D981">
        <v>6263.6016926265302</v>
      </c>
      <c r="E981">
        <v>6504.9929834285203</v>
      </c>
      <c r="F981">
        <v>2129.9082772383399</v>
      </c>
      <c r="G981">
        <v>759.94717351898896</v>
      </c>
      <c r="H981">
        <v>4663.1460282455901</v>
      </c>
      <c r="I981">
        <v>972.27559194518994</v>
      </c>
      <c r="J981">
        <v>364.73431553705097</v>
      </c>
      <c r="K981">
        <v>1418.55116519801</v>
      </c>
      <c r="L981">
        <v>1676.70396290756</v>
      </c>
      <c r="M981">
        <v>376.389172365864</v>
      </c>
      <c r="N981" s="1">
        <f t="shared" si="45"/>
        <v>25130.250363011641</v>
      </c>
      <c r="Q981">
        <v>2.4930334047746401</v>
      </c>
      <c r="R981">
        <v>1.7721865849001901</v>
      </c>
      <c r="S981">
        <v>0.95636866914837104</v>
      </c>
      <c r="T981">
        <v>9.3268410613442896</v>
      </c>
      <c r="U981">
        <v>3.8494296155932402</v>
      </c>
      <c r="V981">
        <v>1.8065423507053899</v>
      </c>
      <c r="W981">
        <v>4.88147086130469</v>
      </c>
      <c r="X981">
        <v>2.1352630032017301</v>
      </c>
      <c r="Y981">
        <v>3.7028067642068501</v>
      </c>
      <c r="Z981">
        <v>3.3171238902966</v>
      </c>
      <c r="AA981" s="1">
        <f t="shared" si="46"/>
        <v>34.241066205475995</v>
      </c>
      <c r="AB981" t="s">
        <v>63</v>
      </c>
      <c r="AE981">
        <v>125.55</v>
      </c>
      <c r="AF981">
        <v>130.28</v>
      </c>
      <c r="AG981">
        <v>42.69</v>
      </c>
      <c r="AH981">
        <v>16.100000000000001</v>
      </c>
      <c r="AI981">
        <v>93.64</v>
      </c>
      <c r="AJ981">
        <v>19.64</v>
      </c>
      <c r="AK981">
        <v>7.75</v>
      </c>
      <c r="AL981">
        <v>28.65</v>
      </c>
      <c r="AM981">
        <v>33.9</v>
      </c>
      <c r="AN981">
        <v>7.9</v>
      </c>
      <c r="AO981" s="1">
        <f t="shared" si="47"/>
        <v>506.09999999999991</v>
      </c>
    </row>
    <row r="982" spans="1:41" x14ac:dyDescent="0.25">
      <c r="A982" t="s">
        <v>1025</v>
      </c>
      <c r="D982">
        <v>13258.5307782444</v>
      </c>
      <c r="E982">
        <v>1847.6904906014099</v>
      </c>
      <c r="F982">
        <v>11360.3561897573</v>
      </c>
      <c r="G982">
        <v>2777.0245631242601</v>
      </c>
      <c r="H982">
        <v>2139.0353183140701</v>
      </c>
      <c r="I982">
        <v>5669.1713454391802</v>
      </c>
      <c r="J982">
        <v>5490.1446917020103</v>
      </c>
      <c r="K982">
        <v>2975.4231954462898</v>
      </c>
      <c r="L982">
        <v>1633.78199201652</v>
      </c>
      <c r="M982">
        <v>4728.3067420477901</v>
      </c>
      <c r="N982" s="1">
        <f t="shared" si="45"/>
        <v>51879.46530669323</v>
      </c>
      <c r="Q982">
        <v>0.95070174813146102</v>
      </c>
      <c r="R982">
        <v>0</v>
      </c>
      <c r="S982">
        <v>3.6853860924984501</v>
      </c>
      <c r="T982">
        <v>3.5945415152639599</v>
      </c>
      <c r="U982">
        <v>9.4321257958505598</v>
      </c>
      <c r="V982">
        <v>3.9760669013221999</v>
      </c>
      <c r="W982">
        <v>5.1859751459840302</v>
      </c>
      <c r="X982">
        <v>1.97272256751768</v>
      </c>
      <c r="Y982">
        <v>0.84204260059313896</v>
      </c>
      <c r="Z982">
        <v>0.56304224700050498</v>
      </c>
      <c r="AA982" s="1">
        <f t="shared" si="46"/>
        <v>30.202604614161988</v>
      </c>
      <c r="AB982" t="s">
        <v>45</v>
      </c>
      <c r="AC982">
        <v>9.99</v>
      </c>
      <c r="AD982">
        <v>9.99</v>
      </c>
      <c r="AE982">
        <v>142.63</v>
      </c>
      <c r="AF982">
        <v>28.47</v>
      </c>
      <c r="AG982">
        <v>123.8</v>
      </c>
      <c r="AH982">
        <v>37.97</v>
      </c>
      <c r="AI982">
        <v>31.89</v>
      </c>
      <c r="AJ982">
        <v>66.89</v>
      </c>
      <c r="AK982">
        <v>65.2</v>
      </c>
      <c r="AL982">
        <v>39.85</v>
      </c>
      <c r="AM982">
        <v>26.38</v>
      </c>
      <c r="AN982">
        <v>57.33</v>
      </c>
      <c r="AO982" s="1">
        <f t="shared" si="47"/>
        <v>640.3900000000001</v>
      </c>
    </row>
    <row r="983" spans="1:41" x14ac:dyDescent="0.25">
      <c r="A983" t="s">
        <v>1026</v>
      </c>
      <c r="D983">
        <v>10682.979607499199</v>
      </c>
      <c r="E983">
        <v>2722.7384891156498</v>
      </c>
      <c r="F983">
        <v>11630.393389766799</v>
      </c>
      <c r="G983">
        <v>10779.1845976846</v>
      </c>
      <c r="H983">
        <v>8651.8730173307395</v>
      </c>
      <c r="I983">
        <v>8061.4454237879399</v>
      </c>
      <c r="J983">
        <v>7538.0408128885101</v>
      </c>
      <c r="K983">
        <v>5894.3864061116401</v>
      </c>
      <c r="L983">
        <v>3956.5786663444001</v>
      </c>
      <c r="M983">
        <v>0</v>
      </c>
      <c r="N983" s="1">
        <f t="shared" si="45"/>
        <v>69917.620410529489</v>
      </c>
      <c r="Q983">
        <v>2.3697799615539701</v>
      </c>
      <c r="R983">
        <v>1.1556840476513599</v>
      </c>
      <c r="S983">
        <v>1.5072110127367599</v>
      </c>
      <c r="T983">
        <v>0.31330080676678101</v>
      </c>
      <c r="U983">
        <v>2.2095982752458099</v>
      </c>
      <c r="V983">
        <v>1.7221698889802399</v>
      </c>
      <c r="W983">
        <v>3.0133152147423798</v>
      </c>
      <c r="X983">
        <v>1.0551766547258701</v>
      </c>
      <c r="Y983">
        <v>6.7757988405419098</v>
      </c>
      <c r="Z983">
        <v>4.93936895251416</v>
      </c>
      <c r="AA983" s="1">
        <f t="shared" si="46"/>
        <v>25.061403655459237</v>
      </c>
      <c r="AB983" t="s">
        <v>45</v>
      </c>
      <c r="AC983">
        <v>9.99</v>
      </c>
      <c r="AD983">
        <v>9.99</v>
      </c>
      <c r="AE983">
        <v>116.97</v>
      </c>
      <c r="AF983">
        <v>37.32</v>
      </c>
      <c r="AG983">
        <v>126.4</v>
      </c>
      <c r="AH983">
        <v>117.84</v>
      </c>
      <c r="AI983">
        <v>96.66</v>
      </c>
      <c r="AJ983">
        <v>90.71</v>
      </c>
      <c r="AK983">
        <v>85.58</v>
      </c>
      <c r="AL983">
        <v>69.040000000000006</v>
      </c>
      <c r="AM983">
        <v>49.91</v>
      </c>
      <c r="AN983">
        <v>10.24</v>
      </c>
      <c r="AO983" s="1">
        <f t="shared" si="47"/>
        <v>820.65</v>
      </c>
    </row>
    <row r="984" spans="1:41" x14ac:dyDescent="0.25">
      <c r="A984" t="s">
        <v>1027</v>
      </c>
      <c r="E984">
        <v>3890.75560080984</v>
      </c>
      <c r="F984">
        <v>5360.0064705323202</v>
      </c>
      <c r="G984">
        <v>1021.97991739806</v>
      </c>
      <c r="H984">
        <v>4341.0086055547599</v>
      </c>
      <c r="I984">
        <v>2253.2170147826901</v>
      </c>
      <c r="J984">
        <v>3237.1803577924602</v>
      </c>
      <c r="K984">
        <v>1621.1376206933801</v>
      </c>
      <c r="L984">
        <v>11062.499138699999</v>
      </c>
      <c r="M984">
        <v>343.43954706466502</v>
      </c>
      <c r="N984" s="1">
        <f t="shared" si="45"/>
        <v>33131.224273328167</v>
      </c>
      <c r="R984">
        <v>0</v>
      </c>
      <c r="S984">
        <v>3.2385103040581198</v>
      </c>
      <c r="T984">
        <v>1.97772667517585</v>
      </c>
      <c r="U984">
        <v>0.23145242584141101</v>
      </c>
      <c r="V984">
        <v>2.8153222924023802</v>
      </c>
      <c r="W984">
        <v>1.92334452344356</v>
      </c>
      <c r="X984">
        <v>4.8670007084058504</v>
      </c>
      <c r="Y984">
        <v>2.88551984303973</v>
      </c>
      <c r="Z984">
        <v>1.1519435286389299</v>
      </c>
      <c r="AA984" s="1">
        <f t="shared" si="46"/>
        <v>19.090820301005834</v>
      </c>
      <c r="AB984" t="s">
        <v>63</v>
      </c>
      <c r="AF984">
        <v>77.819999999999993</v>
      </c>
      <c r="AG984">
        <v>107.58</v>
      </c>
      <c r="AH984">
        <v>20.62</v>
      </c>
      <c r="AI984">
        <v>86.93</v>
      </c>
      <c r="AJ984">
        <v>45.35</v>
      </c>
      <c r="AK984">
        <v>64.94</v>
      </c>
      <c r="AL984">
        <v>32.89</v>
      </c>
      <c r="AM984">
        <v>221.53</v>
      </c>
      <c r="AN984">
        <v>7.06</v>
      </c>
      <c r="AO984" s="1">
        <f t="shared" si="47"/>
        <v>664.71999999999991</v>
      </c>
    </row>
    <row r="985" spans="1:41" x14ac:dyDescent="0.25">
      <c r="A985" t="s">
        <v>1028</v>
      </c>
      <c r="C985">
        <v>4127.7511366151002</v>
      </c>
      <c r="D985">
        <v>3117.1264845652299</v>
      </c>
      <c r="E985">
        <v>1305.0069939977</v>
      </c>
      <c r="F985">
        <v>3914.9845444830898</v>
      </c>
      <c r="G985">
        <v>1732.1968748384299</v>
      </c>
      <c r="H985">
        <v>6725.9243005336002</v>
      </c>
      <c r="I985">
        <v>3979.9496722126801</v>
      </c>
      <c r="J985">
        <v>2864.6061796242502</v>
      </c>
      <c r="K985">
        <v>8315.7157119646108</v>
      </c>
      <c r="L985">
        <v>7093.3010320847698</v>
      </c>
      <c r="M985">
        <v>3408.2132405577399</v>
      </c>
      <c r="N985" s="1">
        <f t="shared" si="45"/>
        <v>46584.776171477206</v>
      </c>
      <c r="P985">
        <v>4.9152760573946299</v>
      </c>
      <c r="Q985">
        <v>3.7123820120239799</v>
      </c>
      <c r="R985">
        <v>3.3055752618692802</v>
      </c>
      <c r="S985">
        <v>16.010214295314899</v>
      </c>
      <c r="T985">
        <v>2.1173768159248199</v>
      </c>
      <c r="U985">
        <v>0</v>
      </c>
      <c r="V985">
        <v>6.1380616281395897</v>
      </c>
      <c r="W985">
        <v>0.60299706207916304</v>
      </c>
      <c r="X985">
        <v>4.4463157240633304</v>
      </c>
      <c r="Y985">
        <v>12.9558759129485</v>
      </c>
      <c r="Z985">
        <v>5.0027258150442098</v>
      </c>
      <c r="AA985" s="1">
        <f t="shared" si="46"/>
        <v>59.206800584802401</v>
      </c>
      <c r="AB985" t="s">
        <v>45</v>
      </c>
      <c r="AC985">
        <v>9.99</v>
      </c>
      <c r="AD985">
        <v>51.52</v>
      </c>
      <c r="AE985">
        <v>41.37</v>
      </c>
      <c r="AF985">
        <v>23.25</v>
      </c>
      <c r="AG985">
        <v>49.99</v>
      </c>
      <c r="AH985">
        <v>27.47</v>
      </c>
      <c r="AI985">
        <v>77.25</v>
      </c>
      <c r="AJ985">
        <v>50.14</v>
      </c>
      <c r="AK985">
        <v>38.69</v>
      </c>
      <c r="AL985">
        <v>93.4</v>
      </c>
      <c r="AM985">
        <v>81.58</v>
      </c>
      <c r="AN985">
        <v>44.38</v>
      </c>
      <c r="AO985" s="1">
        <f t="shared" si="47"/>
        <v>589.03000000000009</v>
      </c>
    </row>
    <row r="986" spans="1:41" x14ac:dyDescent="0.25">
      <c r="A986" t="s">
        <v>1029</v>
      </c>
      <c r="D986">
        <v>1203.88667206848</v>
      </c>
      <c r="E986">
        <v>555.64044678160406</v>
      </c>
      <c r="F986">
        <v>0</v>
      </c>
      <c r="G986">
        <v>4088.9722712141001</v>
      </c>
      <c r="H986">
        <v>3531.10622579149</v>
      </c>
      <c r="I986">
        <v>2036.30356574079</v>
      </c>
      <c r="J986">
        <v>3728.8347183749402</v>
      </c>
      <c r="K986">
        <v>5971.9531755801199</v>
      </c>
      <c r="L986">
        <v>9645.04047554727</v>
      </c>
      <c r="M986">
        <v>2434.4200361344001</v>
      </c>
      <c r="N986" s="1">
        <f t="shared" si="45"/>
        <v>33196.157587233189</v>
      </c>
      <c r="Q986">
        <v>0</v>
      </c>
      <c r="R986">
        <v>10.448554503766299</v>
      </c>
      <c r="S986">
        <v>0</v>
      </c>
      <c r="T986">
        <v>0.55720106927604396</v>
      </c>
      <c r="U986">
        <v>0.93632841656235799</v>
      </c>
      <c r="V986">
        <v>1.72604142204278</v>
      </c>
      <c r="W986">
        <v>0</v>
      </c>
      <c r="X986">
        <v>1.7545650840153699</v>
      </c>
      <c r="Y986">
        <v>0</v>
      </c>
      <c r="Z986">
        <v>7.0573238136721299</v>
      </c>
      <c r="AA986" s="1">
        <f t="shared" si="46"/>
        <v>22.48001430933498</v>
      </c>
      <c r="AB986" t="s">
        <v>63</v>
      </c>
      <c r="AE986">
        <v>24.08</v>
      </c>
      <c r="AF986">
        <v>12.11</v>
      </c>
      <c r="AG986">
        <v>0</v>
      </c>
      <c r="AH986">
        <v>81.87</v>
      </c>
      <c r="AI986">
        <v>70.73</v>
      </c>
      <c r="AJ986">
        <v>40.92</v>
      </c>
      <c r="AK986">
        <v>74.58</v>
      </c>
      <c r="AL986">
        <v>119.62</v>
      </c>
      <c r="AM986">
        <v>192.92</v>
      </c>
      <c r="AN986">
        <v>49.42</v>
      </c>
      <c r="AO986" s="1">
        <f t="shared" si="47"/>
        <v>666.25</v>
      </c>
    </row>
    <row r="987" spans="1:41" x14ac:dyDescent="0.25">
      <c r="A987" t="s">
        <v>1030</v>
      </c>
      <c r="D987">
        <v>4023.3275766035699</v>
      </c>
      <c r="E987">
        <v>0</v>
      </c>
      <c r="F987">
        <v>2675.7632630711</v>
      </c>
      <c r="G987">
        <v>3990.8545915005802</v>
      </c>
      <c r="H987">
        <v>1950.7378180549999</v>
      </c>
      <c r="I987">
        <v>4007.19771981742</v>
      </c>
      <c r="J987">
        <v>2366.2822545269701</v>
      </c>
      <c r="K987">
        <v>860.45927733317399</v>
      </c>
      <c r="L987">
        <v>2009.27070450323</v>
      </c>
      <c r="M987">
        <v>9072.5365908046097</v>
      </c>
      <c r="N987" s="1">
        <f t="shared" si="45"/>
        <v>30956.429796215656</v>
      </c>
      <c r="Q987">
        <v>1.1921812715561</v>
      </c>
      <c r="R987">
        <v>0.184048981179395</v>
      </c>
      <c r="S987">
        <v>1.8812569459407399E-2</v>
      </c>
      <c r="T987">
        <v>12.605334906882099</v>
      </c>
      <c r="U987">
        <v>2.6195432432719099</v>
      </c>
      <c r="V987">
        <v>0.69102739111715705</v>
      </c>
      <c r="W987">
        <v>8.1502599240305003</v>
      </c>
      <c r="X987">
        <v>8.6290960996559694</v>
      </c>
      <c r="Y987">
        <v>2.2297881281902101</v>
      </c>
      <c r="Z987">
        <v>4.6246662024388101</v>
      </c>
      <c r="AA987" s="1">
        <f t="shared" si="46"/>
        <v>40.944758717781554</v>
      </c>
      <c r="AB987" t="s">
        <v>63</v>
      </c>
      <c r="AE987">
        <v>80.66</v>
      </c>
      <c r="AF987">
        <v>0.09</v>
      </c>
      <c r="AG987">
        <v>53.61</v>
      </c>
      <c r="AH987">
        <v>80.989999999999995</v>
      </c>
      <c r="AI987">
        <v>39.29</v>
      </c>
      <c r="AJ987">
        <v>80.25</v>
      </c>
      <c r="AK987">
        <v>48.15</v>
      </c>
      <c r="AL987">
        <v>18.03</v>
      </c>
      <c r="AM987">
        <v>40.47</v>
      </c>
      <c r="AN987">
        <v>181.91</v>
      </c>
      <c r="AO987" s="1">
        <f t="shared" si="47"/>
        <v>623.44999999999993</v>
      </c>
    </row>
    <row r="988" spans="1:41" x14ac:dyDescent="0.25">
      <c r="A988" t="s">
        <v>1031</v>
      </c>
      <c r="E988">
        <v>4386.7232751689999</v>
      </c>
      <c r="F988">
        <v>446.73171629305898</v>
      </c>
      <c r="G988">
        <v>0</v>
      </c>
      <c r="H988">
        <v>1156.43167403955</v>
      </c>
      <c r="I988">
        <v>6323.4720505457999</v>
      </c>
      <c r="J988">
        <v>2612.0406618320899</v>
      </c>
      <c r="K988">
        <v>1696.45632662717</v>
      </c>
      <c r="L988">
        <v>4724.0730634386</v>
      </c>
      <c r="M988">
        <v>866.39142941821797</v>
      </c>
      <c r="N988" s="1">
        <f t="shared" si="45"/>
        <v>22212.320197363486</v>
      </c>
      <c r="R988">
        <v>4.7224680610141903</v>
      </c>
      <c r="S988">
        <v>8.0486553127966403</v>
      </c>
      <c r="T988">
        <v>0.80877095803659704</v>
      </c>
      <c r="U988">
        <v>7.1044052416685304</v>
      </c>
      <c r="V988">
        <v>10.079289882762099</v>
      </c>
      <c r="W988">
        <v>7.1997715771915098</v>
      </c>
      <c r="X988">
        <v>0</v>
      </c>
      <c r="Y988">
        <v>0</v>
      </c>
      <c r="Z988">
        <v>0</v>
      </c>
      <c r="AA988" s="1">
        <f t="shared" si="46"/>
        <v>37.963361033469567</v>
      </c>
      <c r="AB988" t="s">
        <v>63</v>
      </c>
      <c r="AF988">
        <v>88.19</v>
      </c>
      <c r="AG988">
        <v>9.75</v>
      </c>
      <c r="AH988">
        <v>0.09</v>
      </c>
      <c r="AI988">
        <v>23.86</v>
      </c>
      <c r="AJ988">
        <v>127.47</v>
      </c>
      <c r="AK988">
        <v>52.98</v>
      </c>
      <c r="AL988">
        <v>33.94</v>
      </c>
      <c r="AM988">
        <v>94.5</v>
      </c>
      <c r="AN988">
        <v>17.34</v>
      </c>
      <c r="AO988" s="1">
        <f t="shared" si="47"/>
        <v>448.12</v>
      </c>
    </row>
    <row r="989" spans="1:41" x14ac:dyDescent="0.25">
      <c r="A989" t="s">
        <v>1032</v>
      </c>
      <c r="C989">
        <v>8174.5724795637998</v>
      </c>
      <c r="D989">
        <v>407.54447609100299</v>
      </c>
      <c r="E989">
        <v>1877.0981483717801</v>
      </c>
      <c r="F989">
        <v>1106.6526229782401</v>
      </c>
      <c r="G989">
        <v>1557.3695246462601</v>
      </c>
      <c r="H989">
        <v>8748.2665464048805</v>
      </c>
      <c r="I989">
        <v>5739.5184141939999</v>
      </c>
      <c r="J989">
        <v>4265.0285915663299</v>
      </c>
      <c r="K989">
        <v>3677.47877577805</v>
      </c>
      <c r="L989">
        <v>8438.6083372992198</v>
      </c>
      <c r="M989">
        <v>1741.36148479246</v>
      </c>
      <c r="N989" s="1">
        <f t="shared" si="45"/>
        <v>45733.499401686029</v>
      </c>
      <c r="P989">
        <v>0</v>
      </c>
      <c r="Q989">
        <v>6.2322514613673903</v>
      </c>
      <c r="R989">
        <v>0.97124312455796602</v>
      </c>
      <c r="S989">
        <v>0.60105525643375801</v>
      </c>
      <c r="T989">
        <v>4.1814634536206201</v>
      </c>
      <c r="U989">
        <v>3.8330529250063701</v>
      </c>
      <c r="V989">
        <v>18.697564734276501</v>
      </c>
      <c r="W989">
        <v>1.95097193487978</v>
      </c>
      <c r="X989">
        <v>1.7036987260929399</v>
      </c>
      <c r="Y989">
        <v>5.0106462459689203</v>
      </c>
      <c r="Z989">
        <v>3.1576686851779399</v>
      </c>
      <c r="AA989" s="1">
        <f t="shared" si="46"/>
        <v>46.339616547382185</v>
      </c>
      <c r="AB989" t="s">
        <v>45</v>
      </c>
      <c r="AC989">
        <v>9.99</v>
      </c>
      <c r="AD989">
        <v>91.74</v>
      </c>
      <c r="AE989">
        <v>14.42</v>
      </c>
      <c r="AF989">
        <v>28.82</v>
      </c>
      <c r="AG989">
        <v>21.11</v>
      </c>
      <c r="AH989">
        <v>25.82</v>
      </c>
      <c r="AI989">
        <v>97.68</v>
      </c>
      <c r="AJ989">
        <v>68.34</v>
      </c>
      <c r="AK989">
        <v>52.75</v>
      </c>
      <c r="AL989">
        <v>46.87</v>
      </c>
      <c r="AM989">
        <v>94.68</v>
      </c>
      <c r="AN989">
        <v>27.61</v>
      </c>
      <c r="AO989" s="1">
        <f t="shared" si="47"/>
        <v>579.83000000000004</v>
      </c>
    </row>
    <row r="990" spans="1:41" x14ac:dyDescent="0.25">
      <c r="A990" t="s">
        <v>1033</v>
      </c>
      <c r="D990">
        <v>3681.80364814627</v>
      </c>
      <c r="E990">
        <v>3819.2006502270401</v>
      </c>
      <c r="F990">
        <v>2527.4094578962399</v>
      </c>
      <c r="G990">
        <v>915.126742801624</v>
      </c>
      <c r="H990">
        <v>1491.5168965681501</v>
      </c>
      <c r="I990">
        <v>7501.2139314285096</v>
      </c>
      <c r="J990">
        <v>6015.4529402410399</v>
      </c>
      <c r="K990">
        <v>11026.106905779399</v>
      </c>
      <c r="L990">
        <v>1570.1750395423901</v>
      </c>
      <c r="M990">
        <v>1348.1991788607099</v>
      </c>
      <c r="N990" s="1">
        <f t="shared" si="45"/>
        <v>39896.20539149137</v>
      </c>
      <c r="Q990">
        <v>0.220453500191197</v>
      </c>
      <c r="R990">
        <v>2.4322691630304498</v>
      </c>
      <c r="S990">
        <v>4.7680318174248802E-2</v>
      </c>
      <c r="T990">
        <v>5.7227220371294303</v>
      </c>
      <c r="U990">
        <v>0.39248978488784902</v>
      </c>
      <c r="V990">
        <v>10.2145408772554</v>
      </c>
      <c r="W990">
        <v>8.0655915884987994</v>
      </c>
      <c r="X990">
        <v>2.6025134709322</v>
      </c>
      <c r="Y990">
        <v>10.6498660472498</v>
      </c>
      <c r="Z990">
        <v>22.005021851241199</v>
      </c>
      <c r="AA990" s="1">
        <f t="shared" si="46"/>
        <v>62.353148638590582</v>
      </c>
      <c r="AB990" t="s">
        <v>45</v>
      </c>
      <c r="AC990">
        <v>9.99</v>
      </c>
      <c r="AD990">
        <v>9.99</v>
      </c>
      <c r="AE990">
        <v>46.86</v>
      </c>
      <c r="AF990">
        <v>48.34</v>
      </c>
      <c r="AG990">
        <v>35.32</v>
      </c>
      <c r="AH990">
        <v>19.45</v>
      </c>
      <c r="AI990">
        <v>24.96</v>
      </c>
      <c r="AJ990">
        <v>85.56</v>
      </c>
      <c r="AK990">
        <v>70.599999999999994</v>
      </c>
      <c r="AL990">
        <v>120.41</v>
      </c>
      <c r="AM990">
        <v>26.25</v>
      </c>
      <c r="AN990">
        <v>24.63</v>
      </c>
      <c r="AO990" s="1">
        <f t="shared" si="47"/>
        <v>522.36</v>
      </c>
    </row>
    <row r="991" spans="1:41" x14ac:dyDescent="0.25">
      <c r="A991" t="s">
        <v>1034</v>
      </c>
      <c r="D991">
        <v>814.09935711494097</v>
      </c>
      <c r="E991">
        <v>820.764908398236</v>
      </c>
      <c r="F991">
        <v>339.89066809086302</v>
      </c>
      <c r="G991">
        <v>7711.9103339045296</v>
      </c>
      <c r="H991">
        <v>4123.58837264254</v>
      </c>
      <c r="I991">
        <v>6127.6684814009204</v>
      </c>
      <c r="J991">
        <v>2622.5544645394002</v>
      </c>
      <c r="K991">
        <v>1069.65643530437</v>
      </c>
      <c r="L991">
        <v>647.47412244075304</v>
      </c>
      <c r="M991">
        <v>1256.2084431538699</v>
      </c>
      <c r="N991" s="1">
        <f t="shared" si="45"/>
        <v>25533.815586990422</v>
      </c>
      <c r="Q991">
        <v>1.24190739622785</v>
      </c>
      <c r="R991">
        <v>5.2111377336397302</v>
      </c>
      <c r="S991">
        <v>1.4273524891688301</v>
      </c>
      <c r="T991">
        <v>2.98697375188934</v>
      </c>
      <c r="U991">
        <v>2.94187222146796</v>
      </c>
      <c r="V991">
        <v>7.9460992524544798</v>
      </c>
      <c r="W991">
        <v>0.950586695681644</v>
      </c>
      <c r="X991">
        <v>9.9723255219015208</v>
      </c>
      <c r="Y991">
        <v>6.53553608309808</v>
      </c>
      <c r="Z991">
        <v>0.28146508966595901</v>
      </c>
      <c r="AA991" s="1">
        <f t="shared" si="46"/>
        <v>39.495256235195392</v>
      </c>
      <c r="AB991" t="s">
        <v>63</v>
      </c>
      <c r="AE991">
        <v>16.48</v>
      </c>
      <c r="AF991">
        <v>16.96</v>
      </c>
      <c r="AG991">
        <v>6.98</v>
      </c>
      <c r="AH991">
        <v>154.51</v>
      </c>
      <c r="AI991">
        <v>82.75</v>
      </c>
      <c r="AJ991">
        <v>123.28</v>
      </c>
      <c r="AK991">
        <v>52.55</v>
      </c>
      <c r="AL991">
        <v>22.3</v>
      </c>
      <c r="AM991">
        <v>13.59</v>
      </c>
      <c r="AN991">
        <v>25.23</v>
      </c>
      <c r="AO991" s="1">
        <f t="shared" si="47"/>
        <v>514.63</v>
      </c>
    </row>
    <row r="992" spans="1:41" x14ac:dyDescent="0.25">
      <c r="A992" t="s">
        <v>1035</v>
      </c>
      <c r="D992">
        <v>255.72426083572299</v>
      </c>
      <c r="E992">
        <v>0</v>
      </c>
      <c r="F992">
        <v>4189.9199355827304</v>
      </c>
      <c r="G992">
        <v>4703.2997461048899</v>
      </c>
      <c r="H992">
        <v>5060.3645062984697</v>
      </c>
      <c r="I992">
        <v>8074.4796331919197</v>
      </c>
      <c r="J992">
        <v>1616.51101574113</v>
      </c>
      <c r="K992">
        <v>2553.4236738825598</v>
      </c>
      <c r="L992">
        <v>3789.8757687526199</v>
      </c>
      <c r="M992">
        <v>14025.6015868017</v>
      </c>
      <c r="N992" s="1">
        <f t="shared" si="45"/>
        <v>44269.20012719174</v>
      </c>
      <c r="Q992">
        <v>2.1239144242544898</v>
      </c>
      <c r="R992">
        <v>6.9073778140683704</v>
      </c>
      <c r="S992">
        <v>3.5155533443245099</v>
      </c>
      <c r="T992">
        <v>1.8002026110735301</v>
      </c>
      <c r="U992">
        <v>2.1805137662215799</v>
      </c>
      <c r="V992">
        <v>6.0623838216999397</v>
      </c>
      <c r="W992">
        <v>3.72668877269159</v>
      </c>
      <c r="X992">
        <v>1.5915675247132299</v>
      </c>
      <c r="Y992">
        <v>13.7913392612599</v>
      </c>
      <c r="Z992">
        <v>4.1460073192128197</v>
      </c>
      <c r="AA992" s="1">
        <f t="shared" si="46"/>
        <v>45.845548659519956</v>
      </c>
      <c r="AB992" t="s">
        <v>63</v>
      </c>
      <c r="AE992">
        <v>5.39</v>
      </c>
      <c r="AF992">
        <v>0.63</v>
      </c>
      <c r="AG992">
        <v>84.16</v>
      </c>
      <c r="AH992">
        <v>94.26</v>
      </c>
      <c r="AI992">
        <v>101.49</v>
      </c>
      <c r="AJ992">
        <v>162.13</v>
      </c>
      <c r="AK992">
        <v>32.700000000000003</v>
      </c>
      <c r="AL992">
        <v>51.26</v>
      </c>
      <c r="AM992">
        <v>77.06</v>
      </c>
      <c r="AN992">
        <v>280.97000000000003</v>
      </c>
      <c r="AO992" s="1">
        <f t="shared" si="47"/>
        <v>890.05</v>
      </c>
    </row>
    <row r="993" spans="1:41" x14ac:dyDescent="0.25">
      <c r="A993" t="s">
        <v>1036</v>
      </c>
      <c r="D993">
        <v>6941.8283895218701</v>
      </c>
      <c r="E993">
        <v>4312.2523570201702</v>
      </c>
      <c r="F993">
        <v>11429.1943609952</v>
      </c>
      <c r="G993">
        <v>8676.7664888017207</v>
      </c>
      <c r="H993">
        <v>886.52060713778997</v>
      </c>
      <c r="I993">
        <v>0</v>
      </c>
      <c r="J993">
        <v>1562.35149373993</v>
      </c>
      <c r="K993">
        <v>1935.0535104630701</v>
      </c>
      <c r="L993">
        <v>3427.4512863658301</v>
      </c>
      <c r="M993">
        <v>953.28130501150304</v>
      </c>
      <c r="N993" s="1">
        <f t="shared" si="45"/>
        <v>40124.699799057082</v>
      </c>
      <c r="Q993">
        <v>1.77897611432613</v>
      </c>
      <c r="R993">
        <v>3.6285988839120198</v>
      </c>
      <c r="S993">
        <v>3.7301527157161098</v>
      </c>
      <c r="T993">
        <v>4.88820469369767</v>
      </c>
      <c r="U993">
        <v>4.8768255128961799</v>
      </c>
      <c r="V993">
        <v>1.4185253463915899</v>
      </c>
      <c r="W993">
        <v>6.9293659298304302</v>
      </c>
      <c r="X993">
        <v>1.19528776781329</v>
      </c>
      <c r="Y993">
        <v>0</v>
      </c>
      <c r="Z993">
        <v>15.2916227656424</v>
      </c>
      <c r="AA993" s="1">
        <f t="shared" si="46"/>
        <v>43.737559730225819</v>
      </c>
      <c r="AB993" t="s">
        <v>45</v>
      </c>
      <c r="AC993">
        <v>9.99</v>
      </c>
      <c r="AD993">
        <v>9.99</v>
      </c>
      <c r="AE993">
        <v>79.510000000000005</v>
      </c>
      <c r="AF993">
        <v>53.32</v>
      </c>
      <c r="AG993">
        <v>124.49</v>
      </c>
      <c r="AH993">
        <v>97.01</v>
      </c>
      <c r="AI993">
        <v>19.11</v>
      </c>
      <c r="AJ993">
        <v>10.09</v>
      </c>
      <c r="AK993">
        <v>25.97</v>
      </c>
      <c r="AL993">
        <v>29.45</v>
      </c>
      <c r="AM993">
        <v>44.27</v>
      </c>
      <c r="AN993">
        <v>20.329999999999998</v>
      </c>
      <c r="AO993" s="1">
        <f t="shared" si="47"/>
        <v>523.53</v>
      </c>
    </row>
    <row r="994" spans="1:41" x14ac:dyDescent="0.25">
      <c r="A994" t="s">
        <v>1037</v>
      </c>
      <c r="C994">
        <v>2987.32320616266</v>
      </c>
      <c r="D994">
        <v>415.52158389371601</v>
      </c>
      <c r="E994">
        <v>2258.52137089292</v>
      </c>
      <c r="F994">
        <v>6663.85252641445</v>
      </c>
      <c r="G994">
        <v>5862.4798045764901</v>
      </c>
      <c r="H994">
        <v>5216.9896275377196</v>
      </c>
      <c r="I994">
        <v>1060.94287013077</v>
      </c>
      <c r="J994">
        <v>4747.3752618808603</v>
      </c>
      <c r="K994">
        <v>5415.16617538639</v>
      </c>
      <c r="L994">
        <v>3883.0919894205699</v>
      </c>
      <c r="M994">
        <v>8373.5237625583195</v>
      </c>
      <c r="N994" s="1">
        <f t="shared" si="45"/>
        <v>46884.788178854869</v>
      </c>
      <c r="P994">
        <v>1.11000612007105</v>
      </c>
      <c r="Q994">
        <v>0.52578136679656595</v>
      </c>
      <c r="R994">
        <v>1.3209191344342299</v>
      </c>
      <c r="S994">
        <v>0.18496298813517201</v>
      </c>
      <c r="T994">
        <v>0.501294033190821</v>
      </c>
      <c r="U994">
        <v>2.0948559138143299</v>
      </c>
      <c r="V994">
        <v>2.6935780299344501</v>
      </c>
      <c r="W994">
        <v>11.249344445207599</v>
      </c>
      <c r="X994">
        <v>1.46878957917648</v>
      </c>
      <c r="Y994">
        <v>2.4500867233911601</v>
      </c>
      <c r="Z994">
        <v>3.2373056173913302</v>
      </c>
      <c r="AA994" s="1">
        <f t="shared" si="46"/>
        <v>26.836923951543184</v>
      </c>
      <c r="AB994" t="s">
        <v>45</v>
      </c>
      <c r="AC994">
        <v>9.99</v>
      </c>
      <c r="AD994">
        <v>39.97</v>
      </c>
      <c r="AE994">
        <v>14.2</v>
      </c>
      <c r="AF994">
        <v>32.68</v>
      </c>
      <c r="AG994">
        <v>76.680000000000007</v>
      </c>
      <c r="AH994">
        <v>68.67</v>
      </c>
      <c r="AI994">
        <v>62.31</v>
      </c>
      <c r="AJ994">
        <v>20.75</v>
      </c>
      <c r="AK994">
        <v>58.07</v>
      </c>
      <c r="AL994">
        <v>64.25</v>
      </c>
      <c r="AM994">
        <v>48.98</v>
      </c>
      <c r="AN994">
        <v>93.93</v>
      </c>
      <c r="AO994" s="1">
        <f t="shared" si="47"/>
        <v>590.48</v>
      </c>
    </row>
    <row r="995" spans="1:41" x14ac:dyDescent="0.25">
      <c r="A995" t="s">
        <v>1038</v>
      </c>
      <c r="D995">
        <v>3118.3986853154702</v>
      </c>
      <c r="E995">
        <v>492.74279153045802</v>
      </c>
      <c r="F995">
        <v>1044.6285406280399</v>
      </c>
      <c r="G995">
        <v>1939.5461082801</v>
      </c>
      <c r="H995">
        <v>2011.5415658842101</v>
      </c>
      <c r="I995">
        <v>542.20674532640305</v>
      </c>
      <c r="J995">
        <v>11915.766666372199</v>
      </c>
      <c r="K995">
        <v>1593.60217844934</v>
      </c>
      <c r="L995">
        <v>1374.1747221580599</v>
      </c>
      <c r="M995">
        <v>0</v>
      </c>
      <c r="N995" s="1">
        <f t="shared" si="45"/>
        <v>24032.608003944279</v>
      </c>
      <c r="Q995">
        <v>1.92096619697504</v>
      </c>
      <c r="R995">
        <v>0.96624622856714304</v>
      </c>
      <c r="S995">
        <v>2.0653131825397502</v>
      </c>
      <c r="T995">
        <v>5.5888181811671798</v>
      </c>
      <c r="U995">
        <v>10.7610704695826</v>
      </c>
      <c r="V995">
        <v>24.4781420955707</v>
      </c>
      <c r="W995">
        <v>0.50063462417252202</v>
      </c>
      <c r="X995">
        <v>2.7171940867364199</v>
      </c>
      <c r="Y995">
        <v>7.57310559212321</v>
      </c>
      <c r="Z995">
        <v>2.14513860875998</v>
      </c>
      <c r="AA995" s="1">
        <f t="shared" si="46"/>
        <v>58.716629266194538</v>
      </c>
      <c r="AB995" t="s">
        <v>63</v>
      </c>
      <c r="AE995">
        <v>62.56</v>
      </c>
      <c r="AF995">
        <v>9.9499999999999993</v>
      </c>
      <c r="AG995">
        <v>21.17</v>
      </c>
      <c r="AH995">
        <v>39.340000000000003</v>
      </c>
      <c r="AI995">
        <v>41.23</v>
      </c>
      <c r="AJ995">
        <v>13.11</v>
      </c>
      <c r="AK995">
        <v>238.41</v>
      </c>
      <c r="AL995">
        <v>32.15</v>
      </c>
      <c r="AM995">
        <v>28.22</v>
      </c>
      <c r="AN995">
        <v>0.27</v>
      </c>
      <c r="AO995" s="1">
        <f t="shared" si="47"/>
        <v>486.40999999999997</v>
      </c>
    </row>
    <row r="996" spans="1:41" x14ac:dyDescent="0.25">
      <c r="A996" t="s">
        <v>1039</v>
      </c>
      <c r="C996">
        <v>1033.4406627553501</v>
      </c>
      <c r="D996">
        <v>217.01613185071099</v>
      </c>
      <c r="E996">
        <v>3943.84036677315</v>
      </c>
      <c r="F996">
        <v>803.072376826246</v>
      </c>
      <c r="G996">
        <v>2975.02713040155</v>
      </c>
      <c r="H996">
        <v>4973.8301779325402</v>
      </c>
      <c r="I996">
        <v>935.47600452160498</v>
      </c>
      <c r="J996">
        <v>2900.2160836366302</v>
      </c>
      <c r="K996">
        <v>10142.1899912722</v>
      </c>
      <c r="L996">
        <v>3191.0874058170498</v>
      </c>
      <c r="M996">
        <v>20451.855365542</v>
      </c>
      <c r="N996" s="1">
        <f t="shared" si="45"/>
        <v>51567.051697329029</v>
      </c>
      <c r="P996">
        <v>0.72221181726288797</v>
      </c>
      <c r="Q996">
        <v>5.1594717131165799</v>
      </c>
      <c r="R996">
        <v>4.1011537543113601</v>
      </c>
      <c r="S996">
        <v>5.9850119505264301</v>
      </c>
      <c r="T996">
        <v>2.4719451499695899</v>
      </c>
      <c r="U996">
        <v>1.4313845310831399</v>
      </c>
      <c r="V996">
        <v>2.6920275841928798</v>
      </c>
      <c r="W996">
        <v>5.3432785685729298</v>
      </c>
      <c r="X996">
        <v>2.3002040707948201</v>
      </c>
      <c r="Y996">
        <v>7.2565524022082997</v>
      </c>
      <c r="Z996">
        <v>8.0854350797360794</v>
      </c>
      <c r="AA996" s="1">
        <f t="shared" si="46"/>
        <v>45.548676621774995</v>
      </c>
      <c r="AB996" t="s">
        <v>45</v>
      </c>
      <c r="AC996">
        <v>9.99</v>
      </c>
      <c r="AD996">
        <v>20.38</v>
      </c>
      <c r="AE996">
        <v>12.47</v>
      </c>
      <c r="AF996">
        <v>49.68</v>
      </c>
      <c r="AG996">
        <v>18.329999999999998</v>
      </c>
      <c r="AH996">
        <v>39.9</v>
      </c>
      <c r="AI996">
        <v>59.83</v>
      </c>
      <c r="AJ996">
        <v>19.5</v>
      </c>
      <c r="AK996">
        <v>39.299999999999997</v>
      </c>
      <c r="AL996">
        <v>111.57</v>
      </c>
      <c r="AM996">
        <v>42.31</v>
      </c>
      <c r="AN996">
        <v>214.96</v>
      </c>
      <c r="AO996" s="1">
        <f t="shared" si="47"/>
        <v>638.22</v>
      </c>
    </row>
    <row r="997" spans="1:41" x14ac:dyDescent="0.25">
      <c r="A997" t="s">
        <v>1040</v>
      </c>
      <c r="D997">
        <v>0</v>
      </c>
      <c r="E997">
        <v>392.83063405540298</v>
      </c>
      <c r="F997">
        <v>4517.1397462619598</v>
      </c>
      <c r="G997">
        <v>297.83318140539598</v>
      </c>
      <c r="H997">
        <v>3075.49962870125</v>
      </c>
      <c r="I997">
        <v>3681.7916415940899</v>
      </c>
      <c r="J997">
        <v>938.30842111061395</v>
      </c>
      <c r="K997">
        <v>1805.4276382186499</v>
      </c>
      <c r="L997">
        <v>1375.75492820557</v>
      </c>
      <c r="M997">
        <v>10465.0552884032</v>
      </c>
      <c r="N997" s="1">
        <f t="shared" si="45"/>
        <v>26549.641107956133</v>
      </c>
      <c r="Q997">
        <v>3.83651862979591</v>
      </c>
      <c r="R997">
        <v>2.0538530235455399</v>
      </c>
      <c r="S997">
        <v>1.7424951764187</v>
      </c>
      <c r="T997">
        <v>4.8823348845878396</v>
      </c>
      <c r="U997">
        <v>5.6186933546993796</v>
      </c>
      <c r="V997">
        <v>0</v>
      </c>
      <c r="W997">
        <v>2.22832054814543</v>
      </c>
      <c r="X997">
        <v>0.32240258459858101</v>
      </c>
      <c r="Y997">
        <v>1.7007535275107699</v>
      </c>
      <c r="Z997">
        <v>0.63719944758965397</v>
      </c>
      <c r="AA997" s="1">
        <f t="shared" si="46"/>
        <v>23.022571176891805</v>
      </c>
      <c r="AB997" t="s">
        <v>63</v>
      </c>
      <c r="AE997">
        <v>0.36</v>
      </c>
      <c r="AF997">
        <v>8.1300000000000008</v>
      </c>
      <c r="AG997">
        <v>90.54</v>
      </c>
      <c r="AH997">
        <v>6.41</v>
      </c>
      <c r="AI997">
        <v>62.06</v>
      </c>
      <c r="AJ997">
        <v>73.64</v>
      </c>
      <c r="AK997">
        <v>19.05</v>
      </c>
      <c r="AL997">
        <v>36.21</v>
      </c>
      <c r="AM997">
        <v>27.7</v>
      </c>
      <c r="AN997">
        <v>209.41</v>
      </c>
      <c r="AO997" s="1">
        <f t="shared" si="47"/>
        <v>533.51</v>
      </c>
    </row>
    <row r="998" spans="1:41" x14ac:dyDescent="0.25">
      <c r="A998" t="s">
        <v>1041</v>
      </c>
      <c r="E998">
        <v>1688.1176481052401</v>
      </c>
      <c r="F998">
        <v>1915.35415151457</v>
      </c>
      <c r="G998">
        <v>4577.1640235147497</v>
      </c>
      <c r="H998">
        <v>1938.41562284258</v>
      </c>
      <c r="I998">
        <v>15239.5317730637</v>
      </c>
      <c r="J998">
        <v>4449.2364042402996</v>
      </c>
      <c r="K998">
        <v>2643.37739658296</v>
      </c>
      <c r="L998">
        <v>1133.7111280844899</v>
      </c>
      <c r="M998">
        <v>24.321939899802398</v>
      </c>
      <c r="N998" s="1">
        <f t="shared" si="45"/>
        <v>33609.230087848395</v>
      </c>
      <c r="R998">
        <v>2.0635440105382199</v>
      </c>
      <c r="S998">
        <v>0</v>
      </c>
      <c r="T998">
        <v>2.0807309931489102</v>
      </c>
      <c r="U998">
        <v>3.42985775341953</v>
      </c>
      <c r="V998">
        <v>10.0554713913145</v>
      </c>
      <c r="W998">
        <v>1.02284315157067</v>
      </c>
      <c r="X998">
        <v>5.3951114085579004</v>
      </c>
      <c r="Y998">
        <v>0</v>
      </c>
      <c r="Z998">
        <v>2.1562703578265001</v>
      </c>
      <c r="AA998" s="1">
        <f t="shared" si="46"/>
        <v>26.20382906637623</v>
      </c>
      <c r="AB998" t="s">
        <v>63</v>
      </c>
      <c r="AF998">
        <v>34.049999999999997</v>
      </c>
      <c r="AG998">
        <v>38.32</v>
      </c>
      <c r="AH998">
        <v>91.83</v>
      </c>
      <c r="AI998">
        <v>39.14</v>
      </c>
      <c r="AJ998">
        <v>305.79000000000002</v>
      </c>
      <c r="AK998">
        <v>89.18</v>
      </c>
      <c r="AL998">
        <v>53.42</v>
      </c>
      <c r="AM998">
        <v>22.68</v>
      </c>
      <c r="AN998">
        <v>0.77</v>
      </c>
      <c r="AO998" s="1">
        <f t="shared" si="47"/>
        <v>675.17999999999984</v>
      </c>
    </row>
    <row r="999" spans="1:41" x14ac:dyDescent="0.25">
      <c r="A999" t="s">
        <v>1042</v>
      </c>
      <c r="C999">
        <v>1685.8653806887701</v>
      </c>
      <c r="D999">
        <v>5930.9930164677799</v>
      </c>
      <c r="E999">
        <v>8605.0423130702202</v>
      </c>
      <c r="F999">
        <v>3533.7632314961302</v>
      </c>
      <c r="G999">
        <v>4238.7376294210399</v>
      </c>
      <c r="H999">
        <v>740.72107696407704</v>
      </c>
      <c r="I999">
        <v>2954.5422914928399</v>
      </c>
      <c r="J999">
        <v>4237.8640703517904</v>
      </c>
      <c r="K999">
        <v>2709.1501239732802</v>
      </c>
      <c r="L999">
        <v>3361.8969894912898</v>
      </c>
      <c r="M999">
        <v>7899.7252740593904</v>
      </c>
      <c r="N999" s="1">
        <f t="shared" si="45"/>
        <v>45898.301397476607</v>
      </c>
      <c r="P999">
        <v>2.1916258150236398</v>
      </c>
      <c r="Q999">
        <v>0</v>
      </c>
      <c r="R999">
        <v>6.6474254377255102</v>
      </c>
      <c r="S999">
        <v>6.9438611869198601</v>
      </c>
      <c r="T999">
        <v>0.22958024187852599</v>
      </c>
      <c r="U999">
        <v>2.60867084837927</v>
      </c>
      <c r="V999">
        <v>1.94250184939403</v>
      </c>
      <c r="W999">
        <v>0</v>
      </c>
      <c r="X999">
        <v>17.294462770644</v>
      </c>
      <c r="Y999">
        <v>1.9621136466096301</v>
      </c>
      <c r="Z999">
        <v>0.140233664350318</v>
      </c>
      <c r="AA999" s="1">
        <f t="shared" si="46"/>
        <v>39.960475460924791</v>
      </c>
      <c r="AB999" t="s">
        <v>45</v>
      </c>
      <c r="AC999">
        <v>9.99</v>
      </c>
      <c r="AD999">
        <v>27</v>
      </c>
      <c r="AE999">
        <v>69.3</v>
      </c>
      <c r="AF999">
        <v>96.4</v>
      </c>
      <c r="AG999">
        <v>45.68</v>
      </c>
      <c r="AH999">
        <v>52.43</v>
      </c>
      <c r="AI999">
        <v>17.55</v>
      </c>
      <c r="AJ999">
        <v>39.64</v>
      </c>
      <c r="AK999">
        <v>52.37</v>
      </c>
      <c r="AL999">
        <v>37.99</v>
      </c>
      <c r="AM999">
        <v>43.71</v>
      </c>
      <c r="AN999">
        <v>89.04</v>
      </c>
      <c r="AO999" s="1">
        <f t="shared" si="47"/>
        <v>581.1</v>
      </c>
    </row>
    <row r="1000" spans="1:41" x14ac:dyDescent="0.25">
      <c r="A1000" t="s">
        <v>1043</v>
      </c>
      <c r="D1000">
        <v>4651.7738714275501</v>
      </c>
      <c r="E1000">
        <v>4345.4898054093601</v>
      </c>
      <c r="F1000">
        <v>10325.4284975556</v>
      </c>
      <c r="G1000">
        <v>1717.65056944362</v>
      </c>
      <c r="H1000">
        <v>6679.4966597788898</v>
      </c>
      <c r="I1000">
        <v>8284.0807820534992</v>
      </c>
      <c r="J1000">
        <v>3294.7966821012801</v>
      </c>
      <c r="K1000">
        <v>4549.3943123938698</v>
      </c>
      <c r="L1000">
        <v>1443.8724129187301</v>
      </c>
      <c r="M1000">
        <v>1415.2207487692201</v>
      </c>
      <c r="N1000" s="1">
        <f t="shared" si="45"/>
        <v>46707.204341851626</v>
      </c>
      <c r="Q1000">
        <v>0</v>
      </c>
      <c r="R1000">
        <v>2.6807801005991898</v>
      </c>
      <c r="S1000">
        <v>0.75227636755424399</v>
      </c>
      <c r="T1000">
        <v>16.7664830484802</v>
      </c>
      <c r="U1000">
        <v>1.8871112067332401</v>
      </c>
      <c r="V1000">
        <v>7.6126322231341899</v>
      </c>
      <c r="W1000">
        <v>2.9825827591235399</v>
      </c>
      <c r="X1000">
        <v>4.9455980205547698</v>
      </c>
      <c r="Y1000">
        <v>3.3346536720155302</v>
      </c>
      <c r="Z1000">
        <v>2.3146157254287698</v>
      </c>
      <c r="AA1000" s="1">
        <f t="shared" si="46"/>
        <v>43.276733123623671</v>
      </c>
      <c r="AB1000" t="s">
        <v>45</v>
      </c>
      <c r="AC1000">
        <v>9.99</v>
      </c>
      <c r="AD1000">
        <v>9.99</v>
      </c>
      <c r="AE1000">
        <v>56.51</v>
      </c>
      <c r="AF1000">
        <v>53.6</v>
      </c>
      <c r="AG1000">
        <v>113.3</v>
      </c>
      <c r="AH1000">
        <v>28.02</v>
      </c>
      <c r="AI1000">
        <v>76.89</v>
      </c>
      <c r="AJ1000">
        <v>93.24</v>
      </c>
      <c r="AK1000">
        <v>43.09</v>
      </c>
      <c r="AL1000">
        <v>55.74</v>
      </c>
      <c r="AM1000">
        <v>24.63</v>
      </c>
      <c r="AN1000">
        <v>24.3</v>
      </c>
      <c r="AO1000" s="1">
        <f t="shared" si="47"/>
        <v>589.29999999999995</v>
      </c>
    </row>
    <row r="1001" spans="1:41" x14ac:dyDescent="0.25">
      <c r="A1001" t="s">
        <v>1044</v>
      </c>
      <c r="E1001">
        <v>11563.6790643278</v>
      </c>
      <c r="F1001">
        <v>2409.65751510264</v>
      </c>
      <c r="G1001">
        <v>3905.74209501408</v>
      </c>
      <c r="H1001">
        <v>1222.89900218975</v>
      </c>
      <c r="I1001">
        <v>2737.7533205754598</v>
      </c>
      <c r="J1001">
        <v>3444.65631902934</v>
      </c>
      <c r="K1001">
        <v>2312.8753076554399</v>
      </c>
      <c r="L1001">
        <v>2005.87766140547</v>
      </c>
      <c r="M1001">
        <v>1052.350596219</v>
      </c>
      <c r="N1001" s="1">
        <f t="shared" si="45"/>
        <v>30655.490881518981</v>
      </c>
      <c r="R1001">
        <v>0</v>
      </c>
      <c r="S1001">
        <v>1.2402137110865199</v>
      </c>
      <c r="T1001">
        <v>17.905132521155</v>
      </c>
      <c r="U1001">
        <v>0.35271499739572898</v>
      </c>
      <c r="V1001">
        <v>3.9437555930208901</v>
      </c>
      <c r="W1001">
        <v>4.7561361908045301</v>
      </c>
      <c r="X1001">
        <v>3.3977784055995199</v>
      </c>
      <c r="Y1001">
        <v>3.6844806931218699</v>
      </c>
      <c r="Z1001">
        <v>0</v>
      </c>
      <c r="AA1001" s="1">
        <f t="shared" si="46"/>
        <v>35.28021211218406</v>
      </c>
      <c r="AB1001" t="s">
        <v>63</v>
      </c>
      <c r="AF1001">
        <v>231.28</v>
      </c>
      <c r="AG1001">
        <v>48.38</v>
      </c>
      <c r="AH1001">
        <v>79.739999999999995</v>
      </c>
      <c r="AI1001">
        <v>24.55</v>
      </c>
      <c r="AJ1001">
        <v>55.12</v>
      </c>
      <c r="AK1001">
        <v>69.349999999999994</v>
      </c>
      <c r="AL1001">
        <v>46.62</v>
      </c>
      <c r="AM1001">
        <v>40.479999999999997</v>
      </c>
      <c r="AN1001">
        <v>21.06</v>
      </c>
      <c r="AO1001" s="1">
        <f t="shared" si="47"/>
        <v>616.58000000000004</v>
      </c>
    </row>
    <row r="1002" spans="1:41" x14ac:dyDescent="0.25">
      <c r="A1002" t="s">
        <v>1045</v>
      </c>
      <c r="D1002">
        <v>0</v>
      </c>
      <c r="E1002">
        <v>17077.5257630782</v>
      </c>
      <c r="F1002">
        <v>4294.20828486546</v>
      </c>
      <c r="G1002">
        <v>1360.2084056352701</v>
      </c>
      <c r="H1002">
        <v>0</v>
      </c>
      <c r="I1002">
        <v>331.75867641003299</v>
      </c>
      <c r="J1002">
        <v>3313.97160274714</v>
      </c>
      <c r="K1002">
        <v>1496.4623032314801</v>
      </c>
      <c r="L1002">
        <v>1378.2626874685</v>
      </c>
      <c r="M1002">
        <v>1781.4896396025899</v>
      </c>
      <c r="N1002" s="1">
        <f t="shared" si="45"/>
        <v>31033.887363038677</v>
      </c>
      <c r="Q1002">
        <v>2.59184439990729</v>
      </c>
      <c r="R1002">
        <v>3.4205006541292402</v>
      </c>
      <c r="S1002">
        <v>1.87691431575681</v>
      </c>
      <c r="T1002">
        <v>0.86638908850885799</v>
      </c>
      <c r="U1002">
        <v>0</v>
      </c>
      <c r="V1002">
        <v>7.3888318918795601</v>
      </c>
      <c r="W1002">
        <v>3.0557770277063598</v>
      </c>
      <c r="X1002">
        <v>2.25173996015954</v>
      </c>
      <c r="Y1002">
        <v>0</v>
      </c>
      <c r="Z1002">
        <v>2.1230985216519498</v>
      </c>
      <c r="AA1002" s="1">
        <f t="shared" si="46"/>
        <v>23.575095859699609</v>
      </c>
      <c r="AB1002" t="s">
        <v>63</v>
      </c>
      <c r="AE1002">
        <v>0.27</v>
      </c>
      <c r="AF1002">
        <v>341.92</v>
      </c>
      <c r="AG1002">
        <v>86.08</v>
      </c>
      <c r="AH1002">
        <v>27.31</v>
      </c>
      <c r="AI1002">
        <v>0</v>
      </c>
      <c r="AJ1002">
        <v>7.36</v>
      </c>
      <c r="AK1002">
        <v>66.64</v>
      </c>
      <c r="AL1002">
        <v>30.21</v>
      </c>
      <c r="AM1002">
        <v>27.58</v>
      </c>
      <c r="AN1002">
        <v>35.909999999999997</v>
      </c>
      <c r="AO1002" s="1">
        <f t="shared" si="47"/>
        <v>623.28000000000009</v>
      </c>
    </row>
    <row r="1005" spans="1:41" x14ac:dyDescent="0.25">
      <c r="A1005" s="1" t="s">
        <v>17</v>
      </c>
      <c r="B1005" t="s">
        <v>1046</v>
      </c>
    </row>
    <row r="1006" spans="1:41" x14ac:dyDescent="0.25">
      <c r="A1006" s="1" t="s">
        <v>30</v>
      </c>
      <c r="B1006" t="s">
        <v>1047</v>
      </c>
    </row>
    <row r="1007" spans="1:41" x14ac:dyDescent="0.25">
      <c r="A1007" s="1" t="s">
        <v>43</v>
      </c>
      <c r="B1007" t="s">
        <v>1048</v>
      </c>
    </row>
    <row r="1008" spans="1:41" x14ac:dyDescent="0.25">
      <c r="A1008" t="s">
        <v>2</v>
      </c>
      <c r="B1008" t="s">
        <v>1049</v>
      </c>
    </row>
  </sheetData>
  <autoFilter ref="A2:AO1002" xr:uid="{29620B05-46CB-4910-AE81-BDD42B018A32}"/>
  <mergeCells count="3">
    <mergeCell ref="B1:N1"/>
    <mergeCell ref="O1:AA1"/>
    <mergeCell ref="AC1:A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8B90-6F00-465C-B5B0-6E09DEC02AD1}">
  <dimension ref="A1:AO409"/>
  <sheetViews>
    <sheetView workbookViewId="0">
      <selection activeCell="K10" sqref="K10"/>
    </sheetView>
  </sheetViews>
  <sheetFormatPr defaultRowHeight="15" x14ac:dyDescent="0.25"/>
  <cols>
    <col min="1" max="1" width="14.140625" bestFit="1" customWidth="1"/>
    <col min="2" max="13" width="14.28515625" bestFit="1" customWidth="1"/>
    <col min="14" max="14" width="16.85546875" bestFit="1" customWidth="1"/>
  </cols>
  <sheetData>
    <row r="1" spans="1:41" x14ac:dyDescent="0.25">
      <c r="B1" s="10" t="s">
        <v>1061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O1" s="10" t="s">
        <v>1062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C1" s="10" t="s">
        <v>1063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s="1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s="1" t="s">
        <v>30</v>
      </c>
      <c r="AB2" t="s">
        <v>2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s="1" t="s">
        <v>43</v>
      </c>
    </row>
    <row r="3" spans="1:41" x14ac:dyDescent="0.25">
      <c r="A3" t="s">
        <v>62</v>
      </c>
      <c r="B3" s="4">
        <v>14824</v>
      </c>
      <c r="C3" s="4">
        <v>659</v>
      </c>
      <c r="D3" s="4">
        <v>2248</v>
      </c>
      <c r="E3" s="4">
        <v>28</v>
      </c>
      <c r="F3" s="4">
        <v>897</v>
      </c>
      <c r="G3" s="4">
        <v>4226</v>
      </c>
      <c r="H3" s="4">
        <v>825</v>
      </c>
      <c r="I3" s="4">
        <v>4670</v>
      </c>
      <c r="J3" s="4">
        <v>3359</v>
      </c>
      <c r="K3" s="4">
        <v>1240</v>
      </c>
      <c r="L3" s="4">
        <v>2222</v>
      </c>
      <c r="M3" s="4">
        <v>0</v>
      </c>
      <c r="N3" s="3">
        <f>SUM(B3:M3)</f>
        <v>35198</v>
      </c>
      <c r="O3" s="4">
        <v>2</v>
      </c>
      <c r="P3" s="4">
        <v>3</v>
      </c>
      <c r="Q3" s="4">
        <v>1</v>
      </c>
      <c r="R3" s="4">
        <v>2</v>
      </c>
      <c r="S3" s="4">
        <v>1</v>
      </c>
      <c r="T3" s="4">
        <v>10</v>
      </c>
      <c r="U3" s="4">
        <v>5</v>
      </c>
      <c r="V3" s="4">
        <v>3</v>
      </c>
      <c r="W3" s="4">
        <v>1</v>
      </c>
      <c r="X3" s="4">
        <v>17</v>
      </c>
      <c r="Y3" s="4">
        <v>4</v>
      </c>
      <c r="Z3" s="4">
        <v>1</v>
      </c>
      <c r="AA3" s="3">
        <f>SUM(O3:Z3)</f>
        <v>50</v>
      </c>
      <c r="AB3" t="s">
        <v>63</v>
      </c>
      <c r="AC3">
        <v>296.66000000000003</v>
      </c>
      <c r="AD3">
        <v>13.45</v>
      </c>
      <c r="AE3">
        <v>45.05</v>
      </c>
      <c r="AF3">
        <v>0.74</v>
      </c>
      <c r="AG3">
        <v>18.03</v>
      </c>
      <c r="AH3">
        <v>85.42</v>
      </c>
      <c r="AI3">
        <v>16.95</v>
      </c>
      <c r="AJ3">
        <v>93.67</v>
      </c>
      <c r="AK3">
        <v>67.27</v>
      </c>
      <c r="AL3">
        <v>26.33</v>
      </c>
      <c r="AM3">
        <v>44.8</v>
      </c>
      <c r="AN3">
        <v>0.09</v>
      </c>
      <c r="AO3" s="1">
        <v>708.46</v>
      </c>
    </row>
    <row r="4" spans="1:41" x14ac:dyDescent="0.25">
      <c r="A4" t="s">
        <v>64</v>
      </c>
      <c r="B4" s="4">
        <v>14259</v>
      </c>
      <c r="C4" s="4">
        <v>0</v>
      </c>
      <c r="D4" s="4">
        <v>3545</v>
      </c>
      <c r="E4" s="4">
        <v>864</v>
      </c>
      <c r="F4" s="4">
        <v>3502</v>
      </c>
      <c r="G4" s="4">
        <v>266</v>
      </c>
      <c r="H4" s="4">
        <v>380</v>
      </c>
      <c r="I4" s="4">
        <v>1597</v>
      </c>
      <c r="J4" s="4">
        <v>6096</v>
      </c>
      <c r="K4" s="4">
        <v>1170</v>
      </c>
      <c r="L4" s="4">
        <v>1204</v>
      </c>
      <c r="M4" s="4">
        <v>0</v>
      </c>
      <c r="N4" s="3">
        <f t="shared" ref="N4:N67" si="0">SUM(B4:M4)</f>
        <v>32883</v>
      </c>
      <c r="O4" s="4">
        <v>6</v>
      </c>
      <c r="P4" s="4">
        <v>5</v>
      </c>
      <c r="Q4" s="4">
        <v>1</v>
      </c>
      <c r="R4" s="4">
        <v>1</v>
      </c>
      <c r="S4" s="4">
        <v>2</v>
      </c>
      <c r="T4" s="4">
        <v>6</v>
      </c>
      <c r="U4" s="4">
        <v>1</v>
      </c>
      <c r="V4" s="4">
        <v>1</v>
      </c>
      <c r="W4" s="4">
        <v>6</v>
      </c>
      <c r="X4" s="4">
        <v>0</v>
      </c>
      <c r="Y4" s="4">
        <v>4</v>
      </c>
      <c r="Z4" s="4">
        <v>1</v>
      </c>
      <c r="AA4" s="3">
        <f t="shared" ref="AA4:AA67" si="1">SUM(O4:Z4)</f>
        <v>34</v>
      </c>
      <c r="AB4" t="s">
        <v>63</v>
      </c>
      <c r="AC4">
        <v>285.72000000000003</v>
      </c>
      <c r="AD4">
        <v>0.45</v>
      </c>
      <c r="AE4">
        <v>70.989999999999995</v>
      </c>
      <c r="AF4">
        <v>17.37</v>
      </c>
      <c r="AG4">
        <v>70.22</v>
      </c>
      <c r="AH4">
        <v>5.86</v>
      </c>
      <c r="AI4">
        <v>7.69</v>
      </c>
      <c r="AJ4">
        <v>32.03</v>
      </c>
      <c r="AK4">
        <v>122.46</v>
      </c>
      <c r="AL4">
        <v>23.4</v>
      </c>
      <c r="AM4">
        <v>24.44</v>
      </c>
      <c r="AN4">
        <v>0.09</v>
      </c>
      <c r="AO4" s="1">
        <v>660.72000000000014</v>
      </c>
    </row>
    <row r="5" spans="1:41" x14ac:dyDescent="0.25">
      <c r="A5" t="s">
        <v>68</v>
      </c>
      <c r="B5" s="4">
        <v>13847</v>
      </c>
      <c r="C5" s="4">
        <v>785</v>
      </c>
      <c r="D5" s="4">
        <v>2401</v>
      </c>
      <c r="E5" s="4">
        <v>4826</v>
      </c>
      <c r="F5" s="4">
        <v>0</v>
      </c>
      <c r="G5" s="4">
        <v>5638</v>
      </c>
      <c r="H5" s="4">
        <v>13354</v>
      </c>
      <c r="I5" s="4">
        <v>105</v>
      </c>
      <c r="J5" s="4">
        <v>6021</v>
      </c>
      <c r="K5" s="4">
        <v>1605</v>
      </c>
      <c r="L5" s="4">
        <v>26</v>
      </c>
      <c r="M5" s="4">
        <v>3120</v>
      </c>
      <c r="N5" s="3">
        <f t="shared" si="0"/>
        <v>51728</v>
      </c>
      <c r="O5" s="4">
        <v>2</v>
      </c>
      <c r="P5" s="4">
        <v>4</v>
      </c>
      <c r="Q5" s="4">
        <v>7</v>
      </c>
      <c r="R5" s="4">
        <v>13</v>
      </c>
      <c r="S5" s="4">
        <v>4</v>
      </c>
      <c r="T5" s="4">
        <v>7</v>
      </c>
      <c r="U5" s="4">
        <v>1</v>
      </c>
      <c r="V5" s="4">
        <v>2</v>
      </c>
      <c r="W5" s="4">
        <v>4</v>
      </c>
      <c r="X5" s="4">
        <v>0</v>
      </c>
      <c r="Y5" s="4">
        <v>2</v>
      </c>
      <c r="Z5" s="4">
        <v>2</v>
      </c>
      <c r="AA5" s="3">
        <f t="shared" si="1"/>
        <v>48</v>
      </c>
      <c r="AB5" t="s">
        <v>63</v>
      </c>
      <c r="AC5">
        <v>277.12</v>
      </c>
      <c r="AD5">
        <v>16.059999999999999</v>
      </c>
      <c r="AE5">
        <v>48.65</v>
      </c>
      <c r="AF5">
        <v>97.69</v>
      </c>
      <c r="AG5">
        <v>0.36</v>
      </c>
      <c r="AH5">
        <v>113.39</v>
      </c>
      <c r="AI5">
        <v>267.17</v>
      </c>
      <c r="AJ5">
        <v>2.2799999999999998</v>
      </c>
      <c r="AK5">
        <v>120.78</v>
      </c>
      <c r="AL5">
        <v>32.1</v>
      </c>
      <c r="AM5">
        <v>0.7</v>
      </c>
      <c r="AN5">
        <v>62.58</v>
      </c>
      <c r="AO5" s="1">
        <v>1038.8800000000001</v>
      </c>
    </row>
    <row r="6" spans="1:41" x14ac:dyDescent="0.25">
      <c r="A6" t="s">
        <v>75</v>
      </c>
      <c r="B6" s="4">
        <v>12851</v>
      </c>
      <c r="C6" s="4">
        <v>3158</v>
      </c>
      <c r="D6" s="4">
        <v>2085</v>
      </c>
      <c r="E6" s="4">
        <v>2386</v>
      </c>
      <c r="F6" s="4">
        <v>2696</v>
      </c>
      <c r="G6" s="4">
        <v>2703</v>
      </c>
      <c r="H6" s="4">
        <v>3225</v>
      </c>
      <c r="I6" s="4">
        <v>9891</v>
      </c>
      <c r="J6" s="4">
        <v>2753</v>
      </c>
      <c r="K6" s="4">
        <v>7190</v>
      </c>
      <c r="L6" s="4">
        <v>7893</v>
      </c>
      <c r="M6" s="4">
        <v>2733</v>
      </c>
      <c r="N6" s="3">
        <f t="shared" si="0"/>
        <v>59564</v>
      </c>
      <c r="O6" s="4">
        <v>1</v>
      </c>
      <c r="P6" s="4">
        <v>4</v>
      </c>
      <c r="Q6" s="4">
        <v>5</v>
      </c>
      <c r="R6" s="4">
        <v>2</v>
      </c>
      <c r="S6" s="4">
        <v>2</v>
      </c>
      <c r="T6" s="4">
        <v>3</v>
      </c>
      <c r="U6" s="4">
        <v>5</v>
      </c>
      <c r="V6" s="4">
        <v>2</v>
      </c>
      <c r="W6" s="4">
        <v>4</v>
      </c>
      <c r="X6" s="4">
        <v>3</v>
      </c>
      <c r="Y6" s="4">
        <v>11</v>
      </c>
      <c r="Z6" s="4">
        <v>0</v>
      </c>
      <c r="AA6" s="3">
        <f t="shared" si="1"/>
        <v>42</v>
      </c>
      <c r="AB6" t="s">
        <v>63</v>
      </c>
      <c r="AC6">
        <v>257.11</v>
      </c>
      <c r="AD6">
        <v>63.52</v>
      </c>
      <c r="AE6">
        <v>42.15</v>
      </c>
      <c r="AF6">
        <v>47.9</v>
      </c>
      <c r="AG6">
        <v>54.1</v>
      </c>
      <c r="AH6">
        <v>54.33</v>
      </c>
      <c r="AI6">
        <v>64.95</v>
      </c>
      <c r="AJ6">
        <v>198</v>
      </c>
      <c r="AK6">
        <v>55.42</v>
      </c>
      <c r="AL6">
        <v>144.07</v>
      </c>
      <c r="AM6">
        <v>158.85</v>
      </c>
      <c r="AN6">
        <v>54.66</v>
      </c>
      <c r="AO6" s="1">
        <v>1195.06</v>
      </c>
    </row>
    <row r="7" spans="1:41" x14ac:dyDescent="0.25">
      <c r="A7" t="s">
        <v>81</v>
      </c>
      <c r="B7" s="4">
        <v>12111</v>
      </c>
      <c r="C7" s="4">
        <v>0</v>
      </c>
      <c r="D7" s="4">
        <v>0</v>
      </c>
      <c r="E7" s="4">
        <v>0</v>
      </c>
      <c r="F7" s="4">
        <v>2336</v>
      </c>
      <c r="G7" s="4">
        <v>1090</v>
      </c>
      <c r="H7" s="4">
        <v>2941</v>
      </c>
      <c r="I7" s="4">
        <v>711</v>
      </c>
      <c r="J7" s="4">
        <v>716</v>
      </c>
      <c r="K7" s="4">
        <v>4422</v>
      </c>
      <c r="L7" s="4">
        <v>614</v>
      </c>
      <c r="M7" s="4">
        <v>6042</v>
      </c>
      <c r="N7" s="3">
        <f t="shared" si="0"/>
        <v>30983</v>
      </c>
      <c r="O7" s="4">
        <v>5</v>
      </c>
      <c r="P7" s="4">
        <v>9</v>
      </c>
      <c r="Q7" s="4">
        <v>2</v>
      </c>
      <c r="R7" s="4">
        <v>9</v>
      </c>
      <c r="S7" s="4">
        <v>4</v>
      </c>
      <c r="T7" s="4">
        <v>2</v>
      </c>
      <c r="U7" s="4">
        <v>3</v>
      </c>
      <c r="V7" s="4">
        <v>0</v>
      </c>
      <c r="W7" s="4">
        <v>6</v>
      </c>
      <c r="X7" s="4">
        <v>7</v>
      </c>
      <c r="Y7" s="4">
        <v>2</v>
      </c>
      <c r="Z7" s="4">
        <v>2</v>
      </c>
      <c r="AA7" s="3">
        <f t="shared" si="1"/>
        <v>51</v>
      </c>
      <c r="AB7" t="s">
        <v>63</v>
      </c>
      <c r="AC7">
        <v>242.67</v>
      </c>
      <c r="AD7">
        <v>0.81</v>
      </c>
      <c r="AE7">
        <v>0.18</v>
      </c>
      <c r="AF7">
        <v>0.81</v>
      </c>
      <c r="AG7">
        <v>47.08</v>
      </c>
      <c r="AH7">
        <v>21.98</v>
      </c>
      <c r="AI7">
        <v>59.09</v>
      </c>
      <c r="AJ7">
        <v>14.22</v>
      </c>
      <c r="AK7">
        <v>14.86</v>
      </c>
      <c r="AL7">
        <v>89.07</v>
      </c>
      <c r="AM7">
        <v>12.46</v>
      </c>
      <c r="AN7">
        <v>121.02</v>
      </c>
      <c r="AO7" s="1">
        <v>624.25</v>
      </c>
    </row>
    <row r="8" spans="1:41" x14ac:dyDescent="0.25">
      <c r="A8" t="s">
        <v>90</v>
      </c>
      <c r="B8" s="4">
        <v>11013</v>
      </c>
      <c r="C8" s="4">
        <v>0</v>
      </c>
      <c r="D8" s="4">
        <v>5112</v>
      </c>
      <c r="E8" s="4">
        <v>802</v>
      </c>
      <c r="F8" s="4">
        <v>7754</v>
      </c>
      <c r="G8" s="4">
        <v>801</v>
      </c>
      <c r="H8" s="4">
        <v>0</v>
      </c>
      <c r="I8" s="4">
        <v>3679</v>
      </c>
      <c r="J8" s="4">
        <v>1273</v>
      </c>
      <c r="K8" s="4">
        <v>1031</v>
      </c>
      <c r="L8" s="4">
        <v>3554</v>
      </c>
      <c r="M8" s="4">
        <v>6803</v>
      </c>
      <c r="N8" s="3">
        <f t="shared" si="0"/>
        <v>41822</v>
      </c>
      <c r="O8" s="4">
        <v>2</v>
      </c>
      <c r="P8" s="4">
        <v>0</v>
      </c>
      <c r="Q8" s="4">
        <v>11</v>
      </c>
      <c r="R8" s="4">
        <v>7</v>
      </c>
      <c r="S8" s="4">
        <v>21</v>
      </c>
      <c r="T8" s="4">
        <v>5</v>
      </c>
      <c r="U8" s="4">
        <v>10</v>
      </c>
      <c r="V8" s="4">
        <v>7</v>
      </c>
      <c r="W8" s="4">
        <v>8</v>
      </c>
      <c r="X8" s="4">
        <v>5</v>
      </c>
      <c r="Y8" s="4">
        <v>3</v>
      </c>
      <c r="Z8" s="4">
        <v>10</v>
      </c>
      <c r="AA8" s="3">
        <f t="shared" si="1"/>
        <v>89</v>
      </c>
      <c r="AB8" t="s">
        <v>63</v>
      </c>
      <c r="AC8">
        <v>220.44</v>
      </c>
      <c r="AD8">
        <v>0</v>
      </c>
      <c r="AE8">
        <v>103.23</v>
      </c>
      <c r="AF8">
        <v>16.670000000000002</v>
      </c>
      <c r="AG8">
        <v>156.97</v>
      </c>
      <c r="AH8">
        <v>16.47</v>
      </c>
      <c r="AI8">
        <v>0.9</v>
      </c>
      <c r="AJ8">
        <v>74.209999999999994</v>
      </c>
      <c r="AK8">
        <v>26.18</v>
      </c>
      <c r="AL8">
        <v>21.07</v>
      </c>
      <c r="AM8">
        <v>71.349999999999994</v>
      </c>
      <c r="AN8">
        <v>136.96</v>
      </c>
      <c r="AO8" s="1">
        <v>844.45000000000016</v>
      </c>
    </row>
    <row r="9" spans="1:41" x14ac:dyDescent="0.25">
      <c r="A9" t="s">
        <v>92</v>
      </c>
      <c r="B9" s="4">
        <v>10958</v>
      </c>
      <c r="C9" s="4">
        <v>394</v>
      </c>
      <c r="D9" s="4">
        <v>2490</v>
      </c>
      <c r="E9" s="4">
        <v>820</v>
      </c>
      <c r="F9" s="4">
        <v>0</v>
      </c>
      <c r="G9" s="4">
        <v>4804</v>
      </c>
      <c r="H9" s="4">
        <v>766</v>
      </c>
      <c r="I9" s="4">
        <v>4820</v>
      </c>
      <c r="J9" s="4">
        <v>1626</v>
      </c>
      <c r="K9" s="4">
        <v>1683</v>
      </c>
      <c r="L9" s="4">
        <v>1153</v>
      </c>
      <c r="M9" s="4">
        <v>1296</v>
      </c>
      <c r="N9" s="3">
        <f t="shared" si="0"/>
        <v>30810</v>
      </c>
      <c r="O9" s="4">
        <v>4</v>
      </c>
      <c r="P9" s="4">
        <v>2</v>
      </c>
      <c r="Q9" s="4">
        <v>2</v>
      </c>
      <c r="R9" s="4">
        <v>17</v>
      </c>
      <c r="S9" s="4">
        <v>0</v>
      </c>
      <c r="T9" s="4">
        <v>1</v>
      </c>
      <c r="U9" s="4">
        <v>1</v>
      </c>
      <c r="V9" s="4">
        <v>0</v>
      </c>
      <c r="W9" s="4">
        <v>1</v>
      </c>
      <c r="X9" s="4">
        <v>4</v>
      </c>
      <c r="Y9" s="4">
        <v>12</v>
      </c>
      <c r="Z9" s="4">
        <v>2</v>
      </c>
      <c r="AA9" s="3">
        <f t="shared" si="1"/>
        <v>46</v>
      </c>
      <c r="AB9" t="s">
        <v>63</v>
      </c>
      <c r="AC9">
        <v>219.52</v>
      </c>
      <c r="AD9">
        <v>8.06</v>
      </c>
      <c r="AE9">
        <v>49.98</v>
      </c>
      <c r="AF9">
        <v>17.93</v>
      </c>
      <c r="AG9">
        <v>0</v>
      </c>
      <c r="AH9">
        <v>96.17</v>
      </c>
      <c r="AI9">
        <v>15.41</v>
      </c>
      <c r="AJ9">
        <v>96.4</v>
      </c>
      <c r="AK9">
        <v>32.61</v>
      </c>
      <c r="AL9">
        <v>34.020000000000003</v>
      </c>
      <c r="AM9">
        <v>24.14</v>
      </c>
      <c r="AN9">
        <v>26.1</v>
      </c>
      <c r="AO9" s="1">
        <v>620.34</v>
      </c>
    </row>
    <row r="10" spans="1:41" x14ac:dyDescent="0.25">
      <c r="A10" t="s">
        <v>104</v>
      </c>
      <c r="B10" s="4">
        <v>10167</v>
      </c>
      <c r="C10" s="4">
        <v>735</v>
      </c>
      <c r="D10" s="4">
        <v>973</v>
      </c>
      <c r="E10" s="4">
        <v>3149</v>
      </c>
      <c r="F10" s="4">
        <v>432</v>
      </c>
      <c r="G10" s="4">
        <v>0</v>
      </c>
      <c r="H10" s="4">
        <v>3276</v>
      </c>
      <c r="I10" s="4">
        <v>1523</v>
      </c>
      <c r="J10" s="4">
        <v>781</v>
      </c>
      <c r="K10" s="4">
        <v>2046</v>
      </c>
      <c r="L10" s="4">
        <v>2119</v>
      </c>
      <c r="M10" s="4">
        <v>2500</v>
      </c>
      <c r="N10" s="3">
        <f t="shared" si="0"/>
        <v>27701</v>
      </c>
      <c r="O10" s="4">
        <v>4</v>
      </c>
      <c r="P10" s="4">
        <v>5</v>
      </c>
      <c r="Q10" s="4">
        <v>3</v>
      </c>
      <c r="R10" s="4">
        <v>2</v>
      </c>
      <c r="S10" s="4">
        <v>1</v>
      </c>
      <c r="T10" s="4">
        <v>1</v>
      </c>
      <c r="U10" s="4">
        <v>0</v>
      </c>
      <c r="V10" s="4">
        <v>10</v>
      </c>
      <c r="W10" s="4">
        <v>1</v>
      </c>
      <c r="X10" s="4">
        <v>0</v>
      </c>
      <c r="Y10" s="4">
        <v>3</v>
      </c>
      <c r="Z10" s="4">
        <v>2</v>
      </c>
      <c r="AA10" s="3">
        <f t="shared" si="1"/>
        <v>32</v>
      </c>
      <c r="AB10" t="s">
        <v>63</v>
      </c>
      <c r="AC10">
        <v>203.7</v>
      </c>
      <c r="AD10">
        <v>15.15</v>
      </c>
      <c r="AE10">
        <v>19.73</v>
      </c>
      <c r="AF10">
        <v>63.16</v>
      </c>
      <c r="AG10">
        <v>8.73</v>
      </c>
      <c r="AH10">
        <v>0.09</v>
      </c>
      <c r="AI10">
        <v>65.52</v>
      </c>
      <c r="AJ10">
        <v>31.36</v>
      </c>
      <c r="AK10">
        <v>15.71</v>
      </c>
      <c r="AL10">
        <v>40.92</v>
      </c>
      <c r="AM10">
        <v>42.65</v>
      </c>
      <c r="AN10">
        <v>50.18</v>
      </c>
      <c r="AO10" s="1">
        <v>556.9</v>
      </c>
    </row>
    <row r="11" spans="1:41" x14ac:dyDescent="0.25">
      <c r="A11" t="s">
        <v>107</v>
      </c>
      <c r="B11" s="4">
        <v>9798</v>
      </c>
      <c r="C11" s="4">
        <v>8942</v>
      </c>
      <c r="D11" s="4">
        <v>2577</v>
      </c>
      <c r="E11" s="4">
        <v>1928</v>
      </c>
      <c r="F11" s="4">
        <v>3656</v>
      </c>
      <c r="G11" s="4">
        <v>0</v>
      </c>
      <c r="H11" s="4">
        <v>1882</v>
      </c>
      <c r="I11" s="4">
        <v>1553</v>
      </c>
      <c r="J11" s="4">
        <v>226</v>
      </c>
      <c r="K11" s="4">
        <v>2986</v>
      </c>
      <c r="L11" s="4">
        <v>1340</v>
      </c>
      <c r="M11" s="4">
        <v>120</v>
      </c>
      <c r="N11" s="3">
        <f t="shared" si="0"/>
        <v>35008</v>
      </c>
      <c r="O11" s="4">
        <v>12</v>
      </c>
      <c r="P11" s="4">
        <v>1</v>
      </c>
      <c r="Q11" s="4">
        <v>0</v>
      </c>
      <c r="R11" s="4">
        <v>3</v>
      </c>
      <c r="S11" s="4">
        <v>0</v>
      </c>
      <c r="T11" s="4">
        <v>15</v>
      </c>
      <c r="U11" s="4">
        <v>2</v>
      </c>
      <c r="V11" s="4">
        <v>6</v>
      </c>
      <c r="W11" s="4">
        <v>5</v>
      </c>
      <c r="X11" s="4">
        <v>1</v>
      </c>
      <c r="Y11" s="4">
        <v>1</v>
      </c>
      <c r="Z11" s="4">
        <v>5</v>
      </c>
      <c r="AA11" s="3">
        <f t="shared" si="1"/>
        <v>51</v>
      </c>
      <c r="AB11" t="s">
        <v>63</v>
      </c>
      <c r="AC11">
        <v>197.04</v>
      </c>
      <c r="AD11">
        <v>178.93</v>
      </c>
      <c r="AE11">
        <v>51.54</v>
      </c>
      <c r="AF11">
        <v>38.83</v>
      </c>
      <c r="AG11">
        <v>73.12</v>
      </c>
      <c r="AH11">
        <v>1.35</v>
      </c>
      <c r="AI11">
        <v>37.82</v>
      </c>
      <c r="AJ11">
        <v>31.6</v>
      </c>
      <c r="AK11">
        <v>4.97</v>
      </c>
      <c r="AL11">
        <v>59.81</v>
      </c>
      <c r="AM11">
        <v>26.89</v>
      </c>
      <c r="AN11">
        <v>2.85</v>
      </c>
      <c r="AO11" s="1">
        <v>704.75000000000023</v>
      </c>
    </row>
    <row r="12" spans="1:41" x14ac:dyDescent="0.25">
      <c r="A12" t="s">
        <v>120</v>
      </c>
      <c r="B12" s="4">
        <v>9090</v>
      </c>
      <c r="C12" s="4">
        <v>9078</v>
      </c>
      <c r="D12" s="4">
        <v>8357</v>
      </c>
      <c r="E12" s="4">
        <v>3729</v>
      </c>
      <c r="F12" s="4">
        <v>1709</v>
      </c>
      <c r="G12" s="4">
        <v>802</v>
      </c>
      <c r="H12" s="4">
        <v>1035</v>
      </c>
      <c r="I12" s="4">
        <v>987</v>
      </c>
      <c r="J12" s="4">
        <v>2066</v>
      </c>
      <c r="K12" s="4">
        <v>18033</v>
      </c>
      <c r="L12" s="4">
        <v>1889</v>
      </c>
      <c r="M12" s="4">
        <v>2684</v>
      </c>
      <c r="N12" s="3">
        <f t="shared" si="0"/>
        <v>59459</v>
      </c>
      <c r="O12" s="4">
        <v>3</v>
      </c>
      <c r="P12" s="4">
        <v>3</v>
      </c>
      <c r="Q12" s="4">
        <v>3</v>
      </c>
      <c r="R12" s="4">
        <v>4</v>
      </c>
      <c r="S12" s="4">
        <v>7</v>
      </c>
      <c r="T12" s="4">
        <v>2</v>
      </c>
      <c r="U12" s="4">
        <v>1</v>
      </c>
      <c r="V12" s="4">
        <v>0</v>
      </c>
      <c r="W12" s="4">
        <v>3</v>
      </c>
      <c r="X12" s="4">
        <v>3</v>
      </c>
      <c r="Y12" s="4">
        <v>2</v>
      </c>
      <c r="Z12" s="4">
        <v>4</v>
      </c>
      <c r="AA12" s="3">
        <f t="shared" si="1"/>
        <v>35</v>
      </c>
      <c r="AB12" t="s">
        <v>63</v>
      </c>
      <c r="AC12">
        <v>182.07</v>
      </c>
      <c r="AD12">
        <v>181.83</v>
      </c>
      <c r="AE12">
        <v>167.41</v>
      </c>
      <c r="AF12">
        <v>74.94</v>
      </c>
      <c r="AG12">
        <v>34.81</v>
      </c>
      <c r="AH12">
        <v>16.22</v>
      </c>
      <c r="AI12">
        <v>20.79</v>
      </c>
      <c r="AJ12">
        <v>19.739999999999998</v>
      </c>
      <c r="AK12">
        <v>41.59</v>
      </c>
      <c r="AL12">
        <v>360.93</v>
      </c>
      <c r="AM12">
        <v>37.96</v>
      </c>
      <c r="AN12">
        <v>54.04</v>
      </c>
      <c r="AO12" s="1">
        <v>1192.33</v>
      </c>
    </row>
    <row r="13" spans="1:41" x14ac:dyDescent="0.25">
      <c r="A13" t="s">
        <v>125</v>
      </c>
      <c r="B13" s="4">
        <v>8801</v>
      </c>
      <c r="C13" s="4">
        <v>570</v>
      </c>
      <c r="D13" s="4">
        <v>6692</v>
      </c>
      <c r="E13" s="4">
        <v>480</v>
      </c>
      <c r="F13" s="4">
        <v>256</v>
      </c>
      <c r="G13" s="4">
        <v>1480</v>
      </c>
      <c r="H13" s="4">
        <v>1780</v>
      </c>
      <c r="I13" s="4">
        <v>4424</v>
      </c>
      <c r="J13" s="4">
        <v>1382</v>
      </c>
      <c r="K13" s="4">
        <v>1909</v>
      </c>
      <c r="L13" s="4">
        <v>0</v>
      </c>
      <c r="M13" s="4">
        <v>5974</v>
      </c>
      <c r="N13" s="3">
        <f t="shared" si="0"/>
        <v>33748</v>
      </c>
      <c r="O13" s="4">
        <v>0</v>
      </c>
      <c r="P13" s="4">
        <v>0</v>
      </c>
      <c r="Q13" s="4">
        <v>3</v>
      </c>
      <c r="R13" s="4">
        <v>8</v>
      </c>
      <c r="S13" s="4">
        <v>1</v>
      </c>
      <c r="T13" s="4">
        <v>0</v>
      </c>
      <c r="U13" s="4">
        <v>2</v>
      </c>
      <c r="V13" s="4">
        <v>8</v>
      </c>
      <c r="W13" s="4">
        <v>0</v>
      </c>
      <c r="X13" s="4">
        <v>0</v>
      </c>
      <c r="Y13" s="4">
        <v>2</v>
      </c>
      <c r="Z13" s="4">
        <v>5</v>
      </c>
      <c r="AA13" s="3">
        <f t="shared" si="1"/>
        <v>29</v>
      </c>
      <c r="AB13" t="s">
        <v>63</v>
      </c>
      <c r="AC13">
        <v>176.02</v>
      </c>
      <c r="AD13">
        <v>11.4</v>
      </c>
      <c r="AE13">
        <v>134.11000000000001</v>
      </c>
      <c r="AF13">
        <v>10.32</v>
      </c>
      <c r="AG13">
        <v>5.21</v>
      </c>
      <c r="AH13">
        <v>29.6</v>
      </c>
      <c r="AI13">
        <v>35.78</v>
      </c>
      <c r="AJ13">
        <v>89.2</v>
      </c>
      <c r="AK13">
        <v>27.64</v>
      </c>
      <c r="AL13">
        <v>38.18</v>
      </c>
      <c r="AM13">
        <v>0.18</v>
      </c>
      <c r="AN13">
        <v>119.93</v>
      </c>
      <c r="AO13" s="1">
        <v>677.56999999999994</v>
      </c>
    </row>
    <row r="14" spans="1:41" x14ac:dyDescent="0.25">
      <c r="A14" t="s">
        <v>131</v>
      </c>
      <c r="B14" s="4">
        <v>8374</v>
      </c>
      <c r="C14" s="4">
        <v>2752</v>
      </c>
      <c r="D14" s="4">
        <v>3817</v>
      </c>
      <c r="E14" s="4">
        <v>169</v>
      </c>
      <c r="F14" s="4">
        <v>5077</v>
      </c>
      <c r="G14" s="4">
        <v>1656</v>
      </c>
      <c r="H14" s="4">
        <v>3978</v>
      </c>
      <c r="I14" s="4">
        <v>5206</v>
      </c>
      <c r="J14" s="4">
        <v>2688</v>
      </c>
      <c r="K14" s="4">
        <v>1636</v>
      </c>
      <c r="L14" s="4">
        <v>1001</v>
      </c>
      <c r="M14" s="4">
        <v>161</v>
      </c>
      <c r="N14" s="3">
        <f t="shared" si="0"/>
        <v>36515</v>
      </c>
      <c r="O14" s="4">
        <v>4</v>
      </c>
      <c r="P14" s="4">
        <v>5</v>
      </c>
      <c r="Q14" s="4">
        <v>13</v>
      </c>
      <c r="R14" s="4">
        <v>5</v>
      </c>
      <c r="S14" s="4">
        <v>1</v>
      </c>
      <c r="T14" s="4">
        <v>3</v>
      </c>
      <c r="U14" s="4">
        <v>2</v>
      </c>
      <c r="V14" s="4">
        <v>0</v>
      </c>
      <c r="W14" s="4">
        <v>5</v>
      </c>
      <c r="X14" s="4">
        <v>8</v>
      </c>
      <c r="Y14" s="4">
        <v>6</v>
      </c>
      <c r="Z14" s="4">
        <v>19</v>
      </c>
      <c r="AA14" s="3">
        <f t="shared" si="1"/>
        <v>71</v>
      </c>
      <c r="AB14" t="s">
        <v>63</v>
      </c>
      <c r="AC14">
        <v>167.84</v>
      </c>
      <c r="AD14">
        <v>55.49</v>
      </c>
      <c r="AE14">
        <v>77.510000000000005</v>
      </c>
      <c r="AF14">
        <v>3.83</v>
      </c>
      <c r="AG14">
        <v>101.63</v>
      </c>
      <c r="AH14">
        <v>33.39</v>
      </c>
      <c r="AI14">
        <v>79.739999999999995</v>
      </c>
      <c r="AJ14">
        <v>104.12</v>
      </c>
      <c r="AK14">
        <v>54.21</v>
      </c>
      <c r="AL14">
        <v>33.44</v>
      </c>
      <c r="AM14">
        <v>20.56</v>
      </c>
      <c r="AN14">
        <v>4.93</v>
      </c>
      <c r="AO14" s="1">
        <v>736.68999999999994</v>
      </c>
    </row>
    <row r="15" spans="1:41" x14ac:dyDescent="0.25">
      <c r="A15" t="s">
        <v>132</v>
      </c>
      <c r="B15" s="4">
        <v>8360</v>
      </c>
      <c r="C15" s="4">
        <v>4823</v>
      </c>
      <c r="D15" s="4">
        <v>4852</v>
      </c>
      <c r="E15" s="4">
        <v>0</v>
      </c>
      <c r="F15" s="4">
        <v>191</v>
      </c>
      <c r="G15" s="4">
        <v>5671</v>
      </c>
      <c r="H15" s="4">
        <v>1078</v>
      </c>
      <c r="I15" s="4">
        <v>957</v>
      </c>
      <c r="J15" s="4">
        <v>687</v>
      </c>
      <c r="K15" s="4">
        <v>1080</v>
      </c>
      <c r="L15" s="4">
        <v>4635</v>
      </c>
      <c r="M15" s="4">
        <v>369</v>
      </c>
      <c r="N15" s="3">
        <f t="shared" si="0"/>
        <v>32703</v>
      </c>
      <c r="O15" s="4">
        <v>4</v>
      </c>
      <c r="P15" s="4">
        <v>1</v>
      </c>
      <c r="Q15" s="4">
        <v>13</v>
      </c>
      <c r="R15" s="4">
        <v>4</v>
      </c>
      <c r="S15" s="4">
        <v>2</v>
      </c>
      <c r="T15" s="4">
        <v>0</v>
      </c>
      <c r="U15" s="4">
        <v>6</v>
      </c>
      <c r="V15" s="4">
        <v>1</v>
      </c>
      <c r="W15" s="4">
        <v>5</v>
      </c>
      <c r="X15" s="4">
        <v>3</v>
      </c>
      <c r="Y15" s="4">
        <v>1</v>
      </c>
      <c r="Z15" s="4">
        <v>3</v>
      </c>
      <c r="AA15" s="3">
        <f t="shared" si="1"/>
        <v>43</v>
      </c>
      <c r="AB15" t="s">
        <v>63</v>
      </c>
      <c r="AC15">
        <v>167.56</v>
      </c>
      <c r="AD15">
        <v>96.55</v>
      </c>
      <c r="AE15">
        <v>98.21</v>
      </c>
      <c r="AF15">
        <v>0.36</v>
      </c>
      <c r="AG15">
        <v>4</v>
      </c>
      <c r="AH15">
        <v>113.42</v>
      </c>
      <c r="AI15">
        <v>22.1</v>
      </c>
      <c r="AJ15">
        <v>19.23</v>
      </c>
      <c r="AK15">
        <v>14.19</v>
      </c>
      <c r="AL15">
        <v>21.87</v>
      </c>
      <c r="AM15">
        <v>92.79</v>
      </c>
      <c r="AN15">
        <v>7.65</v>
      </c>
      <c r="AO15" s="1">
        <v>657.93000000000006</v>
      </c>
    </row>
    <row r="16" spans="1:41" x14ac:dyDescent="0.25">
      <c r="A16" t="s">
        <v>134</v>
      </c>
      <c r="B16" s="4">
        <v>8261</v>
      </c>
      <c r="C16" s="4">
        <v>0</v>
      </c>
      <c r="D16" s="4">
        <v>3903</v>
      </c>
      <c r="E16" s="4">
        <v>2778</v>
      </c>
      <c r="F16" s="4">
        <v>5877</v>
      </c>
      <c r="G16" s="4">
        <v>2665</v>
      </c>
      <c r="H16" s="4">
        <v>2720</v>
      </c>
      <c r="I16" s="4">
        <v>561</v>
      </c>
      <c r="J16" s="4">
        <v>4767</v>
      </c>
      <c r="K16" s="4">
        <v>559</v>
      </c>
      <c r="L16" s="4">
        <v>699</v>
      </c>
      <c r="M16" s="4">
        <v>1124</v>
      </c>
      <c r="N16" s="3">
        <f t="shared" si="0"/>
        <v>33914</v>
      </c>
      <c r="O16" s="4">
        <v>8</v>
      </c>
      <c r="P16" s="4">
        <v>2</v>
      </c>
      <c r="Q16" s="4">
        <v>3</v>
      </c>
      <c r="R16" s="4">
        <v>10</v>
      </c>
      <c r="S16" s="4">
        <v>5</v>
      </c>
      <c r="T16" s="4">
        <v>1</v>
      </c>
      <c r="U16" s="4">
        <v>1</v>
      </c>
      <c r="V16" s="4">
        <v>9</v>
      </c>
      <c r="W16" s="4">
        <v>4</v>
      </c>
      <c r="X16" s="4">
        <v>4</v>
      </c>
      <c r="Y16" s="4">
        <v>7</v>
      </c>
      <c r="Z16" s="4">
        <v>9</v>
      </c>
      <c r="AA16" s="3">
        <f t="shared" si="1"/>
        <v>63</v>
      </c>
      <c r="AB16" t="s">
        <v>63</v>
      </c>
      <c r="AC16">
        <v>165.94</v>
      </c>
      <c r="AD16">
        <v>0.18</v>
      </c>
      <c r="AE16">
        <v>78.33</v>
      </c>
      <c r="AF16">
        <v>56.46</v>
      </c>
      <c r="AG16">
        <v>117.99</v>
      </c>
      <c r="AH16">
        <v>53.39</v>
      </c>
      <c r="AI16">
        <v>54.49</v>
      </c>
      <c r="AJ16">
        <v>12.03</v>
      </c>
      <c r="AK16">
        <v>95.7</v>
      </c>
      <c r="AL16">
        <v>11.54</v>
      </c>
      <c r="AM16">
        <v>14.61</v>
      </c>
      <c r="AN16">
        <v>23.29</v>
      </c>
      <c r="AO16" s="1">
        <v>683.94999999999993</v>
      </c>
    </row>
    <row r="17" spans="1:41" x14ac:dyDescent="0.25">
      <c r="A17" t="s">
        <v>136</v>
      </c>
      <c r="B17" s="4">
        <v>8113</v>
      </c>
      <c r="C17" s="4">
        <v>3806</v>
      </c>
      <c r="D17" s="4">
        <v>1866</v>
      </c>
      <c r="E17" s="4">
        <v>1787</v>
      </c>
      <c r="F17" s="4">
        <v>3485</v>
      </c>
      <c r="G17" s="4">
        <v>2442</v>
      </c>
      <c r="H17" s="4">
        <v>1032</v>
      </c>
      <c r="I17" s="4">
        <v>0</v>
      </c>
      <c r="J17" s="4">
        <v>4094</v>
      </c>
      <c r="K17" s="4">
        <v>986</v>
      </c>
      <c r="L17" s="4">
        <v>2837</v>
      </c>
      <c r="M17" s="4">
        <v>4587</v>
      </c>
      <c r="N17" s="3">
        <f t="shared" si="0"/>
        <v>35035</v>
      </c>
      <c r="O17" s="4">
        <v>9</v>
      </c>
      <c r="P17" s="4">
        <v>3</v>
      </c>
      <c r="Q17" s="4">
        <v>1</v>
      </c>
      <c r="R17" s="4">
        <v>2</v>
      </c>
      <c r="S17" s="4">
        <v>16</v>
      </c>
      <c r="T17" s="4">
        <v>6</v>
      </c>
      <c r="U17" s="4">
        <v>7</v>
      </c>
      <c r="V17" s="4">
        <v>0</v>
      </c>
      <c r="W17" s="4">
        <v>5</v>
      </c>
      <c r="X17" s="4">
        <v>5</v>
      </c>
      <c r="Y17" s="4">
        <v>7</v>
      </c>
      <c r="Z17" s="4">
        <v>0</v>
      </c>
      <c r="AA17" s="3">
        <f t="shared" si="1"/>
        <v>61</v>
      </c>
      <c r="AB17" t="s">
        <v>63</v>
      </c>
      <c r="AC17">
        <v>163.07</v>
      </c>
      <c r="AD17">
        <v>76.39</v>
      </c>
      <c r="AE17">
        <v>37.409999999999997</v>
      </c>
      <c r="AF17">
        <v>35.92</v>
      </c>
      <c r="AG17">
        <v>71.14</v>
      </c>
      <c r="AH17">
        <v>49.38</v>
      </c>
      <c r="AI17">
        <v>21.27</v>
      </c>
      <c r="AJ17">
        <v>0</v>
      </c>
      <c r="AK17">
        <v>82.33</v>
      </c>
      <c r="AL17">
        <v>20.170000000000002</v>
      </c>
      <c r="AM17">
        <v>57.37</v>
      </c>
      <c r="AN17">
        <v>91.74</v>
      </c>
      <c r="AO17" s="1">
        <v>706.18999999999994</v>
      </c>
    </row>
    <row r="18" spans="1:41" x14ac:dyDescent="0.25">
      <c r="A18" t="s">
        <v>137</v>
      </c>
      <c r="B18" s="4">
        <v>8109</v>
      </c>
      <c r="C18" s="4">
        <v>1214</v>
      </c>
      <c r="D18" s="4">
        <v>3077</v>
      </c>
      <c r="E18" s="4">
        <v>3740</v>
      </c>
      <c r="F18" s="4">
        <v>2137</v>
      </c>
      <c r="G18" s="4">
        <v>1034</v>
      </c>
      <c r="H18" s="4">
        <v>1932</v>
      </c>
      <c r="I18" s="4">
        <v>508</v>
      </c>
      <c r="J18" s="4">
        <v>2784</v>
      </c>
      <c r="K18" s="4">
        <v>2806</v>
      </c>
      <c r="L18" s="4">
        <v>0</v>
      </c>
      <c r="M18" s="4">
        <v>3837</v>
      </c>
      <c r="N18" s="3">
        <f t="shared" si="0"/>
        <v>31178</v>
      </c>
      <c r="O18" s="4">
        <v>4</v>
      </c>
      <c r="P18" s="4">
        <v>2</v>
      </c>
      <c r="Q18" s="4">
        <v>2</v>
      </c>
      <c r="R18" s="4">
        <v>5</v>
      </c>
      <c r="S18" s="4">
        <v>2</v>
      </c>
      <c r="T18" s="4">
        <v>1</v>
      </c>
      <c r="U18" s="4">
        <v>2</v>
      </c>
      <c r="V18" s="4">
        <v>5</v>
      </c>
      <c r="W18" s="4">
        <v>0</v>
      </c>
      <c r="X18" s="4">
        <v>5</v>
      </c>
      <c r="Y18" s="4">
        <v>5</v>
      </c>
      <c r="Z18" s="4">
        <v>1</v>
      </c>
      <c r="AA18" s="3">
        <f t="shared" si="1"/>
        <v>34</v>
      </c>
      <c r="AB18" t="s">
        <v>63</v>
      </c>
      <c r="AC18">
        <v>162.54</v>
      </c>
      <c r="AD18">
        <v>24.46</v>
      </c>
      <c r="AE18">
        <v>61.72</v>
      </c>
      <c r="AF18">
        <v>75.25</v>
      </c>
      <c r="AG18">
        <v>42.92</v>
      </c>
      <c r="AH18">
        <v>20.77</v>
      </c>
      <c r="AI18">
        <v>38.82</v>
      </c>
      <c r="AJ18">
        <v>10.61</v>
      </c>
      <c r="AK18">
        <v>55.68</v>
      </c>
      <c r="AL18">
        <v>56.57</v>
      </c>
      <c r="AM18">
        <v>0.45</v>
      </c>
      <c r="AN18">
        <v>76.83</v>
      </c>
      <c r="AO18" s="1">
        <v>626.62000000000012</v>
      </c>
    </row>
    <row r="19" spans="1:41" x14ac:dyDescent="0.25">
      <c r="A19" t="s">
        <v>138</v>
      </c>
      <c r="B19" s="4">
        <v>8008</v>
      </c>
      <c r="C19" s="4">
        <v>0</v>
      </c>
      <c r="D19" s="4">
        <v>1390</v>
      </c>
      <c r="E19" s="4">
        <v>2408</v>
      </c>
      <c r="F19" s="4">
        <v>2240</v>
      </c>
      <c r="G19" s="4">
        <v>0</v>
      </c>
      <c r="H19" s="4">
        <v>1321</v>
      </c>
      <c r="I19" s="4">
        <v>0</v>
      </c>
      <c r="J19" s="4">
        <v>2094</v>
      </c>
      <c r="K19" s="4">
        <v>3732</v>
      </c>
      <c r="L19" s="4">
        <v>695</v>
      </c>
      <c r="M19" s="4">
        <v>1313</v>
      </c>
      <c r="N19" s="3">
        <f t="shared" si="0"/>
        <v>23201</v>
      </c>
      <c r="O19" s="4">
        <v>1</v>
      </c>
      <c r="P19" s="4">
        <v>3</v>
      </c>
      <c r="Q19" s="4">
        <v>7</v>
      </c>
      <c r="R19" s="4">
        <v>3</v>
      </c>
      <c r="S19" s="4">
        <v>3</v>
      </c>
      <c r="T19" s="4">
        <v>4</v>
      </c>
      <c r="U19" s="4">
        <v>4</v>
      </c>
      <c r="V19" s="4">
        <v>12</v>
      </c>
      <c r="W19" s="4">
        <v>0</v>
      </c>
      <c r="X19" s="4">
        <v>5</v>
      </c>
      <c r="Y19" s="4">
        <v>10</v>
      </c>
      <c r="Z19" s="4">
        <v>8</v>
      </c>
      <c r="AA19" s="3">
        <f t="shared" si="1"/>
        <v>60</v>
      </c>
      <c r="AB19" t="s">
        <v>63</v>
      </c>
      <c r="AC19">
        <v>160.25</v>
      </c>
      <c r="AD19">
        <v>0.27</v>
      </c>
      <c r="AE19">
        <v>28.43</v>
      </c>
      <c r="AF19">
        <v>48.43</v>
      </c>
      <c r="AG19">
        <v>45.07</v>
      </c>
      <c r="AH19">
        <v>0.36</v>
      </c>
      <c r="AI19">
        <v>26.78</v>
      </c>
      <c r="AJ19">
        <v>1.08</v>
      </c>
      <c r="AK19">
        <v>41.88</v>
      </c>
      <c r="AL19">
        <v>75.09</v>
      </c>
      <c r="AM19">
        <v>14.8</v>
      </c>
      <c r="AN19">
        <v>26.98</v>
      </c>
      <c r="AO19" s="1">
        <v>469.42</v>
      </c>
    </row>
    <row r="20" spans="1:41" x14ac:dyDescent="0.25">
      <c r="A20" t="s">
        <v>143</v>
      </c>
      <c r="B20" s="4">
        <v>7619</v>
      </c>
      <c r="C20" s="4">
        <v>1974</v>
      </c>
      <c r="D20" s="4">
        <v>3029</v>
      </c>
      <c r="E20" s="4">
        <v>3577</v>
      </c>
      <c r="F20" s="4">
        <v>1798</v>
      </c>
      <c r="G20" s="4">
        <v>4936</v>
      </c>
      <c r="H20" s="4">
        <v>2485</v>
      </c>
      <c r="I20" s="4">
        <v>0</v>
      </c>
      <c r="J20" s="4">
        <v>322</v>
      </c>
      <c r="K20" s="4">
        <v>901</v>
      </c>
      <c r="L20" s="4">
        <v>7091</v>
      </c>
      <c r="M20" s="4">
        <v>16748</v>
      </c>
      <c r="N20" s="3">
        <f t="shared" si="0"/>
        <v>50480</v>
      </c>
      <c r="O20" s="4">
        <v>12</v>
      </c>
      <c r="P20" s="4">
        <v>12</v>
      </c>
      <c r="Q20" s="4">
        <v>0</v>
      </c>
      <c r="R20" s="4">
        <v>2</v>
      </c>
      <c r="S20" s="4">
        <v>7</v>
      </c>
      <c r="T20" s="4">
        <v>8</v>
      </c>
      <c r="U20" s="4">
        <v>15</v>
      </c>
      <c r="V20" s="4">
        <v>10</v>
      </c>
      <c r="W20" s="4">
        <v>3</v>
      </c>
      <c r="X20" s="4">
        <v>3</v>
      </c>
      <c r="Y20" s="4">
        <v>2</v>
      </c>
      <c r="Z20" s="4">
        <v>2</v>
      </c>
      <c r="AA20" s="3">
        <f t="shared" si="1"/>
        <v>76</v>
      </c>
      <c r="AB20" t="s">
        <v>63</v>
      </c>
      <c r="AC20">
        <v>153.46</v>
      </c>
      <c r="AD20">
        <v>40.56</v>
      </c>
      <c r="AE20">
        <v>60.58</v>
      </c>
      <c r="AF20">
        <v>71.72</v>
      </c>
      <c r="AG20">
        <v>36.590000000000003</v>
      </c>
      <c r="AH20">
        <v>99.44</v>
      </c>
      <c r="AI20">
        <v>51.05</v>
      </c>
      <c r="AJ20">
        <v>0.9</v>
      </c>
      <c r="AK20">
        <v>6.71</v>
      </c>
      <c r="AL20">
        <v>18.29</v>
      </c>
      <c r="AM20">
        <v>142</v>
      </c>
      <c r="AN20">
        <v>335.14</v>
      </c>
      <c r="AO20" s="1">
        <v>1016.44</v>
      </c>
    </row>
    <row r="21" spans="1:41" x14ac:dyDescent="0.25">
      <c r="A21" t="s">
        <v>145</v>
      </c>
      <c r="B21" s="4">
        <v>7464</v>
      </c>
      <c r="C21" s="4">
        <v>496</v>
      </c>
      <c r="D21" s="4">
        <v>4623</v>
      </c>
      <c r="E21" s="4">
        <v>2822</v>
      </c>
      <c r="F21" s="4">
        <v>2706</v>
      </c>
      <c r="G21" s="4">
        <v>612</v>
      </c>
      <c r="H21" s="4">
        <v>2961</v>
      </c>
      <c r="I21" s="4">
        <v>2788</v>
      </c>
      <c r="J21" s="4">
        <v>287</v>
      </c>
      <c r="K21" s="4">
        <v>837</v>
      </c>
      <c r="L21" s="4">
        <v>716</v>
      </c>
      <c r="M21" s="4">
        <v>492</v>
      </c>
      <c r="N21" s="3">
        <f t="shared" si="0"/>
        <v>26804</v>
      </c>
      <c r="O21" s="4">
        <v>9</v>
      </c>
      <c r="P21" s="4">
        <v>6</v>
      </c>
      <c r="Q21" s="4">
        <v>0</v>
      </c>
      <c r="R21" s="4">
        <v>3</v>
      </c>
      <c r="S21" s="4">
        <v>3</v>
      </c>
      <c r="T21" s="4">
        <v>3</v>
      </c>
      <c r="U21" s="4">
        <v>9</v>
      </c>
      <c r="V21" s="4">
        <v>4</v>
      </c>
      <c r="W21" s="4">
        <v>0</v>
      </c>
      <c r="X21" s="4">
        <v>10</v>
      </c>
      <c r="Y21" s="4">
        <v>12</v>
      </c>
      <c r="Z21" s="4">
        <v>0</v>
      </c>
      <c r="AA21" s="3">
        <f t="shared" si="1"/>
        <v>59</v>
      </c>
      <c r="AB21" t="s">
        <v>63</v>
      </c>
      <c r="AC21">
        <v>150.09</v>
      </c>
      <c r="AD21">
        <v>10.46</v>
      </c>
      <c r="AE21">
        <v>92.46</v>
      </c>
      <c r="AF21">
        <v>56.71</v>
      </c>
      <c r="AG21">
        <v>54.39</v>
      </c>
      <c r="AH21">
        <v>12.51</v>
      </c>
      <c r="AI21">
        <v>60.03</v>
      </c>
      <c r="AJ21">
        <v>56.12</v>
      </c>
      <c r="AK21">
        <v>5.74</v>
      </c>
      <c r="AL21">
        <v>17.64</v>
      </c>
      <c r="AM21">
        <v>15.4</v>
      </c>
      <c r="AN21">
        <v>9.84</v>
      </c>
      <c r="AO21" s="1">
        <v>541.39</v>
      </c>
    </row>
    <row r="22" spans="1:41" x14ac:dyDescent="0.25">
      <c r="A22" t="s">
        <v>149</v>
      </c>
      <c r="B22" s="4">
        <v>7277</v>
      </c>
      <c r="C22" s="4">
        <v>36</v>
      </c>
      <c r="D22" s="4">
        <v>1784</v>
      </c>
      <c r="E22" s="4">
        <v>3913</v>
      </c>
      <c r="F22" s="4">
        <v>4522</v>
      </c>
      <c r="G22" s="4">
        <v>5727</v>
      </c>
      <c r="H22" s="4">
        <v>947</v>
      </c>
      <c r="I22" s="4">
        <v>686</v>
      </c>
      <c r="J22" s="4">
        <v>1244</v>
      </c>
      <c r="K22" s="4">
        <v>2291</v>
      </c>
      <c r="L22" s="4">
        <v>1573</v>
      </c>
      <c r="M22" s="4">
        <v>4768</v>
      </c>
      <c r="N22" s="3">
        <f t="shared" si="0"/>
        <v>34768</v>
      </c>
      <c r="O22" s="4">
        <v>5</v>
      </c>
      <c r="P22" s="4">
        <v>1</v>
      </c>
      <c r="Q22" s="4">
        <v>1</v>
      </c>
      <c r="R22" s="4">
        <v>3</v>
      </c>
      <c r="S22" s="4">
        <v>2</v>
      </c>
      <c r="T22" s="4">
        <v>18</v>
      </c>
      <c r="U22" s="4">
        <v>4</v>
      </c>
      <c r="V22" s="4">
        <v>5</v>
      </c>
      <c r="W22" s="4">
        <v>14</v>
      </c>
      <c r="X22" s="4">
        <v>2</v>
      </c>
      <c r="Y22" s="4">
        <v>7</v>
      </c>
      <c r="Z22" s="4">
        <v>3</v>
      </c>
      <c r="AA22" s="3">
        <f t="shared" si="1"/>
        <v>65</v>
      </c>
      <c r="AB22" t="s">
        <v>63</v>
      </c>
      <c r="AC22">
        <v>145.99</v>
      </c>
      <c r="AD22">
        <v>0.81</v>
      </c>
      <c r="AE22">
        <v>35.770000000000003</v>
      </c>
      <c r="AF22">
        <v>78.53</v>
      </c>
      <c r="AG22">
        <v>90.62</v>
      </c>
      <c r="AH22">
        <v>116.16</v>
      </c>
      <c r="AI22">
        <v>19.3</v>
      </c>
      <c r="AJ22">
        <v>14.17</v>
      </c>
      <c r="AK22">
        <v>26.14</v>
      </c>
      <c r="AL22">
        <v>46</v>
      </c>
      <c r="AM22">
        <v>32.090000000000003</v>
      </c>
      <c r="AN22">
        <v>95.63</v>
      </c>
      <c r="AO22" s="1">
        <v>701.21</v>
      </c>
    </row>
    <row r="23" spans="1:41" x14ac:dyDescent="0.25">
      <c r="A23" t="s">
        <v>158</v>
      </c>
      <c r="B23" s="4">
        <v>7087</v>
      </c>
      <c r="C23" s="4">
        <v>4858</v>
      </c>
      <c r="D23" s="4">
        <v>10065</v>
      </c>
      <c r="E23" s="4">
        <v>1627</v>
      </c>
      <c r="F23" s="4">
        <v>3029</v>
      </c>
      <c r="G23" s="4">
        <v>8170</v>
      </c>
      <c r="H23" s="4">
        <v>3525</v>
      </c>
      <c r="I23" s="4">
        <v>13044</v>
      </c>
      <c r="J23" s="4">
        <v>414</v>
      </c>
      <c r="K23" s="4">
        <v>1232</v>
      </c>
      <c r="L23" s="4">
        <v>13279</v>
      </c>
      <c r="M23" s="4">
        <v>1756</v>
      </c>
      <c r="N23" s="3">
        <f t="shared" si="0"/>
        <v>68086</v>
      </c>
      <c r="O23" s="4">
        <v>2</v>
      </c>
      <c r="P23" s="4">
        <v>8</v>
      </c>
      <c r="Q23" s="4">
        <v>3</v>
      </c>
      <c r="R23" s="4">
        <v>1</v>
      </c>
      <c r="S23" s="4">
        <v>2</v>
      </c>
      <c r="T23" s="4">
        <v>1</v>
      </c>
      <c r="U23" s="4">
        <v>6</v>
      </c>
      <c r="V23" s="4">
        <v>2</v>
      </c>
      <c r="W23" s="4">
        <v>1</v>
      </c>
      <c r="X23" s="4">
        <v>10</v>
      </c>
      <c r="Y23" s="4">
        <v>8</v>
      </c>
      <c r="Z23" s="4">
        <v>9</v>
      </c>
      <c r="AA23" s="3">
        <f t="shared" si="1"/>
        <v>53</v>
      </c>
      <c r="AB23" t="s">
        <v>63</v>
      </c>
      <c r="AC23">
        <v>141.91999999999999</v>
      </c>
      <c r="AD23">
        <v>97.88</v>
      </c>
      <c r="AE23">
        <v>201.57</v>
      </c>
      <c r="AF23">
        <v>32.630000000000003</v>
      </c>
      <c r="AG23">
        <v>60.76</v>
      </c>
      <c r="AH23">
        <v>163.49</v>
      </c>
      <c r="AI23">
        <v>71.040000000000006</v>
      </c>
      <c r="AJ23">
        <v>261.06</v>
      </c>
      <c r="AK23">
        <v>8.3699999999999992</v>
      </c>
      <c r="AL23">
        <v>25.54</v>
      </c>
      <c r="AM23">
        <v>266.3</v>
      </c>
      <c r="AN23">
        <v>35.93</v>
      </c>
      <c r="AO23" s="1">
        <v>1366.4899999999998</v>
      </c>
    </row>
    <row r="24" spans="1:41" x14ac:dyDescent="0.25">
      <c r="A24" t="s">
        <v>162</v>
      </c>
      <c r="B24" s="4">
        <v>6960</v>
      </c>
      <c r="C24" s="4">
        <v>7531</v>
      </c>
      <c r="D24" s="4">
        <v>1566</v>
      </c>
      <c r="E24" s="4">
        <v>3799</v>
      </c>
      <c r="F24" s="4">
        <v>207</v>
      </c>
      <c r="G24" s="4">
        <v>1355</v>
      </c>
      <c r="H24" s="4">
        <v>0</v>
      </c>
      <c r="I24" s="4">
        <v>3947</v>
      </c>
      <c r="J24" s="4">
        <v>1502</v>
      </c>
      <c r="K24" s="4">
        <v>0</v>
      </c>
      <c r="L24" s="4">
        <v>1313</v>
      </c>
      <c r="M24" s="4">
        <v>981</v>
      </c>
      <c r="N24" s="3">
        <f t="shared" si="0"/>
        <v>29161</v>
      </c>
      <c r="O24" s="4">
        <v>5</v>
      </c>
      <c r="P24" s="4">
        <v>4</v>
      </c>
      <c r="Q24" s="4">
        <v>1</v>
      </c>
      <c r="R24" s="4">
        <v>11</v>
      </c>
      <c r="S24" s="4">
        <v>3</v>
      </c>
      <c r="T24" s="4">
        <v>4</v>
      </c>
      <c r="U24" s="4">
        <v>26</v>
      </c>
      <c r="V24" s="4">
        <v>4</v>
      </c>
      <c r="W24" s="4">
        <v>0</v>
      </c>
      <c r="X24" s="4">
        <v>3</v>
      </c>
      <c r="Y24" s="4">
        <v>8</v>
      </c>
      <c r="Z24" s="4">
        <v>8</v>
      </c>
      <c r="AA24" s="3">
        <f t="shared" si="1"/>
        <v>77</v>
      </c>
      <c r="AB24" t="s">
        <v>63</v>
      </c>
      <c r="AC24">
        <v>139.65</v>
      </c>
      <c r="AD24">
        <v>150.97999999999999</v>
      </c>
      <c r="AE24">
        <v>31.41</v>
      </c>
      <c r="AF24">
        <v>76.97</v>
      </c>
      <c r="AG24">
        <v>4.41</v>
      </c>
      <c r="AH24">
        <v>27.46</v>
      </c>
      <c r="AI24">
        <v>2.34</v>
      </c>
      <c r="AJ24">
        <v>79.3</v>
      </c>
      <c r="AK24">
        <v>30.04</v>
      </c>
      <c r="AL24">
        <v>0.27</v>
      </c>
      <c r="AM24">
        <v>26.98</v>
      </c>
      <c r="AN24">
        <v>20.34</v>
      </c>
      <c r="AO24" s="1">
        <v>590.15</v>
      </c>
    </row>
    <row r="25" spans="1:41" x14ac:dyDescent="0.25">
      <c r="A25" t="s">
        <v>164</v>
      </c>
      <c r="B25" s="4">
        <v>6946</v>
      </c>
      <c r="C25" s="4">
        <v>7609</v>
      </c>
      <c r="D25" s="4">
        <v>2520</v>
      </c>
      <c r="E25" s="4">
        <v>3194</v>
      </c>
      <c r="F25" s="4">
        <v>3762</v>
      </c>
      <c r="G25" s="4">
        <v>5036</v>
      </c>
      <c r="H25" s="4">
        <v>2090</v>
      </c>
      <c r="I25" s="4">
        <v>1813</v>
      </c>
      <c r="J25" s="4">
        <v>3662</v>
      </c>
      <c r="K25" s="4">
        <v>3610</v>
      </c>
      <c r="L25" s="4">
        <v>1226</v>
      </c>
      <c r="M25" s="4">
        <v>825</v>
      </c>
      <c r="N25" s="3">
        <f t="shared" si="0"/>
        <v>42293</v>
      </c>
      <c r="O25" s="4">
        <v>0</v>
      </c>
      <c r="P25" s="4">
        <v>4</v>
      </c>
      <c r="Q25" s="4">
        <v>7</v>
      </c>
      <c r="R25" s="4">
        <v>9</v>
      </c>
      <c r="S25" s="4">
        <v>3</v>
      </c>
      <c r="T25" s="4">
        <v>3</v>
      </c>
      <c r="U25" s="4">
        <v>0</v>
      </c>
      <c r="V25" s="4">
        <v>4</v>
      </c>
      <c r="W25" s="4">
        <v>8</v>
      </c>
      <c r="X25" s="4">
        <v>1</v>
      </c>
      <c r="Y25" s="4">
        <v>3</v>
      </c>
      <c r="Z25" s="4">
        <v>7</v>
      </c>
      <c r="AA25" s="3">
        <f t="shared" si="1"/>
        <v>49</v>
      </c>
      <c r="AB25" t="s">
        <v>63</v>
      </c>
      <c r="AC25">
        <v>138.91999999999999</v>
      </c>
      <c r="AD25">
        <v>152.54</v>
      </c>
      <c r="AE25">
        <v>51.03</v>
      </c>
      <c r="AF25">
        <v>64.69</v>
      </c>
      <c r="AG25">
        <v>75.510000000000005</v>
      </c>
      <c r="AH25">
        <v>100.99</v>
      </c>
      <c r="AI25">
        <v>41.8</v>
      </c>
      <c r="AJ25">
        <v>36.619999999999997</v>
      </c>
      <c r="AK25">
        <v>73.959999999999994</v>
      </c>
      <c r="AL25">
        <v>72.290000000000006</v>
      </c>
      <c r="AM25">
        <v>24.79</v>
      </c>
      <c r="AN25">
        <v>17.13</v>
      </c>
      <c r="AO25" s="1">
        <v>850.26999999999987</v>
      </c>
    </row>
    <row r="26" spans="1:41" x14ac:dyDescent="0.25">
      <c r="A26" t="s">
        <v>166</v>
      </c>
      <c r="B26" s="4">
        <v>6865</v>
      </c>
      <c r="C26" s="4">
        <v>4270</v>
      </c>
      <c r="D26" s="4">
        <v>678</v>
      </c>
      <c r="E26" s="4">
        <v>239</v>
      </c>
      <c r="F26" s="4">
        <v>2948</v>
      </c>
      <c r="G26" s="4">
        <v>3381</v>
      </c>
      <c r="H26" s="4">
        <v>2794</v>
      </c>
      <c r="I26" s="4">
        <v>1785</v>
      </c>
      <c r="J26" s="4">
        <v>4398</v>
      </c>
      <c r="K26" s="4">
        <v>1944</v>
      </c>
      <c r="L26" s="4">
        <v>1413</v>
      </c>
      <c r="M26" s="4">
        <v>851</v>
      </c>
      <c r="N26" s="3">
        <f t="shared" si="0"/>
        <v>31566</v>
      </c>
      <c r="O26" s="4">
        <v>8</v>
      </c>
      <c r="P26" s="4">
        <v>3</v>
      </c>
      <c r="Q26" s="4">
        <v>1</v>
      </c>
      <c r="R26" s="4">
        <v>11</v>
      </c>
      <c r="S26" s="4">
        <v>3</v>
      </c>
      <c r="T26" s="4">
        <v>3</v>
      </c>
      <c r="U26" s="4">
        <v>1</v>
      </c>
      <c r="V26" s="4">
        <v>0</v>
      </c>
      <c r="W26" s="4">
        <v>4</v>
      </c>
      <c r="X26" s="4">
        <v>5</v>
      </c>
      <c r="Y26" s="4">
        <v>2</v>
      </c>
      <c r="Z26" s="4">
        <v>2</v>
      </c>
      <c r="AA26" s="3">
        <f t="shared" si="1"/>
        <v>43</v>
      </c>
      <c r="AB26" t="s">
        <v>63</v>
      </c>
      <c r="AC26">
        <v>138.02000000000001</v>
      </c>
      <c r="AD26">
        <v>85.67</v>
      </c>
      <c r="AE26">
        <v>13.65</v>
      </c>
      <c r="AF26">
        <v>5.77</v>
      </c>
      <c r="AG26">
        <v>59.23</v>
      </c>
      <c r="AH26">
        <v>67.89</v>
      </c>
      <c r="AI26">
        <v>55.97</v>
      </c>
      <c r="AJ26">
        <v>35.700000000000003</v>
      </c>
      <c r="AK26">
        <v>88.32</v>
      </c>
      <c r="AL26">
        <v>39.33</v>
      </c>
      <c r="AM26">
        <v>28.44</v>
      </c>
      <c r="AN26">
        <v>17.2</v>
      </c>
      <c r="AO26" s="1">
        <v>635.19000000000017</v>
      </c>
    </row>
    <row r="27" spans="1:41" x14ac:dyDescent="0.25">
      <c r="A27" t="s">
        <v>170</v>
      </c>
      <c r="B27" s="4">
        <v>6715</v>
      </c>
      <c r="C27" s="4">
        <v>4725</v>
      </c>
      <c r="D27" s="4">
        <v>917</v>
      </c>
      <c r="E27" s="4">
        <v>1986</v>
      </c>
      <c r="F27" s="4">
        <v>2897</v>
      </c>
      <c r="G27" s="4">
        <v>2036</v>
      </c>
      <c r="H27" s="4">
        <v>1252</v>
      </c>
      <c r="I27" s="4">
        <v>737</v>
      </c>
      <c r="J27" s="4">
        <v>829</v>
      </c>
      <c r="K27" s="4">
        <v>0</v>
      </c>
      <c r="L27" s="4">
        <v>8033</v>
      </c>
      <c r="M27" s="4">
        <v>4034</v>
      </c>
      <c r="N27" s="3">
        <f t="shared" si="0"/>
        <v>34161</v>
      </c>
      <c r="O27" s="4">
        <v>1</v>
      </c>
      <c r="P27" s="4">
        <v>3</v>
      </c>
      <c r="Q27" s="4">
        <v>6</v>
      </c>
      <c r="R27" s="4">
        <v>7</v>
      </c>
      <c r="S27" s="4">
        <v>5</v>
      </c>
      <c r="T27" s="4">
        <v>5</v>
      </c>
      <c r="U27" s="4">
        <v>2</v>
      </c>
      <c r="V27" s="4">
        <v>6</v>
      </c>
      <c r="W27" s="4">
        <v>8</v>
      </c>
      <c r="X27" s="4">
        <v>1</v>
      </c>
      <c r="Y27" s="4">
        <v>6</v>
      </c>
      <c r="Z27" s="4">
        <v>0</v>
      </c>
      <c r="AA27" s="3">
        <f t="shared" si="1"/>
        <v>50</v>
      </c>
      <c r="AB27" t="s">
        <v>63</v>
      </c>
      <c r="AC27">
        <v>134.38999999999999</v>
      </c>
      <c r="AD27">
        <v>94.77</v>
      </c>
      <c r="AE27">
        <v>18.88</v>
      </c>
      <c r="AF27">
        <v>40.35</v>
      </c>
      <c r="AG27">
        <v>58.39</v>
      </c>
      <c r="AH27">
        <v>41.17</v>
      </c>
      <c r="AI27">
        <v>25.22</v>
      </c>
      <c r="AJ27">
        <v>15.28</v>
      </c>
      <c r="AK27">
        <v>17.3</v>
      </c>
      <c r="AL27">
        <v>0.09</v>
      </c>
      <c r="AM27">
        <v>161.19999999999999</v>
      </c>
      <c r="AN27">
        <v>80.680000000000007</v>
      </c>
      <c r="AO27" s="1">
        <v>687.72</v>
      </c>
    </row>
    <row r="28" spans="1:41" x14ac:dyDescent="0.25">
      <c r="A28" t="s">
        <v>171</v>
      </c>
      <c r="B28" s="4">
        <v>6695</v>
      </c>
      <c r="C28" s="4">
        <v>1233</v>
      </c>
      <c r="D28" s="4">
        <v>6996</v>
      </c>
      <c r="E28" s="4">
        <v>10460</v>
      </c>
      <c r="F28" s="4">
        <v>1953</v>
      </c>
      <c r="G28" s="4">
        <v>818</v>
      </c>
      <c r="H28" s="4">
        <v>1381</v>
      </c>
      <c r="I28" s="4">
        <v>1412</v>
      </c>
      <c r="J28" s="4">
        <v>0</v>
      </c>
      <c r="K28" s="4">
        <v>4202</v>
      </c>
      <c r="L28" s="4">
        <v>3081</v>
      </c>
      <c r="M28" s="4">
        <v>1822</v>
      </c>
      <c r="N28" s="3">
        <f t="shared" si="0"/>
        <v>40053</v>
      </c>
      <c r="O28" s="4">
        <v>0</v>
      </c>
      <c r="P28" s="4">
        <v>0</v>
      </c>
      <c r="Q28" s="4">
        <v>1</v>
      </c>
      <c r="R28" s="4">
        <v>6</v>
      </c>
      <c r="S28" s="4">
        <v>0</v>
      </c>
      <c r="T28" s="4">
        <v>6</v>
      </c>
      <c r="U28" s="4">
        <v>5</v>
      </c>
      <c r="V28" s="4">
        <v>5</v>
      </c>
      <c r="W28" s="4">
        <v>3</v>
      </c>
      <c r="X28" s="4">
        <v>1</v>
      </c>
      <c r="Y28" s="4">
        <v>2</v>
      </c>
      <c r="Z28" s="4">
        <v>1</v>
      </c>
      <c r="AA28" s="3">
        <f t="shared" si="1"/>
        <v>30</v>
      </c>
      <c r="AB28" t="s">
        <v>63</v>
      </c>
      <c r="AC28">
        <v>133.9</v>
      </c>
      <c r="AD28">
        <v>24.66</v>
      </c>
      <c r="AE28">
        <v>140.01</v>
      </c>
      <c r="AF28">
        <v>209.74</v>
      </c>
      <c r="AG28">
        <v>39.06</v>
      </c>
      <c r="AH28">
        <v>16.899999999999999</v>
      </c>
      <c r="AI28">
        <v>28.07</v>
      </c>
      <c r="AJ28">
        <v>28.69</v>
      </c>
      <c r="AK28">
        <v>0.27</v>
      </c>
      <c r="AL28">
        <v>84.13</v>
      </c>
      <c r="AM28">
        <v>61.8</v>
      </c>
      <c r="AN28">
        <v>36.53</v>
      </c>
      <c r="AO28" s="1">
        <v>803.76</v>
      </c>
    </row>
    <row r="29" spans="1:41" x14ac:dyDescent="0.25">
      <c r="A29" t="s">
        <v>177</v>
      </c>
      <c r="B29" s="4">
        <v>6597</v>
      </c>
      <c r="C29" s="4">
        <v>3193</v>
      </c>
      <c r="D29" s="4">
        <v>1832</v>
      </c>
      <c r="E29" s="4">
        <v>2389</v>
      </c>
      <c r="F29" s="4">
        <v>671</v>
      </c>
      <c r="G29" s="4">
        <v>1520</v>
      </c>
      <c r="H29" s="4">
        <v>4695</v>
      </c>
      <c r="I29" s="4">
        <v>2009</v>
      </c>
      <c r="J29" s="4">
        <v>4975</v>
      </c>
      <c r="K29" s="4">
        <v>4473</v>
      </c>
      <c r="L29" s="4">
        <v>271</v>
      </c>
      <c r="M29" s="4">
        <v>3023</v>
      </c>
      <c r="N29" s="3">
        <f t="shared" si="0"/>
        <v>35648</v>
      </c>
      <c r="O29" s="4">
        <v>3</v>
      </c>
      <c r="P29" s="4">
        <v>0</v>
      </c>
      <c r="Q29" s="4">
        <v>5</v>
      </c>
      <c r="R29" s="4">
        <v>13</v>
      </c>
      <c r="S29" s="4">
        <v>1</v>
      </c>
      <c r="T29" s="4">
        <v>5</v>
      </c>
      <c r="U29" s="4">
        <v>1</v>
      </c>
      <c r="V29" s="4">
        <v>2</v>
      </c>
      <c r="W29" s="4">
        <v>2</v>
      </c>
      <c r="X29" s="4">
        <v>5</v>
      </c>
      <c r="Y29" s="4">
        <v>5</v>
      </c>
      <c r="Z29" s="4">
        <v>1</v>
      </c>
      <c r="AA29" s="3">
        <f t="shared" si="1"/>
        <v>43</v>
      </c>
      <c r="AB29" t="s">
        <v>63</v>
      </c>
      <c r="AC29">
        <v>132.21</v>
      </c>
      <c r="AD29">
        <v>63.86</v>
      </c>
      <c r="AE29">
        <v>37.090000000000003</v>
      </c>
      <c r="AF29">
        <v>48.95</v>
      </c>
      <c r="AG29">
        <v>13.51</v>
      </c>
      <c r="AH29">
        <v>30.85</v>
      </c>
      <c r="AI29">
        <v>93.99</v>
      </c>
      <c r="AJ29">
        <v>40.36</v>
      </c>
      <c r="AK29">
        <v>99.68</v>
      </c>
      <c r="AL29">
        <v>89.91</v>
      </c>
      <c r="AM29">
        <v>5.87</v>
      </c>
      <c r="AN29">
        <v>60.55</v>
      </c>
      <c r="AO29" s="1">
        <v>716.82999999999993</v>
      </c>
    </row>
    <row r="30" spans="1:41" x14ac:dyDescent="0.25">
      <c r="A30" t="s">
        <v>182</v>
      </c>
      <c r="B30" s="4">
        <v>6560</v>
      </c>
      <c r="C30" s="4">
        <v>423</v>
      </c>
      <c r="D30" s="4">
        <v>8784</v>
      </c>
      <c r="E30" s="4">
        <v>1428</v>
      </c>
      <c r="F30" s="4">
        <v>411</v>
      </c>
      <c r="G30" s="4">
        <v>2057</v>
      </c>
      <c r="H30" s="4">
        <v>2299</v>
      </c>
      <c r="I30" s="4">
        <v>3277</v>
      </c>
      <c r="J30" s="4">
        <v>2650</v>
      </c>
      <c r="K30" s="4">
        <v>2188</v>
      </c>
      <c r="L30" s="4">
        <v>3086</v>
      </c>
      <c r="M30" s="4">
        <v>2635</v>
      </c>
      <c r="N30" s="3">
        <f t="shared" si="0"/>
        <v>35798</v>
      </c>
      <c r="O30" s="4">
        <v>7</v>
      </c>
      <c r="P30" s="4">
        <v>1</v>
      </c>
      <c r="Q30" s="4">
        <v>2</v>
      </c>
      <c r="R30" s="4">
        <v>2</v>
      </c>
      <c r="S30" s="4">
        <v>3</v>
      </c>
      <c r="T30" s="4">
        <v>0</v>
      </c>
      <c r="U30" s="4">
        <v>2</v>
      </c>
      <c r="V30" s="4">
        <v>5</v>
      </c>
      <c r="W30" s="4">
        <v>1</v>
      </c>
      <c r="X30" s="4">
        <v>6</v>
      </c>
      <c r="Y30" s="4">
        <v>0</v>
      </c>
      <c r="Z30" s="4">
        <v>2</v>
      </c>
      <c r="AA30" s="3">
        <f t="shared" si="1"/>
        <v>31</v>
      </c>
      <c r="AB30" t="s">
        <v>63</v>
      </c>
      <c r="AC30">
        <v>131.83000000000001</v>
      </c>
      <c r="AD30">
        <v>8.5500000000000007</v>
      </c>
      <c r="AE30">
        <v>175.86</v>
      </c>
      <c r="AF30">
        <v>28.74</v>
      </c>
      <c r="AG30">
        <v>8.49</v>
      </c>
      <c r="AH30">
        <v>41.14</v>
      </c>
      <c r="AI30">
        <v>46.16</v>
      </c>
      <c r="AJ30">
        <v>65.989999999999995</v>
      </c>
      <c r="AK30">
        <v>53.09</v>
      </c>
      <c r="AL30">
        <v>44.3</v>
      </c>
      <c r="AM30">
        <v>61.72</v>
      </c>
      <c r="AN30">
        <v>52.88</v>
      </c>
      <c r="AO30" s="1">
        <v>718.75</v>
      </c>
    </row>
    <row r="31" spans="1:41" x14ac:dyDescent="0.25">
      <c r="A31" t="s">
        <v>185</v>
      </c>
      <c r="B31" s="4">
        <v>6524</v>
      </c>
      <c r="C31" s="4">
        <v>2690</v>
      </c>
      <c r="D31" s="4">
        <v>55</v>
      </c>
      <c r="E31" s="4">
        <v>1554</v>
      </c>
      <c r="F31" s="4">
        <v>865</v>
      </c>
      <c r="G31" s="4">
        <v>533</v>
      </c>
      <c r="H31" s="4">
        <v>2010</v>
      </c>
      <c r="I31" s="4">
        <v>0</v>
      </c>
      <c r="J31" s="4">
        <v>3211</v>
      </c>
      <c r="K31" s="4">
        <v>3565</v>
      </c>
      <c r="L31" s="4">
        <v>3285</v>
      </c>
      <c r="M31" s="4">
        <v>1946</v>
      </c>
      <c r="N31" s="3">
        <f t="shared" si="0"/>
        <v>26238</v>
      </c>
      <c r="O31" s="4">
        <v>1</v>
      </c>
      <c r="P31" s="4">
        <v>6</v>
      </c>
      <c r="Q31" s="4">
        <v>3</v>
      </c>
      <c r="R31" s="4">
        <v>6</v>
      </c>
      <c r="S31" s="4">
        <v>2</v>
      </c>
      <c r="T31" s="4">
        <v>1</v>
      </c>
      <c r="U31" s="4">
        <v>1</v>
      </c>
      <c r="V31" s="4">
        <v>9</v>
      </c>
      <c r="W31" s="4">
        <v>6</v>
      </c>
      <c r="X31" s="4">
        <v>4</v>
      </c>
      <c r="Y31" s="4">
        <v>2</v>
      </c>
      <c r="Z31" s="4">
        <v>0</v>
      </c>
      <c r="AA31" s="3">
        <f t="shared" si="1"/>
        <v>41</v>
      </c>
      <c r="AB31" t="s">
        <v>63</v>
      </c>
      <c r="AC31">
        <v>130.57</v>
      </c>
      <c r="AD31">
        <v>54.34</v>
      </c>
      <c r="AE31">
        <v>1.37</v>
      </c>
      <c r="AF31">
        <v>31.62</v>
      </c>
      <c r="AG31">
        <v>17.48</v>
      </c>
      <c r="AH31">
        <v>10.75</v>
      </c>
      <c r="AI31">
        <v>40.29</v>
      </c>
      <c r="AJ31">
        <v>0.81</v>
      </c>
      <c r="AK31">
        <v>64.760000000000005</v>
      </c>
      <c r="AL31">
        <v>71.66</v>
      </c>
      <c r="AM31">
        <v>65.88</v>
      </c>
      <c r="AN31">
        <v>38.92</v>
      </c>
      <c r="AO31" s="1">
        <v>528.44999999999993</v>
      </c>
    </row>
    <row r="32" spans="1:41" x14ac:dyDescent="0.25">
      <c r="A32" t="s">
        <v>186</v>
      </c>
      <c r="B32" s="4">
        <v>6497</v>
      </c>
      <c r="C32" s="4">
        <v>5247</v>
      </c>
      <c r="D32" s="4">
        <v>0</v>
      </c>
      <c r="E32" s="4">
        <v>1127</v>
      </c>
      <c r="F32" s="4">
        <v>8920</v>
      </c>
      <c r="G32" s="4">
        <v>5522</v>
      </c>
      <c r="H32" s="4">
        <v>19510</v>
      </c>
      <c r="I32" s="4">
        <v>1259</v>
      </c>
      <c r="J32" s="4">
        <v>2091</v>
      </c>
      <c r="K32" s="4">
        <v>1311</v>
      </c>
      <c r="L32" s="4">
        <v>3582</v>
      </c>
      <c r="M32" s="4">
        <v>1279</v>
      </c>
      <c r="N32" s="3">
        <f t="shared" si="0"/>
        <v>56345</v>
      </c>
      <c r="O32" s="4">
        <v>3</v>
      </c>
      <c r="P32" s="4">
        <v>0</v>
      </c>
      <c r="Q32" s="4">
        <v>0</v>
      </c>
      <c r="R32" s="4">
        <v>5</v>
      </c>
      <c r="S32" s="4">
        <v>4</v>
      </c>
      <c r="T32" s="4">
        <v>10</v>
      </c>
      <c r="U32" s="4">
        <v>8</v>
      </c>
      <c r="V32" s="4">
        <v>3</v>
      </c>
      <c r="W32" s="4">
        <v>3</v>
      </c>
      <c r="X32" s="4">
        <v>4</v>
      </c>
      <c r="Y32" s="4">
        <v>4</v>
      </c>
      <c r="Z32" s="4">
        <v>3</v>
      </c>
      <c r="AA32" s="3">
        <f t="shared" si="1"/>
        <v>47</v>
      </c>
      <c r="AB32" t="s">
        <v>63</v>
      </c>
      <c r="AC32">
        <v>130.21</v>
      </c>
      <c r="AD32">
        <v>104.94</v>
      </c>
      <c r="AE32">
        <v>0</v>
      </c>
      <c r="AF32">
        <v>22.99</v>
      </c>
      <c r="AG32">
        <v>178.76</v>
      </c>
      <c r="AH32">
        <v>111.34</v>
      </c>
      <c r="AI32">
        <v>390.92</v>
      </c>
      <c r="AJ32">
        <v>25.45</v>
      </c>
      <c r="AK32">
        <v>42.09</v>
      </c>
      <c r="AL32">
        <v>26.58</v>
      </c>
      <c r="AM32">
        <v>72</v>
      </c>
      <c r="AN32">
        <v>25.85</v>
      </c>
      <c r="AO32" s="1">
        <v>1131.1300000000001</v>
      </c>
    </row>
    <row r="33" spans="1:41" x14ac:dyDescent="0.25">
      <c r="A33" t="s">
        <v>187</v>
      </c>
      <c r="B33" s="4">
        <v>6493</v>
      </c>
      <c r="C33" s="4">
        <v>596</v>
      </c>
      <c r="D33" s="4">
        <v>7760</v>
      </c>
      <c r="E33" s="4">
        <v>435</v>
      </c>
      <c r="F33" s="4">
        <v>0</v>
      </c>
      <c r="G33" s="4">
        <v>4291</v>
      </c>
      <c r="H33" s="4">
        <v>926</v>
      </c>
      <c r="I33" s="4">
        <v>3372</v>
      </c>
      <c r="J33" s="4">
        <v>4107</v>
      </c>
      <c r="K33" s="4">
        <v>32</v>
      </c>
      <c r="L33" s="4">
        <v>1959</v>
      </c>
      <c r="M33" s="4">
        <v>1602</v>
      </c>
      <c r="N33" s="3">
        <f t="shared" si="0"/>
        <v>31573</v>
      </c>
      <c r="O33" s="4">
        <v>9</v>
      </c>
      <c r="P33" s="4">
        <v>6</v>
      </c>
      <c r="Q33" s="4">
        <v>12</v>
      </c>
      <c r="R33" s="4">
        <v>1</v>
      </c>
      <c r="S33" s="4">
        <v>6</v>
      </c>
      <c r="T33" s="4">
        <v>3</v>
      </c>
      <c r="U33" s="4">
        <v>6</v>
      </c>
      <c r="V33" s="4">
        <v>3</v>
      </c>
      <c r="W33" s="4">
        <v>2</v>
      </c>
      <c r="X33" s="4">
        <v>2</v>
      </c>
      <c r="Y33" s="4">
        <v>4</v>
      </c>
      <c r="Z33" s="4">
        <v>7</v>
      </c>
      <c r="AA33" s="3">
        <f t="shared" si="1"/>
        <v>61</v>
      </c>
      <c r="AB33" t="s">
        <v>63</v>
      </c>
      <c r="AC33">
        <v>130.66999999999999</v>
      </c>
      <c r="AD33">
        <v>12.46</v>
      </c>
      <c r="AE33">
        <v>156.28</v>
      </c>
      <c r="AF33">
        <v>8.7899999999999991</v>
      </c>
      <c r="AG33">
        <v>0.54</v>
      </c>
      <c r="AH33">
        <v>86.09</v>
      </c>
      <c r="AI33">
        <v>19.059999999999999</v>
      </c>
      <c r="AJ33">
        <v>67.709999999999994</v>
      </c>
      <c r="AK33">
        <v>82.32</v>
      </c>
      <c r="AL33">
        <v>0.82</v>
      </c>
      <c r="AM33">
        <v>39.54</v>
      </c>
      <c r="AN33">
        <v>32.67</v>
      </c>
      <c r="AO33" s="1">
        <v>636.95000000000005</v>
      </c>
    </row>
    <row r="34" spans="1:41" x14ac:dyDescent="0.25">
      <c r="A34" t="s">
        <v>188</v>
      </c>
      <c r="B34" s="4">
        <v>6483</v>
      </c>
      <c r="C34" s="4">
        <v>999</v>
      </c>
      <c r="D34" s="4">
        <v>0</v>
      </c>
      <c r="E34" s="4">
        <v>3216</v>
      </c>
      <c r="F34" s="4">
        <v>913</v>
      </c>
      <c r="G34" s="4">
        <v>5</v>
      </c>
      <c r="H34" s="4">
        <v>3764</v>
      </c>
      <c r="I34" s="4">
        <v>1647</v>
      </c>
      <c r="J34" s="4">
        <v>737</v>
      </c>
      <c r="K34" s="4">
        <v>3197</v>
      </c>
      <c r="L34" s="4">
        <v>0</v>
      </c>
      <c r="M34" s="4">
        <v>5205</v>
      </c>
      <c r="N34" s="3">
        <f t="shared" si="0"/>
        <v>26166</v>
      </c>
      <c r="O34" s="4">
        <v>4</v>
      </c>
      <c r="P34" s="4">
        <v>11</v>
      </c>
      <c r="Q34" s="4">
        <v>3</v>
      </c>
      <c r="R34" s="4">
        <v>5</v>
      </c>
      <c r="S34" s="4">
        <v>1</v>
      </c>
      <c r="T34" s="4">
        <v>0</v>
      </c>
      <c r="U34" s="4">
        <v>2</v>
      </c>
      <c r="V34" s="4">
        <v>2</v>
      </c>
      <c r="W34" s="4">
        <v>5</v>
      </c>
      <c r="X34" s="4">
        <v>1</v>
      </c>
      <c r="Y34" s="4">
        <v>0</v>
      </c>
      <c r="Z34" s="4">
        <v>0</v>
      </c>
      <c r="AA34" s="3">
        <f t="shared" si="1"/>
        <v>34</v>
      </c>
      <c r="AB34" t="s">
        <v>63</v>
      </c>
      <c r="AC34">
        <v>130.02000000000001</v>
      </c>
      <c r="AD34">
        <v>20.97</v>
      </c>
      <c r="AE34">
        <v>0.27</v>
      </c>
      <c r="AF34">
        <v>64.77</v>
      </c>
      <c r="AG34">
        <v>18.350000000000001</v>
      </c>
      <c r="AH34">
        <v>0.1</v>
      </c>
      <c r="AI34">
        <v>75.459999999999994</v>
      </c>
      <c r="AJ34">
        <v>33.119999999999997</v>
      </c>
      <c r="AK34">
        <v>15.19</v>
      </c>
      <c r="AL34">
        <v>64.03</v>
      </c>
      <c r="AM34">
        <v>0</v>
      </c>
      <c r="AN34">
        <v>104.1</v>
      </c>
      <c r="AO34" s="1">
        <v>526.38</v>
      </c>
    </row>
    <row r="35" spans="1:41" x14ac:dyDescent="0.25">
      <c r="A35" t="s">
        <v>194</v>
      </c>
      <c r="B35" s="4">
        <v>6402</v>
      </c>
      <c r="C35" s="4">
        <v>440</v>
      </c>
      <c r="D35" s="4">
        <v>8</v>
      </c>
      <c r="E35" s="4">
        <v>8112</v>
      </c>
      <c r="F35" s="4">
        <v>0</v>
      </c>
      <c r="G35" s="4">
        <v>2927</v>
      </c>
      <c r="H35" s="4">
        <v>105</v>
      </c>
      <c r="I35" s="4">
        <v>3038</v>
      </c>
      <c r="J35" s="4">
        <v>1427</v>
      </c>
      <c r="K35" s="4">
        <v>1022</v>
      </c>
      <c r="L35" s="4">
        <v>2595</v>
      </c>
      <c r="M35" s="4">
        <v>3311</v>
      </c>
      <c r="N35" s="3">
        <f t="shared" si="0"/>
        <v>29387</v>
      </c>
      <c r="O35" s="4">
        <v>3</v>
      </c>
      <c r="P35" s="4">
        <v>3</v>
      </c>
      <c r="Q35" s="4">
        <v>3</v>
      </c>
      <c r="R35" s="4">
        <v>1</v>
      </c>
      <c r="S35" s="4">
        <v>7</v>
      </c>
      <c r="T35" s="4">
        <v>2</v>
      </c>
      <c r="U35" s="4">
        <v>3</v>
      </c>
      <c r="V35" s="4">
        <v>4</v>
      </c>
      <c r="W35" s="4">
        <v>5</v>
      </c>
      <c r="X35" s="4">
        <v>1</v>
      </c>
      <c r="Y35" s="4">
        <v>3</v>
      </c>
      <c r="Z35" s="4">
        <v>0</v>
      </c>
      <c r="AA35" s="3">
        <f t="shared" si="1"/>
        <v>35</v>
      </c>
      <c r="AB35" t="s">
        <v>63</v>
      </c>
      <c r="AC35">
        <v>128.31</v>
      </c>
      <c r="AD35">
        <v>9.07</v>
      </c>
      <c r="AE35">
        <v>0.43</v>
      </c>
      <c r="AF35">
        <v>162.33000000000001</v>
      </c>
      <c r="AG35">
        <v>0.63</v>
      </c>
      <c r="AH35">
        <v>58.72</v>
      </c>
      <c r="AI35">
        <v>2.37</v>
      </c>
      <c r="AJ35">
        <v>61.12</v>
      </c>
      <c r="AK35">
        <v>28.99</v>
      </c>
      <c r="AL35">
        <v>20.53</v>
      </c>
      <c r="AM35">
        <v>52.17</v>
      </c>
      <c r="AN35">
        <v>66.22</v>
      </c>
      <c r="AO35" s="1">
        <v>590.89</v>
      </c>
    </row>
    <row r="36" spans="1:41" x14ac:dyDescent="0.25">
      <c r="A36" t="s">
        <v>195</v>
      </c>
      <c r="B36" s="4">
        <v>6388</v>
      </c>
      <c r="C36" s="4">
        <v>1313</v>
      </c>
      <c r="D36" s="4">
        <v>48</v>
      </c>
      <c r="E36" s="4">
        <v>8772</v>
      </c>
      <c r="F36" s="4">
        <v>4772</v>
      </c>
      <c r="G36" s="4">
        <v>3451</v>
      </c>
      <c r="H36" s="4">
        <v>0</v>
      </c>
      <c r="I36" s="4">
        <v>1885</v>
      </c>
      <c r="J36" s="4">
        <v>3002</v>
      </c>
      <c r="K36" s="4">
        <v>672</v>
      </c>
      <c r="L36" s="4">
        <v>2405</v>
      </c>
      <c r="M36" s="4">
        <v>2179</v>
      </c>
      <c r="N36" s="3">
        <f t="shared" si="0"/>
        <v>34887</v>
      </c>
      <c r="O36" s="4">
        <v>13</v>
      </c>
      <c r="P36" s="4">
        <v>2</v>
      </c>
      <c r="Q36" s="4">
        <v>2</v>
      </c>
      <c r="R36" s="4">
        <v>3</v>
      </c>
      <c r="S36" s="4">
        <v>4</v>
      </c>
      <c r="T36" s="4">
        <v>5</v>
      </c>
      <c r="U36" s="4">
        <v>0</v>
      </c>
      <c r="V36" s="4">
        <v>2</v>
      </c>
      <c r="W36" s="4">
        <v>3</v>
      </c>
      <c r="X36" s="4">
        <v>12</v>
      </c>
      <c r="Y36" s="4">
        <v>5</v>
      </c>
      <c r="Z36" s="4">
        <v>3</v>
      </c>
      <c r="AA36" s="3">
        <f t="shared" si="1"/>
        <v>54</v>
      </c>
      <c r="AB36" t="s">
        <v>63</v>
      </c>
      <c r="AC36">
        <v>128.93</v>
      </c>
      <c r="AD36">
        <v>26.44</v>
      </c>
      <c r="AE36">
        <v>1.1399999999999999</v>
      </c>
      <c r="AF36">
        <v>175.71</v>
      </c>
      <c r="AG36">
        <v>95.8</v>
      </c>
      <c r="AH36">
        <v>69.47</v>
      </c>
      <c r="AI36">
        <v>0</v>
      </c>
      <c r="AJ36">
        <v>37.880000000000003</v>
      </c>
      <c r="AK36">
        <v>60.31</v>
      </c>
      <c r="AL36">
        <v>14.52</v>
      </c>
      <c r="AM36">
        <v>48.55</v>
      </c>
      <c r="AN36">
        <v>43.85</v>
      </c>
      <c r="AO36" s="1">
        <v>702.6</v>
      </c>
    </row>
    <row r="37" spans="1:41" x14ac:dyDescent="0.25">
      <c r="A37" t="s">
        <v>196</v>
      </c>
      <c r="B37" s="4">
        <v>6339</v>
      </c>
      <c r="C37" s="4">
        <v>5450</v>
      </c>
      <c r="D37" s="4">
        <v>5561</v>
      </c>
      <c r="E37" s="4">
        <v>2859</v>
      </c>
      <c r="F37" s="4">
        <v>663</v>
      </c>
      <c r="G37" s="4">
        <v>400</v>
      </c>
      <c r="H37" s="4">
        <v>3116</v>
      </c>
      <c r="I37" s="4">
        <v>1114</v>
      </c>
      <c r="J37" s="4">
        <v>2175</v>
      </c>
      <c r="K37" s="4">
        <v>2611</v>
      </c>
      <c r="L37" s="4">
        <v>4149</v>
      </c>
      <c r="M37" s="4">
        <v>0</v>
      </c>
      <c r="N37" s="3">
        <f t="shared" si="0"/>
        <v>34437</v>
      </c>
      <c r="O37" s="4">
        <v>5</v>
      </c>
      <c r="P37" s="4">
        <v>6</v>
      </c>
      <c r="Q37" s="4">
        <v>10</v>
      </c>
      <c r="R37" s="4">
        <v>0</v>
      </c>
      <c r="S37" s="4">
        <v>0</v>
      </c>
      <c r="T37" s="4">
        <v>11</v>
      </c>
      <c r="U37" s="4">
        <v>4</v>
      </c>
      <c r="V37" s="4">
        <v>3</v>
      </c>
      <c r="W37" s="4">
        <v>5</v>
      </c>
      <c r="X37" s="4">
        <v>5</v>
      </c>
      <c r="Y37" s="4">
        <v>12</v>
      </c>
      <c r="Z37" s="4">
        <v>24</v>
      </c>
      <c r="AA37" s="3">
        <f t="shared" si="1"/>
        <v>85</v>
      </c>
      <c r="AB37" t="s">
        <v>63</v>
      </c>
      <c r="AC37">
        <v>127.23</v>
      </c>
      <c r="AD37">
        <v>109.54</v>
      </c>
      <c r="AE37">
        <v>112.12</v>
      </c>
      <c r="AF37">
        <v>57.18</v>
      </c>
      <c r="AG37">
        <v>13.26</v>
      </c>
      <c r="AH37">
        <v>8.99</v>
      </c>
      <c r="AI37">
        <v>62.68</v>
      </c>
      <c r="AJ37">
        <v>22.55</v>
      </c>
      <c r="AK37">
        <v>43.95</v>
      </c>
      <c r="AL37">
        <v>52.67</v>
      </c>
      <c r="AM37">
        <v>84.06</v>
      </c>
      <c r="AN37">
        <v>2.16</v>
      </c>
      <c r="AO37" s="1">
        <v>696.39</v>
      </c>
    </row>
    <row r="38" spans="1:41" x14ac:dyDescent="0.25">
      <c r="A38" t="s">
        <v>197</v>
      </c>
      <c r="B38" s="4">
        <v>6335</v>
      </c>
      <c r="C38" s="4">
        <v>0</v>
      </c>
      <c r="D38" s="4">
        <v>124</v>
      </c>
      <c r="E38" s="4">
        <v>1517</v>
      </c>
      <c r="F38" s="4">
        <v>4509</v>
      </c>
      <c r="G38" s="4">
        <v>643</v>
      </c>
      <c r="H38" s="4">
        <v>428</v>
      </c>
      <c r="I38" s="4">
        <v>739</v>
      </c>
      <c r="J38" s="4">
        <v>1517</v>
      </c>
      <c r="K38" s="4">
        <v>568</v>
      </c>
      <c r="L38" s="4">
        <v>1195</v>
      </c>
      <c r="M38" s="4">
        <v>4587</v>
      </c>
      <c r="N38" s="3">
        <f t="shared" si="0"/>
        <v>22162</v>
      </c>
      <c r="O38" s="4">
        <v>9</v>
      </c>
      <c r="P38" s="4">
        <v>2</v>
      </c>
      <c r="Q38" s="4">
        <v>1</v>
      </c>
      <c r="R38" s="4">
        <v>7</v>
      </c>
      <c r="S38" s="4">
        <v>9</v>
      </c>
      <c r="T38" s="4">
        <v>5</v>
      </c>
      <c r="U38" s="4">
        <v>2</v>
      </c>
      <c r="V38" s="4">
        <v>6</v>
      </c>
      <c r="W38" s="4">
        <v>9</v>
      </c>
      <c r="X38" s="4">
        <v>2</v>
      </c>
      <c r="Y38" s="4">
        <v>7</v>
      </c>
      <c r="Z38" s="4">
        <v>5</v>
      </c>
      <c r="AA38" s="3">
        <f t="shared" si="1"/>
        <v>64</v>
      </c>
      <c r="AB38" t="s">
        <v>63</v>
      </c>
      <c r="AC38">
        <v>127.51</v>
      </c>
      <c r="AD38">
        <v>0.18</v>
      </c>
      <c r="AE38">
        <v>2.57</v>
      </c>
      <c r="AF38">
        <v>30.97</v>
      </c>
      <c r="AG38">
        <v>90.99</v>
      </c>
      <c r="AH38">
        <v>13.31</v>
      </c>
      <c r="AI38">
        <v>8.74</v>
      </c>
      <c r="AJ38">
        <v>15.32</v>
      </c>
      <c r="AK38">
        <v>31.15</v>
      </c>
      <c r="AL38">
        <v>11.54</v>
      </c>
      <c r="AM38">
        <v>24.53</v>
      </c>
      <c r="AN38">
        <v>92.19</v>
      </c>
      <c r="AO38" s="1">
        <v>449.00000000000006</v>
      </c>
    </row>
    <row r="39" spans="1:41" x14ac:dyDescent="0.25">
      <c r="A39" t="s">
        <v>204</v>
      </c>
      <c r="B39" s="4">
        <v>6105</v>
      </c>
      <c r="C39" s="4">
        <v>5370</v>
      </c>
      <c r="D39" s="4">
        <v>295</v>
      </c>
      <c r="E39" s="4">
        <v>584</v>
      </c>
      <c r="F39" s="4">
        <v>1802</v>
      </c>
      <c r="G39" s="4">
        <v>0</v>
      </c>
      <c r="H39" s="4">
        <v>6012</v>
      </c>
      <c r="I39" s="4">
        <v>2773</v>
      </c>
      <c r="J39" s="4">
        <v>4063</v>
      </c>
      <c r="K39" s="4">
        <v>6087</v>
      </c>
      <c r="L39" s="4">
        <v>1444</v>
      </c>
      <c r="M39" s="4">
        <v>250</v>
      </c>
      <c r="N39" s="3">
        <f t="shared" si="0"/>
        <v>34785</v>
      </c>
      <c r="O39" s="4">
        <v>2</v>
      </c>
      <c r="P39" s="4">
        <v>6</v>
      </c>
      <c r="Q39" s="4">
        <v>2</v>
      </c>
      <c r="R39" s="4">
        <v>1</v>
      </c>
      <c r="S39" s="4">
        <v>2</v>
      </c>
      <c r="T39" s="4">
        <v>0</v>
      </c>
      <c r="U39" s="4">
        <v>7</v>
      </c>
      <c r="V39" s="4">
        <v>3</v>
      </c>
      <c r="W39" s="4">
        <v>0</v>
      </c>
      <c r="X39" s="4">
        <v>0</v>
      </c>
      <c r="Y39" s="4">
        <v>11</v>
      </c>
      <c r="Z39" s="4">
        <v>3</v>
      </c>
      <c r="AA39" s="3">
        <f t="shared" si="1"/>
        <v>37</v>
      </c>
      <c r="AB39" t="s">
        <v>63</v>
      </c>
      <c r="AC39">
        <v>122.28</v>
      </c>
      <c r="AD39">
        <v>107.94</v>
      </c>
      <c r="AE39">
        <v>6.08</v>
      </c>
      <c r="AF39">
        <v>11.77</v>
      </c>
      <c r="AG39">
        <v>36.22</v>
      </c>
      <c r="AH39">
        <v>0</v>
      </c>
      <c r="AI39">
        <v>120.87</v>
      </c>
      <c r="AJ39">
        <v>55.73</v>
      </c>
      <c r="AK39">
        <v>81.260000000000005</v>
      </c>
      <c r="AL39">
        <v>121.74</v>
      </c>
      <c r="AM39">
        <v>29.87</v>
      </c>
      <c r="AN39">
        <v>5.27</v>
      </c>
      <c r="AO39" s="1">
        <v>699.03000000000009</v>
      </c>
    </row>
    <row r="40" spans="1:41" x14ac:dyDescent="0.25">
      <c r="A40" t="s">
        <v>210</v>
      </c>
      <c r="B40" s="4">
        <v>5997</v>
      </c>
      <c r="C40" s="4">
        <v>1882</v>
      </c>
      <c r="D40" s="4">
        <v>514</v>
      </c>
      <c r="E40" s="4">
        <v>1202</v>
      </c>
      <c r="F40" s="4">
        <v>10996</v>
      </c>
      <c r="G40" s="4">
        <v>1316</v>
      </c>
      <c r="H40" s="4">
        <v>5892</v>
      </c>
      <c r="I40" s="4">
        <v>1759</v>
      </c>
      <c r="J40" s="4">
        <v>14454</v>
      </c>
      <c r="K40" s="4">
        <v>2186</v>
      </c>
      <c r="L40" s="4">
        <v>2057</v>
      </c>
      <c r="M40" s="4">
        <v>3261</v>
      </c>
      <c r="N40" s="3">
        <f t="shared" si="0"/>
        <v>51516</v>
      </c>
      <c r="O40" s="4">
        <v>4</v>
      </c>
      <c r="P40" s="4">
        <v>2</v>
      </c>
      <c r="Q40" s="4">
        <v>2</v>
      </c>
      <c r="R40" s="4">
        <v>3</v>
      </c>
      <c r="S40" s="4">
        <v>0</v>
      </c>
      <c r="T40" s="4">
        <v>1</v>
      </c>
      <c r="U40" s="4">
        <v>20</v>
      </c>
      <c r="V40" s="4">
        <v>3</v>
      </c>
      <c r="W40" s="4">
        <v>3</v>
      </c>
      <c r="X40" s="4">
        <v>6</v>
      </c>
      <c r="Y40" s="4">
        <v>3</v>
      </c>
      <c r="Z40" s="4">
        <v>14</v>
      </c>
      <c r="AA40" s="3">
        <f t="shared" si="1"/>
        <v>61</v>
      </c>
      <c r="AB40" t="s">
        <v>63</v>
      </c>
      <c r="AC40">
        <v>120.3</v>
      </c>
      <c r="AD40">
        <v>37.82</v>
      </c>
      <c r="AE40">
        <v>10.46</v>
      </c>
      <c r="AF40">
        <v>24.31</v>
      </c>
      <c r="AG40">
        <v>219.92</v>
      </c>
      <c r="AH40">
        <v>26.41</v>
      </c>
      <c r="AI40">
        <v>119.64</v>
      </c>
      <c r="AJ40">
        <v>35.450000000000003</v>
      </c>
      <c r="AK40">
        <v>289.35000000000002</v>
      </c>
      <c r="AL40">
        <v>44.26</v>
      </c>
      <c r="AM40">
        <v>41.41</v>
      </c>
      <c r="AN40">
        <v>66.48</v>
      </c>
      <c r="AO40" s="1">
        <v>1035.81</v>
      </c>
    </row>
    <row r="41" spans="1:41" x14ac:dyDescent="0.25">
      <c r="A41" t="s">
        <v>216</v>
      </c>
      <c r="B41" s="4">
        <v>5936</v>
      </c>
      <c r="C41" s="4">
        <v>121</v>
      </c>
      <c r="D41" s="4">
        <v>1559</v>
      </c>
      <c r="E41" s="4">
        <v>1327</v>
      </c>
      <c r="F41" s="4">
        <v>1460</v>
      </c>
      <c r="G41" s="4">
        <v>1920</v>
      </c>
      <c r="H41" s="4">
        <v>11514</v>
      </c>
      <c r="I41" s="4">
        <v>2998</v>
      </c>
      <c r="J41" s="4">
        <v>4943</v>
      </c>
      <c r="K41" s="4">
        <v>1517</v>
      </c>
      <c r="L41" s="4">
        <v>1056</v>
      </c>
      <c r="M41" s="4">
        <v>1802</v>
      </c>
      <c r="N41" s="3">
        <f t="shared" si="0"/>
        <v>36153</v>
      </c>
      <c r="O41" s="4">
        <v>3</v>
      </c>
      <c r="P41" s="4">
        <v>5</v>
      </c>
      <c r="Q41" s="4">
        <v>4</v>
      </c>
      <c r="R41" s="4">
        <v>5</v>
      </c>
      <c r="S41" s="4">
        <v>3</v>
      </c>
      <c r="T41" s="4">
        <v>12</v>
      </c>
      <c r="U41" s="4">
        <v>5</v>
      </c>
      <c r="V41" s="4">
        <v>2</v>
      </c>
      <c r="W41" s="4">
        <v>0</v>
      </c>
      <c r="X41" s="4">
        <v>1</v>
      </c>
      <c r="Y41" s="4">
        <v>2</v>
      </c>
      <c r="Z41" s="4">
        <v>3</v>
      </c>
      <c r="AA41" s="3">
        <f t="shared" si="1"/>
        <v>45</v>
      </c>
      <c r="AB41" t="s">
        <v>63</v>
      </c>
      <c r="AC41">
        <v>118.99</v>
      </c>
      <c r="AD41">
        <v>2.87</v>
      </c>
      <c r="AE41">
        <v>31.54</v>
      </c>
      <c r="AF41">
        <v>26.99</v>
      </c>
      <c r="AG41">
        <v>29.47</v>
      </c>
      <c r="AH41">
        <v>39.479999999999997</v>
      </c>
      <c r="AI41">
        <v>230.73</v>
      </c>
      <c r="AJ41">
        <v>60.14</v>
      </c>
      <c r="AK41">
        <v>98.86</v>
      </c>
      <c r="AL41">
        <v>30.43</v>
      </c>
      <c r="AM41">
        <v>21.3</v>
      </c>
      <c r="AN41">
        <v>36.31</v>
      </c>
      <c r="AO41" s="1">
        <v>727.1099999999999</v>
      </c>
    </row>
    <row r="42" spans="1:41" x14ac:dyDescent="0.25">
      <c r="A42" t="s">
        <v>217</v>
      </c>
      <c r="B42" s="4">
        <v>5913</v>
      </c>
      <c r="C42" s="4">
        <v>19</v>
      </c>
      <c r="D42" s="4">
        <v>2433</v>
      </c>
      <c r="E42" s="4">
        <v>463</v>
      </c>
      <c r="F42" s="4">
        <v>2103</v>
      </c>
      <c r="G42" s="4">
        <v>947</v>
      </c>
      <c r="H42" s="4">
        <v>6323</v>
      </c>
      <c r="I42" s="4">
        <v>8480</v>
      </c>
      <c r="J42" s="4">
        <v>3891</v>
      </c>
      <c r="K42" s="4">
        <v>1423</v>
      </c>
      <c r="L42" s="4">
        <v>330</v>
      </c>
      <c r="M42" s="4">
        <v>9327</v>
      </c>
      <c r="N42" s="3">
        <f t="shared" si="0"/>
        <v>41652</v>
      </c>
      <c r="O42" s="4">
        <v>17</v>
      </c>
      <c r="P42" s="4">
        <v>6</v>
      </c>
      <c r="Q42" s="4">
        <v>1</v>
      </c>
      <c r="R42" s="4">
        <v>5</v>
      </c>
      <c r="S42" s="4">
        <v>0</v>
      </c>
      <c r="T42" s="4">
        <v>15</v>
      </c>
      <c r="U42" s="4">
        <v>1</v>
      </c>
      <c r="V42" s="4">
        <v>5</v>
      </c>
      <c r="W42" s="4">
        <v>1</v>
      </c>
      <c r="X42" s="4">
        <v>6</v>
      </c>
      <c r="Y42" s="4">
        <v>5</v>
      </c>
      <c r="Z42" s="4">
        <v>3</v>
      </c>
      <c r="AA42" s="3">
        <f t="shared" si="1"/>
        <v>65</v>
      </c>
      <c r="AB42" t="s">
        <v>63</v>
      </c>
      <c r="AC42">
        <v>119.79</v>
      </c>
      <c r="AD42">
        <v>0.92</v>
      </c>
      <c r="AE42">
        <v>48.75</v>
      </c>
      <c r="AF42">
        <v>9.7100000000000009</v>
      </c>
      <c r="AG42">
        <v>42.06</v>
      </c>
      <c r="AH42">
        <v>20.29</v>
      </c>
      <c r="AI42">
        <v>126.55</v>
      </c>
      <c r="AJ42">
        <v>170.05</v>
      </c>
      <c r="AK42">
        <v>77.91</v>
      </c>
      <c r="AL42">
        <v>29</v>
      </c>
      <c r="AM42">
        <v>7.05</v>
      </c>
      <c r="AN42">
        <v>186.81</v>
      </c>
      <c r="AO42" s="1">
        <v>838.88999999999987</v>
      </c>
    </row>
    <row r="43" spans="1:41" x14ac:dyDescent="0.25">
      <c r="A43" t="s">
        <v>221</v>
      </c>
      <c r="B43" s="4">
        <v>5822</v>
      </c>
      <c r="C43" s="4">
        <v>762</v>
      </c>
      <c r="D43" s="4">
        <v>3645</v>
      </c>
      <c r="E43" s="4">
        <v>172</v>
      </c>
      <c r="F43" s="4">
        <v>1218</v>
      </c>
      <c r="G43" s="4">
        <v>2716</v>
      </c>
      <c r="H43" s="4">
        <v>4005</v>
      </c>
      <c r="I43" s="4">
        <v>0</v>
      </c>
      <c r="J43" s="4">
        <v>2831</v>
      </c>
      <c r="K43" s="4">
        <v>3231</v>
      </c>
      <c r="L43" s="4">
        <v>1108</v>
      </c>
      <c r="M43" s="4">
        <v>2572</v>
      </c>
      <c r="N43" s="3">
        <f t="shared" si="0"/>
        <v>28082</v>
      </c>
      <c r="O43" s="4">
        <v>1</v>
      </c>
      <c r="P43" s="4">
        <v>5</v>
      </c>
      <c r="Q43" s="4">
        <v>2</v>
      </c>
      <c r="R43" s="4">
        <v>2</v>
      </c>
      <c r="S43" s="4">
        <v>5</v>
      </c>
      <c r="T43" s="4">
        <v>1</v>
      </c>
      <c r="U43" s="4">
        <v>7</v>
      </c>
      <c r="V43" s="4">
        <v>2</v>
      </c>
      <c r="W43" s="4">
        <v>2</v>
      </c>
      <c r="X43" s="4">
        <v>7</v>
      </c>
      <c r="Y43" s="4">
        <v>2</v>
      </c>
      <c r="Z43" s="4">
        <v>2</v>
      </c>
      <c r="AA43" s="3">
        <f t="shared" si="1"/>
        <v>38</v>
      </c>
      <c r="AB43" t="s">
        <v>63</v>
      </c>
      <c r="AC43">
        <v>116.53</v>
      </c>
      <c r="AD43">
        <v>15.69</v>
      </c>
      <c r="AE43">
        <v>73.08</v>
      </c>
      <c r="AF43">
        <v>3.62</v>
      </c>
      <c r="AG43">
        <v>24.81</v>
      </c>
      <c r="AH43">
        <v>54.41</v>
      </c>
      <c r="AI43">
        <v>80.73</v>
      </c>
      <c r="AJ43">
        <v>0.18</v>
      </c>
      <c r="AK43">
        <v>56.8</v>
      </c>
      <c r="AL43">
        <v>65.25</v>
      </c>
      <c r="AM43">
        <v>22.34</v>
      </c>
      <c r="AN43">
        <v>51.62</v>
      </c>
      <c r="AO43" s="1">
        <v>565.06000000000006</v>
      </c>
    </row>
    <row r="44" spans="1:41" x14ac:dyDescent="0.25">
      <c r="A44" t="s">
        <v>224</v>
      </c>
      <c r="B44" s="4">
        <v>5776</v>
      </c>
      <c r="C44" s="4">
        <v>9339</v>
      </c>
      <c r="D44" s="4">
        <v>3246</v>
      </c>
      <c r="E44" s="4">
        <v>0</v>
      </c>
      <c r="F44" s="4">
        <v>1849</v>
      </c>
      <c r="G44" s="4">
        <v>723</v>
      </c>
      <c r="H44" s="4">
        <v>3973</v>
      </c>
      <c r="I44" s="4">
        <v>992</v>
      </c>
      <c r="J44" s="4">
        <v>1492</v>
      </c>
      <c r="K44" s="4">
        <v>2015</v>
      </c>
      <c r="L44" s="4">
        <v>1489</v>
      </c>
      <c r="M44" s="4">
        <v>2206</v>
      </c>
      <c r="N44" s="3">
        <f t="shared" si="0"/>
        <v>33100</v>
      </c>
      <c r="O44" s="4">
        <v>2</v>
      </c>
      <c r="P44" s="4">
        <v>2</v>
      </c>
      <c r="Q44" s="4">
        <v>3</v>
      </c>
      <c r="R44" s="4">
        <v>4</v>
      </c>
      <c r="S44" s="4">
        <v>0</v>
      </c>
      <c r="T44" s="4">
        <v>3</v>
      </c>
      <c r="U44" s="4">
        <v>5</v>
      </c>
      <c r="V44" s="4">
        <v>15</v>
      </c>
      <c r="W44" s="4">
        <v>3</v>
      </c>
      <c r="X44" s="4">
        <v>1</v>
      </c>
      <c r="Y44" s="4">
        <v>0</v>
      </c>
      <c r="Z44" s="4">
        <v>12</v>
      </c>
      <c r="AA44" s="3">
        <f t="shared" si="1"/>
        <v>50</v>
      </c>
      <c r="AB44" t="s">
        <v>63</v>
      </c>
      <c r="AC44">
        <v>115.7</v>
      </c>
      <c r="AD44">
        <v>186.96</v>
      </c>
      <c r="AE44">
        <v>65.19</v>
      </c>
      <c r="AF44">
        <v>0.36</v>
      </c>
      <c r="AG44">
        <v>36.979999999999997</v>
      </c>
      <c r="AH44">
        <v>14.73</v>
      </c>
      <c r="AI44">
        <v>79.91</v>
      </c>
      <c r="AJ44">
        <v>21.19</v>
      </c>
      <c r="AK44">
        <v>30.11</v>
      </c>
      <c r="AL44">
        <v>40.39</v>
      </c>
      <c r="AM44">
        <v>29.78</v>
      </c>
      <c r="AN44">
        <v>45.2</v>
      </c>
      <c r="AO44" s="1">
        <v>666.50000000000011</v>
      </c>
    </row>
    <row r="45" spans="1:41" x14ac:dyDescent="0.25">
      <c r="A45" t="s">
        <v>225</v>
      </c>
      <c r="B45" s="4">
        <v>5751</v>
      </c>
      <c r="C45" s="4">
        <v>363</v>
      </c>
      <c r="D45" s="4">
        <v>1423</v>
      </c>
      <c r="E45" s="4">
        <v>296</v>
      </c>
      <c r="F45" s="4">
        <v>3890</v>
      </c>
      <c r="G45" s="4">
        <v>0</v>
      </c>
      <c r="H45" s="4">
        <v>769</v>
      </c>
      <c r="I45" s="4">
        <v>7827</v>
      </c>
      <c r="J45" s="4">
        <v>3591</v>
      </c>
      <c r="K45" s="4">
        <v>7787</v>
      </c>
      <c r="L45" s="4">
        <v>767</v>
      </c>
      <c r="M45" s="4">
        <v>2684</v>
      </c>
      <c r="N45" s="3">
        <f t="shared" si="0"/>
        <v>35148</v>
      </c>
      <c r="O45" s="4">
        <v>2</v>
      </c>
      <c r="P45" s="4">
        <v>0</v>
      </c>
      <c r="Q45" s="4">
        <v>10</v>
      </c>
      <c r="R45" s="4">
        <v>2</v>
      </c>
      <c r="S45" s="4">
        <v>5</v>
      </c>
      <c r="T45" s="4">
        <v>0</v>
      </c>
      <c r="U45" s="4">
        <v>10</v>
      </c>
      <c r="V45" s="4">
        <v>10</v>
      </c>
      <c r="W45" s="4">
        <v>6</v>
      </c>
      <c r="X45" s="4">
        <v>7</v>
      </c>
      <c r="Y45" s="4">
        <v>0</v>
      </c>
      <c r="Z45" s="4">
        <v>18</v>
      </c>
      <c r="AA45" s="3">
        <f t="shared" si="1"/>
        <v>70</v>
      </c>
      <c r="AB45" t="s">
        <v>63</v>
      </c>
      <c r="AC45">
        <v>115.2</v>
      </c>
      <c r="AD45">
        <v>7.26</v>
      </c>
      <c r="AE45">
        <v>29.36</v>
      </c>
      <c r="AF45">
        <v>6.1</v>
      </c>
      <c r="AG45">
        <v>78.25</v>
      </c>
      <c r="AH45">
        <v>0</v>
      </c>
      <c r="AI45">
        <v>16.28</v>
      </c>
      <c r="AJ45">
        <v>157.44</v>
      </c>
      <c r="AK45">
        <v>72.36</v>
      </c>
      <c r="AL45">
        <v>156.37</v>
      </c>
      <c r="AM45">
        <v>15.34</v>
      </c>
      <c r="AN45">
        <v>55.3</v>
      </c>
      <c r="AO45" s="1">
        <v>709.26</v>
      </c>
    </row>
    <row r="46" spans="1:41" x14ac:dyDescent="0.25">
      <c r="A46" t="s">
        <v>230</v>
      </c>
      <c r="B46" s="4">
        <v>5621</v>
      </c>
      <c r="C46" s="4">
        <v>1937</v>
      </c>
      <c r="D46" s="4">
        <v>0</v>
      </c>
      <c r="E46" s="4">
        <v>0</v>
      </c>
      <c r="F46" s="4">
        <v>3360</v>
      </c>
      <c r="G46" s="4">
        <v>2746</v>
      </c>
      <c r="H46" s="4">
        <v>649</v>
      </c>
      <c r="I46" s="4">
        <v>5732</v>
      </c>
      <c r="J46" s="4">
        <v>4009</v>
      </c>
      <c r="K46" s="4">
        <v>1862</v>
      </c>
      <c r="L46" s="4">
        <v>4750</v>
      </c>
      <c r="M46" s="4">
        <v>458</v>
      </c>
      <c r="N46" s="3">
        <f t="shared" si="0"/>
        <v>31124</v>
      </c>
      <c r="O46" s="4">
        <v>2</v>
      </c>
      <c r="P46" s="4">
        <v>3</v>
      </c>
      <c r="Q46" s="4">
        <v>4</v>
      </c>
      <c r="R46" s="4">
        <v>3</v>
      </c>
      <c r="S46" s="4">
        <v>0</v>
      </c>
      <c r="T46" s="4">
        <v>2</v>
      </c>
      <c r="U46" s="4">
        <v>1</v>
      </c>
      <c r="V46" s="4">
        <v>1</v>
      </c>
      <c r="W46" s="4">
        <v>7</v>
      </c>
      <c r="X46" s="4">
        <v>2</v>
      </c>
      <c r="Y46" s="4">
        <v>0</v>
      </c>
      <c r="Z46" s="4">
        <v>2</v>
      </c>
      <c r="AA46" s="3">
        <f t="shared" si="1"/>
        <v>27</v>
      </c>
      <c r="AB46" t="s">
        <v>63</v>
      </c>
      <c r="AC46">
        <v>112.6</v>
      </c>
      <c r="AD46">
        <v>39.01</v>
      </c>
      <c r="AE46">
        <v>0.36</v>
      </c>
      <c r="AF46">
        <v>0.27</v>
      </c>
      <c r="AG46">
        <v>67.2</v>
      </c>
      <c r="AH46">
        <v>55.1</v>
      </c>
      <c r="AI46">
        <v>13.07</v>
      </c>
      <c r="AJ46">
        <v>114.73</v>
      </c>
      <c r="AK46">
        <v>80.81</v>
      </c>
      <c r="AL46">
        <v>37.42</v>
      </c>
      <c r="AM46">
        <v>95</v>
      </c>
      <c r="AN46">
        <v>9.34</v>
      </c>
      <c r="AO46" s="1">
        <v>624.91000000000008</v>
      </c>
    </row>
    <row r="47" spans="1:41" x14ac:dyDescent="0.25">
      <c r="A47" t="s">
        <v>233</v>
      </c>
      <c r="B47" s="4">
        <v>5569</v>
      </c>
      <c r="C47" s="4">
        <v>4725</v>
      </c>
      <c r="D47" s="4">
        <v>2671</v>
      </c>
      <c r="E47" s="4">
        <v>13029</v>
      </c>
      <c r="F47" s="4">
        <v>731</v>
      </c>
      <c r="G47" s="4">
        <v>0</v>
      </c>
      <c r="H47" s="4">
        <v>568</v>
      </c>
      <c r="I47" s="4">
        <v>1103</v>
      </c>
      <c r="J47" s="4">
        <v>4466</v>
      </c>
      <c r="K47" s="4">
        <v>1019</v>
      </c>
      <c r="L47" s="4">
        <v>1350</v>
      </c>
      <c r="M47" s="4">
        <v>476</v>
      </c>
      <c r="N47" s="3">
        <f t="shared" si="0"/>
        <v>35707</v>
      </c>
      <c r="O47" s="4">
        <v>6</v>
      </c>
      <c r="P47" s="4">
        <v>4</v>
      </c>
      <c r="Q47" s="4">
        <v>0</v>
      </c>
      <c r="R47" s="4">
        <v>6</v>
      </c>
      <c r="S47" s="4">
        <v>3</v>
      </c>
      <c r="T47" s="4">
        <v>0</v>
      </c>
      <c r="U47" s="4">
        <v>3</v>
      </c>
      <c r="V47" s="4">
        <v>5</v>
      </c>
      <c r="W47" s="4">
        <v>2</v>
      </c>
      <c r="X47" s="4">
        <v>2</v>
      </c>
      <c r="Y47" s="4">
        <v>2</v>
      </c>
      <c r="Z47" s="4">
        <v>6</v>
      </c>
      <c r="AA47" s="3">
        <f t="shared" si="1"/>
        <v>39</v>
      </c>
      <c r="AB47" t="s">
        <v>63</v>
      </c>
      <c r="AC47">
        <v>111.92</v>
      </c>
      <c r="AD47">
        <v>94.86</v>
      </c>
      <c r="AE47">
        <v>53.42</v>
      </c>
      <c r="AF47">
        <v>261.12</v>
      </c>
      <c r="AG47">
        <v>14.89</v>
      </c>
      <c r="AH47">
        <v>0</v>
      </c>
      <c r="AI47">
        <v>11.63</v>
      </c>
      <c r="AJ47">
        <v>22.51</v>
      </c>
      <c r="AK47">
        <v>89.5</v>
      </c>
      <c r="AL47">
        <v>20.56</v>
      </c>
      <c r="AM47">
        <v>27.18</v>
      </c>
      <c r="AN47">
        <v>10.06</v>
      </c>
      <c r="AO47" s="1">
        <v>717.64999999999975</v>
      </c>
    </row>
    <row r="48" spans="1:41" x14ac:dyDescent="0.25">
      <c r="A48" t="s">
        <v>236</v>
      </c>
      <c r="B48" s="4">
        <v>5479</v>
      </c>
      <c r="C48" s="4">
        <v>1140</v>
      </c>
      <c r="D48" s="4">
        <v>1316</v>
      </c>
      <c r="E48" s="4">
        <v>4056</v>
      </c>
      <c r="F48" s="4">
        <v>2951</v>
      </c>
      <c r="G48" s="4">
        <v>0</v>
      </c>
      <c r="H48" s="4">
        <v>1032</v>
      </c>
      <c r="I48" s="4">
        <v>5368</v>
      </c>
      <c r="J48" s="4">
        <v>0</v>
      </c>
      <c r="K48" s="4">
        <v>957</v>
      </c>
      <c r="L48" s="4">
        <v>6716</v>
      </c>
      <c r="M48" s="4">
        <v>3496</v>
      </c>
      <c r="N48" s="3">
        <f t="shared" si="0"/>
        <v>32511</v>
      </c>
      <c r="O48" s="4">
        <v>0</v>
      </c>
      <c r="P48" s="4">
        <v>18</v>
      </c>
      <c r="Q48" s="4">
        <v>5</v>
      </c>
      <c r="R48" s="4">
        <v>7</v>
      </c>
      <c r="S48" s="4">
        <v>2</v>
      </c>
      <c r="T48" s="4">
        <v>3</v>
      </c>
      <c r="U48" s="4">
        <v>6</v>
      </c>
      <c r="V48" s="4">
        <v>2</v>
      </c>
      <c r="W48" s="4">
        <v>6</v>
      </c>
      <c r="X48" s="4">
        <v>0</v>
      </c>
      <c r="Y48" s="4">
        <v>5</v>
      </c>
      <c r="Z48" s="4">
        <v>2</v>
      </c>
      <c r="AA48" s="3">
        <f t="shared" si="1"/>
        <v>56</v>
      </c>
      <c r="AB48" t="s">
        <v>63</v>
      </c>
      <c r="AC48">
        <v>109.58</v>
      </c>
      <c r="AD48">
        <v>24.42</v>
      </c>
      <c r="AE48">
        <v>26.77</v>
      </c>
      <c r="AF48">
        <v>81.75</v>
      </c>
      <c r="AG48">
        <v>59.2</v>
      </c>
      <c r="AH48">
        <v>0.27</v>
      </c>
      <c r="AI48">
        <v>21.18</v>
      </c>
      <c r="AJ48">
        <v>107.54</v>
      </c>
      <c r="AK48">
        <v>0.54</v>
      </c>
      <c r="AL48">
        <v>19.14</v>
      </c>
      <c r="AM48">
        <v>134.77000000000001</v>
      </c>
      <c r="AN48">
        <v>70.099999999999994</v>
      </c>
      <c r="AO48" s="1">
        <v>655.2600000000001</v>
      </c>
    </row>
    <row r="49" spans="1:41" x14ac:dyDescent="0.25">
      <c r="A49" t="s">
        <v>240</v>
      </c>
      <c r="B49" s="4">
        <v>5391</v>
      </c>
      <c r="C49" s="4">
        <v>4550</v>
      </c>
      <c r="D49" s="4">
        <v>2384</v>
      </c>
      <c r="E49" s="4">
        <v>8055</v>
      </c>
      <c r="F49" s="4">
        <v>1320</v>
      </c>
      <c r="G49" s="4">
        <v>1601</v>
      </c>
      <c r="H49" s="4">
        <v>1894</v>
      </c>
      <c r="I49" s="4">
        <v>0</v>
      </c>
      <c r="J49" s="4">
        <v>1172</v>
      </c>
      <c r="K49" s="4">
        <v>0</v>
      </c>
      <c r="L49" s="4">
        <v>10875</v>
      </c>
      <c r="M49" s="4">
        <v>8997</v>
      </c>
      <c r="N49" s="3">
        <f t="shared" si="0"/>
        <v>46239</v>
      </c>
      <c r="O49" s="4">
        <v>5</v>
      </c>
      <c r="P49" s="4">
        <v>4</v>
      </c>
      <c r="Q49" s="4">
        <v>12</v>
      </c>
      <c r="R49" s="4">
        <v>7</v>
      </c>
      <c r="S49" s="4">
        <v>2</v>
      </c>
      <c r="T49" s="4">
        <v>5</v>
      </c>
      <c r="U49" s="4">
        <v>1</v>
      </c>
      <c r="V49" s="4">
        <v>2</v>
      </c>
      <c r="W49" s="4">
        <v>2</v>
      </c>
      <c r="X49" s="4">
        <v>0</v>
      </c>
      <c r="Y49" s="4">
        <v>1</v>
      </c>
      <c r="Z49" s="4">
        <v>0</v>
      </c>
      <c r="AA49" s="3">
        <f t="shared" si="1"/>
        <v>41</v>
      </c>
      <c r="AB49" t="s">
        <v>63</v>
      </c>
      <c r="AC49">
        <v>108.27</v>
      </c>
      <c r="AD49">
        <v>91.36</v>
      </c>
      <c r="AE49">
        <v>48.76</v>
      </c>
      <c r="AF49">
        <v>161.72999999999999</v>
      </c>
      <c r="AG49">
        <v>26.58</v>
      </c>
      <c r="AH49">
        <v>32.47</v>
      </c>
      <c r="AI49">
        <v>37.97</v>
      </c>
      <c r="AJ49">
        <v>0.18</v>
      </c>
      <c r="AK49">
        <v>23.62</v>
      </c>
      <c r="AL49">
        <v>0</v>
      </c>
      <c r="AM49">
        <v>217.59</v>
      </c>
      <c r="AN49">
        <v>179.94</v>
      </c>
      <c r="AO49" s="1">
        <v>928.47</v>
      </c>
    </row>
    <row r="50" spans="1:41" x14ac:dyDescent="0.25">
      <c r="A50" t="s">
        <v>247</v>
      </c>
      <c r="B50" s="4">
        <v>5265</v>
      </c>
      <c r="C50" s="4">
        <v>1239</v>
      </c>
      <c r="D50" s="4">
        <v>6202</v>
      </c>
      <c r="E50" s="4">
        <v>875</v>
      </c>
      <c r="F50" s="4">
        <v>1849</v>
      </c>
      <c r="G50" s="4">
        <v>9228</v>
      </c>
      <c r="H50" s="4">
        <v>2512</v>
      </c>
      <c r="I50" s="4">
        <v>1666</v>
      </c>
      <c r="J50" s="4">
        <v>0</v>
      </c>
      <c r="K50" s="4">
        <v>0</v>
      </c>
      <c r="L50" s="4">
        <v>2285</v>
      </c>
      <c r="M50" s="4">
        <v>2487</v>
      </c>
      <c r="N50" s="3">
        <f t="shared" si="0"/>
        <v>33608</v>
      </c>
      <c r="O50" s="4">
        <v>1</v>
      </c>
      <c r="P50" s="4">
        <v>3</v>
      </c>
      <c r="Q50" s="4">
        <v>2</v>
      </c>
      <c r="R50" s="4">
        <v>7</v>
      </c>
      <c r="S50" s="4">
        <v>6</v>
      </c>
      <c r="T50" s="4">
        <v>3</v>
      </c>
      <c r="U50" s="4">
        <v>3</v>
      </c>
      <c r="V50" s="4">
        <v>0</v>
      </c>
      <c r="W50" s="4">
        <v>7</v>
      </c>
      <c r="X50" s="4">
        <v>2</v>
      </c>
      <c r="Y50" s="4">
        <v>0</v>
      </c>
      <c r="Z50" s="4">
        <v>3</v>
      </c>
      <c r="AA50" s="3">
        <f t="shared" si="1"/>
        <v>37</v>
      </c>
      <c r="AB50" t="s">
        <v>63</v>
      </c>
      <c r="AC50">
        <v>105.39</v>
      </c>
      <c r="AD50">
        <v>25.05</v>
      </c>
      <c r="AE50">
        <v>124.22</v>
      </c>
      <c r="AF50">
        <v>18.13</v>
      </c>
      <c r="AG50">
        <v>37.520000000000003</v>
      </c>
      <c r="AH50">
        <v>184.83</v>
      </c>
      <c r="AI50">
        <v>50.51</v>
      </c>
      <c r="AJ50">
        <v>33.32</v>
      </c>
      <c r="AK50">
        <v>0.63</v>
      </c>
      <c r="AL50">
        <v>0.18</v>
      </c>
      <c r="AM50">
        <v>45.7</v>
      </c>
      <c r="AN50">
        <v>50.01</v>
      </c>
      <c r="AO50" s="1">
        <v>675.49</v>
      </c>
    </row>
    <row r="51" spans="1:41" x14ac:dyDescent="0.25">
      <c r="A51" t="s">
        <v>257</v>
      </c>
      <c r="B51" s="4">
        <v>5111</v>
      </c>
      <c r="C51" s="4">
        <v>0</v>
      </c>
      <c r="D51" s="4">
        <v>7830</v>
      </c>
      <c r="E51" s="4">
        <v>4401</v>
      </c>
      <c r="F51" s="4">
        <v>1756</v>
      </c>
      <c r="G51" s="4">
        <v>1427</v>
      </c>
      <c r="H51" s="4">
        <v>274</v>
      </c>
      <c r="I51" s="4">
        <v>273</v>
      </c>
      <c r="J51" s="4">
        <v>4073</v>
      </c>
      <c r="K51" s="4">
        <v>273</v>
      </c>
      <c r="L51" s="4">
        <v>370</v>
      </c>
      <c r="M51" s="4">
        <v>1937</v>
      </c>
      <c r="N51" s="3">
        <f t="shared" si="0"/>
        <v>27725</v>
      </c>
      <c r="O51" s="4">
        <v>0</v>
      </c>
      <c r="P51" s="4">
        <v>10</v>
      </c>
      <c r="Q51" s="4">
        <v>1</v>
      </c>
      <c r="R51" s="4">
        <v>7</v>
      </c>
      <c r="S51" s="4">
        <v>1</v>
      </c>
      <c r="T51" s="4">
        <v>6</v>
      </c>
      <c r="U51" s="4">
        <v>1</v>
      </c>
      <c r="V51" s="4">
        <v>8</v>
      </c>
      <c r="W51" s="4">
        <v>1</v>
      </c>
      <c r="X51" s="4">
        <v>2</v>
      </c>
      <c r="Y51" s="4">
        <v>2</v>
      </c>
      <c r="Z51" s="4">
        <v>0</v>
      </c>
      <c r="AA51" s="3">
        <f t="shared" si="1"/>
        <v>39</v>
      </c>
      <c r="AB51" t="s">
        <v>63</v>
      </c>
      <c r="AC51">
        <v>102.22</v>
      </c>
      <c r="AD51">
        <v>0.9</v>
      </c>
      <c r="AE51">
        <v>156.69</v>
      </c>
      <c r="AF51">
        <v>88.65</v>
      </c>
      <c r="AG51">
        <v>35.21</v>
      </c>
      <c r="AH51">
        <v>29.08</v>
      </c>
      <c r="AI51">
        <v>5.57</v>
      </c>
      <c r="AJ51">
        <v>6.18</v>
      </c>
      <c r="AK51">
        <v>81.55</v>
      </c>
      <c r="AL51">
        <v>5.64</v>
      </c>
      <c r="AM51">
        <v>7.58</v>
      </c>
      <c r="AN51">
        <v>38.74</v>
      </c>
      <c r="AO51" s="1">
        <v>558.01</v>
      </c>
    </row>
    <row r="52" spans="1:41" x14ac:dyDescent="0.25">
      <c r="A52" t="s">
        <v>259</v>
      </c>
      <c r="B52" s="4">
        <v>5096</v>
      </c>
      <c r="C52" s="4">
        <v>5765</v>
      </c>
      <c r="D52" s="4">
        <v>1105</v>
      </c>
      <c r="E52" s="4">
        <v>1139</v>
      </c>
      <c r="F52" s="4">
        <v>3126</v>
      </c>
      <c r="G52" s="4">
        <v>0</v>
      </c>
      <c r="H52" s="4">
        <v>1213</v>
      </c>
      <c r="I52" s="4">
        <v>2600</v>
      </c>
      <c r="J52" s="4">
        <v>622</v>
      </c>
      <c r="K52" s="4">
        <v>24</v>
      </c>
      <c r="L52" s="4">
        <v>2354</v>
      </c>
      <c r="M52" s="4">
        <v>5113</v>
      </c>
      <c r="N52" s="3">
        <f t="shared" si="0"/>
        <v>28157</v>
      </c>
      <c r="O52" s="4">
        <v>1</v>
      </c>
      <c r="P52" s="4">
        <v>3</v>
      </c>
      <c r="Q52" s="4">
        <v>9</v>
      </c>
      <c r="R52" s="4">
        <v>6</v>
      </c>
      <c r="S52" s="4">
        <v>3</v>
      </c>
      <c r="T52" s="4">
        <v>1</v>
      </c>
      <c r="U52" s="4">
        <v>2</v>
      </c>
      <c r="V52" s="4">
        <v>6</v>
      </c>
      <c r="W52" s="4">
        <v>20</v>
      </c>
      <c r="X52" s="4">
        <v>5</v>
      </c>
      <c r="Y52" s="4">
        <v>2</v>
      </c>
      <c r="Z52" s="4">
        <v>4</v>
      </c>
      <c r="AA52" s="3">
        <f t="shared" si="1"/>
        <v>62</v>
      </c>
      <c r="AB52" t="s">
        <v>63</v>
      </c>
      <c r="AC52">
        <v>102.01</v>
      </c>
      <c r="AD52">
        <v>115.57</v>
      </c>
      <c r="AE52">
        <v>22.91</v>
      </c>
      <c r="AF52">
        <v>23.32</v>
      </c>
      <c r="AG52">
        <v>62.79</v>
      </c>
      <c r="AH52">
        <v>0.09</v>
      </c>
      <c r="AI52">
        <v>24.44</v>
      </c>
      <c r="AJ52">
        <v>52.54</v>
      </c>
      <c r="AK52">
        <v>14.24</v>
      </c>
      <c r="AL52">
        <v>0.93</v>
      </c>
      <c r="AM52">
        <v>47.26</v>
      </c>
      <c r="AN52">
        <v>102.62</v>
      </c>
      <c r="AO52" s="1">
        <v>568.72</v>
      </c>
    </row>
    <row r="53" spans="1:41" x14ac:dyDescent="0.25">
      <c r="A53" t="s">
        <v>260</v>
      </c>
      <c r="B53" s="4">
        <v>5087</v>
      </c>
      <c r="C53" s="4">
        <v>7692</v>
      </c>
      <c r="D53" s="4">
        <v>5201</v>
      </c>
      <c r="E53" s="4">
        <v>1061</v>
      </c>
      <c r="F53" s="4">
        <v>3684</v>
      </c>
      <c r="G53" s="4">
        <v>0</v>
      </c>
      <c r="H53" s="4">
        <v>2147</v>
      </c>
      <c r="I53" s="4">
        <v>6698</v>
      </c>
      <c r="J53" s="4">
        <v>0</v>
      </c>
      <c r="K53" s="4">
        <v>1365</v>
      </c>
      <c r="L53" s="4">
        <v>2942</v>
      </c>
      <c r="M53" s="4">
        <v>0</v>
      </c>
      <c r="N53" s="3">
        <f t="shared" si="0"/>
        <v>35877</v>
      </c>
      <c r="O53" s="4">
        <v>0</v>
      </c>
      <c r="P53" s="4">
        <v>0</v>
      </c>
      <c r="Q53" s="4">
        <v>3</v>
      </c>
      <c r="R53" s="4">
        <v>3</v>
      </c>
      <c r="S53" s="4">
        <v>3</v>
      </c>
      <c r="T53" s="4">
        <v>3</v>
      </c>
      <c r="U53" s="4">
        <v>4</v>
      </c>
      <c r="V53" s="4">
        <v>1</v>
      </c>
      <c r="W53" s="4">
        <v>0</v>
      </c>
      <c r="X53" s="4">
        <v>11</v>
      </c>
      <c r="Y53" s="4">
        <v>5</v>
      </c>
      <c r="Z53" s="4">
        <v>1</v>
      </c>
      <c r="AA53" s="3">
        <f t="shared" si="1"/>
        <v>34</v>
      </c>
      <c r="AB53" t="s">
        <v>63</v>
      </c>
      <c r="AC53">
        <v>101.74</v>
      </c>
      <c r="AD53">
        <v>153.84</v>
      </c>
      <c r="AE53">
        <v>104.29</v>
      </c>
      <c r="AF53">
        <v>21.49</v>
      </c>
      <c r="AG53">
        <v>73.95</v>
      </c>
      <c r="AH53">
        <v>0.27</v>
      </c>
      <c r="AI53">
        <v>43.3</v>
      </c>
      <c r="AJ53">
        <v>134.05000000000001</v>
      </c>
      <c r="AK53">
        <v>0</v>
      </c>
      <c r="AL53">
        <v>28.29</v>
      </c>
      <c r="AM53">
        <v>59.29</v>
      </c>
      <c r="AN53">
        <v>0.09</v>
      </c>
      <c r="AO53" s="1">
        <v>720.6</v>
      </c>
    </row>
    <row r="54" spans="1:41" x14ac:dyDescent="0.25">
      <c r="A54" t="s">
        <v>262</v>
      </c>
      <c r="B54" s="4">
        <v>5082</v>
      </c>
      <c r="C54" s="4">
        <v>0</v>
      </c>
      <c r="D54" s="4">
        <v>2132</v>
      </c>
      <c r="E54" s="4">
        <v>3218</v>
      </c>
      <c r="F54" s="4">
        <v>3403</v>
      </c>
      <c r="G54" s="4">
        <v>473</v>
      </c>
      <c r="H54" s="4">
        <v>3919</v>
      </c>
      <c r="I54" s="4">
        <v>0</v>
      </c>
      <c r="J54" s="4">
        <v>1812</v>
      </c>
      <c r="K54" s="4">
        <v>1606</v>
      </c>
      <c r="L54" s="4">
        <v>9008</v>
      </c>
      <c r="M54" s="4">
        <v>1054</v>
      </c>
      <c r="N54" s="3">
        <f t="shared" si="0"/>
        <v>31707</v>
      </c>
      <c r="O54" s="4">
        <v>6</v>
      </c>
      <c r="P54" s="4">
        <v>4</v>
      </c>
      <c r="Q54" s="4">
        <v>8</v>
      </c>
      <c r="R54" s="4">
        <v>3</v>
      </c>
      <c r="S54" s="4">
        <v>7</v>
      </c>
      <c r="T54" s="4">
        <v>0</v>
      </c>
      <c r="U54" s="4">
        <v>2</v>
      </c>
      <c r="V54" s="4">
        <v>4</v>
      </c>
      <c r="W54" s="4">
        <v>2</v>
      </c>
      <c r="X54" s="4">
        <v>1</v>
      </c>
      <c r="Y54" s="4">
        <v>7</v>
      </c>
      <c r="Z54" s="4">
        <v>0</v>
      </c>
      <c r="AA54" s="3">
        <f t="shared" si="1"/>
        <v>44</v>
      </c>
      <c r="AB54" t="s">
        <v>63</v>
      </c>
      <c r="AC54">
        <v>102.18</v>
      </c>
      <c r="AD54">
        <v>0.36</v>
      </c>
      <c r="AE54">
        <v>43.36</v>
      </c>
      <c r="AF54">
        <v>64.63</v>
      </c>
      <c r="AG54">
        <v>68.69</v>
      </c>
      <c r="AH54">
        <v>9.4600000000000009</v>
      </c>
      <c r="AI54">
        <v>78.56</v>
      </c>
      <c r="AJ54">
        <v>0.36</v>
      </c>
      <c r="AK54">
        <v>36.42</v>
      </c>
      <c r="AL54">
        <v>32.21</v>
      </c>
      <c r="AM54">
        <v>180.79</v>
      </c>
      <c r="AN54">
        <v>21.08</v>
      </c>
      <c r="AO54" s="1">
        <v>638.1</v>
      </c>
    </row>
    <row r="55" spans="1:41" x14ac:dyDescent="0.25">
      <c r="A55" t="s">
        <v>263</v>
      </c>
      <c r="B55" s="4">
        <v>5071</v>
      </c>
      <c r="C55" s="4">
        <v>5247</v>
      </c>
      <c r="D55" s="4">
        <v>4330</v>
      </c>
      <c r="E55" s="4">
        <v>3971</v>
      </c>
      <c r="F55" s="4">
        <v>375</v>
      </c>
      <c r="G55" s="4">
        <v>5548</v>
      </c>
      <c r="H55" s="4">
        <v>257</v>
      </c>
      <c r="I55" s="4">
        <v>1086</v>
      </c>
      <c r="J55" s="4">
        <v>10449</v>
      </c>
      <c r="K55" s="4">
        <v>1961</v>
      </c>
      <c r="L55" s="4">
        <v>12382</v>
      </c>
      <c r="M55" s="4">
        <v>0</v>
      </c>
      <c r="N55" s="3">
        <f t="shared" si="0"/>
        <v>50677</v>
      </c>
      <c r="O55" s="4">
        <v>4</v>
      </c>
      <c r="P55" s="4">
        <v>3</v>
      </c>
      <c r="Q55" s="4">
        <v>8</v>
      </c>
      <c r="R55" s="4">
        <v>3</v>
      </c>
      <c r="S55" s="4">
        <v>3</v>
      </c>
      <c r="T55" s="4">
        <v>3</v>
      </c>
      <c r="U55" s="4">
        <v>1</v>
      </c>
      <c r="V55" s="4">
        <v>9</v>
      </c>
      <c r="W55" s="4">
        <v>2</v>
      </c>
      <c r="X55" s="4">
        <v>17</v>
      </c>
      <c r="Y55" s="4">
        <v>6</v>
      </c>
      <c r="Z55" s="4">
        <v>1</v>
      </c>
      <c r="AA55" s="3">
        <f t="shared" si="1"/>
        <v>60</v>
      </c>
      <c r="AB55" t="s">
        <v>63</v>
      </c>
      <c r="AC55">
        <v>101.78</v>
      </c>
      <c r="AD55">
        <v>105.21</v>
      </c>
      <c r="AE55">
        <v>87.32</v>
      </c>
      <c r="AF55">
        <v>79.69</v>
      </c>
      <c r="AG55">
        <v>7.77</v>
      </c>
      <c r="AH55">
        <v>111.23</v>
      </c>
      <c r="AI55">
        <v>5.23</v>
      </c>
      <c r="AJ55">
        <v>22.53</v>
      </c>
      <c r="AK55">
        <v>209.16</v>
      </c>
      <c r="AL55">
        <v>40.75</v>
      </c>
      <c r="AM55">
        <v>248.18</v>
      </c>
      <c r="AN55">
        <v>0.09</v>
      </c>
      <c r="AO55" s="1">
        <v>1018.9399999999999</v>
      </c>
    </row>
    <row r="56" spans="1:41" x14ac:dyDescent="0.25">
      <c r="A56" t="s">
        <v>267</v>
      </c>
      <c r="B56" s="4">
        <v>5016</v>
      </c>
      <c r="C56" s="4">
        <v>0</v>
      </c>
      <c r="D56" s="4">
        <v>346</v>
      </c>
      <c r="E56" s="4">
        <v>1977</v>
      </c>
      <c r="F56" s="4">
        <v>1750</v>
      </c>
      <c r="G56" s="4">
        <v>6858</v>
      </c>
      <c r="H56" s="4">
        <v>4832</v>
      </c>
      <c r="I56" s="4">
        <v>1104</v>
      </c>
      <c r="J56" s="4">
        <v>726</v>
      </c>
      <c r="K56" s="4">
        <v>953</v>
      </c>
      <c r="L56" s="4">
        <v>896</v>
      </c>
      <c r="M56" s="4">
        <v>1427</v>
      </c>
      <c r="N56" s="3">
        <f t="shared" si="0"/>
        <v>25885</v>
      </c>
      <c r="O56" s="4">
        <v>14</v>
      </c>
      <c r="P56" s="4">
        <v>9</v>
      </c>
      <c r="Q56" s="4">
        <v>1</v>
      </c>
      <c r="R56" s="4">
        <v>6</v>
      </c>
      <c r="S56" s="4">
        <v>24</v>
      </c>
      <c r="T56" s="4">
        <v>0</v>
      </c>
      <c r="U56" s="4">
        <v>2</v>
      </c>
      <c r="V56" s="4">
        <v>5</v>
      </c>
      <c r="W56" s="4">
        <v>2</v>
      </c>
      <c r="X56" s="4">
        <v>0</v>
      </c>
      <c r="Y56" s="4">
        <v>1</v>
      </c>
      <c r="Z56" s="4">
        <v>1</v>
      </c>
      <c r="AA56" s="3">
        <f t="shared" si="1"/>
        <v>65</v>
      </c>
      <c r="AB56" t="s">
        <v>63</v>
      </c>
      <c r="AC56">
        <v>101.58</v>
      </c>
      <c r="AD56">
        <v>0.81</v>
      </c>
      <c r="AE56">
        <v>7.01</v>
      </c>
      <c r="AF56">
        <v>40.08</v>
      </c>
      <c r="AG56">
        <v>37.159999999999997</v>
      </c>
      <c r="AH56">
        <v>137.16</v>
      </c>
      <c r="AI56">
        <v>96.82</v>
      </c>
      <c r="AJ56">
        <v>22.53</v>
      </c>
      <c r="AK56">
        <v>14.7</v>
      </c>
      <c r="AL56">
        <v>19.059999999999999</v>
      </c>
      <c r="AM56">
        <v>18.010000000000002</v>
      </c>
      <c r="AN56">
        <v>28.63</v>
      </c>
      <c r="AO56" s="1">
        <v>523.54999999999995</v>
      </c>
    </row>
    <row r="57" spans="1:41" x14ac:dyDescent="0.25">
      <c r="A57" t="s">
        <v>272</v>
      </c>
      <c r="B57" s="4">
        <v>4936</v>
      </c>
      <c r="C57" s="4">
        <v>2478</v>
      </c>
      <c r="D57" s="4">
        <v>7691</v>
      </c>
      <c r="E57" s="4">
        <v>712</v>
      </c>
      <c r="F57" s="4">
        <v>800</v>
      </c>
      <c r="G57" s="4">
        <v>2385</v>
      </c>
      <c r="H57" s="4">
        <v>4717</v>
      </c>
      <c r="I57" s="4">
        <v>4410</v>
      </c>
      <c r="J57" s="4">
        <v>284</v>
      </c>
      <c r="K57" s="4">
        <v>207</v>
      </c>
      <c r="L57" s="4">
        <v>586</v>
      </c>
      <c r="M57" s="4">
        <v>2974</v>
      </c>
      <c r="N57" s="3">
        <f t="shared" si="0"/>
        <v>32180</v>
      </c>
      <c r="O57" s="4">
        <v>14</v>
      </c>
      <c r="P57" s="4">
        <v>2</v>
      </c>
      <c r="Q57" s="4">
        <v>7</v>
      </c>
      <c r="R57" s="4">
        <v>3</v>
      </c>
      <c r="S57" s="4">
        <v>1</v>
      </c>
      <c r="T57" s="4">
        <v>2</v>
      </c>
      <c r="U57" s="4">
        <v>4</v>
      </c>
      <c r="V57" s="4">
        <v>13</v>
      </c>
      <c r="W57" s="4">
        <v>10</v>
      </c>
      <c r="X57" s="4">
        <v>2</v>
      </c>
      <c r="Y57" s="4">
        <v>3</v>
      </c>
      <c r="Z57" s="4">
        <v>1</v>
      </c>
      <c r="AA57" s="3">
        <f t="shared" si="1"/>
        <v>62</v>
      </c>
      <c r="AB57" t="s">
        <v>63</v>
      </c>
      <c r="AC57">
        <v>99.98</v>
      </c>
      <c r="AD57">
        <v>49.74</v>
      </c>
      <c r="AE57">
        <v>154.44999999999999</v>
      </c>
      <c r="AF57">
        <v>14.51</v>
      </c>
      <c r="AG57">
        <v>16.09</v>
      </c>
      <c r="AH57">
        <v>47.88</v>
      </c>
      <c r="AI57">
        <v>94.7</v>
      </c>
      <c r="AJ57">
        <v>89.37</v>
      </c>
      <c r="AK57">
        <v>6.58</v>
      </c>
      <c r="AL57">
        <v>4.32</v>
      </c>
      <c r="AM57">
        <v>11.99</v>
      </c>
      <c r="AN57">
        <v>59.57</v>
      </c>
      <c r="AO57" s="1">
        <v>649.18000000000006</v>
      </c>
    </row>
    <row r="58" spans="1:41" x14ac:dyDescent="0.25">
      <c r="A58" t="s">
        <v>276</v>
      </c>
      <c r="B58" s="4">
        <v>4890</v>
      </c>
      <c r="C58" s="4">
        <v>4840</v>
      </c>
      <c r="D58" s="4">
        <v>3373</v>
      </c>
      <c r="E58" s="4">
        <v>4423</v>
      </c>
      <c r="F58" s="4">
        <v>3157</v>
      </c>
      <c r="G58" s="4">
        <v>1134</v>
      </c>
      <c r="H58" s="4">
        <v>873</v>
      </c>
      <c r="I58" s="4">
        <v>2635</v>
      </c>
      <c r="J58" s="4">
        <v>504</v>
      </c>
      <c r="K58" s="4">
        <v>1510</v>
      </c>
      <c r="L58" s="4">
        <v>1270</v>
      </c>
      <c r="M58" s="4">
        <v>3460</v>
      </c>
      <c r="N58" s="3">
        <f t="shared" si="0"/>
        <v>32069</v>
      </c>
      <c r="O58" s="4">
        <v>16</v>
      </c>
      <c r="P58" s="4">
        <v>7</v>
      </c>
      <c r="Q58" s="4">
        <v>1</v>
      </c>
      <c r="R58" s="4">
        <v>6</v>
      </c>
      <c r="S58" s="4">
        <v>3</v>
      </c>
      <c r="T58" s="4">
        <v>1</v>
      </c>
      <c r="U58" s="4">
        <v>3</v>
      </c>
      <c r="V58" s="4">
        <v>1</v>
      </c>
      <c r="W58" s="4">
        <v>0</v>
      </c>
      <c r="X58" s="4">
        <v>7</v>
      </c>
      <c r="Y58" s="4">
        <v>4</v>
      </c>
      <c r="Z58" s="4">
        <v>3</v>
      </c>
      <c r="AA58" s="3">
        <f t="shared" si="1"/>
        <v>52</v>
      </c>
      <c r="AB58" t="s">
        <v>63</v>
      </c>
      <c r="AC58">
        <v>99.24</v>
      </c>
      <c r="AD58">
        <v>97.43</v>
      </c>
      <c r="AE58">
        <v>67.55</v>
      </c>
      <c r="AF58">
        <v>89</v>
      </c>
      <c r="AG58">
        <v>63.41</v>
      </c>
      <c r="AH58">
        <v>22.77</v>
      </c>
      <c r="AI58">
        <v>17.73</v>
      </c>
      <c r="AJ58">
        <v>52.79</v>
      </c>
      <c r="AK58">
        <v>10.08</v>
      </c>
      <c r="AL58">
        <v>30.83</v>
      </c>
      <c r="AM58">
        <v>25.76</v>
      </c>
      <c r="AN58">
        <v>69.47</v>
      </c>
      <c r="AO58" s="1">
        <v>646.06000000000006</v>
      </c>
    </row>
    <row r="59" spans="1:41" x14ac:dyDescent="0.25">
      <c r="A59" t="s">
        <v>281</v>
      </c>
      <c r="B59" s="4">
        <v>4800</v>
      </c>
      <c r="C59" s="4">
        <v>0</v>
      </c>
      <c r="D59" s="4">
        <v>1647</v>
      </c>
      <c r="E59" s="4">
        <v>1534</v>
      </c>
      <c r="F59" s="4">
        <v>2155</v>
      </c>
      <c r="G59" s="4">
        <v>3071</v>
      </c>
      <c r="H59" s="4">
        <v>2102</v>
      </c>
      <c r="I59" s="4">
        <v>2297</v>
      </c>
      <c r="J59" s="4">
        <v>2031</v>
      </c>
      <c r="K59" s="4">
        <v>5468</v>
      </c>
      <c r="L59" s="4">
        <v>3980</v>
      </c>
      <c r="M59" s="4">
        <v>4228</v>
      </c>
      <c r="N59" s="3">
        <f t="shared" si="0"/>
        <v>33313</v>
      </c>
      <c r="O59" s="4">
        <v>1</v>
      </c>
      <c r="P59" s="4">
        <v>1</v>
      </c>
      <c r="Q59" s="4">
        <v>7</v>
      </c>
      <c r="R59" s="4">
        <v>2</v>
      </c>
      <c r="S59" s="4">
        <v>7</v>
      </c>
      <c r="T59" s="4">
        <v>2</v>
      </c>
      <c r="U59" s="4">
        <v>4</v>
      </c>
      <c r="V59" s="4">
        <v>1</v>
      </c>
      <c r="W59" s="4">
        <v>6</v>
      </c>
      <c r="X59" s="4">
        <v>4</v>
      </c>
      <c r="Y59" s="4">
        <v>3</v>
      </c>
      <c r="Z59" s="4">
        <v>0</v>
      </c>
      <c r="AA59" s="3">
        <f t="shared" si="1"/>
        <v>38</v>
      </c>
      <c r="AB59" t="s">
        <v>63</v>
      </c>
      <c r="AC59">
        <v>96.09</v>
      </c>
      <c r="AD59">
        <v>0.09</v>
      </c>
      <c r="AE59">
        <v>33.57</v>
      </c>
      <c r="AF59">
        <v>30.86</v>
      </c>
      <c r="AG59">
        <v>43.73</v>
      </c>
      <c r="AH59">
        <v>61.6</v>
      </c>
      <c r="AI59">
        <v>42.4</v>
      </c>
      <c r="AJ59">
        <v>46.03</v>
      </c>
      <c r="AK59">
        <v>41.16</v>
      </c>
      <c r="AL59">
        <v>109.72</v>
      </c>
      <c r="AM59">
        <v>79.87</v>
      </c>
      <c r="AN59">
        <v>84.56</v>
      </c>
      <c r="AO59" s="1">
        <v>669.68000000000006</v>
      </c>
    </row>
    <row r="60" spans="1:41" x14ac:dyDescent="0.25">
      <c r="A60" t="s">
        <v>285</v>
      </c>
      <c r="B60" s="4">
        <v>4747</v>
      </c>
      <c r="C60" s="4">
        <v>1296</v>
      </c>
      <c r="D60" s="4">
        <v>11</v>
      </c>
      <c r="E60" s="4">
        <v>4763</v>
      </c>
      <c r="F60" s="4">
        <v>3474</v>
      </c>
      <c r="G60" s="4">
        <v>1469</v>
      </c>
      <c r="H60" s="4">
        <v>1770</v>
      </c>
      <c r="I60" s="4">
        <v>1400</v>
      </c>
      <c r="J60" s="4">
        <v>4196</v>
      </c>
      <c r="K60" s="4">
        <v>901</v>
      </c>
      <c r="L60" s="4">
        <v>3791</v>
      </c>
      <c r="M60" s="4">
        <v>3458</v>
      </c>
      <c r="N60" s="3">
        <f t="shared" si="0"/>
        <v>31276</v>
      </c>
      <c r="O60" s="4">
        <v>9</v>
      </c>
      <c r="P60" s="4">
        <v>1</v>
      </c>
      <c r="Q60" s="4">
        <v>2</v>
      </c>
      <c r="R60" s="4">
        <v>11</v>
      </c>
      <c r="S60" s="4">
        <v>3</v>
      </c>
      <c r="T60" s="4">
        <v>4</v>
      </c>
      <c r="U60" s="4">
        <v>3</v>
      </c>
      <c r="V60" s="4">
        <v>7</v>
      </c>
      <c r="W60" s="4">
        <v>2</v>
      </c>
      <c r="X60" s="4">
        <v>9</v>
      </c>
      <c r="Y60" s="4">
        <v>4</v>
      </c>
      <c r="Z60" s="4">
        <v>0</v>
      </c>
      <c r="AA60" s="3">
        <f t="shared" si="1"/>
        <v>55</v>
      </c>
      <c r="AB60" t="s">
        <v>63</v>
      </c>
      <c r="AC60">
        <v>95.75</v>
      </c>
      <c r="AD60">
        <v>26.01</v>
      </c>
      <c r="AE60">
        <v>0.4</v>
      </c>
      <c r="AF60">
        <v>96.25</v>
      </c>
      <c r="AG60">
        <v>69.75</v>
      </c>
      <c r="AH60">
        <v>29.74</v>
      </c>
      <c r="AI60">
        <v>35.67</v>
      </c>
      <c r="AJ60">
        <v>28.63</v>
      </c>
      <c r="AK60">
        <v>84.1</v>
      </c>
      <c r="AL60">
        <v>18.829999999999998</v>
      </c>
      <c r="AM60">
        <v>76.180000000000007</v>
      </c>
      <c r="AN60">
        <v>69.16</v>
      </c>
      <c r="AO60" s="1">
        <v>630.47</v>
      </c>
    </row>
    <row r="61" spans="1:41" x14ac:dyDescent="0.25">
      <c r="A61" t="s">
        <v>290</v>
      </c>
      <c r="B61" s="4">
        <v>4686</v>
      </c>
      <c r="C61" s="4">
        <v>505</v>
      </c>
      <c r="D61" s="4">
        <v>693</v>
      </c>
      <c r="E61" s="4">
        <v>1464</v>
      </c>
      <c r="F61" s="4">
        <v>731</v>
      </c>
      <c r="G61" s="4">
        <v>0</v>
      </c>
      <c r="H61" s="4">
        <v>1132</v>
      </c>
      <c r="I61" s="4">
        <v>4670</v>
      </c>
      <c r="J61" s="4">
        <v>6070</v>
      </c>
      <c r="K61" s="4">
        <v>6424</v>
      </c>
      <c r="L61" s="4">
        <v>6337</v>
      </c>
      <c r="M61" s="4">
        <v>1790</v>
      </c>
      <c r="N61" s="3">
        <f t="shared" si="0"/>
        <v>34502</v>
      </c>
      <c r="O61" s="4">
        <v>0</v>
      </c>
      <c r="P61" s="4">
        <v>3</v>
      </c>
      <c r="Q61" s="4">
        <v>1</v>
      </c>
      <c r="R61" s="4">
        <v>2</v>
      </c>
      <c r="S61" s="4">
        <v>2</v>
      </c>
      <c r="T61" s="4">
        <v>3</v>
      </c>
      <c r="U61" s="4">
        <v>4</v>
      </c>
      <c r="V61" s="4">
        <v>1</v>
      </c>
      <c r="W61" s="4">
        <v>3</v>
      </c>
      <c r="X61" s="4">
        <v>9</v>
      </c>
      <c r="Y61" s="4">
        <v>5</v>
      </c>
      <c r="Z61" s="4">
        <v>3</v>
      </c>
      <c r="AA61" s="3">
        <f t="shared" si="1"/>
        <v>36</v>
      </c>
      <c r="AB61" t="s">
        <v>63</v>
      </c>
      <c r="AC61">
        <v>93.72</v>
      </c>
      <c r="AD61">
        <v>10.37</v>
      </c>
      <c r="AE61">
        <v>13.95</v>
      </c>
      <c r="AF61">
        <v>29.46</v>
      </c>
      <c r="AG61">
        <v>14.8</v>
      </c>
      <c r="AH61">
        <v>0.27</v>
      </c>
      <c r="AI61">
        <v>23</v>
      </c>
      <c r="AJ61">
        <v>93.49</v>
      </c>
      <c r="AK61">
        <v>121.67</v>
      </c>
      <c r="AL61">
        <v>129.29</v>
      </c>
      <c r="AM61">
        <v>127.19</v>
      </c>
      <c r="AN61">
        <v>36.07</v>
      </c>
      <c r="AO61" s="1">
        <v>693.28000000000009</v>
      </c>
    </row>
    <row r="62" spans="1:41" x14ac:dyDescent="0.25">
      <c r="A62" t="s">
        <v>295</v>
      </c>
      <c r="B62" s="4">
        <v>4637</v>
      </c>
      <c r="C62" s="4">
        <v>736</v>
      </c>
      <c r="D62" s="4">
        <v>49</v>
      </c>
      <c r="E62" s="4">
        <v>1406</v>
      </c>
      <c r="F62" s="4">
        <v>3450</v>
      </c>
      <c r="G62" s="4">
        <v>2553</v>
      </c>
      <c r="H62" s="4">
        <v>797</v>
      </c>
      <c r="I62" s="4">
        <v>1384</v>
      </c>
      <c r="J62" s="4">
        <v>832</v>
      </c>
      <c r="K62" s="4">
        <v>982</v>
      </c>
      <c r="L62" s="4">
        <v>3576</v>
      </c>
      <c r="M62" s="4">
        <v>2396</v>
      </c>
      <c r="N62" s="3">
        <f t="shared" si="0"/>
        <v>22798</v>
      </c>
      <c r="O62" s="4">
        <v>1</v>
      </c>
      <c r="P62" s="4">
        <v>8</v>
      </c>
      <c r="Q62" s="4">
        <v>7</v>
      </c>
      <c r="R62" s="4">
        <v>10</v>
      </c>
      <c r="S62" s="4">
        <v>7</v>
      </c>
      <c r="T62" s="4">
        <v>5</v>
      </c>
      <c r="U62" s="4">
        <v>1</v>
      </c>
      <c r="V62" s="4">
        <v>6</v>
      </c>
      <c r="W62" s="4">
        <v>9</v>
      </c>
      <c r="X62" s="4">
        <v>8</v>
      </c>
      <c r="Y62" s="4">
        <v>4</v>
      </c>
      <c r="Z62" s="4">
        <v>1</v>
      </c>
      <c r="AA62" s="3">
        <f t="shared" si="1"/>
        <v>67</v>
      </c>
      <c r="AB62" t="s">
        <v>63</v>
      </c>
      <c r="AC62">
        <v>92.83</v>
      </c>
      <c r="AD62">
        <v>15.44</v>
      </c>
      <c r="AE62">
        <v>1.61</v>
      </c>
      <c r="AF62">
        <v>29.02</v>
      </c>
      <c r="AG62">
        <v>69.63</v>
      </c>
      <c r="AH62">
        <v>51.51</v>
      </c>
      <c r="AI62">
        <v>16.03</v>
      </c>
      <c r="AJ62">
        <v>28.22</v>
      </c>
      <c r="AK62">
        <v>17.45</v>
      </c>
      <c r="AL62">
        <v>20.36</v>
      </c>
      <c r="AM62">
        <v>71.88</v>
      </c>
      <c r="AN62">
        <v>48.01</v>
      </c>
      <c r="AO62" s="1">
        <v>461.99000000000007</v>
      </c>
    </row>
    <row r="63" spans="1:41" x14ac:dyDescent="0.25">
      <c r="A63" t="s">
        <v>296</v>
      </c>
      <c r="B63" s="4">
        <v>4633</v>
      </c>
      <c r="C63" s="4">
        <v>6747</v>
      </c>
      <c r="D63" s="4">
        <v>3293</v>
      </c>
      <c r="E63" s="4">
        <v>1709</v>
      </c>
      <c r="F63" s="4">
        <v>3684</v>
      </c>
      <c r="G63" s="4">
        <v>1656</v>
      </c>
      <c r="H63" s="4">
        <v>894</v>
      </c>
      <c r="I63" s="4">
        <v>5513</v>
      </c>
      <c r="J63" s="4">
        <v>344</v>
      </c>
      <c r="K63" s="4">
        <v>0</v>
      </c>
      <c r="L63" s="4">
        <v>1734</v>
      </c>
      <c r="M63" s="4">
        <v>1786</v>
      </c>
      <c r="N63" s="3">
        <f t="shared" si="0"/>
        <v>31993</v>
      </c>
      <c r="O63" s="4">
        <v>2</v>
      </c>
      <c r="P63" s="4">
        <v>3</v>
      </c>
      <c r="Q63" s="4">
        <v>11</v>
      </c>
      <c r="R63" s="4">
        <v>9</v>
      </c>
      <c r="S63" s="4">
        <v>5</v>
      </c>
      <c r="T63" s="4">
        <v>9</v>
      </c>
      <c r="U63" s="4">
        <v>4</v>
      </c>
      <c r="V63" s="4">
        <v>2</v>
      </c>
      <c r="W63" s="4">
        <v>6</v>
      </c>
      <c r="X63" s="4">
        <v>5</v>
      </c>
      <c r="Y63" s="4">
        <v>2</v>
      </c>
      <c r="Z63" s="4">
        <v>2</v>
      </c>
      <c r="AA63" s="3">
        <f t="shared" si="1"/>
        <v>60</v>
      </c>
      <c r="AB63" t="s">
        <v>63</v>
      </c>
      <c r="AC63">
        <v>92.84</v>
      </c>
      <c r="AD63">
        <v>135.21</v>
      </c>
      <c r="AE63">
        <v>66.849999999999994</v>
      </c>
      <c r="AF63">
        <v>34.99</v>
      </c>
      <c r="AG63">
        <v>74.13</v>
      </c>
      <c r="AH63">
        <v>33.93</v>
      </c>
      <c r="AI63">
        <v>18.239999999999998</v>
      </c>
      <c r="AJ63">
        <v>110.44</v>
      </c>
      <c r="AK63">
        <v>7.42</v>
      </c>
      <c r="AL63">
        <v>0.45</v>
      </c>
      <c r="AM63">
        <v>34.86</v>
      </c>
      <c r="AN63">
        <v>35.9</v>
      </c>
      <c r="AO63" s="1">
        <v>645.26</v>
      </c>
    </row>
    <row r="64" spans="1:41" x14ac:dyDescent="0.25">
      <c r="A64" t="s">
        <v>297</v>
      </c>
      <c r="B64" s="4">
        <v>4610</v>
      </c>
      <c r="C64" s="4">
        <v>0</v>
      </c>
      <c r="D64" s="4">
        <v>6006</v>
      </c>
      <c r="E64" s="4">
        <v>1772</v>
      </c>
      <c r="F64" s="4">
        <v>1213</v>
      </c>
      <c r="G64" s="4">
        <v>3980</v>
      </c>
      <c r="H64" s="4">
        <v>1498</v>
      </c>
      <c r="I64" s="4">
        <v>3691</v>
      </c>
      <c r="J64" s="4">
        <v>3799</v>
      </c>
      <c r="K64" s="4">
        <v>3798</v>
      </c>
      <c r="L64" s="4">
        <v>16737</v>
      </c>
      <c r="M64" s="4">
        <v>1907</v>
      </c>
      <c r="N64" s="3">
        <f t="shared" si="0"/>
        <v>49011</v>
      </c>
      <c r="O64" s="4">
        <v>1</v>
      </c>
      <c r="P64" s="4">
        <v>2</v>
      </c>
      <c r="Q64" s="4">
        <v>1</v>
      </c>
      <c r="R64" s="4">
        <v>5</v>
      </c>
      <c r="S64" s="4">
        <v>2</v>
      </c>
      <c r="T64" s="4">
        <v>6</v>
      </c>
      <c r="U64" s="4">
        <v>1</v>
      </c>
      <c r="V64" s="4">
        <v>1</v>
      </c>
      <c r="W64" s="4">
        <v>3</v>
      </c>
      <c r="X64" s="4">
        <v>0</v>
      </c>
      <c r="Y64" s="4">
        <v>1</v>
      </c>
      <c r="Z64" s="4">
        <v>4</v>
      </c>
      <c r="AA64" s="3">
        <f t="shared" si="1"/>
        <v>27</v>
      </c>
      <c r="AB64" t="s">
        <v>63</v>
      </c>
      <c r="AC64">
        <v>92.29</v>
      </c>
      <c r="AD64">
        <v>0.18</v>
      </c>
      <c r="AE64">
        <v>120.21</v>
      </c>
      <c r="AF64">
        <v>35.89</v>
      </c>
      <c r="AG64">
        <v>24.44</v>
      </c>
      <c r="AH64">
        <v>80.14</v>
      </c>
      <c r="AI64">
        <v>30.05</v>
      </c>
      <c r="AJ64">
        <v>73.91</v>
      </c>
      <c r="AK64">
        <v>76.25</v>
      </c>
      <c r="AL64">
        <v>75.959999999999994</v>
      </c>
      <c r="AM64">
        <v>334.83</v>
      </c>
      <c r="AN64">
        <v>38.5</v>
      </c>
      <c r="AO64" s="1">
        <v>982.65000000000009</v>
      </c>
    </row>
    <row r="65" spans="1:41" x14ac:dyDescent="0.25">
      <c r="A65" t="s">
        <v>298</v>
      </c>
      <c r="B65" s="4">
        <v>4586</v>
      </c>
      <c r="C65" s="4">
        <v>934</v>
      </c>
      <c r="D65" s="4">
        <v>1057</v>
      </c>
      <c r="E65" s="4">
        <v>958</v>
      </c>
      <c r="F65" s="4">
        <v>1222</v>
      </c>
      <c r="G65" s="4">
        <v>203</v>
      </c>
      <c r="H65" s="4">
        <v>3576</v>
      </c>
      <c r="I65" s="4">
        <v>3843</v>
      </c>
      <c r="J65" s="4">
        <v>3169</v>
      </c>
      <c r="K65" s="4">
        <v>2189</v>
      </c>
      <c r="L65" s="4">
        <v>821</v>
      </c>
      <c r="M65" s="4">
        <v>11904</v>
      </c>
      <c r="N65" s="3">
        <f t="shared" si="0"/>
        <v>34462</v>
      </c>
      <c r="O65" s="4">
        <v>8</v>
      </c>
      <c r="P65" s="4">
        <v>5</v>
      </c>
      <c r="Q65" s="4">
        <v>0</v>
      </c>
      <c r="R65" s="4">
        <v>2</v>
      </c>
      <c r="S65" s="4">
        <v>4</v>
      </c>
      <c r="T65" s="4">
        <v>8</v>
      </c>
      <c r="U65" s="4">
        <v>6</v>
      </c>
      <c r="V65" s="4">
        <v>0</v>
      </c>
      <c r="W65" s="4">
        <v>5</v>
      </c>
      <c r="X65" s="4">
        <v>6</v>
      </c>
      <c r="Y65" s="4">
        <v>2</v>
      </c>
      <c r="Z65" s="4">
        <v>4</v>
      </c>
      <c r="AA65" s="3">
        <f t="shared" si="1"/>
        <v>50</v>
      </c>
      <c r="AB65" t="s">
        <v>63</v>
      </c>
      <c r="AC65">
        <v>92.44</v>
      </c>
      <c r="AD65">
        <v>19.13</v>
      </c>
      <c r="AE65">
        <v>21.14</v>
      </c>
      <c r="AF65">
        <v>19.34</v>
      </c>
      <c r="AG65">
        <v>24.8</v>
      </c>
      <c r="AH65">
        <v>4.78</v>
      </c>
      <c r="AI65">
        <v>72.06</v>
      </c>
      <c r="AJ65">
        <v>76.86</v>
      </c>
      <c r="AK65">
        <v>63.83</v>
      </c>
      <c r="AL65">
        <v>44.32</v>
      </c>
      <c r="AM65">
        <v>16.600000000000001</v>
      </c>
      <c r="AN65">
        <v>238.44</v>
      </c>
      <c r="AO65" s="1">
        <v>693.74</v>
      </c>
    </row>
    <row r="66" spans="1:41" x14ac:dyDescent="0.25">
      <c r="A66" t="s">
        <v>301</v>
      </c>
      <c r="B66" s="4">
        <v>4524</v>
      </c>
      <c r="C66" s="4">
        <v>0</v>
      </c>
      <c r="D66" s="4">
        <v>2915</v>
      </c>
      <c r="E66" s="4">
        <v>819</v>
      </c>
      <c r="F66" s="4">
        <v>48</v>
      </c>
      <c r="G66" s="4">
        <v>2194</v>
      </c>
      <c r="H66" s="4">
        <v>379</v>
      </c>
      <c r="I66" s="4">
        <v>3899</v>
      </c>
      <c r="J66" s="4">
        <v>3952</v>
      </c>
      <c r="K66" s="4">
        <v>759</v>
      </c>
      <c r="L66" s="4">
        <v>0</v>
      </c>
      <c r="M66" s="4">
        <v>5566</v>
      </c>
      <c r="N66" s="3">
        <f t="shared" si="0"/>
        <v>25055</v>
      </c>
      <c r="O66" s="4">
        <v>6</v>
      </c>
      <c r="P66" s="4">
        <v>1</v>
      </c>
      <c r="Q66" s="4">
        <v>1</v>
      </c>
      <c r="R66" s="4">
        <v>1</v>
      </c>
      <c r="S66" s="4">
        <v>2</v>
      </c>
      <c r="T66" s="4">
        <v>4</v>
      </c>
      <c r="U66" s="4">
        <v>6</v>
      </c>
      <c r="V66" s="4">
        <v>7</v>
      </c>
      <c r="W66" s="4">
        <v>10</v>
      </c>
      <c r="X66" s="4">
        <v>2</v>
      </c>
      <c r="Y66" s="4">
        <v>6</v>
      </c>
      <c r="Z66" s="4">
        <v>1</v>
      </c>
      <c r="AA66" s="3">
        <f t="shared" si="1"/>
        <v>47</v>
      </c>
      <c r="AB66" t="s">
        <v>63</v>
      </c>
      <c r="AC66">
        <v>91.02</v>
      </c>
      <c r="AD66">
        <v>0.09</v>
      </c>
      <c r="AE66">
        <v>58.39</v>
      </c>
      <c r="AF66">
        <v>16.47</v>
      </c>
      <c r="AG66">
        <v>1.1399999999999999</v>
      </c>
      <c r="AH66">
        <v>44.24</v>
      </c>
      <c r="AI66">
        <v>8.1199999999999992</v>
      </c>
      <c r="AJ66">
        <v>78.61</v>
      </c>
      <c r="AK66">
        <v>79.94</v>
      </c>
      <c r="AL66">
        <v>15.36</v>
      </c>
      <c r="AM66">
        <v>0.54</v>
      </c>
      <c r="AN66">
        <v>111.41</v>
      </c>
      <c r="AO66" s="1">
        <v>505.33000000000004</v>
      </c>
    </row>
    <row r="67" spans="1:41" x14ac:dyDescent="0.25">
      <c r="A67" t="s">
        <v>308</v>
      </c>
      <c r="B67" s="4">
        <v>4411</v>
      </c>
      <c r="C67" s="4">
        <v>882</v>
      </c>
      <c r="D67" s="4">
        <v>2723</v>
      </c>
      <c r="E67" s="4">
        <v>11490</v>
      </c>
      <c r="F67" s="4">
        <v>455</v>
      </c>
      <c r="G67" s="4">
        <v>1965</v>
      </c>
      <c r="H67" s="4">
        <v>3794</v>
      </c>
      <c r="I67" s="4">
        <v>585</v>
      </c>
      <c r="J67" s="4">
        <v>592</v>
      </c>
      <c r="K67" s="4">
        <v>0</v>
      </c>
      <c r="L67" s="4">
        <v>449</v>
      </c>
      <c r="M67" s="4">
        <v>628</v>
      </c>
      <c r="N67" s="3">
        <f t="shared" si="0"/>
        <v>27974</v>
      </c>
      <c r="O67" s="4">
        <v>2</v>
      </c>
      <c r="P67" s="4">
        <v>0</v>
      </c>
      <c r="Q67" s="4">
        <v>5</v>
      </c>
      <c r="R67" s="4">
        <v>5</v>
      </c>
      <c r="S67" s="4">
        <v>5</v>
      </c>
      <c r="T67" s="4">
        <v>3</v>
      </c>
      <c r="U67" s="4">
        <v>2</v>
      </c>
      <c r="V67" s="4">
        <v>2</v>
      </c>
      <c r="W67" s="4">
        <v>0</v>
      </c>
      <c r="X67" s="4">
        <v>8</v>
      </c>
      <c r="Y67" s="4">
        <v>0</v>
      </c>
      <c r="Z67" s="4">
        <v>2</v>
      </c>
      <c r="AA67" s="3">
        <f t="shared" si="1"/>
        <v>34</v>
      </c>
      <c r="AB67" t="s">
        <v>63</v>
      </c>
      <c r="AC67">
        <v>88.4</v>
      </c>
      <c r="AD67">
        <v>17.64</v>
      </c>
      <c r="AE67">
        <v>54.91</v>
      </c>
      <c r="AF67">
        <v>230.25</v>
      </c>
      <c r="AG67">
        <v>9.5500000000000007</v>
      </c>
      <c r="AH67">
        <v>39.57</v>
      </c>
      <c r="AI67">
        <v>76.06</v>
      </c>
      <c r="AJ67">
        <v>11.88</v>
      </c>
      <c r="AK67">
        <v>11.84</v>
      </c>
      <c r="AL67">
        <v>0.72</v>
      </c>
      <c r="AM67">
        <v>8.98</v>
      </c>
      <c r="AN67">
        <v>12.74</v>
      </c>
      <c r="AO67" s="1">
        <v>562.54000000000008</v>
      </c>
    </row>
    <row r="68" spans="1:41" x14ac:dyDescent="0.25">
      <c r="A68" t="s">
        <v>310</v>
      </c>
      <c r="B68" s="4">
        <v>4344</v>
      </c>
      <c r="C68" s="4">
        <v>12107</v>
      </c>
      <c r="D68" s="4">
        <v>2633</v>
      </c>
      <c r="E68" s="4">
        <v>873</v>
      </c>
      <c r="F68" s="4">
        <v>16069</v>
      </c>
      <c r="G68" s="4">
        <v>4150</v>
      </c>
      <c r="H68" s="4">
        <v>11097</v>
      </c>
      <c r="I68" s="4">
        <v>1237</v>
      </c>
      <c r="J68" s="4">
        <v>1278</v>
      </c>
      <c r="K68" s="4">
        <v>623</v>
      </c>
      <c r="L68" s="4">
        <v>5685</v>
      </c>
      <c r="M68" s="4">
        <v>8519</v>
      </c>
      <c r="N68" s="3">
        <f t="shared" ref="N68:N131" si="2">SUM(B68:M68)</f>
        <v>68615</v>
      </c>
      <c r="O68" s="4">
        <v>5</v>
      </c>
      <c r="P68" s="4">
        <v>13</v>
      </c>
      <c r="Q68" s="4">
        <v>6</v>
      </c>
      <c r="R68" s="4">
        <v>4</v>
      </c>
      <c r="S68" s="4">
        <v>8</v>
      </c>
      <c r="T68" s="4">
        <v>12</v>
      </c>
      <c r="U68" s="4">
        <v>0</v>
      </c>
      <c r="V68" s="4">
        <v>15</v>
      </c>
      <c r="W68" s="4">
        <v>2</v>
      </c>
      <c r="X68" s="4">
        <v>9</v>
      </c>
      <c r="Y68" s="4">
        <v>1</v>
      </c>
      <c r="Z68" s="4">
        <v>2</v>
      </c>
      <c r="AA68" s="3">
        <f t="shared" ref="AA68:AA131" si="3">SUM(O68:Z68)</f>
        <v>77</v>
      </c>
      <c r="AB68" t="s">
        <v>63</v>
      </c>
      <c r="AC68">
        <v>87.33</v>
      </c>
      <c r="AD68">
        <v>243.31</v>
      </c>
      <c r="AE68">
        <v>53.2</v>
      </c>
      <c r="AF68">
        <v>17.82</v>
      </c>
      <c r="AG68">
        <v>322.10000000000002</v>
      </c>
      <c r="AH68">
        <v>84.08</v>
      </c>
      <c r="AI68">
        <v>221.94</v>
      </c>
      <c r="AJ68">
        <v>26.09</v>
      </c>
      <c r="AK68">
        <v>25.74</v>
      </c>
      <c r="AL68">
        <v>13.27</v>
      </c>
      <c r="AM68">
        <v>113.79</v>
      </c>
      <c r="AN68">
        <v>170.56</v>
      </c>
      <c r="AO68" s="1">
        <v>1379.2299999999998</v>
      </c>
    </row>
    <row r="69" spans="1:41" x14ac:dyDescent="0.25">
      <c r="A69" t="s">
        <v>313</v>
      </c>
      <c r="B69" s="4">
        <v>4303</v>
      </c>
      <c r="C69" s="4">
        <v>0</v>
      </c>
      <c r="D69" s="4">
        <v>478</v>
      </c>
      <c r="E69" s="4">
        <v>2332</v>
      </c>
      <c r="F69" s="4">
        <v>2917</v>
      </c>
      <c r="G69" s="4">
        <v>1986</v>
      </c>
      <c r="H69" s="4">
        <v>2197</v>
      </c>
      <c r="I69" s="4">
        <v>430</v>
      </c>
      <c r="J69" s="4">
        <v>0</v>
      </c>
      <c r="K69" s="4">
        <v>382</v>
      </c>
      <c r="L69" s="4">
        <v>3702</v>
      </c>
      <c r="M69" s="4">
        <v>7444</v>
      </c>
      <c r="N69" s="3">
        <f t="shared" si="2"/>
        <v>26171</v>
      </c>
      <c r="O69" s="4">
        <v>7</v>
      </c>
      <c r="P69" s="4">
        <v>4</v>
      </c>
      <c r="Q69" s="4">
        <v>2</v>
      </c>
      <c r="R69" s="4">
        <v>9</v>
      </c>
      <c r="S69" s="4">
        <v>1</v>
      </c>
      <c r="T69" s="4">
        <v>24</v>
      </c>
      <c r="U69" s="4">
        <v>2</v>
      </c>
      <c r="V69" s="4">
        <v>2</v>
      </c>
      <c r="W69" s="4">
        <v>10</v>
      </c>
      <c r="X69" s="4">
        <v>1</v>
      </c>
      <c r="Y69" s="4">
        <v>5</v>
      </c>
      <c r="Z69" s="4">
        <v>7</v>
      </c>
      <c r="AA69" s="3">
        <f t="shared" si="3"/>
        <v>74</v>
      </c>
      <c r="AB69" t="s">
        <v>63</v>
      </c>
      <c r="AC69">
        <v>86.69</v>
      </c>
      <c r="AD69">
        <v>0.36</v>
      </c>
      <c r="AE69">
        <v>9.74</v>
      </c>
      <c r="AF69">
        <v>47.45</v>
      </c>
      <c r="AG69">
        <v>58.43</v>
      </c>
      <c r="AH69">
        <v>41.88</v>
      </c>
      <c r="AI69">
        <v>44.12</v>
      </c>
      <c r="AJ69">
        <v>8.7799999999999994</v>
      </c>
      <c r="AK69">
        <v>0.9</v>
      </c>
      <c r="AL69">
        <v>7.73</v>
      </c>
      <c r="AM69">
        <v>74.489999999999995</v>
      </c>
      <c r="AN69">
        <v>149.51</v>
      </c>
      <c r="AO69" s="1">
        <v>530.07999999999993</v>
      </c>
    </row>
    <row r="70" spans="1:41" x14ac:dyDescent="0.25">
      <c r="A70" t="s">
        <v>318</v>
      </c>
      <c r="B70" s="4">
        <v>4271</v>
      </c>
      <c r="C70" s="4">
        <v>2983</v>
      </c>
      <c r="D70" s="4">
        <v>2126</v>
      </c>
      <c r="E70" s="4">
        <v>971</v>
      </c>
      <c r="F70" s="4">
        <v>1488</v>
      </c>
      <c r="G70" s="4">
        <v>6316</v>
      </c>
      <c r="H70" s="4">
        <v>1000</v>
      </c>
      <c r="I70" s="4">
        <v>2555</v>
      </c>
      <c r="J70" s="4">
        <v>1805</v>
      </c>
      <c r="K70" s="4">
        <v>531</v>
      </c>
      <c r="L70" s="4">
        <v>969</v>
      </c>
      <c r="M70" s="4">
        <v>3462</v>
      </c>
      <c r="N70" s="3">
        <f t="shared" si="2"/>
        <v>28477</v>
      </c>
      <c r="O70" s="4">
        <v>7</v>
      </c>
      <c r="P70" s="4">
        <v>2</v>
      </c>
      <c r="Q70" s="4">
        <v>11</v>
      </c>
      <c r="R70" s="4">
        <v>4</v>
      </c>
      <c r="S70" s="4">
        <v>5</v>
      </c>
      <c r="T70" s="4">
        <v>0</v>
      </c>
      <c r="U70" s="4">
        <v>0</v>
      </c>
      <c r="V70" s="4">
        <v>10</v>
      </c>
      <c r="W70" s="4">
        <v>2</v>
      </c>
      <c r="X70" s="4">
        <v>2</v>
      </c>
      <c r="Y70" s="4">
        <v>8</v>
      </c>
      <c r="Z70" s="4">
        <v>3</v>
      </c>
      <c r="AA70" s="3">
        <f t="shared" si="3"/>
        <v>54</v>
      </c>
      <c r="AB70" t="s">
        <v>63</v>
      </c>
      <c r="AC70">
        <v>86.05</v>
      </c>
      <c r="AD70">
        <v>59.84</v>
      </c>
      <c r="AE70">
        <v>43.51</v>
      </c>
      <c r="AF70">
        <v>19.78</v>
      </c>
      <c r="AG70">
        <v>30.21</v>
      </c>
      <c r="AH70">
        <v>126.32</v>
      </c>
      <c r="AI70">
        <v>20</v>
      </c>
      <c r="AJ70">
        <v>52</v>
      </c>
      <c r="AK70">
        <v>36.28</v>
      </c>
      <c r="AL70">
        <v>10.8</v>
      </c>
      <c r="AM70">
        <v>20.100000000000001</v>
      </c>
      <c r="AN70">
        <v>69.510000000000005</v>
      </c>
      <c r="AO70" s="1">
        <v>574.40000000000009</v>
      </c>
    </row>
    <row r="71" spans="1:41" x14ac:dyDescent="0.25">
      <c r="A71" t="s">
        <v>320</v>
      </c>
      <c r="B71" s="4">
        <v>4220</v>
      </c>
      <c r="C71" s="4">
        <v>1148</v>
      </c>
      <c r="D71" s="4">
        <v>4200</v>
      </c>
      <c r="E71" s="4">
        <v>1165</v>
      </c>
      <c r="F71" s="4">
        <v>1847</v>
      </c>
      <c r="G71" s="4">
        <v>998</v>
      </c>
      <c r="H71" s="4">
        <v>1320</v>
      </c>
      <c r="I71" s="4">
        <v>216</v>
      </c>
      <c r="J71" s="4">
        <v>5571</v>
      </c>
      <c r="K71" s="4">
        <v>1622</v>
      </c>
      <c r="L71" s="4">
        <v>6396</v>
      </c>
      <c r="M71" s="4">
        <v>6026</v>
      </c>
      <c r="N71" s="3">
        <f t="shared" si="2"/>
        <v>34729</v>
      </c>
      <c r="O71" s="4">
        <v>5</v>
      </c>
      <c r="P71" s="4">
        <v>1</v>
      </c>
      <c r="Q71" s="4">
        <v>4</v>
      </c>
      <c r="R71" s="4">
        <v>3</v>
      </c>
      <c r="S71" s="4">
        <v>5</v>
      </c>
      <c r="T71" s="4">
        <v>13</v>
      </c>
      <c r="U71" s="4">
        <v>5</v>
      </c>
      <c r="V71" s="4">
        <v>5</v>
      </c>
      <c r="W71" s="4">
        <v>0</v>
      </c>
      <c r="X71" s="4">
        <v>0</v>
      </c>
      <c r="Y71" s="4">
        <v>1</v>
      </c>
      <c r="Z71" s="4">
        <v>0</v>
      </c>
      <c r="AA71" s="3">
        <f t="shared" si="3"/>
        <v>42</v>
      </c>
      <c r="AB71" t="s">
        <v>63</v>
      </c>
      <c r="AC71">
        <v>84.85</v>
      </c>
      <c r="AD71">
        <v>23.05</v>
      </c>
      <c r="AE71">
        <v>84.36</v>
      </c>
      <c r="AF71">
        <v>23.57</v>
      </c>
      <c r="AG71">
        <v>37.39</v>
      </c>
      <c r="AH71">
        <v>21.13</v>
      </c>
      <c r="AI71">
        <v>26.85</v>
      </c>
      <c r="AJ71">
        <v>4.7699999999999996</v>
      </c>
      <c r="AK71">
        <v>111.42</v>
      </c>
      <c r="AL71">
        <v>32.44</v>
      </c>
      <c r="AM71">
        <v>128.01</v>
      </c>
      <c r="AN71">
        <v>120.52</v>
      </c>
      <c r="AO71" s="1">
        <v>698.3599999999999</v>
      </c>
    </row>
    <row r="72" spans="1:41" x14ac:dyDescent="0.25">
      <c r="A72" t="s">
        <v>325</v>
      </c>
      <c r="B72" s="4">
        <v>4188</v>
      </c>
      <c r="C72" s="4">
        <v>0</v>
      </c>
      <c r="D72" s="4">
        <v>6234</v>
      </c>
      <c r="E72" s="4">
        <v>7570</v>
      </c>
      <c r="F72" s="4">
        <v>1429</v>
      </c>
      <c r="G72" s="4">
        <v>0</v>
      </c>
      <c r="H72" s="4">
        <v>2109</v>
      </c>
      <c r="I72" s="4">
        <v>820</v>
      </c>
      <c r="J72" s="4">
        <v>2190</v>
      </c>
      <c r="K72" s="4">
        <v>4604</v>
      </c>
      <c r="L72" s="4">
        <v>1105</v>
      </c>
      <c r="M72" s="4">
        <v>1666</v>
      </c>
      <c r="N72" s="3">
        <f t="shared" si="2"/>
        <v>31915</v>
      </c>
      <c r="O72" s="4">
        <v>5</v>
      </c>
      <c r="P72" s="4">
        <v>3</v>
      </c>
      <c r="Q72" s="4">
        <v>6</v>
      </c>
      <c r="R72" s="4">
        <v>3</v>
      </c>
      <c r="S72" s="4">
        <v>4</v>
      </c>
      <c r="T72" s="4">
        <v>2</v>
      </c>
      <c r="U72" s="4">
        <v>6</v>
      </c>
      <c r="V72" s="4">
        <v>2</v>
      </c>
      <c r="W72" s="4">
        <v>2</v>
      </c>
      <c r="X72" s="4">
        <v>10</v>
      </c>
      <c r="Y72" s="4">
        <v>1</v>
      </c>
      <c r="Z72" s="4">
        <v>5</v>
      </c>
      <c r="AA72" s="3">
        <f t="shared" si="3"/>
        <v>49</v>
      </c>
      <c r="AB72" t="s">
        <v>63</v>
      </c>
      <c r="AC72">
        <v>84.21</v>
      </c>
      <c r="AD72">
        <v>0.27</v>
      </c>
      <c r="AE72">
        <v>125.22</v>
      </c>
      <c r="AF72">
        <v>151.66999999999999</v>
      </c>
      <c r="AG72">
        <v>28.94</v>
      </c>
      <c r="AH72">
        <v>0.18</v>
      </c>
      <c r="AI72">
        <v>42.72</v>
      </c>
      <c r="AJ72">
        <v>16.579999999999998</v>
      </c>
      <c r="AK72">
        <v>43.98</v>
      </c>
      <c r="AL72">
        <v>92.98</v>
      </c>
      <c r="AM72">
        <v>22.19</v>
      </c>
      <c r="AN72">
        <v>33.770000000000003</v>
      </c>
      <c r="AO72" s="1">
        <v>642.71</v>
      </c>
    </row>
    <row r="73" spans="1:41" x14ac:dyDescent="0.25">
      <c r="A73" t="s">
        <v>327</v>
      </c>
      <c r="B73" s="4">
        <v>4182</v>
      </c>
      <c r="C73" s="4">
        <v>45</v>
      </c>
      <c r="D73" s="4">
        <v>4910</v>
      </c>
      <c r="E73" s="4">
        <v>3863</v>
      </c>
      <c r="F73" s="4">
        <v>2930</v>
      </c>
      <c r="G73" s="4">
        <v>1335</v>
      </c>
      <c r="H73" s="4">
        <v>3190</v>
      </c>
      <c r="I73" s="4">
        <v>1118</v>
      </c>
      <c r="J73" s="4">
        <v>0</v>
      </c>
      <c r="K73" s="4">
        <v>885</v>
      </c>
      <c r="L73" s="4">
        <v>4841</v>
      </c>
      <c r="M73" s="4">
        <v>2670</v>
      </c>
      <c r="N73" s="3">
        <f t="shared" si="2"/>
        <v>29969</v>
      </c>
      <c r="O73" s="4">
        <v>12</v>
      </c>
      <c r="P73" s="4">
        <v>1</v>
      </c>
      <c r="Q73" s="4">
        <v>2</v>
      </c>
      <c r="R73" s="4">
        <v>2</v>
      </c>
      <c r="S73" s="4">
        <v>9</v>
      </c>
      <c r="T73" s="4">
        <v>3</v>
      </c>
      <c r="U73" s="4">
        <v>7</v>
      </c>
      <c r="V73" s="4">
        <v>7</v>
      </c>
      <c r="W73" s="4">
        <v>3</v>
      </c>
      <c r="X73" s="4">
        <v>1</v>
      </c>
      <c r="Y73" s="4">
        <v>8</v>
      </c>
      <c r="Z73" s="4">
        <v>2</v>
      </c>
      <c r="AA73" s="3">
        <f t="shared" si="3"/>
        <v>57</v>
      </c>
      <c r="AB73" t="s">
        <v>63</v>
      </c>
      <c r="AC73">
        <v>84.72</v>
      </c>
      <c r="AD73">
        <v>0.99</v>
      </c>
      <c r="AE73">
        <v>98.38</v>
      </c>
      <c r="AF73">
        <v>77.44</v>
      </c>
      <c r="AG73">
        <v>59.41</v>
      </c>
      <c r="AH73">
        <v>26.97</v>
      </c>
      <c r="AI73">
        <v>64.430000000000007</v>
      </c>
      <c r="AJ73">
        <v>22.99</v>
      </c>
      <c r="AK73">
        <v>0.27</v>
      </c>
      <c r="AL73">
        <v>17.79</v>
      </c>
      <c r="AM73">
        <v>97.54</v>
      </c>
      <c r="AN73">
        <v>53.58</v>
      </c>
      <c r="AO73" s="1">
        <v>604.51</v>
      </c>
    </row>
    <row r="74" spans="1:41" x14ac:dyDescent="0.25">
      <c r="A74" t="s">
        <v>331</v>
      </c>
      <c r="B74" s="4">
        <v>4132</v>
      </c>
      <c r="C74" s="4">
        <v>9624</v>
      </c>
      <c r="D74" s="4">
        <v>0</v>
      </c>
      <c r="E74" s="4">
        <v>0</v>
      </c>
      <c r="F74" s="4">
        <v>1801</v>
      </c>
      <c r="G74" s="4">
        <v>0</v>
      </c>
      <c r="H74" s="4">
        <v>5232</v>
      </c>
      <c r="I74" s="4">
        <v>2022</v>
      </c>
      <c r="J74" s="4">
        <v>2981</v>
      </c>
      <c r="K74" s="4">
        <v>2101</v>
      </c>
      <c r="L74" s="4">
        <v>867</v>
      </c>
      <c r="M74" s="4">
        <v>2408</v>
      </c>
      <c r="N74" s="3">
        <f t="shared" si="2"/>
        <v>31168</v>
      </c>
      <c r="O74" s="4">
        <v>4</v>
      </c>
      <c r="P74" s="4">
        <v>0</v>
      </c>
      <c r="Q74" s="4">
        <v>12</v>
      </c>
      <c r="R74" s="4">
        <v>2</v>
      </c>
      <c r="S74" s="4">
        <v>1</v>
      </c>
      <c r="T74" s="4">
        <v>2</v>
      </c>
      <c r="U74" s="4">
        <v>0</v>
      </c>
      <c r="V74" s="4">
        <v>6</v>
      </c>
      <c r="W74" s="4">
        <v>8</v>
      </c>
      <c r="X74" s="4">
        <v>4</v>
      </c>
      <c r="Y74" s="4">
        <v>2</v>
      </c>
      <c r="Z74" s="4">
        <v>3</v>
      </c>
      <c r="AA74" s="3">
        <f t="shared" si="3"/>
        <v>44</v>
      </c>
      <c r="AB74" t="s">
        <v>63</v>
      </c>
      <c r="AC74">
        <v>83</v>
      </c>
      <c r="AD74">
        <v>192.48</v>
      </c>
      <c r="AE74">
        <v>1.08</v>
      </c>
      <c r="AF74">
        <v>0.18</v>
      </c>
      <c r="AG74">
        <v>36.11</v>
      </c>
      <c r="AH74">
        <v>0.18</v>
      </c>
      <c r="AI74">
        <v>104.64</v>
      </c>
      <c r="AJ74">
        <v>40.98</v>
      </c>
      <c r="AK74">
        <v>60.34</v>
      </c>
      <c r="AL74">
        <v>42.38</v>
      </c>
      <c r="AM74">
        <v>17.52</v>
      </c>
      <c r="AN74">
        <v>48.43</v>
      </c>
      <c r="AO74" s="1">
        <v>627.31999999999994</v>
      </c>
    </row>
    <row r="75" spans="1:41" x14ac:dyDescent="0.25">
      <c r="A75" t="s">
        <v>333</v>
      </c>
      <c r="B75" s="4">
        <v>4083</v>
      </c>
      <c r="C75" s="4">
        <v>3</v>
      </c>
      <c r="D75" s="4">
        <v>0</v>
      </c>
      <c r="E75" s="4">
        <v>1363</v>
      </c>
      <c r="F75" s="4">
        <v>647</v>
      </c>
      <c r="G75" s="4">
        <v>2818</v>
      </c>
      <c r="H75" s="4">
        <v>6575</v>
      </c>
      <c r="I75" s="4">
        <v>1133</v>
      </c>
      <c r="J75" s="4">
        <v>1914</v>
      </c>
      <c r="K75" s="4">
        <v>1964</v>
      </c>
      <c r="L75" s="4">
        <v>894</v>
      </c>
      <c r="M75" s="4">
        <v>10671</v>
      </c>
      <c r="N75" s="3">
        <f t="shared" si="2"/>
        <v>32065</v>
      </c>
      <c r="O75" s="4">
        <v>1</v>
      </c>
      <c r="P75" s="4">
        <v>1</v>
      </c>
      <c r="Q75" s="4">
        <v>3</v>
      </c>
      <c r="R75" s="4">
        <v>8</v>
      </c>
      <c r="S75" s="4">
        <v>11</v>
      </c>
      <c r="T75" s="4">
        <v>6</v>
      </c>
      <c r="U75" s="4">
        <v>1</v>
      </c>
      <c r="V75" s="4">
        <v>0</v>
      </c>
      <c r="W75" s="4">
        <v>2</v>
      </c>
      <c r="X75" s="4">
        <v>1</v>
      </c>
      <c r="Y75" s="4">
        <v>4</v>
      </c>
      <c r="Z75" s="4">
        <v>2</v>
      </c>
      <c r="AA75" s="3">
        <f t="shared" si="3"/>
        <v>40</v>
      </c>
      <c r="AB75" t="s">
        <v>63</v>
      </c>
      <c r="AC75">
        <v>81.75</v>
      </c>
      <c r="AD75">
        <v>0.15</v>
      </c>
      <c r="AE75">
        <v>0.27</v>
      </c>
      <c r="AF75">
        <v>27.98</v>
      </c>
      <c r="AG75">
        <v>13.93</v>
      </c>
      <c r="AH75">
        <v>56.9</v>
      </c>
      <c r="AI75">
        <v>131.59</v>
      </c>
      <c r="AJ75">
        <v>22.66</v>
      </c>
      <c r="AK75">
        <v>38.46</v>
      </c>
      <c r="AL75">
        <v>39.369999999999997</v>
      </c>
      <c r="AM75">
        <v>18.239999999999998</v>
      </c>
      <c r="AN75">
        <v>213.6</v>
      </c>
      <c r="AO75" s="1">
        <v>644.90000000000009</v>
      </c>
    </row>
    <row r="76" spans="1:41" x14ac:dyDescent="0.25">
      <c r="A76" t="s">
        <v>334</v>
      </c>
      <c r="B76" s="4">
        <v>4082</v>
      </c>
      <c r="C76" s="4">
        <v>1779</v>
      </c>
      <c r="D76" s="4">
        <v>3479</v>
      </c>
      <c r="E76" s="4">
        <v>2708</v>
      </c>
      <c r="F76" s="4">
        <v>381</v>
      </c>
      <c r="G76" s="4">
        <v>250</v>
      </c>
      <c r="H76" s="4">
        <v>1103</v>
      </c>
      <c r="I76" s="4">
        <v>890</v>
      </c>
      <c r="J76" s="4">
        <v>3289</v>
      </c>
      <c r="K76" s="4">
        <v>4100</v>
      </c>
      <c r="L76" s="4">
        <v>275</v>
      </c>
      <c r="M76" s="4">
        <v>3328</v>
      </c>
      <c r="N76" s="3">
        <f t="shared" si="2"/>
        <v>25664</v>
      </c>
      <c r="O76" s="4">
        <v>17</v>
      </c>
      <c r="P76" s="4">
        <v>1</v>
      </c>
      <c r="Q76" s="4">
        <v>6</v>
      </c>
      <c r="R76" s="4">
        <v>4</v>
      </c>
      <c r="S76" s="4">
        <v>2</v>
      </c>
      <c r="T76" s="4">
        <v>3</v>
      </c>
      <c r="U76" s="4">
        <v>5</v>
      </c>
      <c r="V76" s="4">
        <v>3</v>
      </c>
      <c r="W76" s="4">
        <v>5</v>
      </c>
      <c r="X76" s="4">
        <v>22</v>
      </c>
      <c r="Y76" s="4">
        <v>1</v>
      </c>
      <c r="Z76" s="4">
        <v>3</v>
      </c>
      <c r="AA76" s="3">
        <f t="shared" si="3"/>
        <v>72</v>
      </c>
      <c r="AB76" t="s">
        <v>63</v>
      </c>
      <c r="AC76">
        <v>83.17</v>
      </c>
      <c r="AD76">
        <v>35.67</v>
      </c>
      <c r="AE76">
        <v>70.12</v>
      </c>
      <c r="AF76">
        <v>54.52</v>
      </c>
      <c r="AG76">
        <v>7.8</v>
      </c>
      <c r="AH76">
        <v>5.27</v>
      </c>
      <c r="AI76">
        <v>22.51</v>
      </c>
      <c r="AJ76">
        <v>18.07</v>
      </c>
      <c r="AK76">
        <v>66.23</v>
      </c>
      <c r="AL76">
        <v>83.98</v>
      </c>
      <c r="AM76">
        <v>5.59</v>
      </c>
      <c r="AN76">
        <v>66.83</v>
      </c>
      <c r="AO76" s="1">
        <v>519.76</v>
      </c>
    </row>
    <row r="77" spans="1:41" x14ac:dyDescent="0.25">
      <c r="A77" t="s">
        <v>335</v>
      </c>
      <c r="B77" s="4">
        <v>4081</v>
      </c>
      <c r="C77" s="4">
        <v>3477</v>
      </c>
      <c r="D77" s="4">
        <v>22476</v>
      </c>
      <c r="E77" s="4">
        <v>2011</v>
      </c>
      <c r="F77" s="4">
        <v>4224</v>
      </c>
      <c r="G77" s="4">
        <v>5669</v>
      </c>
      <c r="H77" s="4">
        <v>2183</v>
      </c>
      <c r="I77" s="4">
        <v>2151</v>
      </c>
      <c r="J77" s="4">
        <v>11672</v>
      </c>
      <c r="K77" s="4">
        <v>0</v>
      </c>
      <c r="L77" s="4">
        <v>855</v>
      </c>
      <c r="M77" s="4">
        <v>2403</v>
      </c>
      <c r="N77" s="3">
        <f t="shared" si="2"/>
        <v>61202</v>
      </c>
      <c r="O77" s="4">
        <v>3</v>
      </c>
      <c r="P77" s="4">
        <v>0</v>
      </c>
      <c r="Q77" s="4">
        <v>3</v>
      </c>
      <c r="R77" s="4">
        <v>5</v>
      </c>
      <c r="S77" s="4">
        <v>4</v>
      </c>
      <c r="T77" s="4">
        <v>5</v>
      </c>
      <c r="U77" s="4">
        <v>2</v>
      </c>
      <c r="V77" s="4">
        <v>2</v>
      </c>
      <c r="W77" s="4">
        <v>3</v>
      </c>
      <c r="X77" s="4">
        <v>2</v>
      </c>
      <c r="Y77" s="4">
        <v>11</v>
      </c>
      <c r="Z77" s="4">
        <v>4</v>
      </c>
      <c r="AA77" s="3">
        <f t="shared" si="3"/>
        <v>44</v>
      </c>
      <c r="AB77" t="s">
        <v>63</v>
      </c>
      <c r="AC77">
        <v>81.89</v>
      </c>
      <c r="AD77">
        <v>69.540000000000006</v>
      </c>
      <c r="AE77">
        <v>449.79</v>
      </c>
      <c r="AF77">
        <v>40.67</v>
      </c>
      <c r="AG77">
        <v>84.84</v>
      </c>
      <c r="AH77">
        <v>113.83</v>
      </c>
      <c r="AI77">
        <v>43.84</v>
      </c>
      <c r="AJ77">
        <v>43.2</v>
      </c>
      <c r="AK77">
        <v>233.71</v>
      </c>
      <c r="AL77">
        <v>0.18</v>
      </c>
      <c r="AM77">
        <v>18.09</v>
      </c>
      <c r="AN77">
        <v>48.42</v>
      </c>
      <c r="AO77" s="1">
        <v>1228.0000000000002</v>
      </c>
    </row>
    <row r="78" spans="1:41" x14ac:dyDescent="0.25">
      <c r="A78" t="s">
        <v>336</v>
      </c>
      <c r="B78" s="4">
        <v>4080</v>
      </c>
      <c r="C78" s="4">
        <v>930</v>
      </c>
      <c r="D78" s="4">
        <v>1128</v>
      </c>
      <c r="E78" s="4">
        <v>0</v>
      </c>
      <c r="F78" s="4">
        <v>4054</v>
      </c>
      <c r="G78" s="4">
        <v>5422</v>
      </c>
      <c r="H78" s="4">
        <v>3927</v>
      </c>
      <c r="I78" s="4">
        <v>5593</v>
      </c>
      <c r="J78" s="4">
        <v>5614</v>
      </c>
      <c r="K78" s="4">
        <v>6708</v>
      </c>
      <c r="L78" s="4">
        <v>1982</v>
      </c>
      <c r="M78" s="4">
        <v>8054</v>
      </c>
      <c r="N78" s="3">
        <f t="shared" si="2"/>
        <v>47492</v>
      </c>
      <c r="O78" s="4">
        <v>2</v>
      </c>
      <c r="P78" s="4">
        <v>5</v>
      </c>
      <c r="Q78" s="4">
        <v>4</v>
      </c>
      <c r="R78" s="4">
        <v>5</v>
      </c>
      <c r="S78" s="4">
        <v>3</v>
      </c>
      <c r="T78" s="4">
        <v>1</v>
      </c>
      <c r="U78" s="4">
        <v>8</v>
      </c>
      <c r="V78" s="4">
        <v>5</v>
      </c>
      <c r="W78" s="4">
        <v>0</v>
      </c>
      <c r="X78" s="4">
        <v>6</v>
      </c>
      <c r="Y78" s="4">
        <v>11</v>
      </c>
      <c r="Z78" s="4">
        <v>11</v>
      </c>
      <c r="AA78" s="3">
        <f t="shared" si="3"/>
        <v>61</v>
      </c>
      <c r="AB78" t="s">
        <v>63</v>
      </c>
      <c r="AC78">
        <v>81.78</v>
      </c>
      <c r="AD78">
        <v>19.05</v>
      </c>
      <c r="AE78">
        <v>22.92</v>
      </c>
      <c r="AF78">
        <v>0.45</v>
      </c>
      <c r="AG78">
        <v>81.349999999999994</v>
      </c>
      <c r="AH78">
        <v>108.53</v>
      </c>
      <c r="AI78">
        <v>79.260000000000005</v>
      </c>
      <c r="AJ78">
        <v>112.31</v>
      </c>
      <c r="AK78">
        <v>112.28</v>
      </c>
      <c r="AL78">
        <v>134.69999999999999</v>
      </c>
      <c r="AM78">
        <v>40.630000000000003</v>
      </c>
      <c r="AN78">
        <v>162.07</v>
      </c>
      <c r="AO78" s="1">
        <v>955.33000000000015</v>
      </c>
    </row>
    <row r="79" spans="1:41" x14ac:dyDescent="0.25">
      <c r="A79" t="s">
        <v>338</v>
      </c>
      <c r="B79" s="4">
        <v>4036</v>
      </c>
      <c r="C79" s="4">
        <v>3592</v>
      </c>
      <c r="D79" s="4">
        <v>0</v>
      </c>
      <c r="E79" s="4">
        <v>6770</v>
      </c>
      <c r="F79" s="4">
        <v>2050</v>
      </c>
      <c r="G79" s="4">
        <v>5358</v>
      </c>
      <c r="H79" s="4">
        <v>3450</v>
      </c>
      <c r="I79" s="4">
        <v>1152</v>
      </c>
      <c r="J79" s="4">
        <v>1314</v>
      </c>
      <c r="K79" s="4">
        <v>1004</v>
      </c>
      <c r="L79" s="4">
        <v>161</v>
      </c>
      <c r="M79" s="4">
        <v>1212</v>
      </c>
      <c r="N79" s="3">
        <f t="shared" si="2"/>
        <v>30099</v>
      </c>
      <c r="O79" s="4">
        <v>4</v>
      </c>
      <c r="P79" s="4">
        <v>19</v>
      </c>
      <c r="Q79" s="4">
        <v>2</v>
      </c>
      <c r="R79" s="4">
        <v>3</v>
      </c>
      <c r="S79" s="4">
        <v>0</v>
      </c>
      <c r="T79" s="4">
        <v>4</v>
      </c>
      <c r="U79" s="4">
        <v>5</v>
      </c>
      <c r="V79" s="4">
        <v>0</v>
      </c>
      <c r="W79" s="4">
        <v>1</v>
      </c>
      <c r="X79" s="4">
        <v>3</v>
      </c>
      <c r="Y79" s="4">
        <v>1</v>
      </c>
      <c r="Z79" s="4">
        <v>1</v>
      </c>
      <c r="AA79" s="3">
        <f t="shared" si="3"/>
        <v>43</v>
      </c>
      <c r="AB79" t="s">
        <v>63</v>
      </c>
      <c r="AC79">
        <v>81.08</v>
      </c>
      <c r="AD79">
        <v>73.55</v>
      </c>
      <c r="AE79">
        <v>0.18</v>
      </c>
      <c r="AF79">
        <v>135.66999999999999</v>
      </c>
      <c r="AG79">
        <v>41</v>
      </c>
      <c r="AH79">
        <v>107.52</v>
      </c>
      <c r="AI79">
        <v>69.45</v>
      </c>
      <c r="AJ79">
        <v>23.04</v>
      </c>
      <c r="AK79">
        <v>26.37</v>
      </c>
      <c r="AL79">
        <v>20.350000000000001</v>
      </c>
      <c r="AM79">
        <v>3.31</v>
      </c>
      <c r="AN79">
        <v>24.33</v>
      </c>
      <c r="AO79" s="1">
        <v>605.85</v>
      </c>
    </row>
    <row r="80" spans="1:41" x14ac:dyDescent="0.25">
      <c r="A80" t="s">
        <v>344</v>
      </c>
      <c r="B80" s="4">
        <v>4006</v>
      </c>
      <c r="C80" s="4">
        <v>0</v>
      </c>
      <c r="D80" s="4">
        <v>4420</v>
      </c>
      <c r="E80" s="4">
        <v>487</v>
      </c>
      <c r="F80" s="4">
        <v>3238</v>
      </c>
      <c r="G80" s="4">
        <v>902</v>
      </c>
      <c r="H80" s="4">
        <v>5244</v>
      </c>
      <c r="I80" s="4">
        <v>0</v>
      </c>
      <c r="J80" s="4">
        <v>577</v>
      </c>
      <c r="K80" s="4">
        <v>1632</v>
      </c>
      <c r="L80" s="4">
        <v>595</v>
      </c>
      <c r="M80" s="4">
        <v>5827</v>
      </c>
      <c r="N80" s="3">
        <f t="shared" si="2"/>
        <v>26928</v>
      </c>
      <c r="O80" s="4">
        <v>2</v>
      </c>
      <c r="P80" s="4">
        <v>3</v>
      </c>
      <c r="Q80" s="4">
        <v>1</v>
      </c>
      <c r="R80" s="4">
        <v>7</v>
      </c>
      <c r="S80" s="4">
        <v>9</v>
      </c>
      <c r="T80" s="4">
        <v>8</v>
      </c>
      <c r="U80" s="4">
        <v>2</v>
      </c>
      <c r="V80" s="4">
        <v>3</v>
      </c>
      <c r="W80" s="4">
        <v>4</v>
      </c>
      <c r="X80" s="4">
        <v>7</v>
      </c>
      <c r="Y80" s="4">
        <v>22</v>
      </c>
      <c r="Z80" s="4">
        <v>2</v>
      </c>
      <c r="AA80" s="3">
        <f t="shared" si="3"/>
        <v>70</v>
      </c>
      <c r="AB80" t="s">
        <v>63</v>
      </c>
      <c r="AC80">
        <v>80.3</v>
      </c>
      <c r="AD80">
        <v>0.27</v>
      </c>
      <c r="AE80">
        <v>88.49</v>
      </c>
      <c r="AF80">
        <v>10.37</v>
      </c>
      <c r="AG80">
        <v>65.569999999999993</v>
      </c>
      <c r="AH80">
        <v>18.760000000000002</v>
      </c>
      <c r="AI80">
        <v>105.06</v>
      </c>
      <c r="AJ80">
        <v>0.27</v>
      </c>
      <c r="AK80">
        <v>11.9</v>
      </c>
      <c r="AL80">
        <v>33.270000000000003</v>
      </c>
      <c r="AM80">
        <v>13.88</v>
      </c>
      <c r="AN80">
        <v>116.72</v>
      </c>
      <c r="AO80" s="1">
        <v>544.8599999999999</v>
      </c>
    </row>
    <row r="81" spans="1:41" x14ac:dyDescent="0.25">
      <c r="A81" t="s">
        <v>345</v>
      </c>
      <c r="B81" s="4">
        <v>3976</v>
      </c>
      <c r="C81" s="4">
        <v>2907</v>
      </c>
      <c r="D81" s="4">
        <v>8226</v>
      </c>
      <c r="E81" s="4">
        <v>474</v>
      </c>
      <c r="F81" s="4">
        <v>558</v>
      </c>
      <c r="G81" s="4">
        <v>2487</v>
      </c>
      <c r="H81" s="4">
        <v>1342</v>
      </c>
      <c r="I81" s="4">
        <v>2856</v>
      </c>
      <c r="J81" s="4">
        <v>0</v>
      </c>
      <c r="K81" s="4">
        <v>0</v>
      </c>
      <c r="L81" s="4">
        <v>2945</v>
      </c>
      <c r="M81" s="4">
        <v>10190</v>
      </c>
      <c r="N81" s="3">
        <f t="shared" si="2"/>
        <v>35961</v>
      </c>
      <c r="O81" s="4">
        <v>5</v>
      </c>
      <c r="P81" s="4">
        <v>2</v>
      </c>
      <c r="Q81" s="4">
        <v>6</v>
      </c>
      <c r="R81" s="4">
        <v>3</v>
      </c>
      <c r="S81" s="4">
        <v>1</v>
      </c>
      <c r="T81" s="4">
        <v>3</v>
      </c>
      <c r="U81" s="4">
        <v>8</v>
      </c>
      <c r="V81" s="4">
        <v>2</v>
      </c>
      <c r="W81" s="4">
        <v>7</v>
      </c>
      <c r="X81" s="4">
        <v>0</v>
      </c>
      <c r="Y81" s="4">
        <v>5</v>
      </c>
      <c r="Z81" s="4">
        <v>2</v>
      </c>
      <c r="AA81" s="3">
        <f t="shared" si="3"/>
        <v>44</v>
      </c>
      <c r="AB81" t="s">
        <v>63</v>
      </c>
      <c r="AC81">
        <v>79.97</v>
      </c>
      <c r="AD81">
        <v>58.32</v>
      </c>
      <c r="AE81">
        <v>165.06</v>
      </c>
      <c r="AF81">
        <v>9.75</v>
      </c>
      <c r="AG81">
        <v>11.25</v>
      </c>
      <c r="AH81">
        <v>50.01</v>
      </c>
      <c r="AI81">
        <v>27.56</v>
      </c>
      <c r="AJ81">
        <v>57.3</v>
      </c>
      <c r="AK81">
        <v>0.63</v>
      </c>
      <c r="AL81">
        <v>0</v>
      </c>
      <c r="AM81">
        <v>59.35</v>
      </c>
      <c r="AN81">
        <v>203.98</v>
      </c>
      <c r="AO81" s="1">
        <v>723.18000000000006</v>
      </c>
    </row>
    <row r="82" spans="1:41" x14ac:dyDescent="0.25">
      <c r="A82" t="s">
        <v>347</v>
      </c>
      <c r="B82" s="4">
        <v>3940</v>
      </c>
      <c r="C82" s="4">
        <v>4171</v>
      </c>
      <c r="D82" s="4">
        <v>191</v>
      </c>
      <c r="E82" s="4">
        <v>4399</v>
      </c>
      <c r="F82" s="4">
        <v>3910</v>
      </c>
      <c r="G82" s="4">
        <v>2558</v>
      </c>
      <c r="H82" s="4">
        <v>583</v>
      </c>
      <c r="I82" s="4">
        <v>1378</v>
      </c>
      <c r="J82" s="4">
        <v>3336</v>
      </c>
      <c r="K82" s="4">
        <v>2350</v>
      </c>
      <c r="L82" s="4">
        <v>774</v>
      </c>
      <c r="M82" s="4">
        <v>2005</v>
      </c>
      <c r="N82" s="3">
        <f t="shared" si="2"/>
        <v>29595</v>
      </c>
      <c r="O82" s="4">
        <v>2</v>
      </c>
      <c r="P82" s="4">
        <v>7</v>
      </c>
      <c r="Q82" s="4">
        <v>0</v>
      </c>
      <c r="R82" s="4">
        <v>6</v>
      </c>
      <c r="S82" s="4">
        <v>0</v>
      </c>
      <c r="T82" s="4">
        <v>4</v>
      </c>
      <c r="U82" s="4">
        <v>18</v>
      </c>
      <c r="V82" s="4">
        <v>0</v>
      </c>
      <c r="W82" s="4">
        <v>3</v>
      </c>
      <c r="X82" s="4">
        <v>3</v>
      </c>
      <c r="Y82" s="4">
        <v>9</v>
      </c>
      <c r="Z82" s="4">
        <v>10</v>
      </c>
      <c r="AA82" s="3">
        <f t="shared" si="3"/>
        <v>62</v>
      </c>
      <c r="AB82" t="s">
        <v>63</v>
      </c>
      <c r="AC82">
        <v>78.98</v>
      </c>
      <c r="AD82">
        <v>84.05</v>
      </c>
      <c r="AE82">
        <v>3.82</v>
      </c>
      <c r="AF82">
        <v>88.52</v>
      </c>
      <c r="AG82">
        <v>78.2</v>
      </c>
      <c r="AH82">
        <v>51.52</v>
      </c>
      <c r="AI82">
        <v>13.28</v>
      </c>
      <c r="AJ82">
        <v>27.56</v>
      </c>
      <c r="AK82">
        <v>66.989999999999995</v>
      </c>
      <c r="AL82">
        <v>47.27</v>
      </c>
      <c r="AM82">
        <v>16.29</v>
      </c>
      <c r="AN82">
        <v>41</v>
      </c>
      <c r="AO82" s="1">
        <v>597.4799999999999</v>
      </c>
    </row>
    <row r="83" spans="1:41" x14ac:dyDescent="0.25">
      <c r="A83" t="s">
        <v>350</v>
      </c>
      <c r="B83" s="4">
        <v>3925</v>
      </c>
      <c r="C83" s="4">
        <v>4331</v>
      </c>
      <c r="D83" s="4">
        <v>6559</v>
      </c>
      <c r="E83" s="4">
        <v>3973</v>
      </c>
      <c r="F83" s="4">
        <v>1540</v>
      </c>
      <c r="G83" s="4">
        <v>2930</v>
      </c>
      <c r="H83" s="4">
        <v>13441</v>
      </c>
      <c r="I83" s="4">
        <v>2044</v>
      </c>
      <c r="J83" s="4">
        <v>10394</v>
      </c>
      <c r="K83" s="4">
        <v>6451</v>
      </c>
      <c r="L83" s="4">
        <v>3300</v>
      </c>
      <c r="M83" s="4">
        <v>1869</v>
      </c>
      <c r="N83" s="3">
        <f t="shared" si="2"/>
        <v>60757</v>
      </c>
      <c r="O83" s="4">
        <v>8</v>
      </c>
      <c r="P83" s="4">
        <v>4</v>
      </c>
      <c r="Q83" s="4">
        <v>4</v>
      </c>
      <c r="R83" s="4">
        <v>4</v>
      </c>
      <c r="S83" s="4">
        <v>2</v>
      </c>
      <c r="T83" s="4">
        <v>1</v>
      </c>
      <c r="U83" s="4">
        <v>5</v>
      </c>
      <c r="V83" s="4">
        <v>2</v>
      </c>
      <c r="W83" s="4">
        <v>4</v>
      </c>
      <c r="X83" s="4">
        <v>2</v>
      </c>
      <c r="Y83" s="4">
        <v>4</v>
      </c>
      <c r="Z83" s="4">
        <v>1</v>
      </c>
      <c r="AA83" s="3">
        <f t="shared" si="3"/>
        <v>41</v>
      </c>
      <c r="AB83" t="s">
        <v>63</v>
      </c>
      <c r="AC83">
        <v>79.22</v>
      </c>
      <c r="AD83">
        <v>86.98</v>
      </c>
      <c r="AE83">
        <v>131.54</v>
      </c>
      <c r="AF83">
        <v>79.819999999999993</v>
      </c>
      <c r="AG83">
        <v>30.98</v>
      </c>
      <c r="AH83">
        <v>58.69</v>
      </c>
      <c r="AI83">
        <v>269.27</v>
      </c>
      <c r="AJ83">
        <v>41.06</v>
      </c>
      <c r="AK83">
        <v>208.24</v>
      </c>
      <c r="AL83">
        <v>129.19999999999999</v>
      </c>
      <c r="AM83">
        <v>66.36</v>
      </c>
      <c r="AN83">
        <v>37.47</v>
      </c>
      <c r="AO83" s="1">
        <v>1218.83</v>
      </c>
    </row>
    <row r="84" spans="1:41" x14ac:dyDescent="0.25">
      <c r="A84" t="s">
        <v>355</v>
      </c>
      <c r="B84" s="4">
        <v>3879</v>
      </c>
      <c r="C84" s="4">
        <v>5504</v>
      </c>
      <c r="D84" s="4">
        <v>240</v>
      </c>
      <c r="E84" s="4">
        <v>4054</v>
      </c>
      <c r="F84" s="4">
        <v>1032</v>
      </c>
      <c r="G84" s="4">
        <v>1014</v>
      </c>
      <c r="H84" s="4">
        <v>1862</v>
      </c>
      <c r="I84" s="4">
        <v>1406</v>
      </c>
      <c r="J84" s="4">
        <v>6780</v>
      </c>
      <c r="K84" s="4">
        <v>942</v>
      </c>
      <c r="L84" s="4">
        <v>621</v>
      </c>
      <c r="M84" s="4">
        <v>2313</v>
      </c>
      <c r="N84" s="3">
        <f t="shared" si="2"/>
        <v>29647</v>
      </c>
      <c r="O84" s="4">
        <v>7</v>
      </c>
      <c r="P84" s="4">
        <v>2</v>
      </c>
      <c r="Q84" s="4">
        <v>9</v>
      </c>
      <c r="R84" s="4">
        <v>18</v>
      </c>
      <c r="S84" s="4">
        <v>1</v>
      </c>
      <c r="T84" s="4">
        <v>0</v>
      </c>
      <c r="U84" s="4">
        <v>5</v>
      </c>
      <c r="V84" s="4">
        <v>1</v>
      </c>
      <c r="W84" s="4">
        <v>7</v>
      </c>
      <c r="X84" s="4">
        <v>2</v>
      </c>
      <c r="Y84" s="4">
        <v>0</v>
      </c>
      <c r="Z84" s="4">
        <v>15</v>
      </c>
      <c r="AA84" s="3">
        <f t="shared" si="3"/>
        <v>67</v>
      </c>
      <c r="AB84" t="s">
        <v>63</v>
      </c>
      <c r="AC84">
        <v>78.209999999999994</v>
      </c>
      <c r="AD84">
        <v>110.26</v>
      </c>
      <c r="AE84">
        <v>5.61</v>
      </c>
      <c r="AF84">
        <v>82.7</v>
      </c>
      <c r="AG84">
        <v>20.73</v>
      </c>
      <c r="AH84">
        <v>20.28</v>
      </c>
      <c r="AI84">
        <v>37.69</v>
      </c>
      <c r="AJ84">
        <v>28.21</v>
      </c>
      <c r="AK84">
        <v>136.22999999999999</v>
      </c>
      <c r="AL84">
        <v>19.02</v>
      </c>
      <c r="AM84">
        <v>12.42</v>
      </c>
      <c r="AN84">
        <v>47.61</v>
      </c>
      <c r="AO84" s="1">
        <v>598.97</v>
      </c>
    </row>
    <row r="85" spans="1:41" x14ac:dyDescent="0.25">
      <c r="A85" t="s">
        <v>357</v>
      </c>
      <c r="B85" s="4">
        <v>3860</v>
      </c>
      <c r="C85" s="4">
        <v>900</v>
      </c>
      <c r="D85" s="4">
        <v>2776</v>
      </c>
      <c r="E85" s="4">
        <v>3962</v>
      </c>
      <c r="F85" s="4">
        <v>0</v>
      </c>
      <c r="G85" s="4">
        <v>297</v>
      </c>
      <c r="H85" s="4">
        <v>47</v>
      </c>
      <c r="I85" s="4">
        <v>266</v>
      </c>
      <c r="J85" s="4">
        <v>12287</v>
      </c>
      <c r="K85" s="4">
        <v>1190</v>
      </c>
      <c r="L85" s="4">
        <v>2422</v>
      </c>
      <c r="M85" s="4">
        <v>5202</v>
      </c>
      <c r="N85" s="3">
        <f t="shared" si="2"/>
        <v>33209</v>
      </c>
      <c r="O85" s="4">
        <v>2</v>
      </c>
      <c r="P85" s="4">
        <v>1</v>
      </c>
      <c r="Q85" s="4">
        <v>1</v>
      </c>
      <c r="R85" s="4">
        <v>10</v>
      </c>
      <c r="S85" s="4">
        <v>8</v>
      </c>
      <c r="T85" s="4">
        <v>3</v>
      </c>
      <c r="U85" s="4">
        <v>6</v>
      </c>
      <c r="V85" s="4">
        <v>1</v>
      </c>
      <c r="W85" s="4">
        <v>5</v>
      </c>
      <c r="X85" s="4">
        <v>3</v>
      </c>
      <c r="Y85" s="4">
        <v>1</v>
      </c>
      <c r="Z85" s="4">
        <v>2</v>
      </c>
      <c r="AA85" s="3">
        <f t="shared" si="3"/>
        <v>43</v>
      </c>
      <c r="AB85" t="s">
        <v>63</v>
      </c>
      <c r="AC85">
        <v>77.38</v>
      </c>
      <c r="AD85">
        <v>18.09</v>
      </c>
      <c r="AE85">
        <v>55.61</v>
      </c>
      <c r="AF85">
        <v>80.14</v>
      </c>
      <c r="AG85">
        <v>0.72</v>
      </c>
      <c r="AH85">
        <v>6.21</v>
      </c>
      <c r="AI85">
        <v>1.48</v>
      </c>
      <c r="AJ85">
        <v>5.41</v>
      </c>
      <c r="AK85">
        <v>246.19</v>
      </c>
      <c r="AL85">
        <v>24.07</v>
      </c>
      <c r="AM85">
        <v>48.53</v>
      </c>
      <c r="AN85">
        <v>104.22</v>
      </c>
      <c r="AO85" s="1">
        <v>668.05</v>
      </c>
    </row>
    <row r="86" spans="1:41" x14ac:dyDescent="0.25">
      <c r="A86" t="s">
        <v>361</v>
      </c>
      <c r="B86" s="4">
        <v>3838</v>
      </c>
      <c r="C86" s="4">
        <v>389</v>
      </c>
      <c r="D86" s="4">
        <v>4059</v>
      </c>
      <c r="E86" s="4">
        <v>0</v>
      </c>
      <c r="F86" s="4">
        <v>5502</v>
      </c>
      <c r="G86" s="4">
        <v>468</v>
      </c>
      <c r="H86" s="4">
        <v>1211</v>
      </c>
      <c r="I86" s="4">
        <v>956</v>
      </c>
      <c r="J86" s="4">
        <v>3696</v>
      </c>
      <c r="K86" s="4">
        <v>13826</v>
      </c>
      <c r="L86" s="4">
        <v>0</v>
      </c>
      <c r="M86" s="4">
        <v>261</v>
      </c>
      <c r="N86" s="3">
        <f t="shared" si="2"/>
        <v>34206</v>
      </c>
      <c r="O86" s="4">
        <v>1</v>
      </c>
      <c r="P86" s="4">
        <v>3</v>
      </c>
      <c r="Q86" s="4">
        <v>4</v>
      </c>
      <c r="R86" s="4">
        <v>6</v>
      </c>
      <c r="S86" s="4">
        <v>2</v>
      </c>
      <c r="T86" s="4">
        <v>8</v>
      </c>
      <c r="U86" s="4">
        <v>2</v>
      </c>
      <c r="V86" s="4">
        <v>3</v>
      </c>
      <c r="W86" s="4">
        <v>1</v>
      </c>
      <c r="X86" s="4">
        <v>3</v>
      </c>
      <c r="Y86" s="4">
        <v>14</v>
      </c>
      <c r="Z86" s="4">
        <v>3</v>
      </c>
      <c r="AA86" s="3">
        <f t="shared" si="3"/>
        <v>50</v>
      </c>
      <c r="AB86" t="s">
        <v>63</v>
      </c>
      <c r="AC86">
        <v>76.849999999999994</v>
      </c>
      <c r="AD86">
        <v>8.0500000000000007</v>
      </c>
      <c r="AE86">
        <v>81.540000000000006</v>
      </c>
      <c r="AF86">
        <v>0.54</v>
      </c>
      <c r="AG86">
        <v>110.22</v>
      </c>
      <c r="AH86">
        <v>10.08</v>
      </c>
      <c r="AI86">
        <v>24.4</v>
      </c>
      <c r="AJ86">
        <v>19.39</v>
      </c>
      <c r="AK86">
        <v>74.010000000000005</v>
      </c>
      <c r="AL86">
        <v>276.79000000000002</v>
      </c>
      <c r="AM86">
        <v>1.26</v>
      </c>
      <c r="AN86">
        <v>5.49</v>
      </c>
      <c r="AO86" s="1">
        <v>688.61999999999989</v>
      </c>
    </row>
    <row r="87" spans="1:41" x14ac:dyDescent="0.25">
      <c r="A87" t="s">
        <v>362</v>
      </c>
      <c r="B87" s="4">
        <v>3821</v>
      </c>
      <c r="C87" s="4">
        <v>4048</v>
      </c>
      <c r="D87" s="4">
        <v>1654</v>
      </c>
      <c r="E87" s="4">
        <v>2425</v>
      </c>
      <c r="F87" s="4">
        <v>1881</v>
      </c>
      <c r="G87" s="4">
        <v>800</v>
      </c>
      <c r="H87" s="4">
        <v>3926</v>
      </c>
      <c r="I87" s="4">
        <v>18638</v>
      </c>
      <c r="J87" s="4">
        <v>3187</v>
      </c>
      <c r="K87" s="4">
        <v>2561</v>
      </c>
      <c r="L87" s="4">
        <v>0</v>
      </c>
      <c r="M87" s="4">
        <v>462</v>
      </c>
      <c r="N87" s="3">
        <f t="shared" si="2"/>
        <v>43403</v>
      </c>
      <c r="O87" s="4">
        <v>7</v>
      </c>
      <c r="P87" s="4">
        <v>3</v>
      </c>
      <c r="Q87" s="4">
        <v>4</v>
      </c>
      <c r="R87" s="4">
        <v>2</v>
      </c>
      <c r="S87" s="4">
        <v>6</v>
      </c>
      <c r="T87" s="4">
        <v>1</v>
      </c>
      <c r="U87" s="4">
        <v>6</v>
      </c>
      <c r="V87" s="4">
        <v>5</v>
      </c>
      <c r="W87" s="4">
        <v>0</v>
      </c>
      <c r="X87" s="4">
        <v>9</v>
      </c>
      <c r="Y87" s="4">
        <v>4</v>
      </c>
      <c r="Z87" s="4">
        <v>4</v>
      </c>
      <c r="AA87" s="3">
        <f t="shared" si="3"/>
        <v>51</v>
      </c>
      <c r="AB87" t="s">
        <v>63</v>
      </c>
      <c r="AC87">
        <v>77.05</v>
      </c>
      <c r="AD87">
        <v>81.23</v>
      </c>
      <c r="AE87">
        <v>33.44</v>
      </c>
      <c r="AF87">
        <v>48.68</v>
      </c>
      <c r="AG87">
        <v>38.159999999999997</v>
      </c>
      <c r="AH87">
        <v>16.09</v>
      </c>
      <c r="AI87">
        <v>79.06</v>
      </c>
      <c r="AJ87">
        <v>373.21</v>
      </c>
      <c r="AK87">
        <v>63.74</v>
      </c>
      <c r="AL87">
        <v>52.03</v>
      </c>
      <c r="AM87">
        <v>0.36</v>
      </c>
      <c r="AN87">
        <v>9.6</v>
      </c>
      <c r="AO87" s="1">
        <v>872.65</v>
      </c>
    </row>
    <row r="88" spans="1:41" x14ac:dyDescent="0.25">
      <c r="A88" t="s">
        <v>363</v>
      </c>
      <c r="B88" s="4">
        <v>3816</v>
      </c>
      <c r="C88" s="4">
        <v>446</v>
      </c>
      <c r="D88" s="4">
        <v>8244</v>
      </c>
      <c r="E88" s="4">
        <v>5479</v>
      </c>
      <c r="F88" s="4">
        <v>796</v>
      </c>
      <c r="G88" s="4">
        <v>2344</v>
      </c>
      <c r="H88" s="4">
        <v>2665</v>
      </c>
      <c r="I88" s="4">
        <v>1247</v>
      </c>
      <c r="J88" s="4">
        <v>5917</v>
      </c>
      <c r="K88" s="4">
        <v>1208</v>
      </c>
      <c r="L88" s="4">
        <v>2417</v>
      </c>
      <c r="M88" s="4">
        <v>1071</v>
      </c>
      <c r="N88" s="3">
        <f t="shared" si="2"/>
        <v>35650</v>
      </c>
      <c r="O88" s="4">
        <v>15</v>
      </c>
      <c r="P88" s="4">
        <v>6</v>
      </c>
      <c r="Q88" s="4">
        <v>3</v>
      </c>
      <c r="R88" s="4">
        <v>2</v>
      </c>
      <c r="S88" s="4">
        <v>5</v>
      </c>
      <c r="T88" s="4">
        <v>1</v>
      </c>
      <c r="U88" s="4">
        <v>0</v>
      </c>
      <c r="V88" s="4">
        <v>3</v>
      </c>
      <c r="W88" s="4">
        <v>3</v>
      </c>
      <c r="X88" s="4">
        <v>6</v>
      </c>
      <c r="Y88" s="4">
        <v>3</v>
      </c>
      <c r="Z88" s="4">
        <v>5</v>
      </c>
      <c r="AA88" s="3">
        <f t="shared" si="3"/>
        <v>52</v>
      </c>
      <c r="AB88" t="s">
        <v>63</v>
      </c>
      <c r="AC88">
        <v>77.67</v>
      </c>
      <c r="AD88">
        <v>9.4600000000000009</v>
      </c>
      <c r="AE88">
        <v>165.15</v>
      </c>
      <c r="AF88">
        <v>109.76</v>
      </c>
      <c r="AG88">
        <v>16.37</v>
      </c>
      <c r="AH88">
        <v>46.97</v>
      </c>
      <c r="AI88">
        <v>53.3</v>
      </c>
      <c r="AJ88">
        <v>25.21</v>
      </c>
      <c r="AK88">
        <v>118.61</v>
      </c>
      <c r="AL88">
        <v>24.7</v>
      </c>
      <c r="AM88">
        <v>48.61</v>
      </c>
      <c r="AN88">
        <v>21.87</v>
      </c>
      <c r="AO88" s="1">
        <v>717.68000000000006</v>
      </c>
    </row>
    <row r="89" spans="1:41" x14ac:dyDescent="0.25">
      <c r="A89" t="s">
        <v>367</v>
      </c>
      <c r="B89" s="4">
        <v>3780</v>
      </c>
      <c r="C89" s="4">
        <v>881</v>
      </c>
      <c r="D89" s="4">
        <v>1909</v>
      </c>
      <c r="E89" s="4">
        <v>1071</v>
      </c>
      <c r="F89" s="4">
        <v>1572</v>
      </c>
      <c r="G89" s="4">
        <v>1875</v>
      </c>
      <c r="H89" s="4">
        <v>5728</v>
      </c>
      <c r="I89" s="4">
        <v>2787</v>
      </c>
      <c r="J89" s="4">
        <v>2687</v>
      </c>
      <c r="K89" s="4">
        <v>6770</v>
      </c>
      <c r="L89" s="4">
        <v>1093</v>
      </c>
      <c r="M89" s="4">
        <v>4382</v>
      </c>
      <c r="N89" s="3">
        <f t="shared" si="2"/>
        <v>34535</v>
      </c>
      <c r="O89" s="4">
        <v>3</v>
      </c>
      <c r="P89" s="4">
        <v>4</v>
      </c>
      <c r="Q89" s="4">
        <v>9</v>
      </c>
      <c r="R89" s="4">
        <v>3</v>
      </c>
      <c r="S89" s="4">
        <v>2</v>
      </c>
      <c r="T89" s="4">
        <v>1</v>
      </c>
      <c r="U89" s="4">
        <v>7</v>
      </c>
      <c r="V89" s="4">
        <v>5</v>
      </c>
      <c r="W89" s="4">
        <v>6</v>
      </c>
      <c r="X89" s="4">
        <v>1</v>
      </c>
      <c r="Y89" s="4">
        <v>2</v>
      </c>
      <c r="Z89" s="4">
        <v>2</v>
      </c>
      <c r="AA89" s="3">
        <f t="shared" si="3"/>
        <v>45</v>
      </c>
      <c r="AB89" t="s">
        <v>63</v>
      </c>
      <c r="AC89">
        <v>75.87</v>
      </c>
      <c r="AD89">
        <v>17.98</v>
      </c>
      <c r="AE89">
        <v>38.99</v>
      </c>
      <c r="AF89">
        <v>21.69</v>
      </c>
      <c r="AG89">
        <v>31.62</v>
      </c>
      <c r="AH89">
        <v>37.590000000000003</v>
      </c>
      <c r="AI89">
        <v>115.19</v>
      </c>
      <c r="AJ89">
        <v>56.19</v>
      </c>
      <c r="AK89">
        <v>54.28</v>
      </c>
      <c r="AL89">
        <v>135.49</v>
      </c>
      <c r="AM89">
        <v>22.04</v>
      </c>
      <c r="AN89">
        <v>87.82</v>
      </c>
      <c r="AO89" s="1">
        <v>694.75</v>
      </c>
    </row>
    <row r="90" spans="1:41" x14ac:dyDescent="0.25">
      <c r="A90" t="s">
        <v>368</v>
      </c>
      <c r="B90" s="4">
        <v>3780</v>
      </c>
      <c r="C90" s="4">
        <v>1192</v>
      </c>
      <c r="D90" s="4">
        <v>5572</v>
      </c>
      <c r="E90" s="4">
        <v>586</v>
      </c>
      <c r="F90" s="4">
        <v>8689</v>
      </c>
      <c r="G90" s="4">
        <v>2058</v>
      </c>
      <c r="H90" s="4">
        <v>3609</v>
      </c>
      <c r="I90" s="4">
        <v>515</v>
      </c>
      <c r="J90" s="4">
        <v>1425</v>
      </c>
      <c r="K90" s="4">
        <v>1427</v>
      </c>
      <c r="L90" s="4">
        <v>1799</v>
      </c>
      <c r="M90" s="4">
        <v>0</v>
      </c>
      <c r="N90" s="3">
        <f t="shared" si="2"/>
        <v>30652</v>
      </c>
      <c r="O90" s="4">
        <v>12</v>
      </c>
      <c r="P90" s="4">
        <v>3</v>
      </c>
      <c r="Q90" s="4">
        <v>2</v>
      </c>
      <c r="R90" s="4">
        <v>1</v>
      </c>
      <c r="S90" s="4">
        <v>11</v>
      </c>
      <c r="T90" s="4">
        <v>3</v>
      </c>
      <c r="U90" s="4">
        <v>4</v>
      </c>
      <c r="V90" s="4">
        <v>3</v>
      </c>
      <c r="W90" s="4">
        <v>6</v>
      </c>
      <c r="X90" s="4">
        <v>1</v>
      </c>
      <c r="Y90" s="4">
        <v>3</v>
      </c>
      <c r="Z90" s="4">
        <v>10</v>
      </c>
      <c r="AA90" s="3">
        <f t="shared" si="3"/>
        <v>59</v>
      </c>
      <c r="AB90" t="s">
        <v>63</v>
      </c>
      <c r="AC90">
        <v>76.680000000000007</v>
      </c>
      <c r="AD90">
        <v>24.11</v>
      </c>
      <c r="AE90">
        <v>111.62</v>
      </c>
      <c r="AF90">
        <v>11.81</v>
      </c>
      <c r="AG90">
        <v>174.77</v>
      </c>
      <c r="AH90">
        <v>41.43</v>
      </c>
      <c r="AI90">
        <v>72.540000000000006</v>
      </c>
      <c r="AJ90">
        <v>10.57</v>
      </c>
      <c r="AK90">
        <v>29.04</v>
      </c>
      <c r="AL90">
        <v>28.63</v>
      </c>
      <c r="AM90">
        <v>36.25</v>
      </c>
      <c r="AN90">
        <v>0.9</v>
      </c>
      <c r="AO90" s="1">
        <v>618.35</v>
      </c>
    </row>
    <row r="91" spans="1:41" x14ac:dyDescent="0.25">
      <c r="A91" t="s">
        <v>371</v>
      </c>
      <c r="B91" s="4">
        <v>3755</v>
      </c>
      <c r="C91" s="4">
        <v>9548</v>
      </c>
      <c r="D91" s="4">
        <v>1003</v>
      </c>
      <c r="E91" s="4">
        <v>0</v>
      </c>
      <c r="F91" s="4">
        <v>1001</v>
      </c>
      <c r="G91" s="4">
        <v>2840</v>
      </c>
      <c r="H91" s="4">
        <v>4250</v>
      </c>
      <c r="I91" s="4">
        <v>3064</v>
      </c>
      <c r="J91" s="4">
        <v>1990</v>
      </c>
      <c r="K91" s="4">
        <v>1154</v>
      </c>
      <c r="L91" s="4">
        <v>2270</v>
      </c>
      <c r="M91" s="4">
        <v>2452</v>
      </c>
      <c r="N91" s="3">
        <f t="shared" si="2"/>
        <v>33327</v>
      </c>
      <c r="O91" s="4">
        <v>9</v>
      </c>
      <c r="P91" s="4">
        <v>5</v>
      </c>
      <c r="Q91" s="4">
        <v>15</v>
      </c>
      <c r="R91" s="4">
        <v>1</v>
      </c>
      <c r="S91" s="4">
        <v>0</v>
      </c>
      <c r="T91" s="4">
        <v>1</v>
      </c>
      <c r="U91" s="4">
        <v>7</v>
      </c>
      <c r="V91" s="4">
        <v>3</v>
      </c>
      <c r="W91" s="4">
        <v>0</v>
      </c>
      <c r="X91" s="4">
        <v>28</v>
      </c>
      <c r="Y91" s="4">
        <v>0</v>
      </c>
      <c r="Z91" s="4">
        <v>7</v>
      </c>
      <c r="AA91" s="3">
        <f t="shared" si="3"/>
        <v>76</v>
      </c>
      <c r="AB91" t="s">
        <v>63</v>
      </c>
      <c r="AC91">
        <v>75.91</v>
      </c>
      <c r="AD91">
        <v>191.41</v>
      </c>
      <c r="AE91">
        <v>21.41</v>
      </c>
      <c r="AF91">
        <v>0.09</v>
      </c>
      <c r="AG91">
        <v>20.02</v>
      </c>
      <c r="AH91">
        <v>56.89</v>
      </c>
      <c r="AI91">
        <v>85.63</v>
      </c>
      <c r="AJ91">
        <v>61.55</v>
      </c>
      <c r="AK91">
        <v>39.799999999999997</v>
      </c>
      <c r="AL91">
        <v>25.6</v>
      </c>
      <c r="AM91">
        <v>45.4</v>
      </c>
      <c r="AN91">
        <v>49.67</v>
      </c>
      <c r="AO91" s="1">
        <v>673.37999999999988</v>
      </c>
    </row>
    <row r="92" spans="1:41" x14ac:dyDescent="0.25">
      <c r="A92" t="s">
        <v>372</v>
      </c>
      <c r="B92" s="4">
        <v>3750</v>
      </c>
      <c r="C92" s="4">
        <v>7252</v>
      </c>
      <c r="D92" s="4">
        <v>6410</v>
      </c>
      <c r="E92" s="4">
        <v>0</v>
      </c>
      <c r="F92" s="4">
        <v>754</v>
      </c>
      <c r="G92" s="4">
        <v>2364</v>
      </c>
      <c r="H92" s="4">
        <v>642</v>
      </c>
      <c r="I92" s="4">
        <v>1331</v>
      </c>
      <c r="J92" s="4">
        <v>10509</v>
      </c>
      <c r="K92" s="4">
        <v>1143</v>
      </c>
      <c r="L92" s="4">
        <v>2752</v>
      </c>
      <c r="M92" s="4">
        <v>2281</v>
      </c>
      <c r="N92" s="3">
        <f t="shared" si="2"/>
        <v>39188</v>
      </c>
      <c r="O92" s="4">
        <v>2</v>
      </c>
      <c r="P92" s="4">
        <v>5</v>
      </c>
      <c r="Q92" s="4">
        <v>1</v>
      </c>
      <c r="R92" s="4">
        <v>3</v>
      </c>
      <c r="S92" s="4">
        <v>2</v>
      </c>
      <c r="T92" s="4">
        <v>2</v>
      </c>
      <c r="U92" s="4">
        <v>8</v>
      </c>
      <c r="V92" s="4">
        <v>3</v>
      </c>
      <c r="W92" s="4">
        <v>4</v>
      </c>
      <c r="X92" s="4">
        <v>10</v>
      </c>
      <c r="Y92" s="4">
        <v>6</v>
      </c>
      <c r="Z92" s="4">
        <v>7</v>
      </c>
      <c r="AA92" s="3">
        <f t="shared" si="3"/>
        <v>53</v>
      </c>
      <c r="AB92" t="s">
        <v>63</v>
      </c>
      <c r="AC92">
        <v>75.180000000000007</v>
      </c>
      <c r="AD92">
        <v>145.49</v>
      </c>
      <c r="AE92">
        <v>128.29</v>
      </c>
      <c r="AF92">
        <v>0.27</v>
      </c>
      <c r="AG92">
        <v>15.26</v>
      </c>
      <c r="AH92">
        <v>47.46</v>
      </c>
      <c r="AI92">
        <v>13.56</v>
      </c>
      <c r="AJ92">
        <v>26.89</v>
      </c>
      <c r="AK92">
        <v>210.54</v>
      </c>
      <c r="AL92">
        <v>23.76</v>
      </c>
      <c r="AM92">
        <v>55.58</v>
      </c>
      <c r="AN92">
        <v>46.25</v>
      </c>
      <c r="AO92" s="1">
        <v>788.53</v>
      </c>
    </row>
    <row r="93" spans="1:41" x14ac:dyDescent="0.25">
      <c r="A93" t="s">
        <v>373</v>
      </c>
      <c r="B93" s="4">
        <v>3743</v>
      </c>
      <c r="C93" s="4">
        <v>1609</v>
      </c>
      <c r="D93" s="4">
        <v>1924</v>
      </c>
      <c r="E93" s="4">
        <v>5579</v>
      </c>
      <c r="F93" s="4">
        <v>6469</v>
      </c>
      <c r="G93" s="4">
        <v>400</v>
      </c>
      <c r="H93" s="4">
        <v>3132</v>
      </c>
      <c r="I93" s="4">
        <v>0</v>
      </c>
      <c r="J93" s="4">
        <v>891</v>
      </c>
      <c r="K93" s="4">
        <v>2550</v>
      </c>
      <c r="L93" s="4">
        <v>102</v>
      </c>
      <c r="M93" s="4">
        <v>228</v>
      </c>
      <c r="N93" s="3">
        <f t="shared" si="2"/>
        <v>26627</v>
      </c>
      <c r="O93" s="4">
        <v>8</v>
      </c>
      <c r="P93" s="4">
        <v>2</v>
      </c>
      <c r="Q93" s="4">
        <v>9</v>
      </c>
      <c r="R93" s="4">
        <v>4</v>
      </c>
      <c r="S93" s="4">
        <v>2</v>
      </c>
      <c r="T93" s="4">
        <v>0</v>
      </c>
      <c r="U93" s="4">
        <v>1</v>
      </c>
      <c r="V93" s="4">
        <v>0</v>
      </c>
      <c r="W93" s="4">
        <v>13</v>
      </c>
      <c r="X93" s="4">
        <v>7</v>
      </c>
      <c r="Y93" s="4">
        <v>4</v>
      </c>
      <c r="Z93" s="4">
        <v>3</v>
      </c>
      <c r="AA93" s="3">
        <f t="shared" si="3"/>
        <v>53</v>
      </c>
      <c r="AB93" t="s">
        <v>63</v>
      </c>
      <c r="AC93">
        <v>75.58</v>
      </c>
      <c r="AD93">
        <v>32.36</v>
      </c>
      <c r="AE93">
        <v>39.29</v>
      </c>
      <c r="AF93">
        <v>111.94</v>
      </c>
      <c r="AG93">
        <v>129.56</v>
      </c>
      <c r="AH93">
        <v>8</v>
      </c>
      <c r="AI93">
        <v>62.73</v>
      </c>
      <c r="AJ93">
        <v>0</v>
      </c>
      <c r="AK93">
        <v>18.989999999999998</v>
      </c>
      <c r="AL93">
        <v>51.63</v>
      </c>
      <c r="AM93">
        <v>2.4</v>
      </c>
      <c r="AN93">
        <v>4.83</v>
      </c>
      <c r="AO93" s="1">
        <v>537.31000000000006</v>
      </c>
    </row>
    <row r="94" spans="1:41" x14ac:dyDescent="0.25">
      <c r="A94" t="s">
        <v>374</v>
      </c>
      <c r="B94" s="4">
        <v>3738</v>
      </c>
      <c r="C94" s="4">
        <v>3650</v>
      </c>
      <c r="D94" s="4">
        <v>3053</v>
      </c>
      <c r="E94" s="4">
        <v>2290</v>
      </c>
      <c r="F94" s="4">
        <v>0</v>
      </c>
      <c r="G94" s="4">
        <v>1204</v>
      </c>
      <c r="H94" s="4">
        <v>0</v>
      </c>
      <c r="I94" s="4">
        <v>1984</v>
      </c>
      <c r="J94" s="4">
        <v>2184</v>
      </c>
      <c r="K94" s="4">
        <v>4797</v>
      </c>
      <c r="L94" s="4">
        <v>5431</v>
      </c>
      <c r="M94" s="4">
        <v>1240</v>
      </c>
      <c r="N94" s="3">
        <f t="shared" si="2"/>
        <v>29571</v>
      </c>
      <c r="O94" s="4">
        <v>1</v>
      </c>
      <c r="P94" s="4">
        <v>6</v>
      </c>
      <c r="Q94" s="4">
        <v>0</v>
      </c>
      <c r="R94" s="4">
        <v>3</v>
      </c>
      <c r="S94" s="4">
        <v>9</v>
      </c>
      <c r="T94" s="4">
        <v>2</v>
      </c>
      <c r="U94" s="4">
        <v>0</v>
      </c>
      <c r="V94" s="4">
        <v>2</v>
      </c>
      <c r="W94" s="4">
        <v>0</v>
      </c>
      <c r="X94" s="4">
        <v>5</v>
      </c>
      <c r="Y94" s="4">
        <v>7</v>
      </c>
      <c r="Z94" s="4">
        <v>0</v>
      </c>
      <c r="AA94" s="3">
        <f t="shared" si="3"/>
        <v>35</v>
      </c>
      <c r="AB94" t="s">
        <v>63</v>
      </c>
      <c r="AC94">
        <v>74.849999999999994</v>
      </c>
      <c r="AD94">
        <v>73.540000000000006</v>
      </c>
      <c r="AE94">
        <v>61.06</v>
      </c>
      <c r="AF94">
        <v>46.07</v>
      </c>
      <c r="AG94">
        <v>0.81</v>
      </c>
      <c r="AH94">
        <v>24.26</v>
      </c>
      <c r="AI94">
        <v>0</v>
      </c>
      <c r="AJ94">
        <v>39.86</v>
      </c>
      <c r="AK94">
        <v>43.68</v>
      </c>
      <c r="AL94">
        <v>96.39</v>
      </c>
      <c r="AM94">
        <v>109.25</v>
      </c>
      <c r="AN94">
        <v>24.8</v>
      </c>
      <c r="AO94" s="1">
        <v>594.56999999999994</v>
      </c>
    </row>
    <row r="95" spans="1:41" x14ac:dyDescent="0.25">
      <c r="A95" t="s">
        <v>375</v>
      </c>
      <c r="B95" s="4">
        <v>3736</v>
      </c>
      <c r="C95" s="4">
        <v>1152</v>
      </c>
      <c r="D95" s="4">
        <v>1440</v>
      </c>
      <c r="E95" s="4">
        <v>3037</v>
      </c>
      <c r="F95" s="4">
        <v>3572</v>
      </c>
      <c r="G95" s="4">
        <v>190</v>
      </c>
      <c r="H95" s="4">
        <v>2679</v>
      </c>
      <c r="I95" s="4">
        <v>6572</v>
      </c>
      <c r="J95" s="4">
        <v>1226</v>
      </c>
      <c r="K95" s="4">
        <v>1194</v>
      </c>
      <c r="L95" s="4">
        <v>621</v>
      </c>
      <c r="M95" s="4">
        <v>0</v>
      </c>
      <c r="N95" s="3">
        <f t="shared" si="2"/>
        <v>25419</v>
      </c>
      <c r="O95" s="4">
        <v>3</v>
      </c>
      <c r="P95" s="4">
        <v>2</v>
      </c>
      <c r="Q95" s="4">
        <v>11</v>
      </c>
      <c r="R95" s="4">
        <v>3</v>
      </c>
      <c r="S95" s="4">
        <v>6</v>
      </c>
      <c r="T95" s="4">
        <v>2</v>
      </c>
      <c r="U95" s="4">
        <v>0</v>
      </c>
      <c r="V95" s="4">
        <v>1</v>
      </c>
      <c r="W95" s="4">
        <v>4</v>
      </c>
      <c r="X95" s="4">
        <v>15</v>
      </c>
      <c r="Y95" s="4">
        <v>3</v>
      </c>
      <c r="Z95" s="4">
        <v>2</v>
      </c>
      <c r="AA95" s="3">
        <f t="shared" si="3"/>
        <v>52</v>
      </c>
      <c r="AB95" t="s">
        <v>63</v>
      </c>
      <c r="AC95">
        <v>74.989999999999995</v>
      </c>
      <c r="AD95">
        <v>23.22</v>
      </c>
      <c r="AE95">
        <v>29.79</v>
      </c>
      <c r="AF95">
        <v>61.01</v>
      </c>
      <c r="AG95">
        <v>71.98</v>
      </c>
      <c r="AH95">
        <v>3.98</v>
      </c>
      <c r="AI95">
        <v>53.58</v>
      </c>
      <c r="AJ95">
        <v>131.53</v>
      </c>
      <c r="AK95">
        <v>24.88</v>
      </c>
      <c r="AL95">
        <v>25.23</v>
      </c>
      <c r="AM95">
        <v>12.69</v>
      </c>
      <c r="AN95">
        <v>0.18</v>
      </c>
      <c r="AO95" s="1">
        <v>513.06000000000006</v>
      </c>
    </row>
    <row r="96" spans="1:41" x14ac:dyDescent="0.25">
      <c r="A96" t="s">
        <v>376</v>
      </c>
      <c r="B96" s="4">
        <v>3719</v>
      </c>
      <c r="C96" s="4">
        <v>1237</v>
      </c>
      <c r="D96" s="4">
        <v>2827</v>
      </c>
      <c r="E96" s="4">
        <v>2919</v>
      </c>
      <c r="F96" s="4">
        <v>6403</v>
      </c>
      <c r="G96" s="4">
        <v>4277</v>
      </c>
      <c r="H96" s="4">
        <v>647</v>
      </c>
      <c r="I96" s="4">
        <v>1211</v>
      </c>
      <c r="J96" s="4">
        <v>260</v>
      </c>
      <c r="K96" s="4">
        <v>786</v>
      </c>
      <c r="L96" s="4">
        <v>1425</v>
      </c>
      <c r="M96" s="4">
        <v>6474</v>
      </c>
      <c r="N96" s="3">
        <f t="shared" si="2"/>
        <v>32185</v>
      </c>
      <c r="O96" s="4">
        <v>0</v>
      </c>
      <c r="P96" s="4">
        <v>2</v>
      </c>
      <c r="Q96" s="4">
        <v>2</v>
      </c>
      <c r="R96" s="4">
        <v>3</v>
      </c>
      <c r="S96" s="4">
        <v>0</v>
      </c>
      <c r="T96" s="4">
        <v>2</v>
      </c>
      <c r="U96" s="4">
        <v>10</v>
      </c>
      <c r="V96" s="4">
        <v>0</v>
      </c>
      <c r="W96" s="4">
        <v>6</v>
      </c>
      <c r="X96" s="4">
        <v>4</v>
      </c>
      <c r="Y96" s="4">
        <v>0</v>
      </c>
      <c r="Z96" s="4">
        <v>11</v>
      </c>
      <c r="AA96" s="3">
        <f t="shared" si="3"/>
        <v>40</v>
      </c>
      <c r="AB96" t="s">
        <v>63</v>
      </c>
      <c r="AC96">
        <v>74.38</v>
      </c>
      <c r="AD96">
        <v>24.92</v>
      </c>
      <c r="AE96">
        <v>56.72</v>
      </c>
      <c r="AF96">
        <v>58.65</v>
      </c>
      <c r="AG96">
        <v>128.06</v>
      </c>
      <c r="AH96">
        <v>85.72</v>
      </c>
      <c r="AI96">
        <v>13.84</v>
      </c>
      <c r="AJ96">
        <v>24.22</v>
      </c>
      <c r="AK96">
        <v>5.74</v>
      </c>
      <c r="AL96">
        <v>16.079999999999998</v>
      </c>
      <c r="AM96">
        <v>28.5</v>
      </c>
      <c r="AN96">
        <v>130.47</v>
      </c>
      <c r="AO96" s="1">
        <v>647.29999999999995</v>
      </c>
    </row>
    <row r="97" spans="1:41" x14ac:dyDescent="0.25">
      <c r="A97" t="s">
        <v>378</v>
      </c>
      <c r="B97" s="4">
        <v>3699</v>
      </c>
      <c r="C97" s="4">
        <v>1800</v>
      </c>
      <c r="D97" s="4">
        <v>241</v>
      </c>
      <c r="E97" s="4">
        <v>178</v>
      </c>
      <c r="F97" s="4">
        <v>11765</v>
      </c>
      <c r="G97" s="4">
        <v>3492</v>
      </c>
      <c r="H97" s="4">
        <v>4003</v>
      </c>
      <c r="I97" s="4">
        <v>1942</v>
      </c>
      <c r="J97" s="4">
        <v>1821</v>
      </c>
      <c r="K97" s="4">
        <v>0</v>
      </c>
      <c r="L97" s="4">
        <v>21618</v>
      </c>
      <c r="M97" s="4">
        <v>4800</v>
      </c>
      <c r="N97" s="3">
        <f t="shared" si="2"/>
        <v>55359</v>
      </c>
      <c r="O97" s="4">
        <v>0</v>
      </c>
      <c r="P97" s="4">
        <v>1</v>
      </c>
      <c r="Q97" s="4">
        <v>8</v>
      </c>
      <c r="R97" s="4">
        <v>2</v>
      </c>
      <c r="S97" s="4">
        <v>3</v>
      </c>
      <c r="T97" s="4">
        <v>1</v>
      </c>
      <c r="U97" s="4">
        <v>4</v>
      </c>
      <c r="V97" s="4">
        <v>2</v>
      </c>
      <c r="W97" s="4">
        <v>7</v>
      </c>
      <c r="X97" s="4">
        <v>8</v>
      </c>
      <c r="Y97" s="4">
        <v>4</v>
      </c>
      <c r="Z97" s="4">
        <v>0</v>
      </c>
      <c r="AA97" s="3">
        <f t="shared" si="3"/>
        <v>40</v>
      </c>
      <c r="AB97" t="s">
        <v>63</v>
      </c>
      <c r="AC97">
        <v>73.98</v>
      </c>
      <c r="AD97">
        <v>36.090000000000003</v>
      </c>
      <c r="AE97">
        <v>5.54</v>
      </c>
      <c r="AF97">
        <v>3.74</v>
      </c>
      <c r="AG97">
        <v>235.57</v>
      </c>
      <c r="AH97">
        <v>69.930000000000007</v>
      </c>
      <c r="AI97">
        <v>80.42</v>
      </c>
      <c r="AJ97">
        <v>39.020000000000003</v>
      </c>
      <c r="AK97">
        <v>37.049999999999997</v>
      </c>
      <c r="AL97">
        <v>0.72</v>
      </c>
      <c r="AM97">
        <v>432.72</v>
      </c>
      <c r="AN97">
        <v>96</v>
      </c>
      <c r="AO97" s="1">
        <v>1110.7800000000002</v>
      </c>
    </row>
    <row r="98" spans="1:41" x14ac:dyDescent="0.25">
      <c r="A98" t="s">
        <v>381</v>
      </c>
      <c r="B98" s="4">
        <v>3651</v>
      </c>
      <c r="C98" s="4">
        <v>837</v>
      </c>
      <c r="D98" s="4">
        <v>4744</v>
      </c>
      <c r="E98" s="4">
        <v>2439</v>
      </c>
      <c r="F98" s="4">
        <v>1598</v>
      </c>
      <c r="G98" s="4">
        <v>1650</v>
      </c>
      <c r="H98" s="4">
        <v>8774</v>
      </c>
      <c r="I98" s="4">
        <v>1294</v>
      </c>
      <c r="J98" s="4">
        <v>1703</v>
      </c>
      <c r="K98" s="4">
        <v>754</v>
      </c>
      <c r="L98" s="4">
        <v>0</v>
      </c>
      <c r="M98" s="4">
        <v>28</v>
      </c>
      <c r="N98" s="3">
        <f t="shared" si="2"/>
        <v>27472</v>
      </c>
      <c r="O98" s="4">
        <v>3</v>
      </c>
      <c r="P98" s="4">
        <v>3</v>
      </c>
      <c r="Q98" s="4">
        <v>3</v>
      </c>
      <c r="R98" s="4">
        <v>6</v>
      </c>
      <c r="S98" s="4">
        <v>3</v>
      </c>
      <c r="T98" s="4">
        <v>16</v>
      </c>
      <c r="U98" s="4">
        <v>4</v>
      </c>
      <c r="V98" s="4">
        <v>2</v>
      </c>
      <c r="W98" s="4">
        <v>4</v>
      </c>
      <c r="X98" s="4">
        <v>2</v>
      </c>
      <c r="Y98" s="4">
        <v>6</v>
      </c>
      <c r="Z98" s="4">
        <v>0</v>
      </c>
      <c r="AA98" s="3">
        <f t="shared" si="3"/>
        <v>52</v>
      </c>
      <c r="AB98" t="s">
        <v>63</v>
      </c>
      <c r="AC98">
        <v>73.290000000000006</v>
      </c>
      <c r="AD98">
        <v>17.010000000000002</v>
      </c>
      <c r="AE98">
        <v>95.15</v>
      </c>
      <c r="AF98">
        <v>49.32</v>
      </c>
      <c r="AG98">
        <v>32.229999999999997</v>
      </c>
      <c r="AH98">
        <v>34.44</v>
      </c>
      <c r="AI98">
        <v>175.84</v>
      </c>
      <c r="AJ98">
        <v>26.06</v>
      </c>
      <c r="AK98">
        <v>34.42</v>
      </c>
      <c r="AL98">
        <v>15.26</v>
      </c>
      <c r="AM98">
        <v>0.54</v>
      </c>
      <c r="AN98">
        <v>0.56000000000000005</v>
      </c>
      <c r="AO98" s="1">
        <v>554.11999999999989</v>
      </c>
    </row>
    <row r="99" spans="1:41" x14ac:dyDescent="0.25">
      <c r="A99" t="s">
        <v>382</v>
      </c>
      <c r="B99" s="4">
        <v>3635</v>
      </c>
      <c r="C99" s="4">
        <v>5011</v>
      </c>
      <c r="D99" s="4">
        <v>2663</v>
      </c>
      <c r="E99" s="4">
        <v>3709</v>
      </c>
      <c r="F99" s="4">
        <v>3140</v>
      </c>
      <c r="G99" s="4">
        <v>388</v>
      </c>
      <c r="H99" s="4">
        <v>4676</v>
      </c>
      <c r="I99" s="4">
        <v>2217</v>
      </c>
      <c r="J99" s="4">
        <v>2744</v>
      </c>
      <c r="K99" s="4">
        <v>6780</v>
      </c>
      <c r="L99" s="4">
        <v>0</v>
      </c>
      <c r="M99" s="4">
        <v>951</v>
      </c>
      <c r="N99" s="3">
        <f t="shared" si="2"/>
        <v>35914</v>
      </c>
      <c r="O99" s="4">
        <v>0</v>
      </c>
      <c r="P99" s="4">
        <v>2</v>
      </c>
      <c r="Q99" s="4">
        <v>1</v>
      </c>
      <c r="R99" s="4">
        <v>1</v>
      </c>
      <c r="S99" s="4">
        <v>3</v>
      </c>
      <c r="T99" s="4">
        <v>0</v>
      </c>
      <c r="U99" s="4">
        <v>1</v>
      </c>
      <c r="V99" s="4">
        <v>3</v>
      </c>
      <c r="W99" s="4">
        <v>6</v>
      </c>
      <c r="X99" s="4">
        <v>4</v>
      </c>
      <c r="Y99" s="4">
        <v>2</v>
      </c>
      <c r="Z99" s="4">
        <v>1</v>
      </c>
      <c r="AA99" s="3">
        <f t="shared" si="3"/>
        <v>24</v>
      </c>
      <c r="AB99" t="s">
        <v>63</v>
      </c>
      <c r="AC99">
        <v>72.7</v>
      </c>
      <c r="AD99">
        <v>100.4</v>
      </c>
      <c r="AE99">
        <v>53.35</v>
      </c>
      <c r="AF99">
        <v>74.27</v>
      </c>
      <c r="AG99">
        <v>63.07</v>
      </c>
      <c r="AH99">
        <v>7.76</v>
      </c>
      <c r="AI99">
        <v>93.61</v>
      </c>
      <c r="AJ99">
        <v>44.61</v>
      </c>
      <c r="AK99">
        <v>55.42</v>
      </c>
      <c r="AL99">
        <v>135.96</v>
      </c>
      <c r="AM99">
        <v>0.18</v>
      </c>
      <c r="AN99">
        <v>19.11</v>
      </c>
      <c r="AO99" s="1">
        <v>720.44</v>
      </c>
    </row>
    <row r="100" spans="1:41" x14ac:dyDescent="0.25">
      <c r="A100" t="s">
        <v>383</v>
      </c>
      <c r="B100" s="4">
        <v>3627</v>
      </c>
      <c r="C100" s="4">
        <v>4006</v>
      </c>
      <c r="D100" s="4">
        <v>4169</v>
      </c>
      <c r="E100" s="4">
        <v>652</v>
      </c>
      <c r="F100" s="4">
        <v>2312</v>
      </c>
      <c r="G100" s="4">
        <v>298</v>
      </c>
      <c r="H100" s="4">
        <v>5639</v>
      </c>
      <c r="I100" s="4">
        <v>6632</v>
      </c>
      <c r="J100" s="4">
        <v>1630</v>
      </c>
      <c r="K100" s="4">
        <v>1318</v>
      </c>
      <c r="L100" s="4">
        <v>1942</v>
      </c>
      <c r="M100" s="4">
        <v>981</v>
      </c>
      <c r="N100" s="3">
        <f t="shared" si="2"/>
        <v>33206</v>
      </c>
      <c r="O100" s="4">
        <v>0</v>
      </c>
      <c r="P100" s="4">
        <v>4</v>
      </c>
      <c r="Q100" s="4">
        <v>2</v>
      </c>
      <c r="R100" s="4">
        <v>9</v>
      </c>
      <c r="S100" s="4">
        <v>7</v>
      </c>
      <c r="T100" s="4">
        <v>4</v>
      </c>
      <c r="U100" s="4">
        <v>6</v>
      </c>
      <c r="V100" s="4">
        <v>2</v>
      </c>
      <c r="W100" s="4">
        <v>3</v>
      </c>
      <c r="X100" s="4">
        <v>8</v>
      </c>
      <c r="Y100" s="4">
        <v>3</v>
      </c>
      <c r="Z100" s="4">
        <v>2</v>
      </c>
      <c r="AA100" s="3">
        <f t="shared" si="3"/>
        <v>50</v>
      </c>
      <c r="AB100" t="s">
        <v>63</v>
      </c>
      <c r="AC100">
        <v>72.540000000000006</v>
      </c>
      <c r="AD100">
        <v>80.48</v>
      </c>
      <c r="AE100">
        <v>83.56</v>
      </c>
      <c r="AF100">
        <v>13.85</v>
      </c>
      <c r="AG100">
        <v>46.87</v>
      </c>
      <c r="AH100">
        <v>6.32</v>
      </c>
      <c r="AI100">
        <v>113.32</v>
      </c>
      <c r="AJ100">
        <v>132.82</v>
      </c>
      <c r="AK100">
        <v>32.869999999999997</v>
      </c>
      <c r="AL100">
        <v>27.08</v>
      </c>
      <c r="AM100">
        <v>39.11</v>
      </c>
      <c r="AN100">
        <v>19.8</v>
      </c>
      <c r="AO100" s="1">
        <v>668.62</v>
      </c>
    </row>
    <row r="101" spans="1:41" x14ac:dyDescent="0.25">
      <c r="A101" t="s">
        <v>388</v>
      </c>
      <c r="B101" s="4">
        <v>3576</v>
      </c>
      <c r="C101" s="4">
        <v>4406</v>
      </c>
      <c r="D101" s="4">
        <v>656</v>
      </c>
      <c r="E101" s="4">
        <v>2857</v>
      </c>
      <c r="F101" s="4">
        <v>5722</v>
      </c>
      <c r="G101" s="4">
        <v>5402</v>
      </c>
      <c r="H101" s="4">
        <v>1051</v>
      </c>
      <c r="I101" s="4">
        <v>1981</v>
      </c>
      <c r="J101" s="4">
        <v>1106</v>
      </c>
      <c r="K101" s="4">
        <v>0</v>
      </c>
      <c r="L101" s="4">
        <v>1360</v>
      </c>
      <c r="M101" s="4">
        <v>5500</v>
      </c>
      <c r="N101" s="3">
        <f t="shared" si="2"/>
        <v>33617</v>
      </c>
      <c r="O101" s="4">
        <v>4</v>
      </c>
      <c r="P101" s="4">
        <v>1</v>
      </c>
      <c r="Q101" s="4">
        <v>6</v>
      </c>
      <c r="R101" s="4">
        <v>7</v>
      </c>
      <c r="S101" s="4">
        <v>1</v>
      </c>
      <c r="T101" s="4">
        <v>1</v>
      </c>
      <c r="U101" s="4">
        <v>7</v>
      </c>
      <c r="V101" s="4">
        <v>14</v>
      </c>
      <c r="W101" s="4">
        <v>3</v>
      </c>
      <c r="X101" s="4">
        <v>3</v>
      </c>
      <c r="Y101" s="4">
        <v>0</v>
      </c>
      <c r="Z101" s="4">
        <v>4</v>
      </c>
      <c r="AA101" s="3">
        <f t="shared" si="3"/>
        <v>51</v>
      </c>
      <c r="AB101" t="s">
        <v>63</v>
      </c>
      <c r="AC101">
        <v>71.88</v>
      </c>
      <c r="AD101">
        <v>88.21</v>
      </c>
      <c r="AE101">
        <v>13.66</v>
      </c>
      <c r="AF101">
        <v>57.77</v>
      </c>
      <c r="AG101">
        <v>114.53</v>
      </c>
      <c r="AH101">
        <v>108.13</v>
      </c>
      <c r="AI101">
        <v>21.65</v>
      </c>
      <c r="AJ101">
        <v>40.880000000000003</v>
      </c>
      <c r="AK101">
        <v>22.39</v>
      </c>
      <c r="AL101">
        <v>0.27</v>
      </c>
      <c r="AM101">
        <v>27.2</v>
      </c>
      <c r="AN101">
        <v>110.36</v>
      </c>
      <c r="AO101" s="1">
        <v>676.93</v>
      </c>
    </row>
    <row r="102" spans="1:41" x14ac:dyDescent="0.25">
      <c r="A102" t="s">
        <v>389</v>
      </c>
      <c r="B102" s="4">
        <v>3575</v>
      </c>
      <c r="C102" s="4">
        <v>5612</v>
      </c>
      <c r="D102" s="4">
        <v>1263</v>
      </c>
      <c r="E102" s="4">
        <v>1387</v>
      </c>
      <c r="F102" s="4">
        <v>193</v>
      </c>
      <c r="G102" s="4">
        <v>7416</v>
      </c>
      <c r="H102" s="4">
        <v>670</v>
      </c>
      <c r="I102" s="4">
        <v>2959</v>
      </c>
      <c r="J102" s="4">
        <v>3354</v>
      </c>
      <c r="K102" s="4">
        <v>3662</v>
      </c>
      <c r="L102" s="4">
        <v>789</v>
      </c>
      <c r="M102" s="4">
        <v>2674</v>
      </c>
      <c r="N102" s="3">
        <f t="shared" si="2"/>
        <v>33554</v>
      </c>
      <c r="O102" s="4">
        <v>8</v>
      </c>
      <c r="P102" s="4">
        <v>0</v>
      </c>
      <c r="Q102" s="4">
        <v>7</v>
      </c>
      <c r="R102" s="4">
        <v>2</v>
      </c>
      <c r="S102" s="4">
        <v>10</v>
      </c>
      <c r="T102" s="4">
        <v>6</v>
      </c>
      <c r="U102" s="4">
        <v>3</v>
      </c>
      <c r="V102" s="4">
        <v>5</v>
      </c>
      <c r="W102" s="4">
        <v>2</v>
      </c>
      <c r="X102" s="4">
        <v>2</v>
      </c>
      <c r="Y102" s="4">
        <v>8</v>
      </c>
      <c r="Z102" s="4">
        <v>3</v>
      </c>
      <c r="AA102" s="3">
        <f t="shared" si="3"/>
        <v>56</v>
      </c>
      <c r="AB102" t="s">
        <v>63</v>
      </c>
      <c r="AC102">
        <v>72.22</v>
      </c>
      <c r="AD102">
        <v>112.24</v>
      </c>
      <c r="AE102">
        <v>25.89</v>
      </c>
      <c r="AF102">
        <v>27.92</v>
      </c>
      <c r="AG102">
        <v>4.76</v>
      </c>
      <c r="AH102">
        <v>148.86000000000001</v>
      </c>
      <c r="AI102">
        <v>13.67</v>
      </c>
      <c r="AJ102">
        <v>59.63</v>
      </c>
      <c r="AK102">
        <v>67.260000000000005</v>
      </c>
      <c r="AL102">
        <v>73.42</v>
      </c>
      <c r="AM102">
        <v>16.5</v>
      </c>
      <c r="AN102">
        <v>53.75</v>
      </c>
      <c r="AO102" s="1">
        <v>676.12</v>
      </c>
    </row>
    <row r="103" spans="1:41" x14ac:dyDescent="0.25">
      <c r="A103" t="s">
        <v>391</v>
      </c>
      <c r="B103" s="4">
        <v>3528</v>
      </c>
      <c r="C103" s="4">
        <v>3885</v>
      </c>
      <c r="D103" s="4">
        <v>139</v>
      </c>
      <c r="E103" s="4">
        <v>8853</v>
      </c>
      <c r="F103" s="4">
        <v>1531</v>
      </c>
      <c r="G103" s="4">
        <v>1274</v>
      </c>
      <c r="H103" s="4">
        <v>534</v>
      </c>
      <c r="I103" s="4">
        <v>593</v>
      </c>
      <c r="J103" s="4">
        <v>1119</v>
      </c>
      <c r="K103" s="4">
        <v>4846</v>
      </c>
      <c r="L103" s="4">
        <v>3007</v>
      </c>
      <c r="M103" s="4">
        <v>1674</v>
      </c>
      <c r="N103" s="3">
        <f t="shared" si="2"/>
        <v>30983</v>
      </c>
      <c r="O103" s="4">
        <v>3</v>
      </c>
      <c r="P103" s="4">
        <v>4</v>
      </c>
      <c r="Q103" s="4">
        <v>2</v>
      </c>
      <c r="R103" s="4">
        <v>0</v>
      </c>
      <c r="S103" s="4">
        <v>2</v>
      </c>
      <c r="T103" s="4">
        <v>1</v>
      </c>
      <c r="U103" s="4">
        <v>6</v>
      </c>
      <c r="V103" s="4">
        <v>0</v>
      </c>
      <c r="W103" s="4">
        <v>3</v>
      </c>
      <c r="X103" s="4">
        <v>11</v>
      </c>
      <c r="Y103" s="4">
        <v>3</v>
      </c>
      <c r="Z103" s="4">
        <v>3</v>
      </c>
      <c r="AA103" s="3">
        <f t="shared" si="3"/>
        <v>38</v>
      </c>
      <c r="AB103" t="s">
        <v>63</v>
      </c>
      <c r="AC103">
        <v>70.83</v>
      </c>
      <c r="AD103">
        <v>78.06</v>
      </c>
      <c r="AE103">
        <v>2.96</v>
      </c>
      <c r="AF103">
        <v>177.06</v>
      </c>
      <c r="AG103">
        <v>30.8</v>
      </c>
      <c r="AH103">
        <v>25.57</v>
      </c>
      <c r="AI103">
        <v>11.22</v>
      </c>
      <c r="AJ103">
        <v>11.86</v>
      </c>
      <c r="AK103">
        <v>22.65</v>
      </c>
      <c r="AL103">
        <v>97.91</v>
      </c>
      <c r="AM103">
        <v>60.41</v>
      </c>
      <c r="AN103">
        <v>33.75</v>
      </c>
      <c r="AO103" s="1">
        <v>623.07999999999993</v>
      </c>
    </row>
    <row r="104" spans="1:41" x14ac:dyDescent="0.25">
      <c r="A104" t="s">
        <v>393</v>
      </c>
      <c r="B104" s="4">
        <v>3515</v>
      </c>
      <c r="C104" s="4">
        <v>0</v>
      </c>
      <c r="D104" s="4">
        <v>1002</v>
      </c>
      <c r="E104" s="4">
        <v>1481</v>
      </c>
      <c r="F104" s="4">
        <v>1167</v>
      </c>
      <c r="G104" s="4">
        <v>4302</v>
      </c>
      <c r="H104" s="4">
        <v>2438</v>
      </c>
      <c r="I104" s="4">
        <v>755</v>
      </c>
      <c r="J104" s="4">
        <v>16214</v>
      </c>
      <c r="K104" s="4">
        <v>1952</v>
      </c>
      <c r="L104" s="4">
        <v>478</v>
      </c>
      <c r="M104" s="4">
        <v>0</v>
      </c>
      <c r="N104" s="3">
        <f t="shared" si="2"/>
        <v>33304</v>
      </c>
      <c r="O104" s="4">
        <v>7</v>
      </c>
      <c r="P104" s="4">
        <v>5</v>
      </c>
      <c r="Q104" s="4">
        <v>1</v>
      </c>
      <c r="R104" s="4">
        <v>3</v>
      </c>
      <c r="S104" s="4">
        <v>3</v>
      </c>
      <c r="T104" s="4">
        <v>6</v>
      </c>
      <c r="U104" s="4">
        <v>2</v>
      </c>
      <c r="V104" s="4">
        <v>0</v>
      </c>
      <c r="W104" s="4">
        <v>3</v>
      </c>
      <c r="X104" s="4">
        <v>1</v>
      </c>
      <c r="Y104" s="4">
        <v>5</v>
      </c>
      <c r="Z104" s="4">
        <v>5</v>
      </c>
      <c r="AA104" s="3">
        <f t="shared" si="3"/>
        <v>41</v>
      </c>
      <c r="AB104" t="s">
        <v>63</v>
      </c>
      <c r="AC104">
        <v>70.930000000000007</v>
      </c>
      <c r="AD104">
        <v>0.45</v>
      </c>
      <c r="AE104">
        <v>20.13</v>
      </c>
      <c r="AF104">
        <v>29.89</v>
      </c>
      <c r="AG104">
        <v>23.61</v>
      </c>
      <c r="AH104">
        <v>86.58</v>
      </c>
      <c r="AI104">
        <v>48.94</v>
      </c>
      <c r="AJ104">
        <v>15.1</v>
      </c>
      <c r="AK104">
        <v>324.55</v>
      </c>
      <c r="AL104">
        <v>39.130000000000003</v>
      </c>
      <c r="AM104">
        <v>10.01</v>
      </c>
      <c r="AN104">
        <v>0.45</v>
      </c>
      <c r="AO104" s="1">
        <v>669.7700000000001</v>
      </c>
    </row>
    <row r="105" spans="1:41" x14ac:dyDescent="0.25">
      <c r="A105" t="s">
        <v>402</v>
      </c>
      <c r="B105" s="4">
        <v>3442</v>
      </c>
      <c r="C105" s="4">
        <v>1305</v>
      </c>
      <c r="D105" s="4">
        <v>398</v>
      </c>
      <c r="E105" s="4">
        <v>3173</v>
      </c>
      <c r="F105" s="4">
        <v>2405</v>
      </c>
      <c r="G105" s="4">
        <v>3850</v>
      </c>
      <c r="H105" s="4">
        <v>1360</v>
      </c>
      <c r="I105" s="4">
        <v>973</v>
      </c>
      <c r="J105" s="4">
        <v>1039</v>
      </c>
      <c r="K105" s="4">
        <v>3228</v>
      </c>
      <c r="L105" s="4">
        <v>2807</v>
      </c>
      <c r="M105" s="4">
        <v>9480</v>
      </c>
      <c r="N105" s="3">
        <f t="shared" si="2"/>
        <v>33460</v>
      </c>
      <c r="O105" s="4">
        <v>4</v>
      </c>
      <c r="P105" s="4">
        <v>6</v>
      </c>
      <c r="Q105" s="4">
        <v>3</v>
      </c>
      <c r="R105" s="4">
        <v>2</v>
      </c>
      <c r="S105" s="4">
        <v>4</v>
      </c>
      <c r="T105" s="4">
        <v>9</v>
      </c>
      <c r="U105" s="4">
        <v>3</v>
      </c>
      <c r="V105" s="4">
        <v>1</v>
      </c>
      <c r="W105" s="4">
        <v>1</v>
      </c>
      <c r="X105" s="4">
        <v>1</v>
      </c>
      <c r="Y105" s="4">
        <v>8</v>
      </c>
      <c r="Z105" s="4">
        <v>8</v>
      </c>
      <c r="AA105" s="3">
        <f t="shared" si="3"/>
        <v>50</v>
      </c>
      <c r="AB105" t="s">
        <v>63</v>
      </c>
      <c r="AC105">
        <v>69.2</v>
      </c>
      <c r="AD105">
        <v>26.64</v>
      </c>
      <c r="AE105">
        <v>8.23</v>
      </c>
      <c r="AF105">
        <v>63.64</v>
      </c>
      <c r="AG105">
        <v>48.46</v>
      </c>
      <c r="AH105">
        <v>77.81</v>
      </c>
      <c r="AI105">
        <v>27.47</v>
      </c>
      <c r="AJ105">
        <v>19.55</v>
      </c>
      <c r="AK105">
        <v>20.87</v>
      </c>
      <c r="AL105">
        <v>64.650000000000006</v>
      </c>
      <c r="AM105">
        <v>56.86</v>
      </c>
      <c r="AN105">
        <v>190.32</v>
      </c>
      <c r="AO105" s="1">
        <v>673.7</v>
      </c>
    </row>
    <row r="106" spans="1:41" x14ac:dyDescent="0.25">
      <c r="A106" t="s">
        <v>404</v>
      </c>
      <c r="B106" s="4">
        <v>3410</v>
      </c>
      <c r="C106" s="4">
        <v>192</v>
      </c>
      <c r="D106" s="4">
        <v>1790</v>
      </c>
      <c r="E106" s="4">
        <v>3131</v>
      </c>
      <c r="F106" s="4">
        <v>2072</v>
      </c>
      <c r="G106" s="4">
        <v>517</v>
      </c>
      <c r="H106" s="4">
        <v>5203</v>
      </c>
      <c r="I106" s="4">
        <v>1458</v>
      </c>
      <c r="J106" s="4">
        <v>3798</v>
      </c>
      <c r="K106" s="4">
        <v>656</v>
      </c>
      <c r="L106" s="4">
        <v>1928</v>
      </c>
      <c r="M106" s="4">
        <v>1325</v>
      </c>
      <c r="N106" s="3">
        <f t="shared" si="2"/>
        <v>25480</v>
      </c>
      <c r="O106" s="4">
        <v>1</v>
      </c>
      <c r="P106" s="4">
        <v>2</v>
      </c>
      <c r="Q106" s="4">
        <v>2</v>
      </c>
      <c r="R106" s="4">
        <v>6</v>
      </c>
      <c r="S106" s="4">
        <v>15</v>
      </c>
      <c r="T106" s="4">
        <v>0</v>
      </c>
      <c r="U106" s="4">
        <v>0</v>
      </c>
      <c r="V106" s="4">
        <v>10</v>
      </c>
      <c r="W106" s="4">
        <v>12</v>
      </c>
      <c r="X106" s="4">
        <v>3</v>
      </c>
      <c r="Y106" s="4">
        <v>1</v>
      </c>
      <c r="Z106" s="4">
        <v>0</v>
      </c>
      <c r="AA106" s="3">
        <f t="shared" si="3"/>
        <v>52</v>
      </c>
      <c r="AB106" t="s">
        <v>63</v>
      </c>
      <c r="AC106">
        <v>68.290000000000006</v>
      </c>
      <c r="AD106">
        <v>4.0199999999999996</v>
      </c>
      <c r="AE106">
        <v>35.979999999999997</v>
      </c>
      <c r="AF106">
        <v>63.16</v>
      </c>
      <c r="AG106">
        <v>42.79</v>
      </c>
      <c r="AH106">
        <v>10.34</v>
      </c>
      <c r="AI106">
        <v>104.06</v>
      </c>
      <c r="AJ106">
        <v>30.06</v>
      </c>
      <c r="AK106">
        <v>77.040000000000006</v>
      </c>
      <c r="AL106">
        <v>13.39</v>
      </c>
      <c r="AM106">
        <v>38.65</v>
      </c>
      <c r="AN106">
        <v>26.5</v>
      </c>
      <c r="AO106" s="1">
        <v>514.28</v>
      </c>
    </row>
    <row r="107" spans="1:41" x14ac:dyDescent="0.25">
      <c r="A107" t="s">
        <v>405</v>
      </c>
      <c r="B107" s="4">
        <v>3399</v>
      </c>
      <c r="C107" s="4">
        <v>1243</v>
      </c>
      <c r="D107" s="4">
        <v>8490</v>
      </c>
      <c r="E107" s="4">
        <v>1958</v>
      </c>
      <c r="F107" s="4">
        <v>3158</v>
      </c>
      <c r="G107" s="4">
        <v>0</v>
      </c>
      <c r="H107" s="4">
        <v>1943</v>
      </c>
      <c r="I107" s="4">
        <v>5714</v>
      </c>
      <c r="J107" s="4">
        <v>1567</v>
      </c>
      <c r="K107" s="4">
        <v>4121</v>
      </c>
      <c r="L107" s="4">
        <v>1093</v>
      </c>
      <c r="M107" s="4">
        <v>267</v>
      </c>
      <c r="N107" s="3">
        <f t="shared" si="2"/>
        <v>32953</v>
      </c>
      <c r="O107" s="4">
        <v>8</v>
      </c>
      <c r="P107" s="4">
        <v>3</v>
      </c>
      <c r="Q107" s="4">
        <v>0</v>
      </c>
      <c r="R107" s="4">
        <v>4</v>
      </c>
      <c r="S107" s="4">
        <v>4</v>
      </c>
      <c r="T107" s="4">
        <v>6</v>
      </c>
      <c r="U107" s="4">
        <v>4</v>
      </c>
      <c r="V107" s="4">
        <v>4</v>
      </c>
      <c r="W107" s="4">
        <v>3</v>
      </c>
      <c r="X107" s="4">
        <v>0</v>
      </c>
      <c r="Y107" s="4">
        <v>1</v>
      </c>
      <c r="Z107" s="4">
        <v>4</v>
      </c>
      <c r="AA107" s="3">
        <f t="shared" si="3"/>
        <v>41</v>
      </c>
      <c r="AB107" t="s">
        <v>63</v>
      </c>
      <c r="AC107">
        <v>68.7</v>
      </c>
      <c r="AD107">
        <v>25.13</v>
      </c>
      <c r="AE107">
        <v>169.8</v>
      </c>
      <c r="AF107">
        <v>39.520000000000003</v>
      </c>
      <c r="AG107">
        <v>63.52</v>
      </c>
      <c r="AH107">
        <v>0.54</v>
      </c>
      <c r="AI107">
        <v>39.22</v>
      </c>
      <c r="AJ107">
        <v>114.64</v>
      </c>
      <c r="AK107">
        <v>31.61</v>
      </c>
      <c r="AL107">
        <v>82.42</v>
      </c>
      <c r="AM107">
        <v>21.95</v>
      </c>
      <c r="AN107">
        <v>5.7</v>
      </c>
      <c r="AO107" s="1">
        <v>662.75</v>
      </c>
    </row>
    <row r="108" spans="1:41" x14ac:dyDescent="0.25">
      <c r="A108" t="s">
        <v>407</v>
      </c>
      <c r="B108" s="4">
        <v>3380</v>
      </c>
      <c r="C108" s="4">
        <v>2746</v>
      </c>
      <c r="D108" s="4">
        <v>5448</v>
      </c>
      <c r="E108" s="4">
        <v>3873</v>
      </c>
      <c r="F108" s="4">
        <v>3821</v>
      </c>
      <c r="G108" s="4">
        <v>4169</v>
      </c>
      <c r="H108" s="4">
        <v>4641</v>
      </c>
      <c r="I108" s="4">
        <v>1075</v>
      </c>
      <c r="J108" s="4">
        <v>1049</v>
      </c>
      <c r="K108" s="4">
        <v>4416</v>
      </c>
      <c r="L108" s="4">
        <v>6785</v>
      </c>
      <c r="M108" s="4">
        <v>926</v>
      </c>
      <c r="N108" s="3">
        <f t="shared" si="2"/>
        <v>42329</v>
      </c>
      <c r="O108" s="4">
        <v>1</v>
      </c>
      <c r="P108" s="4">
        <v>15</v>
      </c>
      <c r="Q108" s="4">
        <v>15</v>
      </c>
      <c r="R108" s="4">
        <v>2</v>
      </c>
      <c r="S108" s="4">
        <v>5</v>
      </c>
      <c r="T108" s="4">
        <v>2</v>
      </c>
      <c r="U108" s="4">
        <v>6</v>
      </c>
      <c r="V108" s="4">
        <v>8</v>
      </c>
      <c r="W108" s="4">
        <v>14</v>
      </c>
      <c r="X108" s="4">
        <v>4</v>
      </c>
      <c r="Y108" s="4">
        <v>6</v>
      </c>
      <c r="Z108" s="4">
        <v>1</v>
      </c>
      <c r="AA108" s="3">
        <f t="shared" si="3"/>
        <v>79</v>
      </c>
      <c r="AB108" t="s">
        <v>63</v>
      </c>
      <c r="AC108">
        <v>67.69</v>
      </c>
      <c r="AD108">
        <v>56.27</v>
      </c>
      <c r="AE108">
        <v>110.31</v>
      </c>
      <c r="AF108">
        <v>77.64</v>
      </c>
      <c r="AG108">
        <v>76.87</v>
      </c>
      <c r="AH108">
        <v>83.56</v>
      </c>
      <c r="AI108">
        <v>93.36</v>
      </c>
      <c r="AJ108">
        <v>22.22</v>
      </c>
      <c r="AK108">
        <v>22.24</v>
      </c>
      <c r="AL108">
        <v>88.68</v>
      </c>
      <c r="AM108">
        <v>136.24</v>
      </c>
      <c r="AN108">
        <v>18.61</v>
      </c>
      <c r="AO108" s="1">
        <v>853.69000000000017</v>
      </c>
    </row>
    <row r="109" spans="1:41" x14ac:dyDescent="0.25">
      <c r="A109" t="s">
        <v>408</v>
      </c>
      <c r="B109" s="4">
        <v>3371</v>
      </c>
      <c r="C109" s="4">
        <v>1069</v>
      </c>
      <c r="D109" s="4">
        <v>885</v>
      </c>
      <c r="E109" s="4">
        <v>3187</v>
      </c>
      <c r="F109" s="4">
        <v>1609</v>
      </c>
      <c r="G109" s="4">
        <v>326</v>
      </c>
      <c r="H109" s="4">
        <v>0</v>
      </c>
      <c r="I109" s="4">
        <v>3449</v>
      </c>
      <c r="J109" s="4">
        <v>3518</v>
      </c>
      <c r="K109" s="4">
        <v>714</v>
      </c>
      <c r="L109" s="4">
        <v>3598</v>
      </c>
      <c r="M109" s="4">
        <v>11418</v>
      </c>
      <c r="N109" s="3">
        <f t="shared" si="2"/>
        <v>33144</v>
      </c>
      <c r="O109" s="4">
        <v>3</v>
      </c>
      <c r="P109" s="4">
        <v>6</v>
      </c>
      <c r="Q109" s="4">
        <v>4</v>
      </c>
      <c r="R109" s="4">
        <v>0</v>
      </c>
      <c r="S109" s="4">
        <v>6</v>
      </c>
      <c r="T109" s="4">
        <v>3</v>
      </c>
      <c r="U109" s="4">
        <v>2</v>
      </c>
      <c r="V109" s="4">
        <v>4</v>
      </c>
      <c r="W109" s="4">
        <v>4</v>
      </c>
      <c r="X109" s="4">
        <v>4</v>
      </c>
      <c r="Y109" s="4">
        <v>3</v>
      </c>
      <c r="Z109" s="4">
        <v>3</v>
      </c>
      <c r="AA109" s="3">
        <f t="shared" si="3"/>
        <v>42</v>
      </c>
      <c r="AB109" t="s">
        <v>63</v>
      </c>
      <c r="AC109">
        <v>67.69</v>
      </c>
      <c r="AD109">
        <v>21.92</v>
      </c>
      <c r="AE109">
        <v>18.059999999999999</v>
      </c>
      <c r="AF109">
        <v>63.74</v>
      </c>
      <c r="AG109">
        <v>32.72</v>
      </c>
      <c r="AH109">
        <v>6.79</v>
      </c>
      <c r="AI109">
        <v>0.18</v>
      </c>
      <c r="AJ109">
        <v>69.34</v>
      </c>
      <c r="AK109">
        <v>70.72</v>
      </c>
      <c r="AL109">
        <v>14.64</v>
      </c>
      <c r="AM109">
        <v>72.23</v>
      </c>
      <c r="AN109">
        <v>228.63</v>
      </c>
      <c r="AO109" s="1">
        <v>666.66</v>
      </c>
    </row>
    <row r="110" spans="1:41" x14ac:dyDescent="0.25">
      <c r="A110" t="s">
        <v>409</v>
      </c>
      <c r="B110" s="4">
        <v>3371</v>
      </c>
      <c r="C110" s="4">
        <v>3231</v>
      </c>
      <c r="D110" s="4">
        <v>123</v>
      </c>
      <c r="E110" s="4">
        <v>0</v>
      </c>
      <c r="F110" s="4">
        <v>5990</v>
      </c>
      <c r="G110" s="4">
        <v>1083</v>
      </c>
      <c r="H110" s="4">
        <v>1208</v>
      </c>
      <c r="I110" s="4">
        <v>13716</v>
      </c>
      <c r="J110" s="4">
        <v>4439</v>
      </c>
      <c r="K110" s="4">
        <v>1596</v>
      </c>
      <c r="L110" s="4">
        <v>2605</v>
      </c>
      <c r="M110" s="4">
        <v>2059</v>
      </c>
      <c r="N110" s="3">
        <f t="shared" si="2"/>
        <v>39421</v>
      </c>
      <c r="O110" s="4">
        <v>1</v>
      </c>
      <c r="P110" s="4">
        <v>3</v>
      </c>
      <c r="Q110" s="4">
        <v>4</v>
      </c>
      <c r="R110" s="4">
        <v>9</v>
      </c>
      <c r="S110" s="4">
        <v>4</v>
      </c>
      <c r="T110" s="4">
        <v>1</v>
      </c>
      <c r="U110" s="4">
        <v>1</v>
      </c>
      <c r="V110" s="4">
        <v>4</v>
      </c>
      <c r="W110" s="4">
        <v>2</v>
      </c>
      <c r="X110" s="4">
        <v>5</v>
      </c>
      <c r="Y110" s="4">
        <v>11</v>
      </c>
      <c r="Z110" s="4">
        <v>4</v>
      </c>
      <c r="AA110" s="3">
        <f t="shared" si="3"/>
        <v>49</v>
      </c>
      <c r="AB110" t="s">
        <v>63</v>
      </c>
      <c r="AC110">
        <v>67.510000000000005</v>
      </c>
      <c r="AD110">
        <v>64.89</v>
      </c>
      <c r="AE110">
        <v>2.82</v>
      </c>
      <c r="AF110">
        <v>0.81</v>
      </c>
      <c r="AG110">
        <v>120.16</v>
      </c>
      <c r="AH110">
        <v>21.75</v>
      </c>
      <c r="AI110">
        <v>24.25</v>
      </c>
      <c r="AJ110">
        <v>274.68</v>
      </c>
      <c r="AK110">
        <v>88.96</v>
      </c>
      <c r="AL110">
        <v>32.369999999999997</v>
      </c>
      <c r="AM110">
        <v>53.09</v>
      </c>
      <c r="AN110">
        <v>41.54</v>
      </c>
      <c r="AO110" s="1">
        <v>792.83</v>
      </c>
    </row>
    <row r="111" spans="1:41" x14ac:dyDescent="0.25">
      <c r="A111" t="s">
        <v>411</v>
      </c>
      <c r="B111" s="4">
        <v>3348</v>
      </c>
      <c r="C111" s="4">
        <v>1054</v>
      </c>
      <c r="D111" s="4">
        <v>885</v>
      </c>
      <c r="E111" s="4">
        <v>15722</v>
      </c>
      <c r="F111" s="4">
        <v>1697</v>
      </c>
      <c r="G111" s="4">
        <v>920</v>
      </c>
      <c r="H111" s="4">
        <v>1458</v>
      </c>
      <c r="I111" s="4">
        <v>371</v>
      </c>
      <c r="J111" s="4">
        <v>1953</v>
      </c>
      <c r="K111" s="4">
        <v>1818</v>
      </c>
      <c r="L111" s="4">
        <v>1959</v>
      </c>
      <c r="M111" s="4">
        <v>777</v>
      </c>
      <c r="N111" s="3">
        <f t="shared" si="2"/>
        <v>31962</v>
      </c>
      <c r="O111" s="4">
        <v>5</v>
      </c>
      <c r="P111" s="4">
        <v>13</v>
      </c>
      <c r="Q111" s="4">
        <v>2</v>
      </c>
      <c r="R111" s="4">
        <v>0</v>
      </c>
      <c r="S111" s="4">
        <v>1</v>
      </c>
      <c r="T111" s="4">
        <v>2</v>
      </c>
      <c r="U111" s="4">
        <v>0</v>
      </c>
      <c r="V111" s="4">
        <v>6</v>
      </c>
      <c r="W111" s="4">
        <v>26</v>
      </c>
      <c r="X111" s="4">
        <v>2</v>
      </c>
      <c r="Y111" s="4">
        <v>1</v>
      </c>
      <c r="Z111" s="4">
        <v>3</v>
      </c>
      <c r="AA111" s="3">
        <f t="shared" si="3"/>
        <v>61</v>
      </c>
      <c r="AB111" t="s">
        <v>63</v>
      </c>
      <c r="AC111">
        <v>67.41</v>
      </c>
      <c r="AD111">
        <v>22.25</v>
      </c>
      <c r="AE111">
        <v>17.88</v>
      </c>
      <c r="AF111">
        <v>314.44</v>
      </c>
      <c r="AG111">
        <v>34.03</v>
      </c>
      <c r="AH111">
        <v>18.579999999999998</v>
      </c>
      <c r="AI111">
        <v>29.16</v>
      </c>
      <c r="AJ111">
        <v>7.96</v>
      </c>
      <c r="AK111">
        <v>41.4</v>
      </c>
      <c r="AL111">
        <v>36.54</v>
      </c>
      <c r="AM111">
        <v>39.270000000000003</v>
      </c>
      <c r="AN111">
        <v>15.81</v>
      </c>
      <c r="AO111" s="1">
        <v>644.7299999999999</v>
      </c>
    </row>
    <row r="112" spans="1:41" x14ac:dyDescent="0.25">
      <c r="A112" t="s">
        <v>413</v>
      </c>
      <c r="B112" s="4">
        <v>3322</v>
      </c>
      <c r="C112" s="4">
        <v>7894</v>
      </c>
      <c r="D112" s="4">
        <v>0</v>
      </c>
      <c r="E112" s="4">
        <v>6465</v>
      </c>
      <c r="F112" s="4">
        <v>1030</v>
      </c>
      <c r="G112" s="4">
        <v>1977</v>
      </c>
      <c r="H112" s="4">
        <v>769</v>
      </c>
      <c r="I112" s="4">
        <v>5264</v>
      </c>
      <c r="J112" s="4">
        <v>3323</v>
      </c>
      <c r="K112" s="4">
        <v>2865</v>
      </c>
      <c r="L112" s="4">
        <v>4419</v>
      </c>
      <c r="M112" s="4">
        <v>2725</v>
      </c>
      <c r="N112" s="3">
        <f t="shared" si="2"/>
        <v>40053</v>
      </c>
      <c r="O112" s="4">
        <v>10</v>
      </c>
      <c r="P112" s="4">
        <v>0</v>
      </c>
      <c r="Q112" s="4">
        <v>4</v>
      </c>
      <c r="R112" s="4">
        <v>0</v>
      </c>
      <c r="S112" s="4">
        <v>5</v>
      </c>
      <c r="T112" s="4">
        <v>4</v>
      </c>
      <c r="U112" s="4">
        <v>1</v>
      </c>
      <c r="V112" s="4">
        <v>1</v>
      </c>
      <c r="W112" s="4">
        <v>1</v>
      </c>
      <c r="X112" s="4">
        <v>7</v>
      </c>
      <c r="Y112" s="4">
        <v>8</v>
      </c>
      <c r="Z112" s="4">
        <v>2</v>
      </c>
      <c r="AA112" s="3">
        <f t="shared" si="3"/>
        <v>43</v>
      </c>
      <c r="AB112" t="s">
        <v>63</v>
      </c>
      <c r="AC112">
        <v>67.34</v>
      </c>
      <c r="AD112">
        <v>157.88</v>
      </c>
      <c r="AE112">
        <v>0.36</v>
      </c>
      <c r="AF112">
        <v>129.30000000000001</v>
      </c>
      <c r="AG112">
        <v>21.05</v>
      </c>
      <c r="AH112">
        <v>39.9</v>
      </c>
      <c r="AI112">
        <v>15.47</v>
      </c>
      <c r="AJ112">
        <v>105.37</v>
      </c>
      <c r="AK112">
        <v>66.55</v>
      </c>
      <c r="AL112">
        <v>57.93</v>
      </c>
      <c r="AM112">
        <v>89.1</v>
      </c>
      <c r="AN112">
        <v>54.68</v>
      </c>
      <c r="AO112" s="1">
        <v>804.93</v>
      </c>
    </row>
    <row r="113" spans="1:41" x14ac:dyDescent="0.25">
      <c r="A113" t="s">
        <v>414</v>
      </c>
      <c r="B113" s="4">
        <v>3321</v>
      </c>
      <c r="C113" s="4">
        <v>6830</v>
      </c>
      <c r="D113" s="4">
        <v>8467</v>
      </c>
      <c r="E113" s="4">
        <v>3209</v>
      </c>
      <c r="F113" s="4">
        <v>2136</v>
      </c>
      <c r="G113" s="4">
        <v>0</v>
      </c>
      <c r="H113" s="4">
        <v>2080</v>
      </c>
      <c r="I113" s="4">
        <v>2898</v>
      </c>
      <c r="J113" s="4">
        <v>258</v>
      </c>
      <c r="K113" s="4">
        <v>10204</v>
      </c>
      <c r="L113" s="4">
        <v>7763</v>
      </c>
      <c r="M113" s="4">
        <v>817</v>
      </c>
      <c r="N113" s="3">
        <f t="shared" si="2"/>
        <v>47983</v>
      </c>
      <c r="O113" s="4">
        <v>3</v>
      </c>
      <c r="P113" s="4">
        <v>5</v>
      </c>
      <c r="Q113" s="4">
        <v>4</v>
      </c>
      <c r="R113" s="4">
        <v>3</v>
      </c>
      <c r="S113" s="4">
        <v>6</v>
      </c>
      <c r="T113" s="4">
        <v>2</v>
      </c>
      <c r="U113" s="4">
        <v>2</v>
      </c>
      <c r="V113" s="4">
        <v>0</v>
      </c>
      <c r="W113" s="4">
        <v>1</v>
      </c>
      <c r="X113" s="4">
        <v>5</v>
      </c>
      <c r="Y113" s="4">
        <v>6</v>
      </c>
      <c r="Z113" s="4">
        <v>5</v>
      </c>
      <c r="AA113" s="3">
        <f t="shared" si="3"/>
        <v>42</v>
      </c>
      <c r="AB113" t="s">
        <v>63</v>
      </c>
      <c r="AC113">
        <v>66.69</v>
      </c>
      <c r="AD113">
        <v>137.05000000000001</v>
      </c>
      <c r="AE113">
        <v>169.7</v>
      </c>
      <c r="AF113">
        <v>64.45</v>
      </c>
      <c r="AG113">
        <v>43.26</v>
      </c>
      <c r="AH113">
        <v>0.18</v>
      </c>
      <c r="AI113">
        <v>41.78</v>
      </c>
      <c r="AJ113">
        <v>57.96</v>
      </c>
      <c r="AK113">
        <v>5.25</v>
      </c>
      <c r="AL113">
        <v>204.53</v>
      </c>
      <c r="AM113">
        <v>155.80000000000001</v>
      </c>
      <c r="AN113">
        <v>16.79</v>
      </c>
      <c r="AO113" s="1">
        <v>963.44</v>
      </c>
    </row>
    <row r="114" spans="1:41" x14ac:dyDescent="0.25">
      <c r="A114" t="s">
        <v>415</v>
      </c>
      <c r="B114" s="4">
        <v>3302</v>
      </c>
      <c r="C114" s="4">
        <v>1131</v>
      </c>
      <c r="D114" s="4">
        <v>4008</v>
      </c>
      <c r="E114" s="4">
        <v>579</v>
      </c>
      <c r="F114" s="4">
        <v>4205</v>
      </c>
      <c r="G114" s="4">
        <v>2344</v>
      </c>
      <c r="H114" s="4">
        <v>1220</v>
      </c>
      <c r="I114" s="4">
        <v>2849</v>
      </c>
      <c r="J114" s="4">
        <v>1364</v>
      </c>
      <c r="K114" s="4">
        <v>706</v>
      </c>
      <c r="L114" s="4">
        <v>1747</v>
      </c>
      <c r="M114" s="4">
        <v>1515</v>
      </c>
      <c r="N114" s="3">
        <f t="shared" si="2"/>
        <v>24970</v>
      </c>
      <c r="O114" s="4">
        <v>3</v>
      </c>
      <c r="P114" s="4">
        <v>4</v>
      </c>
      <c r="Q114" s="4">
        <v>5</v>
      </c>
      <c r="R114" s="4">
        <v>3</v>
      </c>
      <c r="S114" s="4">
        <v>2</v>
      </c>
      <c r="T114" s="4">
        <v>2</v>
      </c>
      <c r="U114" s="4">
        <v>0</v>
      </c>
      <c r="V114" s="4">
        <v>3</v>
      </c>
      <c r="W114" s="4">
        <v>1</v>
      </c>
      <c r="X114" s="4">
        <v>7</v>
      </c>
      <c r="Y114" s="4">
        <v>2</v>
      </c>
      <c r="Z114" s="4">
        <v>1</v>
      </c>
      <c r="AA114" s="3">
        <f t="shared" si="3"/>
        <v>33</v>
      </c>
      <c r="AB114" t="s">
        <v>63</v>
      </c>
      <c r="AC114">
        <v>66.31</v>
      </c>
      <c r="AD114">
        <v>22.98</v>
      </c>
      <c r="AE114">
        <v>80.61</v>
      </c>
      <c r="AF114">
        <v>11.85</v>
      </c>
      <c r="AG114">
        <v>84.28</v>
      </c>
      <c r="AH114">
        <v>47.06</v>
      </c>
      <c r="AI114">
        <v>24.4</v>
      </c>
      <c r="AJ114">
        <v>57.25</v>
      </c>
      <c r="AK114">
        <v>27.37</v>
      </c>
      <c r="AL114">
        <v>14.75</v>
      </c>
      <c r="AM114">
        <v>35.119999999999997</v>
      </c>
      <c r="AN114">
        <v>30.39</v>
      </c>
      <c r="AO114" s="1">
        <v>502.36999999999995</v>
      </c>
    </row>
    <row r="115" spans="1:41" x14ac:dyDescent="0.25">
      <c r="A115" t="s">
        <v>419</v>
      </c>
      <c r="B115" s="4">
        <v>3279</v>
      </c>
      <c r="C115" s="4">
        <v>9007</v>
      </c>
      <c r="D115" s="4">
        <v>153</v>
      </c>
      <c r="E115" s="4">
        <v>1587</v>
      </c>
      <c r="F115" s="4">
        <v>405</v>
      </c>
      <c r="G115" s="4">
        <v>6467</v>
      </c>
      <c r="H115" s="4">
        <v>0</v>
      </c>
      <c r="I115" s="4">
        <v>2228</v>
      </c>
      <c r="J115" s="4">
        <v>2469</v>
      </c>
      <c r="K115" s="4">
        <v>0</v>
      </c>
      <c r="L115" s="4">
        <v>1122</v>
      </c>
      <c r="M115" s="4">
        <v>1948</v>
      </c>
      <c r="N115" s="3">
        <f t="shared" si="2"/>
        <v>28665</v>
      </c>
      <c r="O115" s="4">
        <v>5</v>
      </c>
      <c r="P115" s="4">
        <v>8</v>
      </c>
      <c r="Q115" s="4">
        <v>2</v>
      </c>
      <c r="R115" s="4">
        <v>5</v>
      </c>
      <c r="S115" s="4">
        <v>10</v>
      </c>
      <c r="T115" s="4">
        <v>5</v>
      </c>
      <c r="U115" s="4">
        <v>5</v>
      </c>
      <c r="V115" s="4">
        <v>4</v>
      </c>
      <c r="W115" s="4">
        <v>0</v>
      </c>
      <c r="X115" s="4">
        <v>3</v>
      </c>
      <c r="Y115" s="4">
        <v>1</v>
      </c>
      <c r="Z115" s="4">
        <v>10</v>
      </c>
      <c r="AA115" s="3">
        <f t="shared" si="3"/>
        <v>58</v>
      </c>
      <c r="AB115" t="s">
        <v>63</v>
      </c>
      <c r="AC115">
        <v>66.03</v>
      </c>
      <c r="AD115">
        <v>180.86</v>
      </c>
      <c r="AE115">
        <v>3.24</v>
      </c>
      <c r="AF115">
        <v>32.19</v>
      </c>
      <c r="AG115">
        <v>9</v>
      </c>
      <c r="AH115">
        <v>129.79</v>
      </c>
      <c r="AI115">
        <v>0.45</v>
      </c>
      <c r="AJ115">
        <v>44.92</v>
      </c>
      <c r="AK115">
        <v>49.38</v>
      </c>
      <c r="AL115">
        <v>0.27</v>
      </c>
      <c r="AM115">
        <v>22.53</v>
      </c>
      <c r="AN115">
        <v>39.86</v>
      </c>
      <c r="AO115" s="1">
        <v>578.52</v>
      </c>
    </row>
    <row r="116" spans="1:41" x14ac:dyDescent="0.25">
      <c r="A116" t="s">
        <v>423</v>
      </c>
      <c r="B116" s="4">
        <v>3239</v>
      </c>
      <c r="C116" s="4">
        <v>580</v>
      </c>
      <c r="D116" s="4">
        <v>7434</v>
      </c>
      <c r="E116" s="4">
        <v>5120</v>
      </c>
      <c r="F116" s="4">
        <v>255</v>
      </c>
      <c r="G116" s="4">
        <v>3221</v>
      </c>
      <c r="H116" s="4">
        <v>4957</v>
      </c>
      <c r="I116" s="4">
        <v>4605</v>
      </c>
      <c r="J116" s="4">
        <v>5172</v>
      </c>
      <c r="K116" s="4">
        <v>585</v>
      </c>
      <c r="L116" s="4">
        <v>390</v>
      </c>
      <c r="M116" s="4">
        <v>6107</v>
      </c>
      <c r="N116" s="3">
        <f t="shared" si="2"/>
        <v>41665</v>
      </c>
      <c r="O116" s="4">
        <v>4</v>
      </c>
      <c r="P116" s="4">
        <v>8</v>
      </c>
      <c r="Q116" s="4">
        <v>11</v>
      </c>
      <c r="R116" s="4">
        <v>0</v>
      </c>
      <c r="S116" s="4">
        <v>3</v>
      </c>
      <c r="T116" s="4">
        <v>3</v>
      </c>
      <c r="U116" s="4">
        <v>13</v>
      </c>
      <c r="V116" s="4">
        <v>25</v>
      </c>
      <c r="W116" s="4">
        <v>3</v>
      </c>
      <c r="X116" s="4">
        <v>7</v>
      </c>
      <c r="Y116" s="4">
        <v>4</v>
      </c>
      <c r="Z116" s="4">
        <v>0</v>
      </c>
      <c r="AA116" s="3">
        <f t="shared" si="3"/>
        <v>81</v>
      </c>
      <c r="AB116" t="s">
        <v>63</v>
      </c>
      <c r="AC116">
        <v>65.14</v>
      </c>
      <c r="AD116">
        <v>12.32</v>
      </c>
      <c r="AE116">
        <v>149.66999999999999</v>
      </c>
      <c r="AF116">
        <v>102.4</v>
      </c>
      <c r="AG116">
        <v>5.37</v>
      </c>
      <c r="AH116">
        <v>64.69</v>
      </c>
      <c r="AI116">
        <v>100.31</v>
      </c>
      <c r="AJ116">
        <v>94.35</v>
      </c>
      <c r="AK116">
        <v>103.71</v>
      </c>
      <c r="AL116">
        <v>12.33</v>
      </c>
      <c r="AM116">
        <v>8.16</v>
      </c>
      <c r="AN116">
        <v>122.14</v>
      </c>
      <c r="AO116" s="1">
        <v>840.59</v>
      </c>
    </row>
    <row r="117" spans="1:41" x14ac:dyDescent="0.25">
      <c r="A117" t="s">
        <v>425</v>
      </c>
      <c r="B117" s="4">
        <v>3221</v>
      </c>
      <c r="C117" s="4">
        <v>346</v>
      </c>
      <c r="D117" s="4">
        <v>3920</v>
      </c>
      <c r="E117" s="4">
        <v>4881</v>
      </c>
      <c r="F117" s="4">
        <v>1308</v>
      </c>
      <c r="G117" s="4">
        <v>530</v>
      </c>
      <c r="H117" s="4">
        <v>5295</v>
      </c>
      <c r="I117" s="4">
        <v>13952</v>
      </c>
      <c r="J117" s="4">
        <v>1154</v>
      </c>
      <c r="K117" s="4">
        <v>10746</v>
      </c>
      <c r="L117" s="4">
        <v>1098</v>
      </c>
      <c r="M117" s="4">
        <v>9827</v>
      </c>
      <c r="N117" s="3">
        <f t="shared" si="2"/>
        <v>56278</v>
      </c>
      <c r="O117" s="4">
        <v>8</v>
      </c>
      <c r="P117" s="4">
        <v>6</v>
      </c>
      <c r="Q117" s="4">
        <v>1</v>
      </c>
      <c r="R117" s="4">
        <v>8</v>
      </c>
      <c r="S117" s="4">
        <v>4</v>
      </c>
      <c r="T117" s="4">
        <v>3</v>
      </c>
      <c r="U117" s="4">
        <v>8</v>
      </c>
      <c r="V117" s="4">
        <v>4</v>
      </c>
      <c r="W117" s="4">
        <v>7</v>
      </c>
      <c r="X117" s="4">
        <v>2</v>
      </c>
      <c r="Y117" s="4">
        <v>2</v>
      </c>
      <c r="Z117" s="4">
        <v>3</v>
      </c>
      <c r="AA117" s="3">
        <f t="shared" si="3"/>
        <v>56</v>
      </c>
      <c r="AB117" t="s">
        <v>63</v>
      </c>
      <c r="AC117">
        <v>65.14</v>
      </c>
      <c r="AD117">
        <v>7.46</v>
      </c>
      <c r="AE117">
        <v>78.489999999999995</v>
      </c>
      <c r="AF117">
        <v>98.34</v>
      </c>
      <c r="AG117">
        <v>26.52</v>
      </c>
      <c r="AH117">
        <v>10.87</v>
      </c>
      <c r="AI117">
        <v>106.62</v>
      </c>
      <c r="AJ117">
        <v>279.39999999999998</v>
      </c>
      <c r="AK117">
        <v>23.71</v>
      </c>
      <c r="AL117">
        <v>215.1</v>
      </c>
      <c r="AM117">
        <v>22.14</v>
      </c>
      <c r="AN117">
        <v>196.81</v>
      </c>
      <c r="AO117" s="1">
        <v>1130.5999999999999</v>
      </c>
    </row>
    <row r="118" spans="1:41" x14ac:dyDescent="0.25">
      <c r="A118" t="s">
        <v>430</v>
      </c>
      <c r="B118" s="4">
        <v>3179</v>
      </c>
      <c r="C118" s="4">
        <v>915</v>
      </c>
      <c r="D118" s="4">
        <v>738</v>
      </c>
      <c r="E118" s="4">
        <v>1022</v>
      </c>
      <c r="F118" s="4">
        <v>1297</v>
      </c>
      <c r="G118" s="4">
        <v>4283</v>
      </c>
      <c r="H118" s="4">
        <v>1246</v>
      </c>
      <c r="I118" s="4">
        <v>1542</v>
      </c>
      <c r="J118" s="4">
        <v>1935</v>
      </c>
      <c r="K118" s="4">
        <v>2249</v>
      </c>
      <c r="L118" s="4">
        <v>4449</v>
      </c>
      <c r="M118" s="4">
        <v>1513</v>
      </c>
      <c r="N118" s="3">
        <f t="shared" si="2"/>
        <v>24368</v>
      </c>
      <c r="O118" s="4">
        <v>2</v>
      </c>
      <c r="P118" s="4">
        <v>3</v>
      </c>
      <c r="Q118" s="4">
        <v>4</v>
      </c>
      <c r="R118" s="4">
        <v>3</v>
      </c>
      <c r="S118" s="4">
        <v>8</v>
      </c>
      <c r="T118" s="4">
        <v>2</v>
      </c>
      <c r="U118" s="4">
        <v>12</v>
      </c>
      <c r="V118" s="4">
        <v>5</v>
      </c>
      <c r="W118" s="4">
        <v>8</v>
      </c>
      <c r="X118" s="4">
        <v>5</v>
      </c>
      <c r="Y118" s="4">
        <v>8</v>
      </c>
      <c r="Z118" s="4">
        <v>1</v>
      </c>
      <c r="AA118" s="3">
        <f t="shared" si="3"/>
        <v>61</v>
      </c>
      <c r="AB118" t="s">
        <v>63</v>
      </c>
      <c r="AC118">
        <v>63.76</v>
      </c>
      <c r="AD118">
        <v>18.57</v>
      </c>
      <c r="AE118">
        <v>15.12</v>
      </c>
      <c r="AF118">
        <v>20.71</v>
      </c>
      <c r="AG118">
        <v>26.66</v>
      </c>
      <c r="AH118">
        <v>85.84</v>
      </c>
      <c r="AI118">
        <v>26</v>
      </c>
      <c r="AJ118">
        <v>31.29</v>
      </c>
      <c r="AK118">
        <v>39.42</v>
      </c>
      <c r="AL118">
        <v>45.43</v>
      </c>
      <c r="AM118">
        <v>89.7</v>
      </c>
      <c r="AN118">
        <v>30.35</v>
      </c>
      <c r="AO118" s="1">
        <v>492.85</v>
      </c>
    </row>
    <row r="119" spans="1:41" x14ac:dyDescent="0.25">
      <c r="A119" t="s">
        <v>432</v>
      </c>
      <c r="B119" s="4">
        <v>3165</v>
      </c>
      <c r="C119" s="4">
        <v>769</v>
      </c>
      <c r="D119" s="4">
        <v>0</v>
      </c>
      <c r="E119" s="4">
        <v>2691</v>
      </c>
      <c r="F119" s="4">
        <v>1088</v>
      </c>
      <c r="G119" s="4">
        <v>637</v>
      </c>
      <c r="H119" s="4">
        <v>1459</v>
      </c>
      <c r="I119" s="4">
        <v>1988</v>
      </c>
      <c r="J119" s="4">
        <v>583</v>
      </c>
      <c r="K119" s="4">
        <v>1417</v>
      </c>
      <c r="L119" s="4">
        <v>8050</v>
      </c>
      <c r="M119" s="4">
        <v>595</v>
      </c>
      <c r="N119" s="3">
        <f t="shared" si="2"/>
        <v>22442</v>
      </c>
      <c r="O119" s="4">
        <v>2</v>
      </c>
      <c r="P119" s="4">
        <v>3</v>
      </c>
      <c r="Q119" s="4">
        <v>1</v>
      </c>
      <c r="R119" s="4">
        <v>3</v>
      </c>
      <c r="S119" s="4">
        <v>5</v>
      </c>
      <c r="T119" s="4">
        <v>5</v>
      </c>
      <c r="U119" s="4">
        <v>12</v>
      </c>
      <c r="V119" s="4">
        <v>9</v>
      </c>
      <c r="W119" s="4">
        <v>11</v>
      </c>
      <c r="X119" s="4">
        <v>3</v>
      </c>
      <c r="Y119" s="4">
        <v>2</v>
      </c>
      <c r="Z119" s="4">
        <v>3</v>
      </c>
      <c r="AA119" s="3">
        <f t="shared" si="3"/>
        <v>59</v>
      </c>
      <c r="AB119" t="s">
        <v>63</v>
      </c>
      <c r="AC119">
        <v>63.48</v>
      </c>
      <c r="AD119">
        <v>15.65</v>
      </c>
      <c r="AE119">
        <v>0.09</v>
      </c>
      <c r="AF119">
        <v>54.09</v>
      </c>
      <c r="AG119">
        <v>22.21</v>
      </c>
      <c r="AH119">
        <v>13.19</v>
      </c>
      <c r="AI119">
        <v>30.26</v>
      </c>
      <c r="AJ119">
        <v>40.57</v>
      </c>
      <c r="AK119">
        <v>12.65</v>
      </c>
      <c r="AL119">
        <v>28.61</v>
      </c>
      <c r="AM119">
        <v>161.18</v>
      </c>
      <c r="AN119">
        <v>12.17</v>
      </c>
      <c r="AO119" s="1">
        <v>454.15000000000003</v>
      </c>
    </row>
    <row r="120" spans="1:41" x14ac:dyDescent="0.25">
      <c r="A120" t="s">
        <v>433</v>
      </c>
      <c r="B120" s="4">
        <v>3155</v>
      </c>
      <c r="C120" s="4">
        <v>893</v>
      </c>
      <c r="D120" s="4">
        <v>2379</v>
      </c>
      <c r="E120" s="4">
        <v>1645</v>
      </c>
      <c r="F120" s="4">
        <v>5031</v>
      </c>
      <c r="G120" s="4">
        <v>2865</v>
      </c>
      <c r="H120" s="4">
        <v>0</v>
      </c>
      <c r="I120" s="4">
        <v>1045</v>
      </c>
      <c r="J120" s="4">
        <v>2080</v>
      </c>
      <c r="K120" s="4">
        <v>5293</v>
      </c>
      <c r="L120" s="4">
        <v>4800</v>
      </c>
      <c r="M120" s="4">
        <v>1600</v>
      </c>
      <c r="N120" s="3">
        <f t="shared" si="2"/>
        <v>30786</v>
      </c>
      <c r="O120" s="4">
        <v>2</v>
      </c>
      <c r="P120" s="4">
        <v>6</v>
      </c>
      <c r="Q120" s="4">
        <v>1</v>
      </c>
      <c r="R120" s="4">
        <v>10</v>
      </c>
      <c r="S120" s="4">
        <v>1</v>
      </c>
      <c r="T120" s="4">
        <v>34</v>
      </c>
      <c r="U120" s="4">
        <v>1</v>
      </c>
      <c r="V120" s="4">
        <v>7</v>
      </c>
      <c r="W120" s="4">
        <v>2</v>
      </c>
      <c r="X120" s="4">
        <v>0</v>
      </c>
      <c r="Y120" s="4">
        <v>8</v>
      </c>
      <c r="Z120" s="4">
        <v>8</v>
      </c>
      <c r="AA120" s="3">
        <f t="shared" si="3"/>
        <v>80</v>
      </c>
      <c r="AB120" t="s">
        <v>63</v>
      </c>
      <c r="AC120">
        <v>63.28</v>
      </c>
      <c r="AD120">
        <v>18.399999999999999</v>
      </c>
      <c r="AE120">
        <v>47.67</v>
      </c>
      <c r="AF120">
        <v>33.799999999999997</v>
      </c>
      <c r="AG120">
        <v>100.71</v>
      </c>
      <c r="AH120">
        <v>60.36</v>
      </c>
      <c r="AI120">
        <v>0.09</v>
      </c>
      <c r="AJ120">
        <v>21.53</v>
      </c>
      <c r="AK120">
        <v>41.78</v>
      </c>
      <c r="AL120">
        <v>105.86</v>
      </c>
      <c r="AM120">
        <v>96.72</v>
      </c>
      <c r="AN120">
        <v>32.72</v>
      </c>
      <c r="AO120" s="1">
        <v>622.92000000000007</v>
      </c>
    </row>
    <row r="121" spans="1:41" x14ac:dyDescent="0.25">
      <c r="A121" t="s">
        <v>436</v>
      </c>
      <c r="B121" s="4">
        <v>3107</v>
      </c>
      <c r="C121" s="4">
        <v>1340</v>
      </c>
      <c r="D121" s="4">
        <v>355</v>
      </c>
      <c r="E121" s="4">
        <v>1363</v>
      </c>
      <c r="F121" s="4">
        <v>2500</v>
      </c>
      <c r="G121" s="4">
        <v>67</v>
      </c>
      <c r="H121" s="4">
        <v>467</v>
      </c>
      <c r="I121" s="4">
        <v>4575</v>
      </c>
      <c r="J121" s="4">
        <v>4888</v>
      </c>
      <c r="K121" s="4">
        <v>9281</v>
      </c>
      <c r="L121" s="4">
        <v>0</v>
      </c>
      <c r="M121" s="4">
        <v>1011</v>
      </c>
      <c r="N121" s="3">
        <f t="shared" si="2"/>
        <v>28954</v>
      </c>
      <c r="O121" s="4">
        <v>1</v>
      </c>
      <c r="P121" s="4">
        <v>2</v>
      </c>
      <c r="Q121" s="4">
        <v>1</v>
      </c>
      <c r="R121" s="4">
        <v>4</v>
      </c>
      <c r="S121" s="4">
        <v>6</v>
      </c>
      <c r="T121" s="4">
        <v>7</v>
      </c>
      <c r="U121" s="4">
        <v>4</v>
      </c>
      <c r="V121" s="4">
        <v>1</v>
      </c>
      <c r="W121" s="4">
        <v>4</v>
      </c>
      <c r="X121" s="4">
        <v>4</v>
      </c>
      <c r="Y121" s="4">
        <v>1</v>
      </c>
      <c r="Z121" s="4">
        <v>8</v>
      </c>
      <c r="AA121" s="3">
        <f t="shared" si="3"/>
        <v>43</v>
      </c>
      <c r="AB121" t="s">
        <v>63</v>
      </c>
      <c r="AC121">
        <v>62.23</v>
      </c>
      <c r="AD121">
        <v>26.98</v>
      </c>
      <c r="AE121">
        <v>7.19</v>
      </c>
      <c r="AF121">
        <v>27.62</v>
      </c>
      <c r="AG121">
        <v>50.54</v>
      </c>
      <c r="AH121">
        <v>1.97</v>
      </c>
      <c r="AI121">
        <v>9.6999999999999993</v>
      </c>
      <c r="AJ121">
        <v>91.59</v>
      </c>
      <c r="AK121">
        <v>98.12</v>
      </c>
      <c r="AL121">
        <v>185.98</v>
      </c>
      <c r="AM121">
        <v>0.09</v>
      </c>
      <c r="AN121">
        <v>20.94</v>
      </c>
      <c r="AO121" s="1">
        <v>582.95000000000005</v>
      </c>
    </row>
    <row r="122" spans="1:41" x14ac:dyDescent="0.25">
      <c r="A122" t="s">
        <v>439</v>
      </c>
      <c r="B122" s="4">
        <v>3077</v>
      </c>
      <c r="C122" s="4">
        <v>655</v>
      </c>
      <c r="D122" s="4">
        <v>1339</v>
      </c>
      <c r="E122" s="4">
        <v>2175</v>
      </c>
      <c r="F122" s="4">
        <v>671</v>
      </c>
      <c r="G122" s="4">
        <v>0</v>
      </c>
      <c r="H122" s="4">
        <v>3242</v>
      </c>
      <c r="I122" s="4">
        <v>1612</v>
      </c>
      <c r="J122" s="4">
        <v>3042</v>
      </c>
      <c r="K122" s="4">
        <v>1691</v>
      </c>
      <c r="L122" s="4">
        <v>2863</v>
      </c>
      <c r="M122" s="4">
        <v>0</v>
      </c>
      <c r="N122" s="3">
        <f t="shared" si="2"/>
        <v>20367</v>
      </c>
      <c r="O122" s="4">
        <v>5</v>
      </c>
      <c r="P122" s="4">
        <v>4</v>
      </c>
      <c r="Q122" s="4">
        <v>0</v>
      </c>
      <c r="R122" s="4">
        <v>2</v>
      </c>
      <c r="S122" s="4">
        <v>6</v>
      </c>
      <c r="T122" s="4">
        <v>1</v>
      </c>
      <c r="U122" s="4">
        <v>1</v>
      </c>
      <c r="V122" s="4">
        <v>3</v>
      </c>
      <c r="W122" s="4">
        <v>5</v>
      </c>
      <c r="X122" s="4">
        <v>10</v>
      </c>
      <c r="Y122" s="4">
        <v>3</v>
      </c>
      <c r="Z122" s="4">
        <v>1</v>
      </c>
      <c r="AA122" s="3">
        <f t="shared" si="3"/>
        <v>41</v>
      </c>
      <c r="AB122" t="s">
        <v>63</v>
      </c>
      <c r="AC122">
        <v>61.99</v>
      </c>
      <c r="AD122">
        <v>13.46</v>
      </c>
      <c r="AE122">
        <v>26.78</v>
      </c>
      <c r="AF122">
        <v>43.68</v>
      </c>
      <c r="AG122">
        <v>13.96</v>
      </c>
      <c r="AH122">
        <v>0.09</v>
      </c>
      <c r="AI122">
        <v>64.930000000000007</v>
      </c>
      <c r="AJ122">
        <v>32.51</v>
      </c>
      <c r="AK122">
        <v>61.29</v>
      </c>
      <c r="AL122">
        <v>34.72</v>
      </c>
      <c r="AM122">
        <v>57.53</v>
      </c>
      <c r="AN122">
        <v>0.09</v>
      </c>
      <c r="AO122" s="1">
        <v>411.03000000000003</v>
      </c>
    </row>
    <row r="123" spans="1:41" x14ac:dyDescent="0.25">
      <c r="A123" t="s">
        <v>441</v>
      </c>
      <c r="B123" s="4">
        <v>3061</v>
      </c>
      <c r="C123" s="4">
        <v>809</v>
      </c>
      <c r="D123" s="4">
        <v>2589</v>
      </c>
      <c r="E123" s="4">
        <v>9037</v>
      </c>
      <c r="F123" s="4">
        <v>824</v>
      </c>
      <c r="G123" s="4">
        <v>4089</v>
      </c>
      <c r="H123" s="4">
        <v>1039</v>
      </c>
      <c r="I123" s="4">
        <v>18</v>
      </c>
      <c r="J123" s="4">
        <v>1537</v>
      </c>
      <c r="K123" s="4">
        <v>4092</v>
      </c>
      <c r="L123" s="4">
        <v>2380</v>
      </c>
      <c r="M123" s="4">
        <v>2213</v>
      </c>
      <c r="N123" s="3">
        <f t="shared" si="2"/>
        <v>31688</v>
      </c>
      <c r="O123" s="4">
        <v>2</v>
      </c>
      <c r="P123" s="4">
        <v>0</v>
      </c>
      <c r="Q123" s="4">
        <v>1</v>
      </c>
      <c r="R123" s="4">
        <v>11</v>
      </c>
      <c r="S123" s="4">
        <v>4</v>
      </c>
      <c r="T123" s="4">
        <v>1</v>
      </c>
      <c r="U123" s="4">
        <v>7</v>
      </c>
      <c r="V123" s="4">
        <v>3</v>
      </c>
      <c r="W123" s="4">
        <v>3</v>
      </c>
      <c r="X123" s="4">
        <v>2</v>
      </c>
      <c r="Y123" s="4">
        <v>2</v>
      </c>
      <c r="Z123" s="4">
        <v>3</v>
      </c>
      <c r="AA123" s="3">
        <f t="shared" si="3"/>
        <v>39</v>
      </c>
      <c r="AB123" t="s">
        <v>63</v>
      </c>
      <c r="AC123">
        <v>61.4</v>
      </c>
      <c r="AD123">
        <v>16.18</v>
      </c>
      <c r="AE123">
        <v>51.87</v>
      </c>
      <c r="AF123">
        <v>181.73</v>
      </c>
      <c r="AG123">
        <v>16.84</v>
      </c>
      <c r="AH123">
        <v>81.87</v>
      </c>
      <c r="AI123">
        <v>21.41</v>
      </c>
      <c r="AJ123">
        <v>0.63</v>
      </c>
      <c r="AK123">
        <v>31.01</v>
      </c>
      <c r="AL123">
        <v>82.02</v>
      </c>
      <c r="AM123">
        <v>47.78</v>
      </c>
      <c r="AN123">
        <v>44.53</v>
      </c>
      <c r="AO123" s="1">
        <v>637.26999999999987</v>
      </c>
    </row>
    <row r="124" spans="1:41" x14ac:dyDescent="0.25">
      <c r="A124" t="s">
        <v>443</v>
      </c>
      <c r="B124" s="4">
        <v>3045</v>
      </c>
      <c r="C124" s="4">
        <v>2516</v>
      </c>
      <c r="D124" s="4">
        <v>9054</v>
      </c>
      <c r="E124" s="4">
        <v>550</v>
      </c>
      <c r="F124" s="4">
        <v>117</v>
      </c>
      <c r="G124" s="4">
        <v>1144</v>
      </c>
      <c r="H124" s="4">
        <v>0</v>
      </c>
      <c r="I124" s="4">
        <v>2216</v>
      </c>
      <c r="J124" s="4">
        <v>6305</v>
      </c>
      <c r="K124" s="4">
        <v>4063</v>
      </c>
      <c r="L124" s="4">
        <v>35</v>
      </c>
      <c r="M124" s="4">
        <v>5114</v>
      </c>
      <c r="N124" s="3">
        <f t="shared" si="2"/>
        <v>34159</v>
      </c>
      <c r="O124" s="4">
        <v>16</v>
      </c>
      <c r="P124" s="4">
        <v>4</v>
      </c>
      <c r="Q124" s="4">
        <v>7</v>
      </c>
      <c r="R124" s="4">
        <v>5</v>
      </c>
      <c r="S124" s="4">
        <v>4</v>
      </c>
      <c r="T124" s="4">
        <v>0</v>
      </c>
      <c r="U124" s="4">
        <v>3</v>
      </c>
      <c r="V124" s="4">
        <v>4</v>
      </c>
      <c r="W124" s="4">
        <v>7</v>
      </c>
      <c r="X124" s="4">
        <v>2</v>
      </c>
      <c r="Y124" s="4">
        <v>11</v>
      </c>
      <c r="Z124" s="4">
        <v>1</v>
      </c>
      <c r="AA124" s="3">
        <f t="shared" si="3"/>
        <v>64</v>
      </c>
      <c r="AB124" t="s">
        <v>63</v>
      </c>
      <c r="AC124">
        <v>62.34</v>
      </c>
      <c r="AD124">
        <v>50.68</v>
      </c>
      <c r="AE124">
        <v>181.71</v>
      </c>
      <c r="AF124">
        <v>11.45</v>
      </c>
      <c r="AG124">
        <v>2.7</v>
      </c>
      <c r="AH124">
        <v>22.88</v>
      </c>
      <c r="AI124">
        <v>0.27</v>
      </c>
      <c r="AJ124">
        <v>44.68</v>
      </c>
      <c r="AK124">
        <v>126.73</v>
      </c>
      <c r="AL124">
        <v>81.44</v>
      </c>
      <c r="AM124">
        <v>1.69</v>
      </c>
      <c r="AN124">
        <v>102.37</v>
      </c>
      <c r="AO124" s="1">
        <v>688.94</v>
      </c>
    </row>
    <row r="125" spans="1:41" x14ac:dyDescent="0.25">
      <c r="A125" t="s">
        <v>445</v>
      </c>
      <c r="B125" s="4">
        <v>3034</v>
      </c>
      <c r="C125" s="4">
        <v>1391</v>
      </c>
      <c r="D125" s="4">
        <v>3075</v>
      </c>
      <c r="E125" s="4">
        <v>6709</v>
      </c>
      <c r="F125" s="4">
        <v>467</v>
      </c>
      <c r="G125" s="4">
        <v>2694</v>
      </c>
      <c r="H125" s="4">
        <v>2023</v>
      </c>
      <c r="I125" s="4">
        <v>1556</v>
      </c>
      <c r="J125" s="4">
        <v>7016</v>
      </c>
      <c r="K125" s="4">
        <v>1409</v>
      </c>
      <c r="L125" s="4">
        <v>2163</v>
      </c>
      <c r="M125" s="4">
        <v>3007</v>
      </c>
      <c r="N125" s="3">
        <f t="shared" si="2"/>
        <v>34544</v>
      </c>
      <c r="O125" s="4">
        <v>1</v>
      </c>
      <c r="P125" s="4">
        <v>1</v>
      </c>
      <c r="Q125" s="4">
        <v>4</v>
      </c>
      <c r="R125" s="4">
        <v>1</v>
      </c>
      <c r="S125" s="4">
        <v>9</v>
      </c>
      <c r="T125" s="4">
        <v>4</v>
      </c>
      <c r="U125" s="4">
        <v>5</v>
      </c>
      <c r="V125" s="4">
        <v>2</v>
      </c>
      <c r="W125" s="4">
        <v>9</v>
      </c>
      <c r="X125" s="4">
        <v>14</v>
      </c>
      <c r="Y125" s="4">
        <v>7</v>
      </c>
      <c r="Z125" s="4">
        <v>0</v>
      </c>
      <c r="AA125" s="3">
        <f t="shared" si="3"/>
        <v>57</v>
      </c>
      <c r="AB125" t="s">
        <v>63</v>
      </c>
      <c r="AC125">
        <v>60.77</v>
      </c>
      <c r="AD125">
        <v>27.91</v>
      </c>
      <c r="AE125">
        <v>61.86</v>
      </c>
      <c r="AF125">
        <v>134.27000000000001</v>
      </c>
      <c r="AG125">
        <v>10.15</v>
      </c>
      <c r="AH125">
        <v>54.24</v>
      </c>
      <c r="AI125">
        <v>40.909999999999997</v>
      </c>
      <c r="AJ125">
        <v>31.3</v>
      </c>
      <c r="AK125">
        <v>141.13</v>
      </c>
      <c r="AL125">
        <v>29.44</v>
      </c>
      <c r="AM125">
        <v>43.89</v>
      </c>
      <c r="AN125">
        <v>60.14</v>
      </c>
      <c r="AO125" s="1">
        <v>696.01</v>
      </c>
    </row>
    <row r="126" spans="1:41" x14ac:dyDescent="0.25">
      <c r="A126" t="s">
        <v>446</v>
      </c>
      <c r="B126" s="4">
        <v>3014</v>
      </c>
      <c r="C126" s="4">
        <v>5443</v>
      </c>
      <c r="D126" s="4">
        <v>2646</v>
      </c>
      <c r="E126" s="4">
        <v>940</v>
      </c>
      <c r="F126" s="4">
        <v>2769</v>
      </c>
      <c r="G126" s="4">
        <v>359</v>
      </c>
      <c r="H126" s="4">
        <v>1311</v>
      </c>
      <c r="I126" s="4">
        <v>74</v>
      </c>
      <c r="J126" s="4">
        <v>2451</v>
      </c>
      <c r="K126" s="4">
        <v>6845</v>
      </c>
      <c r="L126" s="4">
        <v>3073</v>
      </c>
      <c r="M126" s="4">
        <v>0</v>
      </c>
      <c r="N126" s="3">
        <f t="shared" si="2"/>
        <v>28925</v>
      </c>
      <c r="O126" s="4">
        <v>2</v>
      </c>
      <c r="P126" s="4">
        <v>5</v>
      </c>
      <c r="Q126" s="4">
        <v>5</v>
      </c>
      <c r="R126" s="4">
        <v>3</v>
      </c>
      <c r="S126" s="4">
        <v>4</v>
      </c>
      <c r="T126" s="4">
        <v>3</v>
      </c>
      <c r="U126" s="4">
        <v>1</v>
      </c>
      <c r="V126" s="4">
        <v>10</v>
      </c>
      <c r="W126" s="4">
        <v>6</v>
      </c>
      <c r="X126" s="4">
        <v>15</v>
      </c>
      <c r="Y126" s="4">
        <v>2</v>
      </c>
      <c r="Z126" s="4">
        <v>4</v>
      </c>
      <c r="AA126" s="3">
        <f t="shared" si="3"/>
        <v>60</v>
      </c>
      <c r="AB126" t="s">
        <v>63</v>
      </c>
      <c r="AC126">
        <v>60.46</v>
      </c>
      <c r="AD126">
        <v>109.31</v>
      </c>
      <c r="AE126">
        <v>53.37</v>
      </c>
      <c r="AF126">
        <v>19.07</v>
      </c>
      <c r="AG126">
        <v>55.74</v>
      </c>
      <c r="AH126">
        <v>7.45</v>
      </c>
      <c r="AI126">
        <v>26.31</v>
      </c>
      <c r="AJ126">
        <v>2.38</v>
      </c>
      <c r="AK126">
        <v>49.56</v>
      </c>
      <c r="AL126">
        <v>138.25</v>
      </c>
      <c r="AM126">
        <v>61.64</v>
      </c>
      <c r="AN126">
        <v>0.36</v>
      </c>
      <c r="AO126" s="1">
        <v>583.9</v>
      </c>
    </row>
    <row r="127" spans="1:41" x14ac:dyDescent="0.25">
      <c r="A127" t="s">
        <v>448</v>
      </c>
      <c r="B127" s="4">
        <v>3002</v>
      </c>
      <c r="C127" s="4">
        <v>1500</v>
      </c>
      <c r="D127" s="4">
        <v>2615</v>
      </c>
      <c r="E127" s="4">
        <v>637</v>
      </c>
      <c r="F127" s="4">
        <v>509</v>
      </c>
      <c r="G127" s="4">
        <v>2966</v>
      </c>
      <c r="H127" s="4">
        <v>6506</v>
      </c>
      <c r="I127" s="4">
        <v>0</v>
      </c>
      <c r="J127" s="4">
        <v>894</v>
      </c>
      <c r="K127" s="4">
        <v>1314</v>
      </c>
      <c r="L127" s="4">
        <v>4231</v>
      </c>
      <c r="M127" s="4">
        <v>1147</v>
      </c>
      <c r="N127" s="3">
        <f t="shared" si="2"/>
        <v>25321</v>
      </c>
      <c r="O127" s="4">
        <v>14</v>
      </c>
      <c r="P127" s="4">
        <v>5</v>
      </c>
      <c r="Q127" s="4">
        <v>8</v>
      </c>
      <c r="R127" s="4">
        <v>4</v>
      </c>
      <c r="S127" s="4">
        <v>1</v>
      </c>
      <c r="T127" s="4">
        <v>0</v>
      </c>
      <c r="U127" s="4">
        <v>4</v>
      </c>
      <c r="V127" s="4">
        <v>4</v>
      </c>
      <c r="W127" s="4">
        <v>4</v>
      </c>
      <c r="X127" s="4">
        <v>2</v>
      </c>
      <c r="Y127" s="4">
        <v>13</v>
      </c>
      <c r="Z127" s="4">
        <v>2</v>
      </c>
      <c r="AA127" s="3">
        <f t="shared" si="3"/>
        <v>61</v>
      </c>
      <c r="AB127" t="s">
        <v>63</v>
      </c>
      <c r="AC127">
        <v>61.3</v>
      </c>
      <c r="AD127">
        <v>30.45</v>
      </c>
      <c r="AE127">
        <v>53.02</v>
      </c>
      <c r="AF127">
        <v>13.1</v>
      </c>
      <c r="AG127">
        <v>10.27</v>
      </c>
      <c r="AH127">
        <v>59.32</v>
      </c>
      <c r="AI127">
        <v>130.47999999999999</v>
      </c>
      <c r="AJ127">
        <v>0.36</v>
      </c>
      <c r="AK127">
        <v>18.239999999999998</v>
      </c>
      <c r="AL127">
        <v>26.46</v>
      </c>
      <c r="AM127">
        <v>85.79</v>
      </c>
      <c r="AN127">
        <v>23.12</v>
      </c>
      <c r="AO127" s="1">
        <v>511.91</v>
      </c>
    </row>
    <row r="128" spans="1:41" x14ac:dyDescent="0.25">
      <c r="A128" t="s">
        <v>449</v>
      </c>
      <c r="B128" s="4">
        <v>3000</v>
      </c>
      <c r="C128" s="4">
        <v>1144</v>
      </c>
      <c r="D128" s="4">
        <v>15888</v>
      </c>
      <c r="E128" s="4">
        <v>2882</v>
      </c>
      <c r="F128" s="4">
        <v>2185</v>
      </c>
      <c r="G128" s="4">
        <v>1043</v>
      </c>
      <c r="H128" s="4">
        <v>2215</v>
      </c>
      <c r="I128" s="4">
        <v>568</v>
      </c>
      <c r="J128" s="4">
        <v>210</v>
      </c>
      <c r="K128" s="4">
        <v>1323</v>
      </c>
      <c r="L128" s="4">
        <v>586</v>
      </c>
      <c r="M128" s="4">
        <v>3761</v>
      </c>
      <c r="N128" s="3">
        <f t="shared" si="2"/>
        <v>34805</v>
      </c>
      <c r="O128" s="4">
        <v>8</v>
      </c>
      <c r="P128" s="4">
        <v>2</v>
      </c>
      <c r="Q128" s="4">
        <v>18</v>
      </c>
      <c r="R128" s="4">
        <v>8</v>
      </c>
      <c r="S128" s="4">
        <v>5</v>
      </c>
      <c r="T128" s="4">
        <v>10</v>
      </c>
      <c r="U128" s="4">
        <v>4</v>
      </c>
      <c r="V128" s="4">
        <v>1</v>
      </c>
      <c r="W128" s="4">
        <v>1</v>
      </c>
      <c r="X128" s="4">
        <v>0</v>
      </c>
      <c r="Y128" s="4">
        <v>4</v>
      </c>
      <c r="Z128" s="4">
        <v>6</v>
      </c>
      <c r="AA128" s="3">
        <f t="shared" si="3"/>
        <v>67</v>
      </c>
      <c r="AB128" t="s">
        <v>63</v>
      </c>
      <c r="AC128">
        <v>60.72</v>
      </c>
      <c r="AD128">
        <v>23.06</v>
      </c>
      <c r="AE128">
        <v>319.38</v>
      </c>
      <c r="AF128">
        <v>58.36</v>
      </c>
      <c r="AG128">
        <v>44.15</v>
      </c>
      <c r="AH128">
        <v>21.76</v>
      </c>
      <c r="AI128">
        <v>44.66</v>
      </c>
      <c r="AJ128">
        <v>11.45</v>
      </c>
      <c r="AK128">
        <v>4.29</v>
      </c>
      <c r="AL128">
        <v>26.46</v>
      </c>
      <c r="AM128">
        <v>12.08</v>
      </c>
      <c r="AN128">
        <v>75.760000000000005</v>
      </c>
      <c r="AO128" s="1">
        <v>702.13</v>
      </c>
    </row>
    <row r="129" spans="1:41" x14ac:dyDescent="0.25">
      <c r="A129" t="s">
        <v>450</v>
      </c>
      <c r="B129" s="4">
        <v>2993</v>
      </c>
      <c r="C129" s="4">
        <v>1980</v>
      </c>
      <c r="D129" s="4">
        <v>2663</v>
      </c>
      <c r="E129" s="4">
        <v>1036</v>
      </c>
      <c r="F129" s="4">
        <v>0</v>
      </c>
      <c r="G129" s="4">
        <v>703</v>
      </c>
      <c r="H129" s="4">
        <v>3799</v>
      </c>
      <c r="I129" s="4">
        <v>2599</v>
      </c>
      <c r="J129" s="4">
        <v>1352</v>
      </c>
      <c r="K129" s="4">
        <v>3748</v>
      </c>
      <c r="L129" s="4">
        <v>7120</v>
      </c>
      <c r="M129" s="4">
        <v>528</v>
      </c>
      <c r="N129" s="3">
        <f t="shared" si="2"/>
        <v>28521</v>
      </c>
      <c r="O129" s="4">
        <v>12</v>
      </c>
      <c r="P129" s="4">
        <v>9</v>
      </c>
      <c r="Q129" s="4">
        <v>3</v>
      </c>
      <c r="R129" s="4">
        <v>7</v>
      </c>
      <c r="S129" s="4">
        <v>3</v>
      </c>
      <c r="T129" s="4">
        <v>2</v>
      </c>
      <c r="U129" s="4">
        <v>1</v>
      </c>
      <c r="V129" s="4">
        <v>3</v>
      </c>
      <c r="W129" s="4">
        <v>6</v>
      </c>
      <c r="X129" s="4">
        <v>2</v>
      </c>
      <c r="Y129" s="4">
        <v>5</v>
      </c>
      <c r="Z129" s="4">
        <v>4</v>
      </c>
      <c r="AA129" s="3">
        <f t="shared" si="3"/>
        <v>57</v>
      </c>
      <c r="AB129" t="s">
        <v>63</v>
      </c>
      <c r="AC129">
        <v>60.94</v>
      </c>
      <c r="AD129">
        <v>40.409999999999997</v>
      </c>
      <c r="AE129">
        <v>53.53</v>
      </c>
      <c r="AF129">
        <v>21.35</v>
      </c>
      <c r="AG129">
        <v>0.27</v>
      </c>
      <c r="AH129">
        <v>14.24</v>
      </c>
      <c r="AI129">
        <v>76.069999999999993</v>
      </c>
      <c r="AJ129">
        <v>52.25</v>
      </c>
      <c r="AK129">
        <v>27.58</v>
      </c>
      <c r="AL129">
        <v>75.14</v>
      </c>
      <c r="AM129">
        <v>142.85</v>
      </c>
      <c r="AN129">
        <v>10.92</v>
      </c>
      <c r="AO129" s="1">
        <v>575.54999999999995</v>
      </c>
    </row>
    <row r="130" spans="1:41" x14ac:dyDescent="0.25">
      <c r="A130" t="s">
        <v>451</v>
      </c>
      <c r="B130" s="4">
        <v>2985</v>
      </c>
      <c r="C130" s="4">
        <v>544</v>
      </c>
      <c r="D130" s="4">
        <v>6961</v>
      </c>
      <c r="E130" s="4">
        <v>1657</v>
      </c>
      <c r="F130" s="4">
        <v>0</v>
      </c>
      <c r="G130" s="4">
        <v>1883</v>
      </c>
      <c r="H130" s="4">
        <v>1020</v>
      </c>
      <c r="I130" s="4">
        <v>6985</v>
      </c>
      <c r="J130" s="4">
        <v>3753</v>
      </c>
      <c r="K130" s="4">
        <v>3512</v>
      </c>
      <c r="L130" s="4">
        <v>2589</v>
      </c>
      <c r="M130" s="4">
        <v>3114</v>
      </c>
      <c r="N130" s="3">
        <f t="shared" si="2"/>
        <v>35003</v>
      </c>
      <c r="O130" s="4">
        <v>15</v>
      </c>
      <c r="P130" s="4">
        <v>1</v>
      </c>
      <c r="Q130" s="4">
        <v>1</v>
      </c>
      <c r="R130" s="4">
        <v>1</v>
      </c>
      <c r="S130" s="4">
        <v>1</v>
      </c>
      <c r="T130" s="4">
        <v>5</v>
      </c>
      <c r="U130" s="4">
        <v>9</v>
      </c>
      <c r="V130" s="4">
        <v>3</v>
      </c>
      <c r="W130" s="4">
        <v>3</v>
      </c>
      <c r="X130" s="4">
        <v>4</v>
      </c>
      <c r="Y130" s="4">
        <v>4</v>
      </c>
      <c r="Z130" s="4">
        <v>0</v>
      </c>
      <c r="AA130" s="3">
        <f t="shared" si="3"/>
        <v>47</v>
      </c>
      <c r="AB130" t="s">
        <v>63</v>
      </c>
      <c r="AC130">
        <v>61.05</v>
      </c>
      <c r="AD130">
        <v>10.97</v>
      </c>
      <c r="AE130">
        <v>139.31</v>
      </c>
      <c r="AF130">
        <v>33.229999999999997</v>
      </c>
      <c r="AG130">
        <v>0.09</v>
      </c>
      <c r="AH130">
        <v>38.11</v>
      </c>
      <c r="AI130">
        <v>21.21</v>
      </c>
      <c r="AJ130">
        <v>139.97</v>
      </c>
      <c r="AK130">
        <v>75.33</v>
      </c>
      <c r="AL130">
        <v>70.599999999999994</v>
      </c>
      <c r="AM130">
        <v>52.14</v>
      </c>
      <c r="AN130">
        <v>62.28</v>
      </c>
      <c r="AO130" s="1">
        <v>704.29</v>
      </c>
    </row>
    <row r="131" spans="1:41" x14ac:dyDescent="0.25">
      <c r="A131" t="s">
        <v>452</v>
      </c>
      <c r="B131" s="4">
        <v>2983</v>
      </c>
      <c r="C131" s="4">
        <v>1879</v>
      </c>
      <c r="D131" s="4">
        <v>41</v>
      </c>
      <c r="E131" s="4">
        <v>3969</v>
      </c>
      <c r="F131" s="4">
        <v>4390</v>
      </c>
      <c r="G131" s="4">
        <v>2793</v>
      </c>
      <c r="H131" s="4">
        <v>881</v>
      </c>
      <c r="I131" s="4">
        <v>1917</v>
      </c>
      <c r="J131" s="4">
        <v>1252</v>
      </c>
      <c r="K131" s="4">
        <v>3861</v>
      </c>
      <c r="L131" s="4">
        <v>2642</v>
      </c>
      <c r="M131" s="4">
        <v>0</v>
      </c>
      <c r="N131" s="3">
        <f t="shared" si="2"/>
        <v>26608</v>
      </c>
      <c r="O131" s="4">
        <v>0</v>
      </c>
      <c r="P131" s="4">
        <v>3</v>
      </c>
      <c r="Q131" s="4">
        <v>0</v>
      </c>
      <c r="R131" s="4">
        <v>0</v>
      </c>
      <c r="S131" s="4">
        <v>0</v>
      </c>
      <c r="T131" s="4">
        <v>6</v>
      </c>
      <c r="U131" s="4">
        <v>8</v>
      </c>
      <c r="V131" s="4">
        <v>5</v>
      </c>
      <c r="W131" s="4">
        <v>13</v>
      </c>
      <c r="X131" s="4">
        <v>2</v>
      </c>
      <c r="Y131" s="4">
        <v>1</v>
      </c>
      <c r="Z131" s="4">
        <v>7</v>
      </c>
      <c r="AA131" s="3">
        <f t="shared" si="3"/>
        <v>45</v>
      </c>
      <c r="AB131" t="s">
        <v>63</v>
      </c>
      <c r="AC131">
        <v>59.66</v>
      </c>
      <c r="AD131">
        <v>37.85</v>
      </c>
      <c r="AE131">
        <v>0.82</v>
      </c>
      <c r="AF131">
        <v>79.38</v>
      </c>
      <c r="AG131">
        <v>87.8</v>
      </c>
      <c r="AH131">
        <v>56.4</v>
      </c>
      <c r="AI131">
        <v>18.34</v>
      </c>
      <c r="AJ131">
        <v>38.79</v>
      </c>
      <c r="AK131">
        <v>26.21</v>
      </c>
      <c r="AL131">
        <v>77.400000000000006</v>
      </c>
      <c r="AM131">
        <v>52.93</v>
      </c>
      <c r="AN131">
        <v>0.63</v>
      </c>
      <c r="AO131" s="1">
        <v>536.20999999999992</v>
      </c>
    </row>
    <row r="132" spans="1:41" x14ac:dyDescent="0.25">
      <c r="A132" t="s">
        <v>455</v>
      </c>
      <c r="B132" s="4">
        <v>2960</v>
      </c>
      <c r="C132" s="4">
        <v>531</v>
      </c>
      <c r="D132" s="4">
        <v>1453</v>
      </c>
      <c r="E132" s="4">
        <v>1677</v>
      </c>
      <c r="F132" s="4">
        <v>485</v>
      </c>
      <c r="G132" s="4">
        <v>1469</v>
      </c>
      <c r="H132" s="4">
        <v>3649</v>
      </c>
      <c r="I132" s="4">
        <v>1306</v>
      </c>
      <c r="J132" s="4">
        <v>581</v>
      </c>
      <c r="K132" s="4">
        <v>1109</v>
      </c>
      <c r="L132" s="4">
        <v>7594</v>
      </c>
      <c r="M132" s="4">
        <v>3148</v>
      </c>
      <c r="N132" s="3">
        <f t="shared" ref="N132:N195" si="4">SUM(B132:M132)</f>
        <v>25962</v>
      </c>
      <c r="O132" s="4">
        <v>4</v>
      </c>
      <c r="P132" s="4">
        <v>17</v>
      </c>
      <c r="Q132" s="4">
        <v>6</v>
      </c>
      <c r="R132" s="4">
        <v>7</v>
      </c>
      <c r="S132" s="4">
        <v>2</v>
      </c>
      <c r="T132" s="4">
        <v>7</v>
      </c>
      <c r="U132" s="4">
        <v>11</v>
      </c>
      <c r="V132" s="4">
        <v>5</v>
      </c>
      <c r="W132" s="4">
        <v>4</v>
      </c>
      <c r="X132" s="4">
        <v>7</v>
      </c>
      <c r="Y132" s="4">
        <v>1</v>
      </c>
      <c r="Z132" s="4">
        <v>2</v>
      </c>
      <c r="AA132" s="3">
        <f t="shared" ref="AA132:AA195" si="5">SUM(O132:Z132)</f>
        <v>73</v>
      </c>
      <c r="AB132" t="s">
        <v>63</v>
      </c>
      <c r="AC132">
        <v>59.56</v>
      </c>
      <c r="AD132">
        <v>12.15</v>
      </c>
      <c r="AE132">
        <v>29.6</v>
      </c>
      <c r="AF132">
        <v>34.17</v>
      </c>
      <c r="AG132">
        <v>9.8800000000000008</v>
      </c>
      <c r="AH132">
        <v>30.01</v>
      </c>
      <c r="AI132">
        <v>73.97</v>
      </c>
      <c r="AJ132">
        <v>26.57</v>
      </c>
      <c r="AK132">
        <v>11.98</v>
      </c>
      <c r="AL132">
        <v>22.81</v>
      </c>
      <c r="AM132">
        <v>151.97</v>
      </c>
      <c r="AN132">
        <v>63.14</v>
      </c>
      <c r="AO132" s="1">
        <v>525.81000000000006</v>
      </c>
    </row>
    <row r="133" spans="1:41" x14ac:dyDescent="0.25">
      <c r="A133" t="s">
        <v>457</v>
      </c>
      <c r="B133" s="4">
        <v>2957</v>
      </c>
      <c r="C133" s="4">
        <v>1070</v>
      </c>
      <c r="D133" s="4">
        <v>3263</v>
      </c>
      <c r="E133" s="4">
        <v>2924</v>
      </c>
      <c r="F133" s="4">
        <v>252</v>
      </c>
      <c r="G133" s="4">
        <v>340</v>
      </c>
      <c r="H133" s="4">
        <v>590</v>
      </c>
      <c r="I133" s="4">
        <v>3573</v>
      </c>
      <c r="J133" s="4">
        <v>2462</v>
      </c>
      <c r="K133" s="4">
        <v>5633</v>
      </c>
      <c r="L133" s="4">
        <v>4294</v>
      </c>
      <c r="M133" s="4">
        <v>7411</v>
      </c>
      <c r="N133" s="3">
        <f t="shared" si="4"/>
        <v>34769</v>
      </c>
      <c r="O133" s="4">
        <v>7</v>
      </c>
      <c r="P133" s="4">
        <v>7</v>
      </c>
      <c r="Q133" s="4">
        <v>3</v>
      </c>
      <c r="R133" s="4">
        <v>1</v>
      </c>
      <c r="S133" s="4">
        <v>4</v>
      </c>
      <c r="T133" s="4">
        <v>2</v>
      </c>
      <c r="U133" s="4">
        <v>3</v>
      </c>
      <c r="V133" s="4">
        <v>6</v>
      </c>
      <c r="W133" s="4">
        <v>2</v>
      </c>
      <c r="X133" s="4">
        <v>3</v>
      </c>
      <c r="Y133" s="4">
        <v>2</v>
      </c>
      <c r="Z133" s="4">
        <v>17</v>
      </c>
      <c r="AA133" s="3">
        <f t="shared" si="5"/>
        <v>57</v>
      </c>
      <c r="AB133" t="s">
        <v>63</v>
      </c>
      <c r="AC133">
        <v>59.77</v>
      </c>
      <c r="AD133">
        <v>22.03</v>
      </c>
      <c r="AE133">
        <v>65.53</v>
      </c>
      <c r="AF133">
        <v>58.57</v>
      </c>
      <c r="AG133">
        <v>5.4</v>
      </c>
      <c r="AH133">
        <v>6.98</v>
      </c>
      <c r="AI133">
        <v>12.07</v>
      </c>
      <c r="AJ133">
        <v>72</v>
      </c>
      <c r="AK133">
        <v>49.42</v>
      </c>
      <c r="AL133">
        <v>112.93</v>
      </c>
      <c r="AM133">
        <v>86.06</v>
      </c>
      <c r="AN133">
        <v>149.75</v>
      </c>
      <c r="AO133" s="1">
        <v>700.51</v>
      </c>
    </row>
    <row r="134" spans="1:41" x14ac:dyDescent="0.25">
      <c r="A134" t="s">
        <v>458</v>
      </c>
      <c r="B134" s="4">
        <v>2957</v>
      </c>
      <c r="C134" s="4">
        <v>795</v>
      </c>
      <c r="D134" s="4">
        <v>3600</v>
      </c>
      <c r="E134" s="4">
        <v>1471</v>
      </c>
      <c r="F134" s="4">
        <v>3886</v>
      </c>
      <c r="G134" s="4">
        <v>3423</v>
      </c>
      <c r="H134" s="4">
        <v>3035</v>
      </c>
      <c r="I134" s="4">
        <v>3971</v>
      </c>
      <c r="J134" s="4">
        <v>2619</v>
      </c>
      <c r="K134" s="4">
        <v>186</v>
      </c>
      <c r="L134" s="4">
        <v>1311</v>
      </c>
      <c r="M134" s="4">
        <v>363</v>
      </c>
      <c r="N134" s="3">
        <f t="shared" si="4"/>
        <v>27617</v>
      </c>
      <c r="O134" s="4">
        <v>5</v>
      </c>
      <c r="P134" s="4">
        <v>6</v>
      </c>
      <c r="Q134" s="4">
        <v>6</v>
      </c>
      <c r="R134" s="4">
        <v>5</v>
      </c>
      <c r="S134" s="4">
        <v>4</v>
      </c>
      <c r="T134" s="4">
        <v>16</v>
      </c>
      <c r="U134" s="4">
        <v>6</v>
      </c>
      <c r="V134" s="4">
        <v>8</v>
      </c>
      <c r="W134" s="4">
        <v>10</v>
      </c>
      <c r="X134" s="4">
        <v>0</v>
      </c>
      <c r="Y134" s="4">
        <v>1</v>
      </c>
      <c r="Z134" s="4">
        <v>4</v>
      </c>
      <c r="AA134" s="3">
        <f t="shared" si="5"/>
        <v>71</v>
      </c>
      <c r="AB134" t="s">
        <v>63</v>
      </c>
      <c r="AC134">
        <v>59.59</v>
      </c>
      <c r="AD134">
        <v>16.440000000000001</v>
      </c>
      <c r="AE134">
        <v>72.540000000000006</v>
      </c>
      <c r="AF134">
        <v>29.87</v>
      </c>
      <c r="AG134">
        <v>78.08</v>
      </c>
      <c r="AH134">
        <v>69.900000000000006</v>
      </c>
      <c r="AI134">
        <v>61.24</v>
      </c>
      <c r="AJ134">
        <v>80.14</v>
      </c>
      <c r="AK134">
        <v>53.28</v>
      </c>
      <c r="AL134">
        <v>3.72</v>
      </c>
      <c r="AM134">
        <v>26.31</v>
      </c>
      <c r="AN134">
        <v>7.62</v>
      </c>
      <c r="AO134" s="1">
        <v>558.7299999999999</v>
      </c>
    </row>
    <row r="135" spans="1:41" x14ac:dyDescent="0.25">
      <c r="A135" t="s">
        <v>459</v>
      </c>
      <c r="B135" s="4">
        <v>2946</v>
      </c>
      <c r="C135" s="4">
        <v>1134</v>
      </c>
      <c r="D135" s="4">
        <v>0</v>
      </c>
      <c r="E135" s="4">
        <v>3926</v>
      </c>
      <c r="F135" s="4">
        <v>3629</v>
      </c>
      <c r="G135" s="4">
        <v>2340</v>
      </c>
      <c r="H135" s="4">
        <v>7806</v>
      </c>
      <c r="I135" s="4">
        <v>0</v>
      </c>
      <c r="J135" s="4">
        <v>920</v>
      </c>
      <c r="K135" s="4">
        <v>6865</v>
      </c>
      <c r="L135" s="4">
        <v>2074</v>
      </c>
      <c r="M135" s="4">
        <v>2005</v>
      </c>
      <c r="N135" s="3">
        <f t="shared" si="4"/>
        <v>33645</v>
      </c>
      <c r="O135" s="4">
        <v>7</v>
      </c>
      <c r="P135" s="4">
        <v>11</v>
      </c>
      <c r="Q135" s="4">
        <v>8</v>
      </c>
      <c r="R135" s="4">
        <v>3</v>
      </c>
      <c r="S135" s="4">
        <v>1</v>
      </c>
      <c r="T135" s="4">
        <v>4</v>
      </c>
      <c r="U135" s="4">
        <v>1</v>
      </c>
      <c r="V135" s="4">
        <v>5</v>
      </c>
      <c r="W135" s="4">
        <v>4</v>
      </c>
      <c r="X135" s="4">
        <v>5</v>
      </c>
      <c r="Y135" s="4">
        <v>16</v>
      </c>
      <c r="Z135" s="4">
        <v>10</v>
      </c>
      <c r="AA135" s="3">
        <f t="shared" si="5"/>
        <v>75</v>
      </c>
      <c r="AB135" t="s">
        <v>63</v>
      </c>
      <c r="AC135">
        <v>59.55</v>
      </c>
      <c r="AD135">
        <v>23.67</v>
      </c>
      <c r="AE135">
        <v>0.72</v>
      </c>
      <c r="AF135">
        <v>78.790000000000006</v>
      </c>
      <c r="AG135">
        <v>72.67</v>
      </c>
      <c r="AH135">
        <v>47.16</v>
      </c>
      <c r="AI135">
        <v>156.21</v>
      </c>
      <c r="AJ135">
        <v>0.45</v>
      </c>
      <c r="AK135">
        <v>18.760000000000002</v>
      </c>
      <c r="AL135">
        <v>137.75</v>
      </c>
      <c r="AM135">
        <v>42.92</v>
      </c>
      <c r="AN135">
        <v>41</v>
      </c>
      <c r="AO135" s="1">
        <v>679.65</v>
      </c>
    </row>
    <row r="136" spans="1:41" x14ac:dyDescent="0.25">
      <c r="A136" t="s">
        <v>464</v>
      </c>
      <c r="B136" s="4">
        <v>2904</v>
      </c>
      <c r="C136" s="4">
        <v>955</v>
      </c>
      <c r="D136" s="4">
        <v>2181</v>
      </c>
      <c r="E136" s="4">
        <v>4140</v>
      </c>
      <c r="F136" s="4">
        <v>468</v>
      </c>
      <c r="G136" s="4">
        <v>627</v>
      </c>
      <c r="H136" s="4">
        <v>7120</v>
      </c>
      <c r="I136" s="4">
        <v>4167</v>
      </c>
      <c r="J136" s="4">
        <v>1751</v>
      </c>
      <c r="K136" s="4">
        <v>1668</v>
      </c>
      <c r="L136" s="4">
        <v>864</v>
      </c>
      <c r="M136" s="4">
        <v>3541</v>
      </c>
      <c r="N136" s="3">
        <f t="shared" si="4"/>
        <v>30386</v>
      </c>
      <c r="O136" s="4">
        <v>1</v>
      </c>
      <c r="P136" s="4">
        <v>0</v>
      </c>
      <c r="Q136" s="4">
        <v>4</v>
      </c>
      <c r="R136" s="4">
        <v>1</v>
      </c>
      <c r="S136" s="4">
        <v>2</v>
      </c>
      <c r="T136" s="4">
        <v>5</v>
      </c>
      <c r="U136" s="4">
        <v>7</v>
      </c>
      <c r="V136" s="4">
        <v>0</v>
      </c>
      <c r="W136" s="4">
        <v>1</v>
      </c>
      <c r="X136" s="4">
        <v>9</v>
      </c>
      <c r="Y136" s="4">
        <v>2</v>
      </c>
      <c r="Z136" s="4">
        <v>12</v>
      </c>
      <c r="AA136" s="3">
        <f t="shared" si="5"/>
        <v>44</v>
      </c>
      <c r="AB136" t="s">
        <v>63</v>
      </c>
      <c r="AC136">
        <v>58.17</v>
      </c>
      <c r="AD136">
        <v>19.100000000000001</v>
      </c>
      <c r="AE136">
        <v>43.98</v>
      </c>
      <c r="AF136">
        <v>82.89</v>
      </c>
      <c r="AG136">
        <v>9.5399999999999991</v>
      </c>
      <c r="AH136">
        <v>12.99</v>
      </c>
      <c r="AI136">
        <v>143.03</v>
      </c>
      <c r="AJ136">
        <v>83.34</v>
      </c>
      <c r="AK136">
        <v>35.11</v>
      </c>
      <c r="AL136">
        <v>34.17</v>
      </c>
      <c r="AM136">
        <v>17.46</v>
      </c>
      <c r="AN136">
        <v>71.900000000000006</v>
      </c>
      <c r="AO136" s="1">
        <v>611.67999999999995</v>
      </c>
    </row>
    <row r="137" spans="1:41" x14ac:dyDescent="0.25">
      <c r="A137" t="s">
        <v>466</v>
      </c>
      <c r="B137" s="4">
        <v>2881</v>
      </c>
      <c r="C137" s="4">
        <v>1571</v>
      </c>
      <c r="D137" s="4">
        <v>18989</v>
      </c>
      <c r="E137" s="4">
        <v>2443</v>
      </c>
      <c r="F137" s="4">
        <v>7408</v>
      </c>
      <c r="G137" s="4">
        <v>7432</v>
      </c>
      <c r="H137" s="4">
        <v>33</v>
      </c>
      <c r="I137" s="4">
        <v>0</v>
      </c>
      <c r="J137" s="4">
        <v>13921</v>
      </c>
      <c r="K137" s="4">
        <v>1295</v>
      </c>
      <c r="L137" s="4">
        <v>620</v>
      </c>
      <c r="M137" s="4">
        <v>2642</v>
      </c>
      <c r="N137" s="3">
        <f t="shared" si="4"/>
        <v>59235</v>
      </c>
      <c r="O137" s="4">
        <v>5</v>
      </c>
      <c r="P137" s="4">
        <v>4</v>
      </c>
      <c r="Q137" s="4">
        <v>2</v>
      </c>
      <c r="R137" s="4">
        <v>0</v>
      </c>
      <c r="S137" s="4">
        <v>4</v>
      </c>
      <c r="T137" s="4">
        <v>6</v>
      </c>
      <c r="U137" s="4">
        <v>6</v>
      </c>
      <c r="V137" s="4">
        <v>7</v>
      </c>
      <c r="W137" s="4">
        <v>3</v>
      </c>
      <c r="X137" s="4">
        <v>2</v>
      </c>
      <c r="Y137" s="4">
        <v>0</v>
      </c>
      <c r="Z137" s="4">
        <v>9</v>
      </c>
      <c r="AA137" s="3">
        <f t="shared" si="5"/>
        <v>48</v>
      </c>
      <c r="AB137" t="s">
        <v>63</v>
      </c>
      <c r="AC137">
        <v>58.07</v>
      </c>
      <c r="AD137">
        <v>31.78</v>
      </c>
      <c r="AE137">
        <v>379.96</v>
      </c>
      <c r="AF137">
        <v>48.86</v>
      </c>
      <c r="AG137">
        <v>148.52000000000001</v>
      </c>
      <c r="AH137">
        <v>149.18</v>
      </c>
      <c r="AI137">
        <v>1.2</v>
      </c>
      <c r="AJ137">
        <v>0.63</v>
      </c>
      <c r="AK137">
        <v>278.69</v>
      </c>
      <c r="AL137">
        <v>26.08</v>
      </c>
      <c r="AM137">
        <v>12.4</v>
      </c>
      <c r="AN137">
        <v>53.65</v>
      </c>
      <c r="AO137" s="1">
        <v>1189.02</v>
      </c>
    </row>
    <row r="138" spans="1:41" x14ac:dyDescent="0.25">
      <c r="A138" t="s">
        <v>468</v>
      </c>
      <c r="B138" s="4">
        <v>2877</v>
      </c>
      <c r="C138" s="4">
        <v>0</v>
      </c>
      <c r="D138" s="4">
        <v>1741</v>
      </c>
      <c r="E138" s="4">
        <v>1046</v>
      </c>
      <c r="F138" s="4">
        <v>3700</v>
      </c>
      <c r="G138" s="4">
        <v>252</v>
      </c>
      <c r="H138" s="4">
        <v>581</v>
      </c>
      <c r="I138" s="4">
        <v>2376</v>
      </c>
      <c r="J138" s="4">
        <v>463</v>
      </c>
      <c r="K138" s="4">
        <v>1129</v>
      </c>
      <c r="L138" s="4">
        <v>877</v>
      </c>
      <c r="M138" s="4">
        <v>625</v>
      </c>
      <c r="N138" s="3">
        <f t="shared" si="4"/>
        <v>15667</v>
      </c>
      <c r="O138" s="4">
        <v>2</v>
      </c>
      <c r="P138" s="4">
        <v>0</v>
      </c>
      <c r="Q138" s="4">
        <v>2</v>
      </c>
      <c r="R138" s="4">
        <v>10</v>
      </c>
      <c r="S138" s="4">
        <v>8</v>
      </c>
      <c r="T138" s="4">
        <v>2</v>
      </c>
      <c r="U138" s="4">
        <v>6</v>
      </c>
      <c r="V138" s="4">
        <v>3</v>
      </c>
      <c r="W138" s="4">
        <v>16</v>
      </c>
      <c r="X138" s="4">
        <v>2</v>
      </c>
      <c r="Y138" s="4">
        <v>4</v>
      </c>
      <c r="Z138" s="4">
        <v>0</v>
      </c>
      <c r="AA138" s="3">
        <f t="shared" si="5"/>
        <v>55</v>
      </c>
      <c r="AB138" t="s">
        <v>63</v>
      </c>
      <c r="AC138">
        <v>57.72</v>
      </c>
      <c r="AD138">
        <v>0</v>
      </c>
      <c r="AE138">
        <v>35</v>
      </c>
      <c r="AF138">
        <v>21.82</v>
      </c>
      <c r="AG138">
        <v>74.72</v>
      </c>
      <c r="AH138">
        <v>5.22</v>
      </c>
      <c r="AI138">
        <v>12.16</v>
      </c>
      <c r="AJ138">
        <v>47.79</v>
      </c>
      <c r="AK138">
        <v>10.7</v>
      </c>
      <c r="AL138">
        <v>22.76</v>
      </c>
      <c r="AM138">
        <v>17.899999999999999</v>
      </c>
      <c r="AN138">
        <v>12.5</v>
      </c>
      <c r="AO138" s="1">
        <v>318.28999999999996</v>
      </c>
    </row>
    <row r="139" spans="1:41" x14ac:dyDescent="0.25">
      <c r="A139" t="s">
        <v>469</v>
      </c>
      <c r="B139" s="4">
        <v>2861</v>
      </c>
      <c r="C139" s="4">
        <v>2874</v>
      </c>
      <c r="D139" s="4">
        <v>1570</v>
      </c>
      <c r="E139" s="4">
        <v>1578</v>
      </c>
      <c r="F139" s="4">
        <v>4455</v>
      </c>
      <c r="G139" s="4">
        <v>10281</v>
      </c>
      <c r="H139" s="4">
        <v>1012</v>
      </c>
      <c r="I139" s="4">
        <v>362</v>
      </c>
      <c r="J139" s="4">
        <v>3267</v>
      </c>
      <c r="K139" s="4">
        <v>6196</v>
      </c>
      <c r="L139" s="4">
        <v>5118</v>
      </c>
      <c r="M139" s="4">
        <v>4333</v>
      </c>
      <c r="N139" s="3">
        <f t="shared" si="4"/>
        <v>43907</v>
      </c>
      <c r="O139" s="4">
        <v>3</v>
      </c>
      <c r="P139" s="4">
        <v>12</v>
      </c>
      <c r="Q139" s="4">
        <v>1</v>
      </c>
      <c r="R139" s="4">
        <v>4</v>
      </c>
      <c r="S139" s="4">
        <v>10</v>
      </c>
      <c r="T139" s="4">
        <v>4</v>
      </c>
      <c r="U139" s="4">
        <v>3</v>
      </c>
      <c r="V139" s="4">
        <v>4</v>
      </c>
      <c r="W139" s="4">
        <v>2</v>
      </c>
      <c r="X139" s="4">
        <v>11</v>
      </c>
      <c r="Y139" s="4">
        <v>7</v>
      </c>
      <c r="Z139" s="4">
        <v>5</v>
      </c>
      <c r="AA139" s="3">
        <f t="shared" si="5"/>
        <v>66</v>
      </c>
      <c r="AB139" t="s">
        <v>63</v>
      </c>
      <c r="AC139">
        <v>57.49</v>
      </c>
      <c r="AD139">
        <v>58.56</v>
      </c>
      <c r="AE139">
        <v>31.49</v>
      </c>
      <c r="AF139">
        <v>31.92</v>
      </c>
      <c r="AG139">
        <v>90</v>
      </c>
      <c r="AH139">
        <v>205.98</v>
      </c>
      <c r="AI139">
        <v>20.51</v>
      </c>
      <c r="AJ139">
        <v>7.6</v>
      </c>
      <c r="AK139">
        <v>65.52</v>
      </c>
      <c r="AL139">
        <v>124.91</v>
      </c>
      <c r="AM139">
        <v>102.99</v>
      </c>
      <c r="AN139">
        <v>87.11</v>
      </c>
      <c r="AO139" s="1">
        <v>884.08</v>
      </c>
    </row>
    <row r="140" spans="1:41" x14ac:dyDescent="0.25">
      <c r="A140" t="s">
        <v>470</v>
      </c>
      <c r="B140" s="4">
        <v>2856</v>
      </c>
      <c r="C140" s="4">
        <v>2173</v>
      </c>
      <c r="D140" s="4">
        <v>1114</v>
      </c>
      <c r="E140" s="4">
        <v>5321</v>
      </c>
      <c r="F140" s="4">
        <v>371</v>
      </c>
      <c r="G140" s="4">
        <v>1241</v>
      </c>
      <c r="H140" s="4">
        <v>2841</v>
      </c>
      <c r="I140" s="4">
        <v>3200</v>
      </c>
      <c r="J140" s="4">
        <v>9303</v>
      </c>
      <c r="K140" s="4">
        <v>208</v>
      </c>
      <c r="L140" s="4">
        <v>2618</v>
      </c>
      <c r="M140" s="4">
        <v>0</v>
      </c>
      <c r="N140" s="3">
        <f t="shared" si="4"/>
        <v>31246</v>
      </c>
      <c r="O140" s="4">
        <v>5</v>
      </c>
      <c r="P140" s="4">
        <v>3</v>
      </c>
      <c r="Q140" s="4">
        <v>1</v>
      </c>
      <c r="R140" s="4">
        <v>13</v>
      </c>
      <c r="S140" s="4">
        <v>5</v>
      </c>
      <c r="T140" s="4">
        <v>2</v>
      </c>
      <c r="U140" s="4">
        <v>16</v>
      </c>
      <c r="V140" s="4">
        <v>3</v>
      </c>
      <c r="W140" s="4">
        <v>5</v>
      </c>
      <c r="X140" s="4">
        <v>8</v>
      </c>
      <c r="Y140" s="4">
        <v>7</v>
      </c>
      <c r="Z140" s="4">
        <v>5</v>
      </c>
      <c r="AA140" s="3">
        <f t="shared" si="5"/>
        <v>73</v>
      </c>
      <c r="AB140" t="s">
        <v>63</v>
      </c>
      <c r="AC140">
        <v>57.57</v>
      </c>
      <c r="AD140">
        <v>43.73</v>
      </c>
      <c r="AE140">
        <v>22.37</v>
      </c>
      <c r="AF140">
        <v>107.59</v>
      </c>
      <c r="AG140">
        <v>7.87</v>
      </c>
      <c r="AH140">
        <v>25</v>
      </c>
      <c r="AI140">
        <v>58.26</v>
      </c>
      <c r="AJ140">
        <v>64.27</v>
      </c>
      <c r="AK140">
        <v>186.51</v>
      </c>
      <c r="AL140">
        <v>4.88</v>
      </c>
      <c r="AM140">
        <v>52.99</v>
      </c>
      <c r="AN140">
        <v>0.45</v>
      </c>
      <c r="AO140" s="1">
        <v>631.49</v>
      </c>
    </row>
    <row r="141" spans="1:41" x14ac:dyDescent="0.25">
      <c r="A141" t="s">
        <v>471</v>
      </c>
      <c r="B141" s="4">
        <v>2850</v>
      </c>
      <c r="C141" s="4">
        <v>1412</v>
      </c>
      <c r="D141" s="4">
        <v>2141</v>
      </c>
      <c r="E141" s="4">
        <v>15148</v>
      </c>
      <c r="F141" s="4">
        <v>5737</v>
      </c>
      <c r="G141" s="4">
        <v>8261</v>
      </c>
      <c r="H141" s="4">
        <v>0</v>
      </c>
      <c r="I141" s="4">
        <v>397</v>
      </c>
      <c r="J141" s="4">
        <v>0</v>
      </c>
      <c r="K141" s="4">
        <v>1419</v>
      </c>
      <c r="L141" s="4">
        <v>2089</v>
      </c>
      <c r="M141" s="4">
        <v>4245</v>
      </c>
      <c r="N141" s="3">
        <f t="shared" si="4"/>
        <v>43699</v>
      </c>
      <c r="O141" s="4">
        <v>4</v>
      </c>
      <c r="P141" s="4">
        <v>7</v>
      </c>
      <c r="Q141" s="4">
        <v>12</v>
      </c>
      <c r="R141" s="4">
        <v>3</v>
      </c>
      <c r="S141" s="4">
        <v>3</v>
      </c>
      <c r="T141" s="4">
        <v>1</v>
      </c>
      <c r="U141" s="4">
        <v>20</v>
      </c>
      <c r="V141" s="4">
        <v>12</v>
      </c>
      <c r="W141" s="4">
        <v>4</v>
      </c>
      <c r="X141" s="4">
        <v>8</v>
      </c>
      <c r="Y141" s="4">
        <v>4</v>
      </c>
      <c r="Z141" s="4">
        <v>5</v>
      </c>
      <c r="AA141" s="3">
        <f t="shared" si="5"/>
        <v>83</v>
      </c>
      <c r="AB141" t="s">
        <v>63</v>
      </c>
      <c r="AC141">
        <v>57.36</v>
      </c>
      <c r="AD141">
        <v>28.87</v>
      </c>
      <c r="AE141">
        <v>43.9</v>
      </c>
      <c r="AF141">
        <v>303.23</v>
      </c>
      <c r="AG141">
        <v>115.01</v>
      </c>
      <c r="AH141">
        <v>165.31</v>
      </c>
      <c r="AI141">
        <v>1.8</v>
      </c>
      <c r="AJ141">
        <v>9.02</v>
      </c>
      <c r="AK141">
        <v>0.36</v>
      </c>
      <c r="AL141">
        <v>29.1</v>
      </c>
      <c r="AM141">
        <v>42.14</v>
      </c>
      <c r="AN141">
        <v>85.35</v>
      </c>
      <c r="AO141" s="1">
        <v>881.45</v>
      </c>
    </row>
    <row r="142" spans="1:41" x14ac:dyDescent="0.25">
      <c r="A142" t="s">
        <v>472</v>
      </c>
      <c r="B142" s="4">
        <v>2849</v>
      </c>
      <c r="C142" s="4">
        <v>182</v>
      </c>
      <c r="D142" s="4">
        <v>5633</v>
      </c>
      <c r="E142" s="4">
        <v>4485</v>
      </c>
      <c r="F142" s="4">
        <v>5829</v>
      </c>
      <c r="G142" s="4">
        <v>546</v>
      </c>
      <c r="H142" s="4">
        <v>1014</v>
      </c>
      <c r="I142" s="4">
        <v>1594</v>
      </c>
      <c r="J142" s="4">
        <v>2452</v>
      </c>
      <c r="K142" s="4">
        <v>1094</v>
      </c>
      <c r="L142" s="4">
        <v>2018</v>
      </c>
      <c r="M142" s="4">
        <v>115</v>
      </c>
      <c r="N142" s="3">
        <f t="shared" si="4"/>
        <v>27811</v>
      </c>
      <c r="O142" s="4">
        <v>7</v>
      </c>
      <c r="P142" s="4">
        <v>8</v>
      </c>
      <c r="Q142" s="4">
        <v>3</v>
      </c>
      <c r="R142" s="4">
        <v>2</v>
      </c>
      <c r="S142" s="4">
        <v>3</v>
      </c>
      <c r="T142" s="4">
        <v>7</v>
      </c>
      <c r="U142" s="4">
        <v>9</v>
      </c>
      <c r="V142" s="4">
        <v>1</v>
      </c>
      <c r="W142" s="4">
        <v>2</v>
      </c>
      <c r="X142" s="4">
        <v>9</v>
      </c>
      <c r="Y142" s="4">
        <v>9</v>
      </c>
      <c r="Z142" s="4">
        <v>17</v>
      </c>
      <c r="AA142" s="3">
        <f t="shared" si="5"/>
        <v>77</v>
      </c>
      <c r="AB142" t="s">
        <v>63</v>
      </c>
      <c r="AC142">
        <v>57.61</v>
      </c>
      <c r="AD142">
        <v>4.3600000000000003</v>
      </c>
      <c r="AE142">
        <v>112.93</v>
      </c>
      <c r="AF142">
        <v>89.88</v>
      </c>
      <c r="AG142">
        <v>116.85</v>
      </c>
      <c r="AH142">
        <v>11.55</v>
      </c>
      <c r="AI142">
        <v>21.09</v>
      </c>
      <c r="AJ142">
        <v>31.97</v>
      </c>
      <c r="AK142">
        <v>49.22</v>
      </c>
      <c r="AL142">
        <v>22.69</v>
      </c>
      <c r="AM142">
        <v>41.17</v>
      </c>
      <c r="AN142">
        <v>3.83</v>
      </c>
      <c r="AO142" s="1">
        <v>563.15000000000009</v>
      </c>
    </row>
    <row r="143" spans="1:41" x14ac:dyDescent="0.25">
      <c r="A143" t="s">
        <v>473</v>
      </c>
      <c r="B143" s="4">
        <v>2849</v>
      </c>
      <c r="C143" s="4">
        <v>3276</v>
      </c>
      <c r="D143" s="4">
        <v>4149</v>
      </c>
      <c r="E143" s="4">
        <v>138</v>
      </c>
      <c r="F143" s="4">
        <v>295</v>
      </c>
      <c r="G143" s="4">
        <v>1482</v>
      </c>
      <c r="H143" s="4">
        <v>1963</v>
      </c>
      <c r="I143" s="4">
        <v>6095</v>
      </c>
      <c r="J143" s="4">
        <v>1704</v>
      </c>
      <c r="K143" s="4">
        <v>1121</v>
      </c>
      <c r="L143" s="4">
        <v>402</v>
      </c>
      <c r="M143" s="4">
        <v>97</v>
      </c>
      <c r="N143" s="3">
        <f t="shared" si="4"/>
        <v>23571</v>
      </c>
      <c r="O143" s="4">
        <v>6</v>
      </c>
      <c r="P143" s="4">
        <v>5</v>
      </c>
      <c r="Q143" s="4">
        <v>0</v>
      </c>
      <c r="R143" s="4">
        <v>1</v>
      </c>
      <c r="S143" s="4">
        <v>1</v>
      </c>
      <c r="T143" s="4">
        <v>11</v>
      </c>
      <c r="U143" s="4">
        <v>2</v>
      </c>
      <c r="V143" s="4">
        <v>4</v>
      </c>
      <c r="W143" s="4">
        <v>3</v>
      </c>
      <c r="X143" s="4">
        <v>12</v>
      </c>
      <c r="Y143" s="4">
        <v>0</v>
      </c>
      <c r="Z143" s="4">
        <v>3</v>
      </c>
      <c r="AA143" s="3">
        <f t="shared" si="5"/>
        <v>48</v>
      </c>
      <c r="AB143" t="s">
        <v>63</v>
      </c>
      <c r="AC143">
        <v>57.52</v>
      </c>
      <c r="AD143">
        <v>65.97</v>
      </c>
      <c r="AE143">
        <v>82.98</v>
      </c>
      <c r="AF143">
        <v>2.85</v>
      </c>
      <c r="AG143">
        <v>5.99</v>
      </c>
      <c r="AH143">
        <v>30.63</v>
      </c>
      <c r="AI143">
        <v>39.44</v>
      </c>
      <c r="AJ143">
        <v>122.26</v>
      </c>
      <c r="AK143">
        <v>34.35</v>
      </c>
      <c r="AL143">
        <v>23.5</v>
      </c>
      <c r="AM143">
        <v>8.0399999999999991</v>
      </c>
      <c r="AN143">
        <v>2.21</v>
      </c>
      <c r="AO143" s="1">
        <v>475.74</v>
      </c>
    </row>
    <row r="144" spans="1:41" x14ac:dyDescent="0.25">
      <c r="A144" t="s">
        <v>474</v>
      </c>
      <c r="B144" s="4">
        <v>2841</v>
      </c>
      <c r="C144" s="4">
        <v>5387</v>
      </c>
      <c r="D144" s="4">
        <v>2939</v>
      </c>
      <c r="E144" s="4">
        <v>244</v>
      </c>
      <c r="F144" s="4">
        <v>7435</v>
      </c>
      <c r="G144" s="4">
        <v>0</v>
      </c>
      <c r="H144" s="4">
        <v>158</v>
      </c>
      <c r="I144" s="4">
        <v>1204</v>
      </c>
      <c r="J144" s="4">
        <v>0</v>
      </c>
      <c r="K144" s="4">
        <v>399</v>
      </c>
      <c r="L144" s="4">
        <v>476</v>
      </c>
      <c r="M144" s="4">
        <v>1866</v>
      </c>
      <c r="N144" s="3">
        <f t="shared" si="4"/>
        <v>22949</v>
      </c>
      <c r="O144" s="4">
        <v>5</v>
      </c>
      <c r="P144" s="4">
        <v>2</v>
      </c>
      <c r="Q144" s="4">
        <v>5</v>
      </c>
      <c r="R144" s="4">
        <v>3</v>
      </c>
      <c r="S144" s="4">
        <v>2</v>
      </c>
      <c r="T144" s="4">
        <v>4</v>
      </c>
      <c r="U144" s="4">
        <v>13</v>
      </c>
      <c r="V144" s="4">
        <v>3</v>
      </c>
      <c r="W144" s="4">
        <v>4</v>
      </c>
      <c r="X144" s="4">
        <v>2</v>
      </c>
      <c r="Y144" s="4">
        <v>5</v>
      </c>
      <c r="Z144" s="4">
        <v>7</v>
      </c>
      <c r="AA144" s="3">
        <f t="shared" si="5"/>
        <v>55</v>
      </c>
      <c r="AB144" t="s">
        <v>63</v>
      </c>
      <c r="AC144">
        <v>57.27</v>
      </c>
      <c r="AD144">
        <v>107.92</v>
      </c>
      <c r="AE144">
        <v>59.23</v>
      </c>
      <c r="AF144">
        <v>5.15</v>
      </c>
      <c r="AG144">
        <v>148.88</v>
      </c>
      <c r="AH144">
        <v>0.36</v>
      </c>
      <c r="AI144">
        <v>4.33</v>
      </c>
      <c r="AJ144">
        <v>24.35</v>
      </c>
      <c r="AK144">
        <v>0.36</v>
      </c>
      <c r="AL144">
        <v>8.16</v>
      </c>
      <c r="AM144">
        <v>9.9700000000000006</v>
      </c>
      <c r="AN144">
        <v>37.950000000000003</v>
      </c>
      <c r="AO144" s="1">
        <v>463.93000000000006</v>
      </c>
    </row>
    <row r="145" spans="1:41" x14ac:dyDescent="0.25">
      <c r="A145" t="s">
        <v>475</v>
      </c>
      <c r="B145" s="4">
        <v>2806</v>
      </c>
      <c r="C145" s="4">
        <v>4483</v>
      </c>
      <c r="D145" s="4">
        <v>1326</v>
      </c>
      <c r="E145" s="4">
        <v>177</v>
      </c>
      <c r="F145" s="4">
        <v>6763</v>
      </c>
      <c r="G145" s="4">
        <v>295</v>
      </c>
      <c r="H145" s="4">
        <v>2113</v>
      </c>
      <c r="I145" s="4">
        <v>2873</v>
      </c>
      <c r="J145" s="4">
        <v>3462</v>
      </c>
      <c r="K145" s="4">
        <v>2463</v>
      </c>
      <c r="L145" s="4">
        <v>4683</v>
      </c>
      <c r="M145" s="4">
        <v>566</v>
      </c>
      <c r="N145" s="3">
        <f t="shared" si="4"/>
        <v>32010</v>
      </c>
      <c r="O145" s="4">
        <v>2</v>
      </c>
      <c r="P145" s="4">
        <v>1</v>
      </c>
      <c r="Q145" s="4">
        <v>5</v>
      </c>
      <c r="R145" s="4">
        <v>8</v>
      </c>
      <c r="S145" s="4">
        <v>3</v>
      </c>
      <c r="T145" s="4">
        <v>0</v>
      </c>
      <c r="U145" s="4">
        <v>6</v>
      </c>
      <c r="V145" s="4">
        <v>1</v>
      </c>
      <c r="W145" s="4">
        <v>4</v>
      </c>
      <c r="X145" s="4">
        <v>4</v>
      </c>
      <c r="Y145" s="4">
        <v>3</v>
      </c>
      <c r="Z145" s="4">
        <v>5</v>
      </c>
      <c r="AA145" s="3">
        <f t="shared" si="5"/>
        <v>42</v>
      </c>
      <c r="AB145" t="s">
        <v>63</v>
      </c>
      <c r="AC145">
        <v>56.3</v>
      </c>
      <c r="AD145">
        <v>89.75</v>
      </c>
      <c r="AE145">
        <v>26.97</v>
      </c>
      <c r="AF145">
        <v>4.26</v>
      </c>
      <c r="AG145">
        <v>135.53</v>
      </c>
      <c r="AH145">
        <v>5.9</v>
      </c>
      <c r="AI145">
        <v>42.8</v>
      </c>
      <c r="AJ145">
        <v>57.55</v>
      </c>
      <c r="AK145">
        <v>69.599999999999994</v>
      </c>
      <c r="AL145">
        <v>49.62</v>
      </c>
      <c r="AM145">
        <v>93.93</v>
      </c>
      <c r="AN145">
        <v>11.77</v>
      </c>
      <c r="AO145" s="1">
        <v>643.98</v>
      </c>
    </row>
    <row r="146" spans="1:41" x14ac:dyDescent="0.25">
      <c r="A146" t="s">
        <v>476</v>
      </c>
      <c r="B146" s="4">
        <v>2801</v>
      </c>
      <c r="C146" s="4">
        <v>1040</v>
      </c>
      <c r="D146" s="4">
        <v>2514</v>
      </c>
      <c r="E146" s="4">
        <v>557</v>
      </c>
      <c r="F146" s="4">
        <v>3459</v>
      </c>
      <c r="G146" s="4">
        <v>689</v>
      </c>
      <c r="H146" s="4">
        <v>3974</v>
      </c>
      <c r="I146" s="4">
        <v>3677</v>
      </c>
      <c r="J146" s="4">
        <v>2954</v>
      </c>
      <c r="K146" s="4">
        <v>5953</v>
      </c>
      <c r="L146" s="4">
        <v>3910</v>
      </c>
      <c r="M146" s="4">
        <v>1299</v>
      </c>
      <c r="N146" s="3">
        <f t="shared" si="4"/>
        <v>32827</v>
      </c>
      <c r="O146" s="4">
        <v>9</v>
      </c>
      <c r="P146" s="4">
        <v>1</v>
      </c>
      <c r="Q146" s="4">
        <v>0</v>
      </c>
      <c r="R146" s="4">
        <v>5</v>
      </c>
      <c r="S146" s="4">
        <v>7</v>
      </c>
      <c r="T146" s="4">
        <v>6</v>
      </c>
      <c r="U146" s="4">
        <v>2</v>
      </c>
      <c r="V146" s="4">
        <v>1</v>
      </c>
      <c r="W146" s="4">
        <v>12</v>
      </c>
      <c r="X146" s="4">
        <v>12</v>
      </c>
      <c r="Y146" s="4">
        <v>5</v>
      </c>
      <c r="Z146" s="4">
        <v>8</v>
      </c>
      <c r="AA146" s="3">
        <f t="shared" si="5"/>
        <v>68</v>
      </c>
      <c r="AB146" t="s">
        <v>63</v>
      </c>
      <c r="AC146">
        <v>56.83</v>
      </c>
      <c r="AD146">
        <v>20.89</v>
      </c>
      <c r="AE146">
        <v>50.28</v>
      </c>
      <c r="AF146">
        <v>11.59</v>
      </c>
      <c r="AG146">
        <v>69.81</v>
      </c>
      <c r="AH146">
        <v>14.32</v>
      </c>
      <c r="AI146">
        <v>79.66</v>
      </c>
      <c r="AJ146">
        <v>73.63</v>
      </c>
      <c r="AK146">
        <v>60.16</v>
      </c>
      <c r="AL146">
        <v>120.14</v>
      </c>
      <c r="AM146">
        <v>78.650000000000006</v>
      </c>
      <c r="AN146">
        <v>26.7</v>
      </c>
      <c r="AO146" s="1">
        <v>662.66</v>
      </c>
    </row>
    <row r="147" spans="1:41" x14ac:dyDescent="0.25">
      <c r="A147" t="s">
        <v>478</v>
      </c>
      <c r="B147" s="4">
        <v>2788</v>
      </c>
      <c r="C147" s="4">
        <v>220</v>
      </c>
      <c r="D147" s="4">
        <v>4525</v>
      </c>
      <c r="E147" s="4">
        <v>4024</v>
      </c>
      <c r="F147" s="4">
        <v>1920</v>
      </c>
      <c r="G147" s="4">
        <v>2595</v>
      </c>
      <c r="H147" s="4">
        <v>12172</v>
      </c>
      <c r="I147" s="4">
        <v>559</v>
      </c>
      <c r="J147" s="4">
        <v>220</v>
      </c>
      <c r="K147" s="4">
        <v>2982</v>
      </c>
      <c r="L147" s="4">
        <v>3699</v>
      </c>
      <c r="M147" s="4">
        <v>59</v>
      </c>
      <c r="N147" s="3">
        <f t="shared" si="4"/>
        <v>35763</v>
      </c>
      <c r="O147" s="4">
        <v>2</v>
      </c>
      <c r="P147" s="4">
        <v>8</v>
      </c>
      <c r="Q147" s="4">
        <v>2</v>
      </c>
      <c r="R147" s="4">
        <v>9</v>
      </c>
      <c r="S147" s="4">
        <v>11</v>
      </c>
      <c r="T147" s="4">
        <v>0</v>
      </c>
      <c r="U147" s="4">
        <v>2</v>
      </c>
      <c r="V147" s="4">
        <v>2</v>
      </c>
      <c r="W147" s="4">
        <v>4</v>
      </c>
      <c r="X147" s="4">
        <v>11</v>
      </c>
      <c r="Y147" s="4">
        <v>2</v>
      </c>
      <c r="Z147" s="4">
        <v>5</v>
      </c>
      <c r="AA147" s="3">
        <f t="shared" si="5"/>
        <v>58</v>
      </c>
      <c r="AB147" t="s">
        <v>63</v>
      </c>
      <c r="AC147">
        <v>55.94</v>
      </c>
      <c r="AD147">
        <v>5.12</v>
      </c>
      <c r="AE147">
        <v>90.68</v>
      </c>
      <c r="AF147">
        <v>81.290000000000006</v>
      </c>
      <c r="AG147">
        <v>39.39</v>
      </c>
      <c r="AH147">
        <v>51.9</v>
      </c>
      <c r="AI147">
        <v>243.62</v>
      </c>
      <c r="AJ147">
        <v>11.36</v>
      </c>
      <c r="AK147">
        <v>4.76</v>
      </c>
      <c r="AL147">
        <v>60.63</v>
      </c>
      <c r="AM147">
        <v>74.16</v>
      </c>
      <c r="AN147">
        <v>1.63</v>
      </c>
      <c r="AO147" s="1">
        <v>720.48</v>
      </c>
    </row>
    <row r="148" spans="1:41" x14ac:dyDescent="0.25">
      <c r="A148" t="s">
        <v>479</v>
      </c>
      <c r="B148" s="4">
        <v>2787</v>
      </c>
      <c r="C148" s="4">
        <v>2013</v>
      </c>
      <c r="D148" s="4">
        <v>0</v>
      </c>
      <c r="E148" s="4">
        <v>179</v>
      </c>
      <c r="F148" s="4">
        <v>2807</v>
      </c>
      <c r="G148" s="4">
        <v>212</v>
      </c>
      <c r="H148" s="4">
        <v>3835</v>
      </c>
      <c r="I148" s="4">
        <v>1558</v>
      </c>
      <c r="J148" s="4">
        <v>3205</v>
      </c>
      <c r="K148" s="4">
        <v>10845</v>
      </c>
      <c r="L148" s="4">
        <v>3431</v>
      </c>
      <c r="M148" s="4">
        <v>4707</v>
      </c>
      <c r="N148" s="3">
        <f t="shared" si="4"/>
        <v>35579</v>
      </c>
      <c r="O148" s="4">
        <v>4</v>
      </c>
      <c r="P148" s="4">
        <v>3</v>
      </c>
      <c r="Q148" s="4">
        <v>1</v>
      </c>
      <c r="R148" s="4">
        <v>3</v>
      </c>
      <c r="S148" s="4">
        <v>1</v>
      </c>
      <c r="T148" s="4">
        <v>6</v>
      </c>
      <c r="U148" s="4">
        <v>2</v>
      </c>
      <c r="V148" s="4">
        <v>1</v>
      </c>
      <c r="W148" s="4">
        <v>4</v>
      </c>
      <c r="X148" s="4">
        <v>3</v>
      </c>
      <c r="Y148" s="4">
        <v>16</v>
      </c>
      <c r="Z148" s="4">
        <v>2</v>
      </c>
      <c r="AA148" s="3">
        <f t="shared" si="5"/>
        <v>46</v>
      </c>
      <c r="AB148" t="s">
        <v>63</v>
      </c>
      <c r="AC148">
        <v>56.1</v>
      </c>
      <c r="AD148">
        <v>40.53</v>
      </c>
      <c r="AE148">
        <v>0.09</v>
      </c>
      <c r="AF148">
        <v>3.85</v>
      </c>
      <c r="AG148">
        <v>56.23</v>
      </c>
      <c r="AH148">
        <v>4.78</v>
      </c>
      <c r="AI148">
        <v>76.88</v>
      </c>
      <c r="AJ148">
        <v>31.25</v>
      </c>
      <c r="AK148">
        <v>64.459999999999994</v>
      </c>
      <c r="AL148">
        <v>217.17</v>
      </c>
      <c r="AM148">
        <v>70.06</v>
      </c>
      <c r="AN148">
        <v>94.32</v>
      </c>
      <c r="AO148" s="1">
        <v>715.7199999999998</v>
      </c>
    </row>
    <row r="149" spans="1:41" x14ac:dyDescent="0.25">
      <c r="A149" t="s">
        <v>481</v>
      </c>
      <c r="B149" s="4">
        <v>2784</v>
      </c>
      <c r="C149" s="4">
        <v>4150</v>
      </c>
      <c r="D149" s="4">
        <v>1808</v>
      </c>
      <c r="E149" s="4">
        <v>8901</v>
      </c>
      <c r="F149" s="4">
        <v>2172</v>
      </c>
      <c r="G149" s="4">
        <v>1986</v>
      </c>
      <c r="H149" s="4">
        <v>0</v>
      </c>
      <c r="I149" s="4">
        <v>780</v>
      </c>
      <c r="J149" s="4">
        <v>6817</v>
      </c>
      <c r="K149" s="4">
        <v>1040</v>
      </c>
      <c r="L149" s="4">
        <v>1977</v>
      </c>
      <c r="M149" s="4">
        <v>3300</v>
      </c>
      <c r="N149" s="3">
        <f t="shared" si="4"/>
        <v>35715</v>
      </c>
      <c r="O149" s="4">
        <v>1</v>
      </c>
      <c r="P149" s="4">
        <v>2</v>
      </c>
      <c r="Q149" s="4">
        <v>9</v>
      </c>
      <c r="R149" s="4">
        <v>5</v>
      </c>
      <c r="S149" s="4">
        <v>12</v>
      </c>
      <c r="T149" s="4">
        <v>27</v>
      </c>
      <c r="U149" s="4">
        <v>3</v>
      </c>
      <c r="V149" s="4">
        <v>2</v>
      </c>
      <c r="W149" s="4">
        <v>8</v>
      </c>
      <c r="X149" s="4">
        <v>25</v>
      </c>
      <c r="Y149" s="4">
        <v>5</v>
      </c>
      <c r="Z149" s="4">
        <v>8</v>
      </c>
      <c r="AA149" s="3">
        <f t="shared" si="5"/>
        <v>107</v>
      </c>
      <c r="AB149" t="s">
        <v>63</v>
      </c>
      <c r="AC149">
        <v>55.77</v>
      </c>
      <c r="AD149">
        <v>83.18</v>
      </c>
      <c r="AE149">
        <v>36.97</v>
      </c>
      <c r="AF149">
        <v>178.47</v>
      </c>
      <c r="AG149">
        <v>44.52</v>
      </c>
      <c r="AH149">
        <v>42.15</v>
      </c>
      <c r="AI149">
        <v>0.27</v>
      </c>
      <c r="AJ149">
        <v>15.78</v>
      </c>
      <c r="AK149">
        <v>137.06</v>
      </c>
      <c r="AL149">
        <v>23.05</v>
      </c>
      <c r="AM149">
        <v>39.99</v>
      </c>
      <c r="AN149">
        <v>66.72</v>
      </c>
      <c r="AO149" s="1">
        <v>723.92999999999984</v>
      </c>
    </row>
    <row r="150" spans="1:41" x14ac:dyDescent="0.25">
      <c r="A150" t="s">
        <v>483</v>
      </c>
      <c r="B150" s="4">
        <v>2765</v>
      </c>
      <c r="C150" s="4">
        <v>2305</v>
      </c>
      <c r="D150" s="4">
        <v>2822</v>
      </c>
      <c r="E150" s="4">
        <v>4227</v>
      </c>
      <c r="F150" s="4">
        <v>12951</v>
      </c>
      <c r="G150" s="4">
        <v>1416</v>
      </c>
      <c r="H150" s="4">
        <v>243</v>
      </c>
      <c r="I150" s="4">
        <v>0</v>
      </c>
      <c r="J150" s="4">
        <v>3613</v>
      </c>
      <c r="K150" s="4">
        <v>2840</v>
      </c>
      <c r="L150" s="4">
        <v>0</v>
      </c>
      <c r="M150" s="4">
        <v>1807</v>
      </c>
      <c r="N150" s="3">
        <f t="shared" si="4"/>
        <v>34989</v>
      </c>
      <c r="O150" s="4">
        <v>4</v>
      </c>
      <c r="P150" s="4">
        <v>5</v>
      </c>
      <c r="Q150" s="4">
        <v>2</v>
      </c>
      <c r="R150" s="4">
        <v>2</v>
      </c>
      <c r="S150" s="4">
        <v>1</v>
      </c>
      <c r="T150" s="4">
        <v>6</v>
      </c>
      <c r="U150" s="4">
        <v>4</v>
      </c>
      <c r="V150" s="4">
        <v>5</v>
      </c>
      <c r="W150" s="4">
        <v>3</v>
      </c>
      <c r="X150" s="4">
        <v>2</v>
      </c>
      <c r="Y150" s="4">
        <v>4</v>
      </c>
      <c r="Z150" s="4">
        <v>0</v>
      </c>
      <c r="AA150" s="3">
        <f t="shared" si="5"/>
        <v>38</v>
      </c>
      <c r="AB150" t="s">
        <v>63</v>
      </c>
      <c r="AC150">
        <v>55.66</v>
      </c>
      <c r="AD150">
        <v>46.55</v>
      </c>
      <c r="AE150">
        <v>56.62</v>
      </c>
      <c r="AF150">
        <v>84.72</v>
      </c>
      <c r="AG150">
        <v>259.11</v>
      </c>
      <c r="AH150">
        <v>28.86</v>
      </c>
      <c r="AI150">
        <v>5.22</v>
      </c>
      <c r="AJ150">
        <v>0.45</v>
      </c>
      <c r="AK150">
        <v>72.53</v>
      </c>
      <c r="AL150">
        <v>56.98</v>
      </c>
      <c r="AM150">
        <v>0.36</v>
      </c>
      <c r="AN150">
        <v>36.14</v>
      </c>
      <c r="AO150" s="1">
        <v>703.2</v>
      </c>
    </row>
    <row r="151" spans="1:41" x14ac:dyDescent="0.25">
      <c r="A151" t="s">
        <v>487</v>
      </c>
      <c r="B151" s="4">
        <v>2733</v>
      </c>
      <c r="C151" s="4">
        <v>9986</v>
      </c>
      <c r="D151" s="4">
        <v>3018</v>
      </c>
      <c r="E151" s="4">
        <v>8060</v>
      </c>
      <c r="F151" s="4">
        <v>8225</v>
      </c>
      <c r="G151" s="4">
        <v>11125</v>
      </c>
      <c r="H151" s="4">
        <v>7476</v>
      </c>
      <c r="I151" s="4">
        <v>611</v>
      </c>
      <c r="J151" s="4">
        <v>8802</v>
      </c>
      <c r="K151" s="4">
        <v>1352</v>
      </c>
      <c r="L151" s="4">
        <v>147</v>
      </c>
      <c r="M151" s="4">
        <v>0</v>
      </c>
      <c r="N151" s="3">
        <f t="shared" si="4"/>
        <v>61535</v>
      </c>
      <c r="O151" s="4">
        <v>0</v>
      </c>
      <c r="P151" s="4">
        <v>3</v>
      </c>
      <c r="Q151" s="4">
        <v>4</v>
      </c>
      <c r="R151" s="4">
        <v>12</v>
      </c>
      <c r="S151" s="4">
        <v>3</v>
      </c>
      <c r="T151" s="4">
        <v>2</v>
      </c>
      <c r="U151" s="4">
        <v>2</v>
      </c>
      <c r="V151" s="4">
        <v>2</v>
      </c>
      <c r="W151" s="4">
        <v>19</v>
      </c>
      <c r="X151" s="4">
        <v>15</v>
      </c>
      <c r="Y151" s="4">
        <v>0</v>
      </c>
      <c r="Z151" s="4">
        <v>14</v>
      </c>
      <c r="AA151" s="3">
        <f t="shared" si="5"/>
        <v>76</v>
      </c>
      <c r="AB151" t="s">
        <v>63</v>
      </c>
      <c r="AC151">
        <v>54.66</v>
      </c>
      <c r="AD151">
        <v>199.99</v>
      </c>
      <c r="AE151">
        <v>60.72</v>
      </c>
      <c r="AF151">
        <v>162.28</v>
      </c>
      <c r="AG151">
        <v>164.77</v>
      </c>
      <c r="AH151">
        <v>222.68</v>
      </c>
      <c r="AI151">
        <v>149.69999999999999</v>
      </c>
      <c r="AJ151">
        <v>12.4</v>
      </c>
      <c r="AK151">
        <v>177.75</v>
      </c>
      <c r="AL151">
        <v>28.39</v>
      </c>
      <c r="AM151">
        <v>2.94</v>
      </c>
      <c r="AN151">
        <v>1.26</v>
      </c>
      <c r="AO151" s="1">
        <v>1237.5400000000002</v>
      </c>
    </row>
    <row r="152" spans="1:41" x14ac:dyDescent="0.25">
      <c r="A152" t="s">
        <v>489</v>
      </c>
      <c r="B152" s="4">
        <v>2716</v>
      </c>
      <c r="C152" s="4">
        <v>2008</v>
      </c>
      <c r="D152" s="4">
        <v>1812</v>
      </c>
      <c r="E152" s="4">
        <v>3503</v>
      </c>
      <c r="F152" s="4">
        <v>680</v>
      </c>
      <c r="G152" s="4">
        <v>10249</v>
      </c>
      <c r="H152" s="4">
        <v>1495</v>
      </c>
      <c r="I152" s="4">
        <v>858</v>
      </c>
      <c r="J152" s="4">
        <v>1242</v>
      </c>
      <c r="K152" s="4">
        <v>41</v>
      </c>
      <c r="L152" s="4">
        <v>5169</v>
      </c>
      <c r="M152" s="4">
        <v>0</v>
      </c>
      <c r="N152" s="3">
        <f t="shared" si="4"/>
        <v>29773</v>
      </c>
      <c r="O152" s="4">
        <v>10</v>
      </c>
      <c r="P152" s="4">
        <v>6</v>
      </c>
      <c r="Q152" s="4">
        <v>4</v>
      </c>
      <c r="R152" s="4">
        <v>8</v>
      </c>
      <c r="S152" s="4">
        <v>6</v>
      </c>
      <c r="T152" s="4">
        <v>3</v>
      </c>
      <c r="U152" s="4">
        <v>3</v>
      </c>
      <c r="V152" s="4">
        <v>12</v>
      </c>
      <c r="W152" s="4">
        <v>2</v>
      </c>
      <c r="X152" s="4">
        <v>2</v>
      </c>
      <c r="Y152" s="4">
        <v>3</v>
      </c>
      <c r="Z152" s="4">
        <v>0</v>
      </c>
      <c r="AA152" s="3">
        <f t="shared" si="5"/>
        <v>59</v>
      </c>
      <c r="AB152" t="s">
        <v>63</v>
      </c>
      <c r="AC152">
        <v>55.22</v>
      </c>
      <c r="AD152">
        <v>40.700000000000003</v>
      </c>
      <c r="AE152">
        <v>36.6</v>
      </c>
      <c r="AF152">
        <v>70.78</v>
      </c>
      <c r="AG152">
        <v>14.14</v>
      </c>
      <c r="AH152">
        <v>205.25</v>
      </c>
      <c r="AI152">
        <v>30.17</v>
      </c>
      <c r="AJ152">
        <v>18.239999999999998</v>
      </c>
      <c r="AK152">
        <v>25.02</v>
      </c>
      <c r="AL152">
        <v>1</v>
      </c>
      <c r="AM152">
        <v>103.65</v>
      </c>
      <c r="AN152">
        <v>0</v>
      </c>
      <c r="AO152" s="1">
        <v>600.77</v>
      </c>
    </row>
    <row r="153" spans="1:41" x14ac:dyDescent="0.25">
      <c r="A153" t="s">
        <v>491</v>
      </c>
      <c r="B153" s="4">
        <v>2715</v>
      </c>
      <c r="C153" s="4">
        <v>3524</v>
      </c>
      <c r="D153" s="4">
        <v>10835</v>
      </c>
      <c r="E153" s="4">
        <v>3638</v>
      </c>
      <c r="F153" s="4">
        <v>11635</v>
      </c>
      <c r="G153" s="4">
        <v>0</v>
      </c>
      <c r="H153" s="4">
        <v>7156</v>
      </c>
      <c r="I153" s="4">
        <v>1850</v>
      </c>
      <c r="J153" s="4">
        <v>5990</v>
      </c>
      <c r="K153" s="4">
        <v>6505</v>
      </c>
      <c r="L153" s="4">
        <v>1717</v>
      </c>
      <c r="M153" s="4">
        <v>1905</v>
      </c>
      <c r="N153" s="3">
        <f t="shared" si="4"/>
        <v>57470</v>
      </c>
      <c r="O153" s="4">
        <v>6</v>
      </c>
      <c r="P153" s="4">
        <v>3</v>
      </c>
      <c r="Q153" s="4">
        <v>13</v>
      </c>
      <c r="R153" s="4">
        <v>1</v>
      </c>
      <c r="S153" s="4">
        <v>3</v>
      </c>
      <c r="T153" s="4">
        <v>12</v>
      </c>
      <c r="U153" s="4">
        <v>10</v>
      </c>
      <c r="V153" s="4">
        <v>3</v>
      </c>
      <c r="W153" s="4">
        <v>1</v>
      </c>
      <c r="X153" s="4">
        <v>4</v>
      </c>
      <c r="Y153" s="4">
        <v>3</v>
      </c>
      <c r="Z153" s="4">
        <v>13</v>
      </c>
      <c r="AA153" s="3">
        <f t="shared" si="5"/>
        <v>72</v>
      </c>
      <c r="AB153" t="s">
        <v>63</v>
      </c>
      <c r="AC153">
        <v>54.84</v>
      </c>
      <c r="AD153">
        <v>70.75</v>
      </c>
      <c r="AE153">
        <v>217.87</v>
      </c>
      <c r="AF153">
        <v>72.849999999999994</v>
      </c>
      <c r="AG153">
        <v>232.97</v>
      </c>
      <c r="AH153">
        <v>1.08</v>
      </c>
      <c r="AI153">
        <v>144.02000000000001</v>
      </c>
      <c r="AJ153">
        <v>37.270000000000003</v>
      </c>
      <c r="AK153">
        <v>119.89</v>
      </c>
      <c r="AL153">
        <v>130.46</v>
      </c>
      <c r="AM153">
        <v>34.61</v>
      </c>
      <c r="AN153">
        <v>39.270000000000003</v>
      </c>
      <c r="AO153" s="1">
        <v>1155.8799999999999</v>
      </c>
    </row>
    <row r="154" spans="1:41" x14ac:dyDescent="0.25">
      <c r="A154" t="s">
        <v>501</v>
      </c>
      <c r="B154" s="4">
        <v>2622</v>
      </c>
      <c r="C154" s="4">
        <v>14258</v>
      </c>
      <c r="D154" s="4">
        <v>3575</v>
      </c>
      <c r="E154" s="4">
        <v>10805</v>
      </c>
      <c r="F154" s="4">
        <v>1658</v>
      </c>
      <c r="G154" s="4">
        <v>1867</v>
      </c>
      <c r="H154" s="4">
        <v>1696</v>
      </c>
      <c r="I154" s="4">
        <v>5170</v>
      </c>
      <c r="J154" s="4">
        <v>2363</v>
      </c>
      <c r="K154" s="4">
        <v>6300</v>
      </c>
      <c r="L154" s="4">
        <v>0</v>
      </c>
      <c r="M154" s="4">
        <v>2235</v>
      </c>
      <c r="N154" s="3">
        <f t="shared" si="4"/>
        <v>52549</v>
      </c>
      <c r="O154" s="4">
        <v>1</v>
      </c>
      <c r="P154" s="4">
        <v>18</v>
      </c>
      <c r="Q154" s="4">
        <v>5</v>
      </c>
      <c r="R154" s="4">
        <v>2</v>
      </c>
      <c r="S154" s="4">
        <v>1</v>
      </c>
      <c r="T154" s="4">
        <v>1</v>
      </c>
      <c r="U154" s="4">
        <v>3</v>
      </c>
      <c r="V154" s="4">
        <v>2</v>
      </c>
      <c r="W154" s="4">
        <v>1</v>
      </c>
      <c r="X154" s="4">
        <v>1</v>
      </c>
      <c r="Y154" s="4">
        <v>0</v>
      </c>
      <c r="Z154" s="4">
        <v>8</v>
      </c>
      <c r="AA154" s="3">
        <f t="shared" si="5"/>
        <v>43</v>
      </c>
      <c r="AB154" t="s">
        <v>63</v>
      </c>
      <c r="AC154">
        <v>52.53</v>
      </c>
      <c r="AD154">
        <v>286.77999999999997</v>
      </c>
      <c r="AE154">
        <v>71.95</v>
      </c>
      <c r="AF154">
        <v>216.28</v>
      </c>
      <c r="AG154">
        <v>33.25</v>
      </c>
      <c r="AH154">
        <v>37.43</v>
      </c>
      <c r="AI154">
        <v>34.19</v>
      </c>
      <c r="AJ154">
        <v>103.58</v>
      </c>
      <c r="AK154">
        <v>47.35</v>
      </c>
      <c r="AL154">
        <v>126.09</v>
      </c>
      <c r="AM154">
        <v>0</v>
      </c>
      <c r="AN154">
        <v>45.42</v>
      </c>
      <c r="AO154" s="1">
        <v>1054.8499999999999</v>
      </c>
    </row>
    <row r="155" spans="1:41" x14ac:dyDescent="0.25">
      <c r="A155" t="s">
        <v>503</v>
      </c>
      <c r="B155" s="4">
        <v>2610</v>
      </c>
      <c r="C155" s="4">
        <v>1902</v>
      </c>
      <c r="D155" s="4">
        <v>737</v>
      </c>
      <c r="E155" s="4">
        <v>3037</v>
      </c>
      <c r="F155" s="4">
        <v>3809</v>
      </c>
      <c r="G155" s="4">
        <v>0</v>
      </c>
      <c r="H155" s="4">
        <v>3317</v>
      </c>
      <c r="I155" s="4">
        <v>0</v>
      </c>
      <c r="J155" s="4">
        <v>0</v>
      </c>
      <c r="K155" s="4">
        <v>3553</v>
      </c>
      <c r="L155" s="4">
        <v>444</v>
      </c>
      <c r="M155" s="4">
        <v>1356</v>
      </c>
      <c r="N155" s="3">
        <f t="shared" si="4"/>
        <v>20765</v>
      </c>
      <c r="O155" s="4">
        <v>3</v>
      </c>
      <c r="P155" s="4">
        <v>6</v>
      </c>
      <c r="Q155" s="4">
        <v>3</v>
      </c>
      <c r="R155" s="4">
        <v>4</v>
      </c>
      <c r="S155" s="4">
        <v>1</v>
      </c>
      <c r="T155" s="4">
        <v>2</v>
      </c>
      <c r="U155" s="4">
        <v>1</v>
      </c>
      <c r="V155" s="4">
        <v>4</v>
      </c>
      <c r="W155" s="4">
        <v>6</v>
      </c>
      <c r="X155" s="4">
        <v>3</v>
      </c>
      <c r="Y155" s="4">
        <v>4</v>
      </c>
      <c r="Z155" s="4">
        <v>8</v>
      </c>
      <c r="AA155" s="3">
        <f t="shared" si="5"/>
        <v>45</v>
      </c>
      <c r="AB155" t="s">
        <v>63</v>
      </c>
      <c r="AC155">
        <v>52.47</v>
      </c>
      <c r="AD155">
        <v>38.58</v>
      </c>
      <c r="AE155">
        <v>15.01</v>
      </c>
      <c r="AF155">
        <v>61.1</v>
      </c>
      <c r="AG155">
        <v>76.27</v>
      </c>
      <c r="AH155">
        <v>0.18</v>
      </c>
      <c r="AI155">
        <v>66.430000000000007</v>
      </c>
      <c r="AJ155">
        <v>0.36</v>
      </c>
      <c r="AK155">
        <v>0.54</v>
      </c>
      <c r="AL155">
        <v>71.33</v>
      </c>
      <c r="AM155">
        <v>9.24</v>
      </c>
      <c r="AN155">
        <v>27.84</v>
      </c>
      <c r="AO155" s="1">
        <v>419.35</v>
      </c>
    </row>
    <row r="156" spans="1:41" x14ac:dyDescent="0.25">
      <c r="A156" t="s">
        <v>506</v>
      </c>
      <c r="B156" s="4">
        <v>2577</v>
      </c>
      <c r="C156" s="4">
        <v>14060</v>
      </c>
      <c r="D156" s="4">
        <v>2113</v>
      </c>
      <c r="E156" s="4">
        <v>6013</v>
      </c>
      <c r="F156" s="4">
        <v>5263</v>
      </c>
      <c r="G156" s="4">
        <v>3174</v>
      </c>
      <c r="H156" s="4">
        <v>6009</v>
      </c>
      <c r="I156" s="4">
        <v>1102</v>
      </c>
      <c r="J156" s="4">
        <v>102</v>
      </c>
      <c r="K156" s="4">
        <v>2901</v>
      </c>
      <c r="L156" s="4">
        <v>10895</v>
      </c>
      <c r="M156" s="4">
        <v>2258</v>
      </c>
      <c r="N156" s="3">
        <f t="shared" si="4"/>
        <v>56467</v>
      </c>
      <c r="O156" s="4">
        <v>2</v>
      </c>
      <c r="P156" s="4">
        <v>4</v>
      </c>
      <c r="Q156" s="4">
        <v>2</v>
      </c>
      <c r="R156" s="4">
        <v>3</v>
      </c>
      <c r="S156" s="4">
        <v>16</v>
      </c>
      <c r="T156" s="4">
        <v>2</v>
      </c>
      <c r="U156" s="4">
        <v>8</v>
      </c>
      <c r="V156" s="4">
        <v>1</v>
      </c>
      <c r="W156" s="4">
        <v>3</v>
      </c>
      <c r="X156" s="4">
        <v>0</v>
      </c>
      <c r="Y156" s="4">
        <v>5</v>
      </c>
      <c r="Z156" s="4">
        <v>4</v>
      </c>
      <c r="AA156" s="3">
        <f t="shared" si="5"/>
        <v>50</v>
      </c>
      <c r="AB156" t="s">
        <v>63</v>
      </c>
      <c r="AC156">
        <v>51.72</v>
      </c>
      <c r="AD156">
        <v>281.56</v>
      </c>
      <c r="AE156">
        <v>42.44</v>
      </c>
      <c r="AF156">
        <v>120.53</v>
      </c>
      <c r="AG156">
        <v>106.7</v>
      </c>
      <c r="AH156">
        <v>63.66</v>
      </c>
      <c r="AI156">
        <v>120.9</v>
      </c>
      <c r="AJ156">
        <v>22.13</v>
      </c>
      <c r="AK156">
        <v>2.31</v>
      </c>
      <c r="AL156">
        <v>58.02</v>
      </c>
      <c r="AM156">
        <v>218.35</v>
      </c>
      <c r="AN156">
        <v>45.52</v>
      </c>
      <c r="AO156" s="1">
        <v>1133.8399999999999</v>
      </c>
    </row>
    <row r="157" spans="1:41" x14ac:dyDescent="0.25">
      <c r="A157" t="s">
        <v>512</v>
      </c>
      <c r="B157" s="4">
        <v>2538</v>
      </c>
      <c r="C157" s="4">
        <v>0</v>
      </c>
      <c r="D157" s="4">
        <v>990</v>
      </c>
      <c r="E157" s="4">
        <v>4798</v>
      </c>
      <c r="F157" s="4">
        <v>1524</v>
      </c>
      <c r="G157" s="4">
        <v>8467</v>
      </c>
      <c r="H157" s="4">
        <v>2100</v>
      </c>
      <c r="I157" s="4">
        <v>2325</v>
      </c>
      <c r="J157" s="4">
        <v>794</v>
      </c>
      <c r="K157" s="4">
        <v>451</v>
      </c>
      <c r="L157" s="4">
        <v>2715</v>
      </c>
      <c r="M157" s="4">
        <v>4098</v>
      </c>
      <c r="N157" s="3">
        <f t="shared" si="4"/>
        <v>30800</v>
      </c>
      <c r="O157" s="4">
        <v>1</v>
      </c>
      <c r="P157" s="4">
        <v>6</v>
      </c>
      <c r="Q157" s="4">
        <v>3</v>
      </c>
      <c r="R157" s="4">
        <v>0</v>
      </c>
      <c r="S157" s="4">
        <v>12</v>
      </c>
      <c r="T157" s="4">
        <v>4</v>
      </c>
      <c r="U157" s="4">
        <v>7</v>
      </c>
      <c r="V157" s="4">
        <v>1</v>
      </c>
      <c r="W157" s="4">
        <v>1</v>
      </c>
      <c r="X157" s="4">
        <v>0</v>
      </c>
      <c r="Y157" s="4">
        <v>3</v>
      </c>
      <c r="Z157" s="4">
        <v>5</v>
      </c>
      <c r="AA157" s="3">
        <f t="shared" si="5"/>
        <v>43</v>
      </c>
      <c r="AB157" t="s">
        <v>63</v>
      </c>
      <c r="AC157">
        <v>50.85</v>
      </c>
      <c r="AD157">
        <v>0.54</v>
      </c>
      <c r="AE157">
        <v>20.07</v>
      </c>
      <c r="AF157">
        <v>95.96</v>
      </c>
      <c r="AG157">
        <v>31.56</v>
      </c>
      <c r="AH157">
        <v>169.7</v>
      </c>
      <c r="AI157">
        <v>42.63</v>
      </c>
      <c r="AJ157">
        <v>46.59</v>
      </c>
      <c r="AK157">
        <v>15.97</v>
      </c>
      <c r="AL157">
        <v>9.02</v>
      </c>
      <c r="AM157">
        <v>54.57</v>
      </c>
      <c r="AN157">
        <v>82.41</v>
      </c>
      <c r="AO157" s="1">
        <v>619.87</v>
      </c>
    </row>
    <row r="158" spans="1:41" x14ac:dyDescent="0.25">
      <c r="A158" t="s">
        <v>514</v>
      </c>
      <c r="B158" s="4">
        <v>2522</v>
      </c>
      <c r="C158" s="4">
        <v>4581</v>
      </c>
      <c r="D158" s="4">
        <v>3432</v>
      </c>
      <c r="E158" s="4">
        <v>1158</v>
      </c>
      <c r="F158" s="4">
        <v>2239</v>
      </c>
      <c r="G158" s="4">
        <v>3587</v>
      </c>
      <c r="H158" s="4">
        <v>198</v>
      </c>
      <c r="I158" s="4">
        <v>0</v>
      </c>
      <c r="J158" s="4">
        <v>1627</v>
      </c>
      <c r="K158" s="4">
        <v>169</v>
      </c>
      <c r="L158" s="4">
        <v>10183</v>
      </c>
      <c r="M158" s="4">
        <v>2302</v>
      </c>
      <c r="N158" s="3">
        <f t="shared" si="4"/>
        <v>31998</v>
      </c>
      <c r="O158" s="4">
        <v>3</v>
      </c>
      <c r="P158" s="4">
        <v>30</v>
      </c>
      <c r="Q158" s="4">
        <v>5</v>
      </c>
      <c r="R158" s="4">
        <v>2</v>
      </c>
      <c r="S158" s="4">
        <v>8</v>
      </c>
      <c r="T158" s="4">
        <v>0</v>
      </c>
      <c r="U158" s="4">
        <v>1</v>
      </c>
      <c r="V158" s="4">
        <v>1</v>
      </c>
      <c r="W158" s="4">
        <v>2</v>
      </c>
      <c r="X158" s="4">
        <v>5</v>
      </c>
      <c r="Y158" s="4">
        <v>3</v>
      </c>
      <c r="Z158" s="4">
        <v>10</v>
      </c>
      <c r="AA158" s="3">
        <f t="shared" si="5"/>
        <v>70</v>
      </c>
      <c r="AB158" t="s">
        <v>63</v>
      </c>
      <c r="AC158">
        <v>50.71</v>
      </c>
      <c r="AD158">
        <v>94.32</v>
      </c>
      <c r="AE158">
        <v>69.09</v>
      </c>
      <c r="AF158">
        <v>23.34</v>
      </c>
      <c r="AG158">
        <v>45.5</v>
      </c>
      <c r="AH158">
        <v>71.739999999999995</v>
      </c>
      <c r="AI158">
        <v>4.05</v>
      </c>
      <c r="AJ158">
        <v>0.09</v>
      </c>
      <c r="AK158">
        <v>32.72</v>
      </c>
      <c r="AL158">
        <v>3.83</v>
      </c>
      <c r="AM158">
        <v>203.93</v>
      </c>
      <c r="AN158">
        <v>46.94</v>
      </c>
      <c r="AO158" s="1">
        <v>646.26</v>
      </c>
    </row>
    <row r="159" spans="1:41" x14ac:dyDescent="0.25">
      <c r="A159" t="s">
        <v>519</v>
      </c>
      <c r="B159" s="4">
        <v>2483</v>
      </c>
      <c r="C159" s="4">
        <v>431</v>
      </c>
      <c r="D159" s="4">
        <v>3407</v>
      </c>
      <c r="E159" s="4">
        <v>65</v>
      </c>
      <c r="F159" s="4">
        <v>194</v>
      </c>
      <c r="G159" s="4">
        <v>744</v>
      </c>
      <c r="H159" s="4">
        <v>4948</v>
      </c>
      <c r="I159" s="4">
        <v>149</v>
      </c>
      <c r="J159" s="4">
        <v>7273</v>
      </c>
      <c r="K159" s="4">
        <v>916</v>
      </c>
      <c r="L159" s="4">
        <v>0</v>
      </c>
      <c r="M159" s="4">
        <v>1016</v>
      </c>
      <c r="N159" s="3">
        <f t="shared" si="4"/>
        <v>21626</v>
      </c>
      <c r="O159" s="4">
        <v>0</v>
      </c>
      <c r="P159" s="4">
        <v>9</v>
      </c>
      <c r="Q159" s="4">
        <v>5</v>
      </c>
      <c r="R159" s="4">
        <v>7</v>
      </c>
      <c r="S159" s="4">
        <v>5</v>
      </c>
      <c r="T159" s="4">
        <v>1</v>
      </c>
      <c r="U159" s="4">
        <v>1</v>
      </c>
      <c r="V159" s="4">
        <v>2</v>
      </c>
      <c r="W159" s="4">
        <v>9</v>
      </c>
      <c r="X159" s="4">
        <v>5</v>
      </c>
      <c r="Y159" s="4">
        <v>1</v>
      </c>
      <c r="Z159" s="4">
        <v>0</v>
      </c>
      <c r="AA159" s="3">
        <f t="shared" si="5"/>
        <v>45</v>
      </c>
      <c r="AB159" t="s">
        <v>63</v>
      </c>
      <c r="AC159">
        <v>49.66</v>
      </c>
      <c r="AD159">
        <v>9.43</v>
      </c>
      <c r="AE159">
        <v>68.59</v>
      </c>
      <c r="AF159">
        <v>1.93</v>
      </c>
      <c r="AG159">
        <v>4.33</v>
      </c>
      <c r="AH159">
        <v>14.97</v>
      </c>
      <c r="AI159">
        <v>99.05</v>
      </c>
      <c r="AJ159">
        <v>3.16</v>
      </c>
      <c r="AK159">
        <v>146.27000000000001</v>
      </c>
      <c r="AL159">
        <v>18.77</v>
      </c>
      <c r="AM159">
        <v>0.09</v>
      </c>
      <c r="AN159">
        <v>20.32</v>
      </c>
      <c r="AO159" s="1">
        <v>436.57</v>
      </c>
    </row>
    <row r="160" spans="1:41" x14ac:dyDescent="0.25">
      <c r="A160" t="s">
        <v>520</v>
      </c>
      <c r="B160" s="4">
        <v>2480</v>
      </c>
      <c r="C160" s="4">
        <v>1157</v>
      </c>
      <c r="D160" s="4">
        <v>5034</v>
      </c>
      <c r="E160" s="4">
        <v>583</v>
      </c>
      <c r="F160" s="4">
        <v>1444</v>
      </c>
      <c r="G160" s="4">
        <v>4649</v>
      </c>
      <c r="H160" s="4">
        <v>2955</v>
      </c>
      <c r="I160" s="4">
        <v>3855</v>
      </c>
      <c r="J160" s="4">
        <v>2325</v>
      </c>
      <c r="K160" s="4">
        <v>1308</v>
      </c>
      <c r="L160" s="4">
        <v>2534</v>
      </c>
      <c r="M160" s="4">
        <v>2587</v>
      </c>
      <c r="N160" s="3">
        <f t="shared" si="4"/>
        <v>30911</v>
      </c>
      <c r="O160" s="4">
        <v>6</v>
      </c>
      <c r="P160" s="4">
        <v>0</v>
      </c>
      <c r="Q160" s="4">
        <v>2</v>
      </c>
      <c r="R160" s="4">
        <v>3</v>
      </c>
      <c r="S160" s="4">
        <v>3</v>
      </c>
      <c r="T160" s="4">
        <v>5</v>
      </c>
      <c r="U160" s="4">
        <v>1</v>
      </c>
      <c r="V160" s="4">
        <v>4</v>
      </c>
      <c r="W160" s="4">
        <v>3</v>
      </c>
      <c r="X160" s="4">
        <v>13</v>
      </c>
      <c r="Y160" s="4">
        <v>7</v>
      </c>
      <c r="Z160" s="4">
        <v>11</v>
      </c>
      <c r="AA160" s="3">
        <f t="shared" si="5"/>
        <v>58</v>
      </c>
      <c r="AB160" t="s">
        <v>63</v>
      </c>
      <c r="AC160">
        <v>50.14</v>
      </c>
      <c r="AD160">
        <v>23.14</v>
      </c>
      <c r="AE160">
        <v>100.86</v>
      </c>
      <c r="AF160">
        <v>11.93</v>
      </c>
      <c r="AG160">
        <v>29.15</v>
      </c>
      <c r="AH160">
        <v>93.43</v>
      </c>
      <c r="AI160">
        <v>59.19</v>
      </c>
      <c r="AJ160">
        <v>77.459999999999994</v>
      </c>
      <c r="AK160">
        <v>46.77</v>
      </c>
      <c r="AL160">
        <v>27.33</v>
      </c>
      <c r="AM160">
        <v>51.31</v>
      </c>
      <c r="AN160">
        <v>52.73</v>
      </c>
      <c r="AO160" s="1">
        <v>623.44000000000005</v>
      </c>
    </row>
    <row r="161" spans="1:41" x14ac:dyDescent="0.25">
      <c r="A161" t="s">
        <v>522</v>
      </c>
      <c r="B161" s="4">
        <v>2476</v>
      </c>
      <c r="C161" s="4">
        <v>58</v>
      </c>
      <c r="D161" s="4">
        <v>2074</v>
      </c>
      <c r="E161" s="4">
        <v>2112</v>
      </c>
      <c r="F161" s="4">
        <v>589</v>
      </c>
      <c r="G161" s="4">
        <v>3006</v>
      </c>
      <c r="H161" s="4">
        <v>1466</v>
      </c>
      <c r="I161" s="4">
        <v>2000</v>
      </c>
      <c r="J161" s="4">
        <v>278</v>
      </c>
      <c r="K161" s="4">
        <v>4979</v>
      </c>
      <c r="L161" s="4">
        <v>2440</v>
      </c>
      <c r="M161" s="4">
        <v>5794</v>
      </c>
      <c r="N161" s="3">
        <f t="shared" si="4"/>
        <v>27272</v>
      </c>
      <c r="O161" s="4">
        <v>2</v>
      </c>
      <c r="P161" s="4">
        <v>3</v>
      </c>
      <c r="Q161" s="4">
        <v>0</v>
      </c>
      <c r="R161" s="4">
        <v>6</v>
      </c>
      <c r="S161" s="4">
        <v>3</v>
      </c>
      <c r="T161" s="4">
        <v>16</v>
      </c>
      <c r="U161" s="4">
        <v>1</v>
      </c>
      <c r="V161" s="4">
        <v>2</v>
      </c>
      <c r="W161" s="4">
        <v>3</v>
      </c>
      <c r="X161" s="4">
        <v>1</v>
      </c>
      <c r="Y161" s="4">
        <v>8</v>
      </c>
      <c r="Z161" s="4">
        <v>0</v>
      </c>
      <c r="AA161" s="3">
        <f t="shared" si="5"/>
        <v>45</v>
      </c>
      <c r="AB161" t="s">
        <v>63</v>
      </c>
      <c r="AC161">
        <v>49.7</v>
      </c>
      <c r="AD161">
        <v>1.43</v>
      </c>
      <c r="AE161">
        <v>41.48</v>
      </c>
      <c r="AF161">
        <v>42.78</v>
      </c>
      <c r="AG161">
        <v>12.05</v>
      </c>
      <c r="AH161">
        <v>61.56</v>
      </c>
      <c r="AI161">
        <v>29.41</v>
      </c>
      <c r="AJ161">
        <v>40.18</v>
      </c>
      <c r="AK161">
        <v>5.83</v>
      </c>
      <c r="AL161">
        <v>99.67</v>
      </c>
      <c r="AM161">
        <v>49.52</v>
      </c>
      <c r="AN161">
        <v>115.88</v>
      </c>
      <c r="AO161" s="1">
        <v>549.49</v>
      </c>
    </row>
    <row r="162" spans="1:41" x14ac:dyDescent="0.25">
      <c r="A162" t="s">
        <v>523</v>
      </c>
      <c r="B162" s="4">
        <v>2465</v>
      </c>
      <c r="C162" s="4">
        <v>523</v>
      </c>
      <c r="D162" s="4">
        <v>7116</v>
      </c>
      <c r="E162" s="4">
        <v>0</v>
      </c>
      <c r="F162" s="4">
        <v>1740</v>
      </c>
      <c r="G162" s="4">
        <v>2275</v>
      </c>
      <c r="H162" s="4">
        <v>13716</v>
      </c>
      <c r="I162" s="4">
        <v>4595</v>
      </c>
      <c r="J162" s="4">
        <v>1013</v>
      </c>
      <c r="K162" s="4">
        <v>1723</v>
      </c>
      <c r="L162" s="4">
        <v>0</v>
      </c>
      <c r="M162" s="4">
        <v>4701</v>
      </c>
      <c r="N162" s="3">
        <f t="shared" si="4"/>
        <v>39867</v>
      </c>
      <c r="O162" s="4">
        <v>5</v>
      </c>
      <c r="P162" s="4">
        <v>2</v>
      </c>
      <c r="Q162" s="4">
        <v>1</v>
      </c>
      <c r="R162" s="4">
        <v>9</v>
      </c>
      <c r="S162" s="4">
        <v>2</v>
      </c>
      <c r="T162" s="4">
        <v>8</v>
      </c>
      <c r="U162" s="4">
        <v>4</v>
      </c>
      <c r="V162" s="4">
        <v>3</v>
      </c>
      <c r="W162" s="4">
        <v>4</v>
      </c>
      <c r="X162" s="4">
        <v>2</v>
      </c>
      <c r="Y162" s="4">
        <v>6</v>
      </c>
      <c r="Z162" s="4">
        <v>2</v>
      </c>
      <c r="AA162" s="3">
        <f t="shared" si="5"/>
        <v>48</v>
      </c>
      <c r="AB162" t="s">
        <v>63</v>
      </c>
      <c r="AC162">
        <v>49.75</v>
      </c>
      <c r="AD162">
        <v>10.64</v>
      </c>
      <c r="AE162">
        <v>142.41</v>
      </c>
      <c r="AF162">
        <v>0.81</v>
      </c>
      <c r="AG162">
        <v>34.979999999999997</v>
      </c>
      <c r="AH162">
        <v>46.22</v>
      </c>
      <c r="AI162">
        <v>274.68</v>
      </c>
      <c r="AJ162">
        <v>92.17</v>
      </c>
      <c r="AK162">
        <v>20.62</v>
      </c>
      <c r="AL162">
        <v>34.64</v>
      </c>
      <c r="AM162">
        <v>0.54</v>
      </c>
      <c r="AN162">
        <v>94.2</v>
      </c>
      <c r="AO162" s="1">
        <v>801.66</v>
      </c>
    </row>
    <row r="163" spans="1:41" x14ac:dyDescent="0.25">
      <c r="A163" t="s">
        <v>524</v>
      </c>
      <c r="B163" s="4">
        <v>2465</v>
      </c>
      <c r="C163" s="4">
        <v>0</v>
      </c>
      <c r="D163" s="4">
        <v>2125</v>
      </c>
      <c r="E163" s="4">
        <v>4984</v>
      </c>
      <c r="F163" s="4">
        <v>1025</v>
      </c>
      <c r="G163" s="4">
        <v>7623</v>
      </c>
      <c r="H163" s="4">
        <v>811</v>
      </c>
      <c r="I163" s="4">
        <v>0</v>
      </c>
      <c r="J163" s="4">
        <v>699</v>
      </c>
      <c r="K163" s="4">
        <v>6939</v>
      </c>
      <c r="L163" s="4">
        <v>1896</v>
      </c>
      <c r="M163" s="4">
        <v>4859</v>
      </c>
      <c r="N163" s="3">
        <f t="shared" si="4"/>
        <v>33426</v>
      </c>
      <c r="O163" s="4">
        <v>12</v>
      </c>
      <c r="P163" s="4">
        <v>2</v>
      </c>
      <c r="Q163" s="4">
        <v>2</v>
      </c>
      <c r="R163" s="4">
        <v>1</v>
      </c>
      <c r="S163" s="4">
        <v>2</v>
      </c>
      <c r="T163" s="4">
        <v>0</v>
      </c>
      <c r="U163" s="4">
        <v>2</v>
      </c>
      <c r="V163" s="4">
        <v>1</v>
      </c>
      <c r="W163" s="4">
        <v>6</v>
      </c>
      <c r="X163" s="4">
        <v>8</v>
      </c>
      <c r="Y163" s="4">
        <v>0</v>
      </c>
      <c r="Z163" s="4">
        <v>10</v>
      </c>
      <c r="AA163" s="3">
        <f t="shared" si="5"/>
        <v>46</v>
      </c>
      <c r="AB163" t="s">
        <v>63</v>
      </c>
      <c r="AC163">
        <v>50.38</v>
      </c>
      <c r="AD163">
        <v>0.18</v>
      </c>
      <c r="AE163">
        <v>42.68</v>
      </c>
      <c r="AF163">
        <v>99.77</v>
      </c>
      <c r="AG163">
        <v>20.68</v>
      </c>
      <c r="AH163">
        <v>152.46</v>
      </c>
      <c r="AI163">
        <v>16.399999999999999</v>
      </c>
      <c r="AJ163">
        <v>0.09</v>
      </c>
      <c r="AK163">
        <v>14.52</v>
      </c>
      <c r="AL163">
        <v>139.5</v>
      </c>
      <c r="AM163">
        <v>37.92</v>
      </c>
      <c r="AN163">
        <v>98.08</v>
      </c>
      <c r="AO163" s="1">
        <v>672.65999999999985</v>
      </c>
    </row>
    <row r="164" spans="1:41" x14ac:dyDescent="0.25">
      <c r="A164" t="s">
        <v>525</v>
      </c>
      <c r="B164" s="4">
        <v>2454</v>
      </c>
      <c r="C164" s="4">
        <v>3655</v>
      </c>
      <c r="D164" s="4">
        <v>1551</v>
      </c>
      <c r="E164" s="4">
        <v>803</v>
      </c>
      <c r="F164" s="4">
        <v>6179</v>
      </c>
      <c r="G164" s="4">
        <v>7823</v>
      </c>
      <c r="H164" s="4">
        <v>1504</v>
      </c>
      <c r="I164" s="4">
        <v>6354</v>
      </c>
      <c r="J164" s="4">
        <v>4939</v>
      </c>
      <c r="K164" s="4">
        <v>444</v>
      </c>
      <c r="L164" s="4">
        <v>2679</v>
      </c>
      <c r="M164" s="4">
        <v>1625</v>
      </c>
      <c r="N164" s="3">
        <f t="shared" si="4"/>
        <v>40010</v>
      </c>
      <c r="O164" s="4">
        <v>10</v>
      </c>
      <c r="P164" s="4">
        <v>3</v>
      </c>
      <c r="Q164" s="4">
        <v>0</v>
      </c>
      <c r="R164" s="4">
        <v>12</v>
      </c>
      <c r="S164" s="4">
        <v>4</v>
      </c>
      <c r="T164" s="4">
        <v>4</v>
      </c>
      <c r="U164" s="4">
        <v>3</v>
      </c>
      <c r="V164" s="4">
        <v>4</v>
      </c>
      <c r="W164" s="4">
        <v>4</v>
      </c>
      <c r="X164" s="4">
        <v>4</v>
      </c>
      <c r="Y164" s="4">
        <v>0</v>
      </c>
      <c r="Z164" s="4">
        <v>6</v>
      </c>
      <c r="AA164" s="3">
        <f t="shared" si="5"/>
        <v>54</v>
      </c>
      <c r="AB164" t="s">
        <v>63</v>
      </c>
      <c r="AC164">
        <v>49.98</v>
      </c>
      <c r="AD164">
        <v>73.37</v>
      </c>
      <c r="AE164">
        <v>31.02</v>
      </c>
      <c r="AF164">
        <v>17.14</v>
      </c>
      <c r="AG164">
        <v>123.94</v>
      </c>
      <c r="AH164">
        <v>156.82</v>
      </c>
      <c r="AI164">
        <v>30.35</v>
      </c>
      <c r="AJ164">
        <v>127.44</v>
      </c>
      <c r="AK164">
        <v>99.14</v>
      </c>
      <c r="AL164">
        <v>9.24</v>
      </c>
      <c r="AM164">
        <v>53.58</v>
      </c>
      <c r="AN164">
        <v>33.04</v>
      </c>
      <c r="AO164" s="1">
        <v>805.06</v>
      </c>
    </row>
    <row r="165" spans="1:41" x14ac:dyDescent="0.25">
      <c r="A165" t="s">
        <v>528</v>
      </c>
      <c r="B165" s="4">
        <v>2435</v>
      </c>
      <c r="C165" s="4">
        <v>6574</v>
      </c>
      <c r="D165" s="4">
        <v>804</v>
      </c>
      <c r="E165" s="4">
        <v>1973</v>
      </c>
      <c r="F165" s="4">
        <v>623</v>
      </c>
      <c r="G165" s="4">
        <v>4193</v>
      </c>
      <c r="H165" s="4">
        <v>0</v>
      </c>
      <c r="I165" s="4">
        <v>4485</v>
      </c>
      <c r="J165" s="4">
        <v>719</v>
      </c>
      <c r="K165" s="4">
        <v>0</v>
      </c>
      <c r="L165" s="4">
        <v>3735</v>
      </c>
      <c r="M165" s="4">
        <v>3045</v>
      </c>
      <c r="N165" s="3">
        <f t="shared" si="4"/>
        <v>28586</v>
      </c>
      <c r="O165" s="4">
        <v>7</v>
      </c>
      <c r="P165" s="4">
        <v>4</v>
      </c>
      <c r="Q165" s="4">
        <v>11</v>
      </c>
      <c r="R165" s="4">
        <v>0</v>
      </c>
      <c r="S165" s="4">
        <v>3</v>
      </c>
      <c r="T165" s="4">
        <v>3</v>
      </c>
      <c r="U165" s="4">
        <v>11</v>
      </c>
      <c r="V165" s="4">
        <v>1</v>
      </c>
      <c r="W165" s="4">
        <v>2</v>
      </c>
      <c r="X165" s="4">
        <v>9</v>
      </c>
      <c r="Y165" s="4">
        <v>1</v>
      </c>
      <c r="Z165" s="4">
        <v>11</v>
      </c>
      <c r="AA165" s="3">
        <f t="shared" si="5"/>
        <v>63</v>
      </c>
      <c r="AB165" t="s">
        <v>63</v>
      </c>
      <c r="AC165">
        <v>49.33</v>
      </c>
      <c r="AD165">
        <v>131.84</v>
      </c>
      <c r="AE165">
        <v>17.07</v>
      </c>
      <c r="AF165">
        <v>39.46</v>
      </c>
      <c r="AG165">
        <v>12.73</v>
      </c>
      <c r="AH165">
        <v>84.13</v>
      </c>
      <c r="AI165">
        <v>0.99</v>
      </c>
      <c r="AJ165">
        <v>89.79</v>
      </c>
      <c r="AK165">
        <v>14.56</v>
      </c>
      <c r="AL165">
        <v>0.81</v>
      </c>
      <c r="AM165">
        <v>74.790000000000006</v>
      </c>
      <c r="AN165">
        <v>61.89</v>
      </c>
      <c r="AO165" s="1">
        <v>577.39</v>
      </c>
    </row>
    <row r="166" spans="1:41" x14ac:dyDescent="0.25">
      <c r="A166" t="s">
        <v>530</v>
      </c>
      <c r="B166" s="4">
        <v>2420</v>
      </c>
      <c r="C166" s="4">
        <v>674</v>
      </c>
      <c r="D166" s="4">
        <v>5459</v>
      </c>
      <c r="E166" s="4">
        <v>1448</v>
      </c>
      <c r="F166" s="4">
        <v>1044</v>
      </c>
      <c r="G166" s="4">
        <v>2674</v>
      </c>
      <c r="H166" s="4">
        <v>8359</v>
      </c>
      <c r="I166" s="4">
        <v>1747</v>
      </c>
      <c r="J166" s="4">
        <v>7763</v>
      </c>
      <c r="K166" s="4">
        <v>0</v>
      </c>
      <c r="L166" s="4">
        <v>350</v>
      </c>
      <c r="M166" s="4">
        <v>4458</v>
      </c>
      <c r="N166" s="3">
        <f t="shared" si="4"/>
        <v>36396</v>
      </c>
      <c r="O166" s="4">
        <v>12</v>
      </c>
      <c r="P166" s="4">
        <v>5</v>
      </c>
      <c r="Q166" s="4">
        <v>3</v>
      </c>
      <c r="R166" s="4">
        <v>3</v>
      </c>
      <c r="S166" s="4">
        <v>1</v>
      </c>
      <c r="T166" s="4">
        <v>2</v>
      </c>
      <c r="U166" s="4">
        <v>5</v>
      </c>
      <c r="V166" s="4">
        <v>3</v>
      </c>
      <c r="W166" s="4">
        <v>13</v>
      </c>
      <c r="X166" s="4">
        <v>3</v>
      </c>
      <c r="Y166" s="4">
        <v>6</v>
      </c>
      <c r="Z166" s="4">
        <v>4</v>
      </c>
      <c r="AA166" s="3">
        <f t="shared" si="5"/>
        <v>60</v>
      </c>
      <c r="AB166" t="s">
        <v>63</v>
      </c>
      <c r="AC166">
        <v>49.48</v>
      </c>
      <c r="AD166">
        <v>13.93</v>
      </c>
      <c r="AE166">
        <v>109.45</v>
      </c>
      <c r="AF166">
        <v>29.23</v>
      </c>
      <c r="AG166">
        <v>20.97</v>
      </c>
      <c r="AH166">
        <v>53.66</v>
      </c>
      <c r="AI166">
        <v>167.63</v>
      </c>
      <c r="AJ166">
        <v>35.21</v>
      </c>
      <c r="AK166">
        <v>156.43</v>
      </c>
      <c r="AL166">
        <v>0.27</v>
      </c>
      <c r="AM166">
        <v>7.54</v>
      </c>
      <c r="AN166">
        <v>89.52</v>
      </c>
      <c r="AO166" s="1">
        <v>733.31999999999994</v>
      </c>
    </row>
    <row r="167" spans="1:41" x14ac:dyDescent="0.25">
      <c r="A167" t="s">
        <v>531</v>
      </c>
      <c r="B167" s="4">
        <v>2420</v>
      </c>
      <c r="C167" s="4">
        <v>0</v>
      </c>
      <c r="D167" s="4">
        <v>2554</v>
      </c>
      <c r="E167" s="4">
        <v>7168</v>
      </c>
      <c r="F167" s="4">
        <v>839</v>
      </c>
      <c r="G167" s="4">
        <v>0</v>
      </c>
      <c r="H167" s="4">
        <v>3116</v>
      </c>
      <c r="I167" s="4">
        <v>925</v>
      </c>
      <c r="J167" s="4">
        <v>2408</v>
      </c>
      <c r="K167" s="4">
        <v>1333</v>
      </c>
      <c r="L167" s="4">
        <v>243</v>
      </c>
      <c r="M167" s="4">
        <v>636</v>
      </c>
      <c r="N167" s="3">
        <f t="shared" si="4"/>
        <v>21642</v>
      </c>
      <c r="O167" s="4">
        <v>6</v>
      </c>
      <c r="P167" s="4">
        <v>8</v>
      </c>
      <c r="Q167" s="4">
        <v>7</v>
      </c>
      <c r="R167" s="4">
        <v>2</v>
      </c>
      <c r="S167" s="4">
        <v>6</v>
      </c>
      <c r="T167" s="4">
        <v>2</v>
      </c>
      <c r="U167" s="4">
        <v>2</v>
      </c>
      <c r="V167" s="4">
        <v>4</v>
      </c>
      <c r="W167" s="4">
        <v>1</v>
      </c>
      <c r="X167" s="4">
        <v>5</v>
      </c>
      <c r="Y167" s="4">
        <v>22</v>
      </c>
      <c r="Z167" s="4">
        <v>2</v>
      </c>
      <c r="AA167" s="3">
        <f t="shared" si="5"/>
        <v>67</v>
      </c>
      <c r="AB167" t="s">
        <v>63</v>
      </c>
      <c r="AC167">
        <v>48.94</v>
      </c>
      <c r="AD167">
        <v>0.72</v>
      </c>
      <c r="AE167">
        <v>51.71</v>
      </c>
      <c r="AF167">
        <v>143.54</v>
      </c>
      <c r="AG167">
        <v>17.32</v>
      </c>
      <c r="AH167">
        <v>0.18</v>
      </c>
      <c r="AI167">
        <v>62.5</v>
      </c>
      <c r="AJ167">
        <v>18.86</v>
      </c>
      <c r="AK167">
        <v>48.25</v>
      </c>
      <c r="AL167">
        <v>27.11</v>
      </c>
      <c r="AM167">
        <v>6.84</v>
      </c>
      <c r="AN167">
        <v>12.9</v>
      </c>
      <c r="AO167" s="1">
        <v>438.87</v>
      </c>
    </row>
    <row r="168" spans="1:41" x14ac:dyDescent="0.25">
      <c r="A168" t="s">
        <v>533</v>
      </c>
      <c r="B168" s="4">
        <v>2411</v>
      </c>
      <c r="C168" s="4">
        <v>2409</v>
      </c>
      <c r="D168" s="4">
        <v>829</v>
      </c>
      <c r="E168" s="4">
        <v>1031</v>
      </c>
      <c r="F168" s="4">
        <v>6260</v>
      </c>
      <c r="G168" s="4">
        <v>349</v>
      </c>
      <c r="H168" s="4">
        <v>2175</v>
      </c>
      <c r="I168" s="4">
        <v>2959</v>
      </c>
      <c r="J168" s="4">
        <v>279</v>
      </c>
      <c r="K168" s="4">
        <v>1818</v>
      </c>
      <c r="L168" s="4">
        <v>3802</v>
      </c>
      <c r="M168" s="4">
        <v>3978</v>
      </c>
      <c r="N168" s="3">
        <f t="shared" si="4"/>
        <v>28300</v>
      </c>
      <c r="O168" s="4">
        <v>3</v>
      </c>
      <c r="P168" s="4">
        <v>10</v>
      </c>
      <c r="Q168" s="4">
        <v>1</v>
      </c>
      <c r="R168" s="4">
        <v>0</v>
      </c>
      <c r="S168" s="4">
        <v>2</v>
      </c>
      <c r="T168" s="4">
        <v>3</v>
      </c>
      <c r="U168" s="4">
        <v>4</v>
      </c>
      <c r="V168" s="4">
        <v>0</v>
      </c>
      <c r="W168" s="4">
        <v>6</v>
      </c>
      <c r="X168" s="4">
        <v>4</v>
      </c>
      <c r="Y168" s="4">
        <v>4</v>
      </c>
      <c r="Z168" s="4">
        <v>2</v>
      </c>
      <c r="AA168" s="3">
        <f t="shared" si="5"/>
        <v>39</v>
      </c>
      <c r="AB168" t="s">
        <v>63</v>
      </c>
      <c r="AC168">
        <v>48.49</v>
      </c>
      <c r="AD168">
        <v>49.08</v>
      </c>
      <c r="AE168">
        <v>16.670000000000002</v>
      </c>
      <c r="AF168">
        <v>20.62</v>
      </c>
      <c r="AG168">
        <v>125.38</v>
      </c>
      <c r="AH168">
        <v>7.25</v>
      </c>
      <c r="AI168">
        <v>43.86</v>
      </c>
      <c r="AJ168">
        <v>59.18</v>
      </c>
      <c r="AK168">
        <v>6.12</v>
      </c>
      <c r="AL168">
        <v>36.72</v>
      </c>
      <c r="AM168">
        <v>76.400000000000006</v>
      </c>
      <c r="AN168">
        <v>79.739999999999995</v>
      </c>
      <c r="AO168" s="1">
        <v>569.51</v>
      </c>
    </row>
    <row r="169" spans="1:41" x14ac:dyDescent="0.25">
      <c r="A169" t="s">
        <v>534</v>
      </c>
      <c r="B169" s="4">
        <v>2405</v>
      </c>
      <c r="C169" s="4">
        <v>2059</v>
      </c>
      <c r="D169" s="4">
        <v>1037</v>
      </c>
      <c r="E169" s="4">
        <v>1191</v>
      </c>
      <c r="F169" s="4">
        <v>3421</v>
      </c>
      <c r="G169" s="4">
        <v>0</v>
      </c>
      <c r="H169" s="4">
        <v>0</v>
      </c>
      <c r="I169" s="4">
        <v>3841</v>
      </c>
      <c r="J169" s="4">
        <v>3486</v>
      </c>
      <c r="K169" s="4">
        <v>2904</v>
      </c>
      <c r="L169" s="4">
        <v>0</v>
      </c>
      <c r="M169" s="4">
        <v>2529</v>
      </c>
      <c r="N169" s="3">
        <f t="shared" si="4"/>
        <v>22873</v>
      </c>
      <c r="O169" s="4">
        <v>0</v>
      </c>
      <c r="P169" s="4">
        <v>13</v>
      </c>
      <c r="Q169" s="4">
        <v>8</v>
      </c>
      <c r="R169" s="4">
        <v>4</v>
      </c>
      <c r="S169" s="4">
        <v>2</v>
      </c>
      <c r="T169" s="4">
        <v>0</v>
      </c>
      <c r="U169" s="4">
        <v>0</v>
      </c>
      <c r="V169" s="4">
        <v>3</v>
      </c>
      <c r="W169" s="4">
        <v>3</v>
      </c>
      <c r="X169" s="4">
        <v>7</v>
      </c>
      <c r="Y169" s="4">
        <v>4</v>
      </c>
      <c r="Z169" s="4">
        <v>2</v>
      </c>
      <c r="AA169" s="3">
        <f t="shared" si="5"/>
        <v>46</v>
      </c>
      <c r="AB169" t="s">
        <v>63</v>
      </c>
      <c r="AC169">
        <v>48.1</v>
      </c>
      <c r="AD169">
        <v>42.35</v>
      </c>
      <c r="AE169">
        <v>21.46</v>
      </c>
      <c r="AF169">
        <v>24.18</v>
      </c>
      <c r="AG169">
        <v>68.599999999999994</v>
      </c>
      <c r="AH169">
        <v>0</v>
      </c>
      <c r="AI169">
        <v>0</v>
      </c>
      <c r="AJ169">
        <v>77.09</v>
      </c>
      <c r="AK169">
        <v>69.989999999999995</v>
      </c>
      <c r="AL169">
        <v>58.71</v>
      </c>
      <c r="AM169">
        <v>0.36</v>
      </c>
      <c r="AN169">
        <v>50.76</v>
      </c>
      <c r="AO169" s="1">
        <v>461.59999999999997</v>
      </c>
    </row>
    <row r="170" spans="1:41" x14ac:dyDescent="0.25">
      <c r="A170" t="s">
        <v>536</v>
      </c>
      <c r="B170" s="4">
        <v>2382</v>
      </c>
      <c r="C170" s="4">
        <v>1012</v>
      </c>
      <c r="D170" s="4">
        <v>285</v>
      </c>
      <c r="E170" s="4">
        <v>1346</v>
      </c>
      <c r="F170" s="4">
        <v>2632</v>
      </c>
      <c r="G170" s="4">
        <v>6592</v>
      </c>
      <c r="H170" s="4">
        <v>721</v>
      </c>
      <c r="I170" s="4">
        <v>1514</v>
      </c>
      <c r="J170" s="4">
        <v>2018</v>
      </c>
      <c r="K170" s="4">
        <v>0</v>
      </c>
      <c r="L170" s="4">
        <v>9049</v>
      </c>
      <c r="M170" s="4">
        <v>6498</v>
      </c>
      <c r="N170" s="3">
        <f t="shared" si="4"/>
        <v>34049</v>
      </c>
      <c r="O170" s="4">
        <v>1</v>
      </c>
      <c r="P170" s="4">
        <v>7</v>
      </c>
      <c r="Q170" s="4">
        <v>4</v>
      </c>
      <c r="R170" s="4">
        <v>2</v>
      </c>
      <c r="S170" s="4">
        <v>1</v>
      </c>
      <c r="T170" s="4">
        <v>2</v>
      </c>
      <c r="U170" s="4">
        <v>8</v>
      </c>
      <c r="V170" s="4">
        <v>2</v>
      </c>
      <c r="W170" s="4">
        <v>2</v>
      </c>
      <c r="X170" s="4">
        <v>13</v>
      </c>
      <c r="Y170" s="4">
        <v>0</v>
      </c>
      <c r="Z170" s="4">
        <v>8</v>
      </c>
      <c r="AA170" s="3">
        <f t="shared" si="5"/>
        <v>50</v>
      </c>
      <c r="AB170" t="s">
        <v>63</v>
      </c>
      <c r="AC170">
        <v>47.73</v>
      </c>
      <c r="AD170">
        <v>20.87</v>
      </c>
      <c r="AE170">
        <v>6.06</v>
      </c>
      <c r="AF170">
        <v>27.1</v>
      </c>
      <c r="AG170">
        <v>52.73</v>
      </c>
      <c r="AH170">
        <v>132.02000000000001</v>
      </c>
      <c r="AI170">
        <v>15.14</v>
      </c>
      <c r="AJ170">
        <v>30.46</v>
      </c>
      <c r="AK170">
        <v>40.54</v>
      </c>
      <c r="AL170">
        <v>1.17</v>
      </c>
      <c r="AM170">
        <v>180.98</v>
      </c>
      <c r="AN170">
        <v>130.68</v>
      </c>
      <c r="AO170" s="1">
        <v>685.48</v>
      </c>
    </row>
    <row r="171" spans="1:41" x14ac:dyDescent="0.25">
      <c r="A171" t="s">
        <v>537</v>
      </c>
      <c r="B171" s="4">
        <v>2379</v>
      </c>
      <c r="C171" s="4">
        <v>1448</v>
      </c>
      <c r="D171" s="4">
        <v>4211</v>
      </c>
      <c r="E171" s="4">
        <v>1740</v>
      </c>
      <c r="F171" s="4">
        <v>4384</v>
      </c>
      <c r="G171" s="4">
        <v>1792</v>
      </c>
      <c r="H171" s="4">
        <v>5655</v>
      </c>
      <c r="I171" s="4">
        <v>3755</v>
      </c>
      <c r="J171" s="4">
        <v>1029</v>
      </c>
      <c r="K171" s="4">
        <v>6550</v>
      </c>
      <c r="L171" s="4">
        <v>3000</v>
      </c>
      <c r="M171" s="4">
        <v>0</v>
      </c>
      <c r="N171" s="3">
        <f t="shared" si="4"/>
        <v>35943</v>
      </c>
      <c r="O171" s="4">
        <v>5</v>
      </c>
      <c r="P171" s="4">
        <v>15</v>
      </c>
      <c r="Q171" s="4">
        <v>1</v>
      </c>
      <c r="R171" s="4">
        <v>0</v>
      </c>
      <c r="S171" s="4">
        <v>3</v>
      </c>
      <c r="T171" s="4">
        <v>5</v>
      </c>
      <c r="U171" s="4">
        <v>4</v>
      </c>
      <c r="V171" s="4">
        <v>2</v>
      </c>
      <c r="W171" s="4">
        <v>4</v>
      </c>
      <c r="X171" s="4">
        <v>2</v>
      </c>
      <c r="Y171" s="4">
        <v>3</v>
      </c>
      <c r="Z171" s="4">
        <v>3</v>
      </c>
      <c r="AA171" s="3">
        <f t="shared" si="5"/>
        <v>47</v>
      </c>
      <c r="AB171" t="s">
        <v>63</v>
      </c>
      <c r="AC171">
        <v>48.03</v>
      </c>
      <c r="AD171">
        <v>30.31</v>
      </c>
      <c r="AE171">
        <v>84.31</v>
      </c>
      <c r="AF171">
        <v>34.799999999999997</v>
      </c>
      <c r="AG171">
        <v>87.95</v>
      </c>
      <c r="AH171">
        <v>36.29</v>
      </c>
      <c r="AI171">
        <v>113.46</v>
      </c>
      <c r="AJ171">
        <v>75.28</v>
      </c>
      <c r="AK171">
        <v>20.94</v>
      </c>
      <c r="AL171">
        <v>131.18</v>
      </c>
      <c r="AM171">
        <v>60.27</v>
      </c>
      <c r="AN171">
        <v>0.27</v>
      </c>
      <c r="AO171" s="1">
        <v>723.08999999999992</v>
      </c>
    </row>
    <row r="172" spans="1:41" x14ac:dyDescent="0.25">
      <c r="A172" t="s">
        <v>538</v>
      </c>
      <c r="B172" s="4">
        <v>2374</v>
      </c>
      <c r="C172" s="4">
        <v>8052</v>
      </c>
      <c r="D172" s="4">
        <v>1653</v>
      </c>
      <c r="E172" s="4">
        <v>882</v>
      </c>
      <c r="F172" s="4">
        <v>3092</v>
      </c>
      <c r="G172" s="4">
        <v>3145</v>
      </c>
      <c r="H172" s="4">
        <v>0</v>
      </c>
      <c r="I172" s="4">
        <v>0</v>
      </c>
      <c r="J172" s="4">
        <v>628</v>
      </c>
      <c r="K172" s="4">
        <v>447</v>
      </c>
      <c r="L172" s="4">
        <v>1320</v>
      </c>
      <c r="M172" s="4">
        <v>1685</v>
      </c>
      <c r="N172" s="3">
        <f t="shared" si="4"/>
        <v>23278</v>
      </c>
      <c r="O172" s="4">
        <v>4</v>
      </c>
      <c r="P172" s="4">
        <v>8</v>
      </c>
      <c r="Q172" s="4">
        <v>2</v>
      </c>
      <c r="R172" s="4">
        <v>4</v>
      </c>
      <c r="S172" s="4">
        <v>15</v>
      </c>
      <c r="T172" s="4">
        <v>3</v>
      </c>
      <c r="U172" s="4">
        <v>11</v>
      </c>
      <c r="V172" s="4">
        <v>0</v>
      </c>
      <c r="W172" s="4">
        <v>3</v>
      </c>
      <c r="X172" s="4">
        <v>1</v>
      </c>
      <c r="Y172" s="4">
        <v>6</v>
      </c>
      <c r="Z172" s="4">
        <v>15</v>
      </c>
      <c r="AA172" s="3">
        <f t="shared" si="5"/>
        <v>72</v>
      </c>
      <c r="AB172" t="s">
        <v>63</v>
      </c>
      <c r="AC172">
        <v>47.84</v>
      </c>
      <c r="AD172">
        <v>161.76</v>
      </c>
      <c r="AE172">
        <v>33.24</v>
      </c>
      <c r="AF172">
        <v>18</v>
      </c>
      <c r="AG172">
        <v>63.19</v>
      </c>
      <c r="AH172">
        <v>63.17</v>
      </c>
      <c r="AI172">
        <v>0.99</v>
      </c>
      <c r="AJ172">
        <v>0</v>
      </c>
      <c r="AK172">
        <v>12.83</v>
      </c>
      <c r="AL172">
        <v>9.0299999999999994</v>
      </c>
      <c r="AM172">
        <v>26.94</v>
      </c>
      <c r="AN172">
        <v>35.049999999999997</v>
      </c>
      <c r="AO172" s="1">
        <v>472.04</v>
      </c>
    </row>
    <row r="173" spans="1:41" x14ac:dyDescent="0.25">
      <c r="A173" t="s">
        <v>540</v>
      </c>
      <c r="B173" s="4">
        <v>2364</v>
      </c>
      <c r="C173" s="4">
        <v>958</v>
      </c>
      <c r="D173" s="4">
        <v>7257</v>
      </c>
      <c r="E173" s="4">
        <v>1223</v>
      </c>
      <c r="F173" s="4">
        <v>4818</v>
      </c>
      <c r="G173" s="4">
        <v>0</v>
      </c>
      <c r="H173" s="4">
        <v>4324</v>
      </c>
      <c r="I173" s="4">
        <v>2708</v>
      </c>
      <c r="J173" s="4">
        <v>169</v>
      </c>
      <c r="K173" s="4">
        <v>2371</v>
      </c>
      <c r="L173" s="4">
        <v>4324</v>
      </c>
      <c r="M173" s="4">
        <v>281</v>
      </c>
      <c r="N173" s="3">
        <f t="shared" si="4"/>
        <v>30797</v>
      </c>
      <c r="O173" s="4">
        <v>1</v>
      </c>
      <c r="P173" s="4">
        <v>0</v>
      </c>
      <c r="Q173" s="4">
        <v>1</v>
      </c>
      <c r="R173" s="4">
        <v>13</v>
      </c>
      <c r="S173" s="4">
        <v>1</v>
      </c>
      <c r="T173" s="4">
        <v>6</v>
      </c>
      <c r="U173" s="4">
        <v>5</v>
      </c>
      <c r="V173" s="4">
        <v>1</v>
      </c>
      <c r="W173" s="4">
        <v>0</v>
      </c>
      <c r="X173" s="4">
        <v>0</v>
      </c>
      <c r="Y173" s="4">
        <v>6</v>
      </c>
      <c r="Z173" s="4">
        <v>6</v>
      </c>
      <c r="AA173" s="3">
        <f t="shared" si="5"/>
        <v>40</v>
      </c>
      <c r="AB173" t="s">
        <v>63</v>
      </c>
      <c r="AC173">
        <v>47.37</v>
      </c>
      <c r="AD173">
        <v>19.16</v>
      </c>
      <c r="AE173">
        <v>145.22999999999999</v>
      </c>
      <c r="AF173">
        <v>25.63</v>
      </c>
      <c r="AG173">
        <v>96.45</v>
      </c>
      <c r="AH173">
        <v>0.54</v>
      </c>
      <c r="AI173">
        <v>86.93</v>
      </c>
      <c r="AJ173">
        <v>54.25</v>
      </c>
      <c r="AK173">
        <v>3.38</v>
      </c>
      <c r="AL173">
        <v>47.42</v>
      </c>
      <c r="AM173">
        <v>87.02</v>
      </c>
      <c r="AN173">
        <v>6.16</v>
      </c>
      <c r="AO173" s="1">
        <v>619.54</v>
      </c>
    </row>
    <row r="174" spans="1:41" x14ac:dyDescent="0.25">
      <c r="A174" t="s">
        <v>541</v>
      </c>
      <c r="B174" s="4">
        <v>2361</v>
      </c>
      <c r="C174" s="4">
        <v>139</v>
      </c>
      <c r="D174" s="4">
        <v>3940</v>
      </c>
      <c r="E174" s="4">
        <v>283</v>
      </c>
      <c r="F174" s="4">
        <v>1027</v>
      </c>
      <c r="G174" s="4">
        <v>1358</v>
      </c>
      <c r="H174" s="4">
        <v>4308</v>
      </c>
      <c r="I174" s="4">
        <v>6275</v>
      </c>
      <c r="J174" s="4">
        <v>3626</v>
      </c>
      <c r="K174" s="4">
        <v>1788</v>
      </c>
      <c r="L174" s="4">
        <v>870</v>
      </c>
      <c r="M174" s="4">
        <v>643</v>
      </c>
      <c r="N174" s="3">
        <f t="shared" si="4"/>
        <v>26618</v>
      </c>
      <c r="O174" s="4">
        <v>6</v>
      </c>
      <c r="P174" s="4">
        <v>5</v>
      </c>
      <c r="Q174" s="4">
        <v>13</v>
      </c>
      <c r="R174" s="4">
        <v>1</v>
      </c>
      <c r="S174" s="4">
        <v>0</v>
      </c>
      <c r="T174" s="4">
        <v>2</v>
      </c>
      <c r="U174" s="4">
        <v>6</v>
      </c>
      <c r="V174" s="4">
        <v>4</v>
      </c>
      <c r="W174" s="4">
        <v>7</v>
      </c>
      <c r="X174" s="4">
        <v>0</v>
      </c>
      <c r="Y174" s="4">
        <v>1</v>
      </c>
      <c r="Z174" s="4">
        <v>1</v>
      </c>
      <c r="AA174" s="3">
        <f t="shared" si="5"/>
        <v>46</v>
      </c>
      <c r="AB174" t="s">
        <v>63</v>
      </c>
      <c r="AC174">
        <v>47.76</v>
      </c>
      <c r="AD174">
        <v>3.23</v>
      </c>
      <c r="AE174">
        <v>79.97</v>
      </c>
      <c r="AF174">
        <v>5.75</v>
      </c>
      <c r="AG174">
        <v>20.54</v>
      </c>
      <c r="AH174">
        <v>27.34</v>
      </c>
      <c r="AI174">
        <v>86.7</v>
      </c>
      <c r="AJ174">
        <v>125.86</v>
      </c>
      <c r="AK174">
        <v>73.150000000000006</v>
      </c>
      <c r="AL174">
        <v>35.76</v>
      </c>
      <c r="AM174">
        <v>17.489999999999998</v>
      </c>
      <c r="AN174">
        <v>12.95</v>
      </c>
      <c r="AO174" s="1">
        <v>536.5</v>
      </c>
    </row>
    <row r="175" spans="1:41" x14ac:dyDescent="0.25">
      <c r="A175" t="s">
        <v>546</v>
      </c>
      <c r="B175" s="4">
        <v>2338</v>
      </c>
      <c r="C175" s="4">
        <v>5016</v>
      </c>
      <c r="D175" s="4">
        <v>412</v>
      </c>
      <c r="E175" s="4">
        <v>2795</v>
      </c>
      <c r="F175" s="4">
        <v>309</v>
      </c>
      <c r="G175" s="4">
        <v>994</v>
      </c>
      <c r="H175" s="4">
        <v>3423</v>
      </c>
      <c r="I175" s="4">
        <v>1077</v>
      </c>
      <c r="J175" s="4">
        <v>0</v>
      </c>
      <c r="K175" s="4">
        <v>7711</v>
      </c>
      <c r="L175" s="4">
        <v>2760</v>
      </c>
      <c r="M175" s="4">
        <v>1263</v>
      </c>
      <c r="N175" s="3">
        <f t="shared" si="4"/>
        <v>28098</v>
      </c>
      <c r="O175" s="4">
        <v>0</v>
      </c>
      <c r="P175" s="4">
        <v>0</v>
      </c>
      <c r="Q175" s="4">
        <v>1</v>
      </c>
      <c r="R175" s="4">
        <v>8</v>
      </c>
      <c r="S175" s="4">
        <v>9</v>
      </c>
      <c r="T175" s="4">
        <v>0</v>
      </c>
      <c r="U175" s="4">
        <v>4</v>
      </c>
      <c r="V175" s="4">
        <v>11</v>
      </c>
      <c r="W175" s="4">
        <v>4</v>
      </c>
      <c r="X175" s="4">
        <v>8</v>
      </c>
      <c r="Y175" s="4">
        <v>1</v>
      </c>
      <c r="Z175" s="4">
        <v>11</v>
      </c>
      <c r="AA175" s="3">
        <f t="shared" si="5"/>
        <v>57</v>
      </c>
      <c r="AB175" t="s">
        <v>63</v>
      </c>
      <c r="AC175">
        <v>46.76</v>
      </c>
      <c r="AD175">
        <v>100.32</v>
      </c>
      <c r="AE175">
        <v>8.33</v>
      </c>
      <c r="AF175">
        <v>56.62</v>
      </c>
      <c r="AG175">
        <v>6.99</v>
      </c>
      <c r="AH175">
        <v>19.88</v>
      </c>
      <c r="AI175">
        <v>68.819999999999993</v>
      </c>
      <c r="AJ175">
        <v>22.53</v>
      </c>
      <c r="AK175">
        <v>0.36</v>
      </c>
      <c r="AL175">
        <v>154.94</v>
      </c>
      <c r="AM175">
        <v>55.29</v>
      </c>
      <c r="AN175">
        <v>26.25</v>
      </c>
      <c r="AO175" s="1">
        <v>567.09</v>
      </c>
    </row>
    <row r="176" spans="1:41" x14ac:dyDescent="0.25">
      <c r="A176" t="s">
        <v>550</v>
      </c>
      <c r="B176" s="4">
        <v>2292</v>
      </c>
      <c r="C176" s="4">
        <v>1703</v>
      </c>
      <c r="D176" s="4">
        <v>2635</v>
      </c>
      <c r="E176" s="4">
        <v>2147</v>
      </c>
      <c r="F176" s="4">
        <v>1317</v>
      </c>
      <c r="G176" s="4">
        <v>10962</v>
      </c>
      <c r="H176" s="4">
        <v>1116</v>
      </c>
      <c r="I176" s="4">
        <v>1313</v>
      </c>
      <c r="J176" s="4">
        <v>1359</v>
      </c>
      <c r="K176" s="4">
        <v>1680</v>
      </c>
      <c r="L176" s="4">
        <v>48</v>
      </c>
      <c r="M176" s="4">
        <v>1033</v>
      </c>
      <c r="N176" s="3">
        <f t="shared" si="4"/>
        <v>27605</v>
      </c>
      <c r="O176" s="4">
        <v>4</v>
      </c>
      <c r="P176" s="4">
        <v>5</v>
      </c>
      <c r="Q176" s="4">
        <v>22</v>
      </c>
      <c r="R176" s="4">
        <v>0</v>
      </c>
      <c r="S176" s="4">
        <v>4</v>
      </c>
      <c r="T176" s="4">
        <v>3</v>
      </c>
      <c r="U176" s="4">
        <v>0</v>
      </c>
      <c r="V176" s="4">
        <v>0</v>
      </c>
      <c r="W176" s="4">
        <v>0</v>
      </c>
      <c r="X176" s="4">
        <v>4</v>
      </c>
      <c r="Y176" s="4">
        <v>4</v>
      </c>
      <c r="Z176" s="4">
        <v>5</v>
      </c>
      <c r="AA176" s="3">
        <f t="shared" si="5"/>
        <v>51</v>
      </c>
      <c r="AB176" t="s">
        <v>63</v>
      </c>
      <c r="AC176">
        <v>46.2</v>
      </c>
      <c r="AD176">
        <v>34.51</v>
      </c>
      <c r="AE176">
        <v>54.68</v>
      </c>
      <c r="AF176">
        <v>42.94</v>
      </c>
      <c r="AG176">
        <v>26.7</v>
      </c>
      <c r="AH176">
        <v>219.51</v>
      </c>
      <c r="AI176">
        <v>22.32</v>
      </c>
      <c r="AJ176">
        <v>26.26</v>
      </c>
      <c r="AK176">
        <v>27.18</v>
      </c>
      <c r="AL176">
        <v>33.96</v>
      </c>
      <c r="AM176">
        <v>1.32</v>
      </c>
      <c r="AN176">
        <v>21.11</v>
      </c>
      <c r="AO176" s="1">
        <v>556.69000000000005</v>
      </c>
    </row>
    <row r="177" spans="1:41" x14ac:dyDescent="0.25">
      <c r="A177" t="s">
        <v>551</v>
      </c>
      <c r="B177" s="4">
        <v>2286</v>
      </c>
      <c r="C177" s="4">
        <v>337</v>
      </c>
      <c r="D177" s="4">
        <v>2146</v>
      </c>
      <c r="E177" s="4">
        <v>4852</v>
      </c>
      <c r="F177" s="4">
        <v>344</v>
      </c>
      <c r="G177" s="4">
        <v>649</v>
      </c>
      <c r="H177" s="4">
        <v>3989</v>
      </c>
      <c r="I177" s="4">
        <v>3434</v>
      </c>
      <c r="J177" s="4">
        <v>625</v>
      </c>
      <c r="K177" s="4">
        <v>3079</v>
      </c>
      <c r="L177" s="4">
        <v>1096</v>
      </c>
      <c r="M177" s="4">
        <v>1436</v>
      </c>
      <c r="N177" s="3">
        <f t="shared" si="4"/>
        <v>24273</v>
      </c>
      <c r="O177" s="4">
        <v>8</v>
      </c>
      <c r="P177" s="4">
        <v>3</v>
      </c>
      <c r="Q177" s="4">
        <v>14</v>
      </c>
      <c r="R177" s="4">
        <v>2</v>
      </c>
      <c r="S177" s="4">
        <v>11</v>
      </c>
      <c r="T177" s="4">
        <v>23</v>
      </c>
      <c r="U177" s="4">
        <v>5</v>
      </c>
      <c r="V177" s="4">
        <v>16</v>
      </c>
      <c r="W177" s="4">
        <v>4</v>
      </c>
      <c r="X177" s="4">
        <v>2</v>
      </c>
      <c r="Y177" s="4">
        <v>2</v>
      </c>
      <c r="Z177" s="4">
        <v>5</v>
      </c>
      <c r="AA177" s="3">
        <f t="shared" si="5"/>
        <v>95</v>
      </c>
      <c r="AB177" t="s">
        <v>63</v>
      </c>
      <c r="AC177">
        <v>46.44</v>
      </c>
      <c r="AD177">
        <v>7.01</v>
      </c>
      <c r="AE177">
        <v>44.18</v>
      </c>
      <c r="AF177">
        <v>97.22</v>
      </c>
      <c r="AG177">
        <v>7.87</v>
      </c>
      <c r="AH177">
        <v>15.05</v>
      </c>
      <c r="AI177">
        <v>80.23</v>
      </c>
      <c r="AJ177">
        <v>70.12</v>
      </c>
      <c r="AK177">
        <v>12.86</v>
      </c>
      <c r="AL177">
        <v>61.76</v>
      </c>
      <c r="AM177">
        <v>22.1</v>
      </c>
      <c r="AN177">
        <v>29.17</v>
      </c>
      <c r="AO177" s="1">
        <v>494.01000000000005</v>
      </c>
    </row>
    <row r="178" spans="1:41" x14ac:dyDescent="0.25">
      <c r="A178" t="s">
        <v>552</v>
      </c>
      <c r="B178" s="4">
        <v>2270</v>
      </c>
      <c r="C178" s="4">
        <v>2700</v>
      </c>
      <c r="D178" s="4">
        <v>5638</v>
      </c>
      <c r="E178" s="4">
        <v>375</v>
      </c>
      <c r="F178" s="4">
        <v>2637</v>
      </c>
      <c r="G178" s="4">
        <v>3111</v>
      </c>
      <c r="H178" s="4">
        <v>2155</v>
      </c>
      <c r="I178" s="4">
        <v>1119</v>
      </c>
      <c r="J178" s="4">
        <v>738</v>
      </c>
      <c r="K178" s="4">
        <v>1661</v>
      </c>
      <c r="L178" s="4">
        <v>1604</v>
      </c>
      <c r="M178" s="4">
        <v>5138</v>
      </c>
      <c r="N178" s="3">
        <f t="shared" si="4"/>
        <v>29146</v>
      </c>
      <c r="O178" s="4">
        <v>3</v>
      </c>
      <c r="P178" s="4">
        <v>3</v>
      </c>
      <c r="Q178" s="4">
        <v>2</v>
      </c>
      <c r="R178" s="4">
        <v>3</v>
      </c>
      <c r="S178" s="4">
        <v>6</v>
      </c>
      <c r="T178" s="4">
        <v>3</v>
      </c>
      <c r="U178" s="4">
        <v>1</v>
      </c>
      <c r="V178" s="4">
        <v>19</v>
      </c>
      <c r="W178" s="4">
        <v>5</v>
      </c>
      <c r="X178" s="4">
        <v>7</v>
      </c>
      <c r="Y178" s="4">
        <v>4</v>
      </c>
      <c r="Z178" s="4">
        <v>7</v>
      </c>
      <c r="AA178" s="3">
        <f t="shared" si="5"/>
        <v>63</v>
      </c>
      <c r="AB178" t="s">
        <v>63</v>
      </c>
      <c r="AC178">
        <v>45.67</v>
      </c>
      <c r="AD178">
        <v>54.27</v>
      </c>
      <c r="AE178">
        <v>112.94</v>
      </c>
      <c r="AF178">
        <v>7.77</v>
      </c>
      <c r="AG178">
        <v>53.28</v>
      </c>
      <c r="AH178">
        <v>62.49</v>
      </c>
      <c r="AI178">
        <v>43.19</v>
      </c>
      <c r="AJ178">
        <v>24.09</v>
      </c>
      <c r="AK178">
        <v>15.21</v>
      </c>
      <c r="AL178">
        <v>33.85</v>
      </c>
      <c r="AM178">
        <v>32.44</v>
      </c>
      <c r="AN178">
        <v>103.39</v>
      </c>
      <c r="AO178" s="1">
        <v>588.59</v>
      </c>
    </row>
    <row r="179" spans="1:41" x14ac:dyDescent="0.25">
      <c r="A179" t="s">
        <v>553</v>
      </c>
      <c r="B179" s="4">
        <v>2268</v>
      </c>
      <c r="C179" s="4">
        <v>6783</v>
      </c>
      <c r="D179" s="4">
        <v>1029</v>
      </c>
      <c r="E179" s="4">
        <v>0</v>
      </c>
      <c r="F179" s="4">
        <v>289</v>
      </c>
      <c r="G179" s="4">
        <v>4612</v>
      </c>
      <c r="H179" s="4">
        <v>2139</v>
      </c>
      <c r="I179" s="4">
        <v>7302</v>
      </c>
      <c r="J179" s="4">
        <v>1864</v>
      </c>
      <c r="K179" s="4">
        <v>1288</v>
      </c>
      <c r="L179" s="4">
        <v>6573</v>
      </c>
      <c r="M179" s="4">
        <v>1987</v>
      </c>
      <c r="N179" s="3">
        <f t="shared" si="4"/>
        <v>36134</v>
      </c>
      <c r="O179" s="4">
        <v>1</v>
      </c>
      <c r="P179" s="4">
        <v>3</v>
      </c>
      <c r="Q179" s="4">
        <v>0</v>
      </c>
      <c r="R179" s="4">
        <v>6</v>
      </c>
      <c r="S179" s="4">
        <v>3</v>
      </c>
      <c r="T179" s="4">
        <v>5</v>
      </c>
      <c r="U179" s="4">
        <v>4</v>
      </c>
      <c r="V179" s="4">
        <v>1</v>
      </c>
      <c r="W179" s="4">
        <v>3</v>
      </c>
      <c r="X179" s="4">
        <v>2</v>
      </c>
      <c r="Y179" s="4">
        <v>0</v>
      </c>
      <c r="Z179" s="4">
        <v>2</v>
      </c>
      <c r="AA179" s="3">
        <f t="shared" si="5"/>
        <v>30</v>
      </c>
      <c r="AB179" t="s">
        <v>63</v>
      </c>
      <c r="AC179">
        <v>45.45</v>
      </c>
      <c r="AD179">
        <v>135.93</v>
      </c>
      <c r="AE179">
        <v>20.58</v>
      </c>
      <c r="AF179">
        <v>0.54</v>
      </c>
      <c r="AG179">
        <v>6.05</v>
      </c>
      <c r="AH179">
        <v>92.69</v>
      </c>
      <c r="AI179">
        <v>43.14</v>
      </c>
      <c r="AJ179">
        <v>146.13</v>
      </c>
      <c r="AK179">
        <v>37.549999999999997</v>
      </c>
      <c r="AL179">
        <v>25.94</v>
      </c>
      <c r="AM179">
        <v>131.46</v>
      </c>
      <c r="AN179">
        <v>39.92</v>
      </c>
      <c r="AO179" s="1">
        <v>725.38</v>
      </c>
    </row>
    <row r="180" spans="1:41" x14ac:dyDescent="0.25">
      <c r="A180" t="s">
        <v>555</v>
      </c>
      <c r="B180" s="4">
        <v>2240</v>
      </c>
      <c r="C180" s="4">
        <v>2822</v>
      </c>
      <c r="D180" s="4">
        <v>3693</v>
      </c>
      <c r="E180" s="4">
        <v>971</v>
      </c>
      <c r="F180" s="4">
        <v>1926</v>
      </c>
      <c r="G180" s="4">
        <v>1653</v>
      </c>
      <c r="H180" s="4">
        <v>2223</v>
      </c>
      <c r="I180" s="4">
        <v>0</v>
      </c>
      <c r="J180" s="4">
        <v>670</v>
      </c>
      <c r="K180" s="4">
        <v>0</v>
      </c>
      <c r="L180" s="4">
        <v>2041</v>
      </c>
      <c r="M180" s="4">
        <v>7466</v>
      </c>
      <c r="N180" s="3">
        <f t="shared" si="4"/>
        <v>25705</v>
      </c>
      <c r="O180" s="4">
        <v>3</v>
      </c>
      <c r="P180" s="4">
        <v>0</v>
      </c>
      <c r="Q180" s="4">
        <v>5</v>
      </c>
      <c r="R180" s="4">
        <v>1</v>
      </c>
      <c r="S180" s="4">
        <v>6</v>
      </c>
      <c r="T180" s="4">
        <v>6</v>
      </c>
      <c r="U180" s="4">
        <v>1</v>
      </c>
      <c r="V180" s="4">
        <v>0</v>
      </c>
      <c r="W180" s="4">
        <v>8</v>
      </c>
      <c r="X180" s="4">
        <v>2</v>
      </c>
      <c r="Y180" s="4">
        <v>0</v>
      </c>
      <c r="Z180" s="4">
        <v>21</v>
      </c>
      <c r="AA180" s="3">
        <f t="shared" si="5"/>
        <v>53</v>
      </c>
      <c r="AB180" t="s">
        <v>63</v>
      </c>
      <c r="AC180">
        <v>45.07</v>
      </c>
      <c r="AD180">
        <v>56.44</v>
      </c>
      <c r="AE180">
        <v>74.31</v>
      </c>
      <c r="AF180">
        <v>19.510000000000002</v>
      </c>
      <c r="AG180">
        <v>39.06</v>
      </c>
      <c r="AH180">
        <v>33.6</v>
      </c>
      <c r="AI180">
        <v>44.55</v>
      </c>
      <c r="AJ180">
        <v>0</v>
      </c>
      <c r="AK180">
        <v>14.12</v>
      </c>
      <c r="AL180">
        <v>0.18</v>
      </c>
      <c r="AM180">
        <v>40.82</v>
      </c>
      <c r="AN180">
        <v>151.21</v>
      </c>
      <c r="AO180" s="1">
        <v>518.87</v>
      </c>
    </row>
    <row r="181" spans="1:41" x14ac:dyDescent="0.25">
      <c r="A181" t="s">
        <v>556</v>
      </c>
      <c r="B181" s="4">
        <v>2230</v>
      </c>
      <c r="C181" s="4">
        <v>1847</v>
      </c>
      <c r="D181" s="4">
        <v>2954</v>
      </c>
      <c r="E181" s="4">
        <v>1228</v>
      </c>
      <c r="F181" s="4">
        <v>11257</v>
      </c>
      <c r="G181" s="4">
        <v>1743</v>
      </c>
      <c r="H181" s="4">
        <v>4204</v>
      </c>
      <c r="I181" s="4">
        <v>3215</v>
      </c>
      <c r="J181" s="4">
        <v>486</v>
      </c>
      <c r="K181" s="4">
        <v>1136</v>
      </c>
      <c r="L181" s="4">
        <v>1837</v>
      </c>
      <c r="M181" s="4">
        <v>1320</v>
      </c>
      <c r="N181" s="3">
        <f t="shared" si="4"/>
        <v>33457</v>
      </c>
      <c r="O181" s="4">
        <v>11</v>
      </c>
      <c r="P181" s="4">
        <v>8</v>
      </c>
      <c r="Q181" s="4">
        <v>6</v>
      </c>
      <c r="R181" s="4">
        <v>2</v>
      </c>
      <c r="S181" s="4">
        <v>4</v>
      </c>
      <c r="T181" s="4">
        <v>3</v>
      </c>
      <c r="U181" s="4">
        <v>2</v>
      </c>
      <c r="V181" s="4">
        <v>3</v>
      </c>
      <c r="W181" s="4">
        <v>0</v>
      </c>
      <c r="X181" s="4">
        <v>1</v>
      </c>
      <c r="Y181" s="4">
        <v>8</v>
      </c>
      <c r="Z181" s="4">
        <v>5</v>
      </c>
      <c r="AA181" s="3">
        <f t="shared" si="5"/>
        <v>53</v>
      </c>
      <c r="AB181" t="s">
        <v>63</v>
      </c>
      <c r="AC181">
        <v>45.59</v>
      </c>
      <c r="AD181">
        <v>37.659999999999997</v>
      </c>
      <c r="AE181">
        <v>59.62</v>
      </c>
      <c r="AF181">
        <v>24.74</v>
      </c>
      <c r="AG181">
        <v>225.5</v>
      </c>
      <c r="AH181">
        <v>35.130000000000003</v>
      </c>
      <c r="AI181">
        <v>84.26</v>
      </c>
      <c r="AJ181">
        <v>64.569999999999993</v>
      </c>
      <c r="AK181">
        <v>9.7200000000000006</v>
      </c>
      <c r="AL181">
        <v>22.81</v>
      </c>
      <c r="AM181">
        <v>37.46</v>
      </c>
      <c r="AN181">
        <v>26.85</v>
      </c>
      <c r="AO181" s="1">
        <v>673.91</v>
      </c>
    </row>
    <row r="182" spans="1:41" x14ac:dyDescent="0.25">
      <c r="A182" t="s">
        <v>558</v>
      </c>
      <c r="B182" s="4">
        <v>2223</v>
      </c>
      <c r="C182" s="4">
        <v>220</v>
      </c>
      <c r="D182" s="4">
        <v>3345</v>
      </c>
      <c r="E182" s="4">
        <v>5195</v>
      </c>
      <c r="F182" s="4">
        <v>701</v>
      </c>
      <c r="G182" s="4">
        <v>0</v>
      </c>
      <c r="H182" s="4">
        <v>979</v>
      </c>
      <c r="I182" s="4">
        <v>3325</v>
      </c>
      <c r="J182" s="4">
        <v>16621</v>
      </c>
      <c r="K182" s="4">
        <v>872</v>
      </c>
      <c r="L182" s="4">
        <v>651</v>
      </c>
      <c r="M182" s="4">
        <v>173</v>
      </c>
      <c r="N182" s="3">
        <f t="shared" si="4"/>
        <v>34305</v>
      </c>
      <c r="O182" s="4">
        <v>7</v>
      </c>
      <c r="P182" s="4">
        <v>0</v>
      </c>
      <c r="Q182" s="4">
        <v>2</v>
      </c>
      <c r="R182" s="4">
        <v>4</v>
      </c>
      <c r="S182" s="4">
        <v>4</v>
      </c>
      <c r="T182" s="4">
        <v>4</v>
      </c>
      <c r="U182" s="4">
        <v>0</v>
      </c>
      <c r="V182" s="4">
        <v>1</v>
      </c>
      <c r="W182" s="4">
        <v>5</v>
      </c>
      <c r="X182" s="4">
        <v>4</v>
      </c>
      <c r="Y182" s="4">
        <v>7</v>
      </c>
      <c r="Z182" s="4">
        <v>7</v>
      </c>
      <c r="AA182" s="3">
        <f t="shared" si="5"/>
        <v>45</v>
      </c>
      <c r="AB182" t="s">
        <v>63</v>
      </c>
      <c r="AC182">
        <v>45.09</v>
      </c>
      <c r="AD182">
        <v>4.4000000000000004</v>
      </c>
      <c r="AE182">
        <v>67.08</v>
      </c>
      <c r="AF182">
        <v>104.26</v>
      </c>
      <c r="AG182">
        <v>14.38</v>
      </c>
      <c r="AH182">
        <v>0.36</v>
      </c>
      <c r="AI182">
        <v>19.579999999999998</v>
      </c>
      <c r="AJ182">
        <v>66.59</v>
      </c>
      <c r="AK182">
        <v>332.87</v>
      </c>
      <c r="AL182">
        <v>17.8</v>
      </c>
      <c r="AM182">
        <v>13.65</v>
      </c>
      <c r="AN182">
        <v>4.09</v>
      </c>
      <c r="AO182" s="1">
        <v>690.15</v>
      </c>
    </row>
    <row r="183" spans="1:41" x14ac:dyDescent="0.25">
      <c r="A183" t="s">
        <v>559</v>
      </c>
      <c r="B183" s="4">
        <v>2219</v>
      </c>
      <c r="C183" s="4">
        <v>93</v>
      </c>
      <c r="D183" s="4">
        <v>4607</v>
      </c>
      <c r="E183" s="4">
        <v>3276</v>
      </c>
      <c r="F183" s="4">
        <v>777</v>
      </c>
      <c r="G183" s="4">
        <v>2304</v>
      </c>
      <c r="H183" s="4">
        <v>3414</v>
      </c>
      <c r="I183" s="4">
        <v>267</v>
      </c>
      <c r="J183" s="4">
        <v>7824</v>
      </c>
      <c r="K183" s="4">
        <v>0</v>
      </c>
      <c r="L183" s="4">
        <v>435</v>
      </c>
      <c r="M183" s="4">
        <v>1022</v>
      </c>
      <c r="N183" s="3">
        <f t="shared" si="4"/>
        <v>26238</v>
      </c>
      <c r="O183" s="4">
        <v>2</v>
      </c>
      <c r="P183" s="4">
        <v>14</v>
      </c>
      <c r="Q183" s="4">
        <v>0</v>
      </c>
      <c r="R183" s="4">
        <v>7</v>
      </c>
      <c r="S183" s="4">
        <v>4</v>
      </c>
      <c r="T183" s="4">
        <v>6</v>
      </c>
      <c r="U183" s="4">
        <v>17</v>
      </c>
      <c r="V183" s="4">
        <v>3</v>
      </c>
      <c r="W183" s="4">
        <v>1</v>
      </c>
      <c r="X183" s="4">
        <v>2</v>
      </c>
      <c r="Y183" s="4">
        <v>2</v>
      </c>
      <c r="Z183" s="4">
        <v>3</v>
      </c>
      <c r="AA183" s="3">
        <f t="shared" si="5"/>
        <v>61</v>
      </c>
      <c r="AB183" t="s">
        <v>63</v>
      </c>
      <c r="AC183">
        <v>44.56</v>
      </c>
      <c r="AD183">
        <v>3.12</v>
      </c>
      <c r="AE183">
        <v>92.14</v>
      </c>
      <c r="AF183">
        <v>66.150000000000006</v>
      </c>
      <c r="AG183">
        <v>15.9</v>
      </c>
      <c r="AH183">
        <v>46.62</v>
      </c>
      <c r="AI183">
        <v>69.81</v>
      </c>
      <c r="AJ183">
        <v>5.61</v>
      </c>
      <c r="AK183">
        <v>156.57</v>
      </c>
      <c r="AL183">
        <v>0.18</v>
      </c>
      <c r="AM183">
        <v>8.8800000000000008</v>
      </c>
      <c r="AN183">
        <v>20.71</v>
      </c>
      <c r="AO183" s="1">
        <v>530.25</v>
      </c>
    </row>
    <row r="184" spans="1:41" x14ac:dyDescent="0.25">
      <c r="A184" t="s">
        <v>562</v>
      </c>
      <c r="B184" s="4">
        <v>2213</v>
      </c>
      <c r="C184" s="4">
        <v>5209</v>
      </c>
      <c r="D184" s="4">
        <v>1040</v>
      </c>
      <c r="E184" s="4">
        <v>2898</v>
      </c>
      <c r="F184" s="4">
        <v>2359</v>
      </c>
      <c r="G184" s="4">
        <v>428</v>
      </c>
      <c r="H184" s="4">
        <v>4260</v>
      </c>
      <c r="I184" s="4">
        <v>2245</v>
      </c>
      <c r="J184" s="4">
        <v>6419</v>
      </c>
      <c r="K184" s="4">
        <v>4543</v>
      </c>
      <c r="L184" s="4">
        <v>481</v>
      </c>
      <c r="M184" s="4">
        <v>2975</v>
      </c>
      <c r="N184" s="3">
        <f t="shared" si="4"/>
        <v>35070</v>
      </c>
      <c r="O184" s="4">
        <v>1</v>
      </c>
      <c r="P184" s="4">
        <v>1</v>
      </c>
      <c r="Q184" s="4">
        <v>0</v>
      </c>
      <c r="R184" s="4">
        <v>1</v>
      </c>
      <c r="S184" s="4">
        <v>5</v>
      </c>
      <c r="T184" s="4">
        <v>2</v>
      </c>
      <c r="U184" s="4">
        <v>3</v>
      </c>
      <c r="V184" s="4">
        <v>9</v>
      </c>
      <c r="W184" s="4">
        <v>6</v>
      </c>
      <c r="X184" s="4">
        <v>4</v>
      </c>
      <c r="Y184" s="4">
        <v>2</v>
      </c>
      <c r="Z184" s="4">
        <v>2</v>
      </c>
      <c r="AA184" s="3">
        <f t="shared" si="5"/>
        <v>36</v>
      </c>
      <c r="AB184" t="s">
        <v>63</v>
      </c>
      <c r="AC184">
        <v>44.35</v>
      </c>
      <c r="AD184">
        <v>104.27</v>
      </c>
      <c r="AE184">
        <v>20.8</v>
      </c>
      <c r="AF184">
        <v>58.05</v>
      </c>
      <c r="AG184">
        <v>47.63</v>
      </c>
      <c r="AH184">
        <v>8.74</v>
      </c>
      <c r="AI184">
        <v>85.47</v>
      </c>
      <c r="AJ184">
        <v>45.71</v>
      </c>
      <c r="AK184">
        <v>128.91999999999999</v>
      </c>
      <c r="AL184">
        <v>91.22</v>
      </c>
      <c r="AM184">
        <v>9.8000000000000007</v>
      </c>
      <c r="AN184">
        <v>59.68</v>
      </c>
      <c r="AO184" s="1">
        <v>704.64</v>
      </c>
    </row>
    <row r="185" spans="1:41" x14ac:dyDescent="0.25">
      <c r="A185" t="s">
        <v>565</v>
      </c>
      <c r="B185" s="4">
        <v>2182</v>
      </c>
      <c r="C185" s="4">
        <v>1353</v>
      </c>
      <c r="D185" s="4">
        <v>2293</v>
      </c>
      <c r="E185" s="4">
        <v>2666</v>
      </c>
      <c r="F185" s="4">
        <v>116</v>
      </c>
      <c r="G185" s="4">
        <v>8793</v>
      </c>
      <c r="H185" s="4">
        <v>1336</v>
      </c>
      <c r="I185" s="4">
        <v>5084</v>
      </c>
      <c r="J185" s="4">
        <v>1296</v>
      </c>
      <c r="K185" s="4">
        <v>2085</v>
      </c>
      <c r="L185" s="4">
        <v>1438</v>
      </c>
      <c r="M185" s="4">
        <v>4119</v>
      </c>
      <c r="N185" s="3">
        <f t="shared" si="4"/>
        <v>32761</v>
      </c>
      <c r="O185" s="4">
        <v>7</v>
      </c>
      <c r="P185" s="4">
        <v>1</v>
      </c>
      <c r="Q185" s="4">
        <v>3</v>
      </c>
      <c r="R185" s="4">
        <v>4</v>
      </c>
      <c r="S185" s="4">
        <v>0</v>
      </c>
      <c r="T185" s="4">
        <v>4</v>
      </c>
      <c r="U185" s="4">
        <v>5</v>
      </c>
      <c r="V185" s="4">
        <v>1</v>
      </c>
      <c r="W185" s="4">
        <v>5</v>
      </c>
      <c r="X185" s="4">
        <v>6</v>
      </c>
      <c r="Y185" s="4">
        <v>2</v>
      </c>
      <c r="Z185" s="4">
        <v>8</v>
      </c>
      <c r="AA185" s="3">
        <f t="shared" si="5"/>
        <v>46</v>
      </c>
      <c r="AB185" t="s">
        <v>63</v>
      </c>
      <c r="AC185">
        <v>44.27</v>
      </c>
      <c r="AD185">
        <v>27.15</v>
      </c>
      <c r="AE185">
        <v>46.13</v>
      </c>
      <c r="AF185">
        <v>53.68</v>
      </c>
      <c r="AG185">
        <v>2.3199999999999998</v>
      </c>
      <c r="AH185">
        <v>176.22</v>
      </c>
      <c r="AI185">
        <v>27.17</v>
      </c>
      <c r="AJ185">
        <v>101.77</v>
      </c>
      <c r="AK185">
        <v>26.37</v>
      </c>
      <c r="AL185">
        <v>42.24</v>
      </c>
      <c r="AM185">
        <v>28.94</v>
      </c>
      <c r="AN185">
        <v>83.1</v>
      </c>
      <c r="AO185" s="1">
        <v>659.36</v>
      </c>
    </row>
    <row r="186" spans="1:41" x14ac:dyDescent="0.25">
      <c r="A186" t="s">
        <v>568</v>
      </c>
      <c r="B186" s="4">
        <v>2149</v>
      </c>
      <c r="C186" s="4">
        <v>0</v>
      </c>
      <c r="D186" s="4">
        <v>3604</v>
      </c>
      <c r="E186" s="4">
        <v>4986</v>
      </c>
      <c r="F186" s="4">
        <v>2238</v>
      </c>
      <c r="G186" s="4">
        <v>4420</v>
      </c>
      <c r="H186" s="4">
        <v>1781</v>
      </c>
      <c r="I186" s="4">
        <v>19</v>
      </c>
      <c r="J186" s="4">
        <v>4088</v>
      </c>
      <c r="K186" s="4">
        <v>646</v>
      </c>
      <c r="L186" s="4">
        <v>2876</v>
      </c>
      <c r="M186" s="4">
        <v>2845</v>
      </c>
      <c r="N186" s="3">
        <f t="shared" si="4"/>
        <v>29652</v>
      </c>
      <c r="O186" s="4">
        <v>7</v>
      </c>
      <c r="P186" s="4">
        <v>2</v>
      </c>
      <c r="Q186" s="4">
        <v>0</v>
      </c>
      <c r="R186" s="4">
        <v>0</v>
      </c>
      <c r="S186" s="4">
        <v>3</v>
      </c>
      <c r="T186" s="4">
        <v>4</v>
      </c>
      <c r="U186" s="4">
        <v>1</v>
      </c>
      <c r="V186" s="4">
        <v>0</v>
      </c>
      <c r="W186" s="4">
        <v>4</v>
      </c>
      <c r="X186" s="4">
        <v>2</v>
      </c>
      <c r="Y186" s="4">
        <v>2</v>
      </c>
      <c r="Z186" s="4">
        <v>3</v>
      </c>
      <c r="AA186" s="3">
        <f t="shared" si="5"/>
        <v>28</v>
      </c>
      <c r="AB186" t="s">
        <v>63</v>
      </c>
      <c r="AC186">
        <v>43.61</v>
      </c>
      <c r="AD186">
        <v>0.18</v>
      </c>
      <c r="AE186">
        <v>72.08</v>
      </c>
      <c r="AF186">
        <v>99.72</v>
      </c>
      <c r="AG186">
        <v>45.03</v>
      </c>
      <c r="AH186">
        <v>88.76</v>
      </c>
      <c r="AI186">
        <v>35.71</v>
      </c>
      <c r="AJ186">
        <v>0.38</v>
      </c>
      <c r="AK186">
        <v>82.12</v>
      </c>
      <c r="AL186">
        <v>13.1</v>
      </c>
      <c r="AM186">
        <v>57.7</v>
      </c>
      <c r="AN186">
        <v>57.17</v>
      </c>
      <c r="AO186" s="1">
        <v>595.55999999999995</v>
      </c>
    </row>
    <row r="187" spans="1:41" x14ac:dyDescent="0.25">
      <c r="A187" t="s">
        <v>571</v>
      </c>
      <c r="B187" s="4">
        <v>2125</v>
      </c>
      <c r="C187" s="4">
        <v>8380</v>
      </c>
      <c r="D187" s="4">
        <v>9605</v>
      </c>
      <c r="E187" s="4">
        <v>1489</v>
      </c>
      <c r="F187" s="4">
        <v>6913</v>
      </c>
      <c r="G187" s="4">
        <v>1718</v>
      </c>
      <c r="H187" s="4">
        <v>1721</v>
      </c>
      <c r="I187" s="4">
        <v>4694</v>
      </c>
      <c r="J187" s="4">
        <v>0</v>
      </c>
      <c r="K187" s="4">
        <v>7725</v>
      </c>
      <c r="L187" s="4">
        <v>3665</v>
      </c>
      <c r="M187" s="4">
        <v>8367</v>
      </c>
      <c r="N187" s="3">
        <f t="shared" si="4"/>
        <v>56402</v>
      </c>
      <c r="O187" s="4">
        <v>1</v>
      </c>
      <c r="P187" s="4">
        <v>7</v>
      </c>
      <c r="Q187" s="4">
        <v>2</v>
      </c>
      <c r="R187" s="4">
        <v>8</v>
      </c>
      <c r="S187" s="4">
        <v>7</v>
      </c>
      <c r="T187" s="4">
        <v>6</v>
      </c>
      <c r="U187" s="4">
        <v>0</v>
      </c>
      <c r="V187" s="4">
        <v>1</v>
      </c>
      <c r="W187" s="4">
        <v>0</v>
      </c>
      <c r="X187" s="4">
        <v>2</v>
      </c>
      <c r="Y187" s="4">
        <v>1</v>
      </c>
      <c r="Z187" s="4">
        <v>13</v>
      </c>
      <c r="AA187" s="3">
        <f t="shared" si="5"/>
        <v>48</v>
      </c>
      <c r="AB187" t="s">
        <v>63</v>
      </c>
      <c r="AC187">
        <v>42.59</v>
      </c>
      <c r="AD187">
        <v>168.23</v>
      </c>
      <c r="AE187">
        <v>192.28</v>
      </c>
      <c r="AF187">
        <v>30.5</v>
      </c>
      <c r="AG187">
        <v>138.88999999999999</v>
      </c>
      <c r="AH187">
        <v>34.9</v>
      </c>
      <c r="AI187">
        <v>34.42</v>
      </c>
      <c r="AJ187">
        <v>93.97</v>
      </c>
      <c r="AK187">
        <v>0</v>
      </c>
      <c r="AL187">
        <v>154.68</v>
      </c>
      <c r="AM187">
        <v>73.39</v>
      </c>
      <c r="AN187">
        <v>168.51</v>
      </c>
      <c r="AO187" s="1">
        <v>1132.3600000000001</v>
      </c>
    </row>
    <row r="188" spans="1:41" x14ac:dyDescent="0.25">
      <c r="A188" t="s">
        <v>573</v>
      </c>
      <c r="B188" s="4">
        <v>2123</v>
      </c>
      <c r="C188" s="4">
        <v>1121</v>
      </c>
      <c r="D188" s="4">
        <v>2030</v>
      </c>
      <c r="E188" s="4">
        <v>934</v>
      </c>
      <c r="F188" s="4">
        <v>2112</v>
      </c>
      <c r="G188" s="4">
        <v>2585</v>
      </c>
      <c r="H188" s="4">
        <v>2292</v>
      </c>
      <c r="I188" s="4">
        <v>7344</v>
      </c>
      <c r="J188" s="4">
        <v>0</v>
      </c>
      <c r="K188" s="4">
        <v>3001</v>
      </c>
      <c r="L188" s="4">
        <v>630</v>
      </c>
      <c r="M188" s="4">
        <v>4912</v>
      </c>
      <c r="N188" s="3">
        <f t="shared" si="4"/>
        <v>29084</v>
      </c>
      <c r="O188" s="4">
        <v>2</v>
      </c>
      <c r="P188" s="4">
        <v>0</v>
      </c>
      <c r="Q188" s="4">
        <v>18</v>
      </c>
      <c r="R188" s="4">
        <v>2</v>
      </c>
      <c r="S188" s="4">
        <v>0</v>
      </c>
      <c r="T188" s="4">
        <v>2</v>
      </c>
      <c r="U188" s="4">
        <v>6</v>
      </c>
      <c r="V188" s="4">
        <v>7</v>
      </c>
      <c r="W188" s="4">
        <v>0</v>
      </c>
      <c r="X188" s="4">
        <v>1</v>
      </c>
      <c r="Y188" s="4">
        <v>0</v>
      </c>
      <c r="Z188" s="4">
        <v>2</v>
      </c>
      <c r="AA188" s="3">
        <f t="shared" si="5"/>
        <v>40</v>
      </c>
      <c r="AB188" t="s">
        <v>63</v>
      </c>
      <c r="AC188">
        <v>42.64</v>
      </c>
      <c r="AD188">
        <v>22.42</v>
      </c>
      <c r="AE188">
        <v>42.22</v>
      </c>
      <c r="AF188">
        <v>18.86</v>
      </c>
      <c r="AG188">
        <v>42.24</v>
      </c>
      <c r="AH188">
        <v>51.88</v>
      </c>
      <c r="AI188">
        <v>46.38</v>
      </c>
      <c r="AJ188">
        <v>147.51</v>
      </c>
      <c r="AK188">
        <v>0</v>
      </c>
      <c r="AL188">
        <v>60.11</v>
      </c>
      <c r="AM188">
        <v>12.6</v>
      </c>
      <c r="AN188">
        <v>98.42</v>
      </c>
      <c r="AO188" s="1">
        <v>585.28</v>
      </c>
    </row>
    <row r="189" spans="1:41" x14ac:dyDescent="0.25">
      <c r="A189" t="s">
        <v>575</v>
      </c>
      <c r="B189" s="4">
        <v>2116</v>
      </c>
      <c r="C189" s="4">
        <v>3046</v>
      </c>
      <c r="D189" s="4">
        <v>2720</v>
      </c>
      <c r="E189" s="4">
        <v>9383</v>
      </c>
      <c r="F189" s="4">
        <v>308</v>
      </c>
      <c r="G189" s="4">
        <v>272</v>
      </c>
      <c r="H189" s="4">
        <v>4819</v>
      </c>
      <c r="I189" s="4">
        <v>1259</v>
      </c>
      <c r="J189" s="4">
        <v>1611</v>
      </c>
      <c r="K189" s="4">
        <v>2169</v>
      </c>
      <c r="L189" s="4">
        <v>3209</v>
      </c>
      <c r="M189" s="4">
        <v>795</v>
      </c>
      <c r="N189" s="3">
        <f t="shared" si="4"/>
        <v>31707</v>
      </c>
      <c r="O189" s="4">
        <v>4</v>
      </c>
      <c r="P189" s="4">
        <v>0</v>
      </c>
      <c r="Q189" s="4">
        <v>5</v>
      </c>
      <c r="R189" s="4">
        <v>0</v>
      </c>
      <c r="S189" s="4">
        <v>1</v>
      </c>
      <c r="T189" s="4">
        <v>3</v>
      </c>
      <c r="U189" s="4">
        <v>7</v>
      </c>
      <c r="V189" s="4">
        <v>4</v>
      </c>
      <c r="W189" s="4">
        <v>5</v>
      </c>
      <c r="X189" s="4">
        <v>2</v>
      </c>
      <c r="Y189" s="4">
        <v>4</v>
      </c>
      <c r="Z189" s="4">
        <v>0</v>
      </c>
      <c r="AA189" s="3">
        <f t="shared" si="5"/>
        <v>35</v>
      </c>
      <c r="AB189" t="s">
        <v>63</v>
      </c>
      <c r="AC189">
        <v>42.68</v>
      </c>
      <c r="AD189">
        <v>60.92</v>
      </c>
      <c r="AE189">
        <v>54.85</v>
      </c>
      <c r="AF189">
        <v>187.66</v>
      </c>
      <c r="AG189">
        <v>6.25</v>
      </c>
      <c r="AH189">
        <v>5.71</v>
      </c>
      <c r="AI189">
        <v>97.01</v>
      </c>
      <c r="AJ189">
        <v>25.54</v>
      </c>
      <c r="AK189">
        <v>32.67</v>
      </c>
      <c r="AL189">
        <v>43.56</v>
      </c>
      <c r="AM189">
        <v>64.540000000000006</v>
      </c>
      <c r="AN189">
        <v>15.9</v>
      </c>
      <c r="AO189" s="1">
        <v>637.28999999999985</v>
      </c>
    </row>
    <row r="190" spans="1:41" x14ac:dyDescent="0.25">
      <c r="A190" t="s">
        <v>577</v>
      </c>
      <c r="B190" s="4">
        <v>2107</v>
      </c>
      <c r="C190" s="4">
        <v>430</v>
      </c>
      <c r="D190" s="4">
        <v>6208</v>
      </c>
      <c r="E190" s="4">
        <v>1804</v>
      </c>
      <c r="F190" s="4">
        <v>2719</v>
      </c>
      <c r="G190" s="4">
        <v>1533</v>
      </c>
      <c r="H190" s="4">
        <v>650</v>
      </c>
      <c r="I190" s="4">
        <v>867</v>
      </c>
      <c r="J190" s="4">
        <v>5905</v>
      </c>
      <c r="K190" s="4">
        <v>3844</v>
      </c>
      <c r="L190" s="4">
        <v>2283</v>
      </c>
      <c r="M190" s="4">
        <v>1788</v>
      </c>
      <c r="N190" s="3">
        <f t="shared" si="4"/>
        <v>30138</v>
      </c>
      <c r="O190" s="4">
        <v>2</v>
      </c>
      <c r="P190" s="4">
        <v>1</v>
      </c>
      <c r="Q190" s="4">
        <v>1</v>
      </c>
      <c r="R190" s="4">
        <v>6</v>
      </c>
      <c r="S190" s="4">
        <v>0</v>
      </c>
      <c r="T190" s="4">
        <v>5</v>
      </c>
      <c r="U190" s="4">
        <v>4</v>
      </c>
      <c r="V190" s="4">
        <v>0</v>
      </c>
      <c r="W190" s="4">
        <v>2</v>
      </c>
      <c r="X190" s="4">
        <v>1</v>
      </c>
      <c r="Y190" s="4">
        <v>5</v>
      </c>
      <c r="Z190" s="4">
        <v>3</v>
      </c>
      <c r="AA190" s="3">
        <f t="shared" si="5"/>
        <v>30</v>
      </c>
      <c r="AB190" t="s">
        <v>63</v>
      </c>
      <c r="AC190">
        <v>42.32</v>
      </c>
      <c r="AD190">
        <v>8.69</v>
      </c>
      <c r="AE190">
        <v>124.25</v>
      </c>
      <c r="AF190">
        <v>36.619999999999997</v>
      </c>
      <c r="AG190">
        <v>54.38</v>
      </c>
      <c r="AH190">
        <v>31.11</v>
      </c>
      <c r="AI190">
        <v>13.36</v>
      </c>
      <c r="AJ190">
        <v>17.34</v>
      </c>
      <c r="AK190">
        <v>118.28</v>
      </c>
      <c r="AL190">
        <v>76.97</v>
      </c>
      <c r="AM190">
        <v>46.11</v>
      </c>
      <c r="AN190">
        <v>36.03</v>
      </c>
      <c r="AO190" s="1">
        <v>605.46</v>
      </c>
    </row>
    <row r="191" spans="1:41" x14ac:dyDescent="0.25">
      <c r="A191" t="s">
        <v>579</v>
      </c>
      <c r="B191" s="4">
        <v>2100</v>
      </c>
      <c r="C191" s="4">
        <v>3778</v>
      </c>
      <c r="D191" s="4">
        <v>1998</v>
      </c>
      <c r="E191" s="4">
        <v>1323</v>
      </c>
      <c r="F191" s="4">
        <v>479</v>
      </c>
      <c r="G191" s="4">
        <v>4538</v>
      </c>
      <c r="H191" s="4">
        <v>0</v>
      </c>
      <c r="I191" s="4">
        <v>2041</v>
      </c>
      <c r="J191" s="4">
        <v>1758</v>
      </c>
      <c r="K191" s="4">
        <v>196</v>
      </c>
      <c r="L191" s="4">
        <v>4762</v>
      </c>
      <c r="M191" s="4">
        <v>5665</v>
      </c>
      <c r="N191" s="3">
        <f t="shared" si="4"/>
        <v>28638</v>
      </c>
      <c r="O191" s="4">
        <v>3</v>
      </c>
      <c r="P191" s="4">
        <v>2</v>
      </c>
      <c r="Q191" s="4">
        <v>1</v>
      </c>
      <c r="R191" s="4">
        <v>0</v>
      </c>
      <c r="S191" s="4">
        <v>4</v>
      </c>
      <c r="T191" s="4">
        <v>4</v>
      </c>
      <c r="U191" s="4">
        <v>8</v>
      </c>
      <c r="V191" s="4">
        <v>0</v>
      </c>
      <c r="W191" s="4">
        <v>1</v>
      </c>
      <c r="X191" s="4">
        <v>1</v>
      </c>
      <c r="Y191" s="4">
        <v>2</v>
      </c>
      <c r="Z191" s="4">
        <v>1</v>
      </c>
      <c r="AA191" s="3">
        <f t="shared" si="5"/>
        <v>27</v>
      </c>
      <c r="AB191" t="s">
        <v>63</v>
      </c>
      <c r="AC191">
        <v>42.27</v>
      </c>
      <c r="AD191">
        <v>75.739999999999995</v>
      </c>
      <c r="AE191">
        <v>40.049999999999997</v>
      </c>
      <c r="AF191">
        <v>26.46</v>
      </c>
      <c r="AG191">
        <v>9.94</v>
      </c>
      <c r="AH191">
        <v>91.12</v>
      </c>
      <c r="AI191">
        <v>0.72</v>
      </c>
      <c r="AJ191">
        <v>40.82</v>
      </c>
      <c r="AK191">
        <v>35.25</v>
      </c>
      <c r="AL191">
        <v>4.01</v>
      </c>
      <c r="AM191">
        <v>95.42</v>
      </c>
      <c r="AN191">
        <v>113.39</v>
      </c>
      <c r="AO191" s="1">
        <v>575.19000000000005</v>
      </c>
    </row>
    <row r="192" spans="1:41" x14ac:dyDescent="0.25">
      <c r="A192" t="s">
        <v>581</v>
      </c>
      <c r="B192" s="4">
        <v>2090</v>
      </c>
      <c r="C192" s="4">
        <v>0</v>
      </c>
      <c r="D192" s="4">
        <v>872</v>
      </c>
      <c r="E192" s="4">
        <v>4181</v>
      </c>
      <c r="F192" s="4">
        <v>1226</v>
      </c>
      <c r="G192" s="4">
        <v>3621</v>
      </c>
      <c r="H192" s="4">
        <v>3509</v>
      </c>
      <c r="I192" s="4">
        <v>3572</v>
      </c>
      <c r="J192" s="4">
        <v>1884</v>
      </c>
      <c r="K192" s="4">
        <v>2612</v>
      </c>
      <c r="L192" s="4">
        <v>0</v>
      </c>
      <c r="M192" s="4">
        <v>2350</v>
      </c>
      <c r="N192" s="3">
        <f t="shared" si="4"/>
        <v>25917</v>
      </c>
      <c r="O192" s="4">
        <v>7</v>
      </c>
      <c r="P192" s="4">
        <v>3</v>
      </c>
      <c r="Q192" s="4">
        <v>4</v>
      </c>
      <c r="R192" s="4">
        <v>0</v>
      </c>
      <c r="S192" s="4">
        <v>7</v>
      </c>
      <c r="T192" s="4">
        <v>5</v>
      </c>
      <c r="U192" s="4">
        <v>0</v>
      </c>
      <c r="V192" s="4">
        <v>4</v>
      </c>
      <c r="W192" s="4">
        <v>5</v>
      </c>
      <c r="X192" s="4">
        <v>0</v>
      </c>
      <c r="Y192" s="4">
        <v>3</v>
      </c>
      <c r="Z192" s="4">
        <v>3</v>
      </c>
      <c r="AA192" s="3">
        <f t="shared" si="5"/>
        <v>41</v>
      </c>
      <c r="AB192" t="s">
        <v>63</v>
      </c>
      <c r="AC192">
        <v>42.43</v>
      </c>
      <c r="AD192">
        <v>0.27</v>
      </c>
      <c r="AE192">
        <v>17.8</v>
      </c>
      <c r="AF192">
        <v>83.62</v>
      </c>
      <c r="AG192">
        <v>25.15</v>
      </c>
      <c r="AH192">
        <v>72.87</v>
      </c>
      <c r="AI192">
        <v>70.180000000000007</v>
      </c>
      <c r="AJ192">
        <v>71.8</v>
      </c>
      <c r="AK192">
        <v>38.130000000000003</v>
      </c>
      <c r="AL192">
        <v>52.24</v>
      </c>
      <c r="AM192">
        <v>0.27</v>
      </c>
      <c r="AN192">
        <v>47.27</v>
      </c>
      <c r="AO192" s="1">
        <v>522.03000000000009</v>
      </c>
    </row>
    <row r="193" spans="1:41" x14ac:dyDescent="0.25">
      <c r="A193" t="s">
        <v>582</v>
      </c>
      <c r="B193" s="4">
        <v>2076</v>
      </c>
      <c r="C193" s="4">
        <v>4333</v>
      </c>
      <c r="D193" s="4">
        <v>1770</v>
      </c>
      <c r="E193" s="4">
        <v>1324</v>
      </c>
      <c r="F193" s="4">
        <v>246</v>
      </c>
      <c r="G193" s="4">
        <v>2244</v>
      </c>
      <c r="H193" s="4">
        <v>353</v>
      </c>
      <c r="I193" s="4">
        <v>678</v>
      </c>
      <c r="J193" s="4">
        <v>4083</v>
      </c>
      <c r="K193" s="4">
        <v>3222</v>
      </c>
      <c r="L193" s="4">
        <v>0</v>
      </c>
      <c r="M193" s="4">
        <v>1895</v>
      </c>
      <c r="N193" s="3">
        <f t="shared" si="4"/>
        <v>22224</v>
      </c>
      <c r="O193" s="4">
        <v>2</v>
      </c>
      <c r="P193" s="4">
        <v>6</v>
      </c>
      <c r="Q193" s="4">
        <v>4</v>
      </c>
      <c r="R193" s="4">
        <v>0</v>
      </c>
      <c r="S193" s="4">
        <v>4</v>
      </c>
      <c r="T193" s="4">
        <v>9</v>
      </c>
      <c r="U193" s="4">
        <v>9</v>
      </c>
      <c r="V193" s="4">
        <v>1</v>
      </c>
      <c r="W193" s="4">
        <v>5</v>
      </c>
      <c r="X193" s="4">
        <v>3</v>
      </c>
      <c r="Y193" s="4">
        <v>3</v>
      </c>
      <c r="Z193" s="4">
        <v>10</v>
      </c>
      <c r="AA193" s="3">
        <f t="shared" si="5"/>
        <v>56</v>
      </c>
      <c r="AB193" t="s">
        <v>63</v>
      </c>
      <c r="AC193">
        <v>41.7</v>
      </c>
      <c r="AD193">
        <v>87.2</v>
      </c>
      <c r="AE193">
        <v>35.76</v>
      </c>
      <c r="AF193">
        <v>26.48</v>
      </c>
      <c r="AG193">
        <v>5.28</v>
      </c>
      <c r="AH193">
        <v>45.69</v>
      </c>
      <c r="AI193">
        <v>7.87</v>
      </c>
      <c r="AJ193">
        <v>13.65</v>
      </c>
      <c r="AK193">
        <v>82.11</v>
      </c>
      <c r="AL193">
        <v>64.709999999999994</v>
      </c>
      <c r="AM193">
        <v>0.27</v>
      </c>
      <c r="AN193">
        <v>38.799999999999997</v>
      </c>
      <c r="AO193" s="1">
        <v>449.52</v>
      </c>
    </row>
    <row r="194" spans="1:41" x14ac:dyDescent="0.25">
      <c r="A194" t="s">
        <v>583</v>
      </c>
      <c r="B194" s="4">
        <v>2074</v>
      </c>
      <c r="C194" s="4">
        <v>3351</v>
      </c>
      <c r="D194" s="4">
        <v>2015</v>
      </c>
      <c r="E194" s="4">
        <v>1763</v>
      </c>
      <c r="F194" s="4">
        <v>1721</v>
      </c>
      <c r="G194" s="4">
        <v>1049</v>
      </c>
      <c r="H194" s="4">
        <v>10132</v>
      </c>
      <c r="I194" s="4">
        <v>2022</v>
      </c>
      <c r="J194" s="4">
        <v>245</v>
      </c>
      <c r="K194" s="4">
        <v>0</v>
      </c>
      <c r="L194" s="4">
        <v>6579</v>
      </c>
      <c r="M194" s="4">
        <v>4091</v>
      </c>
      <c r="N194" s="3">
        <f t="shared" si="4"/>
        <v>35042</v>
      </c>
      <c r="O194" s="4">
        <v>3</v>
      </c>
      <c r="P194" s="4">
        <v>4</v>
      </c>
      <c r="Q194" s="4">
        <v>1</v>
      </c>
      <c r="R194" s="4">
        <v>2</v>
      </c>
      <c r="S194" s="4">
        <v>0</v>
      </c>
      <c r="T194" s="4">
        <v>3</v>
      </c>
      <c r="U194" s="4">
        <v>2</v>
      </c>
      <c r="V194" s="4">
        <v>2</v>
      </c>
      <c r="W194" s="4">
        <v>3</v>
      </c>
      <c r="X194" s="4">
        <v>7</v>
      </c>
      <c r="Y194" s="4">
        <v>2</v>
      </c>
      <c r="Z194" s="4">
        <v>3</v>
      </c>
      <c r="AA194" s="3">
        <f t="shared" si="5"/>
        <v>32</v>
      </c>
      <c r="AB194" t="s">
        <v>63</v>
      </c>
      <c r="AC194">
        <v>41.75</v>
      </c>
      <c r="AD194">
        <v>67.38</v>
      </c>
      <c r="AE194">
        <v>40.39</v>
      </c>
      <c r="AF194">
        <v>35.44</v>
      </c>
      <c r="AG194">
        <v>34.42</v>
      </c>
      <c r="AH194">
        <v>21.25</v>
      </c>
      <c r="AI194">
        <v>202.82</v>
      </c>
      <c r="AJ194">
        <v>40.619999999999997</v>
      </c>
      <c r="AK194">
        <v>5.17</v>
      </c>
      <c r="AL194">
        <v>0.63</v>
      </c>
      <c r="AM194">
        <v>131.76</v>
      </c>
      <c r="AN194">
        <v>82.09</v>
      </c>
      <c r="AO194" s="1">
        <v>703.72</v>
      </c>
    </row>
    <row r="195" spans="1:41" x14ac:dyDescent="0.25">
      <c r="A195" t="s">
        <v>584</v>
      </c>
      <c r="B195" s="4">
        <v>2074</v>
      </c>
      <c r="C195" s="4">
        <v>1586</v>
      </c>
      <c r="D195" s="4">
        <v>4189</v>
      </c>
      <c r="E195" s="4">
        <v>2096</v>
      </c>
      <c r="F195" s="4">
        <v>0</v>
      </c>
      <c r="G195" s="4">
        <v>4963</v>
      </c>
      <c r="H195" s="4">
        <v>435</v>
      </c>
      <c r="I195" s="4">
        <v>6931</v>
      </c>
      <c r="J195" s="4">
        <v>1562</v>
      </c>
      <c r="K195" s="4">
        <v>2293</v>
      </c>
      <c r="L195" s="4">
        <v>0</v>
      </c>
      <c r="M195" s="4">
        <v>16101</v>
      </c>
      <c r="N195" s="3">
        <f t="shared" si="4"/>
        <v>42230</v>
      </c>
      <c r="O195" s="4">
        <v>3</v>
      </c>
      <c r="P195" s="4">
        <v>4</v>
      </c>
      <c r="Q195" s="4">
        <v>8</v>
      </c>
      <c r="R195" s="4">
        <v>1</v>
      </c>
      <c r="S195" s="4">
        <v>4</v>
      </c>
      <c r="T195" s="4">
        <v>2</v>
      </c>
      <c r="U195" s="4">
        <v>11</v>
      </c>
      <c r="V195" s="4">
        <v>1</v>
      </c>
      <c r="W195" s="4">
        <v>3</v>
      </c>
      <c r="X195" s="4">
        <v>3</v>
      </c>
      <c r="Y195" s="4">
        <v>2</v>
      </c>
      <c r="Z195" s="4">
        <v>6</v>
      </c>
      <c r="AA195" s="3">
        <f t="shared" si="5"/>
        <v>48</v>
      </c>
      <c r="AB195" t="s">
        <v>63</v>
      </c>
      <c r="AC195">
        <v>41.75</v>
      </c>
      <c r="AD195">
        <v>32.08</v>
      </c>
      <c r="AE195">
        <v>84.5</v>
      </c>
      <c r="AF195">
        <v>42.01</v>
      </c>
      <c r="AG195">
        <v>0.36</v>
      </c>
      <c r="AH195">
        <v>99.44</v>
      </c>
      <c r="AI195">
        <v>9.69</v>
      </c>
      <c r="AJ195">
        <v>138.71</v>
      </c>
      <c r="AK195">
        <v>31.51</v>
      </c>
      <c r="AL195">
        <v>46.13</v>
      </c>
      <c r="AM195">
        <v>0.18</v>
      </c>
      <c r="AN195">
        <v>322.56</v>
      </c>
      <c r="AO195" s="1">
        <v>848.91999999999985</v>
      </c>
    </row>
    <row r="196" spans="1:41" x14ac:dyDescent="0.25">
      <c r="A196" t="s">
        <v>585</v>
      </c>
      <c r="B196" s="4">
        <v>2064</v>
      </c>
      <c r="C196" s="4">
        <v>82</v>
      </c>
      <c r="D196" s="4">
        <v>1389</v>
      </c>
      <c r="E196" s="4">
        <v>3075</v>
      </c>
      <c r="F196" s="4">
        <v>6798</v>
      </c>
      <c r="G196" s="4">
        <v>1384</v>
      </c>
      <c r="H196" s="4">
        <v>1941</v>
      </c>
      <c r="I196" s="4">
        <v>2073</v>
      </c>
      <c r="J196" s="4">
        <v>2948</v>
      </c>
      <c r="K196" s="4">
        <v>4225</v>
      </c>
      <c r="L196" s="4">
        <v>675</v>
      </c>
      <c r="M196" s="4">
        <v>2251</v>
      </c>
      <c r="N196" s="3">
        <f t="shared" ref="N196:N259" si="6">SUM(B196:M196)</f>
        <v>28905</v>
      </c>
      <c r="O196" s="4">
        <v>4</v>
      </c>
      <c r="P196" s="4">
        <v>1</v>
      </c>
      <c r="Q196" s="4">
        <v>3</v>
      </c>
      <c r="R196" s="4">
        <v>1</v>
      </c>
      <c r="S196" s="4">
        <v>1</v>
      </c>
      <c r="T196" s="4">
        <v>12</v>
      </c>
      <c r="U196" s="4">
        <v>3</v>
      </c>
      <c r="V196" s="4">
        <v>6</v>
      </c>
      <c r="W196" s="4">
        <v>2</v>
      </c>
      <c r="X196" s="4">
        <v>3</v>
      </c>
      <c r="Y196" s="4">
        <v>1</v>
      </c>
      <c r="Z196" s="4">
        <v>1</v>
      </c>
      <c r="AA196" s="3">
        <f t="shared" ref="AA196:AA259" si="7">SUM(O196:Z196)</f>
        <v>38</v>
      </c>
      <c r="AB196" t="s">
        <v>63</v>
      </c>
      <c r="AC196">
        <v>41.64</v>
      </c>
      <c r="AD196">
        <v>1.73</v>
      </c>
      <c r="AE196">
        <v>28.05</v>
      </c>
      <c r="AF196">
        <v>61.59</v>
      </c>
      <c r="AG196">
        <v>136.05000000000001</v>
      </c>
      <c r="AH196">
        <v>28.76</v>
      </c>
      <c r="AI196">
        <v>39.090000000000003</v>
      </c>
      <c r="AJ196">
        <v>42</v>
      </c>
      <c r="AK196">
        <v>59.14</v>
      </c>
      <c r="AL196">
        <v>84.77</v>
      </c>
      <c r="AM196">
        <v>13.59</v>
      </c>
      <c r="AN196">
        <v>45.11</v>
      </c>
      <c r="AO196" s="1">
        <v>581.52</v>
      </c>
    </row>
    <row r="197" spans="1:41" x14ac:dyDescent="0.25">
      <c r="A197" t="s">
        <v>588</v>
      </c>
      <c r="B197" s="4">
        <v>2034</v>
      </c>
      <c r="C197" s="4">
        <v>334</v>
      </c>
      <c r="D197" s="4">
        <v>0</v>
      </c>
      <c r="E197" s="4">
        <v>1299</v>
      </c>
      <c r="F197" s="4">
        <v>5587</v>
      </c>
      <c r="G197" s="4">
        <v>3509</v>
      </c>
      <c r="H197" s="4">
        <v>607</v>
      </c>
      <c r="I197" s="4">
        <v>3359</v>
      </c>
      <c r="J197" s="4">
        <v>4200</v>
      </c>
      <c r="K197" s="4">
        <v>1905</v>
      </c>
      <c r="L197" s="4">
        <v>3221</v>
      </c>
      <c r="M197" s="4">
        <v>67</v>
      </c>
      <c r="N197" s="3">
        <f t="shared" si="6"/>
        <v>26122</v>
      </c>
      <c r="O197" s="4">
        <v>1</v>
      </c>
      <c r="P197" s="4">
        <v>4</v>
      </c>
      <c r="Q197" s="4">
        <v>5</v>
      </c>
      <c r="R197" s="4">
        <v>0</v>
      </c>
      <c r="S197" s="4">
        <v>3</v>
      </c>
      <c r="T197" s="4">
        <v>3</v>
      </c>
      <c r="U197" s="4">
        <v>4</v>
      </c>
      <c r="V197" s="4">
        <v>1</v>
      </c>
      <c r="W197" s="4">
        <v>11</v>
      </c>
      <c r="X197" s="4">
        <v>2</v>
      </c>
      <c r="Y197" s="4">
        <v>0</v>
      </c>
      <c r="Z197" s="4">
        <v>6</v>
      </c>
      <c r="AA197" s="3">
        <f t="shared" si="7"/>
        <v>40</v>
      </c>
      <c r="AB197" t="s">
        <v>63</v>
      </c>
      <c r="AC197">
        <v>40.770000000000003</v>
      </c>
      <c r="AD197">
        <v>7.04</v>
      </c>
      <c r="AE197">
        <v>0.45</v>
      </c>
      <c r="AF197">
        <v>25.98</v>
      </c>
      <c r="AG197">
        <v>112.01</v>
      </c>
      <c r="AH197">
        <v>70.45</v>
      </c>
      <c r="AI197">
        <v>12.5</v>
      </c>
      <c r="AJ197">
        <v>67.27</v>
      </c>
      <c r="AK197">
        <v>84.99</v>
      </c>
      <c r="AL197">
        <v>38.28</v>
      </c>
      <c r="AM197">
        <v>64.42</v>
      </c>
      <c r="AN197">
        <v>1.88</v>
      </c>
      <c r="AO197" s="1">
        <v>526.04</v>
      </c>
    </row>
    <row r="198" spans="1:41" x14ac:dyDescent="0.25">
      <c r="A198" t="s">
        <v>590</v>
      </c>
      <c r="B198" s="4">
        <v>2027</v>
      </c>
      <c r="C198" s="4">
        <v>2211</v>
      </c>
      <c r="D198" s="4">
        <v>171</v>
      </c>
      <c r="E198" s="4">
        <v>2956</v>
      </c>
      <c r="F198" s="4">
        <v>1053</v>
      </c>
      <c r="G198" s="4">
        <v>4075</v>
      </c>
      <c r="H198" s="4">
        <v>863</v>
      </c>
      <c r="I198" s="4">
        <v>13573</v>
      </c>
      <c r="J198" s="4">
        <v>0</v>
      </c>
      <c r="K198" s="4">
        <v>4491</v>
      </c>
      <c r="L198" s="4">
        <v>4288</v>
      </c>
      <c r="M198" s="4">
        <v>239</v>
      </c>
      <c r="N198" s="3">
        <f t="shared" si="6"/>
        <v>35947</v>
      </c>
      <c r="O198" s="4">
        <v>4</v>
      </c>
      <c r="P198" s="4">
        <v>7</v>
      </c>
      <c r="Q198" s="4">
        <v>6</v>
      </c>
      <c r="R198" s="4">
        <v>4</v>
      </c>
      <c r="S198" s="4">
        <v>8</v>
      </c>
      <c r="T198" s="4">
        <v>8</v>
      </c>
      <c r="U198" s="4">
        <v>1</v>
      </c>
      <c r="V198" s="4">
        <v>4</v>
      </c>
      <c r="W198" s="4">
        <v>3</v>
      </c>
      <c r="X198" s="4">
        <v>2</v>
      </c>
      <c r="Y198" s="4">
        <v>6</v>
      </c>
      <c r="Z198" s="4">
        <v>7</v>
      </c>
      <c r="AA198" s="3">
        <f t="shared" si="7"/>
        <v>60</v>
      </c>
      <c r="AB198" t="s">
        <v>63</v>
      </c>
      <c r="AC198">
        <v>40.9</v>
      </c>
      <c r="AD198">
        <v>44.85</v>
      </c>
      <c r="AE198">
        <v>3.96</v>
      </c>
      <c r="AF198">
        <v>59.48</v>
      </c>
      <c r="AG198">
        <v>21.78</v>
      </c>
      <c r="AH198">
        <v>82.22</v>
      </c>
      <c r="AI198">
        <v>17.350000000000001</v>
      </c>
      <c r="AJ198">
        <v>271.82</v>
      </c>
      <c r="AK198">
        <v>0.27</v>
      </c>
      <c r="AL198">
        <v>90</v>
      </c>
      <c r="AM198">
        <v>86.3</v>
      </c>
      <c r="AN198">
        <v>5.41</v>
      </c>
      <c r="AO198" s="1">
        <v>724.33999999999992</v>
      </c>
    </row>
    <row r="199" spans="1:41" x14ac:dyDescent="0.25">
      <c r="A199" t="s">
        <v>592</v>
      </c>
      <c r="B199" s="4">
        <v>2011</v>
      </c>
      <c r="C199" s="4">
        <v>1515</v>
      </c>
      <c r="D199" s="4">
        <v>4150</v>
      </c>
      <c r="E199" s="4">
        <v>0</v>
      </c>
      <c r="F199" s="4">
        <v>6790</v>
      </c>
      <c r="G199" s="4">
        <v>6662</v>
      </c>
      <c r="H199" s="4">
        <v>4310</v>
      </c>
      <c r="I199" s="4">
        <v>1726</v>
      </c>
      <c r="J199" s="4">
        <v>6508</v>
      </c>
      <c r="K199" s="4">
        <v>266</v>
      </c>
      <c r="L199" s="4">
        <v>0</v>
      </c>
      <c r="M199" s="4">
        <v>977</v>
      </c>
      <c r="N199" s="3">
        <f t="shared" si="6"/>
        <v>34915</v>
      </c>
      <c r="O199" s="4">
        <v>2</v>
      </c>
      <c r="P199" s="4">
        <v>3</v>
      </c>
      <c r="Q199" s="4">
        <v>1</v>
      </c>
      <c r="R199" s="4">
        <v>31</v>
      </c>
      <c r="S199" s="4">
        <v>7</v>
      </c>
      <c r="T199" s="4">
        <v>6</v>
      </c>
      <c r="U199" s="4">
        <v>4</v>
      </c>
      <c r="V199" s="4">
        <v>4</v>
      </c>
      <c r="W199" s="4">
        <v>1</v>
      </c>
      <c r="X199" s="4">
        <v>3</v>
      </c>
      <c r="Y199" s="4">
        <v>2</v>
      </c>
      <c r="Z199" s="4">
        <v>6</v>
      </c>
      <c r="AA199" s="3">
        <f t="shared" si="7"/>
        <v>70</v>
      </c>
      <c r="AB199" t="s">
        <v>63</v>
      </c>
      <c r="AC199">
        <v>40.4</v>
      </c>
      <c r="AD199">
        <v>30.57</v>
      </c>
      <c r="AE199">
        <v>83.09</v>
      </c>
      <c r="AF199">
        <v>2.79</v>
      </c>
      <c r="AG199">
        <v>136.43</v>
      </c>
      <c r="AH199">
        <v>133.78</v>
      </c>
      <c r="AI199">
        <v>86.56</v>
      </c>
      <c r="AJ199">
        <v>34.880000000000003</v>
      </c>
      <c r="AK199">
        <v>130.25</v>
      </c>
      <c r="AL199">
        <v>5.59</v>
      </c>
      <c r="AM199">
        <v>0.18</v>
      </c>
      <c r="AN199">
        <v>20.079999999999998</v>
      </c>
      <c r="AO199" s="1">
        <v>704.59999999999991</v>
      </c>
    </row>
    <row r="200" spans="1:41" x14ac:dyDescent="0.25">
      <c r="A200" t="s">
        <v>595</v>
      </c>
      <c r="B200" s="4">
        <v>1999</v>
      </c>
      <c r="C200" s="4">
        <v>263</v>
      </c>
      <c r="D200" s="4">
        <v>6205</v>
      </c>
      <c r="E200" s="4">
        <v>0</v>
      </c>
      <c r="F200" s="4">
        <v>1556</v>
      </c>
      <c r="G200" s="4">
        <v>3583</v>
      </c>
      <c r="H200" s="4">
        <v>5944</v>
      </c>
      <c r="I200" s="4">
        <v>1616</v>
      </c>
      <c r="J200" s="4">
        <v>4442</v>
      </c>
      <c r="K200" s="4">
        <v>3758</v>
      </c>
      <c r="L200" s="4">
        <v>688</v>
      </c>
      <c r="M200" s="4">
        <v>3992</v>
      </c>
      <c r="N200" s="3">
        <f t="shared" si="6"/>
        <v>34046</v>
      </c>
      <c r="O200" s="4">
        <v>18</v>
      </c>
      <c r="P200" s="4">
        <v>3</v>
      </c>
      <c r="Q200" s="4">
        <v>1</v>
      </c>
      <c r="R200" s="4">
        <v>10</v>
      </c>
      <c r="S200" s="4">
        <v>2</v>
      </c>
      <c r="T200" s="4">
        <v>5</v>
      </c>
      <c r="U200" s="4">
        <v>17</v>
      </c>
      <c r="V200" s="4">
        <v>0</v>
      </c>
      <c r="W200" s="4">
        <v>2</v>
      </c>
      <c r="X200" s="4">
        <v>6</v>
      </c>
      <c r="Y200" s="4">
        <v>2</v>
      </c>
      <c r="Z200" s="4">
        <v>2</v>
      </c>
      <c r="AA200" s="3">
        <f t="shared" si="7"/>
        <v>68</v>
      </c>
      <c r="AB200" t="s">
        <v>63</v>
      </c>
      <c r="AC200">
        <v>41.6</v>
      </c>
      <c r="AD200">
        <v>5.53</v>
      </c>
      <c r="AE200">
        <v>124.19</v>
      </c>
      <c r="AF200">
        <v>0.9</v>
      </c>
      <c r="AG200">
        <v>31.3</v>
      </c>
      <c r="AH200">
        <v>72.11</v>
      </c>
      <c r="AI200">
        <v>120.41</v>
      </c>
      <c r="AJ200">
        <v>32.32</v>
      </c>
      <c r="AK200">
        <v>89.02</v>
      </c>
      <c r="AL200">
        <v>75.7</v>
      </c>
      <c r="AM200">
        <v>13.94</v>
      </c>
      <c r="AN200">
        <v>80.02</v>
      </c>
      <c r="AO200" s="1">
        <v>687.04000000000008</v>
      </c>
    </row>
    <row r="201" spans="1:41" x14ac:dyDescent="0.25">
      <c r="A201" t="s">
        <v>599</v>
      </c>
      <c r="B201" s="4">
        <v>1984</v>
      </c>
      <c r="C201" s="4">
        <v>1613</v>
      </c>
      <c r="D201" s="4">
        <v>1393</v>
      </c>
      <c r="E201" s="4">
        <v>1503</v>
      </c>
      <c r="F201" s="4">
        <v>2984</v>
      </c>
      <c r="G201" s="4">
        <v>0</v>
      </c>
      <c r="H201" s="4">
        <v>591</v>
      </c>
      <c r="I201" s="4">
        <v>11022</v>
      </c>
      <c r="J201" s="4">
        <v>3251</v>
      </c>
      <c r="K201" s="4">
        <v>88</v>
      </c>
      <c r="L201" s="4">
        <v>4319</v>
      </c>
      <c r="M201" s="4">
        <v>1057</v>
      </c>
      <c r="N201" s="3">
        <f t="shared" si="6"/>
        <v>29805</v>
      </c>
      <c r="O201" s="4">
        <v>5</v>
      </c>
      <c r="P201" s="4">
        <v>0</v>
      </c>
      <c r="Q201" s="4">
        <v>14</v>
      </c>
      <c r="R201" s="4">
        <v>6</v>
      </c>
      <c r="S201" s="4">
        <v>12</v>
      </c>
      <c r="T201" s="4">
        <v>10</v>
      </c>
      <c r="U201" s="4">
        <v>5</v>
      </c>
      <c r="V201" s="4">
        <v>11</v>
      </c>
      <c r="W201" s="4">
        <v>2</v>
      </c>
      <c r="X201" s="4">
        <v>1</v>
      </c>
      <c r="Y201" s="4">
        <v>0</v>
      </c>
      <c r="Z201" s="4">
        <v>2</v>
      </c>
      <c r="AA201" s="3">
        <f t="shared" si="7"/>
        <v>68</v>
      </c>
      <c r="AB201" t="s">
        <v>63</v>
      </c>
      <c r="AC201">
        <v>40.130000000000003</v>
      </c>
      <c r="AD201">
        <v>32.26</v>
      </c>
      <c r="AE201">
        <v>29.12</v>
      </c>
      <c r="AF201">
        <v>30.6</v>
      </c>
      <c r="AG201">
        <v>60.76</v>
      </c>
      <c r="AH201">
        <v>0.9</v>
      </c>
      <c r="AI201">
        <v>12.27</v>
      </c>
      <c r="AJ201">
        <v>221.43</v>
      </c>
      <c r="AK201">
        <v>65.2</v>
      </c>
      <c r="AL201">
        <v>1.85</v>
      </c>
      <c r="AM201">
        <v>86.38</v>
      </c>
      <c r="AN201">
        <v>21.32</v>
      </c>
      <c r="AO201" s="1">
        <v>602.22000000000014</v>
      </c>
    </row>
    <row r="202" spans="1:41" x14ac:dyDescent="0.25">
      <c r="A202" t="s">
        <v>600</v>
      </c>
      <c r="B202" s="4">
        <v>1982</v>
      </c>
      <c r="C202" s="4">
        <v>1119</v>
      </c>
      <c r="D202" s="4">
        <v>3416</v>
      </c>
      <c r="E202" s="4">
        <v>928</v>
      </c>
      <c r="F202" s="4">
        <v>586</v>
      </c>
      <c r="G202" s="4">
        <v>1097</v>
      </c>
      <c r="H202" s="4">
        <v>791</v>
      </c>
      <c r="I202" s="4">
        <v>0</v>
      </c>
      <c r="J202" s="4">
        <v>2384</v>
      </c>
      <c r="K202" s="4">
        <v>526</v>
      </c>
      <c r="L202" s="4">
        <v>1240</v>
      </c>
      <c r="M202" s="4">
        <v>1090</v>
      </c>
      <c r="N202" s="3">
        <f t="shared" si="6"/>
        <v>15159</v>
      </c>
      <c r="O202" s="4">
        <v>3</v>
      </c>
      <c r="P202" s="4">
        <v>2</v>
      </c>
      <c r="Q202" s="4">
        <v>1</v>
      </c>
      <c r="R202" s="4">
        <v>0</v>
      </c>
      <c r="S202" s="4">
        <v>8</v>
      </c>
      <c r="T202" s="4">
        <v>2</v>
      </c>
      <c r="U202" s="4">
        <v>2</v>
      </c>
      <c r="V202" s="4">
        <v>2</v>
      </c>
      <c r="W202" s="4">
        <v>2</v>
      </c>
      <c r="X202" s="4">
        <v>5</v>
      </c>
      <c r="Y202" s="4">
        <v>16</v>
      </c>
      <c r="Z202" s="4">
        <v>4</v>
      </c>
      <c r="AA202" s="3">
        <f t="shared" si="7"/>
        <v>47</v>
      </c>
      <c r="AB202" t="s">
        <v>63</v>
      </c>
      <c r="AC202">
        <v>39.909999999999997</v>
      </c>
      <c r="AD202">
        <v>22.56</v>
      </c>
      <c r="AE202">
        <v>68.41</v>
      </c>
      <c r="AF202">
        <v>18.559999999999999</v>
      </c>
      <c r="AG202">
        <v>12.44</v>
      </c>
      <c r="AH202">
        <v>22.12</v>
      </c>
      <c r="AI202">
        <v>16</v>
      </c>
      <c r="AJ202">
        <v>0.18</v>
      </c>
      <c r="AK202">
        <v>47.86</v>
      </c>
      <c r="AL202">
        <v>10.97</v>
      </c>
      <c r="AM202">
        <v>26.24</v>
      </c>
      <c r="AN202">
        <v>22.16</v>
      </c>
      <c r="AO202" s="1">
        <v>307.41000000000008</v>
      </c>
    </row>
    <row r="203" spans="1:41" x14ac:dyDescent="0.25">
      <c r="A203" t="s">
        <v>601</v>
      </c>
      <c r="B203" s="4">
        <v>1971</v>
      </c>
      <c r="C203" s="4">
        <v>7367</v>
      </c>
      <c r="D203" s="4">
        <v>0</v>
      </c>
      <c r="E203" s="4">
        <v>26</v>
      </c>
      <c r="F203" s="4">
        <v>2234</v>
      </c>
      <c r="G203" s="4">
        <v>1660</v>
      </c>
      <c r="H203" s="4">
        <v>6631</v>
      </c>
      <c r="I203" s="4">
        <v>0</v>
      </c>
      <c r="J203" s="4">
        <v>2958</v>
      </c>
      <c r="K203" s="4">
        <v>315</v>
      </c>
      <c r="L203" s="4">
        <v>7036</v>
      </c>
      <c r="M203" s="4">
        <v>4523</v>
      </c>
      <c r="N203" s="3">
        <f t="shared" si="6"/>
        <v>34721</v>
      </c>
      <c r="O203" s="4">
        <v>5</v>
      </c>
      <c r="P203" s="4">
        <v>0</v>
      </c>
      <c r="Q203" s="4">
        <v>0</v>
      </c>
      <c r="R203" s="4">
        <v>5</v>
      </c>
      <c r="S203" s="4">
        <v>3</v>
      </c>
      <c r="T203" s="4">
        <v>2</v>
      </c>
      <c r="U203" s="4">
        <v>7</v>
      </c>
      <c r="V203" s="4">
        <v>2</v>
      </c>
      <c r="W203" s="4">
        <v>6</v>
      </c>
      <c r="X203" s="4">
        <v>1</v>
      </c>
      <c r="Y203" s="4">
        <v>15</v>
      </c>
      <c r="Z203" s="4">
        <v>1</v>
      </c>
      <c r="AA203" s="3">
        <f t="shared" si="7"/>
        <v>47</v>
      </c>
      <c r="AB203" t="s">
        <v>63</v>
      </c>
      <c r="AC203">
        <v>39.869999999999997</v>
      </c>
      <c r="AD203">
        <v>147.34</v>
      </c>
      <c r="AE203">
        <v>0</v>
      </c>
      <c r="AF203">
        <v>0.97</v>
      </c>
      <c r="AG203">
        <v>44.95</v>
      </c>
      <c r="AH203">
        <v>33.380000000000003</v>
      </c>
      <c r="AI203">
        <v>133.25</v>
      </c>
      <c r="AJ203">
        <v>0.18</v>
      </c>
      <c r="AK203">
        <v>59.7</v>
      </c>
      <c r="AL203">
        <v>6.39</v>
      </c>
      <c r="AM203">
        <v>142.07</v>
      </c>
      <c r="AN203">
        <v>90.55</v>
      </c>
      <c r="AO203" s="1">
        <v>698.64999999999986</v>
      </c>
    </row>
    <row r="204" spans="1:41" x14ac:dyDescent="0.25">
      <c r="A204" t="s">
        <v>602</v>
      </c>
      <c r="B204" s="4">
        <v>1965</v>
      </c>
      <c r="C204" s="4">
        <v>2567</v>
      </c>
      <c r="D204" s="4">
        <v>11601</v>
      </c>
      <c r="E204" s="4">
        <v>7830</v>
      </c>
      <c r="F204" s="4">
        <v>757</v>
      </c>
      <c r="G204" s="4">
        <v>1615</v>
      </c>
      <c r="H204" s="4">
        <v>6800</v>
      </c>
      <c r="I204" s="4">
        <v>6908</v>
      </c>
      <c r="J204" s="4">
        <v>614</v>
      </c>
      <c r="K204" s="4">
        <v>4837</v>
      </c>
      <c r="L204" s="4">
        <v>3723</v>
      </c>
      <c r="M204" s="4">
        <v>3202</v>
      </c>
      <c r="N204" s="3">
        <f t="shared" si="6"/>
        <v>52419</v>
      </c>
      <c r="O204" s="4">
        <v>2</v>
      </c>
      <c r="P204" s="4">
        <v>2</v>
      </c>
      <c r="Q204" s="4">
        <v>7</v>
      </c>
      <c r="R204" s="4">
        <v>5</v>
      </c>
      <c r="S204" s="4">
        <v>2</v>
      </c>
      <c r="T204" s="4">
        <v>2</v>
      </c>
      <c r="U204" s="4">
        <v>14</v>
      </c>
      <c r="V204" s="4">
        <v>4</v>
      </c>
      <c r="W204" s="4">
        <v>4</v>
      </c>
      <c r="X204" s="4">
        <v>3</v>
      </c>
      <c r="Y204" s="4">
        <v>0</v>
      </c>
      <c r="Z204" s="4">
        <v>2</v>
      </c>
      <c r="AA204" s="3">
        <f t="shared" si="7"/>
        <v>47</v>
      </c>
      <c r="AB204" t="s">
        <v>63</v>
      </c>
      <c r="AC204">
        <v>39.479999999999997</v>
      </c>
      <c r="AD204">
        <v>51.52</v>
      </c>
      <c r="AE204">
        <v>232.65</v>
      </c>
      <c r="AF204">
        <v>157.05000000000001</v>
      </c>
      <c r="AG204">
        <v>15.32</v>
      </c>
      <c r="AH204">
        <v>32.479999999999997</v>
      </c>
      <c r="AI204">
        <v>137.26</v>
      </c>
      <c r="AJ204">
        <v>138.52000000000001</v>
      </c>
      <c r="AK204">
        <v>12.64</v>
      </c>
      <c r="AL204">
        <v>97.01</v>
      </c>
      <c r="AM204">
        <v>74.459999999999994</v>
      </c>
      <c r="AN204">
        <v>64.22</v>
      </c>
      <c r="AO204" s="1">
        <v>1052.6099999999999</v>
      </c>
    </row>
    <row r="205" spans="1:41" x14ac:dyDescent="0.25">
      <c r="A205" t="s">
        <v>604</v>
      </c>
      <c r="B205" s="4">
        <v>1960</v>
      </c>
      <c r="C205" s="4">
        <v>666</v>
      </c>
      <c r="D205" s="4">
        <v>5375</v>
      </c>
      <c r="E205" s="4">
        <v>6017</v>
      </c>
      <c r="F205" s="4">
        <v>249</v>
      </c>
      <c r="G205" s="4">
        <v>6934</v>
      </c>
      <c r="H205" s="4">
        <v>3935</v>
      </c>
      <c r="I205" s="4">
        <v>2113</v>
      </c>
      <c r="J205" s="4">
        <v>0</v>
      </c>
      <c r="K205" s="4">
        <v>2058</v>
      </c>
      <c r="L205" s="4">
        <v>3992</v>
      </c>
      <c r="M205" s="4">
        <v>0</v>
      </c>
      <c r="N205" s="3">
        <f t="shared" si="6"/>
        <v>33299</v>
      </c>
      <c r="O205" s="4">
        <v>2</v>
      </c>
      <c r="P205" s="4">
        <v>4</v>
      </c>
      <c r="Q205" s="4">
        <v>0</v>
      </c>
      <c r="R205" s="4">
        <v>4</v>
      </c>
      <c r="S205" s="4">
        <v>5</v>
      </c>
      <c r="T205" s="4">
        <v>0</v>
      </c>
      <c r="U205" s="4">
        <v>4</v>
      </c>
      <c r="V205" s="4">
        <v>8</v>
      </c>
      <c r="W205" s="4">
        <v>7</v>
      </c>
      <c r="X205" s="4">
        <v>5</v>
      </c>
      <c r="Y205" s="4">
        <v>9</v>
      </c>
      <c r="Z205" s="4">
        <v>1</v>
      </c>
      <c r="AA205" s="3">
        <f t="shared" si="7"/>
        <v>49</v>
      </c>
      <c r="AB205" t="s">
        <v>63</v>
      </c>
      <c r="AC205">
        <v>39.380000000000003</v>
      </c>
      <c r="AD205">
        <v>13.68</v>
      </c>
      <c r="AE205">
        <v>107.5</v>
      </c>
      <c r="AF205">
        <v>120.7</v>
      </c>
      <c r="AG205">
        <v>5.43</v>
      </c>
      <c r="AH205">
        <v>138.68</v>
      </c>
      <c r="AI205">
        <v>79.06</v>
      </c>
      <c r="AJ205">
        <v>42.98</v>
      </c>
      <c r="AK205">
        <v>0.63</v>
      </c>
      <c r="AL205">
        <v>41.61</v>
      </c>
      <c r="AM205">
        <v>80.650000000000006</v>
      </c>
      <c r="AN205">
        <v>0.09</v>
      </c>
      <c r="AO205" s="1">
        <v>670.39</v>
      </c>
    </row>
    <row r="206" spans="1:41" x14ac:dyDescent="0.25">
      <c r="A206" t="s">
        <v>605</v>
      </c>
      <c r="B206" s="4">
        <v>1946</v>
      </c>
      <c r="C206" s="4">
        <v>10650</v>
      </c>
      <c r="D206" s="4">
        <v>3149</v>
      </c>
      <c r="E206" s="4">
        <v>4818</v>
      </c>
      <c r="F206" s="4">
        <v>2460</v>
      </c>
      <c r="G206" s="4">
        <v>5871</v>
      </c>
      <c r="H206" s="4">
        <v>4317</v>
      </c>
      <c r="I206" s="4">
        <v>1584</v>
      </c>
      <c r="J206" s="4">
        <v>4173</v>
      </c>
      <c r="K206" s="4">
        <v>1360</v>
      </c>
      <c r="L206" s="4">
        <v>0</v>
      </c>
      <c r="M206" s="4">
        <v>5854</v>
      </c>
      <c r="N206" s="3">
        <f t="shared" si="6"/>
        <v>46182</v>
      </c>
      <c r="O206" s="4">
        <v>12</v>
      </c>
      <c r="P206" s="4">
        <v>2</v>
      </c>
      <c r="Q206" s="4">
        <v>0</v>
      </c>
      <c r="R206" s="4">
        <v>5</v>
      </c>
      <c r="S206" s="4">
        <v>3</v>
      </c>
      <c r="T206" s="4">
        <v>4</v>
      </c>
      <c r="U206" s="4">
        <v>4</v>
      </c>
      <c r="V206" s="4">
        <v>9</v>
      </c>
      <c r="W206" s="4">
        <v>7</v>
      </c>
      <c r="X206" s="4">
        <v>5</v>
      </c>
      <c r="Y206" s="4">
        <v>6</v>
      </c>
      <c r="Z206" s="4">
        <v>12</v>
      </c>
      <c r="AA206" s="3">
        <f t="shared" si="7"/>
        <v>69</v>
      </c>
      <c r="AB206" t="s">
        <v>63</v>
      </c>
      <c r="AC206">
        <v>40</v>
      </c>
      <c r="AD206">
        <v>213.18</v>
      </c>
      <c r="AE206">
        <v>62.98</v>
      </c>
      <c r="AF206">
        <v>96.81</v>
      </c>
      <c r="AG206">
        <v>49.47</v>
      </c>
      <c r="AH206">
        <v>117.78</v>
      </c>
      <c r="AI206">
        <v>86.7</v>
      </c>
      <c r="AJ206">
        <v>32.49</v>
      </c>
      <c r="AK206">
        <v>84.09</v>
      </c>
      <c r="AL206">
        <v>27.65</v>
      </c>
      <c r="AM206">
        <v>0.54</v>
      </c>
      <c r="AN206">
        <v>118.16</v>
      </c>
      <c r="AO206" s="1">
        <v>929.85</v>
      </c>
    </row>
    <row r="207" spans="1:41" x14ac:dyDescent="0.25">
      <c r="A207" t="s">
        <v>609</v>
      </c>
      <c r="B207" s="4">
        <v>1902</v>
      </c>
      <c r="C207" s="4">
        <v>5131</v>
      </c>
      <c r="D207" s="4">
        <v>1287</v>
      </c>
      <c r="E207" s="4">
        <v>724</v>
      </c>
      <c r="F207" s="4">
        <v>3014</v>
      </c>
      <c r="G207" s="4">
        <v>864</v>
      </c>
      <c r="H207" s="4">
        <v>2735</v>
      </c>
      <c r="I207" s="4">
        <v>0</v>
      </c>
      <c r="J207" s="4">
        <v>3764</v>
      </c>
      <c r="K207" s="4">
        <v>3423</v>
      </c>
      <c r="L207" s="4">
        <v>3553</v>
      </c>
      <c r="M207" s="4">
        <v>1399</v>
      </c>
      <c r="N207" s="3">
        <f t="shared" si="6"/>
        <v>27796</v>
      </c>
      <c r="O207" s="4">
        <v>2</v>
      </c>
      <c r="P207" s="4">
        <v>4</v>
      </c>
      <c r="Q207" s="4">
        <v>5</v>
      </c>
      <c r="R207" s="4">
        <v>7</v>
      </c>
      <c r="S207" s="4">
        <v>11</v>
      </c>
      <c r="T207" s="4">
        <v>4</v>
      </c>
      <c r="U207" s="4">
        <v>7</v>
      </c>
      <c r="V207" s="4">
        <v>3</v>
      </c>
      <c r="W207" s="4">
        <v>7</v>
      </c>
      <c r="X207" s="4">
        <v>1</v>
      </c>
      <c r="Y207" s="4">
        <v>1</v>
      </c>
      <c r="Z207" s="4">
        <v>4</v>
      </c>
      <c r="AA207" s="3">
        <f t="shared" si="7"/>
        <v>56</v>
      </c>
      <c r="AB207" t="s">
        <v>63</v>
      </c>
      <c r="AC207">
        <v>38.22</v>
      </c>
      <c r="AD207">
        <v>102.98</v>
      </c>
      <c r="AE207">
        <v>26.19</v>
      </c>
      <c r="AF207">
        <v>15.11</v>
      </c>
      <c r="AG207">
        <v>61.27</v>
      </c>
      <c r="AH207">
        <v>17.64</v>
      </c>
      <c r="AI207">
        <v>55.33</v>
      </c>
      <c r="AJ207">
        <v>0.27</v>
      </c>
      <c r="AK207">
        <v>75.91</v>
      </c>
      <c r="AL207">
        <v>68.55</v>
      </c>
      <c r="AM207">
        <v>71.150000000000006</v>
      </c>
      <c r="AN207">
        <v>28.34</v>
      </c>
      <c r="AO207" s="1">
        <v>560.96</v>
      </c>
    </row>
    <row r="208" spans="1:41" x14ac:dyDescent="0.25">
      <c r="A208" t="s">
        <v>613</v>
      </c>
      <c r="B208" s="4">
        <v>1873</v>
      </c>
      <c r="C208" s="4">
        <v>2360</v>
      </c>
      <c r="D208" s="4">
        <v>2210</v>
      </c>
      <c r="E208" s="4">
        <v>1283</v>
      </c>
      <c r="F208" s="4">
        <v>1570</v>
      </c>
      <c r="G208" s="4">
        <v>1278</v>
      </c>
      <c r="H208" s="4">
        <v>6536</v>
      </c>
      <c r="I208" s="4">
        <v>5746</v>
      </c>
      <c r="J208" s="4">
        <v>4915</v>
      </c>
      <c r="K208" s="4">
        <v>1880</v>
      </c>
      <c r="L208" s="4">
        <v>3093</v>
      </c>
      <c r="M208" s="4">
        <v>672</v>
      </c>
      <c r="N208" s="3">
        <f t="shared" si="6"/>
        <v>33416</v>
      </c>
      <c r="O208" s="4">
        <v>6</v>
      </c>
      <c r="P208" s="4">
        <v>3</v>
      </c>
      <c r="Q208" s="4">
        <v>7</v>
      </c>
      <c r="R208" s="4">
        <v>3</v>
      </c>
      <c r="S208" s="4">
        <v>8</v>
      </c>
      <c r="T208" s="4">
        <v>2</v>
      </c>
      <c r="U208" s="4">
        <v>5</v>
      </c>
      <c r="V208" s="4">
        <v>5</v>
      </c>
      <c r="W208" s="4">
        <v>4</v>
      </c>
      <c r="X208" s="4">
        <v>0</v>
      </c>
      <c r="Y208" s="4">
        <v>2</v>
      </c>
      <c r="Z208" s="4">
        <v>0</v>
      </c>
      <c r="AA208" s="3">
        <f t="shared" si="7"/>
        <v>45</v>
      </c>
      <c r="AB208" t="s">
        <v>63</v>
      </c>
      <c r="AC208">
        <v>38</v>
      </c>
      <c r="AD208">
        <v>47.47</v>
      </c>
      <c r="AE208">
        <v>44.83</v>
      </c>
      <c r="AF208">
        <v>25.93</v>
      </c>
      <c r="AG208">
        <v>32.119999999999997</v>
      </c>
      <c r="AH208">
        <v>25.74</v>
      </c>
      <c r="AI208">
        <v>131.16999999999999</v>
      </c>
      <c r="AJ208">
        <v>115.37</v>
      </c>
      <c r="AK208">
        <v>98.66</v>
      </c>
      <c r="AL208">
        <v>37.6</v>
      </c>
      <c r="AM208">
        <v>62.04</v>
      </c>
      <c r="AN208">
        <v>13.44</v>
      </c>
      <c r="AO208" s="1">
        <v>672.37</v>
      </c>
    </row>
    <row r="209" spans="1:41" x14ac:dyDescent="0.25">
      <c r="A209" t="s">
        <v>617</v>
      </c>
      <c r="B209" s="4">
        <v>1859</v>
      </c>
      <c r="C209" s="4">
        <v>901</v>
      </c>
      <c r="D209" s="4">
        <v>2111</v>
      </c>
      <c r="E209" s="4">
        <v>1596</v>
      </c>
      <c r="F209" s="4">
        <v>324</v>
      </c>
      <c r="G209" s="4">
        <v>2570</v>
      </c>
      <c r="H209" s="4">
        <v>1749</v>
      </c>
      <c r="I209" s="4">
        <v>0</v>
      </c>
      <c r="J209" s="4">
        <v>4698</v>
      </c>
      <c r="K209" s="4">
        <v>3756</v>
      </c>
      <c r="L209" s="4">
        <v>5930</v>
      </c>
      <c r="M209" s="4">
        <v>1812</v>
      </c>
      <c r="N209" s="3">
        <f t="shared" si="6"/>
        <v>27306</v>
      </c>
      <c r="O209" s="4">
        <v>10</v>
      </c>
      <c r="P209" s="4">
        <v>11</v>
      </c>
      <c r="Q209" s="4">
        <v>6</v>
      </c>
      <c r="R209" s="4">
        <v>3</v>
      </c>
      <c r="S209" s="4">
        <v>10</v>
      </c>
      <c r="T209" s="4">
        <v>1</v>
      </c>
      <c r="U209" s="4">
        <v>3</v>
      </c>
      <c r="V209" s="4">
        <v>1</v>
      </c>
      <c r="W209" s="4">
        <v>11</v>
      </c>
      <c r="X209" s="4">
        <v>2</v>
      </c>
      <c r="Y209" s="4">
        <v>2</v>
      </c>
      <c r="Z209" s="4">
        <v>4</v>
      </c>
      <c r="AA209" s="3">
        <f t="shared" si="7"/>
        <v>64</v>
      </c>
      <c r="AB209" t="s">
        <v>63</v>
      </c>
      <c r="AC209">
        <v>38.08</v>
      </c>
      <c r="AD209">
        <v>19.010000000000002</v>
      </c>
      <c r="AE209">
        <v>42.76</v>
      </c>
      <c r="AF209">
        <v>32.19</v>
      </c>
      <c r="AG209">
        <v>7.38</v>
      </c>
      <c r="AH209">
        <v>51.49</v>
      </c>
      <c r="AI209">
        <v>35.25</v>
      </c>
      <c r="AJ209">
        <v>0.09</v>
      </c>
      <c r="AK209">
        <v>94.95</v>
      </c>
      <c r="AL209">
        <v>75.3</v>
      </c>
      <c r="AM209">
        <v>118.78</v>
      </c>
      <c r="AN209">
        <v>36.6</v>
      </c>
      <c r="AO209" s="1">
        <v>551.88</v>
      </c>
    </row>
    <row r="210" spans="1:41" x14ac:dyDescent="0.25">
      <c r="A210" t="s">
        <v>624</v>
      </c>
      <c r="B210" s="4">
        <v>1803</v>
      </c>
      <c r="C210" s="4">
        <v>8435</v>
      </c>
      <c r="D210" s="4">
        <v>1480</v>
      </c>
      <c r="E210" s="4">
        <v>1055</v>
      </c>
      <c r="F210" s="4">
        <v>3528</v>
      </c>
      <c r="G210" s="4">
        <v>1591</v>
      </c>
      <c r="H210" s="4">
        <v>1170</v>
      </c>
      <c r="I210" s="4">
        <v>4480</v>
      </c>
      <c r="J210" s="4">
        <v>1457</v>
      </c>
      <c r="K210" s="4">
        <v>2753</v>
      </c>
      <c r="L210" s="4">
        <v>1679</v>
      </c>
      <c r="M210" s="4">
        <v>5437</v>
      </c>
      <c r="N210" s="3">
        <f t="shared" si="6"/>
        <v>34868</v>
      </c>
      <c r="O210" s="4">
        <v>1</v>
      </c>
      <c r="P210" s="4">
        <v>3</v>
      </c>
      <c r="Q210" s="4">
        <v>9</v>
      </c>
      <c r="R210" s="4">
        <v>4</v>
      </c>
      <c r="S210" s="4">
        <v>0</v>
      </c>
      <c r="T210" s="4">
        <v>5</v>
      </c>
      <c r="U210" s="4">
        <v>2</v>
      </c>
      <c r="V210" s="4">
        <v>0</v>
      </c>
      <c r="W210" s="4">
        <v>9</v>
      </c>
      <c r="X210" s="4">
        <v>4</v>
      </c>
      <c r="Y210" s="4">
        <v>11</v>
      </c>
      <c r="Z210" s="4">
        <v>8</v>
      </c>
      <c r="AA210" s="3">
        <f t="shared" si="7"/>
        <v>56</v>
      </c>
      <c r="AB210" t="s">
        <v>63</v>
      </c>
      <c r="AC210">
        <v>36.15</v>
      </c>
      <c r="AD210">
        <v>168.97</v>
      </c>
      <c r="AE210">
        <v>30.41</v>
      </c>
      <c r="AF210">
        <v>21.46</v>
      </c>
      <c r="AG210">
        <v>70.56</v>
      </c>
      <c r="AH210">
        <v>32.270000000000003</v>
      </c>
      <c r="AI210">
        <v>23.58</v>
      </c>
      <c r="AJ210">
        <v>89.6</v>
      </c>
      <c r="AK210">
        <v>29.95</v>
      </c>
      <c r="AL210">
        <v>55.42</v>
      </c>
      <c r="AM210">
        <v>34.57</v>
      </c>
      <c r="AN210">
        <v>109.46</v>
      </c>
      <c r="AO210" s="1">
        <v>702.40000000000009</v>
      </c>
    </row>
    <row r="211" spans="1:41" x14ac:dyDescent="0.25">
      <c r="A211" t="s">
        <v>625</v>
      </c>
      <c r="B211" s="4">
        <v>1799</v>
      </c>
      <c r="C211" s="4">
        <v>3305</v>
      </c>
      <c r="D211" s="4">
        <v>10682</v>
      </c>
      <c r="E211" s="4">
        <v>0</v>
      </c>
      <c r="F211" s="4">
        <v>1327</v>
      </c>
      <c r="G211" s="4">
        <v>0</v>
      </c>
      <c r="H211" s="4">
        <v>785</v>
      </c>
      <c r="I211" s="4">
        <v>831</v>
      </c>
      <c r="J211" s="4">
        <v>1230</v>
      </c>
      <c r="K211" s="4">
        <v>1881</v>
      </c>
      <c r="L211" s="4">
        <v>4920</v>
      </c>
      <c r="M211" s="4">
        <v>2249</v>
      </c>
      <c r="N211" s="3">
        <f t="shared" si="6"/>
        <v>29009</v>
      </c>
      <c r="O211" s="4">
        <v>4</v>
      </c>
      <c r="P211" s="4">
        <v>8</v>
      </c>
      <c r="Q211" s="4">
        <v>4</v>
      </c>
      <c r="R211" s="4">
        <v>1</v>
      </c>
      <c r="S211" s="4">
        <v>11</v>
      </c>
      <c r="T211" s="4">
        <v>0</v>
      </c>
      <c r="U211" s="4">
        <v>5</v>
      </c>
      <c r="V211" s="4">
        <v>2</v>
      </c>
      <c r="W211" s="4">
        <v>2</v>
      </c>
      <c r="X211" s="4">
        <v>4</v>
      </c>
      <c r="Y211" s="4">
        <v>2</v>
      </c>
      <c r="Z211" s="4">
        <v>4</v>
      </c>
      <c r="AA211" s="3">
        <f t="shared" si="7"/>
        <v>47</v>
      </c>
      <c r="AB211" t="s">
        <v>63</v>
      </c>
      <c r="AC211">
        <v>36.340000000000003</v>
      </c>
      <c r="AD211">
        <v>66.819999999999993</v>
      </c>
      <c r="AE211">
        <v>214</v>
      </c>
      <c r="AF211">
        <v>0.09</v>
      </c>
      <c r="AG211">
        <v>27.53</v>
      </c>
      <c r="AH211">
        <v>0</v>
      </c>
      <c r="AI211">
        <v>16.149999999999999</v>
      </c>
      <c r="AJ211">
        <v>16.8</v>
      </c>
      <c r="AK211">
        <v>24.78</v>
      </c>
      <c r="AL211">
        <v>37.979999999999997</v>
      </c>
      <c r="AM211">
        <v>98.58</v>
      </c>
      <c r="AN211">
        <v>45.34</v>
      </c>
      <c r="AO211" s="1">
        <v>584.41000000000008</v>
      </c>
    </row>
    <row r="212" spans="1:41" x14ac:dyDescent="0.25">
      <c r="A212" t="s">
        <v>626</v>
      </c>
      <c r="B212" s="4">
        <v>1794</v>
      </c>
      <c r="C212" s="4">
        <v>1229</v>
      </c>
      <c r="D212" s="4">
        <v>6</v>
      </c>
      <c r="E212" s="4">
        <v>1407</v>
      </c>
      <c r="F212" s="4">
        <v>546</v>
      </c>
      <c r="G212" s="4">
        <v>428</v>
      </c>
      <c r="H212" s="4">
        <v>3944</v>
      </c>
      <c r="I212" s="4">
        <v>3044</v>
      </c>
      <c r="J212" s="4">
        <v>1339</v>
      </c>
      <c r="K212" s="4">
        <v>5245</v>
      </c>
      <c r="L212" s="4">
        <v>4873</v>
      </c>
      <c r="M212" s="4">
        <v>2741</v>
      </c>
      <c r="N212" s="3">
        <f t="shared" si="6"/>
        <v>26596</v>
      </c>
      <c r="O212" s="4">
        <v>5</v>
      </c>
      <c r="P212" s="4">
        <v>8</v>
      </c>
      <c r="Q212" s="4">
        <v>17</v>
      </c>
      <c r="R212" s="4">
        <v>2</v>
      </c>
      <c r="S212" s="4">
        <v>6</v>
      </c>
      <c r="T212" s="4">
        <v>12</v>
      </c>
      <c r="U212" s="4">
        <v>0</v>
      </c>
      <c r="V212" s="4">
        <v>4</v>
      </c>
      <c r="W212" s="4">
        <v>6</v>
      </c>
      <c r="X212" s="4">
        <v>1</v>
      </c>
      <c r="Y212" s="4">
        <v>8</v>
      </c>
      <c r="Z212" s="4">
        <v>8</v>
      </c>
      <c r="AA212" s="3">
        <f t="shared" si="7"/>
        <v>77</v>
      </c>
      <c r="AB212" t="s">
        <v>63</v>
      </c>
      <c r="AC212">
        <v>36.33</v>
      </c>
      <c r="AD212">
        <v>25.3</v>
      </c>
      <c r="AE212">
        <v>1.65</v>
      </c>
      <c r="AF212">
        <v>28.32</v>
      </c>
      <c r="AG212">
        <v>11.46</v>
      </c>
      <c r="AH212">
        <v>9.64</v>
      </c>
      <c r="AI212">
        <v>78.88</v>
      </c>
      <c r="AJ212">
        <v>61.24</v>
      </c>
      <c r="AK212">
        <v>27.32</v>
      </c>
      <c r="AL212">
        <v>104.99</v>
      </c>
      <c r="AM212">
        <v>98.18</v>
      </c>
      <c r="AN212">
        <v>55.54</v>
      </c>
      <c r="AO212" s="1">
        <v>538.85</v>
      </c>
    </row>
    <row r="213" spans="1:41" x14ac:dyDescent="0.25">
      <c r="A213" t="s">
        <v>628</v>
      </c>
      <c r="B213" s="4">
        <v>1790</v>
      </c>
      <c r="C213" s="4">
        <v>1194</v>
      </c>
      <c r="D213" s="4">
        <v>4147</v>
      </c>
      <c r="E213" s="4">
        <v>1620</v>
      </c>
      <c r="F213" s="4">
        <v>2575</v>
      </c>
      <c r="G213" s="4">
        <v>544</v>
      </c>
      <c r="H213" s="4">
        <v>966</v>
      </c>
      <c r="I213" s="4">
        <v>3224</v>
      </c>
      <c r="J213" s="4">
        <v>1076</v>
      </c>
      <c r="K213" s="4">
        <v>1703</v>
      </c>
      <c r="L213" s="4">
        <v>906</v>
      </c>
      <c r="M213" s="4">
        <v>4886</v>
      </c>
      <c r="N213" s="3">
        <f t="shared" si="6"/>
        <v>24631</v>
      </c>
      <c r="O213" s="4">
        <v>6</v>
      </c>
      <c r="P213" s="4">
        <v>5</v>
      </c>
      <c r="Q213" s="4">
        <v>10</v>
      </c>
      <c r="R213" s="4">
        <v>1</v>
      </c>
      <c r="S213" s="4">
        <v>1</v>
      </c>
      <c r="T213" s="4">
        <v>2</v>
      </c>
      <c r="U213" s="4">
        <v>0</v>
      </c>
      <c r="V213" s="4">
        <v>0</v>
      </c>
      <c r="W213" s="4">
        <v>8</v>
      </c>
      <c r="X213" s="4">
        <v>6</v>
      </c>
      <c r="Y213" s="4">
        <v>4</v>
      </c>
      <c r="Z213" s="4">
        <v>5</v>
      </c>
      <c r="AA213" s="3">
        <f t="shared" si="7"/>
        <v>48</v>
      </c>
      <c r="AB213" t="s">
        <v>63</v>
      </c>
      <c r="AC213">
        <v>36.340000000000003</v>
      </c>
      <c r="AD213">
        <v>24.33</v>
      </c>
      <c r="AE213">
        <v>83.84</v>
      </c>
      <c r="AF213">
        <v>32.49</v>
      </c>
      <c r="AG213">
        <v>51.59</v>
      </c>
      <c r="AH213">
        <v>11.06</v>
      </c>
      <c r="AI213">
        <v>19.32</v>
      </c>
      <c r="AJ213">
        <v>64.48</v>
      </c>
      <c r="AK213">
        <v>22.24</v>
      </c>
      <c r="AL213">
        <v>34.6</v>
      </c>
      <c r="AM213">
        <v>18.48</v>
      </c>
      <c r="AN213">
        <v>98.17</v>
      </c>
      <c r="AO213" s="1">
        <v>496.94000000000011</v>
      </c>
    </row>
    <row r="214" spans="1:41" x14ac:dyDescent="0.25">
      <c r="A214" t="s">
        <v>629</v>
      </c>
      <c r="B214" s="4">
        <v>1790</v>
      </c>
      <c r="C214" s="4">
        <v>1453</v>
      </c>
      <c r="D214" s="4">
        <v>3848</v>
      </c>
      <c r="E214" s="4">
        <v>559</v>
      </c>
      <c r="F214" s="4">
        <v>2384</v>
      </c>
      <c r="G214" s="4">
        <v>778</v>
      </c>
      <c r="H214" s="4">
        <v>2720</v>
      </c>
      <c r="I214" s="4">
        <v>1969</v>
      </c>
      <c r="J214" s="4">
        <v>4383</v>
      </c>
      <c r="K214" s="4">
        <v>2876</v>
      </c>
      <c r="L214" s="4">
        <v>2613</v>
      </c>
      <c r="M214" s="4">
        <v>826</v>
      </c>
      <c r="N214" s="3">
        <f t="shared" si="6"/>
        <v>26199</v>
      </c>
      <c r="O214" s="4">
        <v>5</v>
      </c>
      <c r="P214" s="4">
        <v>1</v>
      </c>
      <c r="Q214" s="4">
        <v>1</v>
      </c>
      <c r="R214" s="4">
        <v>3</v>
      </c>
      <c r="S214" s="4">
        <v>3</v>
      </c>
      <c r="T214" s="4">
        <v>8</v>
      </c>
      <c r="U214" s="4">
        <v>6</v>
      </c>
      <c r="V214" s="4">
        <v>4</v>
      </c>
      <c r="W214" s="4">
        <v>1</v>
      </c>
      <c r="X214" s="4">
        <v>25</v>
      </c>
      <c r="Y214" s="4">
        <v>3</v>
      </c>
      <c r="Z214" s="4">
        <v>2</v>
      </c>
      <c r="AA214" s="3">
        <f t="shared" si="7"/>
        <v>62</v>
      </c>
      <c r="AB214" t="s">
        <v>63</v>
      </c>
      <c r="AC214">
        <v>36.25</v>
      </c>
      <c r="AD214">
        <v>29.15</v>
      </c>
      <c r="AE214">
        <v>77.05</v>
      </c>
      <c r="AF214">
        <v>11.45</v>
      </c>
      <c r="AG214">
        <v>47.95</v>
      </c>
      <c r="AH214">
        <v>16.28</v>
      </c>
      <c r="AI214">
        <v>54.94</v>
      </c>
      <c r="AJ214">
        <v>39.74</v>
      </c>
      <c r="AK214">
        <v>87.75</v>
      </c>
      <c r="AL214">
        <v>59.77</v>
      </c>
      <c r="AM214">
        <v>52.53</v>
      </c>
      <c r="AN214">
        <v>16.7</v>
      </c>
      <c r="AO214" s="1">
        <v>529.55999999999995</v>
      </c>
    </row>
    <row r="215" spans="1:41" x14ac:dyDescent="0.25">
      <c r="A215" t="s">
        <v>631</v>
      </c>
      <c r="B215" s="4">
        <v>1786</v>
      </c>
      <c r="C215" s="4">
        <v>0</v>
      </c>
      <c r="D215" s="4">
        <v>519</v>
      </c>
      <c r="E215" s="4">
        <v>2513</v>
      </c>
      <c r="F215" s="4">
        <v>186</v>
      </c>
      <c r="G215" s="4">
        <v>2988</v>
      </c>
      <c r="H215" s="4">
        <v>2402</v>
      </c>
      <c r="I215" s="4">
        <v>0</v>
      </c>
      <c r="J215" s="4">
        <v>2175</v>
      </c>
      <c r="K215" s="4">
        <v>2091</v>
      </c>
      <c r="L215" s="4">
        <v>1604</v>
      </c>
      <c r="M215" s="4">
        <v>2163</v>
      </c>
      <c r="N215" s="3">
        <f t="shared" si="6"/>
        <v>18427</v>
      </c>
      <c r="O215" s="4">
        <v>8</v>
      </c>
      <c r="P215" s="4">
        <v>5</v>
      </c>
      <c r="Q215" s="4">
        <v>6</v>
      </c>
      <c r="R215" s="4">
        <v>6</v>
      </c>
      <c r="S215" s="4">
        <v>9</v>
      </c>
      <c r="T215" s="4">
        <v>4</v>
      </c>
      <c r="U215" s="4">
        <v>1</v>
      </c>
      <c r="V215" s="4">
        <v>1</v>
      </c>
      <c r="W215" s="4">
        <v>3</v>
      </c>
      <c r="X215" s="4">
        <v>2</v>
      </c>
      <c r="Y215" s="4">
        <v>4</v>
      </c>
      <c r="Z215" s="4">
        <v>3</v>
      </c>
      <c r="AA215" s="3">
        <f t="shared" si="7"/>
        <v>52</v>
      </c>
      <c r="AB215" t="s">
        <v>63</v>
      </c>
      <c r="AC215">
        <v>36.44</v>
      </c>
      <c r="AD215">
        <v>0.45</v>
      </c>
      <c r="AE215">
        <v>10.92</v>
      </c>
      <c r="AF215">
        <v>50.8</v>
      </c>
      <c r="AG215">
        <v>4.53</v>
      </c>
      <c r="AH215">
        <v>60.12</v>
      </c>
      <c r="AI215">
        <v>48.13</v>
      </c>
      <c r="AJ215">
        <v>0.09</v>
      </c>
      <c r="AK215">
        <v>43.77</v>
      </c>
      <c r="AL215">
        <v>42</v>
      </c>
      <c r="AM215">
        <v>32.44</v>
      </c>
      <c r="AN215">
        <v>43.53</v>
      </c>
      <c r="AO215" s="1">
        <v>373.22</v>
      </c>
    </row>
    <row r="216" spans="1:41" x14ac:dyDescent="0.25">
      <c r="A216" t="s">
        <v>634</v>
      </c>
      <c r="B216" s="4">
        <v>1775</v>
      </c>
      <c r="C216" s="4">
        <v>2116</v>
      </c>
      <c r="D216" s="4">
        <v>1597</v>
      </c>
      <c r="E216" s="4">
        <v>7819</v>
      </c>
      <c r="F216" s="4">
        <v>1440</v>
      </c>
      <c r="G216" s="4">
        <v>0</v>
      </c>
      <c r="H216" s="4">
        <v>403</v>
      </c>
      <c r="I216" s="4">
        <v>4742</v>
      </c>
      <c r="J216" s="4">
        <v>3686</v>
      </c>
      <c r="K216" s="4">
        <v>1693</v>
      </c>
      <c r="L216" s="4">
        <v>972</v>
      </c>
      <c r="M216" s="4">
        <v>4478</v>
      </c>
      <c r="N216" s="3">
        <f t="shared" si="6"/>
        <v>30721</v>
      </c>
      <c r="O216" s="4">
        <v>4</v>
      </c>
      <c r="P216" s="4">
        <v>4</v>
      </c>
      <c r="Q216" s="4">
        <v>6</v>
      </c>
      <c r="R216" s="4">
        <v>5</v>
      </c>
      <c r="S216" s="4">
        <v>1</v>
      </c>
      <c r="T216" s="4">
        <v>2</v>
      </c>
      <c r="U216" s="4">
        <v>4</v>
      </c>
      <c r="V216" s="4">
        <v>3</v>
      </c>
      <c r="W216" s="4">
        <v>2</v>
      </c>
      <c r="X216" s="4">
        <v>6</v>
      </c>
      <c r="Y216" s="4">
        <v>4</v>
      </c>
      <c r="Z216" s="4">
        <v>5</v>
      </c>
      <c r="AA216" s="3">
        <f t="shared" si="7"/>
        <v>46</v>
      </c>
      <c r="AB216" t="s">
        <v>63</v>
      </c>
      <c r="AC216">
        <v>35.86</v>
      </c>
      <c r="AD216">
        <v>42.68</v>
      </c>
      <c r="AE216">
        <v>32.479999999999997</v>
      </c>
      <c r="AF216">
        <v>156.83000000000001</v>
      </c>
      <c r="AG216">
        <v>28.89</v>
      </c>
      <c r="AH216">
        <v>0.18</v>
      </c>
      <c r="AI216">
        <v>8.42</v>
      </c>
      <c r="AJ216">
        <v>95.11</v>
      </c>
      <c r="AK216">
        <v>73.900000000000006</v>
      </c>
      <c r="AL216">
        <v>34.4</v>
      </c>
      <c r="AM216">
        <v>19.8</v>
      </c>
      <c r="AN216">
        <v>90.01</v>
      </c>
      <c r="AO216" s="1">
        <v>618.55999999999995</v>
      </c>
    </row>
    <row r="217" spans="1:41" x14ac:dyDescent="0.25">
      <c r="A217" t="s">
        <v>636</v>
      </c>
      <c r="B217" s="4">
        <v>1771</v>
      </c>
      <c r="C217" s="4">
        <v>164</v>
      </c>
      <c r="D217" s="4">
        <v>0</v>
      </c>
      <c r="E217" s="4">
        <v>1175</v>
      </c>
      <c r="F217" s="4">
        <v>4288</v>
      </c>
      <c r="G217" s="4">
        <v>0</v>
      </c>
      <c r="H217" s="4">
        <v>3410</v>
      </c>
      <c r="I217" s="4">
        <v>104</v>
      </c>
      <c r="J217" s="4">
        <v>1116</v>
      </c>
      <c r="K217" s="4">
        <v>1055</v>
      </c>
      <c r="L217" s="4">
        <v>1354</v>
      </c>
      <c r="M217" s="4">
        <v>0</v>
      </c>
      <c r="N217" s="3">
        <f t="shared" si="6"/>
        <v>14437</v>
      </c>
      <c r="O217" s="4">
        <v>1</v>
      </c>
      <c r="P217" s="4">
        <v>11</v>
      </c>
      <c r="Q217" s="4">
        <v>16</v>
      </c>
      <c r="R217" s="4">
        <v>1</v>
      </c>
      <c r="S217" s="4">
        <v>9</v>
      </c>
      <c r="T217" s="4">
        <v>4</v>
      </c>
      <c r="U217" s="4">
        <v>1</v>
      </c>
      <c r="V217" s="4">
        <v>4</v>
      </c>
      <c r="W217" s="4">
        <v>5</v>
      </c>
      <c r="X217" s="4">
        <v>20</v>
      </c>
      <c r="Y217" s="4">
        <v>2</v>
      </c>
      <c r="Z217" s="4">
        <v>6</v>
      </c>
      <c r="AA217" s="3">
        <f t="shared" si="7"/>
        <v>80</v>
      </c>
      <c r="AB217" t="s">
        <v>63</v>
      </c>
      <c r="AC217">
        <v>35.51</v>
      </c>
      <c r="AD217">
        <v>4.2699999999999996</v>
      </c>
      <c r="AE217">
        <v>1.44</v>
      </c>
      <c r="AF217">
        <v>23.59</v>
      </c>
      <c r="AG217">
        <v>86.57</v>
      </c>
      <c r="AH217">
        <v>0.36</v>
      </c>
      <c r="AI217">
        <v>68.290000000000006</v>
      </c>
      <c r="AJ217">
        <v>2.44</v>
      </c>
      <c r="AK217">
        <v>22.77</v>
      </c>
      <c r="AL217">
        <v>22.9</v>
      </c>
      <c r="AM217">
        <v>27.26</v>
      </c>
      <c r="AN217">
        <v>0.54</v>
      </c>
      <c r="AO217" s="1">
        <v>295.94000000000005</v>
      </c>
    </row>
    <row r="218" spans="1:41" x14ac:dyDescent="0.25">
      <c r="A218" t="s">
        <v>637</v>
      </c>
      <c r="B218" s="4">
        <v>1764</v>
      </c>
      <c r="C218" s="4">
        <v>15371</v>
      </c>
      <c r="D218" s="4">
        <v>0</v>
      </c>
      <c r="E218" s="4">
        <v>1993</v>
      </c>
      <c r="F218" s="4">
        <v>2433</v>
      </c>
      <c r="G218" s="4">
        <v>2430</v>
      </c>
      <c r="H218" s="4">
        <v>1773</v>
      </c>
      <c r="I218" s="4">
        <v>8557</v>
      </c>
      <c r="J218" s="4">
        <v>0</v>
      </c>
      <c r="K218" s="4">
        <v>5385</v>
      </c>
      <c r="L218" s="4">
        <v>1508</v>
      </c>
      <c r="M218" s="4">
        <v>1728</v>
      </c>
      <c r="N218" s="3">
        <f t="shared" si="6"/>
        <v>42942</v>
      </c>
      <c r="O218" s="4">
        <v>2</v>
      </c>
      <c r="P218" s="4">
        <v>0</v>
      </c>
      <c r="Q218" s="4">
        <v>3</v>
      </c>
      <c r="R218" s="4">
        <v>6</v>
      </c>
      <c r="S218" s="4">
        <v>2</v>
      </c>
      <c r="T218" s="4">
        <v>8</v>
      </c>
      <c r="U218" s="4">
        <v>0</v>
      </c>
      <c r="V218" s="4">
        <v>1</v>
      </c>
      <c r="W218" s="4">
        <v>1</v>
      </c>
      <c r="X218" s="4">
        <v>1</v>
      </c>
      <c r="Y218" s="4">
        <v>0</v>
      </c>
      <c r="Z218" s="4">
        <v>12</v>
      </c>
      <c r="AA218" s="3">
        <f t="shared" si="7"/>
        <v>36</v>
      </c>
      <c r="AB218" t="s">
        <v>63</v>
      </c>
      <c r="AC218">
        <v>35.46</v>
      </c>
      <c r="AD218">
        <v>307.42</v>
      </c>
      <c r="AE218">
        <v>0.27</v>
      </c>
      <c r="AF218">
        <v>40.4</v>
      </c>
      <c r="AG218">
        <v>48.84</v>
      </c>
      <c r="AH218">
        <v>49.32</v>
      </c>
      <c r="AI218">
        <v>35.46</v>
      </c>
      <c r="AJ218">
        <v>171.23</v>
      </c>
      <c r="AK218">
        <v>0.09</v>
      </c>
      <c r="AL218">
        <v>107.79</v>
      </c>
      <c r="AM218">
        <v>30.16</v>
      </c>
      <c r="AN218">
        <v>35.64</v>
      </c>
      <c r="AO218" s="1">
        <v>862.07999999999993</v>
      </c>
    </row>
    <row r="219" spans="1:41" x14ac:dyDescent="0.25">
      <c r="A219" t="s">
        <v>640</v>
      </c>
      <c r="B219" s="4">
        <v>1731</v>
      </c>
      <c r="C219" s="4">
        <v>4840</v>
      </c>
      <c r="D219" s="4">
        <v>1858</v>
      </c>
      <c r="E219" s="4">
        <v>2160</v>
      </c>
      <c r="F219" s="4">
        <v>0</v>
      </c>
      <c r="G219" s="4">
        <v>2751</v>
      </c>
      <c r="H219" s="4">
        <v>1321</v>
      </c>
      <c r="I219" s="4">
        <v>5864</v>
      </c>
      <c r="J219" s="4">
        <v>1757</v>
      </c>
      <c r="K219" s="4">
        <v>4171</v>
      </c>
      <c r="L219" s="4">
        <v>4440</v>
      </c>
      <c r="M219" s="4">
        <v>3981</v>
      </c>
      <c r="N219" s="3">
        <f t="shared" si="6"/>
        <v>34874</v>
      </c>
      <c r="O219" s="4">
        <v>8</v>
      </c>
      <c r="P219" s="4">
        <v>2</v>
      </c>
      <c r="Q219" s="4">
        <v>1</v>
      </c>
      <c r="R219" s="4">
        <v>2</v>
      </c>
      <c r="S219" s="4">
        <v>2</v>
      </c>
      <c r="T219" s="4">
        <v>6</v>
      </c>
      <c r="U219" s="4">
        <v>2</v>
      </c>
      <c r="V219" s="4">
        <v>1</v>
      </c>
      <c r="W219" s="4">
        <v>1</v>
      </c>
      <c r="X219" s="4">
        <v>3</v>
      </c>
      <c r="Y219" s="4">
        <v>10</v>
      </c>
      <c r="Z219" s="4">
        <v>1</v>
      </c>
      <c r="AA219" s="3">
        <f t="shared" si="7"/>
        <v>39</v>
      </c>
      <c r="AB219" t="s">
        <v>63</v>
      </c>
      <c r="AC219">
        <v>35.340000000000003</v>
      </c>
      <c r="AD219">
        <v>96.98</v>
      </c>
      <c r="AE219">
        <v>37.25</v>
      </c>
      <c r="AF219">
        <v>43.38</v>
      </c>
      <c r="AG219">
        <v>0.18</v>
      </c>
      <c r="AH219">
        <v>55.56</v>
      </c>
      <c r="AI219">
        <v>26.6</v>
      </c>
      <c r="AJ219">
        <v>117.37</v>
      </c>
      <c r="AK219">
        <v>35.229999999999997</v>
      </c>
      <c r="AL219">
        <v>83.69</v>
      </c>
      <c r="AM219">
        <v>89.7</v>
      </c>
      <c r="AN219">
        <v>79.709999999999994</v>
      </c>
      <c r="AO219" s="1">
        <v>700.99000000000012</v>
      </c>
    </row>
    <row r="220" spans="1:41" x14ac:dyDescent="0.25">
      <c r="A220" t="s">
        <v>642</v>
      </c>
      <c r="B220" s="4">
        <v>1719</v>
      </c>
      <c r="C220" s="4">
        <v>5965</v>
      </c>
      <c r="D220" s="4">
        <v>6</v>
      </c>
      <c r="E220" s="4">
        <v>3481</v>
      </c>
      <c r="F220" s="4">
        <v>649</v>
      </c>
      <c r="G220" s="4">
        <v>979</v>
      </c>
      <c r="H220" s="4">
        <v>1751</v>
      </c>
      <c r="I220" s="4">
        <v>6345</v>
      </c>
      <c r="J220" s="4">
        <v>782</v>
      </c>
      <c r="K220" s="4">
        <v>2036</v>
      </c>
      <c r="L220" s="4">
        <v>4441</v>
      </c>
      <c r="M220" s="4">
        <v>1486</v>
      </c>
      <c r="N220" s="3">
        <f t="shared" si="6"/>
        <v>29640</v>
      </c>
      <c r="O220" s="4">
        <v>3</v>
      </c>
      <c r="P220" s="4">
        <v>8</v>
      </c>
      <c r="Q220" s="4">
        <v>3</v>
      </c>
      <c r="R220" s="4">
        <v>7</v>
      </c>
      <c r="S220" s="4">
        <v>1</v>
      </c>
      <c r="T220" s="4">
        <v>5</v>
      </c>
      <c r="U220" s="4">
        <v>2</v>
      </c>
      <c r="V220" s="4">
        <v>2</v>
      </c>
      <c r="W220" s="4">
        <v>9</v>
      </c>
      <c r="X220" s="4">
        <v>2</v>
      </c>
      <c r="Y220" s="4">
        <v>3</v>
      </c>
      <c r="Z220" s="4">
        <v>2</v>
      </c>
      <c r="AA220" s="3">
        <f t="shared" si="7"/>
        <v>47</v>
      </c>
      <c r="AB220" t="s">
        <v>63</v>
      </c>
      <c r="AC220">
        <v>34.65</v>
      </c>
      <c r="AD220">
        <v>120.02</v>
      </c>
      <c r="AE220">
        <v>0.39</v>
      </c>
      <c r="AF220">
        <v>70.25</v>
      </c>
      <c r="AG220">
        <v>13.07</v>
      </c>
      <c r="AH220">
        <v>20.03</v>
      </c>
      <c r="AI220">
        <v>35.200000000000003</v>
      </c>
      <c r="AJ220">
        <v>127.08</v>
      </c>
      <c r="AK220">
        <v>16.45</v>
      </c>
      <c r="AL220">
        <v>40.9</v>
      </c>
      <c r="AM220">
        <v>89.09</v>
      </c>
      <c r="AN220">
        <v>29.9</v>
      </c>
      <c r="AO220" s="1">
        <v>597.02999999999986</v>
      </c>
    </row>
    <row r="221" spans="1:41" x14ac:dyDescent="0.25">
      <c r="A221" t="s">
        <v>645</v>
      </c>
      <c r="B221" s="4">
        <v>1717</v>
      </c>
      <c r="C221" s="4">
        <v>3864</v>
      </c>
      <c r="D221" s="4">
        <v>1398</v>
      </c>
      <c r="E221" s="4">
        <v>576</v>
      </c>
      <c r="F221" s="4">
        <v>5499</v>
      </c>
      <c r="G221" s="4">
        <v>0</v>
      </c>
      <c r="H221" s="4">
        <v>1945</v>
      </c>
      <c r="I221" s="4">
        <v>0</v>
      </c>
      <c r="J221" s="4">
        <v>0</v>
      </c>
      <c r="K221" s="4">
        <v>1298</v>
      </c>
      <c r="L221" s="4">
        <v>957</v>
      </c>
      <c r="M221" s="4">
        <v>1837</v>
      </c>
      <c r="N221" s="3">
        <f t="shared" si="6"/>
        <v>19091</v>
      </c>
      <c r="O221" s="4">
        <v>2</v>
      </c>
      <c r="P221" s="4">
        <v>6</v>
      </c>
      <c r="Q221" s="4">
        <v>12</v>
      </c>
      <c r="R221" s="4">
        <v>0</v>
      </c>
      <c r="S221" s="4">
        <v>4</v>
      </c>
      <c r="T221" s="4">
        <v>0</v>
      </c>
      <c r="U221" s="4">
        <v>1</v>
      </c>
      <c r="V221" s="4">
        <v>2</v>
      </c>
      <c r="W221" s="4">
        <v>1</v>
      </c>
      <c r="X221" s="4">
        <v>3</v>
      </c>
      <c r="Y221" s="4">
        <v>2</v>
      </c>
      <c r="Z221" s="4">
        <v>15</v>
      </c>
      <c r="AA221" s="3">
        <f t="shared" si="7"/>
        <v>48</v>
      </c>
      <c r="AB221" t="s">
        <v>63</v>
      </c>
      <c r="AC221">
        <v>34.520000000000003</v>
      </c>
      <c r="AD221">
        <v>77.819999999999993</v>
      </c>
      <c r="AE221">
        <v>29.04</v>
      </c>
      <c r="AF221">
        <v>11.52</v>
      </c>
      <c r="AG221">
        <v>110.34</v>
      </c>
      <c r="AH221">
        <v>0</v>
      </c>
      <c r="AI221">
        <v>38.99</v>
      </c>
      <c r="AJ221">
        <v>0.18</v>
      </c>
      <c r="AK221">
        <v>0.09</v>
      </c>
      <c r="AL221">
        <v>26.23</v>
      </c>
      <c r="AM221">
        <v>19.32</v>
      </c>
      <c r="AN221">
        <v>38.090000000000003</v>
      </c>
      <c r="AO221" s="1">
        <v>386.14</v>
      </c>
    </row>
    <row r="222" spans="1:41" x14ac:dyDescent="0.25">
      <c r="A222" t="s">
        <v>648</v>
      </c>
      <c r="B222" s="4">
        <v>1699</v>
      </c>
      <c r="C222" s="4">
        <v>1843</v>
      </c>
      <c r="D222" s="4">
        <v>1533</v>
      </c>
      <c r="E222" s="4">
        <v>5607</v>
      </c>
      <c r="F222" s="4">
        <v>993</v>
      </c>
      <c r="G222" s="4">
        <v>780</v>
      </c>
      <c r="H222" s="4">
        <v>766</v>
      </c>
      <c r="I222" s="4">
        <v>11638</v>
      </c>
      <c r="J222" s="4">
        <v>5465</v>
      </c>
      <c r="K222" s="4">
        <v>91</v>
      </c>
      <c r="L222" s="4">
        <v>2039</v>
      </c>
      <c r="M222" s="4">
        <v>1197</v>
      </c>
      <c r="N222" s="3">
        <f t="shared" si="6"/>
        <v>33651</v>
      </c>
      <c r="O222" s="4">
        <v>6</v>
      </c>
      <c r="P222" s="4">
        <v>6</v>
      </c>
      <c r="Q222" s="4">
        <v>0</v>
      </c>
      <c r="R222" s="4">
        <v>5</v>
      </c>
      <c r="S222" s="4">
        <v>1</v>
      </c>
      <c r="T222" s="4">
        <v>3</v>
      </c>
      <c r="U222" s="4">
        <v>2</v>
      </c>
      <c r="V222" s="4">
        <v>6</v>
      </c>
      <c r="W222" s="4">
        <v>4</v>
      </c>
      <c r="X222" s="4">
        <v>7</v>
      </c>
      <c r="Y222" s="4">
        <v>4</v>
      </c>
      <c r="Z222" s="4">
        <v>2</v>
      </c>
      <c r="AA222" s="3">
        <f t="shared" si="7"/>
        <v>46</v>
      </c>
      <c r="AB222" t="s">
        <v>63</v>
      </c>
      <c r="AC222">
        <v>34.520000000000003</v>
      </c>
      <c r="AD222">
        <v>37.4</v>
      </c>
      <c r="AE222">
        <v>30.66</v>
      </c>
      <c r="AF222">
        <v>112.59</v>
      </c>
      <c r="AG222">
        <v>19.95</v>
      </c>
      <c r="AH222">
        <v>15.87</v>
      </c>
      <c r="AI222">
        <v>15.5</v>
      </c>
      <c r="AJ222">
        <v>233.3</v>
      </c>
      <c r="AK222">
        <v>109.66</v>
      </c>
      <c r="AL222">
        <v>2.4500000000000002</v>
      </c>
      <c r="AM222">
        <v>41.14</v>
      </c>
      <c r="AN222">
        <v>24.12</v>
      </c>
      <c r="AO222" s="1">
        <v>677.16000000000008</v>
      </c>
    </row>
    <row r="223" spans="1:41" x14ac:dyDescent="0.25">
      <c r="A223" t="s">
        <v>650</v>
      </c>
      <c r="B223" s="4">
        <v>1684</v>
      </c>
      <c r="C223" s="4">
        <v>2874</v>
      </c>
      <c r="D223" s="4">
        <v>612</v>
      </c>
      <c r="E223" s="4">
        <v>209</v>
      </c>
      <c r="F223" s="4">
        <v>0</v>
      </c>
      <c r="G223" s="4">
        <v>5965</v>
      </c>
      <c r="H223" s="4">
        <v>1712</v>
      </c>
      <c r="I223" s="4">
        <v>905</v>
      </c>
      <c r="J223" s="4">
        <v>5269</v>
      </c>
      <c r="K223" s="4">
        <v>679</v>
      </c>
      <c r="L223" s="4">
        <v>1305</v>
      </c>
      <c r="M223" s="4">
        <v>2739</v>
      </c>
      <c r="N223" s="3">
        <f t="shared" si="6"/>
        <v>23953</v>
      </c>
      <c r="O223" s="4">
        <v>5</v>
      </c>
      <c r="P223" s="4">
        <v>6</v>
      </c>
      <c r="Q223" s="4">
        <v>0</v>
      </c>
      <c r="R223" s="4">
        <v>7</v>
      </c>
      <c r="S223" s="4">
        <v>4</v>
      </c>
      <c r="T223" s="4">
        <v>1</v>
      </c>
      <c r="U223" s="4">
        <v>1</v>
      </c>
      <c r="V223" s="4">
        <v>0</v>
      </c>
      <c r="W223" s="4">
        <v>0</v>
      </c>
      <c r="X223" s="4">
        <v>5</v>
      </c>
      <c r="Y223" s="4">
        <v>0</v>
      </c>
      <c r="Z223" s="4">
        <v>2</v>
      </c>
      <c r="AA223" s="3">
        <f t="shared" si="7"/>
        <v>31</v>
      </c>
      <c r="AB223" t="s">
        <v>63</v>
      </c>
      <c r="AC223">
        <v>34.130000000000003</v>
      </c>
      <c r="AD223">
        <v>58.02</v>
      </c>
      <c r="AE223">
        <v>12.24</v>
      </c>
      <c r="AF223">
        <v>4.8099999999999996</v>
      </c>
      <c r="AG223">
        <v>0.36</v>
      </c>
      <c r="AH223">
        <v>119.39</v>
      </c>
      <c r="AI223">
        <v>34.33</v>
      </c>
      <c r="AJ223">
        <v>18.100000000000001</v>
      </c>
      <c r="AK223">
        <v>105.38</v>
      </c>
      <c r="AL223">
        <v>14.03</v>
      </c>
      <c r="AM223">
        <v>26.1</v>
      </c>
      <c r="AN223">
        <v>54.96</v>
      </c>
      <c r="AO223" s="1">
        <v>481.84999999999997</v>
      </c>
    </row>
    <row r="224" spans="1:41" x14ac:dyDescent="0.25">
      <c r="A224" t="s">
        <v>654</v>
      </c>
      <c r="B224" s="4">
        <v>1643</v>
      </c>
      <c r="C224" s="4">
        <v>801</v>
      </c>
      <c r="D224" s="4">
        <v>8499</v>
      </c>
      <c r="E224" s="4">
        <v>365</v>
      </c>
      <c r="F224" s="4">
        <v>5150</v>
      </c>
      <c r="G224" s="4">
        <v>807</v>
      </c>
      <c r="H224" s="4">
        <v>2974</v>
      </c>
      <c r="I224" s="4">
        <v>1909</v>
      </c>
      <c r="J224" s="4">
        <v>3882</v>
      </c>
      <c r="K224" s="4">
        <v>6009</v>
      </c>
      <c r="L224" s="4">
        <v>370</v>
      </c>
      <c r="M224" s="4">
        <v>1141</v>
      </c>
      <c r="N224" s="3">
        <f t="shared" si="6"/>
        <v>33550</v>
      </c>
      <c r="O224" s="4">
        <v>1</v>
      </c>
      <c r="P224" s="4">
        <v>10</v>
      </c>
      <c r="Q224" s="4">
        <v>4</v>
      </c>
      <c r="R224" s="4">
        <v>3</v>
      </c>
      <c r="S224" s="4">
        <v>4</v>
      </c>
      <c r="T224" s="4">
        <v>4</v>
      </c>
      <c r="U224" s="4">
        <v>6</v>
      </c>
      <c r="V224" s="4">
        <v>1</v>
      </c>
      <c r="W224" s="4">
        <v>8</v>
      </c>
      <c r="X224" s="4">
        <v>11</v>
      </c>
      <c r="Y224" s="4">
        <v>4</v>
      </c>
      <c r="Z224" s="4">
        <v>14</v>
      </c>
      <c r="AA224" s="3">
        <f t="shared" si="7"/>
        <v>70</v>
      </c>
      <c r="AB224" t="s">
        <v>63</v>
      </c>
      <c r="AC224">
        <v>32.950000000000003</v>
      </c>
      <c r="AD224">
        <v>16.920000000000002</v>
      </c>
      <c r="AE224">
        <v>170.34</v>
      </c>
      <c r="AF224">
        <v>7.57</v>
      </c>
      <c r="AG224">
        <v>103.36</v>
      </c>
      <c r="AH224">
        <v>16.5</v>
      </c>
      <c r="AI224">
        <v>60.02</v>
      </c>
      <c r="AJ224">
        <v>38.270000000000003</v>
      </c>
      <c r="AK224">
        <v>78.36</v>
      </c>
      <c r="AL224">
        <v>121.17</v>
      </c>
      <c r="AM224">
        <v>7.76</v>
      </c>
      <c r="AN224">
        <v>24.08</v>
      </c>
      <c r="AO224" s="1">
        <v>677.3</v>
      </c>
    </row>
    <row r="225" spans="1:41" x14ac:dyDescent="0.25">
      <c r="A225" t="s">
        <v>661</v>
      </c>
      <c r="B225" s="4">
        <v>1618</v>
      </c>
      <c r="C225" s="4">
        <v>7958</v>
      </c>
      <c r="D225" s="4">
        <v>515</v>
      </c>
      <c r="E225" s="4">
        <v>706</v>
      </c>
      <c r="F225" s="4">
        <v>7298</v>
      </c>
      <c r="G225" s="4">
        <v>90</v>
      </c>
      <c r="H225" s="4">
        <v>73</v>
      </c>
      <c r="I225" s="4">
        <v>598</v>
      </c>
      <c r="J225" s="4">
        <v>6626</v>
      </c>
      <c r="K225" s="4">
        <v>5826</v>
      </c>
      <c r="L225" s="4">
        <v>732</v>
      </c>
      <c r="M225" s="4">
        <v>3300</v>
      </c>
      <c r="N225" s="3">
        <f t="shared" si="6"/>
        <v>35340</v>
      </c>
      <c r="O225" s="4">
        <v>3</v>
      </c>
      <c r="P225" s="4">
        <v>1</v>
      </c>
      <c r="Q225" s="4">
        <v>5</v>
      </c>
      <c r="R225" s="4">
        <v>10</v>
      </c>
      <c r="S225" s="4">
        <v>1</v>
      </c>
      <c r="T225" s="4">
        <v>4</v>
      </c>
      <c r="U225" s="4">
        <v>2</v>
      </c>
      <c r="V225" s="4">
        <v>6</v>
      </c>
      <c r="W225" s="4">
        <v>2</v>
      </c>
      <c r="X225" s="4">
        <v>4</v>
      </c>
      <c r="Y225" s="4">
        <v>1</v>
      </c>
      <c r="Z225" s="4">
        <v>0</v>
      </c>
      <c r="AA225" s="3">
        <f t="shared" si="7"/>
        <v>39</v>
      </c>
      <c r="AB225" t="s">
        <v>63</v>
      </c>
      <c r="AC225">
        <v>32.630000000000003</v>
      </c>
      <c r="AD225">
        <v>159.25</v>
      </c>
      <c r="AE225">
        <v>10.75</v>
      </c>
      <c r="AF225">
        <v>15.02</v>
      </c>
      <c r="AG225">
        <v>146.05000000000001</v>
      </c>
      <c r="AH225">
        <v>2.16</v>
      </c>
      <c r="AI225">
        <v>1.64</v>
      </c>
      <c r="AJ225">
        <v>12.5</v>
      </c>
      <c r="AK225">
        <v>132.69999999999999</v>
      </c>
      <c r="AL225">
        <v>116.88</v>
      </c>
      <c r="AM225">
        <v>14.73</v>
      </c>
      <c r="AN225">
        <v>66</v>
      </c>
      <c r="AO225" s="1">
        <v>710.31000000000006</v>
      </c>
    </row>
    <row r="226" spans="1:41" x14ac:dyDescent="0.25">
      <c r="A226" t="s">
        <v>663</v>
      </c>
      <c r="B226" s="4">
        <v>1611</v>
      </c>
      <c r="C226" s="4">
        <v>6358</v>
      </c>
      <c r="D226" s="4">
        <v>6090</v>
      </c>
      <c r="E226" s="4">
        <v>3698</v>
      </c>
      <c r="F226" s="4">
        <v>3088</v>
      </c>
      <c r="G226" s="4">
        <v>0</v>
      </c>
      <c r="H226" s="4">
        <v>2110</v>
      </c>
      <c r="I226" s="4">
        <v>1160</v>
      </c>
      <c r="J226" s="4">
        <v>938</v>
      </c>
      <c r="K226" s="4">
        <v>1366</v>
      </c>
      <c r="L226" s="4">
        <v>658</v>
      </c>
      <c r="M226" s="4">
        <v>3759</v>
      </c>
      <c r="N226" s="3">
        <f t="shared" si="6"/>
        <v>30836</v>
      </c>
      <c r="O226" s="4">
        <v>2</v>
      </c>
      <c r="P226" s="4">
        <v>3</v>
      </c>
      <c r="Q226" s="4">
        <v>2</v>
      </c>
      <c r="R226" s="4">
        <v>4</v>
      </c>
      <c r="S226" s="4">
        <v>5</v>
      </c>
      <c r="T226" s="4">
        <v>1</v>
      </c>
      <c r="U226" s="4">
        <v>10</v>
      </c>
      <c r="V226" s="4">
        <v>3</v>
      </c>
      <c r="W226" s="4">
        <v>5</v>
      </c>
      <c r="X226" s="4">
        <v>0</v>
      </c>
      <c r="Y226" s="4">
        <v>1</v>
      </c>
      <c r="Z226" s="4">
        <v>3</v>
      </c>
      <c r="AA226" s="3">
        <f t="shared" si="7"/>
        <v>39</v>
      </c>
      <c r="AB226" t="s">
        <v>63</v>
      </c>
      <c r="AC226">
        <v>32.4</v>
      </c>
      <c r="AD226">
        <v>127.43</v>
      </c>
      <c r="AE226">
        <v>121.98</v>
      </c>
      <c r="AF226">
        <v>74.319999999999993</v>
      </c>
      <c r="AG226">
        <v>62.21</v>
      </c>
      <c r="AH226">
        <v>0.09</v>
      </c>
      <c r="AI226">
        <v>43.1</v>
      </c>
      <c r="AJ226">
        <v>23.47</v>
      </c>
      <c r="AK226">
        <v>19.21</v>
      </c>
      <c r="AL226">
        <v>27.32</v>
      </c>
      <c r="AM226">
        <v>13.25</v>
      </c>
      <c r="AN226">
        <v>75.45</v>
      </c>
      <c r="AO226" s="1">
        <v>620.23</v>
      </c>
    </row>
    <row r="227" spans="1:41" x14ac:dyDescent="0.25">
      <c r="A227" t="s">
        <v>664</v>
      </c>
      <c r="B227" s="4">
        <v>1604</v>
      </c>
      <c r="C227" s="4">
        <v>5107</v>
      </c>
      <c r="D227" s="4">
        <v>5087</v>
      </c>
      <c r="E227" s="4">
        <v>0</v>
      </c>
      <c r="F227" s="4">
        <v>814</v>
      </c>
      <c r="G227" s="4">
        <v>0</v>
      </c>
      <c r="H227" s="4">
        <v>1727</v>
      </c>
      <c r="I227" s="4">
        <v>1674</v>
      </c>
      <c r="J227" s="4">
        <v>3677</v>
      </c>
      <c r="K227" s="4">
        <v>5760</v>
      </c>
      <c r="L227" s="4">
        <v>205</v>
      </c>
      <c r="M227" s="4">
        <v>2151</v>
      </c>
      <c r="N227" s="3">
        <f t="shared" si="6"/>
        <v>27806</v>
      </c>
      <c r="O227" s="4">
        <v>7</v>
      </c>
      <c r="P227" s="4">
        <v>1</v>
      </c>
      <c r="Q227" s="4">
        <v>1</v>
      </c>
      <c r="R227" s="4">
        <v>0</v>
      </c>
      <c r="S227" s="4">
        <v>5</v>
      </c>
      <c r="T227" s="4">
        <v>12</v>
      </c>
      <c r="U227" s="4">
        <v>4</v>
      </c>
      <c r="V227" s="4">
        <v>2</v>
      </c>
      <c r="W227" s="4">
        <v>3</v>
      </c>
      <c r="X227" s="4">
        <v>2</v>
      </c>
      <c r="Y227" s="4">
        <v>3</v>
      </c>
      <c r="Z227" s="4">
        <v>5</v>
      </c>
      <c r="AA227" s="3">
        <f t="shared" si="7"/>
        <v>45</v>
      </c>
      <c r="AB227" t="s">
        <v>63</v>
      </c>
      <c r="AC227">
        <v>32.71</v>
      </c>
      <c r="AD227">
        <v>102.23</v>
      </c>
      <c r="AE227">
        <v>101.83</v>
      </c>
      <c r="AF227">
        <v>0</v>
      </c>
      <c r="AG227">
        <v>16.73</v>
      </c>
      <c r="AH227">
        <v>1.08</v>
      </c>
      <c r="AI227">
        <v>34.9</v>
      </c>
      <c r="AJ227">
        <v>33.659999999999997</v>
      </c>
      <c r="AK227">
        <v>73.81</v>
      </c>
      <c r="AL227">
        <v>115.38</v>
      </c>
      <c r="AM227">
        <v>4.37</v>
      </c>
      <c r="AN227">
        <v>43.47</v>
      </c>
      <c r="AO227" s="1">
        <v>560.16999999999996</v>
      </c>
    </row>
    <row r="228" spans="1:41" x14ac:dyDescent="0.25">
      <c r="A228" t="s">
        <v>666</v>
      </c>
      <c r="B228" s="4">
        <v>1586</v>
      </c>
      <c r="C228" s="4">
        <v>3068</v>
      </c>
      <c r="D228" s="4">
        <v>8516</v>
      </c>
      <c r="E228" s="4">
        <v>3623</v>
      </c>
      <c r="F228" s="4">
        <v>0</v>
      </c>
      <c r="G228" s="4">
        <v>900</v>
      </c>
      <c r="H228" s="4">
        <v>0</v>
      </c>
      <c r="I228" s="4">
        <v>3244</v>
      </c>
      <c r="J228" s="4">
        <v>2700</v>
      </c>
      <c r="K228" s="4">
        <v>4612</v>
      </c>
      <c r="L228" s="4">
        <v>861</v>
      </c>
      <c r="M228" s="4">
        <v>6588</v>
      </c>
      <c r="N228" s="3">
        <f t="shared" si="6"/>
        <v>35698</v>
      </c>
      <c r="O228" s="4">
        <v>2</v>
      </c>
      <c r="P228" s="4">
        <v>4</v>
      </c>
      <c r="Q228" s="4">
        <v>2</v>
      </c>
      <c r="R228" s="4">
        <v>3</v>
      </c>
      <c r="S228" s="4">
        <v>11</v>
      </c>
      <c r="T228" s="4">
        <v>7</v>
      </c>
      <c r="U228" s="4">
        <v>12</v>
      </c>
      <c r="V228" s="4">
        <v>15</v>
      </c>
      <c r="W228" s="4">
        <v>2</v>
      </c>
      <c r="X228" s="4">
        <v>4</v>
      </c>
      <c r="Y228" s="4">
        <v>2</v>
      </c>
      <c r="Z228" s="4">
        <v>9</v>
      </c>
      <c r="AA228" s="3">
        <f t="shared" si="7"/>
        <v>73</v>
      </c>
      <c r="AB228" t="s">
        <v>63</v>
      </c>
      <c r="AC228">
        <v>31.9</v>
      </c>
      <c r="AD228">
        <v>61.72</v>
      </c>
      <c r="AE228">
        <v>170.5</v>
      </c>
      <c r="AF228">
        <v>72.73</v>
      </c>
      <c r="AG228">
        <v>0.99</v>
      </c>
      <c r="AH228">
        <v>18.63</v>
      </c>
      <c r="AI228">
        <v>1.08</v>
      </c>
      <c r="AJ228">
        <v>66.23</v>
      </c>
      <c r="AK228">
        <v>54.18</v>
      </c>
      <c r="AL228">
        <v>92.6</v>
      </c>
      <c r="AM228">
        <v>17.399999999999999</v>
      </c>
      <c r="AN228">
        <v>132.57</v>
      </c>
      <c r="AO228" s="1">
        <v>720.53</v>
      </c>
    </row>
    <row r="229" spans="1:41" x14ac:dyDescent="0.25">
      <c r="A229" t="s">
        <v>668</v>
      </c>
      <c r="B229" s="4">
        <v>1573</v>
      </c>
      <c r="C229" s="4">
        <v>6509</v>
      </c>
      <c r="D229" s="4">
        <v>15130</v>
      </c>
      <c r="E229" s="4">
        <v>4045</v>
      </c>
      <c r="F229" s="4">
        <v>2552</v>
      </c>
      <c r="G229" s="4">
        <v>971</v>
      </c>
      <c r="H229" s="4">
        <v>0</v>
      </c>
      <c r="I229" s="4">
        <v>856</v>
      </c>
      <c r="J229" s="4">
        <v>3938</v>
      </c>
      <c r="K229" s="4">
        <v>1249</v>
      </c>
      <c r="L229" s="4">
        <v>7193</v>
      </c>
      <c r="M229" s="4">
        <v>785</v>
      </c>
      <c r="N229" s="3">
        <f t="shared" si="6"/>
        <v>44801</v>
      </c>
      <c r="O229" s="4">
        <v>2</v>
      </c>
      <c r="P229" s="4">
        <v>0</v>
      </c>
      <c r="Q229" s="4">
        <v>2</v>
      </c>
      <c r="R229" s="4">
        <v>6</v>
      </c>
      <c r="S229" s="4">
        <v>1</v>
      </c>
      <c r="T229" s="4">
        <v>4</v>
      </c>
      <c r="U229" s="4">
        <v>3</v>
      </c>
      <c r="V229" s="4">
        <v>5</v>
      </c>
      <c r="W229" s="4">
        <v>1</v>
      </c>
      <c r="X229" s="4">
        <v>3</v>
      </c>
      <c r="Y229" s="4">
        <v>3</v>
      </c>
      <c r="Z229" s="4">
        <v>4</v>
      </c>
      <c r="AA229" s="3">
        <f t="shared" si="7"/>
        <v>34</v>
      </c>
      <c r="AB229" t="s">
        <v>63</v>
      </c>
      <c r="AC229">
        <v>31.64</v>
      </c>
      <c r="AD229">
        <v>130.18</v>
      </c>
      <c r="AE229">
        <v>302.77999999999997</v>
      </c>
      <c r="AF229">
        <v>81.44</v>
      </c>
      <c r="AG229">
        <v>51.13</v>
      </c>
      <c r="AH229">
        <v>19.78</v>
      </c>
      <c r="AI229">
        <v>0.27</v>
      </c>
      <c r="AJ229">
        <v>17.57</v>
      </c>
      <c r="AK229">
        <v>78.849999999999994</v>
      </c>
      <c r="AL229">
        <v>25.25</v>
      </c>
      <c r="AM229">
        <v>144.13</v>
      </c>
      <c r="AN229">
        <v>16.059999999999999</v>
      </c>
      <c r="AO229" s="1">
        <v>899.07999999999993</v>
      </c>
    </row>
    <row r="230" spans="1:41" x14ac:dyDescent="0.25">
      <c r="A230" t="s">
        <v>669</v>
      </c>
      <c r="B230" s="4">
        <v>1569</v>
      </c>
      <c r="C230" s="4">
        <v>6755</v>
      </c>
      <c r="D230" s="4">
        <v>1841</v>
      </c>
      <c r="E230" s="4">
        <v>0</v>
      </c>
      <c r="F230" s="4">
        <v>691</v>
      </c>
      <c r="G230" s="4">
        <v>3926</v>
      </c>
      <c r="H230" s="4">
        <v>612</v>
      </c>
      <c r="I230" s="4">
        <v>1158</v>
      </c>
      <c r="J230" s="4">
        <v>6279</v>
      </c>
      <c r="K230" s="4">
        <v>1588</v>
      </c>
      <c r="L230" s="4">
        <v>1430</v>
      </c>
      <c r="M230" s="4">
        <v>7302</v>
      </c>
      <c r="N230" s="3">
        <f t="shared" si="6"/>
        <v>33151</v>
      </c>
      <c r="O230" s="4">
        <v>1</v>
      </c>
      <c r="P230" s="4">
        <v>2</v>
      </c>
      <c r="Q230" s="4">
        <v>6</v>
      </c>
      <c r="R230" s="4">
        <v>2</v>
      </c>
      <c r="S230" s="4">
        <v>9</v>
      </c>
      <c r="T230" s="4">
        <v>3</v>
      </c>
      <c r="U230" s="4">
        <v>5</v>
      </c>
      <c r="V230" s="4">
        <v>5</v>
      </c>
      <c r="W230" s="4">
        <v>3</v>
      </c>
      <c r="X230" s="4">
        <v>4</v>
      </c>
      <c r="Y230" s="4">
        <v>7</v>
      </c>
      <c r="Z230" s="4">
        <v>4</v>
      </c>
      <c r="AA230" s="3">
        <f t="shared" si="7"/>
        <v>51</v>
      </c>
      <c r="AB230" t="s">
        <v>63</v>
      </c>
      <c r="AC230">
        <v>31.47</v>
      </c>
      <c r="AD230">
        <v>135.28</v>
      </c>
      <c r="AE230">
        <v>37.36</v>
      </c>
      <c r="AF230">
        <v>0.18</v>
      </c>
      <c r="AG230">
        <v>14.63</v>
      </c>
      <c r="AH230">
        <v>78.790000000000006</v>
      </c>
      <c r="AI230">
        <v>12.69</v>
      </c>
      <c r="AJ230">
        <v>23.61</v>
      </c>
      <c r="AK230">
        <v>125.85</v>
      </c>
      <c r="AL230">
        <v>32.119999999999997</v>
      </c>
      <c r="AM230">
        <v>29.23</v>
      </c>
      <c r="AN230">
        <v>146.4</v>
      </c>
      <c r="AO230" s="1">
        <v>667.61</v>
      </c>
    </row>
    <row r="231" spans="1:41" x14ac:dyDescent="0.25">
      <c r="A231" t="s">
        <v>672</v>
      </c>
      <c r="B231" s="4">
        <v>1565</v>
      </c>
      <c r="C231" s="4">
        <v>1737</v>
      </c>
      <c r="D231" s="4">
        <v>9907</v>
      </c>
      <c r="E231" s="4">
        <v>6938</v>
      </c>
      <c r="F231" s="4">
        <v>0</v>
      </c>
      <c r="G231" s="4">
        <v>2242</v>
      </c>
      <c r="H231" s="4">
        <v>4885</v>
      </c>
      <c r="I231" s="4">
        <v>477</v>
      </c>
      <c r="J231" s="4">
        <v>3797</v>
      </c>
      <c r="K231" s="4">
        <v>5183</v>
      </c>
      <c r="L231" s="4">
        <v>4288</v>
      </c>
      <c r="M231" s="4">
        <v>3756</v>
      </c>
      <c r="N231" s="3">
        <f t="shared" si="6"/>
        <v>44775</v>
      </c>
      <c r="O231" s="4">
        <v>8</v>
      </c>
      <c r="P231" s="4">
        <v>6</v>
      </c>
      <c r="Q231" s="4">
        <v>5</v>
      </c>
      <c r="R231" s="4">
        <v>3</v>
      </c>
      <c r="S231" s="4">
        <v>12</v>
      </c>
      <c r="T231" s="4">
        <v>4</v>
      </c>
      <c r="U231" s="4">
        <v>4</v>
      </c>
      <c r="V231" s="4">
        <v>1</v>
      </c>
      <c r="W231" s="4">
        <v>6</v>
      </c>
      <c r="X231" s="4">
        <v>5</v>
      </c>
      <c r="Y231" s="4">
        <v>1</v>
      </c>
      <c r="Z231" s="4">
        <v>1</v>
      </c>
      <c r="AA231" s="3">
        <f t="shared" si="7"/>
        <v>56</v>
      </c>
      <c r="AB231" t="s">
        <v>63</v>
      </c>
      <c r="AC231">
        <v>32.020000000000003</v>
      </c>
      <c r="AD231">
        <v>35.28</v>
      </c>
      <c r="AE231">
        <v>198.59</v>
      </c>
      <c r="AF231">
        <v>139.03</v>
      </c>
      <c r="AG231">
        <v>1.08</v>
      </c>
      <c r="AH231">
        <v>45.2</v>
      </c>
      <c r="AI231">
        <v>98.06</v>
      </c>
      <c r="AJ231">
        <v>9.6300000000000008</v>
      </c>
      <c r="AK231">
        <v>76.48</v>
      </c>
      <c r="AL231">
        <v>104.11</v>
      </c>
      <c r="AM231">
        <v>85.85</v>
      </c>
      <c r="AN231">
        <v>75.209999999999994</v>
      </c>
      <c r="AO231" s="1">
        <v>900.54000000000008</v>
      </c>
    </row>
    <row r="232" spans="1:41" x14ac:dyDescent="0.25">
      <c r="A232" t="s">
        <v>674</v>
      </c>
      <c r="B232" s="4">
        <v>1538</v>
      </c>
      <c r="C232" s="4">
        <v>1493</v>
      </c>
      <c r="D232" s="4">
        <v>1024</v>
      </c>
      <c r="E232" s="4">
        <v>2589</v>
      </c>
      <c r="F232" s="4">
        <v>220</v>
      </c>
      <c r="G232" s="4">
        <v>1370</v>
      </c>
      <c r="H232" s="4">
        <v>1015</v>
      </c>
      <c r="I232" s="4">
        <v>931</v>
      </c>
      <c r="J232" s="4">
        <v>23260</v>
      </c>
      <c r="K232" s="4">
        <v>471</v>
      </c>
      <c r="L232" s="4">
        <v>3310</v>
      </c>
      <c r="M232" s="4">
        <v>1258</v>
      </c>
      <c r="N232" s="3">
        <f t="shared" si="6"/>
        <v>38479</v>
      </c>
      <c r="O232" s="4">
        <v>8</v>
      </c>
      <c r="P232" s="4">
        <v>3</v>
      </c>
      <c r="Q232" s="4">
        <v>9</v>
      </c>
      <c r="R232" s="4">
        <v>1</v>
      </c>
      <c r="S232" s="4">
        <v>5</v>
      </c>
      <c r="T232" s="4">
        <v>1</v>
      </c>
      <c r="U232" s="4">
        <v>4</v>
      </c>
      <c r="V232" s="4">
        <v>3</v>
      </c>
      <c r="W232" s="4">
        <v>3</v>
      </c>
      <c r="X232" s="4">
        <v>13</v>
      </c>
      <c r="Y232" s="4">
        <v>1</v>
      </c>
      <c r="Z232" s="4">
        <v>8</v>
      </c>
      <c r="AA232" s="3">
        <f t="shared" si="7"/>
        <v>59</v>
      </c>
      <c r="AB232" t="s">
        <v>63</v>
      </c>
      <c r="AC232">
        <v>31.48</v>
      </c>
      <c r="AD232">
        <v>30.13</v>
      </c>
      <c r="AE232">
        <v>21.29</v>
      </c>
      <c r="AF232">
        <v>51.87</v>
      </c>
      <c r="AG232">
        <v>4.8499999999999996</v>
      </c>
      <c r="AH232">
        <v>27.49</v>
      </c>
      <c r="AI232">
        <v>20.66</v>
      </c>
      <c r="AJ232">
        <v>18.89</v>
      </c>
      <c r="AK232">
        <v>465.47</v>
      </c>
      <c r="AL232">
        <v>10.59</v>
      </c>
      <c r="AM232">
        <v>66.290000000000006</v>
      </c>
      <c r="AN232">
        <v>25.88</v>
      </c>
      <c r="AO232" s="1">
        <v>774.8900000000001</v>
      </c>
    </row>
    <row r="233" spans="1:41" x14ac:dyDescent="0.25">
      <c r="A233" t="s">
        <v>675</v>
      </c>
      <c r="B233" s="4">
        <v>1531</v>
      </c>
      <c r="C233" s="4">
        <v>3580</v>
      </c>
      <c r="D233" s="4">
        <v>1753</v>
      </c>
      <c r="E233" s="4">
        <v>2611</v>
      </c>
      <c r="F233" s="4">
        <v>2837</v>
      </c>
      <c r="G233" s="4">
        <v>5561</v>
      </c>
      <c r="H233" s="4">
        <v>0</v>
      </c>
      <c r="I233" s="4">
        <v>2611</v>
      </c>
      <c r="J233" s="4">
        <v>2792</v>
      </c>
      <c r="K233" s="4">
        <v>1209</v>
      </c>
      <c r="L233" s="4">
        <v>1499</v>
      </c>
      <c r="M233" s="4">
        <v>5298</v>
      </c>
      <c r="N233" s="3">
        <f t="shared" si="6"/>
        <v>31282</v>
      </c>
      <c r="O233" s="4">
        <v>9</v>
      </c>
      <c r="P233" s="4">
        <v>2</v>
      </c>
      <c r="Q233" s="4">
        <v>5</v>
      </c>
      <c r="R233" s="4">
        <v>0</v>
      </c>
      <c r="S233" s="4">
        <v>0</v>
      </c>
      <c r="T233" s="4">
        <v>11</v>
      </c>
      <c r="U233" s="4">
        <v>9</v>
      </c>
      <c r="V233" s="4">
        <v>8</v>
      </c>
      <c r="W233" s="4">
        <v>1</v>
      </c>
      <c r="X233" s="4">
        <v>8</v>
      </c>
      <c r="Y233" s="4">
        <v>3</v>
      </c>
      <c r="Z233" s="4">
        <v>2</v>
      </c>
      <c r="AA233" s="3">
        <f t="shared" si="7"/>
        <v>58</v>
      </c>
      <c r="AB233" t="s">
        <v>63</v>
      </c>
      <c r="AC233">
        <v>31.43</v>
      </c>
      <c r="AD233">
        <v>71.78</v>
      </c>
      <c r="AE233">
        <v>35.51</v>
      </c>
      <c r="AF233">
        <v>52.22</v>
      </c>
      <c r="AG233">
        <v>56.74</v>
      </c>
      <c r="AH233">
        <v>112.21</v>
      </c>
      <c r="AI233">
        <v>0.81</v>
      </c>
      <c r="AJ233">
        <v>52.94</v>
      </c>
      <c r="AK233">
        <v>55.93</v>
      </c>
      <c r="AL233">
        <v>24.9</v>
      </c>
      <c r="AM233">
        <v>30.25</v>
      </c>
      <c r="AN233">
        <v>106.14</v>
      </c>
      <c r="AO233" s="1">
        <v>630.86</v>
      </c>
    </row>
    <row r="234" spans="1:41" x14ac:dyDescent="0.25">
      <c r="A234" t="s">
        <v>676</v>
      </c>
      <c r="B234" s="4">
        <v>1524</v>
      </c>
      <c r="C234" s="4">
        <v>4492</v>
      </c>
      <c r="D234" s="4">
        <v>859</v>
      </c>
      <c r="E234" s="4">
        <v>3018</v>
      </c>
      <c r="F234" s="4">
        <v>941</v>
      </c>
      <c r="G234" s="4">
        <v>2211</v>
      </c>
      <c r="H234" s="4">
        <v>3996</v>
      </c>
      <c r="I234" s="4">
        <v>3391</v>
      </c>
      <c r="J234" s="4">
        <v>4128</v>
      </c>
      <c r="K234" s="4">
        <v>2091</v>
      </c>
      <c r="L234" s="4">
        <v>5722</v>
      </c>
      <c r="M234" s="4">
        <v>1287</v>
      </c>
      <c r="N234" s="3">
        <f t="shared" si="6"/>
        <v>33660</v>
      </c>
      <c r="O234" s="4">
        <v>0</v>
      </c>
      <c r="P234" s="4">
        <v>0</v>
      </c>
      <c r="Q234" s="4">
        <v>3</v>
      </c>
      <c r="R234" s="4">
        <v>4</v>
      </c>
      <c r="S234" s="4">
        <v>3</v>
      </c>
      <c r="T234" s="4">
        <v>2</v>
      </c>
      <c r="U234" s="4">
        <v>0</v>
      </c>
      <c r="V234" s="4">
        <v>14</v>
      </c>
      <c r="W234" s="4">
        <v>0</v>
      </c>
      <c r="X234" s="4">
        <v>6</v>
      </c>
      <c r="Y234" s="4">
        <v>7</v>
      </c>
      <c r="Z234" s="4">
        <v>3</v>
      </c>
      <c r="AA234" s="3">
        <f t="shared" si="7"/>
        <v>42</v>
      </c>
      <c r="AB234" t="s">
        <v>63</v>
      </c>
      <c r="AC234">
        <v>30.48</v>
      </c>
      <c r="AD234">
        <v>89.84</v>
      </c>
      <c r="AE234">
        <v>17.45</v>
      </c>
      <c r="AF234">
        <v>60.72</v>
      </c>
      <c r="AG234">
        <v>19.09</v>
      </c>
      <c r="AH234">
        <v>44.4</v>
      </c>
      <c r="AI234">
        <v>79.92</v>
      </c>
      <c r="AJ234">
        <v>69.08</v>
      </c>
      <c r="AK234">
        <v>82.56</v>
      </c>
      <c r="AL234">
        <v>42.36</v>
      </c>
      <c r="AM234">
        <v>115.07</v>
      </c>
      <c r="AN234">
        <v>26.01</v>
      </c>
      <c r="AO234" s="1">
        <v>676.98</v>
      </c>
    </row>
    <row r="235" spans="1:41" x14ac:dyDescent="0.25">
      <c r="A235" t="s">
        <v>677</v>
      </c>
      <c r="B235" s="4">
        <v>1517</v>
      </c>
      <c r="C235" s="4">
        <v>4810</v>
      </c>
      <c r="D235" s="4">
        <v>508</v>
      </c>
      <c r="E235" s="4">
        <v>2262</v>
      </c>
      <c r="F235" s="4">
        <v>2136</v>
      </c>
      <c r="G235" s="4">
        <v>11073</v>
      </c>
      <c r="H235" s="4">
        <v>1234</v>
      </c>
      <c r="I235" s="4">
        <v>2358</v>
      </c>
      <c r="J235" s="4">
        <v>10905</v>
      </c>
      <c r="K235" s="4">
        <v>15321</v>
      </c>
      <c r="L235" s="4">
        <v>0</v>
      </c>
      <c r="M235" s="4">
        <v>5719</v>
      </c>
      <c r="N235" s="3">
        <f t="shared" si="6"/>
        <v>57843</v>
      </c>
      <c r="O235" s="4">
        <v>8</v>
      </c>
      <c r="P235" s="4">
        <v>0</v>
      </c>
      <c r="Q235" s="4">
        <v>8</v>
      </c>
      <c r="R235" s="4">
        <v>12</v>
      </c>
      <c r="S235" s="4">
        <v>12</v>
      </c>
      <c r="T235" s="4">
        <v>5</v>
      </c>
      <c r="U235" s="4">
        <v>6</v>
      </c>
      <c r="V235" s="4">
        <v>6</v>
      </c>
      <c r="W235" s="4">
        <v>0</v>
      </c>
      <c r="X235" s="4">
        <v>3</v>
      </c>
      <c r="Y235" s="4">
        <v>0</v>
      </c>
      <c r="Z235" s="4">
        <v>2</v>
      </c>
      <c r="AA235" s="3">
        <f t="shared" si="7"/>
        <v>62</v>
      </c>
      <c r="AB235" t="s">
        <v>63</v>
      </c>
      <c r="AC235">
        <v>31.06</v>
      </c>
      <c r="AD235">
        <v>96.2</v>
      </c>
      <c r="AE235">
        <v>10.88</v>
      </c>
      <c r="AF235">
        <v>46.32</v>
      </c>
      <c r="AG235">
        <v>43.8</v>
      </c>
      <c r="AH235">
        <v>221.91</v>
      </c>
      <c r="AI235">
        <v>25.22</v>
      </c>
      <c r="AJ235">
        <v>47.7</v>
      </c>
      <c r="AK235">
        <v>218.1</v>
      </c>
      <c r="AL235">
        <v>306.69</v>
      </c>
      <c r="AM235">
        <v>0</v>
      </c>
      <c r="AN235">
        <v>114.56</v>
      </c>
      <c r="AO235" s="1">
        <v>1162.44</v>
      </c>
    </row>
    <row r="236" spans="1:41" x14ac:dyDescent="0.25">
      <c r="A236" t="s">
        <v>678</v>
      </c>
      <c r="B236" s="4">
        <v>1516</v>
      </c>
      <c r="C236" s="4">
        <v>0</v>
      </c>
      <c r="D236" s="4">
        <v>558</v>
      </c>
      <c r="E236" s="4">
        <v>0</v>
      </c>
      <c r="F236" s="4">
        <v>4548</v>
      </c>
      <c r="G236" s="4">
        <v>6673</v>
      </c>
      <c r="H236" s="4">
        <v>21984</v>
      </c>
      <c r="I236" s="4">
        <v>1885</v>
      </c>
      <c r="J236" s="4">
        <v>0</v>
      </c>
      <c r="K236" s="4">
        <v>982</v>
      </c>
      <c r="L236" s="4">
        <v>3697</v>
      </c>
      <c r="M236" s="4">
        <v>12509</v>
      </c>
      <c r="N236" s="3">
        <f t="shared" si="6"/>
        <v>54352</v>
      </c>
      <c r="O236" s="4">
        <v>17</v>
      </c>
      <c r="P236" s="4">
        <v>1</v>
      </c>
      <c r="Q236" s="4">
        <v>6</v>
      </c>
      <c r="R236" s="4">
        <v>9</v>
      </c>
      <c r="S236" s="4">
        <v>3</v>
      </c>
      <c r="T236" s="4">
        <v>0</v>
      </c>
      <c r="U236" s="4">
        <v>5</v>
      </c>
      <c r="V236" s="4">
        <v>3</v>
      </c>
      <c r="W236" s="4">
        <v>7</v>
      </c>
      <c r="X236" s="4">
        <v>8</v>
      </c>
      <c r="Y236" s="4">
        <v>14</v>
      </c>
      <c r="Z236" s="4">
        <v>4</v>
      </c>
      <c r="AA236" s="3">
        <f t="shared" si="7"/>
        <v>77</v>
      </c>
      <c r="AB236" t="s">
        <v>63</v>
      </c>
      <c r="AC236">
        <v>31.85</v>
      </c>
      <c r="AD236">
        <v>0.09</v>
      </c>
      <c r="AE236">
        <v>11.7</v>
      </c>
      <c r="AF236">
        <v>0.81</v>
      </c>
      <c r="AG236">
        <v>91.23</v>
      </c>
      <c r="AH236">
        <v>133.46</v>
      </c>
      <c r="AI236">
        <v>440.13</v>
      </c>
      <c r="AJ236">
        <v>37.97</v>
      </c>
      <c r="AK236">
        <v>0.63</v>
      </c>
      <c r="AL236">
        <v>20.36</v>
      </c>
      <c r="AM236">
        <v>75.2</v>
      </c>
      <c r="AN236">
        <v>250.54</v>
      </c>
      <c r="AO236" s="1">
        <v>1093.97</v>
      </c>
    </row>
    <row r="237" spans="1:41" x14ac:dyDescent="0.25">
      <c r="A237" t="s">
        <v>684</v>
      </c>
      <c r="B237" s="4">
        <v>1491</v>
      </c>
      <c r="C237" s="4">
        <v>5800</v>
      </c>
      <c r="D237" s="4">
        <v>5539</v>
      </c>
      <c r="E237" s="4">
        <v>2026</v>
      </c>
      <c r="F237" s="4">
        <v>6216</v>
      </c>
      <c r="G237" s="4">
        <v>8838</v>
      </c>
      <c r="H237" s="4">
        <v>3191</v>
      </c>
      <c r="I237" s="4">
        <v>473</v>
      </c>
      <c r="J237" s="4">
        <v>9610</v>
      </c>
      <c r="K237" s="4">
        <v>100</v>
      </c>
      <c r="L237" s="4">
        <v>0</v>
      </c>
      <c r="M237" s="4">
        <v>729</v>
      </c>
      <c r="N237" s="3">
        <f t="shared" si="6"/>
        <v>44013</v>
      </c>
      <c r="O237" s="4">
        <v>5</v>
      </c>
      <c r="P237" s="4">
        <v>5</v>
      </c>
      <c r="Q237" s="4">
        <v>7</v>
      </c>
      <c r="R237" s="4">
        <v>1</v>
      </c>
      <c r="S237" s="4">
        <v>2</v>
      </c>
      <c r="T237" s="4">
        <v>6</v>
      </c>
      <c r="U237" s="4">
        <v>8</v>
      </c>
      <c r="V237" s="4">
        <v>5</v>
      </c>
      <c r="W237" s="4">
        <v>0</v>
      </c>
      <c r="X237" s="4">
        <v>3</v>
      </c>
      <c r="Y237" s="4">
        <v>2</v>
      </c>
      <c r="Z237" s="4">
        <v>2</v>
      </c>
      <c r="AA237" s="3">
        <f t="shared" si="7"/>
        <v>46</v>
      </c>
      <c r="AB237" t="s">
        <v>63</v>
      </c>
      <c r="AC237">
        <v>30.27</v>
      </c>
      <c r="AD237">
        <v>116.45</v>
      </c>
      <c r="AE237">
        <v>111.41</v>
      </c>
      <c r="AF237">
        <v>40.61</v>
      </c>
      <c r="AG237">
        <v>124.5</v>
      </c>
      <c r="AH237">
        <v>177.3</v>
      </c>
      <c r="AI237">
        <v>64.540000000000006</v>
      </c>
      <c r="AJ237">
        <v>9.91</v>
      </c>
      <c r="AK237">
        <v>192.2</v>
      </c>
      <c r="AL237">
        <v>2.27</v>
      </c>
      <c r="AM237">
        <v>0.18</v>
      </c>
      <c r="AN237">
        <v>14.76</v>
      </c>
      <c r="AO237" s="1">
        <v>884.39999999999975</v>
      </c>
    </row>
    <row r="238" spans="1:41" x14ac:dyDescent="0.25">
      <c r="A238" t="s">
        <v>685</v>
      </c>
      <c r="B238" s="4">
        <v>1490</v>
      </c>
      <c r="C238" s="4">
        <v>2102</v>
      </c>
      <c r="D238" s="4">
        <v>7182</v>
      </c>
      <c r="E238" s="4">
        <v>7938</v>
      </c>
      <c r="F238" s="4">
        <v>799</v>
      </c>
      <c r="G238" s="4">
        <v>1586</v>
      </c>
      <c r="H238" s="4">
        <v>1640</v>
      </c>
      <c r="I238" s="4">
        <v>2329</v>
      </c>
      <c r="J238" s="4">
        <v>1030</v>
      </c>
      <c r="K238" s="4">
        <v>5752</v>
      </c>
      <c r="L238" s="4">
        <v>3915</v>
      </c>
      <c r="M238" s="4">
        <v>0</v>
      </c>
      <c r="N238" s="3">
        <f t="shared" si="6"/>
        <v>35763</v>
      </c>
      <c r="O238" s="4">
        <v>4</v>
      </c>
      <c r="P238" s="4">
        <v>3</v>
      </c>
      <c r="Q238" s="4">
        <v>1</v>
      </c>
      <c r="R238" s="4">
        <v>3</v>
      </c>
      <c r="S238" s="4">
        <v>0</v>
      </c>
      <c r="T238" s="4">
        <v>3</v>
      </c>
      <c r="U238" s="4">
        <v>2</v>
      </c>
      <c r="V238" s="4">
        <v>4</v>
      </c>
      <c r="W238" s="4">
        <v>0</v>
      </c>
      <c r="X238" s="4">
        <v>9</v>
      </c>
      <c r="Y238" s="4">
        <v>3</v>
      </c>
      <c r="Z238" s="4">
        <v>4</v>
      </c>
      <c r="AA238" s="3">
        <f t="shared" si="7"/>
        <v>36</v>
      </c>
      <c r="AB238" t="s">
        <v>63</v>
      </c>
      <c r="AC238">
        <v>30.16</v>
      </c>
      <c r="AD238">
        <v>42.31</v>
      </c>
      <c r="AE238">
        <v>143.72999999999999</v>
      </c>
      <c r="AF238">
        <v>159.03</v>
      </c>
      <c r="AG238">
        <v>15.98</v>
      </c>
      <c r="AH238">
        <v>31.99</v>
      </c>
      <c r="AI238">
        <v>32.979999999999997</v>
      </c>
      <c r="AJ238">
        <v>46.94</v>
      </c>
      <c r="AK238">
        <v>20.6</v>
      </c>
      <c r="AL238">
        <v>115.85</v>
      </c>
      <c r="AM238">
        <v>78.569999999999993</v>
      </c>
      <c r="AN238">
        <v>0.36</v>
      </c>
      <c r="AO238" s="1">
        <v>718.50000000000011</v>
      </c>
    </row>
    <row r="239" spans="1:41" x14ac:dyDescent="0.25">
      <c r="A239" t="s">
        <v>686</v>
      </c>
      <c r="B239" s="4">
        <v>1463</v>
      </c>
      <c r="C239" s="4">
        <v>3350</v>
      </c>
      <c r="D239" s="4">
        <v>1887</v>
      </c>
      <c r="E239" s="4">
        <v>2858</v>
      </c>
      <c r="F239" s="4">
        <v>4363</v>
      </c>
      <c r="G239" s="4">
        <v>5432</v>
      </c>
      <c r="H239" s="4">
        <v>769</v>
      </c>
      <c r="I239" s="4">
        <v>5129</v>
      </c>
      <c r="J239" s="4">
        <v>3874</v>
      </c>
      <c r="K239" s="4">
        <v>0</v>
      </c>
      <c r="L239" s="4">
        <v>180</v>
      </c>
      <c r="M239" s="4">
        <v>3461</v>
      </c>
      <c r="N239" s="3">
        <f t="shared" si="6"/>
        <v>32766</v>
      </c>
      <c r="O239" s="4">
        <v>1</v>
      </c>
      <c r="P239" s="4">
        <v>2</v>
      </c>
      <c r="Q239" s="4">
        <v>0</v>
      </c>
      <c r="R239" s="4">
        <v>3</v>
      </c>
      <c r="S239" s="4">
        <v>11</v>
      </c>
      <c r="T239" s="4">
        <v>5</v>
      </c>
      <c r="U239" s="4">
        <v>1</v>
      </c>
      <c r="V239" s="4">
        <v>2</v>
      </c>
      <c r="W239" s="4">
        <v>6</v>
      </c>
      <c r="X239" s="4">
        <v>4</v>
      </c>
      <c r="Y239" s="4">
        <v>7</v>
      </c>
      <c r="Z239" s="4">
        <v>4</v>
      </c>
      <c r="AA239" s="3">
        <f t="shared" si="7"/>
        <v>46</v>
      </c>
      <c r="AB239" t="s">
        <v>63</v>
      </c>
      <c r="AC239">
        <v>29.35</v>
      </c>
      <c r="AD239">
        <v>67.180000000000007</v>
      </c>
      <c r="AE239">
        <v>37.74</v>
      </c>
      <c r="AF239">
        <v>57.43</v>
      </c>
      <c r="AG239">
        <v>88.25</v>
      </c>
      <c r="AH239">
        <v>109.09</v>
      </c>
      <c r="AI239">
        <v>15.47</v>
      </c>
      <c r="AJ239">
        <v>102.76</v>
      </c>
      <c r="AK239">
        <v>78.02</v>
      </c>
      <c r="AL239">
        <v>0.36</v>
      </c>
      <c r="AM239">
        <v>4.2300000000000004</v>
      </c>
      <c r="AN239">
        <v>69.58</v>
      </c>
      <c r="AO239" s="1">
        <v>659.46000000000015</v>
      </c>
    </row>
    <row r="240" spans="1:41" x14ac:dyDescent="0.25">
      <c r="A240" t="s">
        <v>691</v>
      </c>
      <c r="B240" s="4">
        <v>1444</v>
      </c>
      <c r="C240" s="4">
        <v>4523</v>
      </c>
      <c r="D240" s="4">
        <v>1075</v>
      </c>
      <c r="E240" s="4">
        <v>0</v>
      </c>
      <c r="F240" s="4">
        <v>1036</v>
      </c>
      <c r="G240" s="4">
        <v>2380</v>
      </c>
      <c r="H240" s="4">
        <v>534</v>
      </c>
      <c r="I240" s="4">
        <v>1833</v>
      </c>
      <c r="J240" s="4">
        <v>3927</v>
      </c>
      <c r="K240" s="4">
        <v>632</v>
      </c>
      <c r="L240" s="4">
        <v>2079</v>
      </c>
      <c r="M240" s="4">
        <v>2400</v>
      </c>
      <c r="N240" s="3">
        <f t="shared" si="6"/>
        <v>21863</v>
      </c>
      <c r="O240" s="4">
        <v>0</v>
      </c>
      <c r="P240" s="4">
        <v>10</v>
      </c>
      <c r="Q240" s="4">
        <v>4</v>
      </c>
      <c r="R240" s="4">
        <v>1</v>
      </c>
      <c r="S240" s="4">
        <v>2</v>
      </c>
      <c r="T240" s="4">
        <v>3</v>
      </c>
      <c r="U240" s="4">
        <v>2</v>
      </c>
      <c r="V240" s="4">
        <v>8</v>
      </c>
      <c r="W240" s="4">
        <v>8</v>
      </c>
      <c r="X240" s="4">
        <v>3</v>
      </c>
      <c r="Y240" s="4">
        <v>15</v>
      </c>
      <c r="Z240" s="4">
        <v>2</v>
      </c>
      <c r="AA240" s="3">
        <f t="shared" si="7"/>
        <v>58</v>
      </c>
      <c r="AB240" t="s">
        <v>63</v>
      </c>
      <c r="AC240">
        <v>28.88</v>
      </c>
      <c r="AD240">
        <v>91.36</v>
      </c>
      <c r="AE240">
        <v>21.86</v>
      </c>
      <c r="AF240">
        <v>0.09</v>
      </c>
      <c r="AG240">
        <v>20.9</v>
      </c>
      <c r="AH240">
        <v>47.87</v>
      </c>
      <c r="AI240">
        <v>10.86</v>
      </c>
      <c r="AJ240">
        <v>37.380000000000003</v>
      </c>
      <c r="AK240">
        <v>79.260000000000005</v>
      </c>
      <c r="AL240">
        <v>12.91</v>
      </c>
      <c r="AM240">
        <v>42.93</v>
      </c>
      <c r="AN240">
        <v>48.18</v>
      </c>
      <c r="AO240" s="1">
        <v>442.48</v>
      </c>
    </row>
    <row r="241" spans="1:41" x14ac:dyDescent="0.25">
      <c r="A241" t="s">
        <v>695</v>
      </c>
      <c r="B241" s="4">
        <v>1419</v>
      </c>
      <c r="C241" s="4">
        <v>6318</v>
      </c>
      <c r="D241" s="4">
        <v>2218</v>
      </c>
      <c r="E241" s="4">
        <v>549</v>
      </c>
      <c r="F241" s="4">
        <v>0</v>
      </c>
      <c r="G241" s="4">
        <v>1219</v>
      </c>
      <c r="H241" s="4">
        <v>6009</v>
      </c>
      <c r="I241" s="4">
        <v>2176</v>
      </c>
      <c r="J241" s="4">
        <v>0</v>
      </c>
      <c r="K241" s="4">
        <v>2263</v>
      </c>
      <c r="L241" s="4">
        <v>3379</v>
      </c>
      <c r="M241" s="4">
        <v>223</v>
      </c>
      <c r="N241" s="3">
        <f t="shared" si="6"/>
        <v>25773</v>
      </c>
      <c r="O241" s="4">
        <v>6</v>
      </c>
      <c r="P241" s="4">
        <v>11</v>
      </c>
      <c r="Q241" s="4">
        <v>18</v>
      </c>
      <c r="R241" s="4">
        <v>8</v>
      </c>
      <c r="S241" s="4">
        <v>3</v>
      </c>
      <c r="T241" s="4">
        <v>0</v>
      </c>
      <c r="U241" s="4">
        <v>8</v>
      </c>
      <c r="V241" s="4">
        <v>5</v>
      </c>
      <c r="W241" s="4">
        <v>1</v>
      </c>
      <c r="X241" s="4">
        <v>11</v>
      </c>
      <c r="Y241" s="4">
        <v>0</v>
      </c>
      <c r="Z241" s="4">
        <v>2</v>
      </c>
      <c r="AA241" s="3">
        <f t="shared" si="7"/>
        <v>73</v>
      </c>
      <c r="AB241" t="s">
        <v>63</v>
      </c>
      <c r="AC241">
        <v>28.92</v>
      </c>
      <c r="AD241">
        <v>127.35</v>
      </c>
      <c r="AE241">
        <v>45.98</v>
      </c>
      <c r="AF241">
        <v>11.7</v>
      </c>
      <c r="AG241">
        <v>0.27</v>
      </c>
      <c r="AH241">
        <v>24.38</v>
      </c>
      <c r="AI241">
        <v>120.9</v>
      </c>
      <c r="AJ241">
        <v>43.97</v>
      </c>
      <c r="AK241">
        <v>0.09</v>
      </c>
      <c r="AL241">
        <v>46.25</v>
      </c>
      <c r="AM241">
        <v>67.58</v>
      </c>
      <c r="AN241">
        <v>4.6399999999999997</v>
      </c>
      <c r="AO241" s="1">
        <v>522.03</v>
      </c>
    </row>
    <row r="242" spans="1:41" x14ac:dyDescent="0.25">
      <c r="A242" t="s">
        <v>699</v>
      </c>
      <c r="B242" s="4">
        <v>1410</v>
      </c>
      <c r="C242" s="4">
        <v>3542</v>
      </c>
      <c r="D242" s="4">
        <v>469</v>
      </c>
      <c r="E242" s="4">
        <v>3384</v>
      </c>
      <c r="F242" s="4">
        <v>3707</v>
      </c>
      <c r="G242" s="4">
        <v>1004</v>
      </c>
      <c r="H242" s="4">
        <v>7199</v>
      </c>
      <c r="I242" s="4">
        <v>6418</v>
      </c>
      <c r="J242" s="4">
        <v>0</v>
      </c>
      <c r="K242" s="4">
        <v>2765</v>
      </c>
      <c r="L242" s="4">
        <v>3407</v>
      </c>
      <c r="M242" s="4">
        <v>0</v>
      </c>
      <c r="N242" s="3">
        <f t="shared" si="6"/>
        <v>33305</v>
      </c>
      <c r="O242" s="4">
        <v>6</v>
      </c>
      <c r="P242" s="4">
        <v>8</v>
      </c>
      <c r="Q242" s="4">
        <v>0</v>
      </c>
      <c r="R242" s="4">
        <v>3</v>
      </c>
      <c r="S242" s="4">
        <v>10</v>
      </c>
      <c r="T242" s="4">
        <v>0</v>
      </c>
      <c r="U242" s="4">
        <v>0</v>
      </c>
      <c r="V242" s="4">
        <v>6</v>
      </c>
      <c r="W242" s="4">
        <v>9</v>
      </c>
      <c r="X242" s="4">
        <v>1</v>
      </c>
      <c r="Y242" s="4">
        <v>7</v>
      </c>
      <c r="Z242" s="4">
        <v>6</v>
      </c>
      <c r="AA242" s="3">
        <f t="shared" si="7"/>
        <v>56</v>
      </c>
      <c r="AB242" t="s">
        <v>63</v>
      </c>
      <c r="AC242">
        <v>28.74</v>
      </c>
      <c r="AD242">
        <v>71.56</v>
      </c>
      <c r="AE242">
        <v>9.3800000000000008</v>
      </c>
      <c r="AF242">
        <v>67.95</v>
      </c>
      <c r="AG242">
        <v>75.040000000000006</v>
      </c>
      <c r="AH242">
        <v>20.079999999999998</v>
      </c>
      <c r="AI242">
        <v>143.97999999999999</v>
      </c>
      <c r="AJ242">
        <v>128.9</v>
      </c>
      <c r="AK242">
        <v>0.81</v>
      </c>
      <c r="AL242">
        <v>55.39</v>
      </c>
      <c r="AM242">
        <v>68.77</v>
      </c>
      <c r="AN242">
        <v>0.54</v>
      </c>
      <c r="AO242" s="1">
        <v>671.13999999999987</v>
      </c>
    </row>
    <row r="243" spans="1:41" x14ac:dyDescent="0.25">
      <c r="A243" t="s">
        <v>703</v>
      </c>
      <c r="B243" s="4">
        <v>1390</v>
      </c>
      <c r="C243" s="4">
        <v>8297</v>
      </c>
      <c r="D243" s="4">
        <v>2097</v>
      </c>
      <c r="E243" s="4">
        <v>469</v>
      </c>
      <c r="F243" s="4">
        <v>834</v>
      </c>
      <c r="G243" s="4">
        <v>2518</v>
      </c>
      <c r="H243" s="4">
        <v>504</v>
      </c>
      <c r="I243" s="4">
        <v>2106</v>
      </c>
      <c r="J243" s="4">
        <v>1479</v>
      </c>
      <c r="K243" s="4">
        <v>5252</v>
      </c>
      <c r="L243" s="4">
        <v>1253</v>
      </c>
      <c r="M243" s="4">
        <v>4296</v>
      </c>
      <c r="N243" s="3">
        <f t="shared" si="6"/>
        <v>30495</v>
      </c>
      <c r="O243" s="4">
        <v>5</v>
      </c>
      <c r="P243" s="4">
        <v>14</v>
      </c>
      <c r="Q243" s="4">
        <v>1</v>
      </c>
      <c r="R243" s="4">
        <v>3</v>
      </c>
      <c r="S243" s="4">
        <v>4</v>
      </c>
      <c r="T243" s="4">
        <v>4</v>
      </c>
      <c r="U243" s="4">
        <v>8</v>
      </c>
      <c r="V243" s="4">
        <v>7</v>
      </c>
      <c r="W243" s="4">
        <v>0</v>
      </c>
      <c r="X243" s="4">
        <v>27</v>
      </c>
      <c r="Y243" s="4">
        <v>7</v>
      </c>
      <c r="Z243" s="4">
        <v>10</v>
      </c>
      <c r="AA243" s="3">
        <f t="shared" si="7"/>
        <v>90</v>
      </c>
      <c r="AB243" t="s">
        <v>63</v>
      </c>
      <c r="AC243">
        <v>28.25</v>
      </c>
      <c r="AD243">
        <v>167.2</v>
      </c>
      <c r="AE243">
        <v>42.03</v>
      </c>
      <c r="AF243">
        <v>9.65</v>
      </c>
      <c r="AG243">
        <v>17.04</v>
      </c>
      <c r="AH243">
        <v>50.72</v>
      </c>
      <c r="AI243">
        <v>10.8</v>
      </c>
      <c r="AJ243">
        <v>42.75</v>
      </c>
      <c r="AK243">
        <v>29.58</v>
      </c>
      <c r="AL243">
        <v>107.47</v>
      </c>
      <c r="AM243">
        <v>25.69</v>
      </c>
      <c r="AN243">
        <v>86.82</v>
      </c>
      <c r="AO243" s="1">
        <v>618</v>
      </c>
    </row>
    <row r="244" spans="1:41" x14ac:dyDescent="0.25">
      <c r="A244" t="s">
        <v>710</v>
      </c>
      <c r="B244" s="4">
        <v>1372</v>
      </c>
      <c r="C244" s="4">
        <v>2822</v>
      </c>
      <c r="D244" s="4">
        <v>2942</v>
      </c>
      <c r="E244" s="4">
        <v>3384</v>
      </c>
      <c r="F244" s="4">
        <v>1485</v>
      </c>
      <c r="G244" s="4">
        <v>7964</v>
      </c>
      <c r="H244" s="4">
        <v>2224</v>
      </c>
      <c r="I244" s="4">
        <v>7769</v>
      </c>
      <c r="J244" s="4">
        <v>0</v>
      </c>
      <c r="K244" s="4">
        <v>3614</v>
      </c>
      <c r="L244" s="4">
        <v>1596</v>
      </c>
      <c r="M244" s="4">
        <v>2156</v>
      </c>
      <c r="N244" s="3">
        <f t="shared" si="6"/>
        <v>37328</v>
      </c>
      <c r="O244" s="4">
        <v>1</v>
      </c>
      <c r="P244" s="4">
        <v>6</v>
      </c>
      <c r="Q244" s="4">
        <v>3</v>
      </c>
      <c r="R244" s="4">
        <v>8</v>
      </c>
      <c r="S244" s="4">
        <v>3</v>
      </c>
      <c r="T244" s="4">
        <v>2</v>
      </c>
      <c r="U244" s="4">
        <v>4</v>
      </c>
      <c r="V244" s="4">
        <v>10</v>
      </c>
      <c r="W244" s="4">
        <v>1</v>
      </c>
      <c r="X244" s="4">
        <v>3</v>
      </c>
      <c r="Y244" s="4">
        <v>1</v>
      </c>
      <c r="Z244" s="4">
        <v>6</v>
      </c>
      <c r="AA244" s="3">
        <f t="shared" si="7"/>
        <v>48</v>
      </c>
      <c r="AB244" t="s">
        <v>63</v>
      </c>
      <c r="AC244">
        <v>27.53</v>
      </c>
      <c r="AD244">
        <v>56.98</v>
      </c>
      <c r="AE244">
        <v>59.11</v>
      </c>
      <c r="AF244">
        <v>68.400000000000006</v>
      </c>
      <c r="AG244">
        <v>29.97</v>
      </c>
      <c r="AH244">
        <v>159.46</v>
      </c>
      <c r="AI244">
        <v>44.84</v>
      </c>
      <c r="AJ244">
        <v>156.28</v>
      </c>
      <c r="AK244">
        <v>0.09</v>
      </c>
      <c r="AL244">
        <v>72.55</v>
      </c>
      <c r="AM244">
        <v>32.01</v>
      </c>
      <c r="AN244">
        <v>43.66</v>
      </c>
      <c r="AO244" s="1">
        <v>750.88</v>
      </c>
    </row>
    <row r="245" spans="1:41" x14ac:dyDescent="0.25">
      <c r="A245" t="s">
        <v>713</v>
      </c>
      <c r="B245" s="4">
        <v>1363</v>
      </c>
      <c r="C245" s="4">
        <v>2755</v>
      </c>
      <c r="D245" s="4">
        <v>605</v>
      </c>
      <c r="E245" s="4">
        <v>1872</v>
      </c>
      <c r="F245" s="4">
        <v>5764</v>
      </c>
      <c r="G245" s="4">
        <v>0</v>
      </c>
      <c r="H245" s="4">
        <v>0</v>
      </c>
      <c r="I245" s="4">
        <v>7328</v>
      </c>
      <c r="J245" s="4">
        <v>2489</v>
      </c>
      <c r="K245" s="4">
        <v>484</v>
      </c>
      <c r="L245" s="4">
        <v>5414</v>
      </c>
      <c r="M245" s="4">
        <v>3910</v>
      </c>
      <c r="N245" s="3">
        <f t="shared" si="6"/>
        <v>31984</v>
      </c>
      <c r="O245" s="4">
        <v>1</v>
      </c>
      <c r="P245" s="4">
        <v>4</v>
      </c>
      <c r="Q245" s="4">
        <v>2</v>
      </c>
      <c r="R245" s="4">
        <v>3</v>
      </c>
      <c r="S245" s="4">
        <v>3</v>
      </c>
      <c r="T245" s="4">
        <v>10</v>
      </c>
      <c r="U245" s="4">
        <v>3</v>
      </c>
      <c r="V245" s="4">
        <v>3</v>
      </c>
      <c r="W245" s="4">
        <v>2</v>
      </c>
      <c r="X245" s="4">
        <v>8</v>
      </c>
      <c r="Y245" s="4">
        <v>1</v>
      </c>
      <c r="Z245" s="4">
        <v>4</v>
      </c>
      <c r="AA245" s="3">
        <f t="shared" si="7"/>
        <v>44</v>
      </c>
      <c r="AB245" t="s">
        <v>63</v>
      </c>
      <c r="AC245">
        <v>27.35</v>
      </c>
      <c r="AD245">
        <v>55.46</v>
      </c>
      <c r="AE245">
        <v>12.28</v>
      </c>
      <c r="AF245">
        <v>37.71</v>
      </c>
      <c r="AG245">
        <v>115.55</v>
      </c>
      <c r="AH245">
        <v>0.9</v>
      </c>
      <c r="AI245">
        <v>0.27</v>
      </c>
      <c r="AJ245">
        <v>146.83000000000001</v>
      </c>
      <c r="AK245">
        <v>49.96</v>
      </c>
      <c r="AL245">
        <v>10.4</v>
      </c>
      <c r="AM245">
        <v>108.37</v>
      </c>
      <c r="AN245">
        <v>78.56</v>
      </c>
      <c r="AO245" s="1">
        <v>643.63999999999987</v>
      </c>
    </row>
    <row r="246" spans="1:41" x14ac:dyDescent="0.25">
      <c r="A246" t="s">
        <v>719</v>
      </c>
      <c r="B246" s="4">
        <v>1343</v>
      </c>
      <c r="C246" s="4">
        <v>624</v>
      </c>
      <c r="D246" s="4">
        <v>1363</v>
      </c>
      <c r="E246" s="4">
        <v>0</v>
      </c>
      <c r="F246" s="4">
        <v>799</v>
      </c>
      <c r="G246" s="4">
        <v>38</v>
      </c>
      <c r="H246" s="4">
        <v>3189</v>
      </c>
      <c r="I246" s="4">
        <v>6152</v>
      </c>
      <c r="J246" s="4">
        <v>7581</v>
      </c>
      <c r="K246" s="4">
        <v>5939</v>
      </c>
      <c r="L246" s="4">
        <v>2644</v>
      </c>
      <c r="M246" s="4">
        <v>5432</v>
      </c>
      <c r="N246" s="3">
        <f t="shared" si="6"/>
        <v>35104</v>
      </c>
      <c r="O246" s="4">
        <v>1</v>
      </c>
      <c r="P246" s="4">
        <v>13</v>
      </c>
      <c r="Q246" s="4">
        <v>2</v>
      </c>
      <c r="R246" s="4">
        <v>3</v>
      </c>
      <c r="S246" s="4">
        <v>2</v>
      </c>
      <c r="T246" s="4">
        <v>0</v>
      </c>
      <c r="U246" s="4">
        <v>4</v>
      </c>
      <c r="V246" s="4">
        <v>1</v>
      </c>
      <c r="W246" s="4">
        <v>2</v>
      </c>
      <c r="X246" s="4">
        <v>5</v>
      </c>
      <c r="Y246" s="4">
        <v>1</v>
      </c>
      <c r="Z246" s="4">
        <v>5</v>
      </c>
      <c r="AA246" s="3">
        <f t="shared" si="7"/>
        <v>39</v>
      </c>
      <c r="AB246" t="s">
        <v>63</v>
      </c>
      <c r="AC246">
        <v>26.95</v>
      </c>
      <c r="AD246">
        <v>13.65</v>
      </c>
      <c r="AE246">
        <v>27.44</v>
      </c>
      <c r="AF246">
        <v>0.27</v>
      </c>
      <c r="AG246">
        <v>16.16</v>
      </c>
      <c r="AH246">
        <v>0.76</v>
      </c>
      <c r="AI246">
        <v>64.14</v>
      </c>
      <c r="AJ246">
        <v>123.13</v>
      </c>
      <c r="AK246">
        <v>151.80000000000001</v>
      </c>
      <c r="AL246">
        <v>119.23</v>
      </c>
      <c r="AM246">
        <v>52.97</v>
      </c>
      <c r="AN246">
        <v>109.09</v>
      </c>
      <c r="AO246" s="1">
        <v>705.59</v>
      </c>
    </row>
    <row r="247" spans="1:41" x14ac:dyDescent="0.25">
      <c r="A247" t="s">
        <v>721</v>
      </c>
      <c r="B247" s="4">
        <v>1311</v>
      </c>
      <c r="C247" s="4">
        <v>245</v>
      </c>
      <c r="D247" s="4">
        <v>2179</v>
      </c>
      <c r="E247" s="4">
        <v>3716</v>
      </c>
      <c r="F247" s="4">
        <v>2160</v>
      </c>
      <c r="G247" s="4">
        <v>348</v>
      </c>
      <c r="H247" s="4">
        <v>4589</v>
      </c>
      <c r="I247" s="4">
        <v>2363</v>
      </c>
      <c r="J247" s="4">
        <v>3950</v>
      </c>
      <c r="K247" s="4">
        <v>5719</v>
      </c>
      <c r="L247" s="4">
        <v>5015</v>
      </c>
      <c r="M247" s="4">
        <v>1964</v>
      </c>
      <c r="N247" s="3">
        <f t="shared" si="6"/>
        <v>33559</v>
      </c>
      <c r="O247" s="4">
        <v>6</v>
      </c>
      <c r="P247" s="4">
        <v>6</v>
      </c>
      <c r="Q247" s="4">
        <v>2</v>
      </c>
      <c r="R247" s="4">
        <v>4</v>
      </c>
      <c r="S247" s="4">
        <v>2</v>
      </c>
      <c r="T247" s="4">
        <v>2</v>
      </c>
      <c r="U247" s="4">
        <v>10</v>
      </c>
      <c r="V247" s="4">
        <v>3</v>
      </c>
      <c r="W247" s="4">
        <v>3</v>
      </c>
      <c r="X247" s="4">
        <v>10</v>
      </c>
      <c r="Y247" s="4">
        <v>6</v>
      </c>
      <c r="Z247" s="4">
        <v>0</v>
      </c>
      <c r="AA247" s="3">
        <f t="shared" si="7"/>
        <v>54</v>
      </c>
      <c r="AB247" t="s">
        <v>63</v>
      </c>
      <c r="AC247">
        <v>26.76</v>
      </c>
      <c r="AD247">
        <v>5.44</v>
      </c>
      <c r="AE247">
        <v>43.76</v>
      </c>
      <c r="AF247">
        <v>74.680000000000007</v>
      </c>
      <c r="AG247">
        <v>43.38</v>
      </c>
      <c r="AH247">
        <v>7.14</v>
      </c>
      <c r="AI247">
        <v>92.68</v>
      </c>
      <c r="AJ247">
        <v>47.53</v>
      </c>
      <c r="AK247">
        <v>79.27</v>
      </c>
      <c r="AL247">
        <v>115.28</v>
      </c>
      <c r="AM247">
        <v>100.84</v>
      </c>
      <c r="AN247">
        <v>39.28</v>
      </c>
      <c r="AO247" s="1">
        <v>676.04</v>
      </c>
    </row>
    <row r="248" spans="1:41" x14ac:dyDescent="0.25">
      <c r="A248" t="s">
        <v>722</v>
      </c>
      <c r="B248" s="4">
        <v>1311</v>
      </c>
      <c r="C248" s="4">
        <v>322</v>
      </c>
      <c r="D248" s="4">
        <v>5294</v>
      </c>
      <c r="E248" s="4">
        <v>3543</v>
      </c>
      <c r="F248" s="4">
        <v>71</v>
      </c>
      <c r="G248" s="4">
        <v>6535</v>
      </c>
      <c r="H248" s="4">
        <v>0</v>
      </c>
      <c r="I248" s="4">
        <v>8446</v>
      </c>
      <c r="J248" s="4">
        <v>1633</v>
      </c>
      <c r="K248" s="4">
        <v>875</v>
      </c>
      <c r="L248" s="4">
        <v>711</v>
      </c>
      <c r="M248" s="4">
        <v>1287</v>
      </c>
      <c r="N248" s="3">
        <f t="shared" si="6"/>
        <v>30028</v>
      </c>
      <c r="O248" s="4">
        <v>2</v>
      </c>
      <c r="P248" s="4">
        <v>3</v>
      </c>
      <c r="Q248" s="4">
        <v>0</v>
      </c>
      <c r="R248" s="4">
        <v>9</v>
      </c>
      <c r="S248" s="4">
        <v>1</v>
      </c>
      <c r="T248" s="4">
        <v>3</v>
      </c>
      <c r="U248" s="4">
        <v>8</v>
      </c>
      <c r="V248" s="4">
        <v>3</v>
      </c>
      <c r="W248" s="4">
        <v>4</v>
      </c>
      <c r="X248" s="4">
        <v>4</v>
      </c>
      <c r="Y248" s="4">
        <v>10</v>
      </c>
      <c r="Z248" s="4">
        <v>2</v>
      </c>
      <c r="AA248" s="3">
        <f t="shared" si="7"/>
        <v>49</v>
      </c>
      <c r="AB248" t="s">
        <v>63</v>
      </c>
      <c r="AC248">
        <v>26.4</v>
      </c>
      <c r="AD248">
        <v>6.71</v>
      </c>
      <c r="AE248">
        <v>105.88</v>
      </c>
      <c r="AF248">
        <v>71.67</v>
      </c>
      <c r="AG248">
        <v>1.51</v>
      </c>
      <c r="AH248">
        <v>130.97</v>
      </c>
      <c r="AI248">
        <v>0.72</v>
      </c>
      <c r="AJ248">
        <v>169.19</v>
      </c>
      <c r="AK248">
        <v>33.020000000000003</v>
      </c>
      <c r="AL248">
        <v>17.86</v>
      </c>
      <c r="AM248">
        <v>15.12</v>
      </c>
      <c r="AN248">
        <v>25.92</v>
      </c>
      <c r="AO248" s="1">
        <v>604.96999999999991</v>
      </c>
    </row>
    <row r="249" spans="1:41" x14ac:dyDescent="0.25">
      <c r="A249" t="s">
        <v>723</v>
      </c>
      <c r="B249" s="4">
        <v>1298</v>
      </c>
      <c r="C249" s="4">
        <v>730</v>
      </c>
      <c r="D249" s="4">
        <v>2368</v>
      </c>
      <c r="E249" s="4">
        <v>1147</v>
      </c>
      <c r="F249" s="4">
        <v>2763</v>
      </c>
      <c r="G249" s="4">
        <v>7914</v>
      </c>
      <c r="H249" s="4">
        <v>4049</v>
      </c>
      <c r="I249" s="4">
        <v>7748</v>
      </c>
      <c r="J249" s="4">
        <v>292</v>
      </c>
      <c r="K249" s="4">
        <v>7341</v>
      </c>
      <c r="L249" s="4">
        <v>4080</v>
      </c>
      <c r="M249" s="4">
        <v>943</v>
      </c>
      <c r="N249" s="3">
        <f t="shared" si="6"/>
        <v>40673</v>
      </c>
      <c r="O249" s="4">
        <v>3</v>
      </c>
      <c r="P249" s="4">
        <v>2</v>
      </c>
      <c r="Q249" s="4">
        <v>3</v>
      </c>
      <c r="R249" s="4">
        <v>3</v>
      </c>
      <c r="S249" s="4">
        <v>0</v>
      </c>
      <c r="T249" s="4">
        <v>0</v>
      </c>
      <c r="U249" s="4">
        <v>6</v>
      </c>
      <c r="V249" s="4">
        <v>2</v>
      </c>
      <c r="W249" s="4">
        <v>0</v>
      </c>
      <c r="X249" s="4">
        <v>14</v>
      </c>
      <c r="Y249" s="4">
        <v>8</v>
      </c>
      <c r="Z249" s="4">
        <v>12</v>
      </c>
      <c r="AA249" s="3">
        <f t="shared" si="7"/>
        <v>53</v>
      </c>
      <c r="AB249" t="s">
        <v>63</v>
      </c>
      <c r="AC249">
        <v>26.23</v>
      </c>
      <c r="AD249">
        <v>14.78</v>
      </c>
      <c r="AE249">
        <v>47.63</v>
      </c>
      <c r="AF249">
        <v>23.21</v>
      </c>
      <c r="AG249">
        <v>55.26</v>
      </c>
      <c r="AH249">
        <v>158.28</v>
      </c>
      <c r="AI249">
        <v>81.52</v>
      </c>
      <c r="AJ249">
        <v>155.13999999999999</v>
      </c>
      <c r="AK249">
        <v>5.84</v>
      </c>
      <c r="AL249">
        <v>148.08000000000001</v>
      </c>
      <c r="AM249">
        <v>82.32</v>
      </c>
      <c r="AN249">
        <v>19.940000000000001</v>
      </c>
      <c r="AO249" s="1">
        <v>818.23</v>
      </c>
    </row>
    <row r="250" spans="1:41" x14ac:dyDescent="0.25">
      <c r="A250" t="s">
        <v>729</v>
      </c>
      <c r="B250" s="4">
        <v>1248</v>
      </c>
      <c r="C250" s="4">
        <v>1385</v>
      </c>
      <c r="D250" s="4">
        <v>1527</v>
      </c>
      <c r="E250" s="4">
        <v>4862</v>
      </c>
      <c r="F250" s="4">
        <v>12071</v>
      </c>
      <c r="G250" s="4">
        <v>6555</v>
      </c>
      <c r="H250" s="4">
        <v>574</v>
      </c>
      <c r="I250" s="4">
        <v>666</v>
      </c>
      <c r="J250" s="4">
        <v>109</v>
      </c>
      <c r="K250" s="4">
        <v>652</v>
      </c>
      <c r="L250" s="4">
        <v>0</v>
      </c>
      <c r="M250" s="4">
        <v>1087</v>
      </c>
      <c r="N250" s="3">
        <f t="shared" si="6"/>
        <v>30736</v>
      </c>
      <c r="O250" s="4">
        <v>5</v>
      </c>
      <c r="P250" s="4">
        <v>3</v>
      </c>
      <c r="Q250" s="4">
        <v>1</v>
      </c>
      <c r="R250" s="4">
        <v>6</v>
      </c>
      <c r="S250" s="4">
        <v>5</v>
      </c>
      <c r="T250" s="4">
        <v>3</v>
      </c>
      <c r="U250" s="4">
        <v>5</v>
      </c>
      <c r="V250" s="4">
        <v>4</v>
      </c>
      <c r="W250" s="4">
        <v>0</v>
      </c>
      <c r="X250" s="4">
        <v>0</v>
      </c>
      <c r="Y250" s="4">
        <v>1</v>
      </c>
      <c r="Z250" s="4">
        <v>0</v>
      </c>
      <c r="AA250" s="3">
        <f t="shared" si="7"/>
        <v>33</v>
      </c>
      <c r="AB250" t="s">
        <v>63</v>
      </c>
      <c r="AC250">
        <v>25.41</v>
      </c>
      <c r="AD250">
        <v>27.97</v>
      </c>
      <c r="AE250">
        <v>30.63</v>
      </c>
      <c r="AF250">
        <v>97.78</v>
      </c>
      <c r="AG250">
        <v>241.87</v>
      </c>
      <c r="AH250">
        <v>131.37</v>
      </c>
      <c r="AI250">
        <v>11.93</v>
      </c>
      <c r="AJ250">
        <v>13.68</v>
      </c>
      <c r="AK250">
        <v>2.1800000000000002</v>
      </c>
      <c r="AL250">
        <v>13.04</v>
      </c>
      <c r="AM250">
        <v>0.09</v>
      </c>
      <c r="AN250">
        <v>21.74</v>
      </c>
      <c r="AO250" s="1">
        <v>617.68999999999983</v>
      </c>
    </row>
    <row r="251" spans="1:41" x14ac:dyDescent="0.25">
      <c r="A251" t="s">
        <v>730</v>
      </c>
      <c r="B251" s="4">
        <v>1242</v>
      </c>
      <c r="C251" s="4">
        <v>328</v>
      </c>
      <c r="D251" s="4">
        <v>1086</v>
      </c>
      <c r="E251" s="4">
        <v>909</v>
      </c>
      <c r="F251" s="4">
        <v>2524</v>
      </c>
      <c r="G251" s="4">
        <v>8000</v>
      </c>
      <c r="H251" s="4">
        <v>7374</v>
      </c>
      <c r="I251" s="4">
        <v>4072</v>
      </c>
      <c r="J251" s="4">
        <v>969</v>
      </c>
      <c r="K251" s="4">
        <v>640</v>
      </c>
      <c r="L251" s="4">
        <v>3671</v>
      </c>
      <c r="M251" s="4">
        <v>1263</v>
      </c>
      <c r="N251" s="3">
        <f t="shared" si="6"/>
        <v>32078</v>
      </c>
      <c r="O251" s="4">
        <v>7</v>
      </c>
      <c r="P251" s="4">
        <v>0</v>
      </c>
      <c r="Q251" s="4">
        <v>3</v>
      </c>
      <c r="R251" s="4">
        <v>6</v>
      </c>
      <c r="S251" s="4">
        <v>7</v>
      </c>
      <c r="T251" s="4">
        <v>1</v>
      </c>
      <c r="U251" s="4">
        <v>4</v>
      </c>
      <c r="V251" s="4">
        <v>2</v>
      </c>
      <c r="W251" s="4">
        <v>13</v>
      </c>
      <c r="X251" s="4">
        <v>1</v>
      </c>
      <c r="Y251" s="4">
        <v>13</v>
      </c>
      <c r="Z251" s="4">
        <v>6</v>
      </c>
      <c r="AA251" s="3">
        <f t="shared" si="7"/>
        <v>63</v>
      </c>
      <c r="AB251" t="s">
        <v>63</v>
      </c>
      <c r="AC251">
        <v>25.47</v>
      </c>
      <c r="AD251">
        <v>6.56</v>
      </c>
      <c r="AE251">
        <v>21.99</v>
      </c>
      <c r="AF251">
        <v>18.72</v>
      </c>
      <c r="AG251">
        <v>51.11</v>
      </c>
      <c r="AH251">
        <v>160.09</v>
      </c>
      <c r="AI251">
        <v>147.84</v>
      </c>
      <c r="AJ251">
        <v>81.62</v>
      </c>
      <c r="AK251">
        <v>20.55</v>
      </c>
      <c r="AL251">
        <v>12.89</v>
      </c>
      <c r="AM251">
        <v>74.59</v>
      </c>
      <c r="AN251">
        <v>25.8</v>
      </c>
      <c r="AO251" s="1">
        <v>647.2299999999999</v>
      </c>
    </row>
    <row r="252" spans="1:41" x14ac:dyDescent="0.25">
      <c r="A252" t="s">
        <v>735</v>
      </c>
      <c r="B252" s="4">
        <v>1213</v>
      </c>
      <c r="C252" s="4">
        <v>1846</v>
      </c>
      <c r="D252" s="4">
        <v>2393</v>
      </c>
      <c r="E252" s="4">
        <v>3066</v>
      </c>
      <c r="F252" s="4">
        <v>2797</v>
      </c>
      <c r="G252" s="4">
        <v>6911</v>
      </c>
      <c r="H252" s="4">
        <v>3136</v>
      </c>
      <c r="I252" s="4">
        <v>430</v>
      </c>
      <c r="J252" s="4">
        <v>1726</v>
      </c>
      <c r="K252" s="4">
        <v>2796</v>
      </c>
      <c r="L252" s="4">
        <v>4689</v>
      </c>
      <c r="M252" s="4">
        <v>528</v>
      </c>
      <c r="N252" s="3">
        <f t="shared" si="6"/>
        <v>31531</v>
      </c>
      <c r="O252" s="4">
        <v>2</v>
      </c>
      <c r="P252" s="4">
        <v>5</v>
      </c>
      <c r="Q252" s="4">
        <v>4</v>
      </c>
      <c r="R252" s="4">
        <v>4</v>
      </c>
      <c r="S252" s="4">
        <v>5</v>
      </c>
      <c r="T252" s="4">
        <v>8</v>
      </c>
      <c r="U252" s="4">
        <v>3</v>
      </c>
      <c r="V252" s="4">
        <v>4</v>
      </c>
      <c r="W252" s="4">
        <v>9</v>
      </c>
      <c r="X252" s="4">
        <v>18</v>
      </c>
      <c r="Y252" s="4">
        <v>8</v>
      </c>
      <c r="Z252" s="4">
        <v>3</v>
      </c>
      <c r="AA252" s="3">
        <f t="shared" si="7"/>
        <v>73</v>
      </c>
      <c r="AB252" t="s">
        <v>63</v>
      </c>
      <c r="AC252">
        <v>24.44</v>
      </c>
      <c r="AD252">
        <v>37.369999999999997</v>
      </c>
      <c r="AE252">
        <v>48.22</v>
      </c>
      <c r="AF252">
        <v>61.68</v>
      </c>
      <c r="AG252">
        <v>56.39</v>
      </c>
      <c r="AH252">
        <v>138.94</v>
      </c>
      <c r="AI252">
        <v>62.99</v>
      </c>
      <c r="AJ252">
        <v>8.9600000000000009</v>
      </c>
      <c r="AK252">
        <v>35.33</v>
      </c>
      <c r="AL252">
        <v>57.54</v>
      </c>
      <c r="AM252">
        <v>94.5</v>
      </c>
      <c r="AN252">
        <v>10.83</v>
      </c>
      <c r="AO252" s="1">
        <v>637.19000000000005</v>
      </c>
    </row>
    <row r="253" spans="1:41" x14ac:dyDescent="0.25">
      <c r="A253" t="s">
        <v>738</v>
      </c>
      <c r="B253" s="4">
        <v>1203</v>
      </c>
      <c r="C253" s="4">
        <v>1086</v>
      </c>
      <c r="D253" s="4">
        <v>0</v>
      </c>
      <c r="E253" s="4">
        <v>6572</v>
      </c>
      <c r="F253" s="4">
        <v>1604</v>
      </c>
      <c r="G253" s="4">
        <v>0</v>
      </c>
      <c r="H253" s="4">
        <v>2632</v>
      </c>
      <c r="I253" s="4">
        <v>358</v>
      </c>
      <c r="J253" s="4">
        <v>0</v>
      </c>
      <c r="K253" s="4">
        <v>0</v>
      </c>
      <c r="L253" s="4">
        <v>0</v>
      </c>
      <c r="M253" s="4">
        <v>5165</v>
      </c>
      <c r="N253" s="3">
        <f t="shared" si="6"/>
        <v>18620</v>
      </c>
      <c r="O253" s="4">
        <v>2</v>
      </c>
      <c r="P253" s="4">
        <v>3</v>
      </c>
      <c r="Q253" s="4">
        <v>1</v>
      </c>
      <c r="R253" s="4">
        <v>5</v>
      </c>
      <c r="S253" s="4">
        <v>5</v>
      </c>
      <c r="T253" s="4">
        <v>3</v>
      </c>
      <c r="U253" s="4">
        <v>2</v>
      </c>
      <c r="V253" s="4">
        <v>3</v>
      </c>
      <c r="W253" s="4">
        <v>2</v>
      </c>
      <c r="X253" s="4">
        <v>11</v>
      </c>
      <c r="Y253" s="4">
        <v>8</v>
      </c>
      <c r="Z253" s="4">
        <v>4</v>
      </c>
      <c r="AA253" s="3">
        <f t="shared" si="7"/>
        <v>49</v>
      </c>
      <c r="AB253" t="s">
        <v>63</v>
      </c>
      <c r="AC253">
        <v>24.24</v>
      </c>
      <c r="AD253">
        <v>21.99</v>
      </c>
      <c r="AE253">
        <v>0.09</v>
      </c>
      <c r="AF253">
        <v>131.88999999999999</v>
      </c>
      <c r="AG253">
        <v>32.53</v>
      </c>
      <c r="AH253">
        <v>0.27</v>
      </c>
      <c r="AI253">
        <v>52.82</v>
      </c>
      <c r="AJ253">
        <v>7.43</v>
      </c>
      <c r="AK253">
        <v>0.18</v>
      </c>
      <c r="AL253">
        <v>0.99</v>
      </c>
      <c r="AM253">
        <v>0.72</v>
      </c>
      <c r="AN253">
        <v>103.66</v>
      </c>
      <c r="AO253" s="1">
        <v>376.81000000000006</v>
      </c>
    </row>
    <row r="254" spans="1:41" x14ac:dyDescent="0.25">
      <c r="A254" t="s">
        <v>740</v>
      </c>
      <c r="B254" s="4">
        <v>1199</v>
      </c>
      <c r="C254" s="4">
        <v>1235</v>
      </c>
      <c r="D254" s="4">
        <v>894</v>
      </c>
      <c r="E254" s="4">
        <v>6780</v>
      </c>
      <c r="F254" s="4">
        <v>106</v>
      </c>
      <c r="G254" s="4">
        <v>8426</v>
      </c>
      <c r="H254" s="4">
        <v>3754</v>
      </c>
      <c r="I254" s="4">
        <v>8908</v>
      </c>
      <c r="J254" s="4">
        <v>3588</v>
      </c>
      <c r="K254" s="4">
        <v>4323</v>
      </c>
      <c r="L254" s="4">
        <v>4223</v>
      </c>
      <c r="M254" s="4">
        <v>6973</v>
      </c>
      <c r="N254" s="3">
        <f t="shared" si="6"/>
        <v>50409</v>
      </c>
      <c r="O254" s="4">
        <v>3</v>
      </c>
      <c r="P254" s="4">
        <v>5</v>
      </c>
      <c r="Q254" s="4">
        <v>4</v>
      </c>
      <c r="R254" s="4">
        <v>4</v>
      </c>
      <c r="S254" s="4">
        <v>3</v>
      </c>
      <c r="T254" s="4">
        <v>5</v>
      </c>
      <c r="U254" s="4">
        <v>0</v>
      </c>
      <c r="V254" s="4">
        <v>4</v>
      </c>
      <c r="W254" s="4">
        <v>5</v>
      </c>
      <c r="X254" s="4">
        <v>5</v>
      </c>
      <c r="Y254" s="4">
        <v>18</v>
      </c>
      <c r="Z254" s="4">
        <v>2</v>
      </c>
      <c r="AA254" s="3">
        <f t="shared" si="7"/>
        <v>58</v>
      </c>
      <c r="AB254" t="s">
        <v>63</v>
      </c>
      <c r="AC254">
        <v>24.25</v>
      </c>
      <c r="AD254">
        <v>25.15</v>
      </c>
      <c r="AE254">
        <v>18.239999999999998</v>
      </c>
      <c r="AF254">
        <v>135.96</v>
      </c>
      <c r="AG254">
        <v>2.39</v>
      </c>
      <c r="AH254">
        <v>168.97</v>
      </c>
      <c r="AI254">
        <v>75.08</v>
      </c>
      <c r="AJ254">
        <v>178.52</v>
      </c>
      <c r="AK254">
        <v>72.209999999999994</v>
      </c>
      <c r="AL254">
        <v>86.91</v>
      </c>
      <c r="AM254">
        <v>86.08</v>
      </c>
      <c r="AN254">
        <v>139.63999999999999</v>
      </c>
      <c r="AO254" s="1">
        <v>1013.4000000000001</v>
      </c>
    </row>
    <row r="255" spans="1:41" x14ac:dyDescent="0.25">
      <c r="A255" t="s">
        <v>741</v>
      </c>
      <c r="B255" s="4">
        <v>1193</v>
      </c>
      <c r="C255" s="4">
        <v>2223</v>
      </c>
      <c r="D255" s="4">
        <v>1660</v>
      </c>
      <c r="E255" s="4">
        <v>3537</v>
      </c>
      <c r="F255" s="4">
        <v>7191</v>
      </c>
      <c r="G255" s="4">
        <v>1037</v>
      </c>
      <c r="H255" s="4">
        <v>1775</v>
      </c>
      <c r="I255" s="4">
        <v>2885</v>
      </c>
      <c r="J255" s="4">
        <v>2741</v>
      </c>
      <c r="K255" s="4">
        <v>1361</v>
      </c>
      <c r="L255" s="4">
        <v>4024</v>
      </c>
      <c r="M255" s="4">
        <v>361</v>
      </c>
      <c r="N255" s="3">
        <f t="shared" si="6"/>
        <v>29988</v>
      </c>
      <c r="O255" s="4">
        <v>4</v>
      </c>
      <c r="P255" s="4">
        <v>2</v>
      </c>
      <c r="Q255" s="4">
        <v>2</v>
      </c>
      <c r="R255" s="4">
        <v>3</v>
      </c>
      <c r="S255" s="4">
        <v>8</v>
      </c>
      <c r="T255" s="4">
        <v>9</v>
      </c>
      <c r="U255" s="4">
        <v>2</v>
      </c>
      <c r="V255" s="4">
        <v>5</v>
      </c>
      <c r="W255" s="4">
        <v>12</v>
      </c>
      <c r="X255" s="4">
        <v>14</v>
      </c>
      <c r="Y255" s="4">
        <v>3</v>
      </c>
      <c r="Z255" s="4">
        <v>4</v>
      </c>
      <c r="AA255" s="3">
        <f t="shared" si="7"/>
        <v>68</v>
      </c>
      <c r="AB255" t="s">
        <v>63</v>
      </c>
      <c r="AC255">
        <v>24.22</v>
      </c>
      <c r="AD255">
        <v>44.64</v>
      </c>
      <c r="AE255">
        <v>33.380000000000003</v>
      </c>
      <c r="AF255">
        <v>71.010000000000005</v>
      </c>
      <c r="AG255">
        <v>144.54</v>
      </c>
      <c r="AH255">
        <v>21.55</v>
      </c>
      <c r="AI255">
        <v>35.68</v>
      </c>
      <c r="AJ255">
        <v>58.15</v>
      </c>
      <c r="AK255">
        <v>55.9</v>
      </c>
      <c r="AL255">
        <v>28.48</v>
      </c>
      <c r="AM255">
        <v>80.75</v>
      </c>
      <c r="AN255">
        <v>7.58</v>
      </c>
      <c r="AO255" s="1">
        <v>605.88</v>
      </c>
    </row>
    <row r="256" spans="1:41" x14ac:dyDescent="0.25">
      <c r="A256" t="s">
        <v>743</v>
      </c>
      <c r="B256" s="4">
        <v>1175</v>
      </c>
      <c r="C256" s="4">
        <v>90</v>
      </c>
      <c r="D256" s="4">
        <v>4908</v>
      </c>
      <c r="E256" s="4">
        <v>1092</v>
      </c>
      <c r="F256" s="4">
        <v>3817</v>
      </c>
      <c r="G256" s="4">
        <v>7223</v>
      </c>
      <c r="H256" s="4">
        <v>3700</v>
      </c>
      <c r="I256" s="4">
        <v>1249</v>
      </c>
      <c r="J256" s="4">
        <v>2973</v>
      </c>
      <c r="K256" s="4">
        <v>1020</v>
      </c>
      <c r="L256" s="4">
        <v>1698</v>
      </c>
      <c r="M256" s="4">
        <v>1615</v>
      </c>
      <c r="N256" s="3">
        <f t="shared" si="6"/>
        <v>30560</v>
      </c>
      <c r="O256" s="4">
        <v>3</v>
      </c>
      <c r="P256" s="4">
        <v>3</v>
      </c>
      <c r="Q256" s="4">
        <v>2</v>
      </c>
      <c r="R256" s="4">
        <v>2</v>
      </c>
      <c r="S256" s="4">
        <v>8</v>
      </c>
      <c r="T256" s="4">
        <v>4</v>
      </c>
      <c r="U256" s="4">
        <v>7</v>
      </c>
      <c r="V256" s="4">
        <v>4</v>
      </c>
      <c r="W256" s="4">
        <v>3</v>
      </c>
      <c r="X256" s="4">
        <v>1</v>
      </c>
      <c r="Y256" s="4">
        <v>3</v>
      </c>
      <c r="Z256" s="4">
        <v>8</v>
      </c>
      <c r="AA256" s="3">
        <f t="shared" si="7"/>
        <v>48</v>
      </c>
      <c r="AB256" t="s">
        <v>63</v>
      </c>
      <c r="AC256">
        <v>23.77</v>
      </c>
      <c r="AD256">
        <v>2.0699999999999998</v>
      </c>
      <c r="AE256">
        <v>98.34</v>
      </c>
      <c r="AF256">
        <v>22.02</v>
      </c>
      <c r="AG256">
        <v>77.06</v>
      </c>
      <c r="AH256">
        <v>144.82</v>
      </c>
      <c r="AI256">
        <v>74.63</v>
      </c>
      <c r="AJ256">
        <v>25.34</v>
      </c>
      <c r="AK256">
        <v>59.73</v>
      </c>
      <c r="AL256">
        <v>20.49</v>
      </c>
      <c r="AM256">
        <v>34.229999999999997</v>
      </c>
      <c r="AN256">
        <v>33.020000000000003</v>
      </c>
      <c r="AO256" s="1">
        <v>615.52</v>
      </c>
    </row>
    <row r="257" spans="1:41" x14ac:dyDescent="0.25">
      <c r="A257" t="s">
        <v>746</v>
      </c>
      <c r="B257" s="4">
        <v>1160</v>
      </c>
      <c r="C257" s="4">
        <v>450</v>
      </c>
      <c r="D257" s="4">
        <v>1606</v>
      </c>
      <c r="E257" s="4">
        <v>3536</v>
      </c>
      <c r="F257" s="4">
        <v>253</v>
      </c>
      <c r="G257" s="4">
        <v>6844</v>
      </c>
      <c r="H257" s="4">
        <v>1010</v>
      </c>
      <c r="I257" s="4">
        <v>240</v>
      </c>
      <c r="J257" s="4">
        <v>3096</v>
      </c>
      <c r="K257" s="4">
        <v>3829</v>
      </c>
      <c r="L257" s="4">
        <v>1960</v>
      </c>
      <c r="M257" s="4">
        <v>4299</v>
      </c>
      <c r="N257" s="3">
        <f t="shared" si="6"/>
        <v>28283</v>
      </c>
      <c r="O257" s="4">
        <v>4</v>
      </c>
      <c r="P257" s="4">
        <v>12</v>
      </c>
      <c r="Q257" s="4">
        <v>9</v>
      </c>
      <c r="R257" s="4">
        <v>2</v>
      </c>
      <c r="S257" s="4">
        <v>0</v>
      </c>
      <c r="T257" s="4">
        <v>5</v>
      </c>
      <c r="U257" s="4">
        <v>5</v>
      </c>
      <c r="V257" s="4">
        <v>2</v>
      </c>
      <c r="W257" s="4">
        <v>9</v>
      </c>
      <c r="X257" s="4">
        <v>13</v>
      </c>
      <c r="Y257" s="4">
        <v>2</v>
      </c>
      <c r="Z257" s="4">
        <v>8</v>
      </c>
      <c r="AA257" s="3">
        <f t="shared" si="7"/>
        <v>71</v>
      </c>
      <c r="AB257" t="s">
        <v>63</v>
      </c>
      <c r="AC257">
        <v>23.56</v>
      </c>
      <c r="AD257">
        <v>10.08</v>
      </c>
      <c r="AE257">
        <v>32.93</v>
      </c>
      <c r="AF257">
        <v>70.900000000000006</v>
      </c>
      <c r="AG257">
        <v>5.0599999999999996</v>
      </c>
      <c r="AH257">
        <v>137.33000000000001</v>
      </c>
      <c r="AI257">
        <v>20.65</v>
      </c>
      <c r="AJ257">
        <v>4.9800000000000004</v>
      </c>
      <c r="AK257">
        <v>62.73</v>
      </c>
      <c r="AL257">
        <v>77.75</v>
      </c>
      <c r="AM257">
        <v>39.380000000000003</v>
      </c>
      <c r="AN257">
        <v>86.7</v>
      </c>
      <c r="AO257" s="1">
        <v>572.05000000000007</v>
      </c>
    </row>
    <row r="258" spans="1:41" x14ac:dyDescent="0.25">
      <c r="A258" t="s">
        <v>747</v>
      </c>
      <c r="B258" s="4">
        <v>1155</v>
      </c>
      <c r="C258" s="4">
        <v>694</v>
      </c>
      <c r="D258" s="4">
        <v>1400</v>
      </c>
      <c r="E258" s="4">
        <v>2092</v>
      </c>
      <c r="F258" s="4">
        <v>3226</v>
      </c>
      <c r="G258" s="4">
        <v>0</v>
      </c>
      <c r="H258" s="4">
        <v>8648</v>
      </c>
      <c r="I258" s="4">
        <v>0</v>
      </c>
      <c r="J258" s="4">
        <v>2003</v>
      </c>
      <c r="K258" s="4">
        <v>0</v>
      </c>
      <c r="L258" s="4">
        <v>1220</v>
      </c>
      <c r="M258" s="4">
        <v>7243</v>
      </c>
      <c r="N258" s="3">
        <f t="shared" si="6"/>
        <v>27681</v>
      </c>
      <c r="O258" s="4">
        <v>5</v>
      </c>
      <c r="P258" s="4">
        <v>19</v>
      </c>
      <c r="Q258" s="4">
        <v>8</v>
      </c>
      <c r="R258" s="4">
        <v>0</v>
      </c>
      <c r="S258" s="4">
        <v>6</v>
      </c>
      <c r="T258" s="4">
        <v>2</v>
      </c>
      <c r="U258" s="4">
        <v>2</v>
      </c>
      <c r="V258" s="4">
        <v>4</v>
      </c>
      <c r="W258" s="4">
        <v>2</v>
      </c>
      <c r="X258" s="4">
        <v>8</v>
      </c>
      <c r="Y258" s="4">
        <v>2</v>
      </c>
      <c r="Z258" s="4">
        <v>7</v>
      </c>
      <c r="AA258" s="3">
        <f t="shared" si="7"/>
        <v>65</v>
      </c>
      <c r="AB258" t="s">
        <v>63</v>
      </c>
      <c r="AC258">
        <v>23.55</v>
      </c>
      <c r="AD258">
        <v>15.59</v>
      </c>
      <c r="AE258">
        <v>28.72</v>
      </c>
      <c r="AF258">
        <v>41.84</v>
      </c>
      <c r="AG258">
        <v>65.06</v>
      </c>
      <c r="AH258">
        <v>0.18</v>
      </c>
      <c r="AI258">
        <v>173.14</v>
      </c>
      <c r="AJ258">
        <v>0.36</v>
      </c>
      <c r="AK258">
        <v>40.24</v>
      </c>
      <c r="AL258">
        <v>0.72</v>
      </c>
      <c r="AM258">
        <v>24.58</v>
      </c>
      <c r="AN258">
        <v>145.49</v>
      </c>
      <c r="AO258" s="1">
        <v>559.47</v>
      </c>
    </row>
    <row r="259" spans="1:41" x14ac:dyDescent="0.25">
      <c r="A259" t="s">
        <v>748</v>
      </c>
      <c r="B259" s="4">
        <v>1150</v>
      </c>
      <c r="C259" s="4">
        <v>1774</v>
      </c>
      <c r="D259" s="4">
        <v>0</v>
      </c>
      <c r="E259" s="4">
        <v>0</v>
      </c>
      <c r="F259" s="4">
        <v>1226</v>
      </c>
      <c r="G259" s="4">
        <v>5352</v>
      </c>
      <c r="H259" s="4">
        <v>772</v>
      </c>
      <c r="I259" s="4">
        <v>5139</v>
      </c>
      <c r="J259" s="4">
        <v>747</v>
      </c>
      <c r="K259" s="4">
        <v>8612</v>
      </c>
      <c r="L259" s="4">
        <v>2638</v>
      </c>
      <c r="M259" s="4">
        <v>0</v>
      </c>
      <c r="N259" s="3">
        <f t="shared" si="6"/>
        <v>27410</v>
      </c>
      <c r="O259" s="4">
        <v>0</v>
      </c>
      <c r="P259" s="4">
        <v>12</v>
      </c>
      <c r="Q259" s="4">
        <v>4</v>
      </c>
      <c r="R259" s="4">
        <v>16</v>
      </c>
      <c r="S259" s="4">
        <v>4</v>
      </c>
      <c r="T259" s="4">
        <v>10</v>
      </c>
      <c r="U259" s="4">
        <v>1</v>
      </c>
      <c r="V259" s="4">
        <v>6</v>
      </c>
      <c r="W259" s="4">
        <v>9</v>
      </c>
      <c r="X259" s="4">
        <v>2</v>
      </c>
      <c r="Y259" s="4">
        <v>0</v>
      </c>
      <c r="Z259" s="4">
        <v>1</v>
      </c>
      <c r="AA259" s="3">
        <f t="shared" si="7"/>
        <v>65</v>
      </c>
      <c r="AB259" t="s">
        <v>63</v>
      </c>
      <c r="AC259">
        <v>23</v>
      </c>
      <c r="AD259">
        <v>36.56</v>
      </c>
      <c r="AE259">
        <v>0.36</v>
      </c>
      <c r="AF259">
        <v>1.44</v>
      </c>
      <c r="AG259">
        <v>24.88</v>
      </c>
      <c r="AH259">
        <v>107.94</v>
      </c>
      <c r="AI259">
        <v>15.53</v>
      </c>
      <c r="AJ259">
        <v>103.32</v>
      </c>
      <c r="AK259">
        <v>15.75</v>
      </c>
      <c r="AL259">
        <v>172.42</v>
      </c>
      <c r="AM259">
        <v>52.76</v>
      </c>
      <c r="AN259">
        <v>0.09</v>
      </c>
      <c r="AO259" s="1">
        <v>554.04999999999995</v>
      </c>
    </row>
    <row r="260" spans="1:41" x14ac:dyDescent="0.25">
      <c r="A260" t="s">
        <v>749</v>
      </c>
      <c r="B260" s="4">
        <v>1142</v>
      </c>
      <c r="C260" s="4">
        <v>1800</v>
      </c>
      <c r="D260" s="4">
        <v>2589</v>
      </c>
      <c r="E260" s="4">
        <v>759</v>
      </c>
      <c r="F260" s="4">
        <v>943</v>
      </c>
      <c r="G260" s="4">
        <v>1861</v>
      </c>
      <c r="H260" s="4">
        <v>2423</v>
      </c>
      <c r="I260" s="4">
        <v>918</v>
      </c>
      <c r="J260" s="4">
        <v>0</v>
      </c>
      <c r="K260" s="4">
        <v>1555</v>
      </c>
      <c r="L260" s="4">
        <v>1959</v>
      </c>
      <c r="M260" s="4">
        <v>0</v>
      </c>
      <c r="N260" s="3">
        <f t="shared" ref="N260:N323" si="8">SUM(B260:M260)</f>
        <v>15949</v>
      </c>
      <c r="O260" s="4">
        <v>10</v>
      </c>
      <c r="P260" s="4">
        <v>1</v>
      </c>
      <c r="Q260" s="4">
        <v>1</v>
      </c>
      <c r="R260" s="4">
        <v>5</v>
      </c>
      <c r="S260" s="4">
        <v>2</v>
      </c>
      <c r="T260" s="4">
        <v>4</v>
      </c>
      <c r="U260" s="4">
        <v>2</v>
      </c>
      <c r="V260" s="4">
        <v>15</v>
      </c>
      <c r="W260" s="4">
        <v>9</v>
      </c>
      <c r="X260" s="4">
        <v>8</v>
      </c>
      <c r="Y260" s="4">
        <v>1</v>
      </c>
      <c r="Z260" s="4">
        <v>8</v>
      </c>
      <c r="AA260" s="3">
        <f t="shared" ref="AA260:AA323" si="9">SUM(O260:Z260)</f>
        <v>66</v>
      </c>
      <c r="AB260" t="s">
        <v>63</v>
      </c>
      <c r="AC260">
        <v>23.74</v>
      </c>
      <c r="AD260">
        <v>36.090000000000003</v>
      </c>
      <c r="AE260">
        <v>51.87</v>
      </c>
      <c r="AF260">
        <v>15.63</v>
      </c>
      <c r="AG260">
        <v>19.04</v>
      </c>
      <c r="AH260">
        <v>37.58</v>
      </c>
      <c r="AI260">
        <v>48.64</v>
      </c>
      <c r="AJ260">
        <v>19.71</v>
      </c>
      <c r="AK260">
        <v>0.81</v>
      </c>
      <c r="AL260">
        <v>31.82</v>
      </c>
      <c r="AM260">
        <v>39.270000000000003</v>
      </c>
      <c r="AN260">
        <v>0.72</v>
      </c>
      <c r="AO260" s="1">
        <v>324.92</v>
      </c>
    </row>
    <row r="261" spans="1:41" x14ac:dyDescent="0.25">
      <c r="A261" t="s">
        <v>751</v>
      </c>
      <c r="B261" s="4">
        <v>1122</v>
      </c>
      <c r="C261" s="4">
        <v>0</v>
      </c>
      <c r="D261" s="4">
        <v>2894</v>
      </c>
      <c r="E261" s="4">
        <v>1194</v>
      </c>
      <c r="F261" s="4">
        <v>0</v>
      </c>
      <c r="G261" s="4">
        <v>712</v>
      </c>
      <c r="H261" s="4">
        <v>2719</v>
      </c>
      <c r="I261" s="4">
        <v>1169</v>
      </c>
      <c r="J261" s="4">
        <v>6965</v>
      </c>
      <c r="K261" s="4">
        <v>364</v>
      </c>
      <c r="L261" s="4">
        <v>916</v>
      </c>
      <c r="M261" s="4">
        <v>3053</v>
      </c>
      <c r="N261" s="3">
        <f t="shared" si="8"/>
        <v>21108</v>
      </c>
      <c r="O261" s="4">
        <v>6</v>
      </c>
      <c r="P261" s="4">
        <v>5</v>
      </c>
      <c r="Q261" s="4">
        <v>4</v>
      </c>
      <c r="R261" s="4">
        <v>10</v>
      </c>
      <c r="S261" s="4">
        <v>8</v>
      </c>
      <c r="T261" s="4">
        <v>1</v>
      </c>
      <c r="U261" s="4">
        <v>4</v>
      </c>
      <c r="V261" s="4">
        <v>4</v>
      </c>
      <c r="W261" s="4">
        <v>2</v>
      </c>
      <c r="X261" s="4">
        <v>2</v>
      </c>
      <c r="Y261" s="4">
        <v>4</v>
      </c>
      <c r="Z261" s="4">
        <v>3</v>
      </c>
      <c r="AA261" s="3">
        <f t="shared" si="9"/>
        <v>53</v>
      </c>
      <c r="AB261" t="s">
        <v>63</v>
      </c>
      <c r="AC261">
        <v>22.98</v>
      </c>
      <c r="AD261">
        <v>0.45</v>
      </c>
      <c r="AE261">
        <v>58.24</v>
      </c>
      <c r="AF261">
        <v>24.78</v>
      </c>
      <c r="AG261">
        <v>0.72</v>
      </c>
      <c r="AH261">
        <v>14.33</v>
      </c>
      <c r="AI261">
        <v>54.74</v>
      </c>
      <c r="AJ261">
        <v>23.74</v>
      </c>
      <c r="AK261">
        <v>139.47999999999999</v>
      </c>
      <c r="AL261">
        <v>7.46</v>
      </c>
      <c r="AM261">
        <v>18.68</v>
      </c>
      <c r="AN261">
        <v>61.33</v>
      </c>
      <c r="AO261" s="1">
        <v>426.93</v>
      </c>
    </row>
    <row r="262" spans="1:41" x14ac:dyDescent="0.25">
      <c r="A262" t="s">
        <v>757</v>
      </c>
      <c r="B262" s="4">
        <v>1099</v>
      </c>
      <c r="C262" s="4">
        <v>1145</v>
      </c>
      <c r="D262" s="4">
        <v>3128</v>
      </c>
      <c r="E262" s="4">
        <v>5958</v>
      </c>
      <c r="F262" s="4">
        <v>1318</v>
      </c>
      <c r="G262" s="4">
        <v>442</v>
      </c>
      <c r="H262" s="4">
        <v>179</v>
      </c>
      <c r="I262" s="4">
        <v>1776</v>
      </c>
      <c r="J262" s="4">
        <v>8215</v>
      </c>
      <c r="K262" s="4">
        <v>0</v>
      </c>
      <c r="L262" s="4">
        <v>255</v>
      </c>
      <c r="M262" s="4">
        <v>3506</v>
      </c>
      <c r="N262" s="3">
        <f t="shared" si="8"/>
        <v>27021</v>
      </c>
      <c r="O262" s="4">
        <v>2</v>
      </c>
      <c r="P262" s="4">
        <v>9</v>
      </c>
      <c r="Q262" s="4">
        <v>3</v>
      </c>
      <c r="R262" s="4">
        <v>5</v>
      </c>
      <c r="S262" s="4">
        <v>0</v>
      </c>
      <c r="T262" s="4">
        <v>5</v>
      </c>
      <c r="U262" s="4">
        <v>2</v>
      </c>
      <c r="V262" s="4">
        <v>1</v>
      </c>
      <c r="W262" s="4">
        <v>4</v>
      </c>
      <c r="X262" s="4">
        <v>3</v>
      </c>
      <c r="Y262" s="4">
        <v>3</v>
      </c>
      <c r="Z262" s="4">
        <v>2</v>
      </c>
      <c r="AA262" s="3">
        <f t="shared" si="9"/>
        <v>39</v>
      </c>
      <c r="AB262" t="s">
        <v>63</v>
      </c>
      <c r="AC262">
        <v>22.16</v>
      </c>
      <c r="AD262">
        <v>23.71</v>
      </c>
      <c r="AE262">
        <v>62.83</v>
      </c>
      <c r="AF262">
        <v>119.61</v>
      </c>
      <c r="AG262">
        <v>26.36</v>
      </c>
      <c r="AH262">
        <v>9.2899999999999991</v>
      </c>
      <c r="AI262">
        <v>3.76</v>
      </c>
      <c r="AJ262">
        <v>35.61</v>
      </c>
      <c r="AK262">
        <v>164.66</v>
      </c>
      <c r="AL262">
        <v>0.27</v>
      </c>
      <c r="AM262">
        <v>5.37</v>
      </c>
      <c r="AN262">
        <v>70.3</v>
      </c>
      <c r="AO262" s="1">
        <v>543.92999999999995</v>
      </c>
    </row>
    <row r="263" spans="1:41" x14ac:dyDescent="0.25">
      <c r="A263" t="s">
        <v>762</v>
      </c>
      <c r="B263" s="4">
        <v>1077</v>
      </c>
      <c r="C263" s="4">
        <v>6520</v>
      </c>
      <c r="D263" s="4">
        <v>168</v>
      </c>
      <c r="E263" s="4">
        <v>1036</v>
      </c>
      <c r="F263" s="4">
        <v>2042</v>
      </c>
      <c r="G263" s="4">
        <v>207</v>
      </c>
      <c r="H263" s="4">
        <v>2669</v>
      </c>
      <c r="I263" s="4">
        <v>8093</v>
      </c>
      <c r="J263" s="4">
        <v>1701</v>
      </c>
      <c r="K263" s="4">
        <v>3526</v>
      </c>
      <c r="L263" s="4">
        <v>2176</v>
      </c>
      <c r="M263" s="4">
        <v>0</v>
      </c>
      <c r="N263" s="3">
        <f t="shared" si="8"/>
        <v>29215</v>
      </c>
      <c r="O263" s="4">
        <v>0</v>
      </c>
      <c r="P263" s="4">
        <v>11</v>
      </c>
      <c r="Q263" s="4">
        <v>3</v>
      </c>
      <c r="R263" s="4">
        <v>0</v>
      </c>
      <c r="S263" s="4">
        <v>4</v>
      </c>
      <c r="T263" s="4">
        <v>18</v>
      </c>
      <c r="U263" s="4">
        <v>4</v>
      </c>
      <c r="V263" s="4">
        <v>3</v>
      </c>
      <c r="W263" s="4">
        <v>4</v>
      </c>
      <c r="X263" s="4">
        <v>1</v>
      </c>
      <c r="Y263" s="4">
        <v>0</v>
      </c>
      <c r="Z263" s="4">
        <v>2</v>
      </c>
      <c r="AA263" s="3">
        <f t="shared" si="9"/>
        <v>50</v>
      </c>
      <c r="AB263" t="s">
        <v>63</v>
      </c>
      <c r="AC263">
        <v>21.54</v>
      </c>
      <c r="AD263">
        <v>131.38999999999999</v>
      </c>
      <c r="AE263">
        <v>3.63</v>
      </c>
      <c r="AF263">
        <v>20.72</v>
      </c>
      <c r="AG263">
        <v>41.2</v>
      </c>
      <c r="AH263">
        <v>5.76</v>
      </c>
      <c r="AI263">
        <v>53.74</v>
      </c>
      <c r="AJ263">
        <v>162.13</v>
      </c>
      <c r="AK263">
        <v>34.380000000000003</v>
      </c>
      <c r="AL263">
        <v>70.61</v>
      </c>
      <c r="AM263">
        <v>43.52</v>
      </c>
      <c r="AN263">
        <v>0.18</v>
      </c>
      <c r="AO263" s="1">
        <v>588.79999999999984</v>
      </c>
    </row>
    <row r="264" spans="1:41" x14ac:dyDescent="0.25">
      <c r="A264" t="s">
        <v>763</v>
      </c>
      <c r="B264" s="4">
        <v>1074</v>
      </c>
      <c r="C264" s="4">
        <v>10568</v>
      </c>
      <c r="D264" s="4">
        <v>707</v>
      </c>
      <c r="E264" s="4">
        <v>1243</v>
      </c>
      <c r="F264" s="4">
        <v>78</v>
      </c>
      <c r="G264" s="4">
        <v>948</v>
      </c>
      <c r="H264" s="4">
        <v>9081</v>
      </c>
      <c r="I264" s="4">
        <v>13745</v>
      </c>
      <c r="J264" s="4">
        <v>11087</v>
      </c>
      <c r="K264" s="4">
        <v>6737</v>
      </c>
      <c r="L264" s="4">
        <v>7496</v>
      </c>
      <c r="M264" s="4">
        <v>2921</v>
      </c>
      <c r="N264" s="3">
        <f t="shared" si="8"/>
        <v>65685</v>
      </c>
      <c r="O264" s="4">
        <v>10</v>
      </c>
      <c r="P264" s="4">
        <v>5</v>
      </c>
      <c r="Q264" s="4">
        <v>2</v>
      </c>
      <c r="R264" s="4">
        <v>1</v>
      </c>
      <c r="S264" s="4">
        <v>2</v>
      </c>
      <c r="T264" s="4">
        <v>9</v>
      </c>
      <c r="U264" s="4">
        <v>5</v>
      </c>
      <c r="V264" s="4">
        <v>2</v>
      </c>
      <c r="W264" s="4">
        <v>1</v>
      </c>
      <c r="X264" s="4">
        <v>0</v>
      </c>
      <c r="Y264" s="4">
        <v>15</v>
      </c>
      <c r="Z264" s="4">
        <v>4</v>
      </c>
      <c r="AA264" s="3">
        <f t="shared" si="9"/>
        <v>56</v>
      </c>
      <c r="AB264" t="s">
        <v>63</v>
      </c>
      <c r="AC264">
        <v>22.38</v>
      </c>
      <c r="AD264">
        <v>211.81</v>
      </c>
      <c r="AE264">
        <v>14.32</v>
      </c>
      <c r="AF264">
        <v>24.95</v>
      </c>
      <c r="AG264">
        <v>1.74</v>
      </c>
      <c r="AH264">
        <v>19.77</v>
      </c>
      <c r="AI264">
        <v>182.07</v>
      </c>
      <c r="AJ264">
        <v>275.08</v>
      </c>
      <c r="AK264">
        <v>221.83</v>
      </c>
      <c r="AL264">
        <v>134.74</v>
      </c>
      <c r="AM264">
        <v>151.27000000000001</v>
      </c>
      <c r="AN264">
        <v>58.78</v>
      </c>
      <c r="AO264" s="1">
        <v>1318.74</v>
      </c>
    </row>
    <row r="265" spans="1:41" x14ac:dyDescent="0.25">
      <c r="A265" t="s">
        <v>769</v>
      </c>
      <c r="B265" s="4">
        <v>1026</v>
      </c>
      <c r="C265" s="4">
        <v>2414</v>
      </c>
      <c r="D265" s="4">
        <v>1462</v>
      </c>
      <c r="E265" s="4">
        <v>7146</v>
      </c>
      <c r="F265" s="4">
        <v>2352</v>
      </c>
      <c r="G265" s="4">
        <v>3876</v>
      </c>
      <c r="H265" s="4">
        <v>8164</v>
      </c>
      <c r="I265" s="4">
        <v>0</v>
      </c>
      <c r="J265" s="4">
        <v>0</v>
      </c>
      <c r="K265" s="4">
        <v>958</v>
      </c>
      <c r="L265" s="4">
        <v>556</v>
      </c>
      <c r="M265" s="4">
        <v>3110</v>
      </c>
      <c r="N265" s="3">
        <f t="shared" si="8"/>
        <v>31064</v>
      </c>
      <c r="O265" s="4">
        <v>2</v>
      </c>
      <c r="P265" s="4">
        <v>8</v>
      </c>
      <c r="Q265" s="4">
        <v>2</v>
      </c>
      <c r="R265" s="4">
        <v>2</v>
      </c>
      <c r="S265" s="4">
        <v>4</v>
      </c>
      <c r="T265" s="4">
        <v>8</v>
      </c>
      <c r="U265" s="4">
        <v>5</v>
      </c>
      <c r="V265" s="4">
        <v>4</v>
      </c>
      <c r="W265" s="4">
        <v>11</v>
      </c>
      <c r="X265" s="4">
        <v>10</v>
      </c>
      <c r="Y265" s="4">
        <v>1</v>
      </c>
      <c r="Z265" s="4">
        <v>14</v>
      </c>
      <c r="AA265" s="3">
        <f t="shared" si="9"/>
        <v>71</v>
      </c>
      <c r="AB265" t="s">
        <v>63</v>
      </c>
      <c r="AC265">
        <v>20.7</v>
      </c>
      <c r="AD265">
        <v>49</v>
      </c>
      <c r="AE265">
        <v>29.42</v>
      </c>
      <c r="AF265">
        <v>143.1</v>
      </c>
      <c r="AG265">
        <v>47.4</v>
      </c>
      <c r="AH265">
        <v>78.239999999999995</v>
      </c>
      <c r="AI265">
        <v>163.72999999999999</v>
      </c>
      <c r="AJ265">
        <v>0.36</v>
      </c>
      <c r="AK265">
        <v>0.99</v>
      </c>
      <c r="AL265">
        <v>20.059999999999999</v>
      </c>
      <c r="AM265">
        <v>11.21</v>
      </c>
      <c r="AN265">
        <v>63.46</v>
      </c>
      <c r="AO265" s="1">
        <v>627.67000000000007</v>
      </c>
    </row>
    <row r="266" spans="1:41" x14ac:dyDescent="0.25">
      <c r="A266" t="s">
        <v>771</v>
      </c>
      <c r="B266" s="4">
        <v>994</v>
      </c>
      <c r="C266" s="4">
        <v>6161</v>
      </c>
      <c r="D266" s="4">
        <v>7632</v>
      </c>
      <c r="E266" s="4">
        <v>551</v>
      </c>
      <c r="F266" s="4">
        <v>1930</v>
      </c>
      <c r="G266" s="4">
        <v>5581</v>
      </c>
      <c r="H266" s="4">
        <v>0</v>
      </c>
      <c r="I266" s="4">
        <v>1328</v>
      </c>
      <c r="J266" s="4">
        <v>1613</v>
      </c>
      <c r="K266" s="4">
        <v>1530</v>
      </c>
      <c r="L266" s="4">
        <v>0</v>
      </c>
      <c r="M266" s="4">
        <v>2173</v>
      </c>
      <c r="N266" s="3">
        <f t="shared" si="8"/>
        <v>29493</v>
      </c>
      <c r="O266" s="4">
        <v>3</v>
      </c>
      <c r="P266" s="4">
        <v>1</v>
      </c>
      <c r="Q266" s="4">
        <v>3</v>
      </c>
      <c r="R266" s="4">
        <v>5</v>
      </c>
      <c r="S266" s="4">
        <v>4</v>
      </c>
      <c r="T266" s="4">
        <v>7</v>
      </c>
      <c r="U266" s="4">
        <v>6</v>
      </c>
      <c r="V266" s="4">
        <v>9</v>
      </c>
      <c r="W266" s="4">
        <v>6</v>
      </c>
      <c r="X266" s="4">
        <v>3</v>
      </c>
      <c r="Y266" s="4">
        <v>6</v>
      </c>
      <c r="Z266" s="4">
        <v>3</v>
      </c>
      <c r="AA266" s="3">
        <f t="shared" si="9"/>
        <v>56</v>
      </c>
      <c r="AB266" t="s">
        <v>63</v>
      </c>
      <c r="AC266">
        <v>20.149999999999999</v>
      </c>
      <c r="AD266">
        <v>123.31</v>
      </c>
      <c r="AE266">
        <v>152.91</v>
      </c>
      <c r="AF266">
        <v>11.47</v>
      </c>
      <c r="AG266">
        <v>38.96</v>
      </c>
      <c r="AH266">
        <v>112.25</v>
      </c>
      <c r="AI266">
        <v>0.54</v>
      </c>
      <c r="AJ266">
        <v>27.37</v>
      </c>
      <c r="AK266">
        <v>32.799999999999997</v>
      </c>
      <c r="AL266">
        <v>30.87</v>
      </c>
      <c r="AM266">
        <v>0.54</v>
      </c>
      <c r="AN266">
        <v>43.73</v>
      </c>
      <c r="AO266" s="1">
        <v>594.9</v>
      </c>
    </row>
    <row r="267" spans="1:41" x14ac:dyDescent="0.25">
      <c r="A267" t="s">
        <v>772</v>
      </c>
      <c r="B267" s="4">
        <v>992</v>
      </c>
      <c r="C267" s="4">
        <v>7020</v>
      </c>
      <c r="D267" s="4">
        <v>1154</v>
      </c>
      <c r="E267" s="4">
        <v>230</v>
      </c>
      <c r="F267" s="4">
        <v>1265</v>
      </c>
      <c r="G267" s="4">
        <v>827</v>
      </c>
      <c r="H267" s="4">
        <v>676</v>
      </c>
      <c r="I267" s="4">
        <v>4711</v>
      </c>
      <c r="J267" s="4">
        <v>1204</v>
      </c>
      <c r="K267" s="4">
        <v>9745</v>
      </c>
      <c r="L267" s="4">
        <v>1892</v>
      </c>
      <c r="M267" s="4">
        <v>2767</v>
      </c>
      <c r="N267" s="3">
        <f t="shared" si="8"/>
        <v>32483</v>
      </c>
      <c r="O267" s="4">
        <v>6</v>
      </c>
      <c r="P267" s="4">
        <v>7</v>
      </c>
      <c r="Q267" s="4">
        <v>7</v>
      </c>
      <c r="R267" s="4">
        <v>4</v>
      </c>
      <c r="S267" s="4">
        <v>8</v>
      </c>
      <c r="T267" s="4">
        <v>0</v>
      </c>
      <c r="U267" s="4">
        <v>4</v>
      </c>
      <c r="V267" s="4">
        <v>0</v>
      </c>
      <c r="W267" s="4">
        <v>3</v>
      </c>
      <c r="X267" s="4">
        <v>4</v>
      </c>
      <c r="Y267" s="4">
        <v>3</v>
      </c>
      <c r="Z267" s="4">
        <v>6</v>
      </c>
      <c r="AA267" s="3">
        <f t="shared" si="9"/>
        <v>52</v>
      </c>
      <c r="AB267" t="s">
        <v>63</v>
      </c>
      <c r="AC267">
        <v>20.38</v>
      </c>
      <c r="AD267">
        <v>141.03</v>
      </c>
      <c r="AE267">
        <v>23.71</v>
      </c>
      <c r="AF267">
        <v>4.96</v>
      </c>
      <c r="AG267">
        <v>26.02</v>
      </c>
      <c r="AH267">
        <v>16.54</v>
      </c>
      <c r="AI267">
        <v>13.88</v>
      </c>
      <c r="AJ267">
        <v>94.22</v>
      </c>
      <c r="AK267">
        <v>24.35</v>
      </c>
      <c r="AL267">
        <v>195.26</v>
      </c>
      <c r="AM267">
        <v>38.11</v>
      </c>
      <c r="AN267">
        <v>55.88</v>
      </c>
      <c r="AO267" s="1">
        <v>654.34</v>
      </c>
    </row>
    <row r="268" spans="1:41" x14ac:dyDescent="0.25">
      <c r="A268" t="s">
        <v>773</v>
      </c>
      <c r="B268" s="4">
        <v>991</v>
      </c>
      <c r="C268" s="4">
        <v>2494</v>
      </c>
      <c r="D268" s="4">
        <v>7534</v>
      </c>
      <c r="E268" s="4">
        <v>2602</v>
      </c>
      <c r="F268" s="4">
        <v>8714</v>
      </c>
      <c r="G268" s="4">
        <v>452</v>
      </c>
      <c r="H268" s="4">
        <v>5006</v>
      </c>
      <c r="I268" s="4">
        <v>5177</v>
      </c>
      <c r="J268" s="4">
        <v>187</v>
      </c>
      <c r="K268" s="4">
        <v>0</v>
      </c>
      <c r="L268" s="4">
        <v>2573</v>
      </c>
      <c r="M268" s="4">
        <v>0</v>
      </c>
      <c r="N268" s="3">
        <f t="shared" si="8"/>
        <v>35730</v>
      </c>
      <c r="O268" s="4">
        <v>2</v>
      </c>
      <c r="P268" s="4">
        <v>0</v>
      </c>
      <c r="Q268" s="4">
        <v>1</v>
      </c>
      <c r="R268" s="4">
        <v>3</v>
      </c>
      <c r="S268" s="4">
        <v>2</v>
      </c>
      <c r="T268" s="4">
        <v>0</v>
      </c>
      <c r="U268" s="4">
        <v>6</v>
      </c>
      <c r="V268" s="4">
        <v>0</v>
      </c>
      <c r="W268" s="4">
        <v>1</v>
      </c>
      <c r="X268" s="4">
        <v>5</v>
      </c>
      <c r="Y268" s="4">
        <v>15</v>
      </c>
      <c r="Z268" s="4">
        <v>1</v>
      </c>
      <c r="AA268" s="3">
        <f t="shared" si="9"/>
        <v>36</v>
      </c>
      <c r="AB268" t="s">
        <v>63</v>
      </c>
      <c r="AC268">
        <v>20</v>
      </c>
      <c r="AD268">
        <v>49.88</v>
      </c>
      <c r="AE268">
        <v>150.77000000000001</v>
      </c>
      <c r="AF268">
        <v>52.31</v>
      </c>
      <c r="AG268">
        <v>174.46</v>
      </c>
      <c r="AH268">
        <v>9.0399999999999991</v>
      </c>
      <c r="AI268">
        <v>100.66</v>
      </c>
      <c r="AJ268">
        <v>103.54</v>
      </c>
      <c r="AK268">
        <v>3.83</v>
      </c>
      <c r="AL268">
        <v>0.45</v>
      </c>
      <c r="AM268">
        <v>52.81</v>
      </c>
      <c r="AN268">
        <v>0.09</v>
      </c>
      <c r="AO268" s="1">
        <v>717.84000000000026</v>
      </c>
    </row>
    <row r="269" spans="1:41" x14ac:dyDescent="0.25">
      <c r="A269" t="s">
        <v>775</v>
      </c>
      <c r="B269" s="4">
        <v>983</v>
      </c>
      <c r="C269" s="4">
        <v>1179</v>
      </c>
      <c r="D269" s="4">
        <v>3199</v>
      </c>
      <c r="E269" s="4">
        <v>395</v>
      </c>
      <c r="F269" s="4">
        <v>93</v>
      </c>
      <c r="G269" s="4">
        <v>1767</v>
      </c>
      <c r="H269" s="4">
        <v>1478</v>
      </c>
      <c r="I269" s="4">
        <v>2197</v>
      </c>
      <c r="J269" s="4">
        <v>2927</v>
      </c>
      <c r="K269" s="4">
        <v>3435</v>
      </c>
      <c r="L269" s="4">
        <v>3049</v>
      </c>
      <c r="M269" s="4">
        <v>9264</v>
      </c>
      <c r="N269" s="3">
        <f t="shared" si="8"/>
        <v>29966</v>
      </c>
      <c r="O269" s="4">
        <v>5</v>
      </c>
      <c r="P269" s="4">
        <v>14</v>
      </c>
      <c r="Q269" s="4">
        <v>1</v>
      </c>
      <c r="R269" s="4">
        <v>1</v>
      </c>
      <c r="S269" s="4">
        <v>8</v>
      </c>
      <c r="T269" s="4">
        <v>7</v>
      </c>
      <c r="U269" s="4">
        <v>1</v>
      </c>
      <c r="V269" s="4">
        <v>2</v>
      </c>
      <c r="W269" s="4">
        <v>0</v>
      </c>
      <c r="X269" s="4">
        <v>0</v>
      </c>
      <c r="Y269" s="4">
        <v>6</v>
      </c>
      <c r="Z269" s="4">
        <v>2</v>
      </c>
      <c r="AA269" s="3">
        <f t="shared" si="9"/>
        <v>47</v>
      </c>
      <c r="AB269" t="s">
        <v>63</v>
      </c>
      <c r="AC269">
        <v>20.11</v>
      </c>
      <c r="AD269">
        <v>24.84</v>
      </c>
      <c r="AE269">
        <v>64.069999999999993</v>
      </c>
      <c r="AF269">
        <v>7.99</v>
      </c>
      <c r="AG269">
        <v>2.58</v>
      </c>
      <c r="AH269">
        <v>35.97</v>
      </c>
      <c r="AI269">
        <v>29.65</v>
      </c>
      <c r="AJ269">
        <v>44.12</v>
      </c>
      <c r="AK269">
        <v>58.54</v>
      </c>
      <c r="AL269">
        <v>68.7</v>
      </c>
      <c r="AM269">
        <v>61.52</v>
      </c>
      <c r="AN269">
        <v>185.46</v>
      </c>
      <c r="AO269" s="1">
        <v>603.54999999999995</v>
      </c>
    </row>
    <row r="270" spans="1:41" x14ac:dyDescent="0.25">
      <c r="A270" t="s">
        <v>777</v>
      </c>
      <c r="B270" s="4">
        <v>965</v>
      </c>
      <c r="C270" s="4">
        <v>572</v>
      </c>
      <c r="D270" s="4">
        <v>2242</v>
      </c>
      <c r="E270" s="4">
        <v>1389</v>
      </c>
      <c r="F270" s="4">
        <v>3815</v>
      </c>
      <c r="G270" s="4">
        <v>706</v>
      </c>
      <c r="H270" s="4">
        <v>2889</v>
      </c>
      <c r="I270" s="4">
        <v>1802</v>
      </c>
      <c r="J270" s="4">
        <v>395</v>
      </c>
      <c r="K270" s="4">
        <v>3675</v>
      </c>
      <c r="L270" s="4">
        <v>3314</v>
      </c>
      <c r="M270" s="4">
        <v>7158</v>
      </c>
      <c r="N270" s="3">
        <f t="shared" si="8"/>
        <v>28922</v>
      </c>
      <c r="O270" s="4">
        <v>9</v>
      </c>
      <c r="P270" s="4">
        <v>1</v>
      </c>
      <c r="Q270" s="4">
        <v>8</v>
      </c>
      <c r="R270" s="4">
        <v>2</v>
      </c>
      <c r="S270" s="4">
        <v>4</v>
      </c>
      <c r="T270" s="4">
        <v>1</v>
      </c>
      <c r="U270" s="4">
        <v>7</v>
      </c>
      <c r="V270" s="4">
        <v>4</v>
      </c>
      <c r="W270" s="4">
        <v>3</v>
      </c>
      <c r="X270" s="4">
        <v>6</v>
      </c>
      <c r="Y270" s="4">
        <v>5</v>
      </c>
      <c r="Z270" s="4">
        <v>14</v>
      </c>
      <c r="AA270" s="3">
        <f t="shared" si="9"/>
        <v>64</v>
      </c>
      <c r="AB270" t="s">
        <v>63</v>
      </c>
      <c r="AC270">
        <v>20.11</v>
      </c>
      <c r="AD270">
        <v>11.53</v>
      </c>
      <c r="AE270">
        <v>45.56</v>
      </c>
      <c r="AF270">
        <v>27.96</v>
      </c>
      <c r="AG270">
        <v>76.66</v>
      </c>
      <c r="AH270">
        <v>14.21</v>
      </c>
      <c r="AI270">
        <v>58.41</v>
      </c>
      <c r="AJ270">
        <v>36.4</v>
      </c>
      <c r="AK270">
        <v>8.17</v>
      </c>
      <c r="AL270">
        <v>74.040000000000006</v>
      </c>
      <c r="AM270">
        <v>66.73</v>
      </c>
      <c r="AN270">
        <v>144.41999999999999</v>
      </c>
      <c r="AO270" s="1">
        <v>584.20000000000005</v>
      </c>
    </row>
    <row r="271" spans="1:41" x14ac:dyDescent="0.25">
      <c r="A271" t="s">
        <v>784</v>
      </c>
      <c r="B271" s="4">
        <v>932</v>
      </c>
      <c r="C271" s="4">
        <v>8944</v>
      </c>
      <c r="D271" s="4">
        <v>4251</v>
      </c>
      <c r="E271" s="4">
        <v>1087</v>
      </c>
      <c r="F271" s="4">
        <v>2518</v>
      </c>
      <c r="G271" s="4">
        <v>1711</v>
      </c>
      <c r="H271" s="4">
        <v>2659</v>
      </c>
      <c r="I271" s="4">
        <v>2618</v>
      </c>
      <c r="J271" s="4">
        <v>2398</v>
      </c>
      <c r="K271" s="4">
        <v>4043</v>
      </c>
      <c r="L271" s="4">
        <v>3492</v>
      </c>
      <c r="M271" s="4">
        <v>1077</v>
      </c>
      <c r="N271" s="3">
        <f t="shared" si="8"/>
        <v>35730</v>
      </c>
      <c r="O271" s="4">
        <v>0</v>
      </c>
      <c r="P271" s="4">
        <v>0</v>
      </c>
      <c r="Q271" s="4">
        <v>1</v>
      </c>
      <c r="R271" s="4">
        <v>1</v>
      </c>
      <c r="S271" s="4">
        <v>5</v>
      </c>
      <c r="T271" s="4">
        <v>2</v>
      </c>
      <c r="U271" s="4">
        <v>2</v>
      </c>
      <c r="V271" s="4">
        <v>10</v>
      </c>
      <c r="W271" s="4">
        <v>2</v>
      </c>
      <c r="X271" s="4">
        <v>2</v>
      </c>
      <c r="Y271" s="4">
        <v>2</v>
      </c>
      <c r="Z271" s="4">
        <v>4</v>
      </c>
      <c r="AA271" s="3">
        <f t="shared" si="9"/>
        <v>31</v>
      </c>
      <c r="AB271" t="s">
        <v>63</v>
      </c>
      <c r="AC271">
        <v>18.64</v>
      </c>
      <c r="AD271">
        <v>178.88</v>
      </c>
      <c r="AE271">
        <v>85.11</v>
      </c>
      <c r="AF271">
        <v>21.83</v>
      </c>
      <c r="AG271">
        <v>50.81</v>
      </c>
      <c r="AH271">
        <v>34.4</v>
      </c>
      <c r="AI271">
        <v>53.36</v>
      </c>
      <c r="AJ271">
        <v>53.26</v>
      </c>
      <c r="AK271">
        <v>48.14</v>
      </c>
      <c r="AL271">
        <v>81.040000000000006</v>
      </c>
      <c r="AM271">
        <v>70.02</v>
      </c>
      <c r="AN271">
        <v>21.9</v>
      </c>
      <c r="AO271" s="1">
        <v>717.38999999999987</v>
      </c>
    </row>
    <row r="272" spans="1:41" x14ac:dyDescent="0.25">
      <c r="A272" t="s">
        <v>786</v>
      </c>
      <c r="B272" s="4">
        <v>920</v>
      </c>
      <c r="C272" s="4">
        <v>6210</v>
      </c>
      <c r="D272" s="4">
        <v>341</v>
      </c>
      <c r="E272" s="4">
        <v>2059</v>
      </c>
      <c r="F272" s="4">
        <v>786</v>
      </c>
      <c r="G272" s="4">
        <v>5646</v>
      </c>
      <c r="H272" s="4">
        <v>1707</v>
      </c>
      <c r="I272" s="4">
        <v>779</v>
      </c>
      <c r="J272" s="4">
        <v>2609</v>
      </c>
      <c r="K272" s="4">
        <v>0</v>
      </c>
      <c r="L272" s="4">
        <v>6734</v>
      </c>
      <c r="M272" s="4">
        <v>821</v>
      </c>
      <c r="N272" s="3">
        <f t="shared" si="8"/>
        <v>28612</v>
      </c>
      <c r="O272" s="4">
        <v>3</v>
      </c>
      <c r="P272" s="4">
        <v>3</v>
      </c>
      <c r="Q272" s="4">
        <v>1</v>
      </c>
      <c r="R272" s="4">
        <v>5</v>
      </c>
      <c r="S272" s="4">
        <v>1</v>
      </c>
      <c r="T272" s="4">
        <v>1</v>
      </c>
      <c r="U272" s="4">
        <v>7</v>
      </c>
      <c r="V272" s="4">
        <v>1</v>
      </c>
      <c r="W272" s="4">
        <v>2</v>
      </c>
      <c r="X272" s="4">
        <v>0</v>
      </c>
      <c r="Y272" s="4">
        <v>4</v>
      </c>
      <c r="Z272" s="4">
        <v>6</v>
      </c>
      <c r="AA272" s="3">
        <f t="shared" si="9"/>
        <v>34</v>
      </c>
      <c r="AB272" t="s">
        <v>63</v>
      </c>
      <c r="AC272">
        <v>18.670000000000002</v>
      </c>
      <c r="AD272">
        <v>124.47</v>
      </c>
      <c r="AE272">
        <v>6.91</v>
      </c>
      <c r="AF272">
        <v>41.63</v>
      </c>
      <c r="AG272">
        <v>15.81</v>
      </c>
      <c r="AH272">
        <v>113.01</v>
      </c>
      <c r="AI272">
        <v>34.770000000000003</v>
      </c>
      <c r="AJ272">
        <v>15.67</v>
      </c>
      <c r="AK272">
        <v>52.36</v>
      </c>
      <c r="AL272">
        <v>0</v>
      </c>
      <c r="AM272">
        <v>135.04</v>
      </c>
      <c r="AN272">
        <v>16.96</v>
      </c>
      <c r="AO272" s="1">
        <v>575.30000000000007</v>
      </c>
    </row>
    <row r="273" spans="1:41" x14ac:dyDescent="0.25">
      <c r="A273" t="s">
        <v>788</v>
      </c>
      <c r="B273" s="4">
        <v>913</v>
      </c>
      <c r="C273" s="4">
        <v>1848</v>
      </c>
      <c r="D273" s="4">
        <v>5144</v>
      </c>
      <c r="E273" s="4">
        <v>0</v>
      </c>
      <c r="F273" s="4">
        <v>2369</v>
      </c>
      <c r="G273" s="4">
        <v>4423</v>
      </c>
      <c r="H273" s="4">
        <v>1158</v>
      </c>
      <c r="I273" s="4">
        <v>998</v>
      </c>
      <c r="J273" s="4">
        <v>2801</v>
      </c>
      <c r="K273" s="4">
        <v>10583</v>
      </c>
      <c r="L273" s="4">
        <v>1884</v>
      </c>
      <c r="M273" s="4">
        <v>3041</v>
      </c>
      <c r="N273" s="3">
        <f t="shared" si="8"/>
        <v>35162</v>
      </c>
      <c r="O273" s="4">
        <v>15</v>
      </c>
      <c r="P273" s="4">
        <v>0</v>
      </c>
      <c r="Q273" s="4">
        <v>2</v>
      </c>
      <c r="R273" s="4">
        <v>3</v>
      </c>
      <c r="S273" s="4">
        <v>3</v>
      </c>
      <c r="T273" s="4">
        <v>4</v>
      </c>
      <c r="U273" s="4">
        <v>3</v>
      </c>
      <c r="V273" s="4">
        <v>1</v>
      </c>
      <c r="W273" s="4">
        <v>6</v>
      </c>
      <c r="X273" s="4">
        <v>6</v>
      </c>
      <c r="Y273" s="4">
        <v>9</v>
      </c>
      <c r="Z273" s="4">
        <v>2</v>
      </c>
      <c r="AA273" s="3">
        <f t="shared" si="9"/>
        <v>54</v>
      </c>
      <c r="AB273" t="s">
        <v>63</v>
      </c>
      <c r="AC273">
        <v>19.61</v>
      </c>
      <c r="AD273">
        <v>36.96</v>
      </c>
      <c r="AE273">
        <v>103.06</v>
      </c>
      <c r="AF273">
        <v>0.27</v>
      </c>
      <c r="AG273">
        <v>47.65</v>
      </c>
      <c r="AH273">
        <v>88.82</v>
      </c>
      <c r="AI273">
        <v>23.43</v>
      </c>
      <c r="AJ273">
        <v>20.05</v>
      </c>
      <c r="AK273">
        <v>56.56</v>
      </c>
      <c r="AL273">
        <v>212.2</v>
      </c>
      <c r="AM273">
        <v>38.49</v>
      </c>
      <c r="AN273">
        <v>61</v>
      </c>
      <c r="AO273" s="1">
        <v>708.1</v>
      </c>
    </row>
    <row r="274" spans="1:41" x14ac:dyDescent="0.25">
      <c r="A274" t="s">
        <v>790</v>
      </c>
      <c r="B274" s="4">
        <v>903</v>
      </c>
      <c r="C274" s="4">
        <v>0</v>
      </c>
      <c r="D274" s="4">
        <v>1921</v>
      </c>
      <c r="E274" s="4">
        <v>12936</v>
      </c>
      <c r="F274" s="4">
        <v>8823</v>
      </c>
      <c r="G274" s="4">
        <v>1853</v>
      </c>
      <c r="H274" s="4">
        <v>5423</v>
      </c>
      <c r="I274" s="4">
        <v>9150</v>
      </c>
      <c r="J274" s="4">
        <v>1549</v>
      </c>
      <c r="K274" s="4">
        <v>6605</v>
      </c>
      <c r="L274" s="4">
        <v>630</v>
      </c>
      <c r="M274" s="4">
        <v>676</v>
      </c>
      <c r="N274" s="3">
        <f t="shared" si="8"/>
        <v>50469</v>
      </c>
      <c r="O274" s="4">
        <v>5</v>
      </c>
      <c r="P274" s="4">
        <v>0</v>
      </c>
      <c r="Q274" s="4">
        <v>5</v>
      </c>
      <c r="R274" s="4">
        <v>8</v>
      </c>
      <c r="S274" s="4">
        <v>1</v>
      </c>
      <c r="T274" s="4">
        <v>6</v>
      </c>
      <c r="U274" s="4">
        <v>7</v>
      </c>
      <c r="V274" s="4">
        <v>3</v>
      </c>
      <c r="W274" s="4">
        <v>5</v>
      </c>
      <c r="X274" s="4">
        <v>1</v>
      </c>
      <c r="Y274" s="4">
        <v>13</v>
      </c>
      <c r="Z274" s="4">
        <v>1</v>
      </c>
      <c r="AA274" s="3">
        <f t="shared" si="9"/>
        <v>55</v>
      </c>
      <c r="AB274" t="s">
        <v>63</v>
      </c>
      <c r="AC274">
        <v>18.510000000000002</v>
      </c>
      <c r="AD274">
        <v>0</v>
      </c>
      <c r="AE274">
        <v>38.869999999999997</v>
      </c>
      <c r="AF274">
        <v>259.44</v>
      </c>
      <c r="AG274">
        <v>176.55</v>
      </c>
      <c r="AH274">
        <v>37.6</v>
      </c>
      <c r="AI274">
        <v>109.09</v>
      </c>
      <c r="AJ274">
        <v>183.27</v>
      </c>
      <c r="AK274">
        <v>31.43</v>
      </c>
      <c r="AL274">
        <v>132.19</v>
      </c>
      <c r="AM274">
        <v>13.77</v>
      </c>
      <c r="AN274">
        <v>13.61</v>
      </c>
      <c r="AO274" s="1">
        <v>1014.33</v>
      </c>
    </row>
    <row r="275" spans="1:41" x14ac:dyDescent="0.25">
      <c r="A275" t="s">
        <v>797</v>
      </c>
      <c r="B275" s="4">
        <v>887</v>
      </c>
      <c r="C275" s="4">
        <v>3076</v>
      </c>
      <c r="D275" s="4">
        <v>717</v>
      </c>
      <c r="E275" s="4">
        <v>4237</v>
      </c>
      <c r="F275" s="4">
        <v>1477</v>
      </c>
      <c r="G275" s="4">
        <v>715</v>
      </c>
      <c r="H275" s="4">
        <v>3190</v>
      </c>
      <c r="I275" s="4">
        <v>2865</v>
      </c>
      <c r="J275" s="4">
        <v>230</v>
      </c>
      <c r="K275" s="4">
        <v>4827</v>
      </c>
      <c r="L275" s="4">
        <v>7925</v>
      </c>
      <c r="M275" s="4">
        <v>646</v>
      </c>
      <c r="N275" s="3">
        <f t="shared" si="8"/>
        <v>30792</v>
      </c>
      <c r="O275" s="4">
        <v>10</v>
      </c>
      <c r="P275" s="4">
        <v>3</v>
      </c>
      <c r="Q275" s="4">
        <v>1</v>
      </c>
      <c r="R275" s="4">
        <v>10</v>
      </c>
      <c r="S275" s="4">
        <v>5</v>
      </c>
      <c r="T275" s="4">
        <v>1</v>
      </c>
      <c r="U275" s="4">
        <v>2</v>
      </c>
      <c r="V275" s="4">
        <v>3</v>
      </c>
      <c r="W275" s="4">
        <v>5</v>
      </c>
      <c r="X275" s="4">
        <v>4</v>
      </c>
      <c r="Y275" s="4">
        <v>20</v>
      </c>
      <c r="Z275" s="4">
        <v>2</v>
      </c>
      <c r="AA275" s="3">
        <f t="shared" si="9"/>
        <v>66</v>
      </c>
      <c r="AB275" t="s">
        <v>63</v>
      </c>
      <c r="AC275">
        <v>18.64</v>
      </c>
      <c r="AD275">
        <v>61.79</v>
      </c>
      <c r="AE275">
        <v>14.43</v>
      </c>
      <c r="AF275">
        <v>85.64</v>
      </c>
      <c r="AG275">
        <v>29.99</v>
      </c>
      <c r="AH275">
        <v>14.39</v>
      </c>
      <c r="AI275">
        <v>63.98</v>
      </c>
      <c r="AJ275">
        <v>57.57</v>
      </c>
      <c r="AK275">
        <v>5.05</v>
      </c>
      <c r="AL275">
        <v>96.9</v>
      </c>
      <c r="AM275">
        <v>160.30000000000001</v>
      </c>
      <c r="AN275">
        <v>13.1</v>
      </c>
      <c r="AO275" s="1">
        <v>621.78000000000009</v>
      </c>
    </row>
    <row r="276" spans="1:41" x14ac:dyDescent="0.25">
      <c r="A276" t="s">
        <v>798</v>
      </c>
      <c r="B276" s="4">
        <v>876</v>
      </c>
      <c r="C276" s="4">
        <v>0</v>
      </c>
      <c r="D276" s="4">
        <v>1295</v>
      </c>
      <c r="E276" s="4">
        <v>6312</v>
      </c>
      <c r="F276" s="4">
        <v>6846</v>
      </c>
      <c r="G276" s="4">
        <v>2392</v>
      </c>
      <c r="H276" s="4">
        <v>581</v>
      </c>
      <c r="I276" s="4">
        <v>583</v>
      </c>
      <c r="J276" s="4">
        <v>6326</v>
      </c>
      <c r="K276" s="4">
        <v>9634</v>
      </c>
      <c r="L276" s="4">
        <v>102</v>
      </c>
      <c r="M276" s="4">
        <v>0</v>
      </c>
      <c r="N276" s="3">
        <f t="shared" si="8"/>
        <v>34947</v>
      </c>
      <c r="O276" s="4">
        <v>0</v>
      </c>
      <c r="P276" s="4">
        <v>2</v>
      </c>
      <c r="Q276" s="4">
        <v>5</v>
      </c>
      <c r="R276" s="4">
        <v>1</v>
      </c>
      <c r="S276" s="4">
        <v>1</v>
      </c>
      <c r="T276" s="4">
        <v>8</v>
      </c>
      <c r="U276" s="4">
        <v>9</v>
      </c>
      <c r="V276" s="4">
        <v>11</v>
      </c>
      <c r="W276" s="4">
        <v>1</v>
      </c>
      <c r="X276" s="4">
        <v>5</v>
      </c>
      <c r="Y276" s="4">
        <v>3</v>
      </c>
      <c r="Z276" s="4">
        <v>2</v>
      </c>
      <c r="AA276" s="3">
        <f t="shared" si="9"/>
        <v>48</v>
      </c>
      <c r="AB276" t="s">
        <v>63</v>
      </c>
      <c r="AC276">
        <v>17.52</v>
      </c>
      <c r="AD276">
        <v>0.18</v>
      </c>
      <c r="AE276">
        <v>26.35</v>
      </c>
      <c r="AF276">
        <v>126.33</v>
      </c>
      <c r="AG276">
        <v>137.01</v>
      </c>
      <c r="AH276">
        <v>48.56</v>
      </c>
      <c r="AI276">
        <v>12.43</v>
      </c>
      <c r="AJ276">
        <v>12.65</v>
      </c>
      <c r="AK276">
        <v>126.61</v>
      </c>
      <c r="AL276">
        <v>193.13</v>
      </c>
      <c r="AM276">
        <v>2.31</v>
      </c>
      <c r="AN276">
        <v>0.18</v>
      </c>
      <c r="AO276" s="1">
        <v>703.25999999999988</v>
      </c>
    </row>
    <row r="277" spans="1:41" x14ac:dyDescent="0.25">
      <c r="A277" t="s">
        <v>800</v>
      </c>
      <c r="B277" s="4">
        <v>869</v>
      </c>
      <c r="C277" s="4">
        <v>3229</v>
      </c>
      <c r="D277" s="4">
        <v>1689</v>
      </c>
      <c r="E277" s="4">
        <v>0</v>
      </c>
      <c r="F277" s="4">
        <v>5717</v>
      </c>
      <c r="G277" s="4">
        <v>1339</v>
      </c>
      <c r="H277" s="4">
        <v>3954</v>
      </c>
      <c r="I277" s="4">
        <v>3196</v>
      </c>
      <c r="J277" s="4">
        <v>531</v>
      </c>
      <c r="K277" s="4">
        <v>2490</v>
      </c>
      <c r="L277" s="4">
        <v>8646</v>
      </c>
      <c r="M277" s="4">
        <v>1116</v>
      </c>
      <c r="N277" s="3">
        <f t="shared" si="8"/>
        <v>32776</v>
      </c>
      <c r="O277" s="4">
        <v>5</v>
      </c>
      <c r="P277" s="4">
        <v>8</v>
      </c>
      <c r="Q277" s="4">
        <v>3</v>
      </c>
      <c r="R277" s="4">
        <v>0</v>
      </c>
      <c r="S277" s="4">
        <v>0</v>
      </c>
      <c r="T277" s="4">
        <v>10</v>
      </c>
      <c r="U277" s="4">
        <v>5</v>
      </c>
      <c r="V277" s="4">
        <v>3</v>
      </c>
      <c r="W277" s="4">
        <v>1</v>
      </c>
      <c r="X277" s="4">
        <v>6</v>
      </c>
      <c r="Y277" s="4">
        <v>9</v>
      </c>
      <c r="Z277" s="4">
        <v>9</v>
      </c>
      <c r="AA277" s="3">
        <f t="shared" si="9"/>
        <v>59</v>
      </c>
      <c r="AB277" t="s">
        <v>63</v>
      </c>
      <c r="AC277">
        <v>17.829999999999998</v>
      </c>
      <c r="AD277">
        <v>65.3</v>
      </c>
      <c r="AE277">
        <v>34.049999999999997</v>
      </c>
      <c r="AF277">
        <v>0</v>
      </c>
      <c r="AG277">
        <v>114.34</v>
      </c>
      <c r="AH277">
        <v>27.68</v>
      </c>
      <c r="AI277">
        <v>79.53</v>
      </c>
      <c r="AJ277">
        <v>64.19</v>
      </c>
      <c r="AK277">
        <v>10.71</v>
      </c>
      <c r="AL277">
        <v>50.34</v>
      </c>
      <c r="AM277">
        <v>173.73</v>
      </c>
      <c r="AN277">
        <v>23.13</v>
      </c>
      <c r="AO277" s="1">
        <v>660.83</v>
      </c>
    </row>
    <row r="278" spans="1:41" x14ac:dyDescent="0.25">
      <c r="A278" t="s">
        <v>801</v>
      </c>
      <c r="B278" s="4">
        <v>867</v>
      </c>
      <c r="C278" s="4">
        <v>3507</v>
      </c>
      <c r="D278" s="4">
        <v>0</v>
      </c>
      <c r="E278" s="4">
        <v>4682</v>
      </c>
      <c r="F278" s="4">
        <v>2776</v>
      </c>
      <c r="G278" s="4">
        <v>109</v>
      </c>
      <c r="H278" s="4">
        <v>944</v>
      </c>
      <c r="I278" s="4">
        <v>1336</v>
      </c>
      <c r="J278" s="4">
        <v>2980</v>
      </c>
      <c r="K278" s="4">
        <v>2271</v>
      </c>
      <c r="L278" s="4">
        <v>429</v>
      </c>
      <c r="M278" s="4">
        <v>4230</v>
      </c>
      <c r="N278" s="3">
        <f t="shared" si="8"/>
        <v>24131</v>
      </c>
      <c r="O278" s="4">
        <v>5</v>
      </c>
      <c r="P278" s="4">
        <v>2</v>
      </c>
      <c r="Q278" s="4">
        <v>3</v>
      </c>
      <c r="R278" s="4">
        <v>0</v>
      </c>
      <c r="S278" s="4">
        <v>10</v>
      </c>
      <c r="T278" s="4">
        <v>0</v>
      </c>
      <c r="U278" s="4">
        <v>2</v>
      </c>
      <c r="V278" s="4">
        <v>4</v>
      </c>
      <c r="W278" s="4">
        <v>2</v>
      </c>
      <c r="X278" s="4">
        <v>0</v>
      </c>
      <c r="Y278" s="4">
        <v>4</v>
      </c>
      <c r="Z278" s="4">
        <v>0</v>
      </c>
      <c r="AA278" s="3">
        <f t="shared" si="9"/>
        <v>32</v>
      </c>
      <c r="AB278" t="s">
        <v>63</v>
      </c>
      <c r="AC278">
        <v>17.79</v>
      </c>
      <c r="AD278">
        <v>70.319999999999993</v>
      </c>
      <c r="AE278">
        <v>0.27</v>
      </c>
      <c r="AF278">
        <v>93.64</v>
      </c>
      <c r="AG278">
        <v>56.42</v>
      </c>
      <c r="AH278">
        <v>2.1800000000000002</v>
      </c>
      <c r="AI278">
        <v>19.059999999999999</v>
      </c>
      <c r="AJ278">
        <v>27.08</v>
      </c>
      <c r="AK278">
        <v>59.78</v>
      </c>
      <c r="AL278">
        <v>45.42</v>
      </c>
      <c r="AM278">
        <v>8.94</v>
      </c>
      <c r="AN278">
        <v>84.6</v>
      </c>
      <c r="AO278" s="1">
        <v>485.5</v>
      </c>
    </row>
    <row r="279" spans="1:41" x14ac:dyDescent="0.25">
      <c r="A279" t="s">
        <v>802</v>
      </c>
      <c r="B279" s="4">
        <v>863</v>
      </c>
      <c r="C279" s="4">
        <v>1293</v>
      </c>
      <c r="D279" s="4">
        <v>3583</v>
      </c>
      <c r="E279" s="4">
        <v>2304</v>
      </c>
      <c r="F279" s="4">
        <v>1680</v>
      </c>
      <c r="G279" s="4">
        <v>1447</v>
      </c>
      <c r="H279" s="4">
        <v>1851</v>
      </c>
      <c r="I279" s="4">
        <v>7883</v>
      </c>
      <c r="J279" s="4">
        <v>1344</v>
      </c>
      <c r="K279" s="4">
        <v>368</v>
      </c>
      <c r="L279" s="4">
        <v>2117</v>
      </c>
      <c r="M279" s="4">
        <v>4256</v>
      </c>
      <c r="N279" s="3">
        <f t="shared" si="8"/>
        <v>28989</v>
      </c>
      <c r="O279" s="4">
        <v>6</v>
      </c>
      <c r="P279" s="4">
        <v>3</v>
      </c>
      <c r="Q279" s="4">
        <v>12</v>
      </c>
      <c r="R279" s="4">
        <v>15</v>
      </c>
      <c r="S279" s="4">
        <v>12</v>
      </c>
      <c r="T279" s="4">
        <v>1</v>
      </c>
      <c r="U279" s="4">
        <v>7</v>
      </c>
      <c r="V279" s="4">
        <v>7</v>
      </c>
      <c r="W279" s="4">
        <v>1</v>
      </c>
      <c r="X279" s="4">
        <v>7</v>
      </c>
      <c r="Y279" s="4">
        <v>0</v>
      </c>
      <c r="Z279" s="4">
        <v>4</v>
      </c>
      <c r="AA279" s="3">
        <f t="shared" si="9"/>
        <v>75</v>
      </c>
      <c r="AB279" t="s">
        <v>63</v>
      </c>
      <c r="AC279">
        <v>17.8</v>
      </c>
      <c r="AD279">
        <v>26.13</v>
      </c>
      <c r="AE279">
        <v>72.739999999999995</v>
      </c>
      <c r="AF279">
        <v>47.43</v>
      </c>
      <c r="AG279">
        <v>34.68</v>
      </c>
      <c r="AH279">
        <v>29.03</v>
      </c>
      <c r="AI279">
        <v>37.65</v>
      </c>
      <c r="AJ279">
        <v>158.29</v>
      </c>
      <c r="AK279">
        <v>26.97</v>
      </c>
      <c r="AL279">
        <v>7.99</v>
      </c>
      <c r="AM279">
        <v>42.34</v>
      </c>
      <c r="AN279">
        <v>85.48</v>
      </c>
      <c r="AO279" s="1">
        <v>586.53000000000009</v>
      </c>
    </row>
    <row r="280" spans="1:41" x14ac:dyDescent="0.25">
      <c r="A280" t="s">
        <v>803</v>
      </c>
      <c r="B280" s="4">
        <v>853</v>
      </c>
      <c r="C280" s="4">
        <v>0</v>
      </c>
      <c r="D280" s="4">
        <v>3941</v>
      </c>
      <c r="E280" s="4">
        <v>1704</v>
      </c>
      <c r="F280" s="4">
        <v>8121</v>
      </c>
      <c r="G280" s="4">
        <v>2714</v>
      </c>
      <c r="H280" s="4">
        <v>547</v>
      </c>
      <c r="I280" s="4">
        <v>4357</v>
      </c>
      <c r="J280" s="4">
        <v>3743</v>
      </c>
      <c r="K280" s="4">
        <v>4875</v>
      </c>
      <c r="L280" s="4">
        <v>4449</v>
      </c>
      <c r="M280" s="4">
        <v>0</v>
      </c>
      <c r="N280" s="3">
        <f t="shared" si="8"/>
        <v>35304</v>
      </c>
      <c r="O280" s="4">
        <v>2</v>
      </c>
      <c r="P280" s="4">
        <v>1</v>
      </c>
      <c r="Q280" s="4">
        <v>4</v>
      </c>
      <c r="R280" s="4">
        <v>1</v>
      </c>
      <c r="S280" s="4">
        <v>3</v>
      </c>
      <c r="T280" s="4">
        <v>4</v>
      </c>
      <c r="U280" s="4">
        <v>0</v>
      </c>
      <c r="V280" s="4">
        <v>0</v>
      </c>
      <c r="W280" s="4">
        <v>2</v>
      </c>
      <c r="X280" s="4">
        <v>2</v>
      </c>
      <c r="Y280" s="4">
        <v>2</v>
      </c>
      <c r="Z280" s="4">
        <v>24</v>
      </c>
      <c r="AA280" s="3">
        <f t="shared" si="9"/>
        <v>45</v>
      </c>
      <c r="AB280" t="s">
        <v>63</v>
      </c>
      <c r="AC280">
        <v>17.239999999999998</v>
      </c>
      <c r="AD280">
        <v>0.09</v>
      </c>
      <c r="AE280">
        <v>79.180000000000007</v>
      </c>
      <c r="AF280">
        <v>34.17</v>
      </c>
      <c r="AG280">
        <v>162.69</v>
      </c>
      <c r="AH280">
        <v>54.64</v>
      </c>
      <c r="AI280">
        <v>10.94</v>
      </c>
      <c r="AJ280">
        <v>87.14</v>
      </c>
      <c r="AK280">
        <v>75.040000000000006</v>
      </c>
      <c r="AL280">
        <v>97.68</v>
      </c>
      <c r="AM280">
        <v>89.16</v>
      </c>
      <c r="AN280">
        <v>2.16</v>
      </c>
      <c r="AO280" s="1">
        <v>710.12999999999988</v>
      </c>
    </row>
    <row r="281" spans="1:41" x14ac:dyDescent="0.25">
      <c r="A281" t="s">
        <v>805</v>
      </c>
      <c r="B281" s="4">
        <v>845</v>
      </c>
      <c r="C281" s="4">
        <v>1980</v>
      </c>
      <c r="D281" s="4">
        <v>3041</v>
      </c>
      <c r="E281" s="4">
        <v>3176</v>
      </c>
      <c r="F281" s="4">
        <v>4889</v>
      </c>
      <c r="G281" s="4">
        <v>6304</v>
      </c>
      <c r="H281" s="4">
        <v>4749</v>
      </c>
      <c r="I281" s="4">
        <v>2692</v>
      </c>
      <c r="J281" s="4">
        <v>6435</v>
      </c>
      <c r="K281" s="4">
        <v>7933</v>
      </c>
      <c r="L281" s="4">
        <v>2665</v>
      </c>
      <c r="M281" s="4">
        <v>706</v>
      </c>
      <c r="N281" s="3">
        <f t="shared" si="8"/>
        <v>45415</v>
      </c>
      <c r="O281" s="4">
        <v>5</v>
      </c>
      <c r="P281" s="4">
        <v>2</v>
      </c>
      <c r="Q281" s="4">
        <v>0</v>
      </c>
      <c r="R281" s="4">
        <v>2</v>
      </c>
      <c r="S281" s="4">
        <v>9</v>
      </c>
      <c r="T281" s="4">
        <v>2</v>
      </c>
      <c r="U281" s="4">
        <v>8</v>
      </c>
      <c r="V281" s="4">
        <v>21</v>
      </c>
      <c r="W281" s="4">
        <v>1</v>
      </c>
      <c r="X281" s="4">
        <v>4</v>
      </c>
      <c r="Y281" s="4">
        <v>7</v>
      </c>
      <c r="Z281" s="4">
        <v>15</v>
      </c>
      <c r="AA281" s="3">
        <f t="shared" si="9"/>
        <v>76</v>
      </c>
      <c r="AB281" t="s">
        <v>63</v>
      </c>
      <c r="AC281">
        <v>17.350000000000001</v>
      </c>
      <c r="AD281">
        <v>39.78</v>
      </c>
      <c r="AE281">
        <v>60.82</v>
      </c>
      <c r="AF281">
        <v>63.7</v>
      </c>
      <c r="AG281">
        <v>98.59</v>
      </c>
      <c r="AH281">
        <v>126.26</v>
      </c>
      <c r="AI281">
        <v>95.7</v>
      </c>
      <c r="AJ281">
        <v>55.73</v>
      </c>
      <c r="AK281">
        <v>128.79</v>
      </c>
      <c r="AL281">
        <v>159.02000000000001</v>
      </c>
      <c r="AM281">
        <v>53.93</v>
      </c>
      <c r="AN281">
        <v>15.47</v>
      </c>
      <c r="AO281" s="1">
        <v>915.13999999999987</v>
      </c>
    </row>
    <row r="282" spans="1:41" x14ac:dyDescent="0.25">
      <c r="A282" t="s">
        <v>807</v>
      </c>
      <c r="B282" s="4">
        <v>841</v>
      </c>
      <c r="C282" s="4">
        <v>2284</v>
      </c>
      <c r="D282" s="4">
        <v>322</v>
      </c>
      <c r="E282" s="4">
        <v>869</v>
      </c>
      <c r="F282" s="4">
        <v>5721</v>
      </c>
      <c r="G282" s="4">
        <v>3469</v>
      </c>
      <c r="H282" s="4">
        <v>1518</v>
      </c>
      <c r="I282" s="4">
        <v>2209</v>
      </c>
      <c r="J282" s="4">
        <v>5953</v>
      </c>
      <c r="K282" s="4">
        <v>5105</v>
      </c>
      <c r="L282" s="4">
        <v>0</v>
      </c>
      <c r="M282" s="4">
        <v>1804</v>
      </c>
      <c r="N282" s="3">
        <f t="shared" si="8"/>
        <v>30095</v>
      </c>
      <c r="O282" s="4">
        <v>7</v>
      </c>
      <c r="P282" s="4">
        <v>3</v>
      </c>
      <c r="Q282" s="4">
        <v>4</v>
      </c>
      <c r="R282" s="4">
        <v>7</v>
      </c>
      <c r="S282" s="4">
        <v>4</v>
      </c>
      <c r="T282" s="4">
        <v>1</v>
      </c>
      <c r="U282" s="4">
        <v>2</v>
      </c>
      <c r="V282" s="4">
        <v>2</v>
      </c>
      <c r="W282" s="4">
        <v>2</v>
      </c>
      <c r="X282" s="4">
        <v>12</v>
      </c>
      <c r="Y282" s="4">
        <v>1</v>
      </c>
      <c r="Z282" s="4">
        <v>1</v>
      </c>
      <c r="AA282" s="3">
        <f t="shared" si="9"/>
        <v>46</v>
      </c>
      <c r="AB282" t="s">
        <v>63</v>
      </c>
      <c r="AC282">
        <v>17.45</v>
      </c>
      <c r="AD282">
        <v>45.95</v>
      </c>
      <c r="AE282">
        <v>6.8</v>
      </c>
      <c r="AF282">
        <v>18.010000000000002</v>
      </c>
      <c r="AG282">
        <v>114.78</v>
      </c>
      <c r="AH282">
        <v>69.47</v>
      </c>
      <c r="AI282">
        <v>30.54</v>
      </c>
      <c r="AJ282">
        <v>44.36</v>
      </c>
      <c r="AK282">
        <v>119.24</v>
      </c>
      <c r="AL282">
        <v>103.18</v>
      </c>
      <c r="AM282">
        <v>0.09</v>
      </c>
      <c r="AN282">
        <v>36.17</v>
      </c>
      <c r="AO282" s="1">
        <v>606.04000000000008</v>
      </c>
    </row>
    <row r="283" spans="1:41" x14ac:dyDescent="0.25">
      <c r="A283" t="s">
        <v>808</v>
      </c>
      <c r="B283" s="4">
        <v>841</v>
      </c>
      <c r="C283" s="4">
        <v>2469</v>
      </c>
      <c r="D283" s="4">
        <v>3108</v>
      </c>
      <c r="E283" s="4">
        <v>2863</v>
      </c>
      <c r="F283" s="4">
        <v>909</v>
      </c>
      <c r="G283" s="4">
        <v>322</v>
      </c>
      <c r="H283" s="4">
        <v>598</v>
      </c>
      <c r="I283" s="4">
        <v>1973</v>
      </c>
      <c r="J283" s="4">
        <v>1246</v>
      </c>
      <c r="K283" s="4">
        <v>2337</v>
      </c>
      <c r="L283" s="4">
        <v>6495</v>
      </c>
      <c r="M283" s="4">
        <v>463</v>
      </c>
      <c r="N283" s="3">
        <f t="shared" si="8"/>
        <v>23624</v>
      </c>
      <c r="O283" s="4">
        <v>2</v>
      </c>
      <c r="P283" s="4">
        <v>7</v>
      </c>
      <c r="Q283" s="4">
        <v>1</v>
      </c>
      <c r="R283" s="4">
        <v>6</v>
      </c>
      <c r="S283" s="4">
        <v>2</v>
      </c>
      <c r="T283" s="4">
        <v>2</v>
      </c>
      <c r="U283" s="4">
        <v>4</v>
      </c>
      <c r="V283" s="4">
        <v>2</v>
      </c>
      <c r="W283" s="4">
        <v>3</v>
      </c>
      <c r="X283" s="4">
        <v>9</v>
      </c>
      <c r="Y283" s="4">
        <v>1</v>
      </c>
      <c r="Z283" s="4">
        <v>2</v>
      </c>
      <c r="AA283" s="3">
        <f t="shared" si="9"/>
        <v>41</v>
      </c>
      <c r="AB283" t="s">
        <v>63</v>
      </c>
      <c r="AC283">
        <v>17</v>
      </c>
      <c r="AD283">
        <v>50.01</v>
      </c>
      <c r="AE283">
        <v>62.25</v>
      </c>
      <c r="AF283">
        <v>57.8</v>
      </c>
      <c r="AG283">
        <v>18.36</v>
      </c>
      <c r="AH283">
        <v>6.62</v>
      </c>
      <c r="AI283">
        <v>12.32</v>
      </c>
      <c r="AJ283">
        <v>39.64</v>
      </c>
      <c r="AK283">
        <v>25.19</v>
      </c>
      <c r="AL283">
        <v>47.55</v>
      </c>
      <c r="AM283">
        <v>129.99</v>
      </c>
      <c r="AN283">
        <v>9.44</v>
      </c>
      <c r="AO283" s="1">
        <v>476.17</v>
      </c>
    </row>
    <row r="284" spans="1:41" x14ac:dyDescent="0.25">
      <c r="A284" t="s">
        <v>809</v>
      </c>
      <c r="B284" s="4">
        <v>826</v>
      </c>
      <c r="C284" s="4">
        <v>1492</v>
      </c>
      <c r="D284" s="4">
        <v>3322</v>
      </c>
      <c r="E284" s="4">
        <v>0</v>
      </c>
      <c r="F284" s="4">
        <v>188</v>
      </c>
      <c r="G284" s="4">
        <v>437</v>
      </c>
      <c r="H284" s="4">
        <v>1560</v>
      </c>
      <c r="I284" s="4">
        <v>0</v>
      </c>
      <c r="J284" s="4">
        <v>1697</v>
      </c>
      <c r="K284" s="4">
        <v>10237</v>
      </c>
      <c r="L284" s="4">
        <v>841</v>
      </c>
      <c r="M284" s="4">
        <v>3799</v>
      </c>
      <c r="N284" s="3">
        <f t="shared" si="8"/>
        <v>24399</v>
      </c>
      <c r="O284" s="4">
        <v>9</v>
      </c>
      <c r="P284" s="4">
        <v>25</v>
      </c>
      <c r="Q284" s="4">
        <v>1</v>
      </c>
      <c r="R284" s="4">
        <v>9</v>
      </c>
      <c r="S284" s="4">
        <v>8</v>
      </c>
      <c r="T284" s="4">
        <v>0</v>
      </c>
      <c r="U284" s="4">
        <v>1</v>
      </c>
      <c r="V284" s="4">
        <v>17</v>
      </c>
      <c r="W284" s="4">
        <v>2</v>
      </c>
      <c r="X284" s="4">
        <v>8</v>
      </c>
      <c r="Y284" s="4">
        <v>0</v>
      </c>
      <c r="Z284" s="4">
        <v>0</v>
      </c>
      <c r="AA284" s="3">
        <f t="shared" si="9"/>
        <v>80</v>
      </c>
      <c r="AB284" t="s">
        <v>63</v>
      </c>
      <c r="AC284">
        <v>17.329999999999998</v>
      </c>
      <c r="AD284">
        <v>32.090000000000003</v>
      </c>
      <c r="AE284">
        <v>66.53</v>
      </c>
      <c r="AF284">
        <v>0.81</v>
      </c>
      <c r="AG284">
        <v>4.4800000000000004</v>
      </c>
      <c r="AH284">
        <v>8.74</v>
      </c>
      <c r="AI284">
        <v>31.29</v>
      </c>
      <c r="AJ284">
        <v>1.53</v>
      </c>
      <c r="AK284">
        <v>34.119999999999997</v>
      </c>
      <c r="AL284">
        <v>205.46</v>
      </c>
      <c r="AM284">
        <v>16.82</v>
      </c>
      <c r="AN284">
        <v>75.98</v>
      </c>
      <c r="AO284" s="1">
        <v>495.18</v>
      </c>
    </row>
    <row r="285" spans="1:41" x14ac:dyDescent="0.25">
      <c r="A285" t="s">
        <v>815</v>
      </c>
      <c r="B285" s="4">
        <v>797</v>
      </c>
      <c r="C285" s="4">
        <v>3969</v>
      </c>
      <c r="D285" s="4">
        <v>2450</v>
      </c>
      <c r="E285" s="4">
        <v>0</v>
      </c>
      <c r="F285" s="4">
        <v>697</v>
      </c>
      <c r="G285" s="4">
        <v>2829</v>
      </c>
      <c r="H285" s="4">
        <v>8730</v>
      </c>
      <c r="I285" s="4">
        <v>9293</v>
      </c>
      <c r="J285" s="4">
        <v>296</v>
      </c>
      <c r="K285" s="4">
        <v>1420</v>
      </c>
      <c r="L285" s="4">
        <v>783</v>
      </c>
      <c r="M285" s="4">
        <v>1917</v>
      </c>
      <c r="N285" s="3">
        <f t="shared" si="8"/>
        <v>33181</v>
      </c>
      <c r="O285" s="4">
        <v>6</v>
      </c>
      <c r="P285" s="4">
        <v>3</v>
      </c>
      <c r="Q285" s="4">
        <v>3</v>
      </c>
      <c r="R285" s="4">
        <v>1</v>
      </c>
      <c r="S285" s="4">
        <v>7</v>
      </c>
      <c r="T285" s="4">
        <v>1</v>
      </c>
      <c r="U285" s="4">
        <v>1</v>
      </c>
      <c r="V285" s="4">
        <v>13</v>
      </c>
      <c r="W285" s="4">
        <v>2</v>
      </c>
      <c r="X285" s="4">
        <v>25</v>
      </c>
      <c r="Y285" s="4">
        <v>5</v>
      </c>
      <c r="Z285" s="4">
        <v>9</v>
      </c>
      <c r="AA285" s="3">
        <f t="shared" si="9"/>
        <v>76</v>
      </c>
      <c r="AB285" t="s">
        <v>63</v>
      </c>
      <c r="AC285">
        <v>16.48</v>
      </c>
      <c r="AD285">
        <v>79.650000000000006</v>
      </c>
      <c r="AE285">
        <v>49.27</v>
      </c>
      <c r="AF285">
        <v>0.09</v>
      </c>
      <c r="AG285">
        <v>14.57</v>
      </c>
      <c r="AH285">
        <v>56.67</v>
      </c>
      <c r="AI285">
        <v>174.69</v>
      </c>
      <c r="AJ285">
        <v>187.03</v>
      </c>
      <c r="AK285">
        <v>6.1</v>
      </c>
      <c r="AL285">
        <v>30.65</v>
      </c>
      <c r="AM285">
        <v>16.11</v>
      </c>
      <c r="AN285">
        <v>39.15</v>
      </c>
      <c r="AO285" s="1">
        <v>670.46</v>
      </c>
    </row>
    <row r="286" spans="1:41" x14ac:dyDescent="0.25">
      <c r="A286" t="s">
        <v>817</v>
      </c>
      <c r="B286" s="4">
        <v>790</v>
      </c>
      <c r="C286" s="4">
        <v>1363</v>
      </c>
      <c r="D286" s="4">
        <v>408</v>
      </c>
      <c r="E286" s="4">
        <v>5517</v>
      </c>
      <c r="F286" s="4">
        <v>38</v>
      </c>
      <c r="G286" s="4">
        <v>639</v>
      </c>
      <c r="H286" s="4">
        <v>280</v>
      </c>
      <c r="I286" s="4">
        <v>18638</v>
      </c>
      <c r="J286" s="4">
        <v>2062</v>
      </c>
      <c r="K286" s="4">
        <v>1301</v>
      </c>
      <c r="L286" s="4">
        <v>1602</v>
      </c>
      <c r="M286" s="4">
        <v>18</v>
      </c>
      <c r="N286" s="3">
        <f t="shared" si="8"/>
        <v>32656</v>
      </c>
      <c r="O286" s="4">
        <v>1</v>
      </c>
      <c r="P286" s="4">
        <v>6</v>
      </c>
      <c r="Q286" s="4">
        <v>16</v>
      </c>
      <c r="R286" s="4">
        <v>0</v>
      </c>
      <c r="S286" s="4">
        <v>1</v>
      </c>
      <c r="T286" s="4">
        <v>2</v>
      </c>
      <c r="U286" s="4">
        <v>1</v>
      </c>
      <c r="V286" s="4">
        <v>0</v>
      </c>
      <c r="W286" s="4">
        <v>7</v>
      </c>
      <c r="X286" s="4">
        <v>2</v>
      </c>
      <c r="Y286" s="4">
        <v>5</v>
      </c>
      <c r="Z286" s="4">
        <v>24</v>
      </c>
      <c r="AA286" s="3">
        <f t="shared" si="9"/>
        <v>65</v>
      </c>
      <c r="AB286" t="s">
        <v>63</v>
      </c>
      <c r="AC286">
        <v>15.89</v>
      </c>
      <c r="AD286">
        <v>27.8</v>
      </c>
      <c r="AE286">
        <v>9.6</v>
      </c>
      <c r="AF286">
        <v>110.34</v>
      </c>
      <c r="AG286">
        <v>0.85</v>
      </c>
      <c r="AH286">
        <v>12.96</v>
      </c>
      <c r="AI286">
        <v>5.69</v>
      </c>
      <c r="AJ286">
        <v>372.76</v>
      </c>
      <c r="AK286">
        <v>41.87</v>
      </c>
      <c r="AL286">
        <v>26.2</v>
      </c>
      <c r="AM286">
        <v>32.49</v>
      </c>
      <c r="AN286">
        <v>2.52</v>
      </c>
      <c r="AO286" s="1">
        <v>658.97</v>
      </c>
    </row>
    <row r="287" spans="1:41" x14ac:dyDescent="0.25">
      <c r="A287" t="s">
        <v>818</v>
      </c>
      <c r="B287" s="4">
        <v>787</v>
      </c>
      <c r="C287" s="4">
        <v>1475</v>
      </c>
      <c r="D287" s="4">
        <v>1674</v>
      </c>
      <c r="E287" s="4">
        <v>3018</v>
      </c>
      <c r="F287" s="4">
        <v>3422</v>
      </c>
      <c r="G287" s="4">
        <v>5036</v>
      </c>
      <c r="H287" s="4">
        <v>581</v>
      </c>
      <c r="I287" s="4">
        <v>457</v>
      </c>
      <c r="J287" s="4">
        <v>0</v>
      </c>
      <c r="K287" s="4">
        <v>2384</v>
      </c>
      <c r="L287" s="4">
        <v>526</v>
      </c>
      <c r="M287" s="4">
        <v>4547</v>
      </c>
      <c r="N287" s="3">
        <f t="shared" si="8"/>
        <v>23907</v>
      </c>
      <c r="O287" s="4">
        <v>2</v>
      </c>
      <c r="P287" s="4">
        <v>1</v>
      </c>
      <c r="Q287" s="4">
        <v>9</v>
      </c>
      <c r="R287" s="4">
        <v>1</v>
      </c>
      <c r="S287" s="4">
        <v>16</v>
      </c>
      <c r="T287" s="4">
        <v>1</v>
      </c>
      <c r="U287" s="4">
        <v>1</v>
      </c>
      <c r="V287" s="4">
        <v>6</v>
      </c>
      <c r="W287" s="4">
        <v>4</v>
      </c>
      <c r="X287" s="4">
        <v>5</v>
      </c>
      <c r="Y287" s="4">
        <v>3</v>
      </c>
      <c r="Z287" s="4">
        <v>5</v>
      </c>
      <c r="AA287" s="3">
        <f t="shared" si="9"/>
        <v>54</v>
      </c>
      <c r="AB287" t="s">
        <v>63</v>
      </c>
      <c r="AC287">
        <v>15.92</v>
      </c>
      <c r="AD287">
        <v>29.59</v>
      </c>
      <c r="AE287">
        <v>34.29</v>
      </c>
      <c r="AF287">
        <v>60.45</v>
      </c>
      <c r="AG287">
        <v>69.88</v>
      </c>
      <c r="AH287">
        <v>100.81</v>
      </c>
      <c r="AI287">
        <v>11.71</v>
      </c>
      <c r="AJ287">
        <v>9.68</v>
      </c>
      <c r="AK287">
        <v>0.36</v>
      </c>
      <c r="AL287">
        <v>48.13</v>
      </c>
      <c r="AM287">
        <v>10.79</v>
      </c>
      <c r="AN287">
        <v>91.39</v>
      </c>
      <c r="AO287" s="1">
        <v>483</v>
      </c>
    </row>
    <row r="288" spans="1:41" x14ac:dyDescent="0.25">
      <c r="A288" t="s">
        <v>819</v>
      </c>
      <c r="B288" s="4">
        <v>776</v>
      </c>
      <c r="C288" s="4">
        <v>17989</v>
      </c>
      <c r="D288" s="4">
        <v>0</v>
      </c>
      <c r="E288" s="4">
        <v>0</v>
      </c>
      <c r="F288" s="4">
        <v>728</v>
      </c>
      <c r="G288" s="4">
        <v>6749</v>
      </c>
      <c r="H288" s="4">
        <v>674</v>
      </c>
      <c r="I288" s="4">
        <v>1562</v>
      </c>
      <c r="J288" s="4">
        <v>881</v>
      </c>
      <c r="K288" s="4">
        <v>1187</v>
      </c>
      <c r="L288" s="4">
        <v>2651</v>
      </c>
      <c r="M288" s="4">
        <v>248</v>
      </c>
      <c r="N288" s="3">
        <f t="shared" si="8"/>
        <v>33445</v>
      </c>
      <c r="O288" s="4">
        <v>1</v>
      </c>
      <c r="P288" s="4">
        <v>1</v>
      </c>
      <c r="Q288" s="4">
        <v>4</v>
      </c>
      <c r="R288" s="4">
        <v>10</v>
      </c>
      <c r="S288" s="4">
        <v>3</v>
      </c>
      <c r="T288" s="4">
        <v>11</v>
      </c>
      <c r="U288" s="4">
        <v>12</v>
      </c>
      <c r="V288" s="4">
        <v>0</v>
      </c>
      <c r="W288" s="4">
        <v>1</v>
      </c>
      <c r="X288" s="4">
        <v>9</v>
      </c>
      <c r="Y288" s="4">
        <v>2</v>
      </c>
      <c r="Z288" s="4">
        <v>1</v>
      </c>
      <c r="AA288" s="3">
        <f t="shared" si="9"/>
        <v>55</v>
      </c>
      <c r="AB288" t="s">
        <v>63</v>
      </c>
      <c r="AC288">
        <v>15.61</v>
      </c>
      <c r="AD288">
        <v>359.87</v>
      </c>
      <c r="AE288">
        <v>0.36</v>
      </c>
      <c r="AF288">
        <v>0.9</v>
      </c>
      <c r="AG288">
        <v>14.83</v>
      </c>
      <c r="AH288">
        <v>135.97</v>
      </c>
      <c r="AI288">
        <v>14.56</v>
      </c>
      <c r="AJ288">
        <v>31.24</v>
      </c>
      <c r="AK288">
        <v>17.71</v>
      </c>
      <c r="AL288">
        <v>24.55</v>
      </c>
      <c r="AM288">
        <v>53.2</v>
      </c>
      <c r="AN288">
        <v>5.05</v>
      </c>
      <c r="AO288" s="1">
        <v>673.84999999999991</v>
      </c>
    </row>
    <row r="289" spans="1:41" x14ac:dyDescent="0.25">
      <c r="A289" t="s">
        <v>820</v>
      </c>
      <c r="B289" s="4">
        <v>775</v>
      </c>
      <c r="C289" s="4">
        <v>1060</v>
      </c>
      <c r="D289" s="4">
        <v>2235</v>
      </c>
      <c r="E289" s="4">
        <v>4823</v>
      </c>
      <c r="F289" s="4">
        <v>2111</v>
      </c>
      <c r="G289" s="4">
        <v>2936</v>
      </c>
      <c r="H289" s="4">
        <v>0</v>
      </c>
      <c r="I289" s="4">
        <v>1542</v>
      </c>
      <c r="J289" s="4">
        <v>1558</v>
      </c>
      <c r="K289" s="4">
        <v>13558</v>
      </c>
      <c r="L289" s="4">
        <v>0</v>
      </c>
      <c r="M289" s="4">
        <v>1750</v>
      </c>
      <c r="N289" s="3">
        <f t="shared" si="8"/>
        <v>32348</v>
      </c>
      <c r="O289" s="4">
        <v>6</v>
      </c>
      <c r="P289" s="4">
        <v>11</v>
      </c>
      <c r="Q289" s="4">
        <v>2</v>
      </c>
      <c r="R289" s="4">
        <v>13</v>
      </c>
      <c r="S289" s="4">
        <v>6</v>
      </c>
      <c r="T289" s="4">
        <v>0</v>
      </c>
      <c r="U289" s="4">
        <v>9</v>
      </c>
      <c r="V289" s="4">
        <v>2</v>
      </c>
      <c r="W289" s="4">
        <v>3</v>
      </c>
      <c r="X289" s="4">
        <v>5</v>
      </c>
      <c r="Y289" s="4">
        <v>2</v>
      </c>
      <c r="Z289" s="4">
        <v>4</v>
      </c>
      <c r="AA289" s="3">
        <f t="shared" si="9"/>
        <v>63</v>
      </c>
      <c r="AB289" t="s">
        <v>63</v>
      </c>
      <c r="AC289">
        <v>16.04</v>
      </c>
      <c r="AD289">
        <v>22.19</v>
      </c>
      <c r="AE289">
        <v>44.88</v>
      </c>
      <c r="AF289">
        <v>97.63</v>
      </c>
      <c r="AG289">
        <v>42.76</v>
      </c>
      <c r="AH289">
        <v>58.72</v>
      </c>
      <c r="AI289">
        <v>0.81</v>
      </c>
      <c r="AJ289">
        <v>31.02</v>
      </c>
      <c r="AK289">
        <v>31.43</v>
      </c>
      <c r="AL289">
        <v>271.61</v>
      </c>
      <c r="AM289">
        <v>0.18</v>
      </c>
      <c r="AN289">
        <v>35.36</v>
      </c>
      <c r="AO289" s="1">
        <v>652.63</v>
      </c>
    </row>
    <row r="290" spans="1:41" x14ac:dyDescent="0.25">
      <c r="A290" t="s">
        <v>821</v>
      </c>
      <c r="B290" s="4">
        <v>766</v>
      </c>
      <c r="C290" s="4">
        <v>3643</v>
      </c>
      <c r="D290" s="4">
        <v>1688</v>
      </c>
      <c r="E290" s="4">
        <v>8029</v>
      </c>
      <c r="F290" s="4">
        <v>1706</v>
      </c>
      <c r="G290" s="4">
        <v>9151</v>
      </c>
      <c r="H290" s="4">
        <v>1096</v>
      </c>
      <c r="I290" s="4">
        <v>373</v>
      </c>
      <c r="J290" s="4">
        <v>2228</v>
      </c>
      <c r="K290" s="4">
        <v>2305</v>
      </c>
      <c r="L290" s="4">
        <v>1131</v>
      </c>
      <c r="M290" s="4">
        <v>1521</v>
      </c>
      <c r="N290" s="3">
        <f t="shared" si="8"/>
        <v>33637</v>
      </c>
      <c r="O290" s="4">
        <v>2</v>
      </c>
      <c r="P290" s="4">
        <v>6</v>
      </c>
      <c r="Q290" s="4">
        <v>8</v>
      </c>
      <c r="R290" s="4">
        <v>2</v>
      </c>
      <c r="S290" s="4">
        <v>13</v>
      </c>
      <c r="T290" s="4">
        <v>2</v>
      </c>
      <c r="U290" s="4">
        <v>10</v>
      </c>
      <c r="V290" s="4">
        <v>4</v>
      </c>
      <c r="W290" s="4">
        <v>5</v>
      </c>
      <c r="X290" s="4">
        <v>0</v>
      </c>
      <c r="Y290" s="4">
        <v>2</v>
      </c>
      <c r="Z290" s="4">
        <v>2</v>
      </c>
      <c r="AA290" s="3">
        <f t="shared" si="9"/>
        <v>56</v>
      </c>
      <c r="AB290" t="s">
        <v>63</v>
      </c>
      <c r="AC290">
        <v>15.5</v>
      </c>
      <c r="AD290">
        <v>73.400000000000006</v>
      </c>
      <c r="AE290">
        <v>34.479999999999997</v>
      </c>
      <c r="AF290">
        <v>160.76</v>
      </c>
      <c r="AG290">
        <v>35.29</v>
      </c>
      <c r="AH290">
        <v>183.2</v>
      </c>
      <c r="AI290">
        <v>22.82</v>
      </c>
      <c r="AJ290">
        <v>7.82</v>
      </c>
      <c r="AK290">
        <v>45.01</v>
      </c>
      <c r="AL290">
        <v>46.1</v>
      </c>
      <c r="AM290">
        <v>22.8</v>
      </c>
      <c r="AN290">
        <v>30.6</v>
      </c>
      <c r="AO290" s="1">
        <v>677.78000000000009</v>
      </c>
    </row>
    <row r="291" spans="1:41" x14ac:dyDescent="0.25">
      <c r="A291" t="s">
        <v>825</v>
      </c>
      <c r="B291" s="4">
        <v>751</v>
      </c>
      <c r="C291" s="4">
        <v>7770</v>
      </c>
      <c r="D291" s="4">
        <v>3214</v>
      </c>
      <c r="E291" s="4">
        <v>13745</v>
      </c>
      <c r="F291" s="4">
        <v>1013</v>
      </c>
      <c r="G291" s="4">
        <v>1887</v>
      </c>
      <c r="H291" s="4">
        <v>2044</v>
      </c>
      <c r="I291" s="4">
        <v>1698</v>
      </c>
      <c r="J291" s="4">
        <v>666</v>
      </c>
      <c r="K291" s="4">
        <v>2513</v>
      </c>
      <c r="L291" s="4">
        <v>3890</v>
      </c>
      <c r="M291" s="4">
        <v>452</v>
      </c>
      <c r="N291" s="3">
        <f t="shared" si="8"/>
        <v>39643</v>
      </c>
      <c r="O291" s="4">
        <v>0</v>
      </c>
      <c r="P291" s="4">
        <v>1</v>
      </c>
      <c r="Q291" s="4">
        <v>13</v>
      </c>
      <c r="R291" s="4">
        <v>2</v>
      </c>
      <c r="S291" s="4">
        <v>2</v>
      </c>
      <c r="T291" s="4">
        <v>1</v>
      </c>
      <c r="U291" s="4">
        <v>2</v>
      </c>
      <c r="V291" s="4">
        <v>6</v>
      </c>
      <c r="W291" s="4">
        <v>3</v>
      </c>
      <c r="X291" s="4">
        <v>3</v>
      </c>
      <c r="Y291" s="4">
        <v>1</v>
      </c>
      <c r="Z291" s="4">
        <v>7</v>
      </c>
      <c r="AA291" s="3">
        <f t="shared" si="9"/>
        <v>41</v>
      </c>
      <c r="AB291" t="s">
        <v>63</v>
      </c>
      <c r="AC291">
        <v>15.02</v>
      </c>
      <c r="AD291">
        <v>155.49</v>
      </c>
      <c r="AE291">
        <v>65.45</v>
      </c>
      <c r="AF291">
        <v>275.08</v>
      </c>
      <c r="AG291">
        <v>20.440000000000001</v>
      </c>
      <c r="AH291">
        <v>37.83</v>
      </c>
      <c r="AI291">
        <v>41.06</v>
      </c>
      <c r="AJ291">
        <v>34.5</v>
      </c>
      <c r="AK291">
        <v>13.59</v>
      </c>
      <c r="AL291">
        <v>50.53</v>
      </c>
      <c r="AM291">
        <v>77.89</v>
      </c>
      <c r="AN291">
        <v>9.67</v>
      </c>
      <c r="AO291" s="1">
        <v>796.55000000000007</v>
      </c>
    </row>
    <row r="292" spans="1:41" x14ac:dyDescent="0.25">
      <c r="A292" t="s">
        <v>827</v>
      </c>
      <c r="B292" s="4">
        <v>729</v>
      </c>
      <c r="C292" s="4">
        <v>5169</v>
      </c>
      <c r="D292" s="4">
        <v>1225</v>
      </c>
      <c r="E292" s="4">
        <v>4144</v>
      </c>
      <c r="F292" s="4">
        <v>7605</v>
      </c>
      <c r="G292" s="4">
        <v>1039</v>
      </c>
      <c r="H292" s="4">
        <v>687</v>
      </c>
      <c r="I292" s="4">
        <v>0</v>
      </c>
      <c r="J292" s="4">
        <v>0</v>
      </c>
      <c r="K292" s="4">
        <v>208</v>
      </c>
      <c r="L292" s="4">
        <v>4907</v>
      </c>
      <c r="M292" s="4">
        <v>1815</v>
      </c>
      <c r="N292" s="3">
        <f t="shared" si="8"/>
        <v>27528</v>
      </c>
      <c r="O292" s="4">
        <v>0</v>
      </c>
      <c r="P292" s="4">
        <v>5</v>
      </c>
      <c r="Q292" s="4">
        <v>4</v>
      </c>
      <c r="R292" s="4">
        <v>10</v>
      </c>
      <c r="S292" s="4">
        <v>2</v>
      </c>
      <c r="T292" s="4">
        <v>7</v>
      </c>
      <c r="U292" s="4">
        <v>5</v>
      </c>
      <c r="V292" s="4">
        <v>0</v>
      </c>
      <c r="W292" s="4">
        <v>16</v>
      </c>
      <c r="X292" s="4">
        <v>2</v>
      </c>
      <c r="Y292" s="4">
        <v>1</v>
      </c>
      <c r="Z292" s="4">
        <v>3</v>
      </c>
      <c r="AA292" s="3">
        <f t="shared" si="9"/>
        <v>55</v>
      </c>
      <c r="AB292" t="s">
        <v>63</v>
      </c>
      <c r="AC292">
        <v>14.58</v>
      </c>
      <c r="AD292">
        <v>103.83</v>
      </c>
      <c r="AE292">
        <v>24.86</v>
      </c>
      <c r="AF292">
        <v>83.78</v>
      </c>
      <c r="AG292">
        <v>152.28</v>
      </c>
      <c r="AH292">
        <v>21.41</v>
      </c>
      <c r="AI292">
        <v>14.19</v>
      </c>
      <c r="AJ292">
        <v>0</v>
      </c>
      <c r="AK292">
        <v>1.44</v>
      </c>
      <c r="AL292">
        <v>4.34</v>
      </c>
      <c r="AM292">
        <v>98.23</v>
      </c>
      <c r="AN292">
        <v>36.57</v>
      </c>
      <c r="AO292" s="1">
        <v>555.51</v>
      </c>
    </row>
    <row r="293" spans="1:41" x14ac:dyDescent="0.25">
      <c r="A293" t="s">
        <v>828</v>
      </c>
      <c r="B293" s="4">
        <v>727</v>
      </c>
      <c r="C293" s="4">
        <v>6308</v>
      </c>
      <c r="D293" s="4">
        <v>912</v>
      </c>
      <c r="E293" s="4">
        <v>0</v>
      </c>
      <c r="F293" s="4">
        <v>2736</v>
      </c>
      <c r="G293" s="4">
        <v>2526</v>
      </c>
      <c r="H293" s="4">
        <v>0</v>
      </c>
      <c r="I293" s="4">
        <v>638</v>
      </c>
      <c r="J293" s="4">
        <v>5575</v>
      </c>
      <c r="K293" s="4">
        <v>2746</v>
      </c>
      <c r="L293" s="4">
        <v>2575</v>
      </c>
      <c r="M293" s="4">
        <v>1486</v>
      </c>
      <c r="N293" s="3">
        <f t="shared" si="8"/>
        <v>26229</v>
      </c>
      <c r="O293" s="4">
        <v>5</v>
      </c>
      <c r="P293" s="4">
        <v>0</v>
      </c>
      <c r="Q293" s="4">
        <v>0</v>
      </c>
      <c r="R293" s="4">
        <v>14</v>
      </c>
      <c r="S293" s="4">
        <v>0</v>
      </c>
      <c r="T293" s="4">
        <v>6</v>
      </c>
      <c r="U293" s="4">
        <v>5</v>
      </c>
      <c r="V293" s="4">
        <v>3</v>
      </c>
      <c r="W293" s="4">
        <v>0</v>
      </c>
      <c r="X293" s="4">
        <v>3</v>
      </c>
      <c r="Y293" s="4">
        <v>5</v>
      </c>
      <c r="Z293" s="4">
        <v>5</v>
      </c>
      <c r="AA293" s="3">
        <f t="shared" si="9"/>
        <v>46</v>
      </c>
      <c r="AB293" t="s">
        <v>63</v>
      </c>
      <c r="AC293">
        <v>14.99</v>
      </c>
      <c r="AD293">
        <v>126.16</v>
      </c>
      <c r="AE293">
        <v>18.239999999999998</v>
      </c>
      <c r="AF293">
        <v>1.26</v>
      </c>
      <c r="AG293">
        <v>54.72</v>
      </c>
      <c r="AH293">
        <v>51.06</v>
      </c>
      <c r="AI293">
        <v>0.45</v>
      </c>
      <c r="AJ293">
        <v>13.03</v>
      </c>
      <c r="AK293">
        <v>111.5</v>
      </c>
      <c r="AL293">
        <v>55.19</v>
      </c>
      <c r="AM293">
        <v>51.95</v>
      </c>
      <c r="AN293">
        <v>30.17</v>
      </c>
      <c r="AO293" s="1">
        <v>528.71999999999991</v>
      </c>
    </row>
    <row r="294" spans="1:41" x14ac:dyDescent="0.25">
      <c r="A294" t="s">
        <v>830</v>
      </c>
      <c r="B294" s="4">
        <v>719</v>
      </c>
      <c r="C294" s="4">
        <v>1340</v>
      </c>
      <c r="D294" s="4">
        <v>301</v>
      </c>
      <c r="E294" s="4">
        <v>676</v>
      </c>
      <c r="F294" s="4">
        <v>1701</v>
      </c>
      <c r="G294" s="4">
        <v>2199</v>
      </c>
      <c r="H294" s="4">
        <v>2774</v>
      </c>
      <c r="I294" s="4">
        <v>5255</v>
      </c>
      <c r="J294" s="4">
        <v>618</v>
      </c>
      <c r="K294" s="4">
        <v>5883</v>
      </c>
      <c r="L294" s="4">
        <v>0</v>
      </c>
      <c r="M294" s="4">
        <v>1851</v>
      </c>
      <c r="N294" s="3">
        <f t="shared" si="8"/>
        <v>23317</v>
      </c>
      <c r="O294" s="4">
        <v>0</v>
      </c>
      <c r="P294" s="4">
        <v>3</v>
      </c>
      <c r="Q294" s="4">
        <v>3</v>
      </c>
      <c r="R294" s="4">
        <v>3</v>
      </c>
      <c r="S294" s="4">
        <v>4</v>
      </c>
      <c r="T294" s="4">
        <v>0</v>
      </c>
      <c r="U294" s="4">
        <v>4</v>
      </c>
      <c r="V294" s="4">
        <v>10</v>
      </c>
      <c r="W294" s="4">
        <v>1</v>
      </c>
      <c r="X294" s="4">
        <v>3</v>
      </c>
      <c r="Y294" s="4">
        <v>5</v>
      </c>
      <c r="Z294" s="4">
        <v>3</v>
      </c>
      <c r="AA294" s="3">
        <f t="shared" si="9"/>
        <v>39</v>
      </c>
      <c r="AB294" t="s">
        <v>63</v>
      </c>
      <c r="AC294">
        <v>14.38</v>
      </c>
      <c r="AD294">
        <v>27.07</v>
      </c>
      <c r="AE294">
        <v>6.29</v>
      </c>
      <c r="AF294">
        <v>13.79</v>
      </c>
      <c r="AG294">
        <v>34.380000000000003</v>
      </c>
      <c r="AH294">
        <v>43.98</v>
      </c>
      <c r="AI294">
        <v>55.84</v>
      </c>
      <c r="AJ294">
        <v>106</v>
      </c>
      <c r="AK294">
        <v>12.45</v>
      </c>
      <c r="AL294">
        <v>117.93</v>
      </c>
      <c r="AM294">
        <v>0.45</v>
      </c>
      <c r="AN294">
        <v>37.29</v>
      </c>
      <c r="AO294" s="1">
        <v>469.85</v>
      </c>
    </row>
    <row r="295" spans="1:41" x14ac:dyDescent="0.25">
      <c r="A295" t="s">
        <v>832</v>
      </c>
      <c r="B295" s="4">
        <v>714</v>
      </c>
      <c r="C295" s="4">
        <v>568</v>
      </c>
      <c r="D295" s="4">
        <v>1727</v>
      </c>
      <c r="E295" s="4">
        <v>1352</v>
      </c>
      <c r="F295" s="4">
        <v>1582</v>
      </c>
      <c r="G295" s="4">
        <v>6780</v>
      </c>
      <c r="H295" s="4">
        <v>10532</v>
      </c>
      <c r="I295" s="4">
        <v>7496</v>
      </c>
      <c r="J295" s="4">
        <v>2441</v>
      </c>
      <c r="K295" s="4">
        <v>7450</v>
      </c>
      <c r="L295" s="4">
        <v>9769</v>
      </c>
      <c r="M295" s="4">
        <v>2324</v>
      </c>
      <c r="N295" s="3">
        <f t="shared" si="8"/>
        <v>52735</v>
      </c>
      <c r="O295" s="4">
        <v>0</v>
      </c>
      <c r="P295" s="4">
        <v>9</v>
      </c>
      <c r="Q295" s="4">
        <v>3</v>
      </c>
      <c r="R295" s="4">
        <v>0</v>
      </c>
      <c r="S295" s="4">
        <v>10</v>
      </c>
      <c r="T295" s="4">
        <v>11</v>
      </c>
      <c r="U295" s="4">
        <v>7</v>
      </c>
      <c r="V295" s="4">
        <v>7</v>
      </c>
      <c r="W295" s="4">
        <v>3</v>
      </c>
      <c r="X295" s="4">
        <v>2</v>
      </c>
      <c r="Y295" s="4">
        <v>0</v>
      </c>
      <c r="Z295" s="4">
        <v>3</v>
      </c>
      <c r="AA295" s="3">
        <f t="shared" si="9"/>
        <v>55</v>
      </c>
      <c r="AB295" t="s">
        <v>63</v>
      </c>
      <c r="AC295">
        <v>14.28</v>
      </c>
      <c r="AD295">
        <v>12.17</v>
      </c>
      <c r="AE295">
        <v>34.81</v>
      </c>
      <c r="AF295">
        <v>27.04</v>
      </c>
      <c r="AG295">
        <v>32.54</v>
      </c>
      <c r="AH295">
        <v>136.59</v>
      </c>
      <c r="AI295">
        <v>211.27</v>
      </c>
      <c r="AJ295">
        <v>150.55000000000001</v>
      </c>
      <c r="AK295">
        <v>49.09</v>
      </c>
      <c r="AL295">
        <v>149.18</v>
      </c>
      <c r="AM295">
        <v>195.38</v>
      </c>
      <c r="AN295">
        <v>46.75</v>
      </c>
      <c r="AO295" s="1">
        <v>1059.6500000000001</v>
      </c>
    </row>
    <row r="296" spans="1:41" x14ac:dyDescent="0.25">
      <c r="A296" t="s">
        <v>837</v>
      </c>
      <c r="B296" s="4">
        <v>695</v>
      </c>
      <c r="C296" s="4">
        <v>3270</v>
      </c>
      <c r="D296" s="4">
        <v>404</v>
      </c>
      <c r="E296" s="4">
        <v>2869</v>
      </c>
      <c r="F296" s="4">
        <v>895</v>
      </c>
      <c r="G296" s="4">
        <v>4735</v>
      </c>
      <c r="H296" s="4">
        <v>703</v>
      </c>
      <c r="I296" s="4">
        <v>3995</v>
      </c>
      <c r="J296" s="4">
        <v>3349</v>
      </c>
      <c r="K296" s="4">
        <v>11892</v>
      </c>
      <c r="L296" s="4">
        <v>8790</v>
      </c>
      <c r="M296" s="4">
        <v>556</v>
      </c>
      <c r="N296" s="3">
        <f t="shared" si="8"/>
        <v>42153</v>
      </c>
      <c r="O296" s="4">
        <v>9</v>
      </c>
      <c r="P296" s="4">
        <v>10</v>
      </c>
      <c r="Q296" s="4">
        <v>2</v>
      </c>
      <c r="R296" s="4">
        <v>10</v>
      </c>
      <c r="S296" s="4">
        <v>2</v>
      </c>
      <c r="T296" s="4">
        <v>2</v>
      </c>
      <c r="U296" s="4">
        <v>4</v>
      </c>
      <c r="V296" s="4">
        <v>10</v>
      </c>
      <c r="W296" s="4">
        <v>1</v>
      </c>
      <c r="X296" s="4">
        <v>3</v>
      </c>
      <c r="Y296" s="4">
        <v>7</v>
      </c>
      <c r="Z296" s="4">
        <v>5</v>
      </c>
      <c r="AA296" s="3">
        <f t="shared" si="9"/>
        <v>65</v>
      </c>
      <c r="AB296" t="s">
        <v>63</v>
      </c>
      <c r="AC296">
        <v>14.71</v>
      </c>
      <c r="AD296">
        <v>66.3</v>
      </c>
      <c r="AE296">
        <v>8.26</v>
      </c>
      <c r="AF296">
        <v>58.28</v>
      </c>
      <c r="AG296">
        <v>18.079999999999998</v>
      </c>
      <c r="AH296">
        <v>94.88</v>
      </c>
      <c r="AI296">
        <v>14.42</v>
      </c>
      <c r="AJ296">
        <v>80.8</v>
      </c>
      <c r="AK296">
        <v>67.069999999999993</v>
      </c>
      <c r="AL296">
        <v>238.11</v>
      </c>
      <c r="AM296">
        <v>176.43</v>
      </c>
      <c r="AN296">
        <v>11.57</v>
      </c>
      <c r="AO296" s="1">
        <v>848.9100000000002</v>
      </c>
    </row>
    <row r="297" spans="1:41" x14ac:dyDescent="0.25">
      <c r="A297" t="s">
        <v>838</v>
      </c>
      <c r="B297" s="4">
        <v>691</v>
      </c>
      <c r="C297" s="4">
        <v>1161</v>
      </c>
      <c r="D297" s="4">
        <v>3276</v>
      </c>
      <c r="E297" s="4">
        <v>0</v>
      </c>
      <c r="F297" s="4">
        <v>6130</v>
      </c>
      <c r="G297" s="4">
        <v>0</v>
      </c>
      <c r="H297" s="4">
        <v>1854</v>
      </c>
      <c r="I297" s="4">
        <v>5090</v>
      </c>
      <c r="J297" s="4">
        <v>2294</v>
      </c>
      <c r="K297" s="4">
        <v>1593</v>
      </c>
      <c r="L297" s="4">
        <v>2623</v>
      </c>
      <c r="M297" s="4">
        <v>6250</v>
      </c>
      <c r="N297" s="3">
        <f t="shared" si="8"/>
        <v>30962</v>
      </c>
      <c r="O297" s="4">
        <v>4</v>
      </c>
      <c r="P297" s="4">
        <v>10</v>
      </c>
      <c r="Q297" s="4">
        <v>4</v>
      </c>
      <c r="R297" s="4">
        <v>6</v>
      </c>
      <c r="S297" s="4">
        <v>3</v>
      </c>
      <c r="T297" s="4">
        <v>0</v>
      </c>
      <c r="U297" s="4">
        <v>3</v>
      </c>
      <c r="V297" s="4">
        <v>2</v>
      </c>
      <c r="W297" s="4">
        <v>2</v>
      </c>
      <c r="X297" s="4">
        <v>2</v>
      </c>
      <c r="Y297" s="4">
        <v>3</v>
      </c>
      <c r="Z297" s="4">
        <v>3</v>
      </c>
      <c r="AA297" s="3">
        <f t="shared" si="9"/>
        <v>42</v>
      </c>
      <c r="AB297" t="s">
        <v>63</v>
      </c>
      <c r="AC297">
        <v>14.18</v>
      </c>
      <c r="AD297">
        <v>24.12</v>
      </c>
      <c r="AE297">
        <v>65.88</v>
      </c>
      <c r="AF297">
        <v>0.54</v>
      </c>
      <c r="AG297">
        <v>122.87</v>
      </c>
      <c r="AH297">
        <v>0</v>
      </c>
      <c r="AI297">
        <v>37.35</v>
      </c>
      <c r="AJ297">
        <v>101.98</v>
      </c>
      <c r="AK297">
        <v>46.06</v>
      </c>
      <c r="AL297">
        <v>32.04</v>
      </c>
      <c r="AM297">
        <v>52.73</v>
      </c>
      <c r="AN297">
        <v>125.27</v>
      </c>
      <c r="AO297" s="1">
        <v>623.0200000000001</v>
      </c>
    </row>
    <row r="298" spans="1:41" x14ac:dyDescent="0.25">
      <c r="A298" t="s">
        <v>840</v>
      </c>
      <c r="B298" s="4">
        <v>681</v>
      </c>
      <c r="C298" s="4">
        <v>2274</v>
      </c>
      <c r="D298" s="4">
        <v>88</v>
      </c>
      <c r="E298" s="4">
        <v>756</v>
      </c>
      <c r="F298" s="4">
        <v>3585</v>
      </c>
      <c r="G298" s="4">
        <v>6719</v>
      </c>
      <c r="H298" s="4">
        <v>1672</v>
      </c>
      <c r="I298" s="4">
        <v>1322</v>
      </c>
      <c r="J298" s="4">
        <v>6060</v>
      </c>
      <c r="K298" s="4">
        <v>8717</v>
      </c>
      <c r="L298" s="4">
        <v>1797</v>
      </c>
      <c r="M298" s="4">
        <v>125</v>
      </c>
      <c r="N298" s="3">
        <f t="shared" si="8"/>
        <v>33796</v>
      </c>
      <c r="O298" s="4">
        <v>0</v>
      </c>
      <c r="P298" s="4">
        <v>3</v>
      </c>
      <c r="Q298" s="4">
        <v>3</v>
      </c>
      <c r="R298" s="4">
        <v>5</v>
      </c>
      <c r="S298" s="4">
        <v>1</v>
      </c>
      <c r="T298" s="4">
        <v>12</v>
      </c>
      <c r="U298" s="4">
        <v>6</v>
      </c>
      <c r="V298" s="4">
        <v>3</v>
      </c>
      <c r="W298" s="4">
        <v>8</v>
      </c>
      <c r="X298" s="4">
        <v>1</v>
      </c>
      <c r="Y298" s="4">
        <v>2</v>
      </c>
      <c r="Z298" s="4">
        <v>3</v>
      </c>
      <c r="AA298" s="3">
        <f t="shared" si="9"/>
        <v>47</v>
      </c>
      <c r="AB298" t="s">
        <v>63</v>
      </c>
      <c r="AC298">
        <v>13.62</v>
      </c>
      <c r="AD298">
        <v>45.75</v>
      </c>
      <c r="AE298">
        <v>2.0299999999999998</v>
      </c>
      <c r="AF298">
        <v>15.57</v>
      </c>
      <c r="AG298">
        <v>71.790000000000006</v>
      </c>
      <c r="AH298">
        <v>135.46</v>
      </c>
      <c r="AI298">
        <v>33.979999999999997</v>
      </c>
      <c r="AJ298">
        <v>26.71</v>
      </c>
      <c r="AK298">
        <v>121.92</v>
      </c>
      <c r="AL298">
        <v>174.43</v>
      </c>
      <c r="AM298">
        <v>36.119999999999997</v>
      </c>
      <c r="AN298">
        <v>2.77</v>
      </c>
      <c r="AO298" s="1">
        <v>680.15</v>
      </c>
    </row>
    <row r="299" spans="1:41" x14ac:dyDescent="0.25">
      <c r="A299" t="s">
        <v>846</v>
      </c>
      <c r="B299" s="4">
        <v>647</v>
      </c>
      <c r="C299" s="4">
        <v>762</v>
      </c>
      <c r="D299" s="4">
        <v>907</v>
      </c>
      <c r="E299" s="4">
        <v>110</v>
      </c>
      <c r="F299" s="4">
        <v>4288</v>
      </c>
      <c r="G299" s="4">
        <v>1219</v>
      </c>
      <c r="H299" s="4">
        <v>296</v>
      </c>
      <c r="I299" s="4">
        <v>4987</v>
      </c>
      <c r="J299" s="4">
        <v>6470</v>
      </c>
      <c r="K299" s="4">
        <v>0</v>
      </c>
      <c r="L299" s="4">
        <v>1134</v>
      </c>
      <c r="M299" s="4">
        <v>9675</v>
      </c>
      <c r="N299" s="3">
        <f t="shared" si="8"/>
        <v>30495</v>
      </c>
      <c r="O299" s="4">
        <v>4</v>
      </c>
      <c r="P299" s="4">
        <v>7</v>
      </c>
      <c r="Q299" s="4">
        <v>2</v>
      </c>
      <c r="R299" s="4">
        <v>4</v>
      </c>
      <c r="S299" s="4">
        <v>2</v>
      </c>
      <c r="T299" s="4">
        <v>2</v>
      </c>
      <c r="U299" s="4">
        <v>6</v>
      </c>
      <c r="V299" s="4">
        <v>1</v>
      </c>
      <c r="W299" s="4">
        <v>1</v>
      </c>
      <c r="X299" s="4">
        <v>11</v>
      </c>
      <c r="Y299" s="4">
        <v>0</v>
      </c>
      <c r="Z299" s="4">
        <v>4</v>
      </c>
      <c r="AA299" s="3">
        <f t="shared" si="9"/>
        <v>44</v>
      </c>
      <c r="AB299" t="s">
        <v>63</v>
      </c>
      <c r="AC299">
        <v>13.3</v>
      </c>
      <c r="AD299">
        <v>15.87</v>
      </c>
      <c r="AE299">
        <v>18.32</v>
      </c>
      <c r="AF299">
        <v>2.56</v>
      </c>
      <c r="AG299">
        <v>85.94</v>
      </c>
      <c r="AH299">
        <v>24.56</v>
      </c>
      <c r="AI299">
        <v>6.46</v>
      </c>
      <c r="AJ299">
        <v>99.83</v>
      </c>
      <c r="AK299">
        <v>129.49</v>
      </c>
      <c r="AL299">
        <v>0.99</v>
      </c>
      <c r="AM299">
        <v>22.68</v>
      </c>
      <c r="AN299">
        <v>193.86</v>
      </c>
      <c r="AO299" s="1">
        <v>613.86000000000013</v>
      </c>
    </row>
    <row r="300" spans="1:41" x14ac:dyDescent="0.25">
      <c r="A300" t="s">
        <v>847</v>
      </c>
      <c r="B300" s="4">
        <v>644</v>
      </c>
      <c r="C300" s="4">
        <v>182</v>
      </c>
      <c r="D300" s="4">
        <v>8267</v>
      </c>
      <c r="E300" s="4">
        <v>3887</v>
      </c>
      <c r="F300" s="4">
        <v>2424</v>
      </c>
      <c r="G300" s="4">
        <v>0</v>
      </c>
      <c r="H300" s="4">
        <v>2426</v>
      </c>
      <c r="I300" s="4">
        <v>1773</v>
      </c>
      <c r="J300" s="4">
        <v>551</v>
      </c>
      <c r="K300" s="4">
        <v>5878</v>
      </c>
      <c r="L300" s="4">
        <v>0</v>
      </c>
      <c r="M300" s="4">
        <v>4014</v>
      </c>
      <c r="N300" s="3">
        <f t="shared" si="8"/>
        <v>30046</v>
      </c>
      <c r="O300" s="4">
        <v>4</v>
      </c>
      <c r="P300" s="4">
        <v>10</v>
      </c>
      <c r="Q300" s="4">
        <v>9</v>
      </c>
      <c r="R300" s="4">
        <v>4</v>
      </c>
      <c r="S300" s="4">
        <v>2</v>
      </c>
      <c r="T300" s="4">
        <v>5</v>
      </c>
      <c r="U300" s="4">
        <v>6</v>
      </c>
      <c r="V300" s="4">
        <v>0</v>
      </c>
      <c r="W300" s="4">
        <v>20</v>
      </c>
      <c r="X300" s="4">
        <v>2</v>
      </c>
      <c r="Y300" s="4">
        <v>2</v>
      </c>
      <c r="Z300" s="4">
        <v>10</v>
      </c>
      <c r="AA300" s="3">
        <f t="shared" si="9"/>
        <v>74</v>
      </c>
      <c r="AB300" t="s">
        <v>63</v>
      </c>
      <c r="AC300">
        <v>13.24</v>
      </c>
      <c r="AD300">
        <v>4.54</v>
      </c>
      <c r="AE300">
        <v>166.15</v>
      </c>
      <c r="AF300">
        <v>78.099999999999994</v>
      </c>
      <c r="AG300">
        <v>48.66</v>
      </c>
      <c r="AH300">
        <v>0.45</v>
      </c>
      <c r="AI300">
        <v>49.06</v>
      </c>
      <c r="AJ300">
        <v>35.46</v>
      </c>
      <c r="AK300">
        <v>12.82</v>
      </c>
      <c r="AL300">
        <v>117.74</v>
      </c>
      <c r="AM300">
        <v>0.18</v>
      </c>
      <c r="AN300">
        <v>81.180000000000007</v>
      </c>
      <c r="AO300" s="1">
        <v>607.57999999999993</v>
      </c>
    </row>
    <row r="301" spans="1:41" x14ac:dyDescent="0.25">
      <c r="A301" t="s">
        <v>850</v>
      </c>
      <c r="B301" s="4">
        <v>617</v>
      </c>
      <c r="C301" s="4">
        <v>3287</v>
      </c>
      <c r="D301" s="4">
        <v>556</v>
      </c>
      <c r="E301" s="4">
        <v>2287</v>
      </c>
      <c r="F301" s="4">
        <v>716</v>
      </c>
      <c r="G301" s="4">
        <v>7470</v>
      </c>
      <c r="H301" s="4">
        <v>1162</v>
      </c>
      <c r="I301" s="4">
        <v>7226</v>
      </c>
      <c r="J301" s="4">
        <v>774</v>
      </c>
      <c r="K301" s="4">
        <v>597</v>
      </c>
      <c r="L301" s="4">
        <v>268</v>
      </c>
      <c r="M301" s="4">
        <v>861</v>
      </c>
      <c r="N301" s="3">
        <f t="shared" si="8"/>
        <v>25821</v>
      </c>
      <c r="O301" s="4">
        <v>0</v>
      </c>
      <c r="P301" s="4">
        <v>4</v>
      </c>
      <c r="Q301" s="4">
        <v>12</v>
      </c>
      <c r="R301" s="4">
        <v>4</v>
      </c>
      <c r="S301" s="4">
        <v>3</v>
      </c>
      <c r="T301" s="4">
        <v>6</v>
      </c>
      <c r="U301" s="4">
        <v>1</v>
      </c>
      <c r="V301" s="4">
        <v>2</v>
      </c>
      <c r="W301" s="4">
        <v>24</v>
      </c>
      <c r="X301" s="4">
        <v>6</v>
      </c>
      <c r="Y301" s="4">
        <v>4</v>
      </c>
      <c r="Z301" s="4">
        <v>3</v>
      </c>
      <c r="AA301" s="3">
        <f t="shared" si="9"/>
        <v>69</v>
      </c>
      <c r="AB301" t="s">
        <v>63</v>
      </c>
      <c r="AC301">
        <v>12.34</v>
      </c>
      <c r="AD301">
        <v>66.099999999999994</v>
      </c>
      <c r="AE301">
        <v>12.2</v>
      </c>
      <c r="AF301">
        <v>46.1</v>
      </c>
      <c r="AG301">
        <v>14.59</v>
      </c>
      <c r="AH301">
        <v>149.94</v>
      </c>
      <c r="AI301">
        <v>23.33</v>
      </c>
      <c r="AJ301">
        <v>144.69999999999999</v>
      </c>
      <c r="AK301">
        <v>17.64</v>
      </c>
      <c r="AL301">
        <v>12.48</v>
      </c>
      <c r="AM301">
        <v>5.72</v>
      </c>
      <c r="AN301">
        <v>17.489999999999998</v>
      </c>
      <c r="AO301" s="1">
        <v>522.63</v>
      </c>
    </row>
    <row r="302" spans="1:41" x14ac:dyDescent="0.25">
      <c r="A302" t="s">
        <v>853</v>
      </c>
      <c r="B302" s="4">
        <v>603</v>
      </c>
      <c r="C302" s="4">
        <v>0</v>
      </c>
      <c r="D302" s="4">
        <v>2425</v>
      </c>
      <c r="E302" s="4">
        <v>0</v>
      </c>
      <c r="F302" s="4">
        <v>6475</v>
      </c>
      <c r="G302" s="4">
        <v>2303</v>
      </c>
      <c r="H302" s="4">
        <v>1707</v>
      </c>
      <c r="I302" s="4">
        <v>543</v>
      </c>
      <c r="J302" s="4">
        <v>3968</v>
      </c>
      <c r="K302" s="4">
        <v>901</v>
      </c>
      <c r="L302" s="4">
        <v>5774</v>
      </c>
      <c r="M302" s="4">
        <v>6328</v>
      </c>
      <c r="N302" s="3">
        <f t="shared" si="8"/>
        <v>31027</v>
      </c>
      <c r="O302" s="4">
        <v>2</v>
      </c>
      <c r="P302" s="4">
        <v>5</v>
      </c>
      <c r="Q302" s="4">
        <v>3</v>
      </c>
      <c r="R302" s="4">
        <v>4</v>
      </c>
      <c r="S302" s="4">
        <v>0</v>
      </c>
      <c r="T302" s="4">
        <v>3</v>
      </c>
      <c r="U302" s="4">
        <v>0</v>
      </c>
      <c r="V302" s="4">
        <v>6</v>
      </c>
      <c r="W302" s="4">
        <v>0</v>
      </c>
      <c r="X302" s="4">
        <v>3</v>
      </c>
      <c r="Y302" s="4">
        <v>0</v>
      </c>
      <c r="Z302" s="4">
        <v>10</v>
      </c>
      <c r="AA302" s="3">
        <f t="shared" si="9"/>
        <v>36</v>
      </c>
      <c r="AB302" t="s">
        <v>63</v>
      </c>
      <c r="AC302">
        <v>12.24</v>
      </c>
      <c r="AD302">
        <v>0.45</v>
      </c>
      <c r="AE302">
        <v>48.77</v>
      </c>
      <c r="AF302">
        <v>0.36</v>
      </c>
      <c r="AG302">
        <v>129.5</v>
      </c>
      <c r="AH302">
        <v>46.33</v>
      </c>
      <c r="AI302">
        <v>34.14</v>
      </c>
      <c r="AJ302">
        <v>11.4</v>
      </c>
      <c r="AK302">
        <v>79.36</v>
      </c>
      <c r="AL302">
        <v>18.29</v>
      </c>
      <c r="AM302">
        <v>115.48</v>
      </c>
      <c r="AN302">
        <v>127.46</v>
      </c>
      <c r="AO302" s="1">
        <v>623.78</v>
      </c>
    </row>
    <row r="303" spans="1:41" x14ac:dyDescent="0.25">
      <c r="A303" t="s">
        <v>854</v>
      </c>
      <c r="B303" s="4">
        <v>598</v>
      </c>
      <c r="C303" s="4">
        <v>5801</v>
      </c>
      <c r="D303" s="4">
        <v>1080</v>
      </c>
      <c r="E303" s="4">
        <v>1283</v>
      </c>
      <c r="F303" s="4">
        <v>647</v>
      </c>
      <c r="G303" s="4">
        <v>1277</v>
      </c>
      <c r="H303" s="4">
        <v>1500</v>
      </c>
      <c r="I303" s="4">
        <v>1512</v>
      </c>
      <c r="J303" s="4">
        <v>5099</v>
      </c>
      <c r="K303" s="4">
        <v>11500</v>
      </c>
      <c r="L303" s="4">
        <v>5461</v>
      </c>
      <c r="M303" s="4">
        <v>0</v>
      </c>
      <c r="N303" s="3">
        <f t="shared" si="8"/>
        <v>35758</v>
      </c>
      <c r="O303" s="4">
        <v>3</v>
      </c>
      <c r="P303" s="4">
        <v>3</v>
      </c>
      <c r="Q303" s="4">
        <v>1</v>
      </c>
      <c r="R303" s="4">
        <v>2</v>
      </c>
      <c r="S303" s="4">
        <v>2</v>
      </c>
      <c r="T303" s="4">
        <v>4</v>
      </c>
      <c r="U303" s="4">
        <v>12</v>
      </c>
      <c r="V303" s="4">
        <v>3</v>
      </c>
      <c r="W303" s="4">
        <v>5</v>
      </c>
      <c r="X303" s="4">
        <v>3</v>
      </c>
      <c r="Y303" s="4">
        <v>6</v>
      </c>
      <c r="Z303" s="4">
        <v>1</v>
      </c>
      <c r="AA303" s="3">
        <f t="shared" si="9"/>
        <v>45</v>
      </c>
      <c r="AB303" t="s">
        <v>63</v>
      </c>
      <c r="AC303">
        <v>12.23</v>
      </c>
      <c r="AD303">
        <v>116.29</v>
      </c>
      <c r="AE303">
        <v>21.69</v>
      </c>
      <c r="AF303">
        <v>25.84</v>
      </c>
      <c r="AG303">
        <v>13.12</v>
      </c>
      <c r="AH303">
        <v>25.9</v>
      </c>
      <c r="AI303">
        <v>31.08</v>
      </c>
      <c r="AJ303">
        <v>30.51</v>
      </c>
      <c r="AK303">
        <v>102.43</v>
      </c>
      <c r="AL303">
        <v>230.27</v>
      </c>
      <c r="AM303">
        <v>109.76</v>
      </c>
      <c r="AN303">
        <v>0.09</v>
      </c>
      <c r="AO303" s="1">
        <v>719.21</v>
      </c>
    </row>
    <row r="304" spans="1:41" x14ac:dyDescent="0.25">
      <c r="A304" t="s">
        <v>857</v>
      </c>
      <c r="B304" s="4">
        <v>576</v>
      </c>
      <c r="C304" s="4">
        <v>663</v>
      </c>
      <c r="D304" s="4">
        <v>445</v>
      </c>
      <c r="E304" s="4">
        <v>3005</v>
      </c>
      <c r="F304" s="4">
        <v>3856</v>
      </c>
      <c r="G304" s="4">
        <v>2867</v>
      </c>
      <c r="H304" s="4">
        <v>44</v>
      </c>
      <c r="I304" s="4">
        <v>2066</v>
      </c>
      <c r="J304" s="4">
        <v>404</v>
      </c>
      <c r="K304" s="4">
        <v>5123</v>
      </c>
      <c r="L304" s="4">
        <v>1231</v>
      </c>
      <c r="M304" s="4">
        <v>3317</v>
      </c>
      <c r="N304" s="3">
        <f t="shared" si="8"/>
        <v>23597</v>
      </c>
      <c r="O304" s="4">
        <v>9</v>
      </c>
      <c r="P304" s="4">
        <v>2</v>
      </c>
      <c r="Q304" s="4">
        <v>2</v>
      </c>
      <c r="R304" s="4">
        <v>2</v>
      </c>
      <c r="S304" s="4">
        <v>2</v>
      </c>
      <c r="T304" s="4">
        <v>3</v>
      </c>
      <c r="U304" s="4">
        <v>3</v>
      </c>
      <c r="V304" s="4">
        <v>1</v>
      </c>
      <c r="W304" s="4">
        <v>2</v>
      </c>
      <c r="X304" s="4">
        <v>0</v>
      </c>
      <c r="Y304" s="4">
        <v>2</v>
      </c>
      <c r="Z304" s="4">
        <v>1</v>
      </c>
      <c r="AA304" s="3">
        <f t="shared" si="9"/>
        <v>29</v>
      </c>
      <c r="AB304" t="s">
        <v>63</v>
      </c>
      <c r="AC304">
        <v>12.33</v>
      </c>
      <c r="AD304">
        <v>13.44</v>
      </c>
      <c r="AE304">
        <v>9.08</v>
      </c>
      <c r="AF304">
        <v>60.28</v>
      </c>
      <c r="AG304">
        <v>77.3</v>
      </c>
      <c r="AH304">
        <v>57.61</v>
      </c>
      <c r="AI304">
        <v>1.1499999999999999</v>
      </c>
      <c r="AJ304">
        <v>41.41</v>
      </c>
      <c r="AK304">
        <v>8.26</v>
      </c>
      <c r="AL304">
        <v>102.46</v>
      </c>
      <c r="AM304">
        <v>24.8</v>
      </c>
      <c r="AN304">
        <v>66.430000000000007</v>
      </c>
      <c r="AO304" s="1">
        <v>474.55</v>
      </c>
    </row>
    <row r="305" spans="1:41" x14ac:dyDescent="0.25">
      <c r="A305" t="s">
        <v>859</v>
      </c>
      <c r="B305" s="4">
        <v>567</v>
      </c>
      <c r="C305" s="4">
        <v>3592</v>
      </c>
      <c r="D305" s="4">
        <v>1346</v>
      </c>
      <c r="E305" s="4">
        <v>350</v>
      </c>
      <c r="F305" s="4">
        <v>1893</v>
      </c>
      <c r="G305" s="4">
        <v>1288</v>
      </c>
      <c r="H305" s="4">
        <v>5078</v>
      </c>
      <c r="I305" s="4">
        <v>1302</v>
      </c>
      <c r="J305" s="4">
        <v>787</v>
      </c>
      <c r="K305" s="4">
        <v>978</v>
      </c>
      <c r="L305" s="4">
        <v>1473</v>
      </c>
      <c r="M305" s="4">
        <v>3328</v>
      </c>
      <c r="N305" s="3">
        <f t="shared" si="8"/>
        <v>21982</v>
      </c>
      <c r="O305" s="4">
        <v>4</v>
      </c>
      <c r="P305" s="4">
        <v>8</v>
      </c>
      <c r="Q305" s="4">
        <v>2</v>
      </c>
      <c r="R305" s="4">
        <v>5</v>
      </c>
      <c r="S305" s="4">
        <v>2</v>
      </c>
      <c r="T305" s="4">
        <v>5</v>
      </c>
      <c r="U305" s="4">
        <v>1</v>
      </c>
      <c r="V305" s="4">
        <v>2</v>
      </c>
      <c r="W305" s="4">
        <v>1</v>
      </c>
      <c r="X305" s="4">
        <v>6</v>
      </c>
      <c r="Y305" s="4">
        <v>3</v>
      </c>
      <c r="Z305" s="4">
        <v>5</v>
      </c>
      <c r="AA305" s="3">
        <f t="shared" si="9"/>
        <v>44</v>
      </c>
      <c r="AB305" t="s">
        <v>63</v>
      </c>
      <c r="AC305">
        <v>11.7</v>
      </c>
      <c r="AD305">
        <v>72.56</v>
      </c>
      <c r="AE305">
        <v>27.1</v>
      </c>
      <c r="AF305">
        <v>7.45</v>
      </c>
      <c r="AG305">
        <v>38.04</v>
      </c>
      <c r="AH305">
        <v>26.21</v>
      </c>
      <c r="AI305">
        <v>101.65</v>
      </c>
      <c r="AJ305">
        <v>26.22</v>
      </c>
      <c r="AK305">
        <v>15.83</v>
      </c>
      <c r="AL305">
        <v>20.100000000000001</v>
      </c>
      <c r="AM305">
        <v>29.73</v>
      </c>
      <c r="AN305">
        <v>67.010000000000005</v>
      </c>
      <c r="AO305" s="1">
        <v>443.60000000000008</v>
      </c>
    </row>
    <row r="306" spans="1:41" x14ac:dyDescent="0.25">
      <c r="A306" t="s">
        <v>860</v>
      </c>
      <c r="B306" s="4">
        <v>561</v>
      </c>
      <c r="C306" s="4">
        <v>541</v>
      </c>
      <c r="D306" s="4">
        <v>527</v>
      </c>
      <c r="E306" s="4">
        <v>3484</v>
      </c>
      <c r="F306" s="4">
        <v>1106</v>
      </c>
      <c r="G306" s="4">
        <v>2016</v>
      </c>
      <c r="H306" s="4">
        <v>467</v>
      </c>
      <c r="I306" s="4">
        <v>1108</v>
      </c>
      <c r="J306" s="4">
        <v>2126</v>
      </c>
      <c r="K306" s="4">
        <v>244</v>
      </c>
      <c r="L306" s="4">
        <v>3395</v>
      </c>
      <c r="M306" s="4">
        <v>0</v>
      </c>
      <c r="N306" s="3">
        <f t="shared" si="8"/>
        <v>15575</v>
      </c>
      <c r="O306" s="4">
        <v>4</v>
      </c>
      <c r="P306" s="4">
        <v>9</v>
      </c>
      <c r="Q306" s="4">
        <v>0</v>
      </c>
      <c r="R306" s="4">
        <v>8</v>
      </c>
      <c r="S306" s="4">
        <v>4</v>
      </c>
      <c r="T306" s="4">
        <v>2</v>
      </c>
      <c r="U306" s="4">
        <v>3</v>
      </c>
      <c r="V306" s="4">
        <v>3</v>
      </c>
      <c r="W306" s="4">
        <v>3</v>
      </c>
      <c r="X306" s="4">
        <v>3</v>
      </c>
      <c r="Y306" s="4">
        <v>1</v>
      </c>
      <c r="Z306" s="4">
        <v>3</v>
      </c>
      <c r="AA306" s="3">
        <f t="shared" si="9"/>
        <v>43</v>
      </c>
      <c r="AB306" t="s">
        <v>63</v>
      </c>
      <c r="AC306">
        <v>11.58</v>
      </c>
      <c r="AD306">
        <v>11.63</v>
      </c>
      <c r="AE306">
        <v>10.54</v>
      </c>
      <c r="AF306">
        <v>70.400000000000006</v>
      </c>
      <c r="AG306">
        <v>22.48</v>
      </c>
      <c r="AH306">
        <v>40.5</v>
      </c>
      <c r="AI306">
        <v>9.61</v>
      </c>
      <c r="AJ306">
        <v>22.43</v>
      </c>
      <c r="AK306">
        <v>42.79</v>
      </c>
      <c r="AL306">
        <v>5.15</v>
      </c>
      <c r="AM306">
        <v>67.989999999999995</v>
      </c>
      <c r="AN306">
        <v>0.27</v>
      </c>
      <c r="AO306" s="1">
        <v>315.37</v>
      </c>
    </row>
    <row r="307" spans="1:41" x14ac:dyDescent="0.25">
      <c r="A307" t="s">
        <v>861</v>
      </c>
      <c r="B307" s="4">
        <v>560</v>
      </c>
      <c r="C307" s="4">
        <v>2990</v>
      </c>
      <c r="D307" s="4">
        <v>5090</v>
      </c>
      <c r="E307" s="4">
        <v>8767</v>
      </c>
      <c r="F307" s="4">
        <v>3061</v>
      </c>
      <c r="G307" s="4">
        <v>0</v>
      </c>
      <c r="H307" s="4">
        <v>1633</v>
      </c>
      <c r="I307" s="4">
        <v>3662</v>
      </c>
      <c r="J307" s="4">
        <v>2445</v>
      </c>
      <c r="K307" s="4">
        <v>0</v>
      </c>
      <c r="L307" s="4">
        <v>56</v>
      </c>
      <c r="M307" s="4">
        <v>3212</v>
      </c>
      <c r="N307" s="3">
        <f t="shared" si="8"/>
        <v>31476</v>
      </c>
      <c r="O307" s="4">
        <v>2</v>
      </c>
      <c r="P307" s="4">
        <v>3</v>
      </c>
      <c r="Q307" s="4">
        <v>3</v>
      </c>
      <c r="R307" s="4">
        <v>8</v>
      </c>
      <c r="S307" s="4">
        <v>12</v>
      </c>
      <c r="T307" s="4">
        <v>5</v>
      </c>
      <c r="U307" s="4">
        <v>8</v>
      </c>
      <c r="V307" s="4">
        <v>3</v>
      </c>
      <c r="W307" s="4">
        <v>2</v>
      </c>
      <c r="X307" s="4">
        <v>2</v>
      </c>
      <c r="Y307" s="4">
        <v>5</v>
      </c>
      <c r="Z307" s="4">
        <v>7</v>
      </c>
      <c r="AA307" s="3">
        <f t="shared" si="9"/>
        <v>60</v>
      </c>
      <c r="AB307" t="s">
        <v>63</v>
      </c>
      <c r="AC307">
        <v>11.38</v>
      </c>
      <c r="AD307">
        <v>60.07</v>
      </c>
      <c r="AE307">
        <v>102.07</v>
      </c>
      <c r="AF307">
        <v>176.06</v>
      </c>
      <c r="AG307">
        <v>62.3</v>
      </c>
      <c r="AH307">
        <v>0.45</v>
      </c>
      <c r="AI307">
        <v>33.380000000000003</v>
      </c>
      <c r="AJ307">
        <v>73.510000000000005</v>
      </c>
      <c r="AK307">
        <v>49.08</v>
      </c>
      <c r="AL307">
        <v>0.18</v>
      </c>
      <c r="AM307">
        <v>1.57</v>
      </c>
      <c r="AN307">
        <v>64.87</v>
      </c>
      <c r="AO307" s="1">
        <v>634.92000000000007</v>
      </c>
    </row>
    <row r="308" spans="1:41" x14ac:dyDescent="0.25">
      <c r="A308" t="s">
        <v>862</v>
      </c>
      <c r="B308" s="4">
        <v>560</v>
      </c>
      <c r="C308" s="4">
        <v>1457</v>
      </c>
      <c r="D308" s="4">
        <v>1310</v>
      </c>
      <c r="E308" s="4">
        <v>5300</v>
      </c>
      <c r="F308" s="4">
        <v>0</v>
      </c>
      <c r="G308" s="4">
        <v>388</v>
      </c>
      <c r="H308" s="4">
        <v>3092</v>
      </c>
      <c r="I308" s="4">
        <v>3520</v>
      </c>
      <c r="J308" s="4">
        <v>990</v>
      </c>
      <c r="K308" s="4">
        <v>6063</v>
      </c>
      <c r="L308" s="4">
        <v>2316</v>
      </c>
      <c r="M308" s="4">
        <v>2117</v>
      </c>
      <c r="N308" s="3">
        <f t="shared" si="8"/>
        <v>27113</v>
      </c>
      <c r="O308" s="4">
        <v>14</v>
      </c>
      <c r="P308" s="4">
        <v>0</v>
      </c>
      <c r="Q308" s="4">
        <v>2</v>
      </c>
      <c r="R308" s="4">
        <v>4</v>
      </c>
      <c r="S308" s="4">
        <v>3</v>
      </c>
      <c r="T308" s="4">
        <v>1</v>
      </c>
      <c r="U308" s="4">
        <v>8</v>
      </c>
      <c r="V308" s="4">
        <v>5</v>
      </c>
      <c r="W308" s="4">
        <v>3</v>
      </c>
      <c r="X308" s="4">
        <v>2</v>
      </c>
      <c r="Y308" s="4">
        <v>13</v>
      </c>
      <c r="Z308" s="4">
        <v>6</v>
      </c>
      <c r="AA308" s="3">
        <f t="shared" si="9"/>
        <v>61</v>
      </c>
      <c r="AB308" t="s">
        <v>63</v>
      </c>
      <c r="AC308">
        <v>12.46</v>
      </c>
      <c r="AD308">
        <v>29.14</v>
      </c>
      <c r="AE308">
        <v>26.38</v>
      </c>
      <c r="AF308">
        <v>106.36</v>
      </c>
      <c r="AG308">
        <v>0.27</v>
      </c>
      <c r="AH308">
        <v>7.85</v>
      </c>
      <c r="AI308">
        <v>62.56</v>
      </c>
      <c r="AJ308">
        <v>70.849999999999994</v>
      </c>
      <c r="AK308">
        <v>20.07</v>
      </c>
      <c r="AL308">
        <v>121.44</v>
      </c>
      <c r="AM308">
        <v>47.49</v>
      </c>
      <c r="AN308">
        <v>42.88</v>
      </c>
      <c r="AO308" s="1">
        <v>547.75</v>
      </c>
    </row>
    <row r="309" spans="1:41" x14ac:dyDescent="0.25">
      <c r="A309" t="s">
        <v>863</v>
      </c>
      <c r="B309" s="4">
        <v>559</v>
      </c>
      <c r="C309" s="4">
        <v>92</v>
      </c>
      <c r="D309" s="4">
        <v>275</v>
      </c>
      <c r="E309" s="4">
        <v>0</v>
      </c>
      <c r="F309" s="4">
        <v>4037</v>
      </c>
      <c r="G309" s="4">
        <v>6335</v>
      </c>
      <c r="H309" s="4">
        <v>1605</v>
      </c>
      <c r="I309" s="4">
        <v>1355</v>
      </c>
      <c r="J309" s="4">
        <v>6916</v>
      </c>
      <c r="K309" s="4">
        <v>1145</v>
      </c>
      <c r="L309" s="4">
        <v>1035</v>
      </c>
      <c r="M309" s="4">
        <v>1523</v>
      </c>
      <c r="N309" s="3">
        <f t="shared" si="8"/>
        <v>24877</v>
      </c>
      <c r="O309" s="4">
        <v>18</v>
      </c>
      <c r="P309" s="4">
        <v>6</v>
      </c>
      <c r="Q309" s="4">
        <v>5</v>
      </c>
      <c r="R309" s="4">
        <v>0</v>
      </c>
      <c r="S309" s="4">
        <v>10</v>
      </c>
      <c r="T309" s="4">
        <v>2</v>
      </c>
      <c r="U309" s="4">
        <v>0</v>
      </c>
      <c r="V309" s="4">
        <v>0</v>
      </c>
      <c r="W309" s="4">
        <v>4</v>
      </c>
      <c r="X309" s="4">
        <v>3</v>
      </c>
      <c r="Y309" s="4">
        <v>6</v>
      </c>
      <c r="Z309" s="4">
        <v>9</v>
      </c>
      <c r="AA309" s="3">
        <f t="shared" si="9"/>
        <v>63</v>
      </c>
      <c r="AB309" t="s">
        <v>63</v>
      </c>
      <c r="AC309">
        <v>12.8</v>
      </c>
      <c r="AD309">
        <v>2.38</v>
      </c>
      <c r="AE309">
        <v>5.95</v>
      </c>
      <c r="AF309">
        <v>0</v>
      </c>
      <c r="AG309">
        <v>81.64</v>
      </c>
      <c r="AH309">
        <v>126.88</v>
      </c>
      <c r="AI309">
        <v>32.1</v>
      </c>
      <c r="AJ309">
        <v>27.1</v>
      </c>
      <c r="AK309">
        <v>138.68</v>
      </c>
      <c r="AL309">
        <v>23.17</v>
      </c>
      <c r="AM309">
        <v>21.24</v>
      </c>
      <c r="AN309">
        <v>31.27</v>
      </c>
      <c r="AO309" s="1">
        <v>503.21000000000004</v>
      </c>
    </row>
    <row r="310" spans="1:41" x14ac:dyDescent="0.25">
      <c r="A310" t="s">
        <v>869</v>
      </c>
      <c r="B310" s="4">
        <v>535</v>
      </c>
      <c r="C310" s="4">
        <v>1309</v>
      </c>
      <c r="D310" s="4">
        <v>4696</v>
      </c>
      <c r="E310" s="4">
        <v>780</v>
      </c>
      <c r="F310" s="4">
        <v>2472</v>
      </c>
      <c r="G310" s="4">
        <v>460</v>
      </c>
      <c r="H310" s="4">
        <v>3497</v>
      </c>
      <c r="I310" s="4">
        <v>1849</v>
      </c>
      <c r="J310" s="4">
        <v>4172</v>
      </c>
      <c r="K310" s="4">
        <v>5817</v>
      </c>
      <c r="L310" s="4">
        <v>2598</v>
      </c>
      <c r="M310" s="4">
        <v>1005</v>
      </c>
      <c r="N310" s="3">
        <f t="shared" si="8"/>
        <v>29190</v>
      </c>
      <c r="O310" s="4">
        <v>4</v>
      </c>
      <c r="P310" s="4">
        <v>1</v>
      </c>
      <c r="Q310" s="4">
        <v>2</v>
      </c>
      <c r="R310" s="4">
        <v>2</v>
      </c>
      <c r="S310" s="4">
        <v>3</v>
      </c>
      <c r="T310" s="4">
        <v>13</v>
      </c>
      <c r="U310" s="4">
        <v>2</v>
      </c>
      <c r="V310" s="4">
        <v>0</v>
      </c>
      <c r="W310" s="4">
        <v>5</v>
      </c>
      <c r="X310" s="4">
        <v>1</v>
      </c>
      <c r="Y310" s="4">
        <v>10</v>
      </c>
      <c r="Z310" s="4">
        <v>4</v>
      </c>
      <c r="AA310" s="3">
        <f t="shared" si="9"/>
        <v>47</v>
      </c>
      <c r="AB310" t="s">
        <v>63</v>
      </c>
      <c r="AC310">
        <v>11.06</v>
      </c>
      <c r="AD310">
        <v>26.27</v>
      </c>
      <c r="AE310">
        <v>94.1</v>
      </c>
      <c r="AF310">
        <v>15.78</v>
      </c>
      <c r="AG310">
        <v>49.71</v>
      </c>
      <c r="AH310">
        <v>10.37</v>
      </c>
      <c r="AI310">
        <v>70.12</v>
      </c>
      <c r="AJ310">
        <v>36.979999999999997</v>
      </c>
      <c r="AK310">
        <v>83.89</v>
      </c>
      <c r="AL310">
        <v>116.43</v>
      </c>
      <c r="AM310">
        <v>52.86</v>
      </c>
      <c r="AN310">
        <v>20.46</v>
      </c>
      <c r="AO310" s="1">
        <v>588.03000000000009</v>
      </c>
    </row>
    <row r="311" spans="1:41" x14ac:dyDescent="0.25">
      <c r="A311" t="s">
        <v>873</v>
      </c>
      <c r="B311" s="4">
        <v>504</v>
      </c>
      <c r="C311" s="4">
        <v>0</v>
      </c>
      <c r="D311" s="4">
        <v>2033</v>
      </c>
      <c r="E311" s="4">
        <v>90</v>
      </c>
      <c r="F311" s="4">
        <v>10482</v>
      </c>
      <c r="G311" s="4">
        <v>429</v>
      </c>
      <c r="H311" s="4">
        <v>1104</v>
      </c>
      <c r="I311" s="4">
        <v>9606</v>
      </c>
      <c r="J311" s="4">
        <v>2470</v>
      </c>
      <c r="K311" s="4">
        <v>736</v>
      </c>
      <c r="L311" s="4">
        <v>1315</v>
      </c>
      <c r="M311" s="4">
        <v>2103</v>
      </c>
      <c r="N311" s="3">
        <f t="shared" si="8"/>
        <v>30872</v>
      </c>
      <c r="O311" s="4">
        <v>4</v>
      </c>
      <c r="P311" s="4">
        <v>1</v>
      </c>
      <c r="Q311" s="4">
        <v>3</v>
      </c>
      <c r="R311" s="4">
        <v>7</v>
      </c>
      <c r="S311" s="4">
        <v>1</v>
      </c>
      <c r="T311" s="4">
        <v>2</v>
      </c>
      <c r="U311" s="4">
        <v>5</v>
      </c>
      <c r="V311" s="4">
        <v>8</v>
      </c>
      <c r="W311" s="4">
        <v>2</v>
      </c>
      <c r="X311" s="4">
        <v>4</v>
      </c>
      <c r="Y311" s="4">
        <v>2</v>
      </c>
      <c r="Z311" s="4">
        <v>2</v>
      </c>
      <c r="AA311" s="3">
        <f t="shared" si="9"/>
        <v>41</v>
      </c>
      <c r="AB311" t="s">
        <v>63</v>
      </c>
      <c r="AC311">
        <v>10.44</v>
      </c>
      <c r="AD311">
        <v>0.09</v>
      </c>
      <c r="AE311">
        <v>40.93</v>
      </c>
      <c r="AF311">
        <v>2.4300000000000002</v>
      </c>
      <c r="AG311">
        <v>209.73</v>
      </c>
      <c r="AH311">
        <v>8.76</v>
      </c>
      <c r="AI311">
        <v>22.53</v>
      </c>
      <c r="AJ311">
        <v>192.84</v>
      </c>
      <c r="AK311">
        <v>49.58</v>
      </c>
      <c r="AL311">
        <v>15.08</v>
      </c>
      <c r="AM311">
        <v>26.48</v>
      </c>
      <c r="AN311">
        <v>42.24</v>
      </c>
      <c r="AO311" s="1">
        <v>621.13000000000011</v>
      </c>
    </row>
    <row r="312" spans="1:41" x14ac:dyDescent="0.25">
      <c r="A312" t="s">
        <v>875</v>
      </c>
      <c r="B312" s="4">
        <v>474</v>
      </c>
      <c r="C312" s="4">
        <v>1634</v>
      </c>
      <c r="D312" s="4">
        <v>0</v>
      </c>
      <c r="E312" s="4">
        <v>1173</v>
      </c>
      <c r="F312" s="4">
        <v>88</v>
      </c>
      <c r="G312" s="4">
        <v>1986</v>
      </c>
      <c r="H312" s="4">
        <v>6407</v>
      </c>
      <c r="I312" s="4">
        <v>1333</v>
      </c>
      <c r="J312" s="4">
        <v>6099</v>
      </c>
      <c r="K312" s="4">
        <v>4424</v>
      </c>
      <c r="L312" s="4">
        <v>2751</v>
      </c>
      <c r="M312" s="4">
        <v>1895</v>
      </c>
      <c r="N312" s="3">
        <f t="shared" si="8"/>
        <v>28264</v>
      </c>
      <c r="O312" s="4">
        <v>2</v>
      </c>
      <c r="P312" s="4">
        <v>5</v>
      </c>
      <c r="Q312" s="4">
        <v>6</v>
      </c>
      <c r="R312" s="4">
        <v>7</v>
      </c>
      <c r="S312" s="4">
        <v>7</v>
      </c>
      <c r="T312" s="4">
        <v>2</v>
      </c>
      <c r="U312" s="4">
        <v>2</v>
      </c>
      <c r="V312" s="4">
        <v>4</v>
      </c>
      <c r="W312" s="4">
        <v>4</v>
      </c>
      <c r="X312" s="4">
        <v>2</v>
      </c>
      <c r="Y312" s="4">
        <v>0</v>
      </c>
      <c r="Z312" s="4">
        <v>3</v>
      </c>
      <c r="AA312" s="3">
        <f t="shared" si="9"/>
        <v>44</v>
      </c>
      <c r="AB312" t="s">
        <v>63</v>
      </c>
      <c r="AC312">
        <v>9.66</v>
      </c>
      <c r="AD312">
        <v>33.130000000000003</v>
      </c>
      <c r="AE312">
        <v>0.54</v>
      </c>
      <c r="AF312">
        <v>24.09</v>
      </c>
      <c r="AG312">
        <v>2.39</v>
      </c>
      <c r="AH312">
        <v>39.9</v>
      </c>
      <c r="AI312">
        <v>128.32</v>
      </c>
      <c r="AJ312">
        <v>27.02</v>
      </c>
      <c r="AK312">
        <v>122.34</v>
      </c>
      <c r="AL312">
        <v>88.66</v>
      </c>
      <c r="AM312">
        <v>55.02</v>
      </c>
      <c r="AN312">
        <v>38.17</v>
      </c>
      <c r="AO312" s="1">
        <v>569.2399999999999</v>
      </c>
    </row>
    <row r="313" spans="1:41" x14ac:dyDescent="0.25">
      <c r="A313" t="s">
        <v>876</v>
      </c>
      <c r="B313" s="4">
        <v>464</v>
      </c>
      <c r="C313" s="4">
        <v>2477</v>
      </c>
      <c r="D313" s="4">
        <v>4362</v>
      </c>
      <c r="E313" s="4">
        <v>0</v>
      </c>
      <c r="F313" s="4">
        <v>1384</v>
      </c>
      <c r="G313" s="4">
        <v>0</v>
      </c>
      <c r="H313" s="4">
        <v>3738</v>
      </c>
      <c r="I313" s="4">
        <v>400</v>
      </c>
      <c r="J313" s="4">
        <v>502</v>
      </c>
      <c r="K313" s="4">
        <v>3202</v>
      </c>
      <c r="L313" s="4">
        <v>5136</v>
      </c>
      <c r="M313" s="4">
        <v>1480</v>
      </c>
      <c r="N313" s="3">
        <f t="shared" si="8"/>
        <v>23145</v>
      </c>
      <c r="O313" s="4">
        <v>2</v>
      </c>
      <c r="P313" s="4">
        <v>1</v>
      </c>
      <c r="Q313" s="4">
        <v>3</v>
      </c>
      <c r="R313" s="4">
        <v>2</v>
      </c>
      <c r="S313" s="4">
        <v>0</v>
      </c>
      <c r="T313" s="4">
        <v>1</v>
      </c>
      <c r="U313" s="4">
        <v>10</v>
      </c>
      <c r="V313" s="4">
        <v>2</v>
      </c>
      <c r="W313" s="4">
        <v>0</v>
      </c>
      <c r="X313" s="4">
        <v>4</v>
      </c>
      <c r="Y313" s="4">
        <v>18</v>
      </c>
      <c r="Z313" s="4">
        <v>1</v>
      </c>
      <c r="AA313" s="3">
        <f t="shared" si="9"/>
        <v>44</v>
      </c>
      <c r="AB313" t="s">
        <v>63</v>
      </c>
      <c r="AC313">
        <v>9.4600000000000009</v>
      </c>
      <c r="AD313">
        <v>49.63</v>
      </c>
      <c r="AE313">
        <v>87.51</v>
      </c>
      <c r="AF313">
        <v>0.18</v>
      </c>
      <c r="AG313">
        <v>27.68</v>
      </c>
      <c r="AH313">
        <v>0.09</v>
      </c>
      <c r="AI313">
        <v>75.66</v>
      </c>
      <c r="AJ313">
        <v>8.18</v>
      </c>
      <c r="AK313">
        <v>10.039999999999999</v>
      </c>
      <c r="AL313">
        <v>64.400000000000006</v>
      </c>
      <c r="AM313">
        <v>104.34</v>
      </c>
      <c r="AN313">
        <v>29.69</v>
      </c>
      <c r="AO313" s="1">
        <v>466.86000000000007</v>
      </c>
    </row>
    <row r="314" spans="1:41" x14ac:dyDescent="0.25">
      <c r="A314" t="s">
        <v>877</v>
      </c>
      <c r="B314" s="4">
        <v>461</v>
      </c>
      <c r="C314" s="4">
        <v>87</v>
      </c>
      <c r="D314" s="4">
        <v>1759</v>
      </c>
      <c r="E314" s="4">
        <v>16123</v>
      </c>
      <c r="F314" s="4">
        <v>1888</v>
      </c>
      <c r="G314" s="4">
        <v>3934</v>
      </c>
      <c r="H314" s="4">
        <v>0</v>
      </c>
      <c r="I314" s="4">
        <v>2577</v>
      </c>
      <c r="J314" s="4">
        <v>15650</v>
      </c>
      <c r="K314" s="4">
        <v>370</v>
      </c>
      <c r="L314" s="4">
        <v>6007</v>
      </c>
      <c r="M314" s="4">
        <v>20725</v>
      </c>
      <c r="N314" s="3">
        <f t="shared" si="8"/>
        <v>69581</v>
      </c>
      <c r="O314" s="4">
        <v>11</v>
      </c>
      <c r="P314" s="4">
        <v>3</v>
      </c>
      <c r="Q314" s="4">
        <v>0</v>
      </c>
      <c r="R314" s="4">
        <v>3</v>
      </c>
      <c r="S314" s="4">
        <v>0</v>
      </c>
      <c r="T314" s="4">
        <v>1</v>
      </c>
      <c r="U314" s="4">
        <v>2</v>
      </c>
      <c r="V314" s="4">
        <v>8</v>
      </c>
      <c r="W314" s="4">
        <v>4</v>
      </c>
      <c r="X314" s="4">
        <v>5</v>
      </c>
      <c r="Y314" s="4">
        <v>21</v>
      </c>
      <c r="Z314" s="4">
        <v>2</v>
      </c>
      <c r="AA314" s="3">
        <f t="shared" si="9"/>
        <v>60</v>
      </c>
      <c r="AB314" t="s">
        <v>63</v>
      </c>
      <c r="AC314">
        <v>10.210000000000001</v>
      </c>
      <c r="AD314">
        <v>2.0099999999999998</v>
      </c>
      <c r="AE314">
        <v>35.18</v>
      </c>
      <c r="AF314">
        <v>322.73</v>
      </c>
      <c r="AG314">
        <v>37.76</v>
      </c>
      <c r="AH314">
        <v>78.77</v>
      </c>
      <c r="AI314">
        <v>0.18</v>
      </c>
      <c r="AJ314">
        <v>52.26</v>
      </c>
      <c r="AK314">
        <v>313.36</v>
      </c>
      <c r="AL314">
        <v>7.85</v>
      </c>
      <c r="AM314">
        <v>122.03</v>
      </c>
      <c r="AN314">
        <v>414.68</v>
      </c>
      <c r="AO314" s="1">
        <v>1397.02</v>
      </c>
    </row>
    <row r="315" spans="1:41" x14ac:dyDescent="0.25">
      <c r="A315" t="s">
        <v>878</v>
      </c>
      <c r="B315" s="4">
        <v>460</v>
      </c>
      <c r="C315" s="4">
        <v>3709</v>
      </c>
      <c r="D315" s="4">
        <v>1602</v>
      </c>
      <c r="E315" s="4">
        <v>8029</v>
      </c>
      <c r="F315" s="4">
        <v>2290</v>
      </c>
      <c r="G315" s="4">
        <v>4831</v>
      </c>
      <c r="H315" s="4">
        <v>1391</v>
      </c>
      <c r="I315" s="4">
        <v>1226</v>
      </c>
      <c r="J315" s="4">
        <v>2030</v>
      </c>
      <c r="K315" s="4">
        <v>1271</v>
      </c>
      <c r="L315" s="4">
        <v>517</v>
      </c>
      <c r="M315" s="4">
        <v>930</v>
      </c>
      <c r="N315" s="3">
        <f t="shared" si="8"/>
        <v>28286</v>
      </c>
      <c r="O315" s="4">
        <v>0</v>
      </c>
      <c r="P315" s="4">
        <v>3</v>
      </c>
      <c r="Q315" s="4">
        <v>3</v>
      </c>
      <c r="R315" s="4">
        <v>1</v>
      </c>
      <c r="S315" s="4">
        <v>0</v>
      </c>
      <c r="T315" s="4">
        <v>1</v>
      </c>
      <c r="U315" s="4">
        <v>5</v>
      </c>
      <c r="V315" s="4">
        <v>3</v>
      </c>
      <c r="W315" s="4">
        <v>4</v>
      </c>
      <c r="X315" s="4">
        <v>2</v>
      </c>
      <c r="Y315" s="4">
        <v>5</v>
      </c>
      <c r="Z315" s="4">
        <v>13</v>
      </c>
      <c r="AA315" s="3">
        <f t="shared" si="9"/>
        <v>40</v>
      </c>
      <c r="AB315" t="s">
        <v>63</v>
      </c>
      <c r="AC315">
        <v>9.1999999999999993</v>
      </c>
      <c r="AD315">
        <v>74.45</v>
      </c>
      <c r="AE315">
        <v>32.31</v>
      </c>
      <c r="AF315">
        <v>160.66999999999999</v>
      </c>
      <c r="AG315">
        <v>45.8</v>
      </c>
      <c r="AH315">
        <v>96.71</v>
      </c>
      <c r="AI315">
        <v>28.27</v>
      </c>
      <c r="AJ315">
        <v>24.79</v>
      </c>
      <c r="AK315">
        <v>40.96</v>
      </c>
      <c r="AL315">
        <v>25.6</v>
      </c>
      <c r="AM315">
        <v>10.79</v>
      </c>
      <c r="AN315">
        <v>19.77</v>
      </c>
      <c r="AO315" s="1">
        <v>569.31999999999994</v>
      </c>
    </row>
    <row r="316" spans="1:41" x14ac:dyDescent="0.25">
      <c r="A316" t="s">
        <v>879</v>
      </c>
      <c r="B316" s="4">
        <v>455</v>
      </c>
      <c r="C316" s="4">
        <v>0</v>
      </c>
      <c r="D316" s="4">
        <v>4128</v>
      </c>
      <c r="E316" s="4">
        <v>2259</v>
      </c>
      <c r="F316" s="4">
        <v>535</v>
      </c>
      <c r="G316" s="4">
        <v>0</v>
      </c>
      <c r="H316" s="4">
        <v>1690</v>
      </c>
      <c r="I316" s="4">
        <v>276</v>
      </c>
      <c r="J316" s="4">
        <v>15608</v>
      </c>
      <c r="K316" s="4">
        <v>6195</v>
      </c>
      <c r="L316" s="4">
        <v>373</v>
      </c>
      <c r="M316" s="4">
        <v>2606</v>
      </c>
      <c r="N316" s="3">
        <f t="shared" si="8"/>
        <v>34125</v>
      </c>
      <c r="O316" s="4">
        <v>1</v>
      </c>
      <c r="P316" s="4">
        <v>1</v>
      </c>
      <c r="Q316" s="4">
        <v>0</v>
      </c>
      <c r="R316" s="4">
        <v>4</v>
      </c>
      <c r="S316" s="4">
        <v>4</v>
      </c>
      <c r="T316" s="4">
        <v>2</v>
      </c>
      <c r="U316" s="4">
        <v>0</v>
      </c>
      <c r="V316" s="4">
        <v>2</v>
      </c>
      <c r="W316" s="4">
        <v>7</v>
      </c>
      <c r="X316" s="4">
        <v>1</v>
      </c>
      <c r="Y316" s="4">
        <v>4</v>
      </c>
      <c r="Z316" s="4">
        <v>1</v>
      </c>
      <c r="AA316" s="3">
        <f t="shared" si="9"/>
        <v>27</v>
      </c>
      <c r="AB316" t="s">
        <v>63</v>
      </c>
      <c r="AC316">
        <v>9.19</v>
      </c>
      <c r="AD316">
        <v>0.09</v>
      </c>
      <c r="AE316">
        <v>82.56</v>
      </c>
      <c r="AF316">
        <v>45.54</v>
      </c>
      <c r="AG316">
        <v>11.06</v>
      </c>
      <c r="AH316">
        <v>0.18</v>
      </c>
      <c r="AI316">
        <v>33.799999999999997</v>
      </c>
      <c r="AJ316">
        <v>5.7</v>
      </c>
      <c r="AK316">
        <v>312.79000000000002</v>
      </c>
      <c r="AL316">
        <v>123.99</v>
      </c>
      <c r="AM316">
        <v>7.82</v>
      </c>
      <c r="AN316">
        <v>52.21</v>
      </c>
      <c r="AO316" s="1">
        <v>684.93000000000006</v>
      </c>
    </row>
    <row r="317" spans="1:41" x14ac:dyDescent="0.25">
      <c r="A317" t="s">
        <v>880</v>
      </c>
      <c r="B317" s="4">
        <v>453</v>
      </c>
      <c r="C317" s="4">
        <v>3452</v>
      </c>
      <c r="D317" s="4">
        <v>1291</v>
      </c>
      <c r="E317" s="4">
        <v>850</v>
      </c>
      <c r="F317" s="4">
        <v>2427</v>
      </c>
      <c r="G317" s="4">
        <v>2295</v>
      </c>
      <c r="H317" s="4">
        <v>0</v>
      </c>
      <c r="I317" s="4">
        <v>1021</v>
      </c>
      <c r="J317" s="4">
        <v>300</v>
      </c>
      <c r="K317" s="4">
        <v>0</v>
      </c>
      <c r="L317" s="4">
        <v>328</v>
      </c>
      <c r="M317" s="4">
        <v>0</v>
      </c>
      <c r="N317" s="3">
        <f t="shared" si="8"/>
        <v>12417</v>
      </c>
      <c r="O317" s="4">
        <v>6</v>
      </c>
      <c r="P317" s="4">
        <v>1</v>
      </c>
      <c r="Q317" s="4">
        <v>0</v>
      </c>
      <c r="R317" s="4">
        <v>7</v>
      </c>
      <c r="S317" s="4">
        <v>1</v>
      </c>
      <c r="T317" s="4">
        <v>7</v>
      </c>
      <c r="U317" s="4">
        <v>4</v>
      </c>
      <c r="V317" s="4">
        <v>0</v>
      </c>
      <c r="W317" s="4">
        <v>2</v>
      </c>
      <c r="X317" s="4">
        <v>0</v>
      </c>
      <c r="Y317" s="4">
        <v>4</v>
      </c>
      <c r="Z317" s="4">
        <v>1</v>
      </c>
      <c r="AA317" s="3">
        <f t="shared" si="9"/>
        <v>33</v>
      </c>
      <c r="AB317" t="s">
        <v>63</v>
      </c>
      <c r="AC317">
        <v>9.6</v>
      </c>
      <c r="AD317">
        <v>69.13</v>
      </c>
      <c r="AE317">
        <v>25.82</v>
      </c>
      <c r="AF317">
        <v>17.63</v>
      </c>
      <c r="AG317">
        <v>48.63</v>
      </c>
      <c r="AH317">
        <v>46.53</v>
      </c>
      <c r="AI317">
        <v>0.36</v>
      </c>
      <c r="AJ317">
        <v>20.420000000000002</v>
      </c>
      <c r="AK317">
        <v>6.18</v>
      </c>
      <c r="AL317">
        <v>0</v>
      </c>
      <c r="AM317">
        <v>6.92</v>
      </c>
      <c r="AN317">
        <v>0.09</v>
      </c>
      <c r="AO317" s="1">
        <v>251.31</v>
      </c>
    </row>
    <row r="318" spans="1:41" x14ac:dyDescent="0.25">
      <c r="A318" t="s">
        <v>881</v>
      </c>
      <c r="B318" s="4">
        <v>440</v>
      </c>
      <c r="C318" s="4">
        <v>456</v>
      </c>
      <c r="D318" s="4">
        <v>4175</v>
      </c>
      <c r="E318" s="4">
        <v>1795</v>
      </c>
      <c r="F318" s="4">
        <v>1017</v>
      </c>
      <c r="G318" s="4">
        <v>124</v>
      </c>
      <c r="H318" s="4">
        <v>5097</v>
      </c>
      <c r="I318" s="4">
        <v>1112</v>
      </c>
      <c r="J318" s="4">
        <v>8080</v>
      </c>
      <c r="K318" s="4">
        <v>1831</v>
      </c>
      <c r="L318" s="4">
        <v>0</v>
      </c>
      <c r="M318" s="4">
        <v>4371</v>
      </c>
      <c r="N318" s="3">
        <f t="shared" si="8"/>
        <v>28498</v>
      </c>
      <c r="O318" s="4">
        <v>21</v>
      </c>
      <c r="P318" s="4">
        <v>2</v>
      </c>
      <c r="Q318" s="4">
        <v>2</v>
      </c>
      <c r="R318" s="4">
        <v>1</v>
      </c>
      <c r="S318" s="4">
        <v>2</v>
      </c>
      <c r="T318" s="4">
        <v>2</v>
      </c>
      <c r="U318" s="4">
        <v>0</v>
      </c>
      <c r="V318" s="4">
        <v>15</v>
      </c>
      <c r="W318" s="4">
        <v>1</v>
      </c>
      <c r="X318" s="4">
        <v>6</v>
      </c>
      <c r="Y318" s="4">
        <v>1</v>
      </c>
      <c r="Z318" s="4">
        <v>3</v>
      </c>
      <c r="AA318" s="3">
        <f t="shared" si="9"/>
        <v>56</v>
      </c>
      <c r="AB318" t="s">
        <v>63</v>
      </c>
      <c r="AC318">
        <v>10.69</v>
      </c>
      <c r="AD318">
        <v>9.3000000000000007</v>
      </c>
      <c r="AE318">
        <v>83.68</v>
      </c>
      <c r="AF318">
        <v>35.99</v>
      </c>
      <c r="AG318">
        <v>20.52</v>
      </c>
      <c r="AH318">
        <v>2.66</v>
      </c>
      <c r="AI318">
        <v>101.94</v>
      </c>
      <c r="AJ318">
        <v>23.59</v>
      </c>
      <c r="AK318">
        <v>161.69</v>
      </c>
      <c r="AL318">
        <v>37.159999999999997</v>
      </c>
      <c r="AM318">
        <v>0.09</v>
      </c>
      <c r="AN318">
        <v>87.69</v>
      </c>
      <c r="AO318" s="1">
        <v>575</v>
      </c>
    </row>
    <row r="319" spans="1:41" x14ac:dyDescent="0.25">
      <c r="A319" t="s">
        <v>884</v>
      </c>
      <c r="B319" s="4">
        <v>423</v>
      </c>
      <c r="C319" s="4">
        <v>6673</v>
      </c>
      <c r="D319" s="4">
        <v>2735</v>
      </c>
      <c r="E319" s="4">
        <v>2848</v>
      </c>
      <c r="F319" s="4">
        <v>1360</v>
      </c>
      <c r="G319" s="4">
        <v>2830</v>
      </c>
      <c r="H319" s="4">
        <v>1658</v>
      </c>
      <c r="I319" s="4">
        <v>2133</v>
      </c>
      <c r="J319" s="4">
        <v>2970</v>
      </c>
      <c r="K319" s="4">
        <v>221</v>
      </c>
      <c r="L319" s="4">
        <v>3049</v>
      </c>
      <c r="M319" s="4">
        <v>7822</v>
      </c>
      <c r="N319" s="3">
        <f t="shared" si="8"/>
        <v>34722</v>
      </c>
      <c r="O319" s="4">
        <v>6</v>
      </c>
      <c r="P319" s="4">
        <v>3</v>
      </c>
      <c r="Q319" s="4">
        <v>1</v>
      </c>
      <c r="R319" s="4">
        <v>4</v>
      </c>
      <c r="S319" s="4">
        <v>5</v>
      </c>
      <c r="T319" s="4">
        <v>4</v>
      </c>
      <c r="U319" s="4">
        <v>2</v>
      </c>
      <c r="V319" s="4">
        <v>8</v>
      </c>
      <c r="W319" s="4">
        <v>4</v>
      </c>
      <c r="X319" s="4">
        <v>2</v>
      </c>
      <c r="Y319" s="4">
        <v>1</v>
      </c>
      <c r="Z319" s="4">
        <v>4</v>
      </c>
      <c r="AA319" s="3">
        <f t="shared" si="9"/>
        <v>44</v>
      </c>
      <c r="AB319" t="s">
        <v>63</v>
      </c>
      <c r="AC319">
        <v>9</v>
      </c>
      <c r="AD319">
        <v>133.72999999999999</v>
      </c>
      <c r="AE319">
        <v>54.79</v>
      </c>
      <c r="AF319">
        <v>57.32</v>
      </c>
      <c r="AG319">
        <v>27.65</v>
      </c>
      <c r="AH319">
        <v>56.96</v>
      </c>
      <c r="AI319">
        <v>33.340000000000003</v>
      </c>
      <c r="AJ319">
        <v>43.38</v>
      </c>
      <c r="AK319">
        <v>59.76</v>
      </c>
      <c r="AL319">
        <v>4.5999999999999996</v>
      </c>
      <c r="AM319">
        <v>61.07</v>
      </c>
      <c r="AN319">
        <v>156.80000000000001</v>
      </c>
      <c r="AO319" s="1">
        <v>698.40000000000009</v>
      </c>
    </row>
    <row r="320" spans="1:41" x14ac:dyDescent="0.25">
      <c r="A320" t="s">
        <v>887</v>
      </c>
      <c r="B320" s="4">
        <v>389</v>
      </c>
      <c r="C320" s="4">
        <v>269</v>
      </c>
      <c r="D320" s="4">
        <v>2744</v>
      </c>
      <c r="E320" s="4">
        <v>1360</v>
      </c>
      <c r="F320" s="4">
        <v>5224</v>
      </c>
      <c r="G320" s="4">
        <v>3872</v>
      </c>
      <c r="H320" s="4">
        <v>3960</v>
      </c>
      <c r="I320" s="4">
        <v>2475</v>
      </c>
      <c r="J320" s="4">
        <v>1859</v>
      </c>
      <c r="K320" s="4">
        <v>2733</v>
      </c>
      <c r="L320" s="4">
        <v>4371</v>
      </c>
      <c r="M320" s="4">
        <v>853</v>
      </c>
      <c r="N320" s="3">
        <f t="shared" si="8"/>
        <v>30109</v>
      </c>
      <c r="O320" s="4">
        <v>2</v>
      </c>
      <c r="P320" s="4">
        <v>19</v>
      </c>
      <c r="Q320" s="4">
        <v>2</v>
      </c>
      <c r="R320" s="4">
        <v>1</v>
      </c>
      <c r="S320" s="4">
        <v>9</v>
      </c>
      <c r="T320" s="4">
        <v>1</v>
      </c>
      <c r="U320" s="4">
        <v>6</v>
      </c>
      <c r="V320" s="4">
        <v>1</v>
      </c>
      <c r="W320" s="4">
        <v>3</v>
      </c>
      <c r="X320" s="4">
        <v>3</v>
      </c>
      <c r="Y320" s="4">
        <v>3</v>
      </c>
      <c r="Z320" s="4">
        <v>3</v>
      </c>
      <c r="AA320" s="3">
        <f t="shared" si="9"/>
        <v>53</v>
      </c>
      <c r="AB320" t="s">
        <v>63</v>
      </c>
      <c r="AC320">
        <v>7.96</v>
      </c>
      <c r="AD320">
        <v>7.09</v>
      </c>
      <c r="AE320">
        <v>55.06</v>
      </c>
      <c r="AF320">
        <v>27.29</v>
      </c>
      <c r="AG320">
        <v>105.29</v>
      </c>
      <c r="AH320">
        <v>77.53</v>
      </c>
      <c r="AI320">
        <v>79.739999999999995</v>
      </c>
      <c r="AJ320">
        <v>49.59</v>
      </c>
      <c r="AK320">
        <v>37.450000000000003</v>
      </c>
      <c r="AL320">
        <v>54.93</v>
      </c>
      <c r="AM320">
        <v>87.69</v>
      </c>
      <c r="AN320">
        <v>17.329999999999998</v>
      </c>
      <c r="AO320" s="1">
        <v>606.95000000000016</v>
      </c>
    </row>
    <row r="321" spans="1:41" x14ac:dyDescent="0.25">
      <c r="A321" t="s">
        <v>889</v>
      </c>
      <c r="B321" s="4">
        <v>383</v>
      </c>
      <c r="C321" s="4">
        <v>6334</v>
      </c>
      <c r="D321" s="4">
        <v>3764</v>
      </c>
      <c r="E321" s="4">
        <v>3813</v>
      </c>
      <c r="F321" s="4">
        <v>2778</v>
      </c>
      <c r="G321" s="4">
        <v>1118</v>
      </c>
      <c r="H321" s="4">
        <v>6684</v>
      </c>
      <c r="I321" s="4">
        <v>5510</v>
      </c>
      <c r="J321" s="4">
        <v>3877</v>
      </c>
      <c r="K321" s="4">
        <v>8034</v>
      </c>
      <c r="L321" s="4">
        <v>205</v>
      </c>
      <c r="M321" s="4">
        <v>4957</v>
      </c>
      <c r="N321" s="3">
        <f t="shared" si="8"/>
        <v>47457</v>
      </c>
      <c r="O321" s="4">
        <v>0</v>
      </c>
      <c r="P321" s="4">
        <v>5</v>
      </c>
      <c r="Q321" s="4">
        <v>6</v>
      </c>
      <c r="R321" s="4">
        <v>2</v>
      </c>
      <c r="S321" s="4">
        <v>3</v>
      </c>
      <c r="T321" s="4">
        <v>9</v>
      </c>
      <c r="U321" s="4">
        <v>8</v>
      </c>
      <c r="V321" s="4">
        <v>1</v>
      </c>
      <c r="W321" s="4">
        <v>1</v>
      </c>
      <c r="X321" s="4">
        <v>4</v>
      </c>
      <c r="Y321" s="4">
        <v>5</v>
      </c>
      <c r="Z321" s="4">
        <v>1</v>
      </c>
      <c r="AA321" s="3">
        <f t="shared" si="9"/>
        <v>45</v>
      </c>
      <c r="AB321" t="s">
        <v>63</v>
      </c>
      <c r="AC321">
        <v>7.66</v>
      </c>
      <c r="AD321">
        <v>127.13</v>
      </c>
      <c r="AE321">
        <v>75.819999999999993</v>
      </c>
      <c r="AF321">
        <v>76.44</v>
      </c>
      <c r="AG321">
        <v>55.83</v>
      </c>
      <c r="AH321">
        <v>23.17</v>
      </c>
      <c r="AI321">
        <v>134.4</v>
      </c>
      <c r="AJ321">
        <v>110.29</v>
      </c>
      <c r="AK321">
        <v>77.63</v>
      </c>
      <c r="AL321">
        <v>161.04</v>
      </c>
      <c r="AM321">
        <v>4.55</v>
      </c>
      <c r="AN321">
        <v>99.23</v>
      </c>
      <c r="AO321" s="1">
        <v>953.18999999999983</v>
      </c>
    </row>
    <row r="322" spans="1:41" x14ac:dyDescent="0.25">
      <c r="A322" t="s">
        <v>891</v>
      </c>
      <c r="B322" s="4">
        <v>357</v>
      </c>
      <c r="C322" s="4">
        <v>1784</v>
      </c>
      <c r="D322" s="4">
        <v>5080</v>
      </c>
      <c r="E322" s="4">
        <v>5609</v>
      </c>
      <c r="F322" s="4">
        <v>1876</v>
      </c>
      <c r="G322" s="4">
        <v>1070</v>
      </c>
      <c r="H322" s="4">
        <v>0</v>
      </c>
      <c r="I322" s="4">
        <v>19</v>
      </c>
      <c r="J322" s="4">
        <v>4785</v>
      </c>
      <c r="K322" s="4">
        <v>3593</v>
      </c>
      <c r="L322" s="4">
        <v>1579</v>
      </c>
      <c r="M322" s="4">
        <v>1327</v>
      </c>
      <c r="N322" s="3">
        <f t="shared" si="8"/>
        <v>27079</v>
      </c>
      <c r="O322" s="4">
        <v>2</v>
      </c>
      <c r="P322" s="4">
        <v>5</v>
      </c>
      <c r="Q322" s="4">
        <v>2</v>
      </c>
      <c r="R322" s="4">
        <v>2</v>
      </c>
      <c r="S322" s="4">
        <v>0</v>
      </c>
      <c r="T322" s="4">
        <v>0</v>
      </c>
      <c r="U322" s="4">
        <v>3</v>
      </c>
      <c r="V322" s="4">
        <v>0</v>
      </c>
      <c r="W322" s="4">
        <v>4</v>
      </c>
      <c r="X322" s="4">
        <v>4</v>
      </c>
      <c r="Y322" s="4">
        <v>6</v>
      </c>
      <c r="Z322" s="4">
        <v>0</v>
      </c>
      <c r="AA322" s="3">
        <f t="shared" si="9"/>
        <v>28</v>
      </c>
      <c r="AB322" t="s">
        <v>63</v>
      </c>
      <c r="AC322">
        <v>7.32</v>
      </c>
      <c r="AD322">
        <v>36.130000000000003</v>
      </c>
      <c r="AE322">
        <v>101.78</v>
      </c>
      <c r="AF322">
        <v>112.36</v>
      </c>
      <c r="AG322">
        <v>37.520000000000003</v>
      </c>
      <c r="AH322">
        <v>21.4</v>
      </c>
      <c r="AI322">
        <v>0.27</v>
      </c>
      <c r="AJ322">
        <v>0.38</v>
      </c>
      <c r="AK322">
        <v>96.06</v>
      </c>
      <c r="AL322">
        <v>72.22</v>
      </c>
      <c r="AM322">
        <v>32.119999999999997</v>
      </c>
      <c r="AN322">
        <v>26.54</v>
      </c>
      <c r="AO322" s="1">
        <v>544.09999999999991</v>
      </c>
    </row>
    <row r="323" spans="1:41" x14ac:dyDescent="0.25">
      <c r="A323" t="s">
        <v>893</v>
      </c>
      <c r="B323" s="4">
        <v>336</v>
      </c>
      <c r="C323" s="4">
        <v>0</v>
      </c>
      <c r="D323" s="4">
        <v>8044</v>
      </c>
      <c r="E323" s="4">
        <v>7571</v>
      </c>
      <c r="F323" s="4">
        <v>737</v>
      </c>
      <c r="G323" s="4">
        <v>4555</v>
      </c>
      <c r="H323" s="4">
        <v>0</v>
      </c>
      <c r="I323" s="4">
        <v>415</v>
      </c>
      <c r="J323" s="4">
        <v>2617</v>
      </c>
      <c r="K323" s="4">
        <v>5127</v>
      </c>
      <c r="L323" s="4">
        <v>0</v>
      </c>
      <c r="M323" s="4">
        <v>2266</v>
      </c>
      <c r="N323" s="3">
        <f t="shared" si="8"/>
        <v>31668</v>
      </c>
      <c r="O323" s="4">
        <v>7</v>
      </c>
      <c r="P323" s="4">
        <v>4</v>
      </c>
      <c r="Q323" s="4">
        <v>7</v>
      </c>
      <c r="R323" s="4">
        <v>2</v>
      </c>
      <c r="S323" s="4">
        <v>3</v>
      </c>
      <c r="T323" s="4">
        <v>1</v>
      </c>
      <c r="U323" s="4">
        <v>1</v>
      </c>
      <c r="V323" s="4">
        <v>4</v>
      </c>
      <c r="W323" s="4">
        <v>2</v>
      </c>
      <c r="X323" s="4">
        <v>0</v>
      </c>
      <c r="Y323" s="4">
        <v>0</v>
      </c>
      <c r="Z323" s="4">
        <v>0</v>
      </c>
      <c r="AA323" s="3">
        <f t="shared" si="9"/>
        <v>31</v>
      </c>
      <c r="AB323" t="s">
        <v>63</v>
      </c>
      <c r="AC323">
        <v>7.35</v>
      </c>
      <c r="AD323">
        <v>0.36</v>
      </c>
      <c r="AE323">
        <v>161.51</v>
      </c>
      <c r="AF323">
        <v>151.6</v>
      </c>
      <c r="AG323">
        <v>15.01</v>
      </c>
      <c r="AH323">
        <v>91.19</v>
      </c>
      <c r="AI323">
        <v>0.09</v>
      </c>
      <c r="AJ323">
        <v>8.66</v>
      </c>
      <c r="AK323">
        <v>52.52</v>
      </c>
      <c r="AL323">
        <v>102.54</v>
      </c>
      <c r="AM323">
        <v>0</v>
      </c>
      <c r="AN323">
        <v>45.32</v>
      </c>
      <c r="AO323" s="1">
        <v>636.15</v>
      </c>
    </row>
    <row r="324" spans="1:41" x14ac:dyDescent="0.25">
      <c r="A324" t="s">
        <v>896</v>
      </c>
      <c r="B324" s="4">
        <v>328</v>
      </c>
      <c r="C324" s="4">
        <v>908</v>
      </c>
      <c r="D324" s="4">
        <v>1173</v>
      </c>
      <c r="E324" s="4">
        <v>1893</v>
      </c>
      <c r="F324" s="4">
        <v>3990</v>
      </c>
      <c r="G324" s="4">
        <v>2640</v>
      </c>
      <c r="H324" s="4">
        <v>4630</v>
      </c>
      <c r="I324" s="4">
        <v>783</v>
      </c>
      <c r="J324" s="4">
        <v>2427</v>
      </c>
      <c r="K324" s="4">
        <v>696</v>
      </c>
      <c r="L324" s="4">
        <v>6380</v>
      </c>
      <c r="M324" s="4">
        <v>4454</v>
      </c>
      <c r="N324" s="3">
        <f t="shared" ref="N324:N387" si="10">SUM(B324:M324)</f>
        <v>30302</v>
      </c>
      <c r="O324" s="4">
        <v>2</v>
      </c>
      <c r="P324" s="4">
        <v>1</v>
      </c>
      <c r="Q324" s="4">
        <v>1</v>
      </c>
      <c r="R324" s="4">
        <v>2</v>
      </c>
      <c r="S324" s="4">
        <v>6</v>
      </c>
      <c r="T324" s="4">
        <v>6</v>
      </c>
      <c r="U324" s="4">
        <v>2</v>
      </c>
      <c r="V324" s="4">
        <v>4</v>
      </c>
      <c r="W324" s="4">
        <v>0</v>
      </c>
      <c r="X324" s="4">
        <v>4</v>
      </c>
      <c r="Y324" s="4">
        <v>2</v>
      </c>
      <c r="Z324" s="4">
        <v>18</v>
      </c>
      <c r="AA324" s="3">
        <f t="shared" ref="AA324:AA387" si="11">SUM(O324:Z324)</f>
        <v>48</v>
      </c>
      <c r="AB324" t="s">
        <v>63</v>
      </c>
      <c r="AC324">
        <v>6.74</v>
      </c>
      <c r="AD324">
        <v>18.25</v>
      </c>
      <c r="AE324">
        <v>23.55</v>
      </c>
      <c r="AF324">
        <v>38.04</v>
      </c>
      <c r="AG324">
        <v>80.34</v>
      </c>
      <c r="AH324">
        <v>53.34</v>
      </c>
      <c r="AI324">
        <v>92.78</v>
      </c>
      <c r="AJ324">
        <v>16.02</v>
      </c>
      <c r="AK324">
        <v>48.54</v>
      </c>
      <c r="AL324">
        <v>14.28</v>
      </c>
      <c r="AM324">
        <v>127.78</v>
      </c>
      <c r="AN324">
        <v>90.7</v>
      </c>
      <c r="AO324" s="1">
        <v>610.36</v>
      </c>
    </row>
    <row r="325" spans="1:41" x14ac:dyDescent="0.25">
      <c r="A325" t="s">
        <v>899</v>
      </c>
      <c r="B325" s="4">
        <v>322</v>
      </c>
      <c r="C325" s="4">
        <v>1141</v>
      </c>
      <c r="D325" s="4">
        <v>3441</v>
      </c>
      <c r="E325" s="4">
        <v>1458</v>
      </c>
      <c r="F325" s="4">
        <v>3966</v>
      </c>
      <c r="G325" s="4">
        <v>3327</v>
      </c>
      <c r="H325" s="4">
        <v>3643</v>
      </c>
      <c r="I325" s="4">
        <v>419</v>
      </c>
      <c r="J325" s="4">
        <v>1988</v>
      </c>
      <c r="K325" s="4">
        <v>6051</v>
      </c>
      <c r="L325" s="4">
        <v>508</v>
      </c>
      <c r="M325" s="4">
        <v>2901</v>
      </c>
      <c r="N325" s="3">
        <f t="shared" si="10"/>
        <v>29165</v>
      </c>
      <c r="O325" s="4">
        <v>2</v>
      </c>
      <c r="P325" s="4">
        <v>1</v>
      </c>
      <c r="Q325" s="4">
        <v>4</v>
      </c>
      <c r="R325" s="4">
        <v>5</v>
      </c>
      <c r="S325" s="4">
        <v>11</v>
      </c>
      <c r="T325" s="4">
        <v>2</v>
      </c>
      <c r="U325" s="4">
        <v>13</v>
      </c>
      <c r="V325" s="4">
        <v>2</v>
      </c>
      <c r="W325" s="4">
        <v>5</v>
      </c>
      <c r="X325" s="4">
        <v>1</v>
      </c>
      <c r="Y325" s="4">
        <v>8</v>
      </c>
      <c r="Z325" s="4">
        <v>5</v>
      </c>
      <c r="AA325" s="3">
        <f t="shared" si="11"/>
        <v>59</v>
      </c>
      <c r="AB325" t="s">
        <v>63</v>
      </c>
      <c r="AC325">
        <v>6.62</v>
      </c>
      <c r="AD325">
        <v>22.91</v>
      </c>
      <c r="AE325">
        <v>69.180000000000007</v>
      </c>
      <c r="AF325">
        <v>29.61</v>
      </c>
      <c r="AG325">
        <v>80.31</v>
      </c>
      <c r="AH325">
        <v>66.72</v>
      </c>
      <c r="AI325">
        <v>74.03</v>
      </c>
      <c r="AJ325">
        <v>8.56</v>
      </c>
      <c r="AK325">
        <v>40.21</v>
      </c>
      <c r="AL325">
        <v>121.11</v>
      </c>
      <c r="AM325">
        <v>10.88</v>
      </c>
      <c r="AN325">
        <v>58.47</v>
      </c>
      <c r="AO325" s="1">
        <v>588.61</v>
      </c>
    </row>
    <row r="326" spans="1:41" x14ac:dyDescent="0.25">
      <c r="A326" t="s">
        <v>902</v>
      </c>
      <c r="B326" s="4">
        <v>313</v>
      </c>
      <c r="C326" s="4">
        <v>68</v>
      </c>
      <c r="D326" s="4">
        <v>1520</v>
      </c>
      <c r="E326" s="4">
        <v>3505</v>
      </c>
      <c r="F326" s="4">
        <v>1059</v>
      </c>
      <c r="G326" s="4">
        <v>1996</v>
      </c>
      <c r="H326" s="4">
        <v>4980</v>
      </c>
      <c r="I326" s="4">
        <v>4091</v>
      </c>
      <c r="J326" s="4">
        <v>383</v>
      </c>
      <c r="K326" s="4">
        <v>7479</v>
      </c>
      <c r="L326" s="4">
        <v>4773</v>
      </c>
      <c r="M326" s="4">
        <v>2062</v>
      </c>
      <c r="N326" s="3">
        <f t="shared" si="10"/>
        <v>32229</v>
      </c>
      <c r="O326" s="4">
        <v>3</v>
      </c>
      <c r="P326" s="4">
        <v>1</v>
      </c>
      <c r="Q326" s="4">
        <v>3</v>
      </c>
      <c r="R326" s="4">
        <v>0</v>
      </c>
      <c r="S326" s="4">
        <v>2</v>
      </c>
      <c r="T326" s="4">
        <v>1</v>
      </c>
      <c r="U326" s="4">
        <v>5</v>
      </c>
      <c r="V326" s="4">
        <v>2</v>
      </c>
      <c r="W326" s="4">
        <v>4</v>
      </c>
      <c r="X326" s="4">
        <v>2</v>
      </c>
      <c r="Y326" s="4">
        <v>14</v>
      </c>
      <c r="Z326" s="4">
        <v>13</v>
      </c>
      <c r="AA326" s="3">
        <f t="shared" si="11"/>
        <v>50</v>
      </c>
      <c r="AB326" t="s">
        <v>63</v>
      </c>
      <c r="AC326">
        <v>6.53</v>
      </c>
      <c r="AD326">
        <v>1.45</v>
      </c>
      <c r="AE326">
        <v>30.67</v>
      </c>
      <c r="AF326">
        <v>70.099999999999994</v>
      </c>
      <c r="AG326">
        <v>21.36</v>
      </c>
      <c r="AH326">
        <v>40.01</v>
      </c>
      <c r="AI326">
        <v>100.05</v>
      </c>
      <c r="AJ326">
        <v>82</v>
      </c>
      <c r="AK326">
        <v>8.02</v>
      </c>
      <c r="AL326">
        <v>149.76</v>
      </c>
      <c r="AM326">
        <v>96.72</v>
      </c>
      <c r="AN326">
        <v>42.41</v>
      </c>
      <c r="AO326" s="1">
        <v>649.07999999999993</v>
      </c>
    </row>
    <row r="327" spans="1:41" x14ac:dyDescent="0.25">
      <c r="A327" t="s">
        <v>904</v>
      </c>
      <c r="B327" s="4">
        <v>283</v>
      </c>
      <c r="C327" s="4">
        <v>53</v>
      </c>
      <c r="D327" s="4">
        <v>1657</v>
      </c>
      <c r="E327" s="4">
        <v>7315</v>
      </c>
      <c r="F327" s="4">
        <v>2256</v>
      </c>
      <c r="G327" s="4">
        <v>3310</v>
      </c>
      <c r="H327" s="4">
        <v>9463</v>
      </c>
      <c r="I327" s="4">
        <v>3198</v>
      </c>
      <c r="J327" s="4">
        <v>6621</v>
      </c>
      <c r="K327" s="4">
        <v>686</v>
      </c>
      <c r="L327" s="4">
        <v>13431</v>
      </c>
      <c r="M327" s="4">
        <v>0</v>
      </c>
      <c r="N327" s="3">
        <f t="shared" si="10"/>
        <v>48273</v>
      </c>
      <c r="O327" s="4">
        <v>2</v>
      </c>
      <c r="P327" s="4">
        <v>4</v>
      </c>
      <c r="Q327" s="4">
        <v>9</v>
      </c>
      <c r="R327" s="4">
        <v>4</v>
      </c>
      <c r="S327" s="4">
        <v>5</v>
      </c>
      <c r="T327" s="4">
        <v>2</v>
      </c>
      <c r="U327" s="4">
        <v>0</v>
      </c>
      <c r="V327" s="4">
        <v>5</v>
      </c>
      <c r="W327" s="4">
        <v>3</v>
      </c>
      <c r="X327" s="4">
        <v>3</v>
      </c>
      <c r="Y327" s="4">
        <v>2</v>
      </c>
      <c r="Z327" s="4">
        <v>3</v>
      </c>
      <c r="AA327" s="3">
        <f t="shared" si="11"/>
        <v>42</v>
      </c>
      <c r="AB327" t="s">
        <v>63</v>
      </c>
      <c r="AC327">
        <v>5.84</v>
      </c>
      <c r="AD327">
        <v>1.42</v>
      </c>
      <c r="AE327">
        <v>33.950000000000003</v>
      </c>
      <c r="AF327">
        <v>146.66</v>
      </c>
      <c r="AG327">
        <v>45.57</v>
      </c>
      <c r="AH327">
        <v>66.38</v>
      </c>
      <c r="AI327">
        <v>189.26</v>
      </c>
      <c r="AJ327">
        <v>64.41</v>
      </c>
      <c r="AK327">
        <v>132.69</v>
      </c>
      <c r="AL327">
        <v>13.99</v>
      </c>
      <c r="AM327">
        <v>268.8</v>
      </c>
      <c r="AN327">
        <v>0.27</v>
      </c>
      <c r="AO327" s="1">
        <v>969.24</v>
      </c>
    </row>
    <row r="328" spans="1:41" x14ac:dyDescent="0.25">
      <c r="A328" t="s">
        <v>905</v>
      </c>
      <c r="B328" s="4">
        <v>283</v>
      </c>
      <c r="C328" s="4">
        <v>1966</v>
      </c>
      <c r="D328" s="4">
        <v>5095</v>
      </c>
      <c r="E328" s="4">
        <v>2102</v>
      </c>
      <c r="F328" s="4">
        <v>923</v>
      </c>
      <c r="G328" s="4">
        <v>2542</v>
      </c>
      <c r="H328" s="4">
        <v>1119</v>
      </c>
      <c r="I328" s="4">
        <v>3475</v>
      </c>
      <c r="J328" s="4">
        <v>141</v>
      </c>
      <c r="K328" s="4">
        <v>6605</v>
      </c>
      <c r="L328" s="4">
        <v>1997</v>
      </c>
      <c r="M328" s="4">
        <v>2580</v>
      </c>
      <c r="N328" s="3">
        <f t="shared" si="10"/>
        <v>28828</v>
      </c>
      <c r="O328" s="4">
        <v>13</v>
      </c>
      <c r="P328" s="4">
        <v>3</v>
      </c>
      <c r="Q328" s="4">
        <v>5</v>
      </c>
      <c r="R328" s="4">
        <v>5</v>
      </c>
      <c r="S328" s="4">
        <v>0</v>
      </c>
      <c r="T328" s="4">
        <v>6</v>
      </c>
      <c r="U328" s="4">
        <v>6</v>
      </c>
      <c r="V328" s="4">
        <v>2</v>
      </c>
      <c r="W328" s="4">
        <v>3</v>
      </c>
      <c r="X328" s="4">
        <v>7</v>
      </c>
      <c r="Y328" s="4">
        <v>0</v>
      </c>
      <c r="Z328" s="4">
        <v>8</v>
      </c>
      <c r="AA328" s="3">
        <f t="shared" si="11"/>
        <v>58</v>
      </c>
      <c r="AB328" t="s">
        <v>63</v>
      </c>
      <c r="AC328">
        <v>6.83</v>
      </c>
      <c r="AD328">
        <v>39.590000000000003</v>
      </c>
      <c r="AE328">
        <v>102.35</v>
      </c>
      <c r="AF328">
        <v>42.49</v>
      </c>
      <c r="AG328">
        <v>18.46</v>
      </c>
      <c r="AH328">
        <v>51.38</v>
      </c>
      <c r="AI328">
        <v>22.92</v>
      </c>
      <c r="AJ328">
        <v>69.680000000000007</v>
      </c>
      <c r="AK328">
        <v>3.09</v>
      </c>
      <c r="AL328">
        <v>132.72999999999999</v>
      </c>
      <c r="AM328">
        <v>39.94</v>
      </c>
      <c r="AN328">
        <v>52.32</v>
      </c>
      <c r="AO328" s="1">
        <v>581.78000000000009</v>
      </c>
    </row>
    <row r="329" spans="1:41" x14ac:dyDescent="0.25">
      <c r="A329" t="s">
        <v>907</v>
      </c>
      <c r="B329" s="4">
        <v>267</v>
      </c>
      <c r="C329" s="4">
        <v>4060</v>
      </c>
      <c r="D329" s="4">
        <v>2763</v>
      </c>
      <c r="E329" s="4">
        <v>11278</v>
      </c>
      <c r="F329" s="4">
        <v>707</v>
      </c>
      <c r="G329" s="4">
        <v>0</v>
      </c>
      <c r="H329" s="4">
        <v>3290</v>
      </c>
      <c r="I329" s="4">
        <v>5140</v>
      </c>
      <c r="J329" s="4">
        <v>431</v>
      </c>
      <c r="K329" s="4">
        <v>3918</v>
      </c>
      <c r="L329" s="4">
        <v>0</v>
      </c>
      <c r="M329" s="4">
        <v>11141</v>
      </c>
      <c r="N329" s="3">
        <f t="shared" si="10"/>
        <v>42995</v>
      </c>
      <c r="O329" s="4">
        <v>2</v>
      </c>
      <c r="P329" s="4">
        <v>2</v>
      </c>
      <c r="Q329" s="4">
        <v>3</v>
      </c>
      <c r="R329" s="4">
        <v>2</v>
      </c>
      <c r="S329" s="4">
        <v>1</v>
      </c>
      <c r="T329" s="4">
        <v>15</v>
      </c>
      <c r="U329" s="4">
        <v>9</v>
      </c>
      <c r="V329" s="4">
        <v>4</v>
      </c>
      <c r="W329" s="4">
        <v>4</v>
      </c>
      <c r="X329" s="4">
        <v>1</v>
      </c>
      <c r="Y329" s="4">
        <v>5</v>
      </c>
      <c r="Z329" s="4">
        <v>4</v>
      </c>
      <c r="AA329" s="3">
        <f t="shared" si="11"/>
        <v>52</v>
      </c>
      <c r="AB329" t="s">
        <v>63</v>
      </c>
      <c r="AC329">
        <v>5.52</v>
      </c>
      <c r="AD329">
        <v>81.38</v>
      </c>
      <c r="AE329">
        <v>55.53</v>
      </c>
      <c r="AF329">
        <v>225.74</v>
      </c>
      <c r="AG329">
        <v>14.23</v>
      </c>
      <c r="AH329">
        <v>1.35</v>
      </c>
      <c r="AI329">
        <v>66.61</v>
      </c>
      <c r="AJ329">
        <v>103.16</v>
      </c>
      <c r="AK329">
        <v>8.98</v>
      </c>
      <c r="AL329">
        <v>78.45</v>
      </c>
      <c r="AM329">
        <v>0.45</v>
      </c>
      <c r="AN329">
        <v>223.18</v>
      </c>
      <c r="AO329" s="1">
        <v>864.58000000000015</v>
      </c>
    </row>
    <row r="330" spans="1:41" x14ac:dyDescent="0.25">
      <c r="A330" t="s">
        <v>908</v>
      </c>
      <c r="B330" s="4">
        <v>261</v>
      </c>
      <c r="C330" s="4">
        <v>644</v>
      </c>
      <c r="D330" s="4">
        <v>2316</v>
      </c>
      <c r="E330" s="4">
        <v>7259</v>
      </c>
      <c r="F330" s="4">
        <v>4978</v>
      </c>
      <c r="G330" s="4">
        <v>7289</v>
      </c>
      <c r="H330" s="4">
        <v>519</v>
      </c>
      <c r="I330" s="4">
        <v>0</v>
      </c>
      <c r="J330" s="4">
        <v>1672</v>
      </c>
      <c r="K330" s="4">
        <v>727</v>
      </c>
      <c r="L330" s="4">
        <v>3683</v>
      </c>
      <c r="M330" s="4">
        <v>0</v>
      </c>
      <c r="N330" s="3">
        <f t="shared" si="10"/>
        <v>29348</v>
      </c>
      <c r="O330" s="4">
        <v>11</v>
      </c>
      <c r="P330" s="4">
        <v>5</v>
      </c>
      <c r="Q330" s="4">
        <v>4</v>
      </c>
      <c r="R330" s="4">
        <v>1</v>
      </c>
      <c r="S330" s="4">
        <v>7</v>
      </c>
      <c r="T330" s="4">
        <v>1</v>
      </c>
      <c r="U330" s="4">
        <v>2</v>
      </c>
      <c r="V330" s="4">
        <v>0</v>
      </c>
      <c r="W330" s="4">
        <v>3</v>
      </c>
      <c r="X330" s="4">
        <v>3</v>
      </c>
      <c r="Y330" s="4">
        <v>2</v>
      </c>
      <c r="Z330" s="4">
        <v>5</v>
      </c>
      <c r="AA330" s="3">
        <f t="shared" si="11"/>
        <v>44</v>
      </c>
      <c r="AB330" t="s">
        <v>63</v>
      </c>
      <c r="AC330">
        <v>6.21</v>
      </c>
      <c r="AD330">
        <v>13.33</v>
      </c>
      <c r="AE330">
        <v>46.68</v>
      </c>
      <c r="AF330">
        <v>145.27000000000001</v>
      </c>
      <c r="AG330">
        <v>100.19</v>
      </c>
      <c r="AH330">
        <v>145.87</v>
      </c>
      <c r="AI330">
        <v>10.56</v>
      </c>
      <c r="AJ330">
        <v>0</v>
      </c>
      <c r="AK330">
        <v>33.71</v>
      </c>
      <c r="AL330">
        <v>14.81</v>
      </c>
      <c r="AM330">
        <v>73.84</v>
      </c>
      <c r="AN330">
        <v>0.45</v>
      </c>
      <c r="AO330" s="1">
        <v>590.92000000000007</v>
      </c>
    </row>
    <row r="331" spans="1:41" x14ac:dyDescent="0.25">
      <c r="A331" t="s">
        <v>909</v>
      </c>
      <c r="B331" s="4">
        <v>258</v>
      </c>
      <c r="C331" s="4">
        <v>7045</v>
      </c>
      <c r="D331" s="4">
        <v>53</v>
      </c>
      <c r="E331" s="4">
        <v>842</v>
      </c>
      <c r="F331" s="4">
        <v>657</v>
      </c>
      <c r="G331" s="4">
        <v>2507</v>
      </c>
      <c r="H331" s="4">
        <v>6787</v>
      </c>
      <c r="I331" s="4">
        <v>1078</v>
      </c>
      <c r="J331" s="4">
        <v>2454</v>
      </c>
      <c r="K331" s="4">
        <v>1115</v>
      </c>
      <c r="L331" s="4">
        <v>534</v>
      </c>
      <c r="M331" s="4">
        <v>124</v>
      </c>
      <c r="N331" s="3">
        <f t="shared" si="10"/>
        <v>23454</v>
      </c>
      <c r="O331" s="4">
        <v>1</v>
      </c>
      <c r="P331" s="4">
        <v>9</v>
      </c>
      <c r="Q331" s="4">
        <v>5</v>
      </c>
      <c r="R331" s="4">
        <v>3</v>
      </c>
      <c r="S331" s="4">
        <v>6</v>
      </c>
      <c r="T331" s="4">
        <v>1</v>
      </c>
      <c r="U331" s="4">
        <v>7</v>
      </c>
      <c r="V331" s="4">
        <v>3</v>
      </c>
      <c r="W331" s="4">
        <v>6</v>
      </c>
      <c r="X331" s="4">
        <v>14</v>
      </c>
      <c r="Y331" s="4">
        <v>9</v>
      </c>
      <c r="Z331" s="4">
        <v>10</v>
      </c>
      <c r="AA331" s="3">
        <f t="shared" si="11"/>
        <v>74</v>
      </c>
      <c r="AB331" t="s">
        <v>63</v>
      </c>
      <c r="AC331">
        <v>5.25</v>
      </c>
      <c r="AD331">
        <v>141.71</v>
      </c>
      <c r="AE331">
        <v>1.51</v>
      </c>
      <c r="AF331">
        <v>17.11</v>
      </c>
      <c r="AG331">
        <v>13.68</v>
      </c>
      <c r="AH331">
        <v>50.23</v>
      </c>
      <c r="AI331">
        <v>136.37</v>
      </c>
      <c r="AJ331">
        <v>21.83</v>
      </c>
      <c r="AK331">
        <v>49.62</v>
      </c>
      <c r="AL331">
        <v>23.56</v>
      </c>
      <c r="AM331">
        <v>11.49</v>
      </c>
      <c r="AN331">
        <v>3.38</v>
      </c>
      <c r="AO331" s="1">
        <v>475.74</v>
      </c>
    </row>
    <row r="332" spans="1:41" x14ac:dyDescent="0.25">
      <c r="A332" t="s">
        <v>910</v>
      </c>
      <c r="B332" s="4">
        <v>251</v>
      </c>
      <c r="C332" s="4">
        <v>6636</v>
      </c>
      <c r="D332" s="4">
        <v>1147</v>
      </c>
      <c r="E332" s="4">
        <v>95</v>
      </c>
      <c r="F332" s="4">
        <v>1608</v>
      </c>
      <c r="G332" s="4">
        <v>2511</v>
      </c>
      <c r="H332" s="4">
        <v>2457</v>
      </c>
      <c r="I332" s="4">
        <v>9147</v>
      </c>
      <c r="J332" s="4">
        <v>4688</v>
      </c>
      <c r="K332" s="4">
        <v>1177</v>
      </c>
      <c r="L332" s="4">
        <v>292</v>
      </c>
      <c r="M332" s="4">
        <v>1986</v>
      </c>
      <c r="N332" s="3">
        <f t="shared" si="10"/>
        <v>31995</v>
      </c>
      <c r="O332" s="4">
        <v>1</v>
      </c>
      <c r="P332" s="4">
        <v>3</v>
      </c>
      <c r="Q332" s="4">
        <v>9</v>
      </c>
      <c r="R332" s="4">
        <v>4</v>
      </c>
      <c r="S332" s="4">
        <v>8</v>
      </c>
      <c r="T332" s="4">
        <v>3</v>
      </c>
      <c r="U332" s="4">
        <v>2</v>
      </c>
      <c r="V332" s="4">
        <v>5</v>
      </c>
      <c r="W332" s="4">
        <v>3</v>
      </c>
      <c r="X332" s="4">
        <v>3</v>
      </c>
      <c r="Y332" s="4">
        <v>0</v>
      </c>
      <c r="Z332" s="4">
        <v>2</v>
      </c>
      <c r="AA332" s="3">
        <f t="shared" si="11"/>
        <v>43</v>
      </c>
      <c r="AB332" t="s">
        <v>63</v>
      </c>
      <c r="AC332">
        <v>5.1100000000000003</v>
      </c>
      <c r="AD332">
        <v>132.99</v>
      </c>
      <c r="AE332">
        <v>23.75</v>
      </c>
      <c r="AF332">
        <v>2.2599999999999998</v>
      </c>
      <c r="AG332">
        <v>32.880000000000003</v>
      </c>
      <c r="AH332">
        <v>50.49</v>
      </c>
      <c r="AI332">
        <v>49.32</v>
      </c>
      <c r="AJ332">
        <v>183.39</v>
      </c>
      <c r="AK332">
        <v>94.03</v>
      </c>
      <c r="AL332">
        <v>23.81</v>
      </c>
      <c r="AM332">
        <v>5.84</v>
      </c>
      <c r="AN332">
        <v>39.9</v>
      </c>
      <c r="AO332" s="1">
        <v>643.77</v>
      </c>
    </row>
    <row r="333" spans="1:41" x14ac:dyDescent="0.25">
      <c r="A333" t="s">
        <v>911</v>
      </c>
      <c r="B333" s="4">
        <v>239</v>
      </c>
      <c r="C333" s="4">
        <v>3765</v>
      </c>
      <c r="D333" s="4">
        <v>1063</v>
      </c>
      <c r="E333" s="4">
        <v>0</v>
      </c>
      <c r="F333" s="4">
        <v>2196</v>
      </c>
      <c r="G333" s="4">
        <v>851</v>
      </c>
      <c r="H333" s="4">
        <v>4866</v>
      </c>
      <c r="I333" s="4">
        <v>753</v>
      </c>
      <c r="J333" s="4">
        <v>13086</v>
      </c>
      <c r="K333" s="4">
        <v>4828</v>
      </c>
      <c r="L333" s="4">
        <v>422</v>
      </c>
      <c r="M333" s="4">
        <v>1858</v>
      </c>
      <c r="N333" s="3">
        <f t="shared" si="10"/>
        <v>33927</v>
      </c>
      <c r="O333" s="4">
        <v>7</v>
      </c>
      <c r="P333" s="4">
        <v>3</v>
      </c>
      <c r="Q333" s="4">
        <v>6</v>
      </c>
      <c r="R333" s="4">
        <v>11</v>
      </c>
      <c r="S333" s="4">
        <v>3</v>
      </c>
      <c r="T333" s="4">
        <v>3</v>
      </c>
      <c r="U333" s="4">
        <v>3</v>
      </c>
      <c r="V333" s="4">
        <v>2</v>
      </c>
      <c r="W333" s="4">
        <v>1</v>
      </c>
      <c r="X333" s="4">
        <v>1</v>
      </c>
      <c r="Y333" s="4">
        <v>3</v>
      </c>
      <c r="Z333" s="4">
        <v>5</v>
      </c>
      <c r="AA333" s="3">
        <f t="shared" si="11"/>
        <v>48</v>
      </c>
      <c r="AB333" t="s">
        <v>63</v>
      </c>
      <c r="AC333">
        <v>5.41</v>
      </c>
      <c r="AD333">
        <v>75.569999999999993</v>
      </c>
      <c r="AE333">
        <v>21.8</v>
      </c>
      <c r="AF333">
        <v>0.99</v>
      </c>
      <c r="AG333">
        <v>44.19</v>
      </c>
      <c r="AH333">
        <v>17.29</v>
      </c>
      <c r="AI333">
        <v>97.59</v>
      </c>
      <c r="AJ333">
        <v>15.24</v>
      </c>
      <c r="AK333">
        <v>261.81</v>
      </c>
      <c r="AL333">
        <v>96.65</v>
      </c>
      <c r="AM333">
        <v>8.7100000000000009</v>
      </c>
      <c r="AN333">
        <v>37.61</v>
      </c>
      <c r="AO333" s="1">
        <v>682.86</v>
      </c>
    </row>
    <row r="334" spans="1:41" x14ac:dyDescent="0.25">
      <c r="A334" t="s">
        <v>915</v>
      </c>
      <c r="B334" s="4">
        <v>223</v>
      </c>
      <c r="C334" s="4">
        <v>0</v>
      </c>
      <c r="D334" s="4">
        <v>2444</v>
      </c>
      <c r="E334" s="4">
        <v>925</v>
      </c>
      <c r="F334" s="4">
        <v>1320</v>
      </c>
      <c r="G334" s="4">
        <v>1751</v>
      </c>
      <c r="H334" s="4">
        <v>654</v>
      </c>
      <c r="I334" s="4">
        <v>3344</v>
      </c>
      <c r="J334" s="4">
        <v>4567</v>
      </c>
      <c r="K334" s="4">
        <v>3753</v>
      </c>
      <c r="L334" s="4">
        <v>2702</v>
      </c>
      <c r="M334" s="4">
        <v>10585</v>
      </c>
      <c r="N334" s="3">
        <f t="shared" si="10"/>
        <v>32268</v>
      </c>
      <c r="O334" s="4">
        <v>4</v>
      </c>
      <c r="P334" s="4">
        <v>3</v>
      </c>
      <c r="Q334" s="4">
        <v>0</v>
      </c>
      <c r="R334" s="4">
        <v>9</v>
      </c>
      <c r="S334" s="4">
        <v>6</v>
      </c>
      <c r="T334" s="4">
        <v>3</v>
      </c>
      <c r="U334" s="4">
        <v>6</v>
      </c>
      <c r="V334" s="4">
        <v>6</v>
      </c>
      <c r="W334" s="4">
        <v>3</v>
      </c>
      <c r="X334" s="4">
        <v>1</v>
      </c>
      <c r="Y334" s="4">
        <v>8</v>
      </c>
      <c r="Z334" s="4">
        <v>4</v>
      </c>
      <c r="AA334" s="3">
        <f t="shared" si="11"/>
        <v>53</v>
      </c>
      <c r="AB334" t="s">
        <v>63</v>
      </c>
      <c r="AC334">
        <v>4.82</v>
      </c>
      <c r="AD334">
        <v>0.27</v>
      </c>
      <c r="AE334">
        <v>48.88</v>
      </c>
      <c r="AF334">
        <v>19.309999999999999</v>
      </c>
      <c r="AG334">
        <v>26.94</v>
      </c>
      <c r="AH334">
        <v>35.29</v>
      </c>
      <c r="AI334">
        <v>13.62</v>
      </c>
      <c r="AJ334">
        <v>67.42</v>
      </c>
      <c r="AK334">
        <v>91.61</v>
      </c>
      <c r="AL334">
        <v>75.150000000000006</v>
      </c>
      <c r="AM334">
        <v>54.76</v>
      </c>
      <c r="AN334">
        <v>212.06</v>
      </c>
      <c r="AO334" s="1">
        <v>650.13000000000011</v>
      </c>
    </row>
    <row r="335" spans="1:41" x14ac:dyDescent="0.25">
      <c r="A335" t="s">
        <v>916</v>
      </c>
      <c r="B335" s="4">
        <v>214</v>
      </c>
      <c r="C335" s="4">
        <v>2713</v>
      </c>
      <c r="D335" s="4">
        <v>2245</v>
      </c>
      <c r="E335" s="4">
        <v>2498</v>
      </c>
      <c r="F335" s="4">
        <v>3240</v>
      </c>
      <c r="G335" s="4">
        <v>38</v>
      </c>
      <c r="H335" s="4">
        <v>2530</v>
      </c>
      <c r="I335" s="4">
        <v>5816</v>
      </c>
      <c r="J335" s="4">
        <v>1617</v>
      </c>
      <c r="K335" s="4">
        <v>1805</v>
      </c>
      <c r="L335" s="4">
        <v>1901</v>
      </c>
      <c r="M335" s="4">
        <v>6131</v>
      </c>
      <c r="N335" s="3">
        <f t="shared" si="10"/>
        <v>30748</v>
      </c>
      <c r="O335" s="4">
        <v>2</v>
      </c>
      <c r="P335" s="4">
        <v>0</v>
      </c>
      <c r="Q335" s="4">
        <v>2</v>
      </c>
      <c r="R335" s="4">
        <v>4</v>
      </c>
      <c r="S335" s="4">
        <v>5</v>
      </c>
      <c r="T335" s="4">
        <v>3</v>
      </c>
      <c r="U335" s="4">
        <v>1</v>
      </c>
      <c r="V335" s="4">
        <v>9</v>
      </c>
      <c r="W335" s="4">
        <v>17</v>
      </c>
      <c r="X335" s="4">
        <v>3</v>
      </c>
      <c r="Y335" s="4">
        <v>2</v>
      </c>
      <c r="Z335" s="4">
        <v>2</v>
      </c>
      <c r="AA335" s="3">
        <f t="shared" si="11"/>
        <v>50</v>
      </c>
      <c r="AB335" t="s">
        <v>63</v>
      </c>
      <c r="AC335">
        <v>4.46</v>
      </c>
      <c r="AD335">
        <v>54.26</v>
      </c>
      <c r="AE335">
        <v>45.08</v>
      </c>
      <c r="AF335">
        <v>50.32</v>
      </c>
      <c r="AG335">
        <v>65.25</v>
      </c>
      <c r="AH335">
        <v>1.03</v>
      </c>
      <c r="AI335">
        <v>50.69</v>
      </c>
      <c r="AJ335">
        <v>117.13</v>
      </c>
      <c r="AK335">
        <v>33.869999999999997</v>
      </c>
      <c r="AL335">
        <v>36.369999999999997</v>
      </c>
      <c r="AM335">
        <v>38.200000000000003</v>
      </c>
      <c r="AN335">
        <v>122.8</v>
      </c>
      <c r="AO335" s="1">
        <v>619.46</v>
      </c>
    </row>
    <row r="336" spans="1:41" x14ac:dyDescent="0.25">
      <c r="A336" t="s">
        <v>917</v>
      </c>
      <c r="B336" s="4">
        <v>207</v>
      </c>
      <c r="C336" s="4">
        <v>0</v>
      </c>
      <c r="D336" s="4">
        <v>6899</v>
      </c>
      <c r="E336" s="4">
        <v>437</v>
      </c>
      <c r="F336" s="4">
        <v>1361</v>
      </c>
      <c r="G336" s="4">
        <v>8684</v>
      </c>
      <c r="H336" s="4">
        <v>4210</v>
      </c>
      <c r="I336" s="4">
        <v>0</v>
      </c>
      <c r="J336" s="4">
        <v>28</v>
      </c>
      <c r="K336" s="4">
        <v>1427</v>
      </c>
      <c r="L336" s="4">
        <v>2807</v>
      </c>
      <c r="M336" s="4">
        <v>5074</v>
      </c>
      <c r="N336" s="3">
        <f t="shared" si="10"/>
        <v>31134</v>
      </c>
      <c r="O336" s="4">
        <v>28</v>
      </c>
      <c r="P336" s="4">
        <v>3</v>
      </c>
      <c r="Q336" s="4">
        <v>5</v>
      </c>
      <c r="R336" s="4">
        <v>3</v>
      </c>
      <c r="S336" s="4">
        <v>4</v>
      </c>
      <c r="T336" s="4">
        <v>4</v>
      </c>
      <c r="U336" s="4">
        <v>2</v>
      </c>
      <c r="V336" s="4">
        <v>9</v>
      </c>
      <c r="W336" s="4">
        <v>3</v>
      </c>
      <c r="X336" s="4">
        <v>3</v>
      </c>
      <c r="Y336" s="4">
        <v>4</v>
      </c>
      <c r="Z336" s="4">
        <v>5</v>
      </c>
      <c r="AA336" s="3">
        <f t="shared" si="11"/>
        <v>73</v>
      </c>
      <c r="AB336" t="s">
        <v>63</v>
      </c>
      <c r="AC336">
        <v>6.66</v>
      </c>
      <c r="AD336">
        <v>0.27</v>
      </c>
      <c r="AE336">
        <v>138.43</v>
      </c>
      <c r="AF336">
        <v>9.01</v>
      </c>
      <c r="AG336">
        <v>27.58</v>
      </c>
      <c r="AH336">
        <v>174.04</v>
      </c>
      <c r="AI336">
        <v>84.38</v>
      </c>
      <c r="AJ336">
        <v>0.81</v>
      </c>
      <c r="AK336">
        <v>0.83</v>
      </c>
      <c r="AL336">
        <v>28.81</v>
      </c>
      <c r="AM336">
        <v>56.5</v>
      </c>
      <c r="AN336">
        <v>101.93</v>
      </c>
      <c r="AO336" s="1">
        <v>629.25</v>
      </c>
    </row>
    <row r="337" spans="1:41" x14ac:dyDescent="0.25">
      <c r="A337" t="s">
        <v>923</v>
      </c>
      <c r="B337" s="4">
        <v>142</v>
      </c>
      <c r="C337" s="4">
        <v>291</v>
      </c>
      <c r="D337" s="4">
        <v>3214</v>
      </c>
      <c r="E337" s="4">
        <v>2611</v>
      </c>
      <c r="F337" s="4">
        <v>198</v>
      </c>
      <c r="G337" s="4">
        <v>3802</v>
      </c>
      <c r="H337" s="4">
        <v>979</v>
      </c>
      <c r="I337" s="4">
        <v>3063</v>
      </c>
      <c r="J337" s="4">
        <v>2837</v>
      </c>
      <c r="K337" s="4">
        <v>2148</v>
      </c>
      <c r="L337" s="4">
        <v>530</v>
      </c>
      <c r="M337" s="4">
        <v>3103</v>
      </c>
      <c r="N337" s="3">
        <f t="shared" si="10"/>
        <v>22918</v>
      </c>
      <c r="O337" s="4">
        <v>5</v>
      </c>
      <c r="P337" s="4">
        <v>3</v>
      </c>
      <c r="Q337" s="4">
        <v>8</v>
      </c>
      <c r="R337" s="4">
        <v>9</v>
      </c>
      <c r="S337" s="4">
        <v>2</v>
      </c>
      <c r="T337" s="4">
        <v>5</v>
      </c>
      <c r="U337" s="4">
        <v>10</v>
      </c>
      <c r="V337" s="4">
        <v>3</v>
      </c>
      <c r="W337" s="4">
        <v>3</v>
      </c>
      <c r="X337" s="4">
        <v>6</v>
      </c>
      <c r="Y337" s="4">
        <v>3</v>
      </c>
      <c r="Z337" s="4">
        <v>1</v>
      </c>
      <c r="AA337" s="3">
        <f t="shared" si="11"/>
        <v>58</v>
      </c>
      <c r="AB337" t="s">
        <v>63</v>
      </c>
      <c r="AC337">
        <v>3.29</v>
      </c>
      <c r="AD337">
        <v>6.09</v>
      </c>
      <c r="AE337">
        <v>65</v>
      </c>
      <c r="AF337">
        <v>53.03</v>
      </c>
      <c r="AG337">
        <v>4.1399999999999997</v>
      </c>
      <c r="AH337">
        <v>76.489999999999995</v>
      </c>
      <c r="AI337">
        <v>20.48</v>
      </c>
      <c r="AJ337">
        <v>61.53</v>
      </c>
      <c r="AK337">
        <v>57.01</v>
      </c>
      <c r="AL337">
        <v>43.5</v>
      </c>
      <c r="AM337">
        <v>10.87</v>
      </c>
      <c r="AN337">
        <v>62.15</v>
      </c>
      <c r="AO337" s="1">
        <v>463.57999999999993</v>
      </c>
    </row>
    <row r="338" spans="1:41" x14ac:dyDescent="0.25">
      <c r="A338" t="s">
        <v>924</v>
      </c>
      <c r="B338" s="4">
        <v>126</v>
      </c>
      <c r="C338" s="4">
        <v>2866</v>
      </c>
      <c r="D338" s="4">
        <v>293</v>
      </c>
      <c r="E338" s="4">
        <v>4884</v>
      </c>
      <c r="F338" s="4">
        <v>2515</v>
      </c>
      <c r="G338" s="4">
        <v>2832</v>
      </c>
      <c r="H338" s="4">
        <v>1394</v>
      </c>
      <c r="I338" s="4">
        <v>1445</v>
      </c>
      <c r="J338" s="4">
        <v>985</v>
      </c>
      <c r="K338" s="4">
        <v>3990</v>
      </c>
      <c r="L338" s="4">
        <v>0</v>
      </c>
      <c r="M338" s="4">
        <v>3399</v>
      </c>
      <c r="N338" s="3">
        <f t="shared" si="10"/>
        <v>24729</v>
      </c>
      <c r="O338" s="4">
        <v>0</v>
      </c>
      <c r="P338" s="4">
        <v>3</v>
      </c>
      <c r="Q338" s="4">
        <v>5</v>
      </c>
      <c r="R338" s="4">
        <v>4</v>
      </c>
      <c r="S338" s="4">
        <v>9</v>
      </c>
      <c r="T338" s="4">
        <v>6</v>
      </c>
      <c r="U338" s="4">
        <v>3</v>
      </c>
      <c r="V338" s="4">
        <v>11</v>
      </c>
      <c r="W338" s="4">
        <v>7</v>
      </c>
      <c r="X338" s="4">
        <v>1</v>
      </c>
      <c r="Y338" s="4">
        <v>1</v>
      </c>
      <c r="Z338" s="4">
        <v>6</v>
      </c>
      <c r="AA338" s="3">
        <f t="shared" si="11"/>
        <v>56</v>
      </c>
      <c r="AB338" t="s">
        <v>63</v>
      </c>
      <c r="AC338">
        <v>2.52</v>
      </c>
      <c r="AD338">
        <v>57.59</v>
      </c>
      <c r="AE338">
        <v>6.31</v>
      </c>
      <c r="AF338">
        <v>98.04</v>
      </c>
      <c r="AG338">
        <v>51.11</v>
      </c>
      <c r="AH338">
        <v>57.18</v>
      </c>
      <c r="AI338">
        <v>28.15</v>
      </c>
      <c r="AJ338">
        <v>29.89</v>
      </c>
      <c r="AK338">
        <v>20.329999999999998</v>
      </c>
      <c r="AL338">
        <v>79.89</v>
      </c>
      <c r="AM338">
        <v>0.09</v>
      </c>
      <c r="AN338">
        <v>68.52</v>
      </c>
      <c r="AO338" s="1">
        <v>499.61999999999989</v>
      </c>
    </row>
    <row r="339" spans="1:41" x14ac:dyDescent="0.25">
      <c r="A339" t="s">
        <v>926</v>
      </c>
      <c r="B339" s="4">
        <v>106</v>
      </c>
      <c r="C339" s="4">
        <v>1157</v>
      </c>
      <c r="D339" s="4">
        <v>0</v>
      </c>
      <c r="E339" s="4">
        <v>7867</v>
      </c>
      <c r="F339" s="4">
        <v>825</v>
      </c>
      <c r="G339" s="4">
        <v>1300</v>
      </c>
      <c r="H339" s="4">
        <v>551</v>
      </c>
      <c r="I339" s="4">
        <v>1198</v>
      </c>
      <c r="J339" s="4">
        <v>5262</v>
      </c>
      <c r="K339" s="4">
        <v>6485</v>
      </c>
      <c r="L339" s="4">
        <v>0</v>
      </c>
      <c r="M339" s="4">
        <v>3659</v>
      </c>
      <c r="N339" s="3">
        <f t="shared" si="10"/>
        <v>28410</v>
      </c>
      <c r="O339" s="4">
        <v>4</v>
      </c>
      <c r="P339" s="4">
        <v>5</v>
      </c>
      <c r="Q339" s="4">
        <v>9</v>
      </c>
      <c r="R339" s="4">
        <v>6</v>
      </c>
      <c r="S339" s="4">
        <v>0</v>
      </c>
      <c r="T339" s="4">
        <v>2</v>
      </c>
      <c r="U339" s="4">
        <v>1</v>
      </c>
      <c r="V339" s="4">
        <v>6</v>
      </c>
      <c r="W339" s="4">
        <v>2</v>
      </c>
      <c r="X339" s="4">
        <v>4</v>
      </c>
      <c r="Y339" s="4">
        <v>7</v>
      </c>
      <c r="Z339" s="4">
        <v>10</v>
      </c>
      <c r="AA339" s="3">
        <f t="shared" si="11"/>
        <v>56</v>
      </c>
      <c r="AB339" t="s">
        <v>63</v>
      </c>
      <c r="AC339">
        <v>2.48</v>
      </c>
      <c r="AD339">
        <v>23.59</v>
      </c>
      <c r="AE339">
        <v>0.81</v>
      </c>
      <c r="AF339">
        <v>157.88</v>
      </c>
      <c r="AG339">
        <v>16.5</v>
      </c>
      <c r="AH339">
        <v>26.18</v>
      </c>
      <c r="AI339">
        <v>11.11</v>
      </c>
      <c r="AJ339">
        <v>24.5</v>
      </c>
      <c r="AK339">
        <v>105.42</v>
      </c>
      <c r="AL339">
        <v>130.06</v>
      </c>
      <c r="AM339">
        <v>0.63</v>
      </c>
      <c r="AN339">
        <v>74.08</v>
      </c>
      <c r="AO339" s="1">
        <v>573.24</v>
      </c>
    </row>
    <row r="340" spans="1:41" x14ac:dyDescent="0.25">
      <c r="A340" t="s">
        <v>927</v>
      </c>
      <c r="B340" s="4">
        <v>99</v>
      </c>
      <c r="C340" s="4">
        <v>0</v>
      </c>
      <c r="D340" s="4">
        <v>2989</v>
      </c>
      <c r="E340" s="4">
        <v>0</v>
      </c>
      <c r="F340" s="4">
        <v>4776</v>
      </c>
      <c r="G340" s="4">
        <v>465</v>
      </c>
      <c r="H340" s="4">
        <v>1227</v>
      </c>
      <c r="I340" s="4">
        <v>1349</v>
      </c>
      <c r="J340" s="4">
        <v>1411</v>
      </c>
      <c r="K340" s="4">
        <v>759</v>
      </c>
      <c r="L340" s="4">
        <v>0</v>
      </c>
      <c r="M340" s="4">
        <v>2245</v>
      </c>
      <c r="N340" s="3">
        <f t="shared" si="10"/>
        <v>15320</v>
      </c>
      <c r="O340" s="4">
        <v>4</v>
      </c>
      <c r="P340" s="4">
        <v>12</v>
      </c>
      <c r="Q340" s="4">
        <v>3</v>
      </c>
      <c r="R340" s="4">
        <v>0</v>
      </c>
      <c r="S340" s="4">
        <v>3</v>
      </c>
      <c r="T340" s="4">
        <v>3</v>
      </c>
      <c r="U340" s="4">
        <v>3</v>
      </c>
      <c r="V340" s="4">
        <v>0</v>
      </c>
      <c r="W340" s="4">
        <v>6</v>
      </c>
      <c r="X340" s="4">
        <v>2</v>
      </c>
      <c r="Y340" s="4">
        <v>7</v>
      </c>
      <c r="Z340" s="4">
        <v>2</v>
      </c>
      <c r="AA340" s="3">
        <f t="shared" si="11"/>
        <v>45</v>
      </c>
      <c r="AB340" t="s">
        <v>63</v>
      </c>
      <c r="AC340">
        <v>2.34</v>
      </c>
      <c r="AD340">
        <v>1.08</v>
      </c>
      <c r="AE340">
        <v>60.05</v>
      </c>
      <c r="AF340">
        <v>0</v>
      </c>
      <c r="AG340">
        <v>95.79</v>
      </c>
      <c r="AH340">
        <v>9.57</v>
      </c>
      <c r="AI340">
        <v>24.81</v>
      </c>
      <c r="AJ340">
        <v>26.98</v>
      </c>
      <c r="AK340">
        <v>28.76</v>
      </c>
      <c r="AL340">
        <v>15.36</v>
      </c>
      <c r="AM340">
        <v>0.63</v>
      </c>
      <c r="AN340">
        <v>45.08</v>
      </c>
      <c r="AO340" s="1">
        <v>310.44999999999993</v>
      </c>
    </row>
    <row r="341" spans="1:41" x14ac:dyDescent="0.25">
      <c r="A341" t="s">
        <v>932</v>
      </c>
      <c r="B341" s="4">
        <v>79</v>
      </c>
      <c r="C341" s="4">
        <v>1870</v>
      </c>
      <c r="D341" s="4">
        <v>2850</v>
      </c>
      <c r="E341" s="4">
        <v>413</v>
      </c>
      <c r="F341" s="4">
        <v>4567</v>
      </c>
      <c r="G341" s="4">
        <v>0</v>
      </c>
      <c r="H341" s="4">
        <v>4582</v>
      </c>
      <c r="I341" s="4">
        <v>2176</v>
      </c>
      <c r="J341" s="4">
        <v>3813</v>
      </c>
      <c r="K341" s="4">
        <v>1632</v>
      </c>
      <c r="L341" s="4">
        <v>13262</v>
      </c>
      <c r="M341" s="4">
        <v>1724</v>
      </c>
      <c r="N341" s="3">
        <f t="shared" si="10"/>
        <v>36968</v>
      </c>
      <c r="O341" s="4">
        <v>2</v>
      </c>
      <c r="P341" s="4">
        <v>3</v>
      </c>
      <c r="Q341" s="4">
        <v>3</v>
      </c>
      <c r="R341" s="4">
        <v>4</v>
      </c>
      <c r="S341" s="4">
        <v>4</v>
      </c>
      <c r="T341" s="4">
        <v>0</v>
      </c>
      <c r="U341" s="4">
        <v>4</v>
      </c>
      <c r="V341" s="4">
        <v>8</v>
      </c>
      <c r="W341" s="4">
        <v>2</v>
      </c>
      <c r="X341" s="4">
        <v>2</v>
      </c>
      <c r="Y341" s="4">
        <v>17</v>
      </c>
      <c r="Z341" s="4">
        <v>2</v>
      </c>
      <c r="AA341" s="3">
        <f t="shared" si="11"/>
        <v>51</v>
      </c>
      <c r="AB341" t="s">
        <v>63</v>
      </c>
      <c r="AC341">
        <v>1.76</v>
      </c>
      <c r="AD341">
        <v>37.67</v>
      </c>
      <c r="AE341">
        <v>57.27</v>
      </c>
      <c r="AF341">
        <v>8.6199999999999992</v>
      </c>
      <c r="AG341">
        <v>91.7</v>
      </c>
      <c r="AH341">
        <v>0</v>
      </c>
      <c r="AI341">
        <v>92</v>
      </c>
      <c r="AJ341">
        <v>44.24</v>
      </c>
      <c r="AK341">
        <v>76.44</v>
      </c>
      <c r="AL341">
        <v>32.82</v>
      </c>
      <c r="AM341">
        <v>266.77</v>
      </c>
      <c r="AN341">
        <v>34.659999999999997</v>
      </c>
      <c r="AO341" s="1">
        <v>743.94999999999993</v>
      </c>
    </row>
    <row r="342" spans="1:41" x14ac:dyDescent="0.25">
      <c r="A342" t="s">
        <v>934</v>
      </c>
      <c r="B342" s="4">
        <v>54</v>
      </c>
      <c r="C342" s="4">
        <v>1221</v>
      </c>
      <c r="D342" s="4">
        <v>2511</v>
      </c>
      <c r="E342" s="4">
        <v>6543</v>
      </c>
      <c r="F342" s="4">
        <v>2935</v>
      </c>
      <c r="G342" s="4">
        <v>90</v>
      </c>
      <c r="H342" s="4">
        <v>1129</v>
      </c>
      <c r="I342" s="4">
        <v>3300</v>
      </c>
      <c r="J342" s="4">
        <v>1621</v>
      </c>
      <c r="K342" s="4">
        <v>194</v>
      </c>
      <c r="L342" s="4">
        <v>3606</v>
      </c>
      <c r="M342" s="4">
        <v>1524</v>
      </c>
      <c r="N342" s="3">
        <f t="shared" si="10"/>
        <v>24728</v>
      </c>
      <c r="O342" s="4">
        <v>8</v>
      </c>
      <c r="P342" s="4">
        <v>4</v>
      </c>
      <c r="Q342" s="4">
        <v>2</v>
      </c>
      <c r="R342" s="4">
        <v>0</v>
      </c>
      <c r="S342" s="4">
        <v>3</v>
      </c>
      <c r="T342" s="4">
        <v>2</v>
      </c>
      <c r="U342" s="4">
        <v>2</v>
      </c>
      <c r="V342" s="4">
        <v>2</v>
      </c>
      <c r="W342" s="4">
        <v>2</v>
      </c>
      <c r="X342" s="4">
        <v>15</v>
      </c>
      <c r="Y342" s="4">
        <v>1</v>
      </c>
      <c r="Z342" s="4">
        <v>11</v>
      </c>
      <c r="AA342" s="3">
        <f t="shared" si="11"/>
        <v>52</v>
      </c>
      <c r="AB342" t="s">
        <v>63</v>
      </c>
      <c r="AC342">
        <v>1.8</v>
      </c>
      <c r="AD342">
        <v>24.78</v>
      </c>
      <c r="AE342">
        <v>50.4</v>
      </c>
      <c r="AF342">
        <v>130.86000000000001</v>
      </c>
      <c r="AG342">
        <v>58.97</v>
      </c>
      <c r="AH342">
        <v>1.98</v>
      </c>
      <c r="AI342">
        <v>22.76</v>
      </c>
      <c r="AJ342">
        <v>66.180000000000007</v>
      </c>
      <c r="AK342">
        <v>32.6</v>
      </c>
      <c r="AL342">
        <v>5.23</v>
      </c>
      <c r="AM342">
        <v>72.209999999999994</v>
      </c>
      <c r="AN342">
        <v>31.47</v>
      </c>
      <c r="AO342" s="1">
        <v>499.24000000000012</v>
      </c>
    </row>
    <row r="343" spans="1:41" x14ac:dyDescent="0.25">
      <c r="A343" t="s">
        <v>936</v>
      </c>
      <c r="B343" s="4">
        <v>10</v>
      </c>
      <c r="C343" s="4">
        <v>3854</v>
      </c>
      <c r="D343" s="4">
        <v>2170</v>
      </c>
      <c r="E343" s="4">
        <v>3470</v>
      </c>
      <c r="F343" s="4">
        <v>4578</v>
      </c>
      <c r="G343" s="4">
        <v>4564</v>
      </c>
      <c r="H343" s="4">
        <v>3505</v>
      </c>
      <c r="I343" s="4">
        <v>3349</v>
      </c>
      <c r="J343" s="4">
        <v>788</v>
      </c>
      <c r="K343" s="4">
        <v>887</v>
      </c>
      <c r="L343" s="4">
        <v>3232</v>
      </c>
      <c r="M343" s="4">
        <v>2241</v>
      </c>
      <c r="N343" s="3">
        <f t="shared" si="10"/>
        <v>32648</v>
      </c>
      <c r="O343" s="4">
        <v>3</v>
      </c>
      <c r="P343" s="4">
        <v>3</v>
      </c>
      <c r="Q343" s="4">
        <v>4</v>
      </c>
      <c r="R343" s="4">
        <v>4</v>
      </c>
      <c r="S343" s="4">
        <v>3</v>
      </c>
      <c r="T343" s="4">
        <v>7</v>
      </c>
      <c r="U343" s="4">
        <v>5</v>
      </c>
      <c r="V343" s="4">
        <v>0</v>
      </c>
      <c r="W343" s="4">
        <v>3</v>
      </c>
      <c r="X343" s="4">
        <v>6</v>
      </c>
      <c r="Y343" s="4">
        <v>3</v>
      </c>
      <c r="Z343" s="4">
        <v>4</v>
      </c>
      <c r="AA343" s="3">
        <f t="shared" si="11"/>
        <v>45</v>
      </c>
      <c r="AB343" t="s">
        <v>63</v>
      </c>
      <c r="AC343">
        <v>0.47</v>
      </c>
      <c r="AD343">
        <v>77.349999999999994</v>
      </c>
      <c r="AE343">
        <v>43.76</v>
      </c>
      <c r="AF343">
        <v>69.760000000000005</v>
      </c>
      <c r="AG343">
        <v>91.83</v>
      </c>
      <c r="AH343">
        <v>91.91</v>
      </c>
      <c r="AI343">
        <v>70.55</v>
      </c>
      <c r="AJ343">
        <v>66.98</v>
      </c>
      <c r="AK343">
        <v>16.03</v>
      </c>
      <c r="AL343">
        <v>18.28</v>
      </c>
      <c r="AM343">
        <v>64.91</v>
      </c>
      <c r="AN343">
        <v>45.18</v>
      </c>
      <c r="AO343" s="1">
        <v>657.00999999999976</v>
      </c>
    </row>
    <row r="344" spans="1:41" x14ac:dyDescent="0.25">
      <c r="A344" t="s">
        <v>937</v>
      </c>
      <c r="B344" s="4">
        <v>0</v>
      </c>
      <c r="C344" s="4">
        <v>12944</v>
      </c>
      <c r="D344" s="4">
        <v>6298</v>
      </c>
      <c r="E344" s="4">
        <v>0</v>
      </c>
      <c r="F344" s="4">
        <v>28267</v>
      </c>
      <c r="G344" s="4">
        <v>2922</v>
      </c>
      <c r="H344" s="4">
        <v>6337</v>
      </c>
      <c r="I344" s="4">
        <v>217</v>
      </c>
      <c r="J344" s="4">
        <v>1423</v>
      </c>
      <c r="K344" s="4">
        <v>4798</v>
      </c>
      <c r="L344" s="4">
        <v>287</v>
      </c>
      <c r="M344" s="4">
        <v>2231</v>
      </c>
      <c r="N344" s="3">
        <f t="shared" si="10"/>
        <v>65724</v>
      </c>
      <c r="O344" s="4">
        <v>0</v>
      </c>
      <c r="P344" s="4">
        <v>4</v>
      </c>
      <c r="Q344" s="4">
        <v>11</v>
      </c>
      <c r="R344" s="4">
        <v>5</v>
      </c>
      <c r="S344" s="4">
        <v>5</v>
      </c>
      <c r="T344" s="4">
        <v>4</v>
      </c>
      <c r="U344" s="4">
        <v>2</v>
      </c>
      <c r="V344" s="4">
        <v>4</v>
      </c>
      <c r="W344" s="4">
        <v>5</v>
      </c>
      <c r="X344" s="4">
        <v>2</v>
      </c>
      <c r="Y344" s="4">
        <v>2</v>
      </c>
      <c r="Z344" s="4">
        <v>3</v>
      </c>
      <c r="AA344" s="3">
        <f t="shared" si="11"/>
        <v>47</v>
      </c>
      <c r="AB344" t="s">
        <v>63</v>
      </c>
      <c r="AD344">
        <v>259.24</v>
      </c>
      <c r="AE344">
        <v>126.95</v>
      </c>
      <c r="AF344">
        <v>0.45</v>
      </c>
      <c r="AG344">
        <v>565.79</v>
      </c>
      <c r="AH344">
        <v>58.8</v>
      </c>
      <c r="AI344">
        <v>126.92</v>
      </c>
      <c r="AJ344">
        <v>4.7</v>
      </c>
      <c r="AK344">
        <v>28.91</v>
      </c>
      <c r="AL344">
        <v>96.14</v>
      </c>
      <c r="AM344">
        <v>5.92</v>
      </c>
      <c r="AN344">
        <v>44.89</v>
      </c>
      <c r="AO344" s="1">
        <v>1318.7100000000003</v>
      </c>
    </row>
    <row r="345" spans="1:41" x14ac:dyDescent="0.25">
      <c r="A345" t="s">
        <v>938</v>
      </c>
      <c r="B345" s="4">
        <v>0</v>
      </c>
      <c r="C345" s="4">
        <v>8455</v>
      </c>
      <c r="D345" s="4">
        <v>10681</v>
      </c>
      <c r="E345" s="4">
        <v>16876</v>
      </c>
      <c r="F345" s="4">
        <v>6881</v>
      </c>
      <c r="G345" s="4">
        <v>612</v>
      </c>
      <c r="H345" s="4">
        <v>4753</v>
      </c>
      <c r="I345" s="4">
        <v>517</v>
      </c>
      <c r="J345" s="4">
        <v>7759</v>
      </c>
      <c r="K345" s="4">
        <v>1043</v>
      </c>
      <c r="L345" s="4">
        <v>518</v>
      </c>
      <c r="M345" s="4">
        <v>8529</v>
      </c>
      <c r="N345" s="3">
        <f t="shared" si="10"/>
        <v>66624</v>
      </c>
      <c r="O345" s="4">
        <v>3</v>
      </c>
      <c r="P345" s="4">
        <v>17</v>
      </c>
      <c r="Q345" s="4">
        <v>5</v>
      </c>
      <c r="R345" s="4">
        <v>1</v>
      </c>
      <c r="S345" s="4">
        <v>1</v>
      </c>
      <c r="T345" s="4">
        <v>3</v>
      </c>
      <c r="U345" s="4">
        <v>0</v>
      </c>
      <c r="V345" s="4">
        <v>0</v>
      </c>
      <c r="W345" s="4">
        <v>2</v>
      </c>
      <c r="X345" s="4">
        <v>3</v>
      </c>
      <c r="Y345" s="4">
        <v>3</v>
      </c>
      <c r="Z345" s="4">
        <v>2</v>
      </c>
      <c r="AA345" s="3">
        <f t="shared" si="11"/>
        <v>40</v>
      </c>
      <c r="AB345" t="s">
        <v>63</v>
      </c>
      <c r="AC345">
        <v>0.27</v>
      </c>
      <c r="AD345">
        <v>170.63</v>
      </c>
      <c r="AE345">
        <v>214.07</v>
      </c>
      <c r="AF345">
        <v>337.61</v>
      </c>
      <c r="AG345">
        <v>137.71</v>
      </c>
      <c r="AH345">
        <v>12.51</v>
      </c>
      <c r="AI345">
        <v>95.06</v>
      </c>
      <c r="AJ345">
        <v>10.34</v>
      </c>
      <c r="AK345">
        <v>155.36000000000001</v>
      </c>
      <c r="AL345">
        <v>21.13</v>
      </c>
      <c r="AM345">
        <v>10.63</v>
      </c>
      <c r="AN345">
        <v>170.76</v>
      </c>
      <c r="AO345" s="1">
        <v>1336.0800000000004</v>
      </c>
    </row>
    <row r="346" spans="1:41" x14ac:dyDescent="0.25">
      <c r="A346" t="s">
        <v>939</v>
      </c>
      <c r="B346" s="4">
        <v>0</v>
      </c>
      <c r="C346" s="4">
        <v>6784</v>
      </c>
      <c r="D346" s="4">
        <v>1703</v>
      </c>
      <c r="E346" s="4">
        <v>1357</v>
      </c>
      <c r="F346" s="4">
        <v>3225</v>
      </c>
      <c r="G346" s="4">
        <v>2122</v>
      </c>
      <c r="H346" s="4">
        <v>3376</v>
      </c>
      <c r="I346" s="4">
        <v>3244</v>
      </c>
      <c r="J346" s="4">
        <v>4072</v>
      </c>
      <c r="K346" s="4">
        <v>6330</v>
      </c>
      <c r="L346" s="4">
        <v>887</v>
      </c>
      <c r="M346" s="4">
        <v>1919</v>
      </c>
      <c r="N346" s="3">
        <f t="shared" si="10"/>
        <v>35019</v>
      </c>
      <c r="O346" s="4">
        <v>0</v>
      </c>
      <c r="P346" s="4">
        <v>1</v>
      </c>
      <c r="Q346" s="4">
        <v>15</v>
      </c>
      <c r="R346" s="4">
        <v>1</v>
      </c>
      <c r="S346" s="4">
        <v>5</v>
      </c>
      <c r="T346" s="4">
        <v>1</v>
      </c>
      <c r="U346" s="4">
        <v>7</v>
      </c>
      <c r="V346" s="4">
        <v>0</v>
      </c>
      <c r="W346" s="4">
        <v>15</v>
      </c>
      <c r="X346" s="4">
        <v>2</v>
      </c>
      <c r="Y346" s="4">
        <v>0</v>
      </c>
      <c r="Z346" s="4">
        <v>0</v>
      </c>
      <c r="AA346" s="3">
        <f t="shared" si="11"/>
        <v>47</v>
      </c>
      <c r="AB346" t="s">
        <v>63</v>
      </c>
      <c r="AD346">
        <v>135.77000000000001</v>
      </c>
      <c r="AE346">
        <v>35.409999999999997</v>
      </c>
      <c r="AF346">
        <v>27.23</v>
      </c>
      <c r="AG346">
        <v>64.95</v>
      </c>
      <c r="AH346">
        <v>42.53</v>
      </c>
      <c r="AI346">
        <v>68.150000000000006</v>
      </c>
      <c r="AJ346">
        <v>64.88</v>
      </c>
      <c r="AK346">
        <v>82.79</v>
      </c>
      <c r="AL346">
        <v>126.78</v>
      </c>
      <c r="AM346">
        <v>17.739999999999998</v>
      </c>
      <c r="AN346">
        <v>38.380000000000003</v>
      </c>
      <c r="AO346" s="1">
        <v>704.6099999999999</v>
      </c>
    </row>
    <row r="347" spans="1:41" x14ac:dyDescent="0.25">
      <c r="A347" t="s">
        <v>940</v>
      </c>
      <c r="B347" s="4">
        <v>0</v>
      </c>
      <c r="C347" s="4">
        <v>5485</v>
      </c>
      <c r="D347" s="4">
        <v>0</v>
      </c>
      <c r="E347" s="4">
        <v>1241</v>
      </c>
      <c r="F347" s="4">
        <v>3883</v>
      </c>
      <c r="G347" s="4">
        <v>3914</v>
      </c>
      <c r="H347" s="4">
        <v>5069</v>
      </c>
      <c r="I347" s="4">
        <v>2805</v>
      </c>
      <c r="J347" s="4">
        <v>2662</v>
      </c>
      <c r="K347" s="4">
        <v>8754</v>
      </c>
      <c r="L347" s="4">
        <v>2346</v>
      </c>
      <c r="M347" s="4">
        <v>3</v>
      </c>
      <c r="N347" s="3">
        <f t="shared" si="10"/>
        <v>36162</v>
      </c>
      <c r="O347" s="4">
        <v>0</v>
      </c>
      <c r="P347" s="4">
        <v>1</v>
      </c>
      <c r="Q347" s="4">
        <v>11</v>
      </c>
      <c r="R347" s="4">
        <v>2</v>
      </c>
      <c r="S347" s="4">
        <v>4</v>
      </c>
      <c r="T347" s="4">
        <v>6</v>
      </c>
      <c r="U347" s="4">
        <v>1</v>
      </c>
      <c r="V347" s="4">
        <v>16</v>
      </c>
      <c r="W347" s="4">
        <v>14</v>
      </c>
      <c r="X347" s="4">
        <v>3</v>
      </c>
      <c r="Y347" s="4">
        <v>4</v>
      </c>
      <c r="Z347" s="4">
        <v>1</v>
      </c>
      <c r="AA347" s="3">
        <f t="shared" si="11"/>
        <v>63</v>
      </c>
      <c r="AB347" t="s">
        <v>63</v>
      </c>
      <c r="AD347">
        <v>109.79</v>
      </c>
      <c r="AE347">
        <v>0.99</v>
      </c>
      <c r="AF347">
        <v>25</v>
      </c>
      <c r="AG347">
        <v>78.02</v>
      </c>
      <c r="AH347">
        <v>78.819999999999993</v>
      </c>
      <c r="AI347">
        <v>101.47</v>
      </c>
      <c r="AJ347">
        <v>57.54</v>
      </c>
      <c r="AK347">
        <v>54.5</v>
      </c>
      <c r="AL347">
        <v>175.35</v>
      </c>
      <c r="AM347">
        <v>47.28</v>
      </c>
      <c r="AN347">
        <v>0.15</v>
      </c>
      <c r="AO347" s="1">
        <v>728.91</v>
      </c>
    </row>
    <row r="348" spans="1:41" x14ac:dyDescent="0.25">
      <c r="A348" t="s">
        <v>941</v>
      </c>
      <c r="B348" s="4">
        <v>0</v>
      </c>
      <c r="C348" s="4">
        <v>5080</v>
      </c>
      <c r="D348" s="4">
        <v>3052</v>
      </c>
      <c r="E348" s="4">
        <v>4642</v>
      </c>
      <c r="F348" s="4">
        <v>387</v>
      </c>
      <c r="G348" s="4">
        <v>11216</v>
      </c>
      <c r="H348" s="4">
        <v>0</v>
      </c>
      <c r="I348" s="4">
        <v>1681</v>
      </c>
      <c r="J348" s="4">
        <v>3299</v>
      </c>
      <c r="K348" s="4">
        <v>0</v>
      </c>
      <c r="L348" s="4">
        <v>333</v>
      </c>
      <c r="M348" s="4">
        <v>528</v>
      </c>
      <c r="N348" s="3">
        <f t="shared" si="10"/>
        <v>30218</v>
      </c>
      <c r="O348" s="4">
        <v>7</v>
      </c>
      <c r="P348" s="4">
        <v>2</v>
      </c>
      <c r="Q348" s="4">
        <v>4</v>
      </c>
      <c r="R348" s="4">
        <v>7</v>
      </c>
      <c r="S348" s="4">
        <v>1</v>
      </c>
      <c r="T348" s="4">
        <v>14</v>
      </c>
      <c r="U348" s="4">
        <v>8</v>
      </c>
      <c r="V348" s="4">
        <v>3</v>
      </c>
      <c r="W348" s="4">
        <v>2</v>
      </c>
      <c r="X348" s="4">
        <v>0</v>
      </c>
      <c r="Y348" s="4">
        <v>2</v>
      </c>
      <c r="Z348" s="4">
        <v>8</v>
      </c>
      <c r="AA348" s="3">
        <f t="shared" si="11"/>
        <v>58</v>
      </c>
      <c r="AB348" t="s">
        <v>63</v>
      </c>
      <c r="AC348">
        <v>0.63</v>
      </c>
      <c r="AD348">
        <v>101.78</v>
      </c>
      <c r="AE348">
        <v>61.4</v>
      </c>
      <c r="AF348">
        <v>93.47</v>
      </c>
      <c r="AG348">
        <v>7.83</v>
      </c>
      <c r="AH348">
        <v>225.58</v>
      </c>
      <c r="AI348">
        <v>0.72</v>
      </c>
      <c r="AJ348">
        <v>33.89</v>
      </c>
      <c r="AK348">
        <v>66.16</v>
      </c>
      <c r="AL348">
        <v>0</v>
      </c>
      <c r="AM348">
        <v>6.84</v>
      </c>
      <c r="AN348">
        <v>11.28</v>
      </c>
      <c r="AO348" s="1">
        <v>609.57999999999993</v>
      </c>
    </row>
    <row r="349" spans="1:41" x14ac:dyDescent="0.25">
      <c r="A349" t="s">
        <v>942</v>
      </c>
      <c r="B349" s="4">
        <v>0</v>
      </c>
      <c r="C349" s="4">
        <v>5015</v>
      </c>
      <c r="D349" s="4">
        <v>740</v>
      </c>
      <c r="E349" s="4">
        <v>3381</v>
      </c>
      <c r="F349" s="4">
        <v>719</v>
      </c>
      <c r="G349" s="4">
        <v>2378</v>
      </c>
      <c r="H349" s="4">
        <v>6413</v>
      </c>
      <c r="I349" s="4">
        <v>5460</v>
      </c>
      <c r="J349" s="4">
        <v>909</v>
      </c>
      <c r="K349" s="4">
        <v>2808</v>
      </c>
      <c r="L349" s="4">
        <v>2702</v>
      </c>
      <c r="M349" s="4">
        <v>878</v>
      </c>
      <c r="N349" s="3">
        <f t="shared" si="10"/>
        <v>31403</v>
      </c>
      <c r="O349" s="4">
        <v>1</v>
      </c>
      <c r="P349" s="4">
        <v>0</v>
      </c>
      <c r="Q349" s="4">
        <v>3</v>
      </c>
      <c r="R349" s="4">
        <v>5</v>
      </c>
      <c r="S349" s="4">
        <v>5</v>
      </c>
      <c r="T349" s="4">
        <v>0</v>
      </c>
      <c r="U349" s="4">
        <v>14</v>
      </c>
      <c r="V349" s="4">
        <v>0</v>
      </c>
      <c r="W349" s="4">
        <v>2</v>
      </c>
      <c r="X349" s="4">
        <v>0</v>
      </c>
      <c r="Y349" s="4">
        <v>4</v>
      </c>
      <c r="Z349" s="4">
        <v>12</v>
      </c>
      <c r="AA349" s="3">
        <f t="shared" si="11"/>
        <v>46</v>
      </c>
      <c r="AB349" t="s">
        <v>63</v>
      </c>
      <c r="AC349">
        <v>0.09</v>
      </c>
      <c r="AD349">
        <v>100.3</v>
      </c>
      <c r="AE349">
        <v>15.07</v>
      </c>
      <c r="AF349">
        <v>68.069999999999993</v>
      </c>
      <c r="AG349">
        <v>14.83</v>
      </c>
      <c r="AH349">
        <v>47.56</v>
      </c>
      <c r="AI349">
        <v>129.52000000000001</v>
      </c>
      <c r="AJ349">
        <v>109.2</v>
      </c>
      <c r="AK349">
        <v>18.36</v>
      </c>
      <c r="AL349">
        <v>56.16</v>
      </c>
      <c r="AM349">
        <v>54.4</v>
      </c>
      <c r="AN349">
        <v>18.64</v>
      </c>
      <c r="AO349" s="1">
        <v>632.20000000000005</v>
      </c>
    </row>
    <row r="350" spans="1:41" x14ac:dyDescent="0.25">
      <c r="A350" t="s">
        <v>943</v>
      </c>
      <c r="B350" s="4">
        <v>0</v>
      </c>
      <c r="C350" s="4">
        <v>4805</v>
      </c>
      <c r="D350" s="4">
        <v>2452</v>
      </c>
      <c r="E350" s="4">
        <v>0</v>
      </c>
      <c r="F350" s="4">
        <v>5313</v>
      </c>
      <c r="G350" s="4">
        <v>4974</v>
      </c>
      <c r="H350" s="4">
        <v>1410</v>
      </c>
      <c r="I350" s="4">
        <v>532</v>
      </c>
      <c r="J350" s="4">
        <v>1429</v>
      </c>
      <c r="K350" s="4">
        <v>2790</v>
      </c>
      <c r="L350" s="4">
        <v>7453</v>
      </c>
      <c r="M350" s="4">
        <v>1636</v>
      </c>
      <c r="N350" s="3">
        <f t="shared" si="10"/>
        <v>32794</v>
      </c>
      <c r="O350" s="4">
        <v>4</v>
      </c>
      <c r="P350" s="4">
        <v>8</v>
      </c>
      <c r="Q350" s="4">
        <v>3</v>
      </c>
      <c r="R350" s="4">
        <v>3</v>
      </c>
      <c r="S350" s="4">
        <v>5</v>
      </c>
      <c r="T350" s="4">
        <v>1</v>
      </c>
      <c r="U350" s="4">
        <v>3</v>
      </c>
      <c r="V350" s="4">
        <v>7</v>
      </c>
      <c r="W350" s="4">
        <v>3</v>
      </c>
      <c r="X350" s="4">
        <v>5</v>
      </c>
      <c r="Y350" s="4">
        <v>4</v>
      </c>
      <c r="Z350" s="4">
        <v>0</v>
      </c>
      <c r="AA350" s="3">
        <f t="shared" si="11"/>
        <v>46</v>
      </c>
      <c r="AB350" t="s">
        <v>63</v>
      </c>
      <c r="AC350">
        <v>0.36</v>
      </c>
      <c r="AD350">
        <v>96.82</v>
      </c>
      <c r="AE350">
        <v>49.31</v>
      </c>
      <c r="AF350">
        <v>0.27</v>
      </c>
      <c r="AG350">
        <v>106.71</v>
      </c>
      <c r="AH350">
        <v>99.57</v>
      </c>
      <c r="AI350">
        <v>28.47</v>
      </c>
      <c r="AJ350">
        <v>11.27</v>
      </c>
      <c r="AK350">
        <v>28.85</v>
      </c>
      <c r="AL350">
        <v>56.25</v>
      </c>
      <c r="AM350">
        <v>149.41999999999999</v>
      </c>
      <c r="AN350">
        <v>32.72</v>
      </c>
      <c r="AO350" s="1">
        <v>660.02</v>
      </c>
    </row>
    <row r="351" spans="1:41" x14ac:dyDescent="0.25">
      <c r="A351" t="s">
        <v>944</v>
      </c>
      <c r="B351" s="4">
        <v>0</v>
      </c>
      <c r="C351" s="4">
        <v>4621</v>
      </c>
      <c r="D351" s="4">
        <v>1887</v>
      </c>
      <c r="E351" s="4">
        <v>0</v>
      </c>
      <c r="F351" s="4">
        <v>1445</v>
      </c>
      <c r="G351" s="4">
        <v>0</v>
      </c>
      <c r="H351" s="4">
        <v>5515</v>
      </c>
      <c r="I351" s="4">
        <v>4786</v>
      </c>
      <c r="J351" s="4">
        <v>7558</v>
      </c>
      <c r="K351" s="4">
        <v>2456</v>
      </c>
      <c r="L351" s="4">
        <v>810</v>
      </c>
      <c r="M351" s="4">
        <v>353</v>
      </c>
      <c r="N351" s="3">
        <f t="shared" si="10"/>
        <v>29431</v>
      </c>
      <c r="O351" s="4">
        <v>2</v>
      </c>
      <c r="P351" s="4">
        <v>4</v>
      </c>
      <c r="Q351" s="4">
        <v>5</v>
      </c>
      <c r="R351" s="4">
        <v>3</v>
      </c>
      <c r="S351" s="4">
        <v>4</v>
      </c>
      <c r="T351" s="4">
        <v>0</v>
      </c>
      <c r="U351" s="4">
        <v>3</v>
      </c>
      <c r="V351" s="4">
        <v>2</v>
      </c>
      <c r="W351" s="4">
        <v>13</v>
      </c>
      <c r="X351" s="4">
        <v>8</v>
      </c>
      <c r="Y351" s="4">
        <v>13</v>
      </c>
      <c r="Z351" s="4">
        <v>0</v>
      </c>
      <c r="AA351" s="3">
        <f t="shared" si="11"/>
        <v>57</v>
      </c>
      <c r="AB351" t="s">
        <v>63</v>
      </c>
      <c r="AC351">
        <v>0.18</v>
      </c>
      <c r="AD351">
        <v>92.78</v>
      </c>
      <c r="AE351">
        <v>38.19</v>
      </c>
      <c r="AF351">
        <v>0.27</v>
      </c>
      <c r="AG351">
        <v>29.26</v>
      </c>
      <c r="AH351">
        <v>0</v>
      </c>
      <c r="AI351">
        <v>110.57</v>
      </c>
      <c r="AJ351">
        <v>95.9</v>
      </c>
      <c r="AK351">
        <v>152.33000000000001</v>
      </c>
      <c r="AL351">
        <v>49.84</v>
      </c>
      <c r="AM351">
        <v>17.37</v>
      </c>
      <c r="AN351">
        <v>7.06</v>
      </c>
      <c r="AO351" s="1">
        <v>593.75</v>
      </c>
    </row>
    <row r="352" spans="1:41" x14ac:dyDescent="0.25">
      <c r="A352" t="s">
        <v>945</v>
      </c>
      <c r="B352" s="4">
        <v>0</v>
      </c>
      <c r="C352" s="4">
        <v>4606</v>
      </c>
      <c r="D352" s="4">
        <v>3329</v>
      </c>
      <c r="E352" s="4">
        <v>3229</v>
      </c>
      <c r="F352" s="4">
        <v>1213</v>
      </c>
      <c r="G352" s="4">
        <v>228</v>
      </c>
      <c r="H352" s="4">
        <v>5439</v>
      </c>
      <c r="I352" s="4">
        <v>7127</v>
      </c>
      <c r="J352" s="4">
        <v>2029</v>
      </c>
      <c r="K352" s="4">
        <v>927</v>
      </c>
      <c r="L352" s="4">
        <v>0</v>
      </c>
      <c r="M352" s="4">
        <v>4876</v>
      </c>
      <c r="N352" s="3">
        <f t="shared" si="10"/>
        <v>33003</v>
      </c>
      <c r="O352" s="4">
        <v>7</v>
      </c>
      <c r="P352" s="4">
        <v>6</v>
      </c>
      <c r="Q352" s="4">
        <v>0</v>
      </c>
      <c r="R352" s="4">
        <v>4</v>
      </c>
      <c r="S352" s="4">
        <v>3</v>
      </c>
      <c r="T352" s="4">
        <v>0</v>
      </c>
      <c r="U352" s="4">
        <v>9</v>
      </c>
      <c r="V352" s="4">
        <v>0</v>
      </c>
      <c r="W352" s="4">
        <v>2</v>
      </c>
      <c r="X352" s="4">
        <v>12</v>
      </c>
      <c r="Y352" s="4">
        <v>2</v>
      </c>
      <c r="Z352" s="4">
        <v>17</v>
      </c>
      <c r="AA352" s="3">
        <f t="shared" si="11"/>
        <v>62</v>
      </c>
      <c r="AB352" t="s">
        <v>63</v>
      </c>
      <c r="AC352">
        <v>0.63</v>
      </c>
      <c r="AD352">
        <v>92.66</v>
      </c>
      <c r="AE352">
        <v>66.58</v>
      </c>
      <c r="AF352">
        <v>64.94</v>
      </c>
      <c r="AG352">
        <v>24.53</v>
      </c>
      <c r="AH352">
        <v>4.5599999999999996</v>
      </c>
      <c r="AI352">
        <v>109.59</v>
      </c>
      <c r="AJ352">
        <v>142.54</v>
      </c>
      <c r="AK352">
        <v>40.76</v>
      </c>
      <c r="AL352">
        <v>19.62</v>
      </c>
      <c r="AM352">
        <v>0.18</v>
      </c>
      <c r="AN352">
        <v>99.05</v>
      </c>
      <c r="AO352" s="1">
        <v>665.63999999999987</v>
      </c>
    </row>
    <row r="353" spans="1:41" x14ac:dyDescent="0.25">
      <c r="A353" t="s">
        <v>946</v>
      </c>
      <c r="B353" s="4">
        <v>0</v>
      </c>
      <c r="C353" s="4">
        <v>3665</v>
      </c>
      <c r="D353" s="4">
        <v>8412</v>
      </c>
      <c r="E353" s="4">
        <v>455</v>
      </c>
      <c r="F353" s="4">
        <v>1634</v>
      </c>
      <c r="G353" s="4">
        <v>5543</v>
      </c>
      <c r="H353" s="4">
        <v>1795</v>
      </c>
      <c r="I353" s="4">
        <v>0</v>
      </c>
      <c r="J353" s="4">
        <v>1217</v>
      </c>
      <c r="K353" s="4">
        <v>1437</v>
      </c>
      <c r="L353" s="4">
        <v>7042</v>
      </c>
      <c r="M353" s="4">
        <v>2813</v>
      </c>
      <c r="N353" s="3">
        <f t="shared" si="10"/>
        <v>34013</v>
      </c>
      <c r="O353" s="4">
        <v>9</v>
      </c>
      <c r="P353" s="4">
        <v>3</v>
      </c>
      <c r="Q353" s="4">
        <v>0</v>
      </c>
      <c r="R353" s="4">
        <v>2</v>
      </c>
      <c r="S353" s="4">
        <v>1</v>
      </c>
      <c r="T353" s="4">
        <v>5</v>
      </c>
      <c r="U353" s="4">
        <v>2</v>
      </c>
      <c r="V353" s="4">
        <v>0</v>
      </c>
      <c r="W353" s="4">
        <v>4</v>
      </c>
      <c r="X353" s="4">
        <v>1</v>
      </c>
      <c r="Y353" s="4">
        <v>3</v>
      </c>
      <c r="Z353" s="4">
        <v>4</v>
      </c>
      <c r="AA353" s="3">
        <f t="shared" si="11"/>
        <v>34</v>
      </c>
      <c r="AB353" t="s">
        <v>63</v>
      </c>
      <c r="AC353">
        <v>0.81</v>
      </c>
      <c r="AD353">
        <v>73.569999999999993</v>
      </c>
      <c r="AE353">
        <v>168.24</v>
      </c>
      <c r="AF353">
        <v>9.2799999999999994</v>
      </c>
      <c r="AG353">
        <v>32.770000000000003</v>
      </c>
      <c r="AH353">
        <v>111.31</v>
      </c>
      <c r="AI353">
        <v>36.08</v>
      </c>
      <c r="AJ353">
        <v>0</v>
      </c>
      <c r="AK353">
        <v>24.7</v>
      </c>
      <c r="AL353">
        <v>28.83</v>
      </c>
      <c r="AM353">
        <v>141.11000000000001</v>
      </c>
      <c r="AN353">
        <v>56.62</v>
      </c>
      <c r="AO353" s="1">
        <v>683.32</v>
      </c>
    </row>
    <row r="354" spans="1:41" x14ac:dyDescent="0.25">
      <c r="A354" t="s">
        <v>947</v>
      </c>
      <c r="B354" s="4">
        <v>0</v>
      </c>
      <c r="C354" s="4">
        <v>3663</v>
      </c>
      <c r="D354" s="4">
        <v>3230</v>
      </c>
      <c r="E354" s="4">
        <v>7819</v>
      </c>
      <c r="F354" s="4">
        <v>51</v>
      </c>
      <c r="G354" s="4">
        <v>1621</v>
      </c>
      <c r="H354" s="4">
        <v>603</v>
      </c>
      <c r="I354" s="4">
        <v>11647</v>
      </c>
      <c r="J354" s="4">
        <v>1331</v>
      </c>
      <c r="K354" s="4">
        <v>300</v>
      </c>
      <c r="L354" s="4">
        <v>2455</v>
      </c>
      <c r="M354" s="4">
        <v>2453</v>
      </c>
      <c r="N354" s="3">
        <f t="shared" si="10"/>
        <v>35173</v>
      </c>
      <c r="O354" s="4">
        <v>9</v>
      </c>
      <c r="P354" s="4">
        <v>1</v>
      </c>
      <c r="Q354" s="4">
        <v>5</v>
      </c>
      <c r="R354" s="4">
        <v>2</v>
      </c>
      <c r="S354" s="4">
        <v>0</v>
      </c>
      <c r="T354" s="4">
        <v>10</v>
      </c>
      <c r="U354" s="4">
        <v>8</v>
      </c>
      <c r="V354" s="4">
        <v>5</v>
      </c>
      <c r="W354" s="4">
        <v>9</v>
      </c>
      <c r="X354" s="4">
        <v>9</v>
      </c>
      <c r="Y354" s="4">
        <v>5</v>
      </c>
      <c r="Z354" s="4">
        <v>6</v>
      </c>
      <c r="AA354" s="3">
        <f t="shared" si="11"/>
        <v>69</v>
      </c>
      <c r="AB354" t="s">
        <v>63</v>
      </c>
      <c r="AC354">
        <v>0.81</v>
      </c>
      <c r="AD354">
        <v>73.349999999999994</v>
      </c>
      <c r="AE354">
        <v>65.05</v>
      </c>
      <c r="AF354">
        <v>156.56</v>
      </c>
      <c r="AG354">
        <v>1.02</v>
      </c>
      <c r="AH354">
        <v>33.32</v>
      </c>
      <c r="AI354">
        <v>12.78</v>
      </c>
      <c r="AJ354">
        <v>233.39</v>
      </c>
      <c r="AK354">
        <v>27.43</v>
      </c>
      <c r="AL354">
        <v>6.81</v>
      </c>
      <c r="AM354">
        <v>49.55</v>
      </c>
      <c r="AN354">
        <v>49.6</v>
      </c>
      <c r="AO354" s="1">
        <v>709.66999999999985</v>
      </c>
    </row>
    <row r="355" spans="1:41" x14ac:dyDescent="0.25">
      <c r="A355" t="s">
        <v>948</v>
      </c>
      <c r="B355" s="4">
        <v>0</v>
      </c>
      <c r="C355" s="4">
        <v>3423</v>
      </c>
      <c r="D355" s="4">
        <v>3195</v>
      </c>
      <c r="E355" s="4">
        <v>926</v>
      </c>
      <c r="F355" s="4">
        <v>6028</v>
      </c>
      <c r="G355" s="4">
        <v>148</v>
      </c>
      <c r="H355" s="4">
        <v>5407</v>
      </c>
      <c r="I355" s="4">
        <v>794</v>
      </c>
      <c r="J355" s="4">
        <v>4141</v>
      </c>
      <c r="K355" s="4">
        <v>994</v>
      </c>
      <c r="L355" s="4">
        <v>600</v>
      </c>
      <c r="M355" s="4">
        <v>4855</v>
      </c>
      <c r="N355" s="3">
        <f t="shared" si="10"/>
        <v>30511</v>
      </c>
      <c r="O355" s="4">
        <v>4</v>
      </c>
      <c r="P355" s="4">
        <v>7</v>
      </c>
      <c r="Q355" s="4">
        <v>1</v>
      </c>
      <c r="R355" s="4">
        <v>5</v>
      </c>
      <c r="S355" s="4">
        <v>5</v>
      </c>
      <c r="T355" s="4">
        <v>0</v>
      </c>
      <c r="U355" s="4">
        <v>4</v>
      </c>
      <c r="V355" s="4">
        <v>6</v>
      </c>
      <c r="W355" s="4">
        <v>3</v>
      </c>
      <c r="X355" s="4">
        <v>0</v>
      </c>
      <c r="Y355" s="4">
        <v>0</v>
      </c>
      <c r="Z355" s="4">
        <v>2</v>
      </c>
      <c r="AA355" s="3">
        <f t="shared" si="11"/>
        <v>37</v>
      </c>
      <c r="AB355" t="s">
        <v>63</v>
      </c>
      <c r="AC355">
        <v>0.36</v>
      </c>
      <c r="AD355">
        <v>69.09</v>
      </c>
      <c r="AE355">
        <v>63.99</v>
      </c>
      <c r="AF355">
        <v>18.97</v>
      </c>
      <c r="AG355">
        <v>121.01</v>
      </c>
      <c r="AH355">
        <v>2.96</v>
      </c>
      <c r="AI355">
        <v>108.5</v>
      </c>
      <c r="AJ355">
        <v>16.420000000000002</v>
      </c>
      <c r="AK355">
        <v>83.09</v>
      </c>
      <c r="AL355">
        <v>19.88</v>
      </c>
      <c r="AM355">
        <v>12</v>
      </c>
      <c r="AN355">
        <v>97.28</v>
      </c>
      <c r="AO355" s="1">
        <v>613.54999999999995</v>
      </c>
    </row>
    <row r="356" spans="1:41" x14ac:dyDescent="0.25">
      <c r="A356" t="s">
        <v>949</v>
      </c>
      <c r="B356" s="4">
        <v>0</v>
      </c>
      <c r="C356" s="4">
        <v>3355</v>
      </c>
      <c r="D356" s="4">
        <v>2163</v>
      </c>
      <c r="E356" s="4">
        <v>5882</v>
      </c>
      <c r="F356" s="4">
        <v>3084</v>
      </c>
      <c r="G356" s="4">
        <v>6988</v>
      </c>
      <c r="H356" s="4">
        <v>676</v>
      </c>
      <c r="I356" s="4">
        <v>3189</v>
      </c>
      <c r="J356" s="4">
        <v>954</v>
      </c>
      <c r="K356" s="4">
        <v>1652</v>
      </c>
      <c r="L356" s="4">
        <v>7814</v>
      </c>
      <c r="M356" s="4">
        <v>1369</v>
      </c>
      <c r="N356" s="3">
        <f t="shared" si="10"/>
        <v>37126</v>
      </c>
      <c r="O356" s="4">
        <v>7</v>
      </c>
      <c r="P356" s="4">
        <v>11</v>
      </c>
      <c r="Q356" s="4">
        <v>3</v>
      </c>
      <c r="R356" s="4">
        <v>2</v>
      </c>
      <c r="S356" s="4">
        <v>3</v>
      </c>
      <c r="T356" s="4">
        <v>9</v>
      </c>
      <c r="U356" s="4">
        <v>1</v>
      </c>
      <c r="V356" s="4">
        <v>1</v>
      </c>
      <c r="W356" s="4">
        <v>8</v>
      </c>
      <c r="X356" s="4">
        <v>1</v>
      </c>
      <c r="Y356" s="4">
        <v>5</v>
      </c>
      <c r="Z356" s="4">
        <v>1</v>
      </c>
      <c r="AA356" s="3">
        <f t="shared" si="11"/>
        <v>52</v>
      </c>
      <c r="AB356" t="s">
        <v>63</v>
      </c>
      <c r="AC356">
        <v>0.63</v>
      </c>
      <c r="AD356">
        <v>68.09</v>
      </c>
      <c r="AE356">
        <v>43.53</v>
      </c>
      <c r="AF356">
        <v>117.82</v>
      </c>
      <c r="AG356">
        <v>61.95</v>
      </c>
      <c r="AH356">
        <v>140.57</v>
      </c>
      <c r="AI356">
        <v>13.61</v>
      </c>
      <c r="AJ356">
        <v>63.87</v>
      </c>
      <c r="AK356">
        <v>19.8</v>
      </c>
      <c r="AL356">
        <v>33.130000000000003</v>
      </c>
      <c r="AM356">
        <v>156.72999999999999</v>
      </c>
      <c r="AN356">
        <v>27.47</v>
      </c>
      <c r="AO356" s="1">
        <v>747.2</v>
      </c>
    </row>
    <row r="357" spans="1:41" x14ac:dyDescent="0.25">
      <c r="A357" t="s">
        <v>950</v>
      </c>
      <c r="B357" s="4">
        <v>0</v>
      </c>
      <c r="C357" s="4">
        <v>3179</v>
      </c>
      <c r="D357" s="4">
        <v>8158</v>
      </c>
      <c r="E357" s="4">
        <v>490</v>
      </c>
      <c r="F357" s="4">
        <v>2368</v>
      </c>
      <c r="G357" s="4">
        <v>5265</v>
      </c>
      <c r="H357" s="4">
        <v>637</v>
      </c>
      <c r="I357" s="4">
        <v>0</v>
      </c>
      <c r="J357" s="4">
        <v>2524</v>
      </c>
      <c r="K357" s="4">
        <v>5093</v>
      </c>
      <c r="L357" s="4">
        <v>170</v>
      </c>
      <c r="M357" s="4">
        <v>6131</v>
      </c>
      <c r="N357" s="3">
        <f t="shared" si="10"/>
        <v>34015</v>
      </c>
      <c r="O357" s="4">
        <v>5</v>
      </c>
      <c r="P357" s="4">
        <v>7</v>
      </c>
      <c r="Q357" s="4">
        <v>9</v>
      </c>
      <c r="R357" s="4">
        <v>7</v>
      </c>
      <c r="S357" s="4">
        <v>2</v>
      </c>
      <c r="T357" s="4">
        <v>3</v>
      </c>
      <c r="U357" s="4">
        <v>3</v>
      </c>
      <c r="V357" s="4">
        <v>5</v>
      </c>
      <c r="W357" s="4">
        <v>2</v>
      </c>
      <c r="X357" s="4">
        <v>4</v>
      </c>
      <c r="Y357" s="4">
        <v>2</v>
      </c>
      <c r="Z357" s="4">
        <v>1</v>
      </c>
      <c r="AA357" s="3">
        <f t="shared" si="11"/>
        <v>50</v>
      </c>
      <c r="AB357" t="s">
        <v>63</v>
      </c>
      <c r="AC357">
        <v>0.45</v>
      </c>
      <c r="AD357">
        <v>64.209999999999994</v>
      </c>
      <c r="AE357">
        <v>163.97</v>
      </c>
      <c r="AF357">
        <v>10.43</v>
      </c>
      <c r="AG357">
        <v>47.54</v>
      </c>
      <c r="AH357">
        <v>105.57</v>
      </c>
      <c r="AI357">
        <v>13.01</v>
      </c>
      <c r="AJ357">
        <v>0.45</v>
      </c>
      <c r="AK357">
        <v>50.66</v>
      </c>
      <c r="AL357">
        <v>102.22</v>
      </c>
      <c r="AM357">
        <v>3.58</v>
      </c>
      <c r="AN357">
        <v>122.71</v>
      </c>
      <c r="AO357" s="1">
        <v>684.80000000000007</v>
      </c>
    </row>
    <row r="358" spans="1:41" x14ac:dyDescent="0.25">
      <c r="A358" t="s">
        <v>951</v>
      </c>
      <c r="B358" s="4">
        <v>0</v>
      </c>
      <c r="C358" s="4">
        <v>2741</v>
      </c>
      <c r="D358" s="4">
        <v>2013</v>
      </c>
      <c r="E358" s="4">
        <v>1935</v>
      </c>
      <c r="F358" s="4">
        <v>5213</v>
      </c>
      <c r="G358" s="4">
        <v>1488</v>
      </c>
      <c r="H358" s="4">
        <v>7324</v>
      </c>
      <c r="I358" s="4">
        <v>0</v>
      </c>
      <c r="J358" s="4">
        <v>1774</v>
      </c>
      <c r="K358" s="4">
        <v>4351</v>
      </c>
      <c r="L358" s="4">
        <v>2432</v>
      </c>
      <c r="M358" s="4">
        <v>0</v>
      </c>
      <c r="N358" s="3">
        <f t="shared" si="10"/>
        <v>29271</v>
      </c>
      <c r="O358" s="4">
        <v>10</v>
      </c>
      <c r="P358" s="4">
        <v>7</v>
      </c>
      <c r="Q358" s="4">
        <v>7</v>
      </c>
      <c r="R358" s="4">
        <v>5</v>
      </c>
      <c r="S358" s="4">
        <v>1</v>
      </c>
      <c r="T358" s="4">
        <v>5</v>
      </c>
      <c r="U358" s="4">
        <v>1</v>
      </c>
      <c r="V358" s="4">
        <v>4</v>
      </c>
      <c r="W358" s="4">
        <v>0</v>
      </c>
      <c r="X358" s="4">
        <v>7</v>
      </c>
      <c r="Y358" s="4">
        <v>0</v>
      </c>
      <c r="Z358" s="4">
        <v>11</v>
      </c>
      <c r="AA358" s="3">
        <f t="shared" si="11"/>
        <v>58</v>
      </c>
      <c r="AB358" t="s">
        <v>63</v>
      </c>
      <c r="AC358">
        <v>0.9</v>
      </c>
      <c r="AD358">
        <v>55.45</v>
      </c>
      <c r="AE358">
        <v>40.89</v>
      </c>
      <c r="AF358">
        <v>39.15</v>
      </c>
      <c r="AG358">
        <v>104.35</v>
      </c>
      <c r="AH358">
        <v>30.21</v>
      </c>
      <c r="AI358">
        <v>146.57</v>
      </c>
      <c r="AJ358">
        <v>0.36</v>
      </c>
      <c r="AK358">
        <v>35.479999999999997</v>
      </c>
      <c r="AL358">
        <v>87.65</v>
      </c>
      <c r="AM358">
        <v>48.64</v>
      </c>
      <c r="AN358">
        <v>0.99</v>
      </c>
      <c r="AO358" s="1">
        <v>590.64</v>
      </c>
    </row>
    <row r="359" spans="1:41" x14ac:dyDescent="0.25">
      <c r="A359" t="s">
        <v>952</v>
      </c>
      <c r="B359" s="4">
        <v>0</v>
      </c>
      <c r="C359" s="4">
        <v>2501</v>
      </c>
      <c r="D359" s="4">
        <v>1212</v>
      </c>
      <c r="E359" s="4">
        <v>2889</v>
      </c>
      <c r="F359" s="4">
        <v>0</v>
      </c>
      <c r="G359" s="4">
        <v>3455</v>
      </c>
      <c r="H359" s="4">
        <v>4243</v>
      </c>
      <c r="I359" s="4">
        <v>1786</v>
      </c>
      <c r="J359" s="4">
        <v>1282</v>
      </c>
      <c r="K359" s="4">
        <v>0</v>
      </c>
      <c r="L359" s="4">
        <v>382</v>
      </c>
      <c r="M359" s="4">
        <v>2291</v>
      </c>
      <c r="N359" s="3">
        <f t="shared" si="10"/>
        <v>20041</v>
      </c>
      <c r="O359" s="4">
        <v>12</v>
      </c>
      <c r="P359" s="4">
        <v>2</v>
      </c>
      <c r="Q359" s="4">
        <v>15</v>
      </c>
      <c r="R359" s="4">
        <v>2</v>
      </c>
      <c r="S359" s="4">
        <v>12</v>
      </c>
      <c r="T359" s="4">
        <v>1</v>
      </c>
      <c r="U359" s="4">
        <v>7</v>
      </c>
      <c r="V359" s="4">
        <v>3</v>
      </c>
      <c r="W359" s="4">
        <v>4</v>
      </c>
      <c r="X359" s="4">
        <v>1</v>
      </c>
      <c r="Y359" s="4">
        <v>6</v>
      </c>
      <c r="Z359" s="4">
        <v>0</v>
      </c>
      <c r="AA359" s="3">
        <f t="shared" si="11"/>
        <v>65</v>
      </c>
      <c r="AB359" t="s">
        <v>63</v>
      </c>
      <c r="AC359">
        <v>1.08</v>
      </c>
      <c r="AD359">
        <v>50.2</v>
      </c>
      <c r="AE359">
        <v>25.59</v>
      </c>
      <c r="AF359">
        <v>57.96</v>
      </c>
      <c r="AG359">
        <v>1.08</v>
      </c>
      <c r="AH359">
        <v>69.19</v>
      </c>
      <c r="AI359">
        <v>85.49</v>
      </c>
      <c r="AJ359">
        <v>35.99</v>
      </c>
      <c r="AK359">
        <v>26</v>
      </c>
      <c r="AL359">
        <v>0.09</v>
      </c>
      <c r="AM359">
        <v>8.18</v>
      </c>
      <c r="AN359">
        <v>45.82</v>
      </c>
      <c r="AO359" s="1">
        <v>406.67</v>
      </c>
    </row>
    <row r="360" spans="1:41" x14ac:dyDescent="0.25">
      <c r="A360" t="s">
        <v>953</v>
      </c>
      <c r="B360" s="4">
        <v>0</v>
      </c>
      <c r="C360" s="4">
        <v>2468</v>
      </c>
      <c r="D360" s="4">
        <v>2862</v>
      </c>
      <c r="E360" s="4">
        <v>962</v>
      </c>
      <c r="F360" s="4">
        <v>2015</v>
      </c>
      <c r="G360" s="4">
        <v>5257</v>
      </c>
      <c r="H360" s="4">
        <v>779</v>
      </c>
      <c r="I360" s="4">
        <v>870</v>
      </c>
      <c r="J360" s="4">
        <v>1809</v>
      </c>
      <c r="K360" s="4">
        <v>9182</v>
      </c>
      <c r="L360" s="4">
        <v>672</v>
      </c>
      <c r="M360" s="4">
        <v>1509</v>
      </c>
      <c r="N360" s="3">
        <f t="shared" si="10"/>
        <v>28385</v>
      </c>
      <c r="O360" s="4">
        <v>10</v>
      </c>
      <c r="P360" s="4">
        <v>6</v>
      </c>
      <c r="Q360" s="4">
        <v>16</v>
      </c>
      <c r="R360" s="4">
        <v>3</v>
      </c>
      <c r="S360" s="4">
        <v>8</v>
      </c>
      <c r="T360" s="4">
        <v>0</v>
      </c>
      <c r="U360" s="4">
        <v>1</v>
      </c>
      <c r="V360" s="4">
        <v>2</v>
      </c>
      <c r="W360" s="4">
        <v>17</v>
      </c>
      <c r="X360" s="4">
        <v>8</v>
      </c>
      <c r="Y360" s="4">
        <v>8</v>
      </c>
      <c r="Z360" s="4">
        <v>10</v>
      </c>
      <c r="AA360" s="3">
        <f t="shared" si="11"/>
        <v>89</v>
      </c>
      <c r="AB360" t="s">
        <v>63</v>
      </c>
      <c r="AC360">
        <v>0.9</v>
      </c>
      <c r="AD360">
        <v>49.9</v>
      </c>
      <c r="AE360">
        <v>58.68</v>
      </c>
      <c r="AF360">
        <v>19.510000000000002</v>
      </c>
      <c r="AG360">
        <v>41.02</v>
      </c>
      <c r="AH360">
        <v>105.14</v>
      </c>
      <c r="AI360">
        <v>15.67</v>
      </c>
      <c r="AJ360">
        <v>17.579999999999998</v>
      </c>
      <c r="AK360">
        <v>37.71</v>
      </c>
      <c r="AL360">
        <v>184.36</v>
      </c>
      <c r="AM360">
        <v>14.16</v>
      </c>
      <c r="AN360">
        <v>31.08</v>
      </c>
      <c r="AO360" s="1">
        <v>575.71</v>
      </c>
    </row>
    <row r="361" spans="1:41" x14ac:dyDescent="0.25">
      <c r="A361" t="s">
        <v>954</v>
      </c>
      <c r="B361" s="4">
        <v>0</v>
      </c>
      <c r="C361" s="4">
        <v>1861</v>
      </c>
      <c r="D361" s="4">
        <v>2090</v>
      </c>
      <c r="E361" s="4">
        <v>2246</v>
      </c>
      <c r="F361" s="4">
        <v>2887</v>
      </c>
      <c r="G361" s="4">
        <v>0</v>
      </c>
      <c r="H361" s="4">
        <v>2994</v>
      </c>
      <c r="I361" s="4">
        <v>4086</v>
      </c>
      <c r="J361" s="4">
        <v>4527</v>
      </c>
      <c r="K361" s="4">
        <v>0</v>
      </c>
      <c r="L361" s="4">
        <v>1435</v>
      </c>
      <c r="M361" s="4">
        <v>2814</v>
      </c>
      <c r="N361" s="3">
        <f t="shared" si="10"/>
        <v>24940</v>
      </c>
      <c r="O361" s="4">
        <v>6</v>
      </c>
      <c r="P361" s="4">
        <v>5</v>
      </c>
      <c r="Q361" s="4">
        <v>5</v>
      </c>
      <c r="R361" s="4">
        <v>1</v>
      </c>
      <c r="S361" s="4">
        <v>9</v>
      </c>
      <c r="T361" s="4">
        <v>5</v>
      </c>
      <c r="U361" s="4">
        <v>4</v>
      </c>
      <c r="V361" s="4">
        <v>3</v>
      </c>
      <c r="W361" s="4">
        <v>10</v>
      </c>
      <c r="X361" s="4">
        <v>3</v>
      </c>
      <c r="Y361" s="4">
        <v>4</v>
      </c>
      <c r="Z361" s="4">
        <v>21</v>
      </c>
      <c r="AA361" s="3">
        <f t="shared" si="11"/>
        <v>76</v>
      </c>
      <c r="AB361" t="s">
        <v>63</v>
      </c>
      <c r="AC361">
        <v>0.54</v>
      </c>
      <c r="AD361">
        <v>37.67</v>
      </c>
      <c r="AE361">
        <v>42.25</v>
      </c>
      <c r="AF361">
        <v>45.01</v>
      </c>
      <c r="AG361">
        <v>58.55</v>
      </c>
      <c r="AH361">
        <v>0.45</v>
      </c>
      <c r="AI361">
        <v>60.24</v>
      </c>
      <c r="AJ361">
        <v>81.99</v>
      </c>
      <c r="AK361">
        <v>91.44</v>
      </c>
      <c r="AL361">
        <v>0.27</v>
      </c>
      <c r="AM361">
        <v>29.06</v>
      </c>
      <c r="AN361">
        <v>58.17</v>
      </c>
      <c r="AO361" s="1">
        <v>505.64</v>
      </c>
    </row>
    <row r="362" spans="1:41" x14ac:dyDescent="0.25">
      <c r="A362" t="s">
        <v>955</v>
      </c>
      <c r="B362" s="4">
        <v>0</v>
      </c>
      <c r="C362" s="4">
        <v>1750</v>
      </c>
      <c r="D362" s="4">
        <v>2291</v>
      </c>
      <c r="E362" s="4">
        <v>5172</v>
      </c>
      <c r="F362" s="4">
        <v>1887</v>
      </c>
      <c r="G362" s="4">
        <v>0</v>
      </c>
      <c r="H362" s="4">
        <v>427</v>
      </c>
      <c r="I362" s="4">
        <v>4469</v>
      </c>
      <c r="J362" s="4">
        <v>6760</v>
      </c>
      <c r="K362" s="4">
        <v>9511</v>
      </c>
      <c r="L362" s="4">
        <v>1520</v>
      </c>
      <c r="M362" s="4">
        <v>758</v>
      </c>
      <c r="N362" s="3">
        <f t="shared" si="10"/>
        <v>34545</v>
      </c>
      <c r="O362" s="4">
        <v>3</v>
      </c>
      <c r="P362" s="4">
        <v>0</v>
      </c>
      <c r="Q362" s="4">
        <v>25</v>
      </c>
      <c r="R362" s="4">
        <v>2</v>
      </c>
      <c r="S362" s="4">
        <v>4</v>
      </c>
      <c r="T362" s="4">
        <v>0</v>
      </c>
      <c r="U362" s="4">
        <v>4</v>
      </c>
      <c r="V362" s="4">
        <v>11</v>
      </c>
      <c r="W362" s="4">
        <v>4</v>
      </c>
      <c r="X362" s="4">
        <v>4</v>
      </c>
      <c r="Y362" s="4">
        <v>3</v>
      </c>
      <c r="Z362" s="4">
        <v>4</v>
      </c>
      <c r="AA362" s="3">
        <f t="shared" si="11"/>
        <v>64</v>
      </c>
      <c r="AB362" t="s">
        <v>63</v>
      </c>
      <c r="AC362">
        <v>0.27</v>
      </c>
      <c r="AD362">
        <v>35</v>
      </c>
      <c r="AE362">
        <v>48.07</v>
      </c>
      <c r="AF362">
        <v>103.62</v>
      </c>
      <c r="AG362">
        <v>38.1</v>
      </c>
      <c r="AH362">
        <v>0</v>
      </c>
      <c r="AI362">
        <v>8.9</v>
      </c>
      <c r="AJ362">
        <v>90.37</v>
      </c>
      <c r="AK362">
        <v>135.56</v>
      </c>
      <c r="AL362">
        <v>190.58</v>
      </c>
      <c r="AM362">
        <v>30.67</v>
      </c>
      <c r="AN362">
        <v>15.52</v>
      </c>
      <c r="AO362" s="1">
        <v>696.66</v>
      </c>
    </row>
    <row r="363" spans="1:41" x14ac:dyDescent="0.25">
      <c r="A363" t="s">
        <v>956</v>
      </c>
      <c r="B363" s="4">
        <v>0</v>
      </c>
      <c r="C363" s="4">
        <v>1729</v>
      </c>
      <c r="D363" s="4">
        <v>5150</v>
      </c>
      <c r="E363" s="4">
        <v>4031</v>
      </c>
      <c r="F363" s="4">
        <v>597</v>
      </c>
      <c r="G363" s="4">
        <v>2014</v>
      </c>
      <c r="H363" s="4">
        <v>1351</v>
      </c>
      <c r="I363" s="4">
        <v>846</v>
      </c>
      <c r="J363" s="4">
        <v>1911</v>
      </c>
      <c r="K363" s="4">
        <v>1189</v>
      </c>
      <c r="L363" s="4">
        <v>3379</v>
      </c>
      <c r="M363" s="4">
        <v>8562</v>
      </c>
      <c r="N363" s="3">
        <f t="shared" si="10"/>
        <v>30759</v>
      </c>
      <c r="O363" s="4">
        <v>5</v>
      </c>
      <c r="P363" s="4">
        <v>4</v>
      </c>
      <c r="Q363" s="4">
        <v>5</v>
      </c>
      <c r="R363" s="4">
        <v>4</v>
      </c>
      <c r="S363" s="4">
        <v>6</v>
      </c>
      <c r="T363" s="4">
        <v>3</v>
      </c>
      <c r="U363" s="4">
        <v>5</v>
      </c>
      <c r="V363" s="4">
        <v>7</v>
      </c>
      <c r="W363" s="4">
        <v>2</v>
      </c>
      <c r="X363" s="4">
        <v>9</v>
      </c>
      <c r="Y363" s="4">
        <v>2</v>
      </c>
      <c r="Z363" s="4">
        <v>7</v>
      </c>
      <c r="AA363" s="3">
        <f t="shared" si="11"/>
        <v>59</v>
      </c>
      <c r="AB363" t="s">
        <v>63</v>
      </c>
      <c r="AC363">
        <v>0.45</v>
      </c>
      <c r="AD363">
        <v>34.94</v>
      </c>
      <c r="AE363">
        <v>103.45</v>
      </c>
      <c r="AF363">
        <v>80.98</v>
      </c>
      <c r="AG363">
        <v>12.48</v>
      </c>
      <c r="AH363">
        <v>40.549999999999997</v>
      </c>
      <c r="AI363">
        <v>27.47</v>
      </c>
      <c r="AJ363">
        <v>17.55</v>
      </c>
      <c r="AK363">
        <v>38.4</v>
      </c>
      <c r="AL363">
        <v>24.59</v>
      </c>
      <c r="AM363">
        <v>67.760000000000005</v>
      </c>
      <c r="AN363">
        <v>171.87</v>
      </c>
      <c r="AO363" s="1">
        <v>620.4899999999999</v>
      </c>
    </row>
    <row r="364" spans="1:41" x14ac:dyDescent="0.25">
      <c r="A364" t="s">
        <v>957</v>
      </c>
      <c r="B364" s="4">
        <v>0</v>
      </c>
      <c r="C364" s="4">
        <v>1681</v>
      </c>
      <c r="D364" s="4">
        <v>2115</v>
      </c>
      <c r="E364" s="4">
        <v>880</v>
      </c>
      <c r="F364" s="4">
        <v>3589</v>
      </c>
      <c r="G364" s="4">
        <v>2257</v>
      </c>
      <c r="H364" s="4">
        <v>5115</v>
      </c>
      <c r="I364" s="4">
        <v>39</v>
      </c>
      <c r="J364" s="4">
        <v>4949</v>
      </c>
      <c r="K364" s="4">
        <v>1670</v>
      </c>
      <c r="L364" s="4">
        <v>735</v>
      </c>
      <c r="M364" s="4">
        <v>11777</v>
      </c>
      <c r="N364" s="3">
        <f t="shared" si="10"/>
        <v>34807</v>
      </c>
      <c r="O364" s="4">
        <v>1</v>
      </c>
      <c r="P364" s="4">
        <v>0</v>
      </c>
      <c r="Q364" s="4">
        <v>3</v>
      </c>
      <c r="R364" s="4">
        <v>1</v>
      </c>
      <c r="S364" s="4">
        <v>2</v>
      </c>
      <c r="T364" s="4">
        <v>2</v>
      </c>
      <c r="U364" s="4">
        <v>7</v>
      </c>
      <c r="V364" s="4">
        <v>5</v>
      </c>
      <c r="W364" s="4">
        <v>1</v>
      </c>
      <c r="X364" s="4">
        <v>4</v>
      </c>
      <c r="Y364" s="4">
        <v>1</v>
      </c>
      <c r="Z364" s="4">
        <v>0</v>
      </c>
      <c r="AA364" s="3">
        <f t="shared" si="11"/>
        <v>27</v>
      </c>
      <c r="AB364" t="s">
        <v>63</v>
      </c>
      <c r="AC364">
        <v>0.09</v>
      </c>
      <c r="AD364">
        <v>33.619999999999997</v>
      </c>
      <c r="AE364">
        <v>42.57</v>
      </c>
      <c r="AF364">
        <v>17.690000000000001</v>
      </c>
      <c r="AG364">
        <v>71.959999999999994</v>
      </c>
      <c r="AH364">
        <v>45.32</v>
      </c>
      <c r="AI364">
        <v>102.93</v>
      </c>
      <c r="AJ364">
        <v>1.23</v>
      </c>
      <c r="AK364">
        <v>99.07</v>
      </c>
      <c r="AL364">
        <v>33.76</v>
      </c>
      <c r="AM364">
        <v>14.79</v>
      </c>
      <c r="AN364">
        <v>235.54</v>
      </c>
      <c r="AO364" s="1">
        <v>698.57</v>
      </c>
    </row>
    <row r="365" spans="1:41" x14ac:dyDescent="0.25">
      <c r="A365" t="s">
        <v>958</v>
      </c>
      <c r="B365" s="4">
        <v>0</v>
      </c>
      <c r="C365" s="4">
        <v>1451</v>
      </c>
      <c r="D365" s="4">
        <v>0</v>
      </c>
      <c r="E365" s="4">
        <v>743</v>
      </c>
      <c r="F365" s="4">
        <v>8090</v>
      </c>
      <c r="G365" s="4">
        <v>3726</v>
      </c>
      <c r="H365" s="4">
        <v>968</v>
      </c>
      <c r="I365" s="4">
        <v>5421</v>
      </c>
      <c r="J365" s="4">
        <v>2399</v>
      </c>
      <c r="K365" s="4">
        <v>746</v>
      </c>
      <c r="L365" s="4">
        <v>7900</v>
      </c>
      <c r="M365" s="4">
        <v>1738</v>
      </c>
      <c r="N365" s="3">
        <f t="shared" si="10"/>
        <v>33182</v>
      </c>
      <c r="O365" s="4">
        <v>4</v>
      </c>
      <c r="P365" s="4">
        <v>0</v>
      </c>
      <c r="Q365" s="4">
        <v>0</v>
      </c>
      <c r="R365" s="4">
        <v>6</v>
      </c>
      <c r="S365" s="4">
        <v>2</v>
      </c>
      <c r="T365" s="4">
        <v>0</v>
      </c>
      <c r="U365" s="4">
        <v>8</v>
      </c>
      <c r="V365" s="4">
        <v>7</v>
      </c>
      <c r="W365" s="4">
        <v>5</v>
      </c>
      <c r="X365" s="4">
        <v>2</v>
      </c>
      <c r="Y365" s="4">
        <v>5</v>
      </c>
      <c r="Z365" s="4">
        <v>5</v>
      </c>
      <c r="AA365" s="3">
        <f t="shared" si="11"/>
        <v>44</v>
      </c>
      <c r="AB365" t="s">
        <v>63</v>
      </c>
      <c r="AC365">
        <v>0.36</v>
      </c>
      <c r="AD365">
        <v>29.02</v>
      </c>
      <c r="AE365">
        <v>0</v>
      </c>
      <c r="AF365">
        <v>15.4</v>
      </c>
      <c r="AG365">
        <v>161.97999999999999</v>
      </c>
      <c r="AH365">
        <v>74.52</v>
      </c>
      <c r="AI365">
        <v>20.079999999999998</v>
      </c>
      <c r="AJ365">
        <v>109.05</v>
      </c>
      <c r="AK365">
        <v>48.43</v>
      </c>
      <c r="AL365">
        <v>15.1</v>
      </c>
      <c r="AM365">
        <v>158.44999999999999</v>
      </c>
      <c r="AN365">
        <v>35.21</v>
      </c>
      <c r="AO365" s="1">
        <v>667.6</v>
      </c>
    </row>
    <row r="366" spans="1:41" x14ac:dyDescent="0.25">
      <c r="A366" t="s">
        <v>959</v>
      </c>
      <c r="B366" s="4">
        <v>0</v>
      </c>
      <c r="C366" s="4">
        <v>1415</v>
      </c>
      <c r="D366" s="4">
        <v>551</v>
      </c>
      <c r="E366" s="4">
        <v>7615</v>
      </c>
      <c r="F366" s="4">
        <v>195</v>
      </c>
      <c r="G366" s="4">
        <v>0</v>
      </c>
      <c r="H366" s="4">
        <v>3091</v>
      </c>
      <c r="I366" s="4">
        <v>1183</v>
      </c>
      <c r="J366" s="4">
        <v>2818</v>
      </c>
      <c r="K366" s="4">
        <v>1175</v>
      </c>
      <c r="L366" s="4">
        <v>5580</v>
      </c>
      <c r="M366" s="4">
        <v>3301</v>
      </c>
      <c r="N366" s="3">
        <f t="shared" si="10"/>
        <v>26924</v>
      </c>
      <c r="O366" s="4">
        <v>3</v>
      </c>
      <c r="P366" s="4">
        <v>2</v>
      </c>
      <c r="Q366" s="4">
        <v>3</v>
      </c>
      <c r="R366" s="4">
        <v>3</v>
      </c>
      <c r="S366" s="4">
        <v>6</v>
      </c>
      <c r="T366" s="4">
        <v>0</v>
      </c>
      <c r="U366" s="4">
        <v>3</v>
      </c>
      <c r="V366" s="4">
        <v>10</v>
      </c>
      <c r="W366" s="4">
        <v>2</v>
      </c>
      <c r="X366" s="4">
        <v>4</v>
      </c>
      <c r="Y366" s="4">
        <v>3</v>
      </c>
      <c r="Z366" s="4">
        <v>0</v>
      </c>
      <c r="AA366" s="3">
        <f t="shared" si="11"/>
        <v>39</v>
      </c>
      <c r="AB366" t="s">
        <v>63</v>
      </c>
      <c r="AC366">
        <v>0.27</v>
      </c>
      <c r="AD366">
        <v>28.48</v>
      </c>
      <c r="AE366">
        <v>11.29</v>
      </c>
      <c r="AF366">
        <v>152.57</v>
      </c>
      <c r="AG366">
        <v>4.4400000000000004</v>
      </c>
      <c r="AH366">
        <v>0</v>
      </c>
      <c r="AI366">
        <v>62.09</v>
      </c>
      <c r="AJ366">
        <v>24.56</v>
      </c>
      <c r="AK366">
        <v>56.54</v>
      </c>
      <c r="AL366">
        <v>23.86</v>
      </c>
      <c r="AM366">
        <v>111.87</v>
      </c>
      <c r="AN366">
        <v>66.02</v>
      </c>
      <c r="AO366" s="1">
        <v>541.99</v>
      </c>
    </row>
    <row r="367" spans="1:41" x14ac:dyDescent="0.25">
      <c r="A367" t="s">
        <v>960</v>
      </c>
      <c r="B367" s="4">
        <v>0</v>
      </c>
      <c r="C367" s="4">
        <v>1395</v>
      </c>
      <c r="D367" s="4">
        <v>593</v>
      </c>
      <c r="E367" s="4">
        <v>574</v>
      </c>
      <c r="F367" s="4">
        <v>1593</v>
      </c>
      <c r="G367" s="4">
        <v>4212</v>
      </c>
      <c r="H367" s="4">
        <v>4915</v>
      </c>
      <c r="I367" s="4">
        <v>10740</v>
      </c>
      <c r="J367" s="4">
        <v>4577</v>
      </c>
      <c r="K367" s="4">
        <v>5019</v>
      </c>
      <c r="L367" s="4">
        <v>4845</v>
      </c>
      <c r="M367" s="4">
        <v>8240</v>
      </c>
      <c r="N367" s="3">
        <f t="shared" si="10"/>
        <v>46703</v>
      </c>
      <c r="O367" s="4">
        <v>2</v>
      </c>
      <c r="P367" s="4">
        <v>2</v>
      </c>
      <c r="Q367" s="4">
        <v>2</v>
      </c>
      <c r="R367" s="4">
        <v>3</v>
      </c>
      <c r="S367" s="4">
        <v>6</v>
      </c>
      <c r="T367" s="4">
        <v>13</v>
      </c>
      <c r="U367" s="4">
        <v>1</v>
      </c>
      <c r="V367" s="4">
        <v>0</v>
      </c>
      <c r="W367" s="4">
        <v>2</v>
      </c>
      <c r="X367" s="4">
        <v>3</v>
      </c>
      <c r="Y367" s="4">
        <v>2</v>
      </c>
      <c r="Z367" s="4">
        <v>7</v>
      </c>
      <c r="AA367" s="3">
        <f t="shared" si="11"/>
        <v>43</v>
      </c>
      <c r="AB367" t="s">
        <v>63</v>
      </c>
      <c r="AC367">
        <v>0.18</v>
      </c>
      <c r="AD367">
        <v>28.08</v>
      </c>
      <c r="AE367">
        <v>12.04</v>
      </c>
      <c r="AF367">
        <v>11.75</v>
      </c>
      <c r="AG367">
        <v>32.4</v>
      </c>
      <c r="AH367">
        <v>85.41</v>
      </c>
      <c r="AI367">
        <v>98.39</v>
      </c>
      <c r="AJ367">
        <v>214.8</v>
      </c>
      <c r="AK367">
        <v>91.72</v>
      </c>
      <c r="AL367">
        <v>100.65</v>
      </c>
      <c r="AM367">
        <v>97.08</v>
      </c>
      <c r="AN367">
        <v>165.43</v>
      </c>
      <c r="AO367" s="1">
        <v>937.93000000000006</v>
      </c>
    </row>
    <row r="368" spans="1:41" x14ac:dyDescent="0.25">
      <c r="A368" t="s">
        <v>961</v>
      </c>
      <c r="B368" s="4">
        <v>0</v>
      </c>
      <c r="C368" s="4">
        <v>747</v>
      </c>
      <c r="D368" s="4">
        <v>3330</v>
      </c>
      <c r="E368" s="4">
        <v>7882</v>
      </c>
      <c r="F368" s="4">
        <v>7502</v>
      </c>
      <c r="G368" s="4">
        <v>7480</v>
      </c>
      <c r="H368" s="4">
        <v>260</v>
      </c>
      <c r="I368" s="4">
        <v>5814</v>
      </c>
      <c r="J368" s="4">
        <v>6066</v>
      </c>
      <c r="K368" s="4">
        <v>8888</v>
      </c>
      <c r="L368" s="4">
        <v>1117</v>
      </c>
      <c r="M368" s="4">
        <v>9504</v>
      </c>
      <c r="N368" s="3">
        <f t="shared" si="10"/>
        <v>58590</v>
      </c>
      <c r="O368" s="4">
        <v>2</v>
      </c>
      <c r="P368" s="4">
        <v>9</v>
      </c>
      <c r="Q368" s="4">
        <v>14</v>
      </c>
      <c r="R368" s="4">
        <v>8</v>
      </c>
      <c r="S368" s="4">
        <v>4</v>
      </c>
      <c r="T368" s="4">
        <v>4</v>
      </c>
      <c r="U368" s="4">
        <v>0</v>
      </c>
      <c r="V368" s="4">
        <v>18</v>
      </c>
      <c r="W368" s="4">
        <v>1</v>
      </c>
      <c r="X368" s="4">
        <v>0</v>
      </c>
      <c r="Y368" s="4">
        <v>6</v>
      </c>
      <c r="Z368" s="4">
        <v>2</v>
      </c>
      <c r="AA368" s="3">
        <f t="shared" si="11"/>
        <v>68</v>
      </c>
      <c r="AB368" t="s">
        <v>63</v>
      </c>
      <c r="AC368">
        <v>0.18</v>
      </c>
      <c r="AD368">
        <v>15.75</v>
      </c>
      <c r="AE368">
        <v>67.86</v>
      </c>
      <c r="AF368">
        <v>158.36000000000001</v>
      </c>
      <c r="AG368">
        <v>150.4</v>
      </c>
      <c r="AH368">
        <v>149.96</v>
      </c>
      <c r="AI368">
        <v>5.2</v>
      </c>
      <c r="AJ368">
        <v>117.9</v>
      </c>
      <c r="AK368">
        <v>121.41</v>
      </c>
      <c r="AL368">
        <v>177.76</v>
      </c>
      <c r="AM368">
        <v>22.88</v>
      </c>
      <c r="AN368">
        <v>190.26</v>
      </c>
      <c r="AO368" s="1">
        <v>1177.92</v>
      </c>
    </row>
    <row r="369" spans="1:41" x14ac:dyDescent="0.25">
      <c r="A369" t="s">
        <v>962</v>
      </c>
      <c r="B369" s="4">
        <v>0</v>
      </c>
      <c r="C369" s="4">
        <v>690</v>
      </c>
      <c r="D369" s="4">
        <v>1888</v>
      </c>
      <c r="E369" s="4">
        <v>4842</v>
      </c>
      <c r="F369" s="4">
        <v>3743</v>
      </c>
      <c r="G369" s="4">
        <v>3895</v>
      </c>
      <c r="H369" s="4">
        <v>7076</v>
      </c>
      <c r="I369" s="4">
        <v>1151</v>
      </c>
      <c r="J369" s="4">
        <v>1848</v>
      </c>
      <c r="K369" s="4">
        <v>5576</v>
      </c>
      <c r="L369" s="4">
        <v>3577</v>
      </c>
      <c r="M369" s="4">
        <v>1519</v>
      </c>
      <c r="N369" s="3">
        <f t="shared" si="10"/>
        <v>35805</v>
      </c>
      <c r="O369" s="4">
        <v>2</v>
      </c>
      <c r="P369" s="4">
        <v>7</v>
      </c>
      <c r="Q369" s="4">
        <v>2</v>
      </c>
      <c r="R369" s="4">
        <v>3</v>
      </c>
      <c r="S369" s="4">
        <v>2</v>
      </c>
      <c r="T369" s="4">
        <v>3</v>
      </c>
      <c r="U369" s="4">
        <v>0</v>
      </c>
      <c r="V369" s="4">
        <v>1</v>
      </c>
      <c r="W369" s="4">
        <v>1</v>
      </c>
      <c r="X369" s="4">
        <v>6</v>
      </c>
      <c r="Y369" s="4">
        <v>6</v>
      </c>
      <c r="Z369" s="4">
        <v>7</v>
      </c>
      <c r="AA369" s="3">
        <f t="shared" si="11"/>
        <v>40</v>
      </c>
      <c r="AB369" t="s">
        <v>63</v>
      </c>
      <c r="AC369">
        <v>0.18</v>
      </c>
      <c r="AD369">
        <v>14.43</v>
      </c>
      <c r="AE369">
        <v>37.94</v>
      </c>
      <c r="AF369">
        <v>97.11</v>
      </c>
      <c r="AG369">
        <v>75.040000000000006</v>
      </c>
      <c r="AH369">
        <v>78.17</v>
      </c>
      <c r="AI369">
        <v>141.52000000000001</v>
      </c>
      <c r="AJ369">
        <v>23.11</v>
      </c>
      <c r="AK369">
        <v>37.049999999999997</v>
      </c>
      <c r="AL369">
        <v>112.06</v>
      </c>
      <c r="AM369">
        <v>72.08</v>
      </c>
      <c r="AN369">
        <v>31.01</v>
      </c>
      <c r="AO369" s="1">
        <v>719.7</v>
      </c>
    </row>
    <row r="370" spans="1:41" x14ac:dyDescent="0.25">
      <c r="A370" t="s">
        <v>963</v>
      </c>
      <c r="B370" s="4">
        <v>0</v>
      </c>
      <c r="C370" s="4">
        <v>605</v>
      </c>
      <c r="D370" s="4">
        <v>773</v>
      </c>
      <c r="E370" s="4">
        <v>4190</v>
      </c>
      <c r="F370" s="4">
        <v>684</v>
      </c>
      <c r="G370" s="4">
        <v>5180</v>
      </c>
      <c r="H370" s="4">
        <v>417</v>
      </c>
      <c r="I370" s="4">
        <v>439</v>
      </c>
      <c r="J370" s="4">
        <v>1347</v>
      </c>
      <c r="K370" s="4">
        <v>1242</v>
      </c>
      <c r="L370" s="4">
        <v>954</v>
      </c>
      <c r="M370" s="4">
        <v>18066</v>
      </c>
      <c r="N370" s="3">
        <f t="shared" si="10"/>
        <v>33897</v>
      </c>
      <c r="O370" s="4">
        <v>8</v>
      </c>
      <c r="P370" s="4">
        <v>5</v>
      </c>
      <c r="Q370" s="4">
        <v>2</v>
      </c>
      <c r="R370" s="4">
        <v>1</v>
      </c>
      <c r="S370" s="4">
        <v>3</v>
      </c>
      <c r="T370" s="4">
        <v>4</v>
      </c>
      <c r="U370" s="4">
        <v>3</v>
      </c>
      <c r="V370" s="4">
        <v>5</v>
      </c>
      <c r="W370" s="4">
        <v>4</v>
      </c>
      <c r="X370" s="4">
        <v>1</v>
      </c>
      <c r="Y370" s="4">
        <v>3</v>
      </c>
      <c r="Z370" s="4">
        <v>2</v>
      </c>
      <c r="AA370" s="3">
        <f t="shared" si="11"/>
        <v>41</v>
      </c>
      <c r="AB370" t="s">
        <v>63</v>
      </c>
      <c r="AC370">
        <v>0.72</v>
      </c>
      <c r="AD370">
        <v>12.55</v>
      </c>
      <c r="AE370">
        <v>15.64</v>
      </c>
      <c r="AF370">
        <v>83.89</v>
      </c>
      <c r="AG370">
        <v>13.95</v>
      </c>
      <c r="AH370">
        <v>103.96</v>
      </c>
      <c r="AI370">
        <v>8.61</v>
      </c>
      <c r="AJ370">
        <v>9.23</v>
      </c>
      <c r="AK370">
        <v>27.3</v>
      </c>
      <c r="AL370">
        <v>24.93</v>
      </c>
      <c r="AM370">
        <v>19.350000000000001</v>
      </c>
      <c r="AN370">
        <v>361.5</v>
      </c>
      <c r="AO370" s="1">
        <v>681.63</v>
      </c>
    </row>
    <row r="371" spans="1:41" x14ac:dyDescent="0.25">
      <c r="A371" t="s">
        <v>964</v>
      </c>
      <c r="B371" s="4">
        <v>0</v>
      </c>
      <c r="C371" s="4">
        <v>518</v>
      </c>
      <c r="D371" s="4">
        <v>2819</v>
      </c>
      <c r="E371" s="4">
        <v>2893</v>
      </c>
      <c r="F371" s="4">
        <v>1348</v>
      </c>
      <c r="G371" s="4">
        <v>6089</v>
      </c>
      <c r="H371" s="4">
        <v>2643</v>
      </c>
      <c r="I371" s="4">
        <v>862</v>
      </c>
      <c r="J371" s="4">
        <v>0</v>
      </c>
      <c r="K371" s="4">
        <v>5809</v>
      </c>
      <c r="L371" s="4">
        <v>3004</v>
      </c>
      <c r="M371" s="4">
        <v>1048</v>
      </c>
      <c r="N371" s="3">
        <f t="shared" si="10"/>
        <v>27033</v>
      </c>
      <c r="O371" s="4">
        <v>1</v>
      </c>
      <c r="P371" s="4">
        <v>0</v>
      </c>
      <c r="Q371" s="4">
        <v>3</v>
      </c>
      <c r="R371" s="4">
        <v>8</v>
      </c>
      <c r="S371" s="4">
        <v>1</v>
      </c>
      <c r="T371" s="4">
        <v>7</v>
      </c>
      <c r="U371" s="4">
        <v>6</v>
      </c>
      <c r="V371" s="4">
        <v>12</v>
      </c>
      <c r="W371" s="4">
        <v>9</v>
      </c>
      <c r="X371" s="4">
        <v>4</v>
      </c>
      <c r="Y371" s="4">
        <v>3</v>
      </c>
      <c r="Z371" s="4">
        <v>11</v>
      </c>
      <c r="AA371" s="3">
        <f t="shared" si="11"/>
        <v>65</v>
      </c>
      <c r="AB371" t="s">
        <v>63</v>
      </c>
      <c r="AC371">
        <v>0.09</v>
      </c>
      <c r="AD371">
        <v>10.36</v>
      </c>
      <c r="AE371">
        <v>56.65</v>
      </c>
      <c r="AF371">
        <v>58.58</v>
      </c>
      <c r="AG371">
        <v>27.05</v>
      </c>
      <c r="AH371">
        <v>122.41</v>
      </c>
      <c r="AI371">
        <v>53.4</v>
      </c>
      <c r="AJ371">
        <v>18.32</v>
      </c>
      <c r="AK371">
        <v>0.81</v>
      </c>
      <c r="AL371">
        <v>116.54</v>
      </c>
      <c r="AM371">
        <v>60.35</v>
      </c>
      <c r="AN371">
        <v>21.95</v>
      </c>
      <c r="AO371" s="1">
        <v>546.51</v>
      </c>
    </row>
    <row r="372" spans="1:41" x14ac:dyDescent="0.25">
      <c r="A372" t="s">
        <v>965</v>
      </c>
      <c r="B372" s="4">
        <v>0</v>
      </c>
      <c r="C372" s="4">
        <v>472</v>
      </c>
      <c r="D372" s="4">
        <v>1408</v>
      </c>
      <c r="E372" s="4">
        <v>3873</v>
      </c>
      <c r="F372" s="4">
        <v>3927</v>
      </c>
      <c r="G372" s="4">
        <v>1038</v>
      </c>
      <c r="H372" s="4">
        <v>2892</v>
      </c>
      <c r="I372" s="4">
        <v>1209</v>
      </c>
      <c r="J372" s="4">
        <v>2182</v>
      </c>
      <c r="K372" s="4">
        <v>6767</v>
      </c>
      <c r="L372" s="4">
        <v>1168</v>
      </c>
      <c r="M372" s="4">
        <v>429</v>
      </c>
      <c r="N372" s="3">
        <f t="shared" si="10"/>
        <v>25365</v>
      </c>
      <c r="O372" s="4">
        <v>5</v>
      </c>
      <c r="P372" s="4">
        <v>11</v>
      </c>
      <c r="Q372" s="4">
        <v>5</v>
      </c>
      <c r="R372" s="4">
        <v>4</v>
      </c>
      <c r="S372" s="4">
        <v>10</v>
      </c>
      <c r="T372" s="4">
        <v>1</v>
      </c>
      <c r="U372" s="4">
        <v>1</v>
      </c>
      <c r="V372" s="4">
        <v>6</v>
      </c>
      <c r="W372" s="4">
        <v>6</v>
      </c>
      <c r="X372" s="4">
        <v>11</v>
      </c>
      <c r="Y372" s="4">
        <v>0</v>
      </c>
      <c r="Z372" s="4">
        <v>7</v>
      </c>
      <c r="AA372" s="3">
        <f t="shared" si="11"/>
        <v>67</v>
      </c>
      <c r="AB372" t="s">
        <v>63</v>
      </c>
      <c r="AC372">
        <v>0.45</v>
      </c>
      <c r="AD372">
        <v>10.43</v>
      </c>
      <c r="AE372">
        <v>28.61</v>
      </c>
      <c r="AF372">
        <v>77.819999999999993</v>
      </c>
      <c r="AG372">
        <v>79.44</v>
      </c>
      <c r="AH372">
        <v>20.85</v>
      </c>
      <c r="AI372">
        <v>57.93</v>
      </c>
      <c r="AJ372">
        <v>24.72</v>
      </c>
      <c r="AK372">
        <v>44.18</v>
      </c>
      <c r="AL372">
        <v>136.33000000000001</v>
      </c>
      <c r="AM372">
        <v>23.36</v>
      </c>
      <c r="AN372">
        <v>9.2100000000000009</v>
      </c>
      <c r="AO372" s="1">
        <v>513.33000000000004</v>
      </c>
    </row>
    <row r="373" spans="1:41" x14ac:dyDescent="0.25">
      <c r="A373" t="s">
        <v>966</v>
      </c>
      <c r="B373" s="4">
        <v>0</v>
      </c>
      <c r="C373" s="4">
        <v>294</v>
      </c>
      <c r="D373" s="4">
        <v>1937</v>
      </c>
      <c r="E373" s="4">
        <v>1592</v>
      </c>
      <c r="F373" s="4">
        <v>3689</v>
      </c>
      <c r="G373" s="4">
        <v>2864</v>
      </c>
      <c r="H373" s="4">
        <v>2376</v>
      </c>
      <c r="I373" s="4">
        <v>867</v>
      </c>
      <c r="J373" s="4">
        <v>6517</v>
      </c>
      <c r="K373" s="4">
        <v>1308</v>
      </c>
      <c r="L373" s="4">
        <v>1315</v>
      </c>
      <c r="M373" s="4">
        <v>0</v>
      </c>
      <c r="N373" s="3">
        <f t="shared" si="10"/>
        <v>22759</v>
      </c>
      <c r="O373" s="4">
        <v>3</v>
      </c>
      <c r="P373" s="4">
        <v>8</v>
      </c>
      <c r="Q373" s="4">
        <v>9</v>
      </c>
      <c r="R373" s="4">
        <v>10</v>
      </c>
      <c r="S373" s="4">
        <v>1</v>
      </c>
      <c r="T373" s="4">
        <v>10</v>
      </c>
      <c r="U373" s="4">
        <v>1</v>
      </c>
      <c r="V373" s="4">
        <v>3</v>
      </c>
      <c r="W373" s="4">
        <v>2</v>
      </c>
      <c r="X373" s="4">
        <v>0</v>
      </c>
      <c r="Y373" s="4">
        <v>4</v>
      </c>
      <c r="Z373" s="4">
        <v>2</v>
      </c>
      <c r="AA373" s="3">
        <f t="shared" si="11"/>
        <v>53</v>
      </c>
      <c r="AB373" t="s">
        <v>63</v>
      </c>
      <c r="AC373">
        <v>0.27</v>
      </c>
      <c r="AD373">
        <v>6.6</v>
      </c>
      <c r="AE373">
        <v>39.549999999999997</v>
      </c>
      <c r="AF373">
        <v>32.74</v>
      </c>
      <c r="AG373">
        <v>73.87</v>
      </c>
      <c r="AH373">
        <v>58.18</v>
      </c>
      <c r="AI373">
        <v>47.61</v>
      </c>
      <c r="AJ373">
        <v>17.61</v>
      </c>
      <c r="AK373">
        <v>130.52000000000001</v>
      </c>
      <c r="AL373">
        <v>26.16</v>
      </c>
      <c r="AM373">
        <v>26.66</v>
      </c>
      <c r="AN373">
        <v>0.18</v>
      </c>
      <c r="AO373" s="1">
        <v>459.9500000000001</v>
      </c>
    </row>
    <row r="374" spans="1:41" x14ac:dyDescent="0.25">
      <c r="A374" t="s">
        <v>967</v>
      </c>
      <c r="B374" s="4">
        <v>0</v>
      </c>
      <c r="C374" s="4">
        <v>269</v>
      </c>
      <c r="D374" s="4">
        <v>6514</v>
      </c>
      <c r="E374" s="4">
        <v>11195</v>
      </c>
      <c r="F374" s="4">
        <v>136</v>
      </c>
      <c r="G374" s="4">
        <v>1141</v>
      </c>
      <c r="H374" s="4">
        <v>0</v>
      </c>
      <c r="I374" s="4">
        <v>7640</v>
      </c>
      <c r="J374" s="4">
        <v>0</v>
      </c>
      <c r="K374" s="4">
        <v>434</v>
      </c>
      <c r="L374" s="4">
        <v>1530</v>
      </c>
      <c r="M374" s="4">
        <v>1886</v>
      </c>
      <c r="N374" s="3">
        <f t="shared" si="10"/>
        <v>30745</v>
      </c>
      <c r="O374" s="4">
        <v>15</v>
      </c>
      <c r="P374" s="4">
        <v>2</v>
      </c>
      <c r="Q374" s="4">
        <v>3</v>
      </c>
      <c r="R374" s="4">
        <v>3</v>
      </c>
      <c r="S374" s="4">
        <v>2</v>
      </c>
      <c r="T374" s="4">
        <v>7</v>
      </c>
      <c r="U374" s="4">
        <v>14</v>
      </c>
      <c r="V374" s="4">
        <v>3</v>
      </c>
      <c r="W374" s="4">
        <v>0</v>
      </c>
      <c r="X374" s="4">
        <v>4</v>
      </c>
      <c r="Y374" s="4">
        <v>2</v>
      </c>
      <c r="Z374" s="4">
        <v>10</v>
      </c>
      <c r="AA374" s="3">
        <f t="shared" si="11"/>
        <v>65</v>
      </c>
      <c r="AB374" t="s">
        <v>63</v>
      </c>
      <c r="AC374">
        <v>1.35</v>
      </c>
      <c r="AD374">
        <v>5.56</v>
      </c>
      <c r="AE374">
        <v>130.55000000000001</v>
      </c>
      <c r="AF374">
        <v>224.17</v>
      </c>
      <c r="AG374">
        <v>2.9</v>
      </c>
      <c r="AH374">
        <v>23.45</v>
      </c>
      <c r="AI374">
        <v>1.26</v>
      </c>
      <c r="AJ374">
        <v>153.07</v>
      </c>
      <c r="AK374">
        <v>0</v>
      </c>
      <c r="AL374">
        <v>9.0399999999999991</v>
      </c>
      <c r="AM374">
        <v>30.78</v>
      </c>
      <c r="AN374">
        <v>38.619999999999997</v>
      </c>
      <c r="AO374" s="1">
        <v>620.74999999999989</v>
      </c>
    </row>
    <row r="375" spans="1:41" x14ac:dyDescent="0.25">
      <c r="A375" t="s">
        <v>968</v>
      </c>
      <c r="B375" s="4">
        <v>0</v>
      </c>
      <c r="C375" s="4">
        <v>256</v>
      </c>
      <c r="D375" s="4">
        <v>0</v>
      </c>
      <c r="E375" s="4">
        <v>1073</v>
      </c>
      <c r="F375" s="4">
        <v>1921</v>
      </c>
      <c r="G375" s="4">
        <v>2925</v>
      </c>
      <c r="H375" s="4">
        <v>1876</v>
      </c>
      <c r="I375" s="4">
        <v>3787</v>
      </c>
      <c r="J375" s="4">
        <v>3080</v>
      </c>
      <c r="K375" s="4">
        <v>1682</v>
      </c>
      <c r="L375" s="4">
        <v>11581</v>
      </c>
      <c r="M375" s="4">
        <v>511</v>
      </c>
      <c r="N375" s="3">
        <f t="shared" si="10"/>
        <v>28692</v>
      </c>
      <c r="O375" s="4">
        <v>9</v>
      </c>
      <c r="P375" s="4">
        <v>5</v>
      </c>
      <c r="Q375" s="4">
        <v>0</v>
      </c>
      <c r="R375" s="4">
        <v>1</v>
      </c>
      <c r="S375" s="4">
        <v>10</v>
      </c>
      <c r="T375" s="4">
        <v>1</v>
      </c>
      <c r="U375" s="4">
        <v>10</v>
      </c>
      <c r="V375" s="4">
        <v>3</v>
      </c>
      <c r="W375" s="4">
        <v>13</v>
      </c>
      <c r="X375" s="4">
        <v>7</v>
      </c>
      <c r="Y375" s="4">
        <v>24</v>
      </c>
      <c r="Z375" s="4">
        <v>3</v>
      </c>
      <c r="AA375" s="3">
        <f t="shared" si="11"/>
        <v>86</v>
      </c>
      <c r="AB375" t="s">
        <v>63</v>
      </c>
      <c r="AC375">
        <v>0.81</v>
      </c>
      <c r="AD375">
        <v>5.57</v>
      </c>
      <c r="AE375">
        <v>0</v>
      </c>
      <c r="AF375">
        <v>21.55</v>
      </c>
      <c r="AG375">
        <v>39.32</v>
      </c>
      <c r="AH375">
        <v>58.59</v>
      </c>
      <c r="AI375">
        <v>38.42</v>
      </c>
      <c r="AJ375">
        <v>76.010000000000005</v>
      </c>
      <c r="AK375">
        <v>62.77</v>
      </c>
      <c r="AL375">
        <v>34.270000000000003</v>
      </c>
      <c r="AM375">
        <v>233.78</v>
      </c>
      <c r="AN375">
        <v>10.49</v>
      </c>
      <c r="AO375" s="1">
        <v>581.57999999999993</v>
      </c>
    </row>
    <row r="376" spans="1:41" x14ac:dyDescent="0.25">
      <c r="A376" t="s">
        <v>971</v>
      </c>
      <c r="B376" s="4">
        <v>0</v>
      </c>
      <c r="C376" s="4">
        <v>0</v>
      </c>
      <c r="D376" s="4">
        <v>4</v>
      </c>
      <c r="E376" s="4">
        <v>1743</v>
      </c>
      <c r="F376" s="4">
        <v>0</v>
      </c>
      <c r="G376" s="4">
        <v>3996</v>
      </c>
      <c r="H376" s="4">
        <v>7823</v>
      </c>
      <c r="I376" s="4">
        <v>1624</v>
      </c>
      <c r="J376" s="4">
        <v>3432</v>
      </c>
      <c r="K376" s="4">
        <v>0</v>
      </c>
      <c r="L376" s="4">
        <v>1371</v>
      </c>
      <c r="M376" s="4">
        <v>1349</v>
      </c>
      <c r="N376" s="3">
        <f t="shared" si="10"/>
        <v>21342</v>
      </c>
      <c r="O376" s="4">
        <v>4</v>
      </c>
      <c r="P376" s="4">
        <v>21</v>
      </c>
      <c r="Q376" s="4">
        <v>5</v>
      </c>
      <c r="R376" s="4">
        <v>4</v>
      </c>
      <c r="S376" s="4">
        <v>7</v>
      </c>
      <c r="T376" s="4">
        <v>0</v>
      </c>
      <c r="U376" s="4">
        <v>1</v>
      </c>
      <c r="V376" s="4">
        <v>2</v>
      </c>
      <c r="W376" s="4">
        <v>1</v>
      </c>
      <c r="X376" s="4">
        <v>7</v>
      </c>
      <c r="Y376" s="4">
        <v>2</v>
      </c>
      <c r="Z376" s="4">
        <v>8</v>
      </c>
      <c r="AA376" s="3">
        <f t="shared" si="11"/>
        <v>62</v>
      </c>
      <c r="AB376" t="s">
        <v>63</v>
      </c>
      <c r="AC376">
        <v>0.36</v>
      </c>
      <c r="AD376">
        <v>1.89</v>
      </c>
      <c r="AE376">
        <v>0.53</v>
      </c>
      <c r="AF376">
        <v>35.22</v>
      </c>
      <c r="AG376">
        <v>0.63</v>
      </c>
      <c r="AH376">
        <v>79.92</v>
      </c>
      <c r="AI376">
        <v>156.55000000000001</v>
      </c>
      <c r="AJ376">
        <v>32.659999999999997</v>
      </c>
      <c r="AK376">
        <v>68.73</v>
      </c>
      <c r="AL376">
        <v>0.63</v>
      </c>
      <c r="AM376">
        <v>27.6</v>
      </c>
      <c r="AN376">
        <v>27.7</v>
      </c>
      <c r="AO376" s="1">
        <v>432.42</v>
      </c>
    </row>
    <row r="377" spans="1:41" x14ac:dyDescent="0.25">
      <c r="A377" t="s">
        <v>979</v>
      </c>
      <c r="B377" s="4">
        <v>0</v>
      </c>
      <c r="C377" s="4">
        <v>0</v>
      </c>
      <c r="D377" s="4">
        <v>0</v>
      </c>
      <c r="E377" s="4">
        <v>1186</v>
      </c>
      <c r="F377" s="4">
        <v>555</v>
      </c>
      <c r="G377" s="4">
        <v>1267</v>
      </c>
      <c r="H377" s="4">
        <v>1049</v>
      </c>
      <c r="I377" s="4">
        <v>6086</v>
      </c>
      <c r="J377" s="4">
        <v>7495</v>
      </c>
      <c r="K377" s="4">
        <v>1373</v>
      </c>
      <c r="L377" s="4">
        <v>1827</v>
      </c>
      <c r="M377" s="4">
        <v>10051</v>
      </c>
      <c r="N377" s="3">
        <f t="shared" si="10"/>
        <v>30889</v>
      </c>
      <c r="O377" s="4">
        <v>5</v>
      </c>
      <c r="P377" s="4">
        <v>6</v>
      </c>
      <c r="Q377" s="4">
        <v>4</v>
      </c>
      <c r="R377" s="4">
        <v>5</v>
      </c>
      <c r="S377" s="4">
        <v>2</v>
      </c>
      <c r="T377" s="4">
        <v>3</v>
      </c>
      <c r="U377" s="4">
        <v>5</v>
      </c>
      <c r="V377" s="4">
        <v>3</v>
      </c>
      <c r="W377" s="4">
        <v>3</v>
      </c>
      <c r="X377" s="4">
        <v>2</v>
      </c>
      <c r="Y377" s="4">
        <v>5</v>
      </c>
      <c r="Z377" s="4">
        <v>4</v>
      </c>
      <c r="AA377" s="3">
        <f t="shared" si="11"/>
        <v>47</v>
      </c>
      <c r="AB377" t="s">
        <v>63</v>
      </c>
      <c r="AC377">
        <v>0.45</v>
      </c>
      <c r="AD377">
        <v>0.54</v>
      </c>
      <c r="AE377">
        <v>0.36</v>
      </c>
      <c r="AF377">
        <v>24.17</v>
      </c>
      <c r="AG377">
        <v>11.28</v>
      </c>
      <c r="AH377">
        <v>25.61</v>
      </c>
      <c r="AI377">
        <v>21.43</v>
      </c>
      <c r="AJ377">
        <v>121.99</v>
      </c>
      <c r="AK377">
        <v>150.16999999999999</v>
      </c>
      <c r="AL377">
        <v>27.64</v>
      </c>
      <c r="AM377">
        <v>36.99</v>
      </c>
      <c r="AN377">
        <v>201.38</v>
      </c>
      <c r="AO377" s="1">
        <v>622.01</v>
      </c>
    </row>
    <row r="378" spans="1:41" x14ac:dyDescent="0.25">
      <c r="A378" t="s">
        <v>993</v>
      </c>
      <c r="B378" s="6">
        <v>0</v>
      </c>
      <c r="C378" s="6">
        <v>5505</v>
      </c>
      <c r="D378" s="6">
        <v>2571</v>
      </c>
      <c r="E378" s="6">
        <v>3232</v>
      </c>
      <c r="F378" s="6">
        <v>981</v>
      </c>
      <c r="G378" s="6">
        <v>5090</v>
      </c>
      <c r="H378" s="6">
        <v>0</v>
      </c>
      <c r="I378" s="6">
        <v>585</v>
      </c>
      <c r="J378" s="6">
        <v>4045</v>
      </c>
      <c r="K378" s="6">
        <v>8118</v>
      </c>
      <c r="L378" s="6">
        <v>263</v>
      </c>
      <c r="M378" s="6">
        <v>3654</v>
      </c>
      <c r="N378" s="3">
        <f t="shared" si="10"/>
        <v>34044</v>
      </c>
      <c r="O378" s="6">
        <v>0</v>
      </c>
      <c r="P378" s="6">
        <v>0</v>
      </c>
      <c r="Q378" s="6">
        <v>0</v>
      </c>
      <c r="R378" s="6">
        <v>4</v>
      </c>
      <c r="S378" s="6">
        <v>2</v>
      </c>
      <c r="T378" s="6">
        <v>2</v>
      </c>
      <c r="U378" s="6">
        <v>3</v>
      </c>
      <c r="V378" s="6">
        <v>2</v>
      </c>
      <c r="W378" s="6">
        <v>3</v>
      </c>
      <c r="X378" s="6">
        <v>1</v>
      </c>
      <c r="Y378" s="6">
        <v>15</v>
      </c>
      <c r="Z378" s="6">
        <v>4</v>
      </c>
      <c r="AA378" s="3">
        <f t="shared" si="11"/>
        <v>36</v>
      </c>
      <c r="AB378" t="s">
        <v>63</v>
      </c>
      <c r="AD378">
        <v>110.1</v>
      </c>
      <c r="AE378">
        <v>51.42</v>
      </c>
      <c r="AF378">
        <v>65</v>
      </c>
      <c r="AG378">
        <v>19.8</v>
      </c>
      <c r="AH378">
        <v>101.98</v>
      </c>
      <c r="AI378">
        <v>0.27</v>
      </c>
      <c r="AJ378">
        <v>11.88</v>
      </c>
      <c r="AK378">
        <v>81.17</v>
      </c>
      <c r="AL378">
        <v>162.44999999999999</v>
      </c>
      <c r="AM378">
        <v>6.61</v>
      </c>
      <c r="AN378">
        <v>73.44</v>
      </c>
      <c r="AO378" s="1">
        <v>684.11999999999989</v>
      </c>
    </row>
    <row r="379" spans="1:41" x14ac:dyDescent="0.25">
      <c r="A379" t="s">
        <v>994</v>
      </c>
      <c r="B379" s="6">
        <v>0</v>
      </c>
      <c r="C379" s="6">
        <v>5209</v>
      </c>
      <c r="D379" s="6">
        <v>1338</v>
      </c>
      <c r="E379" s="6">
        <v>2372</v>
      </c>
      <c r="F379" s="6">
        <v>2224</v>
      </c>
      <c r="G379" s="6">
        <v>2952</v>
      </c>
      <c r="H379" s="6">
        <v>402</v>
      </c>
      <c r="I379" s="6">
        <v>786</v>
      </c>
      <c r="J379" s="6">
        <v>3535</v>
      </c>
      <c r="K379" s="6">
        <v>2501</v>
      </c>
      <c r="L379" s="6">
        <v>3292</v>
      </c>
      <c r="M379" s="6">
        <v>3385</v>
      </c>
      <c r="N379" s="3">
        <f t="shared" si="10"/>
        <v>27996</v>
      </c>
      <c r="O379" s="6">
        <v>0</v>
      </c>
      <c r="P379" s="6">
        <v>1</v>
      </c>
      <c r="Q379" s="6">
        <v>4</v>
      </c>
      <c r="R379" s="6">
        <v>1</v>
      </c>
      <c r="S379" s="6">
        <v>4</v>
      </c>
      <c r="T379" s="6">
        <v>7</v>
      </c>
      <c r="U379" s="6">
        <v>1</v>
      </c>
      <c r="V379" s="6">
        <v>5</v>
      </c>
      <c r="W379" s="6">
        <v>6</v>
      </c>
      <c r="X379" s="6">
        <v>0</v>
      </c>
      <c r="Y379" s="6">
        <v>6</v>
      </c>
      <c r="Z379" s="6">
        <v>5</v>
      </c>
      <c r="AA379" s="3">
        <f t="shared" si="11"/>
        <v>40</v>
      </c>
      <c r="AB379" t="s">
        <v>63</v>
      </c>
      <c r="AD379">
        <v>104.27</v>
      </c>
      <c r="AE379">
        <v>27.12</v>
      </c>
      <c r="AF379">
        <v>47.53</v>
      </c>
      <c r="AG379">
        <v>44.84</v>
      </c>
      <c r="AH379">
        <v>59.67</v>
      </c>
      <c r="AI379">
        <v>8.1300000000000008</v>
      </c>
      <c r="AJ379">
        <v>16.170000000000002</v>
      </c>
      <c r="AK379">
        <v>71.239999999999995</v>
      </c>
      <c r="AL379">
        <v>50.02</v>
      </c>
      <c r="AM379">
        <v>66.38</v>
      </c>
      <c r="AN379">
        <v>68.150000000000006</v>
      </c>
      <c r="AO379" s="1">
        <v>563.52</v>
      </c>
    </row>
    <row r="380" spans="1:41" x14ac:dyDescent="0.25">
      <c r="A380" t="s">
        <v>995</v>
      </c>
      <c r="B380" s="6">
        <v>0</v>
      </c>
      <c r="C380" s="6">
        <v>5015</v>
      </c>
      <c r="D380" s="6">
        <v>3216</v>
      </c>
      <c r="E380" s="6">
        <v>160</v>
      </c>
      <c r="F380" s="6">
        <v>1129</v>
      </c>
      <c r="G380" s="6">
        <v>4427</v>
      </c>
      <c r="H380" s="6">
        <v>596</v>
      </c>
      <c r="I380" s="6">
        <v>549</v>
      </c>
      <c r="J380" s="6">
        <v>2368</v>
      </c>
      <c r="K380" s="6">
        <v>6627</v>
      </c>
      <c r="L380" s="6">
        <v>1110</v>
      </c>
      <c r="M380" s="6">
        <v>725</v>
      </c>
      <c r="N380" s="3">
        <f t="shared" si="10"/>
        <v>25922</v>
      </c>
      <c r="O380" s="6">
        <v>0</v>
      </c>
      <c r="P380" s="6">
        <v>2</v>
      </c>
      <c r="Q380" s="6">
        <v>2</v>
      </c>
      <c r="R380" s="6">
        <v>0</v>
      </c>
      <c r="S380" s="6">
        <v>3</v>
      </c>
      <c r="T380" s="6">
        <v>7</v>
      </c>
      <c r="U380" s="6">
        <v>12</v>
      </c>
      <c r="V380" s="6">
        <v>3</v>
      </c>
      <c r="W380" s="6">
        <v>4</v>
      </c>
      <c r="X380" s="6">
        <v>1</v>
      </c>
      <c r="Y380" s="6">
        <v>4</v>
      </c>
      <c r="Z380" s="6">
        <v>2</v>
      </c>
      <c r="AA380" s="3">
        <f t="shared" si="11"/>
        <v>40</v>
      </c>
      <c r="AB380" t="s">
        <v>63</v>
      </c>
      <c r="AD380">
        <v>100.48</v>
      </c>
      <c r="AE380">
        <v>64.5</v>
      </c>
      <c r="AF380">
        <v>3.2</v>
      </c>
      <c r="AG380">
        <v>22.85</v>
      </c>
      <c r="AH380">
        <v>89.17</v>
      </c>
      <c r="AI380">
        <v>13</v>
      </c>
      <c r="AJ380">
        <v>11.25</v>
      </c>
      <c r="AK380">
        <v>47.72</v>
      </c>
      <c r="AL380">
        <v>132.63</v>
      </c>
      <c r="AM380">
        <v>22.56</v>
      </c>
      <c r="AN380">
        <v>14.68</v>
      </c>
      <c r="AO380" s="1">
        <v>522.04</v>
      </c>
    </row>
    <row r="381" spans="1:41" x14ac:dyDescent="0.25">
      <c r="A381" t="s">
        <v>996</v>
      </c>
      <c r="B381" s="6">
        <v>0</v>
      </c>
      <c r="C381" s="6">
        <v>4181</v>
      </c>
      <c r="D381" s="6">
        <v>2280</v>
      </c>
      <c r="E381" s="6">
        <v>1076</v>
      </c>
      <c r="F381" s="6">
        <v>1524</v>
      </c>
      <c r="G381" s="6">
        <v>1440</v>
      </c>
      <c r="H381" s="6">
        <v>662</v>
      </c>
      <c r="I381" s="6">
        <v>5162</v>
      </c>
      <c r="J381" s="6">
        <v>4261</v>
      </c>
      <c r="K381" s="6">
        <v>1781</v>
      </c>
      <c r="L381" s="6">
        <v>2336</v>
      </c>
      <c r="M381" s="6">
        <v>1877</v>
      </c>
      <c r="N381" s="3">
        <f t="shared" si="10"/>
        <v>26580</v>
      </c>
      <c r="O381" s="6">
        <v>0</v>
      </c>
      <c r="P381" s="6">
        <v>1</v>
      </c>
      <c r="Q381" s="6">
        <v>18</v>
      </c>
      <c r="R381" s="6">
        <v>1</v>
      </c>
      <c r="S381" s="6">
        <v>7</v>
      </c>
      <c r="T381" s="6">
        <v>4</v>
      </c>
      <c r="U381" s="6">
        <v>5</v>
      </c>
      <c r="V381" s="6">
        <v>3</v>
      </c>
      <c r="W381" s="6">
        <v>2</v>
      </c>
      <c r="X381" s="6">
        <v>10</v>
      </c>
      <c r="Y381" s="6">
        <v>12</v>
      </c>
      <c r="Z381" s="6">
        <v>9</v>
      </c>
      <c r="AA381" s="3">
        <f t="shared" si="11"/>
        <v>72</v>
      </c>
      <c r="AB381" t="s">
        <v>63</v>
      </c>
      <c r="AD381">
        <v>83.71</v>
      </c>
      <c r="AE381">
        <v>47.22</v>
      </c>
      <c r="AF381">
        <v>21.61</v>
      </c>
      <c r="AG381">
        <v>31.11</v>
      </c>
      <c r="AH381">
        <v>29.16</v>
      </c>
      <c r="AI381">
        <v>13.69</v>
      </c>
      <c r="AJ381">
        <v>103.51</v>
      </c>
      <c r="AK381">
        <v>85.4</v>
      </c>
      <c r="AL381">
        <v>36.520000000000003</v>
      </c>
      <c r="AM381">
        <v>47.8</v>
      </c>
      <c r="AN381">
        <v>38.35</v>
      </c>
      <c r="AO381" s="1">
        <v>538.08000000000004</v>
      </c>
    </row>
    <row r="382" spans="1:41" x14ac:dyDescent="0.25">
      <c r="A382" t="s">
        <v>997</v>
      </c>
      <c r="B382" s="6">
        <v>0</v>
      </c>
      <c r="C382" s="6">
        <v>3987</v>
      </c>
      <c r="D382" s="6">
        <v>6239</v>
      </c>
      <c r="E382" s="6">
        <v>2245</v>
      </c>
      <c r="F382" s="6">
        <v>1718</v>
      </c>
      <c r="G382" s="6">
        <v>340</v>
      </c>
      <c r="H382" s="6">
        <v>5452</v>
      </c>
      <c r="I382" s="6">
        <v>597</v>
      </c>
      <c r="J382" s="6">
        <v>2186</v>
      </c>
      <c r="K382" s="6">
        <v>1057</v>
      </c>
      <c r="L382" s="6">
        <v>3157</v>
      </c>
      <c r="M382" s="6">
        <v>4558</v>
      </c>
      <c r="N382" s="3">
        <f t="shared" si="10"/>
        <v>31536</v>
      </c>
      <c r="O382" s="6">
        <v>0</v>
      </c>
      <c r="P382" s="6">
        <v>9</v>
      </c>
      <c r="Q382" s="6">
        <v>5</v>
      </c>
      <c r="R382" s="6">
        <v>9</v>
      </c>
      <c r="S382" s="6">
        <v>0</v>
      </c>
      <c r="T382" s="6">
        <v>15</v>
      </c>
      <c r="U382" s="6">
        <v>5</v>
      </c>
      <c r="V382" s="6">
        <v>1</v>
      </c>
      <c r="W382" s="6">
        <v>6</v>
      </c>
      <c r="X382" s="6">
        <v>1</v>
      </c>
      <c r="Y382" s="6">
        <v>8</v>
      </c>
      <c r="Z382" s="6">
        <v>1</v>
      </c>
      <c r="AA382" s="3">
        <f t="shared" si="11"/>
        <v>60</v>
      </c>
      <c r="AB382" t="s">
        <v>63</v>
      </c>
      <c r="AD382">
        <v>80.55</v>
      </c>
      <c r="AE382">
        <v>125.23</v>
      </c>
      <c r="AF382">
        <v>45.71</v>
      </c>
      <c r="AG382">
        <v>34.36</v>
      </c>
      <c r="AH382">
        <v>8.15</v>
      </c>
      <c r="AI382">
        <v>109.49</v>
      </c>
      <c r="AJ382">
        <v>12.03</v>
      </c>
      <c r="AK382">
        <v>44.26</v>
      </c>
      <c r="AL382">
        <v>21.23</v>
      </c>
      <c r="AM382">
        <v>63.86</v>
      </c>
      <c r="AN382">
        <v>91.25</v>
      </c>
      <c r="AO382" s="1">
        <v>636.12</v>
      </c>
    </row>
    <row r="383" spans="1:41" x14ac:dyDescent="0.25">
      <c r="A383" t="s">
        <v>998</v>
      </c>
      <c r="B383" s="6">
        <v>0</v>
      </c>
      <c r="C383" s="6">
        <v>3190</v>
      </c>
      <c r="D383" s="6">
        <v>0</v>
      </c>
      <c r="E383" s="6">
        <v>113</v>
      </c>
      <c r="F383" s="6">
        <v>2319</v>
      </c>
      <c r="G383" s="6">
        <v>983</v>
      </c>
      <c r="H383" s="6">
        <v>6310</v>
      </c>
      <c r="I383" s="6">
        <v>1648</v>
      </c>
      <c r="J383" s="6">
        <v>14311</v>
      </c>
      <c r="K383" s="6">
        <v>4529</v>
      </c>
      <c r="L383" s="6">
        <v>0</v>
      </c>
      <c r="M383" s="6">
        <v>1467</v>
      </c>
      <c r="N383" s="3">
        <f t="shared" si="10"/>
        <v>34870</v>
      </c>
      <c r="O383" s="6">
        <v>0</v>
      </c>
      <c r="P383" s="6">
        <v>2</v>
      </c>
      <c r="Q383" s="6">
        <v>2</v>
      </c>
      <c r="R383" s="6">
        <v>1</v>
      </c>
      <c r="S383" s="6">
        <v>5</v>
      </c>
      <c r="T383" s="6">
        <v>3</v>
      </c>
      <c r="U383" s="6">
        <v>11</v>
      </c>
      <c r="V383" s="6">
        <v>4</v>
      </c>
      <c r="W383" s="6">
        <v>20</v>
      </c>
      <c r="X383" s="6">
        <v>9</v>
      </c>
      <c r="Y383" s="6">
        <v>1</v>
      </c>
      <c r="Z383" s="6">
        <v>10</v>
      </c>
      <c r="AA383" s="3">
        <f t="shared" si="11"/>
        <v>68</v>
      </c>
      <c r="AB383" t="s">
        <v>63</v>
      </c>
      <c r="AD383">
        <v>63.98</v>
      </c>
      <c r="AE383">
        <v>0.18</v>
      </c>
      <c r="AF383">
        <v>2.35</v>
      </c>
      <c r="AG383">
        <v>46.83</v>
      </c>
      <c r="AH383">
        <v>19.93</v>
      </c>
      <c r="AI383">
        <v>127.19</v>
      </c>
      <c r="AJ383">
        <v>33.32</v>
      </c>
      <c r="AK383">
        <v>288.02</v>
      </c>
      <c r="AL383">
        <v>91.39</v>
      </c>
      <c r="AM383">
        <v>0.09</v>
      </c>
      <c r="AN383">
        <v>30.24</v>
      </c>
      <c r="AO383" s="1">
        <v>703.52</v>
      </c>
    </row>
    <row r="384" spans="1:41" x14ac:dyDescent="0.25">
      <c r="A384" t="s">
        <v>999</v>
      </c>
      <c r="B384" s="6">
        <v>0</v>
      </c>
      <c r="C384" s="6">
        <v>3176</v>
      </c>
      <c r="D384" s="6">
        <v>3970</v>
      </c>
      <c r="E384" s="6">
        <v>3243</v>
      </c>
      <c r="F384" s="6">
        <v>1651</v>
      </c>
      <c r="G384" s="6">
        <v>883</v>
      </c>
      <c r="H384" s="6">
        <v>1826</v>
      </c>
      <c r="I384" s="6">
        <v>1534</v>
      </c>
      <c r="J384" s="6">
        <v>0</v>
      </c>
      <c r="K384" s="6">
        <v>6794</v>
      </c>
      <c r="L384" s="6">
        <v>1679</v>
      </c>
      <c r="M384" s="6">
        <v>9343</v>
      </c>
      <c r="N384" s="3">
        <f t="shared" si="10"/>
        <v>34099</v>
      </c>
      <c r="O384" s="6">
        <v>0</v>
      </c>
      <c r="P384" s="6">
        <v>0</v>
      </c>
      <c r="Q384" s="6">
        <v>10</v>
      </c>
      <c r="R384" s="6">
        <v>11</v>
      </c>
      <c r="S384" s="6">
        <v>0</v>
      </c>
      <c r="T384" s="6">
        <v>1</v>
      </c>
      <c r="U384" s="6">
        <v>6</v>
      </c>
      <c r="V384" s="6">
        <v>6</v>
      </c>
      <c r="W384" s="6">
        <v>2</v>
      </c>
      <c r="X384" s="6">
        <v>3</v>
      </c>
      <c r="Y384" s="6">
        <v>4</v>
      </c>
      <c r="Z384" s="6">
        <v>2</v>
      </c>
      <c r="AA384" s="3">
        <f t="shared" si="11"/>
        <v>45</v>
      </c>
      <c r="AB384" t="s">
        <v>63</v>
      </c>
      <c r="AD384">
        <v>63.52</v>
      </c>
      <c r="AE384">
        <v>80.3</v>
      </c>
      <c r="AF384">
        <v>65.849999999999994</v>
      </c>
      <c r="AG384">
        <v>33.020000000000003</v>
      </c>
      <c r="AH384">
        <v>17.75</v>
      </c>
      <c r="AI384">
        <v>37.06</v>
      </c>
      <c r="AJ384">
        <v>31.22</v>
      </c>
      <c r="AK384">
        <v>0.18</v>
      </c>
      <c r="AL384">
        <v>136.15</v>
      </c>
      <c r="AM384">
        <v>33.94</v>
      </c>
      <c r="AN384">
        <v>187.04</v>
      </c>
      <c r="AO384" s="1">
        <v>686.03000000000009</v>
      </c>
    </row>
    <row r="385" spans="1:41" x14ac:dyDescent="0.25">
      <c r="A385" t="s">
        <v>1000</v>
      </c>
      <c r="B385" s="6">
        <v>0</v>
      </c>
      <c r="C385" s="6">
        <v>2665</v>
      </c>
      <c r="D385" s="6">
        <v>3064</v>
      </c>
      <c r="E385" s="6">
        <v>1877</v>
      </c>
      <c r="F385" s="6">
        <v>3049</v>
      </c>
      <c r="G385" s="6">
        <v>705</v>
      </c>
      <c r="H385" s="6">
        <v>1070</v>
      </c>
      <c r="I385" s="6">
        <v>2705</v>
      </c>
      <c r="J385" s="6">
        <v>7948</v>
      </c>
      <c r="K385" s="6">
        <v>719</v>
      </c>
      <c r="L385" s="6">
        <v>2940</v>
      </c>
      <c r="M385" s="6">
        <v>330</v>
      </c>
      <c r="N385" s="3">
        <f t="shared" si="10"/>
        <v>27072</v>
      </c>
      <c r="O385" s="6">
        <v>0</v>
      </c>
      <c r="P385" s="6">
        <v>0</v>
      </c>
      <c r="Q385" s="6">
        <v>1</v>
      </c>
      <c r="R385" s="6">
        <v>0</v>
      </c>
      <c r="S385" s="6">
        <v>1</v>
      </c>
      <c r="T385" s="6">
        <v>8</v>
      </c>
      <c r="U385" s="6">
        <v>0</v>
      </c>
      <c r="V385" s="6">
        <v>6</v>
      </c>
      <c r="W385" s="6">
        <v>1</v>
      </c>
      <c r="X385" s="6">
        <v>9</v>
      </c>
      <c r="Y385" s="6">
        <v>3</v>
      </c>
      <c r="Z385" s="6">
        <v>1</v>
      </c>
      <c r="AA385" s="3">
        <f t="shared" si="11"/>
        <v>30</v>
      </c>
      <c r="AB385" t="s">
        <v>63</v>
      </c>
      <c r="AD385">
        <v>53.3</v>
      </c>
      <c r="AE385">
        <v>61.37</v>
      </c>
      <c r="AF385">
        <v>37.54</v>
      </c>
      <c r="AG385">
        <v>61.07</v>
      </c>
      <c r="AH385">
        <v>14.82</v>
      </c>
      <c r="AI385">
        <v>21.4</v>
      </c>
      <c r="AJ385">
        <v>54.64</v>
      </c>
      <c r="AK385">
        <v>159.05000000000001</v>
      </c>
      <c r="AL385">
        <v>15.19</v>
      </c>
      <c r="AM385">
        <v>59.07</v>
      </c>
      <c r="AN385">
        <v>6.69</v>
      </c>
      <c r="AO385" s="1">
        <v>544.1400000000001</v>
      </c>
    </row>
    <row r="386" spans="1:41" x14ac:dyDescent="0.25">
      <c r="A386" t="s">
        <v>1001</v>
      </c>
      <c r="B386" s="6">
        <v>0</v>
      </c>
      <c r="C386" s="6">
        <v>2637</v>
      </c>
      <c r="D386" s="6">
        <v>1487</v>
      </c>
      <c r="E386" s="6">
        <v>1139</v>
      </c>
      <c r="F386" s="6">
        <v>1836</v>
      </c>
      <c r="G386" s="6">
        <v>8356</v>
      </c>
      <c r="H386" s="6">
        <v>1158</v>
      </c>
      <c r="I386" s="6">
        <v>2445</v>
      </c>
      <c r="J386" s="6">
        <v>1735</v>
      </c>
      <c r="K386" s="6">
        <v>6676</v>
      </c>
      <c r="L386" s="6">
        <v>4455</v>
      </c>
      <c r="M386" s="6">
        <v>1366</v>
      </c>
      <c r="N386" s="3">
        <f t="shared" si="10"/>
        <v>33290</v>
      </c>
      <c r="O386" s="6">
        <v>0</v>
      </c>
      <c r="P386" s="6">
        <v>3</v>
      </c>
      <c r="Q386" s="6">
        <v>4</v>
      </c>
      <c r="R386" s="6">
        <v>1</v>
      </c>
      <c r="S386" s="6">
        <v>1</v>
      </c>
      <c r="T386" s="6">
        <v>2</v>
      </c>
      <c r="U386" s="6">
        <v>13</v>
      </c>
      <c r="V386" s="6">
        <v>3</v>
      </c>
      <c r="W386" s="6">
        <v>4</v>
      </c>
      <c r="X386" s="6">
        <v>1</v>
      </c>
      <c r="Y386" s="6">
        <v>5</v>
      </c>
      <c r="Z386" s="6">
        <v>0</v>
      </c>
      <c r="AA386" s="3">
        <f t="shared" si="11"/>
        <v>37</v>
      </c>
      <c r="AB386" t="s">
        <v>63</v>
      </c>
      <c r="AD386">
        <v>53.01</v>
      </c>
      <c r="AE386">
        <v>30.1</v>
      </c>
      <c r="AF386">
        <v>22.87</v>
      </c>
      <c r="AG386">
        <v>36.81</v>
      </c>
      <c r="AH386">
        <v>167.3</v>
      </c>
      <c r="AI386">
        <v>24.33</v>
      </c>
      <c r="AJ386">
        <v>49.17</v>
      </c>
      <c r="AK386">
        <v>35.06</v>
      </c>
      <c r="AL386">
        <v>133.61000000000001</v>
      </c>
      <c r="AM386">
        <v>89.55</v>
      </c>
      <c r="AN386">
        <v>27.32</v>
      </c>
      <c r="AO386" s="1">
        <v>669.13</v>
      </c>
    </row>
    <row r="387" spans="1:41" x14ac:dyDescent="0.25">
      <c r="A387" t="s">
        <v>1002</v>
      </c>
      <c r="B387" s="6">
        <v>0</v>
      </c>
      <c r="C387" s="6">
        <v>1875</v>
      </c>
      <c r="D387" s="6">
        <v>2536</v>
      </c>
      <c r="E387" s="6">
        <v>7574</v>
      </c>
      <c r="F387" s="6">
        <v>388</v>
      </c>
      <c r="G387" s="6">
        <v>1294</v>
      </c>
      <c r="H387" s="6">
        <v>4497</v>
      </c>
      <c r="I387" s="6">
        <v>1185</v>
      </c>
      <c r="J387" s="6">
        <v>77</v>
      </c>
      <c r="K387" s="6">
        <v>431</v>
      </c>
      <c r="L387" s="6">
        <v>2248</v>
      </c>
      <c r="M387" s="6">
        <v>1289</v>
      </c>
      <c r="N387" s="3">
        <f t="shared" si="10"/>
        <v>23394</v>
      </c>
      <c r="O387" s="6">
        <v>0</v>
      </c>
      <c r="P387" s="6">
        <v>2</v>
      </c>
      <c r="Q387" s="6">
        <v>2</v>
      </c>
      <c r="R387" s="6">
        <v>23</v>
      </c>
      <c r="S387" s="6">
        <v>1</v>
      </c>
      <c r="T387" s="6">
        <v>1</v>
      </c>
      <c r="U387" s="6">
        <v>2</v>
      </c>
      <c r="V387" s="6">
        <v>0</v>
      </c>
      <c r="W387" s="6">
        <v>3</v>
      </c>
      <c r="X387" s="6">
        <v>6</v>
      </c>
      <c r="Y387" s="6">
        <v>3</v>
      </c>
      <c r="Z387" s="6">
        <v>3</v>
      </c>
      <c r="AA387" s="3">
        <f t="shared" si="11"/>
        <v>46</v>
      </c>
      <c r="AB387" t="s">
        <v>63</v>
      </c>
      <c r="AD387">
        <v>37.68</v>
      </c>
      <c r="AE387">
        <v>50.9</v>
      </c>
      <c r="AF387">
        <v>153.55000000000001</v>
      </c>
      <c r="AG387">
        <v>7.85</v>
      </c>
      <c r="AH387">
        <v>25.97</v>
      </c>
      <c r="AI387">
        <v>90.12</v>
      </c>
      <c r="AJ387">
        <v>23.7</v>
      </c>
      <c r="AK387">
        <v>1.81</v>
      </c>
      <c r="AL387">
        <v>9.16</v>
      </c>
      <c r="AM387">
        <v>45.23</v>
      </c>
      <c r="AN387">
        <v>26.05</v>
      </c>
      <c r="AO387" s="1">
        <v>472.02000000000004</v>
      </c>
    </row>
    <row r="388" spans="1:41" x14ac:dyDescent="0.25">
      <c r="A388" t="s">
        <v>1004</v>
      </c>
      <c r="B388" s="6">
        <v>0</v>
      </c>
      <c r="C388" s="6">
        <v>989</v>
      </c>
      <c r="D388" s="6">
        <v>319</v>
      </c>
      <c r="E388" s="6">
        <v>7832</v>
      </c>
      <c r="F388" s="6">
        <v>761</v>
      </c>
      <c r="G388" s="6">
        <v>1745</v>
      </c>
      <c r="H388" s="6">
        <v>1115</v>
      </c>
      <c r="I388" s="6">
        <v>1495</v>
      </c>
      <c r="J388" s="6">
        <v>1166</v>
      </c>
      <c r="K388" s="6">
        <v>3626</v>
      </c>
      <c r="L388" s="6">
        <v>47</v>
      </c>
      <c r="M388" s="6">
        <v>11911</v>
      </c>
      <c r="N388" s="3">
        <f t="shared" ref="N388:N409" si="12">SUM(B388:M388)</f>
        <v>31006</v>
      </c>
      <c r="O388" s="6">
        <v>0</v>
      </c>
      <c r="P388" s="6">
        <v>1</v>
      </c>
      <c r="Q388" s="6">
        <v>4</v>
      </c>
      <c r="R388" s="6">
        <v>1</v>
      </c>
      <c r="S388" s="6">
        <v>5</v>
      </c>
      <c r="T388" s="6">
        <v>3</v>
      </c>
      <c r="U388" s="6">
        <v>2</v>
      </c>
      <c r="V388" s="6">
        <v>2</v>
      </c>
      <c r="W388" s="6">
        <v>1</v>
      </c>
      <c r="X388" s="6">
        <v>4</v>
      </c>
      <c r="Y388" s="6">
        <v>3</v>
      </c>
      <c r="Z388" s="6">
        <v>4</v>
      </c>
      <c r="AA388" s="3">
        <f t="shared" ref="AA388:AA409" si="13">SUM(O388:Z388)</f>
        <v>30</v>
      </c>
      <c r="AB388" t="s">
        <v>63</v>
      </c>
      <c r="AD388">
        <v>19.87</v>
      </c>
      <c r="AE388">
        <v>6.74</v>
      </c>
      <c r="AF388">
        <v>156.72999999999999</v>
      </c>
      <c r="AG388">
        <v>15.67</v>
      </c>
      <c r="AH388">
        <v>35.17</v>
      </c>
      <c r="AI388">
        <v>22.48</v>
      </c>
      <c r="AJ388">
        <v>30.08</v>
      </c>
      <c r="AK388">
        <v>23.41</v>
      </c>
      <c r="AL388">
        <v>72.88</v>
      </c>
      <c r="AM388">
        <v>1.21</v>
      </c>
      <c r="AN388">
        <v>238.58</v>
      </c>
      <c r="AO388" s="1">
        <v>622.81999999999994</v>
      </c>
    </row>
    <row r="389" spans="1:41" x14ac:dyDescent="0.25">
      <c r="A389" t="s">
        <v>1005</v>
      </c>
      <c r="B389" s="6">
        <v>0</v>
      </c>
      <c r="C389" s="6">
        <v>91</v>
      </c>
      <c r="D389" s="6">
        <v>1687</v>
      </c>
      <c r="E389" s="6">
        <v>6328</v>
      </c>
      <c r="F389" s="6">
        <v>2157</v>
      </c>
      <c r="G389" s="6">
        <v>5023</v>
      </c>
      <c r="H389" s="6">
        <v>2353</v>
      </c>
      <c r="I389" s="6">
        <v>1654</v>
      </c>
      <c r="J389" s="6">
        <v>12556</v>
      </c>
      <c r="K389" s="6">
        <v>2990</v>
      </c>
      <c r="L389" s="6">
        <v>95</v>
      </c>
      <c r="M389" s="6">
        <v>1649</v>
      </c>
      <c r="N389" s="3">
        <f t="shared" si="12"/>
        <v>36583</v>
      </c>
      <c r="O389" s="6">
        <v>0</v>
      </c>
      <c r="P389" s="6">
        <v>2</v>
      </c>
      <c r="Q389" s="6">
        <v>11</v>
      </c>
      <c r="R389" s="6">
        <v>6</v>
      </c>
      <c r="S389" s="6">
        <v>7</v>
      </c>
      <c r="T389" s="6">
        <v>10</v>
      </c>
      <c r="U389" s="6">
        <v>2</v>
      </c>
      <c r="V389" s="6">
        <v>7</v>
      </c>
      <c r="W389" s="6">
        <v>1</v>
      </c>
      <c r="X389" s="6">
        <v>3</v>
      </c>
      <c r="Y389" s="6">
        <v>3</v>
      </c>
      <c r="Z389" s="6">
        <v>15</v>
      </c>
      <c r="AA389" s="3">
        <f t="shared" si="13"/>
        <v>67</v>
      </c>
      <c r="AB389" t="s">
        <v>63</v>
      </c>
      <c r="AD389">
        <v>2</v>
      </c>
      <c r="AE389">
        <v>34.729999999999997</v>
      </c>
      <c r="AF389">
        <v>127.1</v>
      </c>
      <c r="AG389">
        <v>43.77</v>
      </c>
      <c r="AH389">
        <v>101.36</v>
      </c>
      <c r="AI389">
        <v>47.24</v>
      </c>
      <c r="AJ389">
        <v>33.71</v>
      </c>
      <c r="AK389">
        <v>251.21</v>
      </c>
      <c r="AL389">
        <v>60.07</v>
      </c>
      <c r="AM389">
        <v>2.17</v>
      </c>
      <c r="AN389">
        <v>34.33</v>
      </c>
      <c r="AO389" s="1">
        <v>737.69</v>
      </c>
    </row>
    <row r="390" spans="1:41" x14ac:dyDescent="0.25">
      <c r="A390" t="s">
        <v>1006</v>
      </c>
      <c r="B390" s="6">
        <v>0</v>
      </c>
      <c r="C390" s="6">
        <v>61</v>
      </c>
      <c r="D390" s="6">
        <v>496</v>
      </c>
      <c r="E390" s="6">
        <v>2517</v>
      </c>
      <c r="F390" s="6">
        <v>1799</v>
      </c>
      <c r="G390" s="6">
        <v>2100</v>
      </c>
      <c r="H390" s="6">
        <v>3405</v>
      </c>
      <c r="I390" s="6">
        <v>3750</v>
      </c>
      <c r="J390" s="6">
        <v>465</v>
      </c>
      <c r="K390" s="6">
        <v>4853</v>
      </c>
      <c r="L390" s="6">
        <v>0</v>
      </c>
      <c r="M390" s="6">
        <v>524</v>
      </c>
      <c r="N390" s="3">
        <f t="shared" si="12"/>
        <v>19970</v>
      </c>
      <c r="O390" s="6">
        <v>0</v>
      </c>
      <c r="P390" s="6">
        <v>2</v>
      </c>
      <c r="Q390" s="6">
        <v>3</v>
      </c>
      <c r="R390" s="6">
        <v>2</v>
      </c>
      <c r="S390" s="6">
        <v>3</v>
      </c>
      <c r="T390" s="6">
        <v>2</v>
      </c>
      <c r="U390" s="6">
        <v>2</v>
      </c>
      <c r="V390" s="6">
        <v>2</v>
      </c>
      <c r="W390" s="6">
        <v>3</v>
      </c>
      <c r="X390" s="6">
        <v>13</v>
      </c>
      <c r="Y390" s="6">
        <v>1</v>
      </c>
      <c r="Z390" s="6">
        <v>12</v>
      </c>
      <c r="AA390" s="3">
        <f t="shared" si="13"/>
        <v>45</v>
      </c>
      <c r="AB390" t="s">
        <v>63</v>
      </c>
      <c r="AD390">
        <v>1.4</v>
      </c>
      <c r="AE390">
        <v>10.19</v>
      </c>
      <c r="AF390">
        <v>50.52</v>
      </c>
      <c r="AG390">
        <v>36.25</v>
      </c>
      <c r="AH390">
        <v>42.18</v>
      </c>
      <c r="AI390">
        <v>68.28</v>
      </c>
      <c r="AJ390">
        <v>75.180000000000007</v>
      </c>
      <c r="AK390">
        <v>9.57</v>
      </c>
      <c r="AL390">
        <v>98.23</v>
      </c>
      <c r="AM390">
        <v>0.09</v>
      </c>
      <c r="AN390">
        <v>11.56</v>
      </c>
      <c r="AO390" s="1">
        <v>403.45</v>
      </c>
    </row>
    <row r="391" spans="1:41" x14ac:dyDescent="0.25">
      <c r="A391" t="s">
        <v>1007</v>
      </c>
      <c r="B391" s="6">
        <v>0</v>
      </c>
      <c r="C391" s="6">
        <v>0</v>
      </c>
      <c r="D391" s="6">
        <v>1442</v>
      </c>
      <c r="E391" s="6">
        <v>9948</v>
      </c>
      <c r="F391" s="6">
        <v>1389</v>
      </c>
      <c r="G391" s="6">
        <v>2988</v>
      </c>
      <c r="H391" s="6">
        <v>576</v>
      </c>
      <c r="I391" s="6">
        <v>373</v>
      </c>
      <c r="J391" s="6">
        <v>1641</v>
      </c>
      <c r="K391" s="6">
        <v>2967</v>
      </c>
      <c r="L391" s="6">
        <v>8724</v>
      </c>
      <c r="M391" s="6">
        <v>1843</v>
      </c>
      <c r="N391" s="3">
        <f t="shared" si="12"/>
        <v>31891</v>
      </c>
      <c r="O391" s="6">
        <v>0</v>
      </c>
      <c r="P391" s="6">
        <v>3</v>
      </c>
      <c r="Q391" s="6">
        <v>2</v>
      </c>
      <c r="R391" s="6">
        <v>4</v>
      </c>
      <c r="S391" s="6">
        <v>4</v>
      </c>
      <c r="T391" s="6">
        <v>3</v>
      </c>
      <c r="U391" s="6">
        <v>4</v>
      </c>
      <c r="V391" s="6">
        <v>5</v>
      </c>
      <c r="W391" s="6">
        <v>2</v>
      </c>
      <c r="X391" s="6">
        <v>4</v>
      </c>
      <c r="Y391" s="6">
        <v>0</v>
      </c>
      <c r="Z391" s="6">
        <v>1</v>
      </c>
      <c r="AA391" s="3">
        <f t="shared" si="13"/>
        <v>32</v>
      </c>
      <c r="AB391" t="s">
        <v>63</v>
      </c>
      <c r="AD391">
        <v>0.27</v>
      </c>
      <c r="AE391">
        <v>29.02</v>
      </c>
      <c r="AF391">
        <v>199.32</v>
      </c>
      <c r="AG391">
        <v>28.14</v>
      </c>
      <c r="AH391">
        <v>60.03</v>
      </c>
      <c r="AI391">
        <v>11.88</v>
      </c>
      <c r="AJ391">
        <v>7.91</v>
      </c>
      <c r="AK391">
        <v>33</v>
      </c>
      <c r="AL391">
        <v>59.7</v>
      </c>
      <c r="AM391">
        <v>174.48</v>
      </c>
      <c r="AN391">
        <v>36.950000000000003</v>
      </c>
      <c r="AO391" s="1">
        <v>640.70000000000005</v>
      </c>
    </row>
    <row r="392" spans="1:41" x14ac:dyDescent="0.25">
      <c r="A392" t="s">
        <v>1009</v>
      </c>
      <c r="B392" s="6">
        <v>0</v>
      </c>
      <c r="C392" s="6">
        <v>0</v>
      </c>
      <c r="D392" s="6">
        <v>37</v>
      </c>
      <c r="E392" s="6">
        <v>1076</v>
      </c>
      <c r="F392" s="6">
        <v>457</v>
      </c>
      <c r="G392" s="6">
        <v>7579</v>
      </c>
      <c r="H392" s="6">
        <v>3613</v>
      </c>
      <c r="I392" s="6">
        <v>4404</v>
      </c>
      <c r="J392" s="6">
        <v>2686</v>
      </c>
      <c r="K392" s="6">
        <v>1181</v>
      </c>
      <c r="L392" s="6">
        <v>1150</v>
      </c>
      <c r="M392" s="6">
        <v>8773</v>
      </c>
      <c r="N392" s="3">
        <f t="shared" si="12"/>
        <v>30956</v>
      </c>
      <c r="O392" s="6">
        <v>0</v>
      </c>
      <c r="P392" s="6">
        <v>6</v>
      </c>
      <c r="Q392" s="6">
        <v>2</v>
      </c>
      <c r="R392" s="6">
        <v>15</v>
      </c>
      <c r="S392" s="6">
        <v>1</v>
      </c>
      <c r="T392" s="6">
        <v>11</v>
      </c>
      <c r="U392" s="6">
        <v>10</v>
      </c>
      <c r="V392" s="6">
        <v>3</v>
      </c>
      <c r="W392" s="6">
        <v>6</v>
      </c>
      <c r="X392" s="6">
        <v>3</v>
      </c>
      <c r="Y392" s="6">
        <v>9</v>
      </c>
      <c r="Z392" s="6">
        <v>3</v>
      </c>
      <c r="AA392" s="3">
        <f t="shared" si="13"/>
        <v>69</v>
      </c>
      <c r="AB392" t="s">
        <v>63</v>
      </c>
      <c r="AD392">
        <v>0.54</v>
      </c>
      <c r="AE392">
        <v>0.92</v>
      </c>
      <c r="AF392">
        <v>22.87</v>
      </c>
      <c r="AG392">
        <v>9.23</v>
      </c>
      <c r="AH392">
        <v>152.57</v>
      </c>
      <c r="AI392">
        <v>73.16</v>
      </c>
      <c r="AJ392">
        <v>88.35</v>
      </c>
      <c r="AK392">
        <v>54.26</v>
      </c>
      <c r="AL392">
        <v>23.89</v>
      </c>
      <c r="AM392">
        <v>23.81</v>
      </c>
      <c r="AN392">
        <v>175.73</v>
      </c>
      <c r="AO392" s="1">
        <v>625.32999999999993</v>
      </c>
    </row>
    <row r="393" spans="1:41" x14ac:dyDescent="0.25">
      <c r="A393" t="s">
        <v>1013</v>
      </c>
      <c r="B393" s="6">
        <v>0</v>
      </c>
      <c r="C393" s="6">
        <v>0</v>
      </c>
      <c r="D393" s="6">
        <v>0</v>
      </c>
      <c r="E393" s="6">
        <v>6904</v>
      </c>
      <c r="F393" s="6">
        <v>790</v>
      </c>
      <c r="G393" s="6">
        <v>3473</v>
      </c>
      <c r="H393" s="6">
        <v>844</v>
      </c>
      <c r="I393" s="6">
        <v>4011</v>
      </c>
      <c r="J393" s="6">
        <v>12777</v>
      </c>
      <c r="K393" s="6">
        <v>6603</v>
      </c>
      <c r="L393" s="6">
        <v>2701</v>
      </c>
      <c r="M393" s="6">
        <v>4644</v>
      </c>
      <c r="N393" s="3">
        <f t="shared" si="12"/>
        <v>42747</v>
      </c>
      <c r="O393" s="6">
        <v>0</v>
      </c>
      <c r="P393" s="6">
        <v>0</v>
      </c>
      <c r="Q393" s="6">
        <v>0</v>
      </c>
      <c r="R393" s="6">
        <v>13</v>
      </c>
      <c r="S393" s="6">
        <v>4</v>
      </c>
      <c r="T393" s="6">
        <v>5</v>
      </c>
      <c r="U393" s="6">
        <v>5</v>
      </c>
      <c r="V393" s="6">
        <v>0</v>
      </c>
      <c r="W393" s="6">
        <v>4</v>
      </c>
      <c r="X393" s="6">
        <v>10</v>
      </c>
      <c r="Y393" s="6">
        <v>2</v>
      </c>
      <c r="Z393" s="6">
        <v>11</v>
      </c>
      <c r="AA393" s="3">
        <f t="shared" si="13"/>
        <v>54</v>
      </c>
      <c r="AB393" t="s">
        <v>63</v>
      </c>
      <c r="AF393">
        <v>139.25</v>
      </c>
      <c r="AG393">
        <v>16.16</v>
      </c>
      <c r="AH393">
        <v>69.91</v>
      </c>
      <c r="AI393">
        <v>17.329999999999998</v>
      </c>
      <c r="AJ393">
        <v>80.22</v>
      </c>
      <c r="AK393">
        <v>255.9</v>
      </c>
      <c r="AL393">
        <v>132.96</v>
      </c>
      <c r="AM393">
        <v>54.2</v>
      </c>
      <c r="AN393">
        <v>93.87</v>
      </c>
      <c r="AO393" s="1">
        <v>859.80000000000007</v>
      </c>
    </row>
    <row r="394" spans="1:41" x14ac:dyDescent="0.25">
      <c r="A394" t="s">
        <v>1017</v>
      </c>
      <c r="B394" s="6">
        <v>0</v>
      </c>
      <c r="C394" s="6">
        <v>0</v>
      </c>
      <c r="D394" s="6">
        <v>0</v>
      </c>
      <c r="E394" s="6">
        <v>4911</v>
      </c>
      <c r="F394" s="6">
        <v>570</v>
      </c>
      <c r="G394" s="6">
        <v>9044</v>
      </c>
      <c r="H394" s="6">
        <v>193</v>
      </c>
      <c r="I394" s="6">
        <v>3476</v>
      </c>
      <c r="J394" s="6">
        <v>0</v>
      </c>
      <c r="K394" s="6">
        <v>925</v>
      </c>
      <c r="L394" s="6">
        <v>0</v>
      </c>
      <c r="M394" s="6">
        <v>3513</v>
      </c>
      <c r="N394" s="3">
        <f t="shared" si="12"/>
        <v>22632</v>
      </c>
      <c r="O394" s="6">
        <v>0</v>
      </c>
      <c r="P394" s="6">
        <v>0</v>
      </c>
      <c r="Q394" s="6">
        <v>0</v>
      </c>
      <c r="R394" s="6">
        <v>5</v>
      </c>
      <c r="S394" s="6">
        <v>1</v>
      </c>
      <c r="T394" s="6">
        <v>4</v>
      </c>
      <c r="U394" s="6">
        <v>5</v>
      </c>
      <c r="V394" s="6">
        <v>9</v>
      </c>
      <c r="W394" s="6">
        <v>2</v>
      </c>
      <c r="X394" s="6">
        <v>11</v>
      </c>
      <c r="Y394" s="6">
        <v>2</v>
      </c>
      <c r="Z394" s="6">
        <v>6</v>
      </c>
      <c r="AA394" s="3">
        <f t="shared" si="13"/>
        <v>45</v>
      </c>
      <c r="AB394" t="s">
        <v>63</v>
      </c>
      <c r="AF394">
        <v>98.67</v>
      </c>
      <c r="AG394">
        <v>11.49</v>
      </c>
      <c r="AH394">
        <v>181.24</v>
      </c>
      <c r="AI394">
        <v>4.3099999999999996</v>
      </c>
      <c r="AJ394">
        <v>70.33</v>
      </c>
      <c r="AK394">
        <v>0.18</v>
      </c>
      <c r="AL394">
        <v>19.489999999999998</v>
      </c>
      <c r="AM394">
        <v>0.18</v>
      </c>
      <c r="AN394">
        <v>70.8</v>
      </c>
      <c r="AO394" s="1">
        <v>456.69</v>
      </c>
    </row>
    <row r="395" spans="1:41" x14ac:dyDescent="0.25">
      <c r="A395" t="s">
        <v>1018</v>
      </c>
      <c r="B395" s="6">
        <v>0</v>
      </c>
      <c r="C395" s="6">
        <v>0</v>
      </c>
      <c r="D395" s="6">
        <v>0</v>
      </c>
      <c r="E395" s="6">
        <v>2390</v>
      </c>
      <c r="F395" s="6">
        <v>944</v>
      </c>
      <c r="G395" s="6">
        <v>2174</v>
      </c>
      <c r="H395" s="6">
        <v>540</v>
      </c>
      <c r="I395" s="6">
        <v>2258</v>
      </c>
      <c r="J395" s="6">
        <v>2448</v>
      </c>
      <c r="K395" s="6">
        <v>704</v>
      </c>
      <c r="L395" s="6">
        <v>2227</v>
      </c>
      <c r="M395" s="6">
        <v>2035</v>
      </c>
      <c r="N395" s="3">
        <f t="shared" si="12"/>
        <v>15720</v>
      </c>
      <c r="O395" s="6">
        <v>0</v>
      </c>
      <c r="P395" s="6">
        <v>0</v>
      </c>
      <c r="Q395" s="6">
        <v>0</v>
      </c>
      <c r="R395" s="6">
        <v>8</v>
      </c>
      <c r="S395" s="6">
        <v>0</v>
      </c>
      <c r="T395" s="6">
        <v>4</v>
      </c>
      <c r="U395" s="6">
        <v>7</v>
      </c>
      <c r="V395" s="6">
        <v>3</v>
      </c>
      <c r="W395" s="6">
        <v>3</v>
      </c>
      <c r="X395" s="6">
        <v>4</v>
      </c>
      <c r="Y395" s="6">
        <v>9</v>
      </c>
      <c r="Z395" s="6">
        <v>7</v>
      </c>
      <c r="AA395" s="3">
        <f t="shared" si="13"/>
        <v>45</v>
      </c>
      <c r="AB395" t="s">
        <v>63</v>
      </c>
      <c r="AF395">
        <v>48.52</v>
      </c>
      <c r="AG395">
        <v>18.88</v>
      </c>
      <c r="AH395">
        <v>43.84</v>
      </c>
      <c r="AI395">
        <v>11.43</v>
      </c>
      <c r="AJ395">
        <v>45.43</v>
      </c>
      <c r="AK395">
        <v>49.23</v>
      </c>
      <c r="AL395">
        <v>14.44</v>
      </c>
      <c r="AM395">
        <v>45.35</v>
      </c>
      <c r="AN395">
        <v>41.33</v>
      </c>
      <c r="AO395" s="1">
        <v>318.45</v>
      </c>
    </row>
    <row r="396" spans="1:41" x14ac:dyDescent="0.25">
      <c r="A396" t="s">
        <v>1020</v>
      </c>
      <c r="B396" s="6">
        <v>0</v>
      </c>
      <c r="C396" s="6">
        <v>0</v>
      </c>
      <c r="D396" s="6">
        <v>0</v>
      </c>
      <c r="E396" s="6">
        <v>8356</v>
      </c>
      <c r="F396" s="6">
        <v>4833</v>
      </c>
      <c r="G396" s="6">
        <v>0</v>
      </c>
      <c r="H396" s="6">
        <v>1009</v>
      </c>
      <c r="I396" s="6">
        <v>4054</v>
      </c>
      <c r="J396" s="6">
        <v>2168</v>
      </c>
      <c r="K396" s="6">
        <v>3291</v>
      </c>
      <c r="L396" s="6">
        <v>2060</v>
      </c>
      <c r="M396" s="6">
        <v>5197</v>
      </c>
      <c r="N396" s="3">
        <f t="shared" si="12"/>
        <v>30968</v>
      </c>
      <c r="O396" s="6">
        <v>0</v>
      </c>
      <c r="P396" s="6">
        <v>0</v>
      </c>
      <c r="Q396" s="6">
        <v>0</v>
      </c>
      <c r="R396" s="6">
        <v>4</v>
      </c>
      <c r="S396" s="6">
        <v>0</v>
      </c>
      <c r="T396" s="6">
        <v>6</v>
      </c>
      <c r="U396" s="6">
        <v>11</v>
      </c>
      <c r="V396" s="6">
        <v>4</v>
      </c>
      <c r="W396" s="6">
        <v>1</v>
      </c>
      <c r="X396" s="6">
        <v>2</v>
      </c>
      <c r="Y396" s="6">
        <v>10</v>
      </c>
      <c r="Z396" s="6">
        <v>2</v>
      </c>
      <c r="AA396" s="3">
        <f t="shared" si="13"/>
        <v>40</v>
      </c>
      <c r="AB396" t="s">
        <v>63</v>
      </c>
      <c r="AF396">
        <v>167.48</v>
      </c>
      <c r="AG396">
        <v>96.66</v>
      </c>
      <c r="AH396">
        <v>0.54</v>
      </c>
      <c r="AI396">
        <v>21.17</v>
      </c>
      <c r="AJ396">
        <v>81.44</v>
      </c>
      <c r="AK396">
        <v>43.45</v>
      </c>
      <c r="AL396">
        <v>66</v>
      </c>
      <c r="AM396">
        <v>42.1</v>
      </c>
      <c r="AN396">
        <v>104.12</v>
      </c>
      <c r="AO396" s="1">
        <v>622.96</v>
      </c>
    </row>
    <row r="397" spans="1:41" x14ac:dyDescent="0.25">
      <c r="A397" t="s">
        <v>1022</v>
      </c>
      <c r="B397" s="6">
        <v>0</v>
      </c>
      <c r="C397" s="6">
        <v>0</v>
      </c>
      <c r="D397" s="6">
        <v>0</v>
      </c>
      <c r="E397" s="6">
        <v>1129</v>
      </c>
      <c r="F397" s="6">
        <v>2039</v>
      </c>
      <c r="G397" s="6">
        <v>1683</v>
      </c>
      <c r="H397" s="6">
        <v>1716</v>
      </c>
      <c r="I397" s="6">
        <v>1010</v>
      </c>
      <c r="J397" s="6">
        <v>3170</v>
      </c>
      <c r="K397" s="6">
        <v>1102</v>
      </c>
      <c r="L397" s="6">
        <v>5752</v>
      </c>
      <c r="M397" s="6">
        <v>4152</v>
      </c>
      <c r="N397" s="3">
        <f t="shared" si="12"/>
        <v>21753</v>
      </c>
      <c r="O397" s="6">
        <v>0</v>
      </c>
      <c r="P397" s="6">
        <v>0</v>
      </c>
      <c r="Q397" s="6">
        <v>0</v>
      </c>
      <c r="R397" s="6">
        <v>1</v>
      </c>
      <c r="S397" s="6">
        <v>4</v>
      </c>
      <c r="T397" s="6">
        <v>5</v>
      </c>
      <c r="U397" s="6">
        <v>2</v>
      </c>
      <c r="V397" s="6">
        <v>4</v>
      </c>
      <c r="W397" s="6">
        <v>15</v>
      </c>
      <c r="X397" s="6">
        <v>3</v>
      </c>
      <c r="Y397" s="6">
        <v>3</v>
      </c>
      <c r="Z397" s="6">
        <v>9</v>
      </c>
      <c r="AA397" s="3">
        <f t="shared" si="13"/>
        <v>46</v>
      </c>
      <c r="AB397" t="s">
        <v>63</v>
      </c>
      <c r="AF397">
        <v>22.67</v>
      </c>
      <c r="AG397">
        <v>41.14</v>
      </c>
      <c r="AH397">
        <v>34.11</v>
      </c>
      <c r="AI397">
        <v>34.5</v>
      </c>
      <c r="AJ397">
        <v>20.56</v>
      </c>
      <c r="AK397">
        <v>64.75</v>
      </c>
      <c r="AL397">
        <v>22.31</v>
      </c>
      <c r="AM397">
        <v>115.31</v>
      </c>
      <c r="AN397">
        <v>83.85</v>
      </c>
      <c r="AO397" s="1">
        <v>439.20000000000005</v>
      </c>
    </row>
    <row r="398" spans="1:41" x14ac:dyDescent="0.25">
      <c r="A398" t="s">
        <v>1024</v>
      </c>
      <c r="B398" s="6">
        <v>0</v>
      </c>
      <c r="C398" s="6">
        <v>0</v>
      </c>
      <c r="D398" s="6">
        <v>6264</v>
      </c>
      <c r="E398" s="6">
        <v>6505</v>
      </c>
      <c r="F398" s="6">
        <v>2130</v>
      </c>
      <c r="G398" s="6">
        <v>760</v>
      </c>
      <c r="H398" s="6">
        <v>4664</v>
      </c>
      <c r="I398" s="6">
        <v>973</v>
      </c>
      <c r="J398" s="6">
        <v>365</v>
      </c>
      <c r="K398" s="6">
        <v>1419</v>
      </c>
      <c r="L398" s="6">
        <v>1677</v>
      </c>
      <c r="M398" s="6">
        <v>377</v>
      </c>
      <c r="N398" s="3">
        <f t="shared" si="12"/>
        <v>25134</v>
      </c>
      <c r="O398" s="6">
        <v>0</v>
      </c>
      <c r="P398" s="6">
        <v>0</v>
      </c>
      <c r="Q398" s="6">
        <v>3</v>
      </c>
      <c r="R398" s="6">
        <v>2</v>
      </c>
      <c r="S398" s="6">
        <v>1</v>
      </c>
      <c r="T398" s="6">
        <v>10</v>
      </c>
      <c r="U398" s="6">
        <v>4</v>
      </c>
      <c r="V398" s="6">
        <v>2</v>
      </c>
      <c r="W398" s="6">
        <v>5</v>
      </c>
      <c r="X398" s="6">
        <v>3</v>
      </c>
      <c r="Y398" s="6">
        <v>4</v>
      </c>
      <c r="Z398" s="6">
        <v>4</v>
      </c>
      <c r="AA398" s="3">
        <f t="shared" si="13"/>
        <v>38</v>
      </c>
      <c r="AB398" t="s">
        <v>63</v>
      </c>
      <c r="AE398">
        <v>125.55</v>
      </c>
      <c r="AF398">
        <v>130.28</v>
      </c>
      <c r="AG398">
        <v>42.69</v>
      </c>
      <c r="AH398">
        <v>16.100000000000001</v>
      </c>
      <c r="AI398">
        <v>93.64</v>
      </c>
      <c r="AJ398">
        <v>19.64</v>
      </c>
      <c r="AK398">
        <v>7.75</v>
      </c>
      <c r="AL398">
        <v>28.65</v>
      </c>
      <c r="AM398">
        <v>33.9</v>
      </c>
      <c r="AN398">
        <v>7.9</v>
      </c>
      <c r="AO398" s="1">
        <v>506.09999999999991</v>
      </c>
    </row>
    <row r="399" spans="1:41" x14ac:dyDescent="0.25">
      <c r="A399" t="s">
        <v>1027</v>
      </c>
      <c r="B399" s="6">
        <v>0</v>
      </c>
      <c r="C399" s="6">
        <v>0</v>
      </c>
      <c r="D399" s="6">
        <v>0</v>
      </c>
      <c r="E399" s="6">
        <v>3891</v>
      </c>
      <c r="F399" s="6">
        <v>5361</v>
      </c>
      <c r="G399" s="6">
        <v>1022</v>
      </c>
      <c r="H399" s="6">
        <v>4342</v>
      </c>
      <c r="I399" s="6">
        <v>2254</v>
      </c>
      <c r="J399" s="6">
        <v>3238</v>
      </c>
      <c r="K399" s="6">
        <v>1622</v>
      </c>
      <c r="L399" s="6">
        <v>11063</v>
      </c>
      <c r="M399" s="6">
        <v>344</v>
      </c>
      <c r="N399" s="3">
        <f t="shared" si="12"/>
        <v>33137</v>
      </c>
      <c r="O399" s="6">
        <v>0</v>
      </c>
      <c r="P399" s="6">
        <v>0</v>
      </c>
      <c r="Q399" s="6">
        <v>0</v>
      </c>
      <c r="R399" s="6">
        <v>0</v>
      </c>
      <c r="S399" s="6">
        <v>4</v>
      </c>
      <c r="T399" s="6">
        <v>2</v>
      </c>
      <c r="U399" s="6">
        <v>1</v>
      </c>
      <c r="V399" s="6">
        <v>3</v>
      </c>
      <c r="W399" s="6">
        <v>2</v>
      </c>
      <c r="X399" s="6">
        <v>5</v>
      </c>
      <c r="Y399" s="6">
        <v>3</v>
      </c>
      <c r="Z399" s="6">
        <v>2</v>
      </c>
      <c r="AA399" s="3">
        <f t="shared" si="13"/>
        <v>22</v>
      </c>
      <c r="AB399" t="s">
        <v>63</v>
      </c>
      <c r="AF399">
        <v>77.819999999999993</v>
      </c>
      <c r="AG399">
        <v>107.58</v>
      </c>
      <c r="AH399">
        <v>20.62</v>
      </c>
      <c r="AI399">
        <v>86.93</v>
      </c>
      <c r="AJ399">
        <v>45.35</v>
      </c>
      <c r="AK399">
        <v>64.94</v>
      </c>
      <c r="AL399">
        <v>32.89</v>
      </c>
      <c r="AM399">
        <v>221.53</v>
      </c>
      <c r="AN399">
        <v>7.06</v>
      </c>
      <c r="AO399" s="1">
        <v>664.71999999999991</v>
      </c>
    </row>
    <row r="400" spans="1:41" x14ac:dyDescent="0.25">
      <c r="A400" t="s">
        <v>1029</v>
      </c>
      <c r="B400" s="6">
        <v>0</v>
      </c>
      <c r="C400" s="6">
        <v>0</v>
      </c>
      <c r="D400" s="6">
        <v>1204</v>
      </c>
      <c r="E400" s="6">
        <v>556</v>
      </c>
      <c r="F400" s="6">
        <v>0</v>
      </c>
      <c r="G400" s="6">
        <v>4089</v>
      </c>
      <c r="H400" s="6">
        <v>3532</v>
      </c>
      <c r="I400" s="6">
        <v>2037</v>
      </c>
      <c r="J400" s="6">
        <v>3729</v>
      </c>
      <c r="K400" s="6">
        <v>5972</v>
      </c>
      <c r="L400" s="6">
        <v>9646</v>
      </c>
      <c r="M400" s="6">
        <v>2435</v>
      </c>
      <c r="N400" s="3">
        <f t="shared" si="12"/>
        <v>33200</v>
      </c>
      <c r="O400" s="6">
        <v>0</v>
      </c>
      <c r="P400" s="6">
        <v>0</v>
      </c>
      <c r="Q400" s="6">
        <v>0</v>
      </c>
      <c r="R400" s="6">
        <v>11</v>
      </c>
      <c r="S400" s="6">
        <v>0</v>
      </c>
      <c r="T400" s="6">
        <v>1</v>
      </c>
      <c r="U400" s="6">
        <v>1</v>
      </c>
      <c r="V400" s="6">
        <v>2</v>
      </c>
      <c r="W400" s="6">
        <v>0</v>
      </c>
      <c r="X400" s="6">
        <v>2</v>
      </c>
      <c r="Y400" s="6">
        <v>0</v>
      </c>
      <c r="Z400" s="6">
        <v>8</v>
      </c>
      <c r="AA400" s="3">
        <f t="shared" si="13"/>
        <v>25</v>
      </c>
      <c r="AB400" t="s">
        <v>63</v>
      </c>
      <c r="AE400">
        <v>24.08</v>
      </c>
      <c r="AF400">
        <v>12.11</v>
      </c>
      <c r="AG400">
        <v>0</v>
      </c>
      <c r="AH400">
        <v>81.87</v>
      </c>
      <c r="AI400">
        <v>70.73</v>
      </c>
      <c r="AJ400">
        <v>40.92</v>
      </c>
      <c r="AK400">
        <v>74.58</v>
      </c>
      <c r="AL400">
        <v>119.62</v>
      </c>
      <c r="AM400">
        <v>192.92</v>
      </c>
      <c r="AN400">
        <v>49.42</v>
      </c>
      <c r="AO400" s="1">
        <v>666.25</v>
      </c>
    </row>
    <row r="401" spans="1:41" x14ac:dyDescent="0.25">
      <c r="A401" t="s">
        <v>1030</v>
      </c>
      <c r="B401" s="6">
        <v>0</v>
      </c>
      <c r="C401" s="6">
        <v>0</v>
      </c>
      <c r="D401" s="6">
        <v>4024</v>
      </c>
      <c r="E401" s="6">
        <v>0</v>
      </c>
      <c r="F401" s="6">
        <v>2676</v>
      </c>
      <c r="G401" s="6">
        <v>3991</v>
      </c>
      <c r="H401" s="6">
        <v>1951</v>
      </c>
      <c r="I401" s="6">
        <v>4008</v>
      </c>
      <c r="J401" s="6">
        <v>2367</v>
      </c>
      <c r="K401" s="6">
        <v>861</v>
      </c>
      <c r="L401" s="6">
        <v>2010</v>
      </c>
      <c r="M401" s="6">
        <v>9073</v>
      </c>
      <c r="N401" s="3">
        <f t="shared" si="12"/>
        <v>30961</v>
      </c>
      <c r="O401" s="6">
        <v>0</v>
      </c>
      <c r="P401" s="6">
        <v>0</v>
      </c>
      <c r="Q401" s="6">
        <v>2</v>
      </c>
      <c r="R401" s="6">
        <v>1</v>
      </c>
      <c r="S401" s="6">
        <v>1</v>
      </c>
      <c r="T401" s="6">
        <v>13</v>
      </c>
      <c r="U401" s="6">
        <v>3</v>
      </c>
      <c r="V401" s="6">
        <v>1</v>
      </c>
      <c r="W401" s="6">
        <v>9</v>
      </c>
      <c r="X401" s="6">
        <v>9</v>
      </c>
      <c r="Y401" s="6">
        <v>3</v>
      </c>
      <c r="Z401" s="6">
        <v>5</v>
      </c>
      <c r="AA401" s="3">
        <f t="shared" si="13"/>
        <v>47</v>
      </c>
      <c r="AB401" t="s">
        <v>63</v>
      </c>
      <c r="AE401">
        <v>80.66</v>
      </c>
      <c r="AF401">
        <v>0.09</v>
      </c>
      <c r="AG401">
        <v>53.61</v>
      </c>
      <c r="AH401">
        <v>80.989999999999995</v>
      </c>
      <c r="AI401">
        <v>39.29</v>
      </c>
      <c r="AJ401">
        <v>80.25</v>
      </c>
      <c r="AK401">
        <v>48.15</v>
      </c>
      <c r="AL401">
        <v>18.03</v>
      </c>
      <c r="AM401">
        <v>40.47</v>
      </c>
      <c r="AN401">
        <v>181.91</v>
      </c>
      <c r="AO401" s="1">
        <v>623.44999999999993</v>
      </c>
    </row>
    <row r="402" spans="1:41" x14ac:dyDescent="0.25">
      <c r="A402" t="s">
        <v>1031</v>
      </c>
      <c r="B402" s="6">
        <v>0</v>
      </c>
      <c r="C402" s="6">
        <v>0</v>
      </c>
      <c r="D402" s="6">
        <v>0</v>
      </c>
      <c r="E402" s="6">
        <v>4387</v>
      </c>
      <c r="F402" s="6">
        <v>447</v>
      </c>
      <c r="G402" s="6">
        <v>0</v>
      </c>
      <c r="H402" s="6">
        <v>1157</v>
      </c>
      <c r="I402" s="6">
        <v>6324</v>
      </c>
      <c r="J402" s="6">
        <v>2613</v>
      </c>
      <c r="K402" s="6">
        <v>1697</v>
      </c>
      <c r="L402" s="6">
        <v>4725</v>
      </c>
      <c r="M402" s="6">
        <v>867</v>
      </c>
      <c r="N402" s="3">
        <f t="shared" si="12"/>
        <v>22217</v>
      </c>
      <c r="O402" s="6">
        <v>0</v>
      </c>
      <c r="P402" s="6">
        <v>0</v>
      </c>
      <c r="Q402" s="6">
        <v>0</v>
      </c>
      <c r="R402" s="6">
        <v>5</v>
      </c>
      <c r="S402" s="6">
        <v>9</v>
      </c>
      <c r="T402" s="6">
        <v>1</v>
      </c>
      <c r="U402" s="6">
        <v>8</v>
      </c>
      <c r="V402" s="6">
        <v>11</v>
      </c>
      <c r="W402" s="6">
        <v>8</v>
      </c>
      <c r="X402" s="6">
        <v>0</v>
      </c>
      <c r="Y402" s="6">
        <v>0</v>
      </c>
      <c r="Z402" s="6">
        <v>0</v>
      </c>
      <c r="AA402" s="3">
        <f t="shared" si="13"/>
        <v>42</v>
      </c>
      <c r="AB402" t="s">
        <v>63</v>
      </c>
      <c r="AF402">
        <v>88.19</v>
      </c>
      <c r="AG402">
        <v>9.75</v>
      </c>
      <c r="AH402">
        <v>0.09</v>
      </c>
      <c r="AI402">
        <v>23.86</v>
      </c>
      <c r="AJ402">
        <v>127.47</v>
      </c>
      <c r="AK402">
        <v>52.98</v>
      </c>
      <c r="AL402">
        <v>33.94</v>
      </c>
      <c r="AM402">
        <v>94.5</v>
      </c>
      <c r="AN402">
        <v>17.34</v>
      </c>
      <c r="AO402" s="1">
        <v>448.12</v>
      </c>
    </row>
    <row r="403" spans="1:41" x14ac:dyDescent="0.25">
      <c r="A403" t="s">
        <v>1034</v>
      </c>
      <c r="B403" s="6">
        <v>0</v>
      </c>
      <c r="C403" s="6">
        <v>0</v>
      </c>
      <c r="D403" s="6">
        <v>815</v>
      </c>
      <c r="E403" s="6">
        <v>821</v>
      </c>
      <c r="F403" s="6">
        <v>340</v>
      </c>
      <c r="G403" s="6">
        <v>7712</v>
      </c>
      <c r="H403" s="6">
        <v>4124</v>
      </c>
      <c r="I403" s="6">
        <v>6128</v>
      </c>
      <c r="J403" s="6">
        <v>2623</v>
      </c>
      <c r="K403" s="6">
        <v>1070</v>
      </c>
      <c r="L403" s="6">
        <v>648</v>
      </c>
      <c r="M403" s="6">
        <v>1257</v>
      </c>
      <c r="N403" s="3">
        <f t="shared" si="12"/>
        <v>25538</v>
      </c>
      <c r="O403" s="6">
        <v>0</v>
      </c>
      <c r="P403" s="6">
        <v>0</v>
      </c>
      <c r="Q403" s="6">
        <v>2</v>
      </c>
      <c r="R403" s="6">
        <v>6</v>
      </c>
      <c r="S403" s="6">
        <v>2</v>
      </c>
      <c r="T403" s="6">
        <v>3</v>
      </c>
      <c r="U403" s="6">
        <v>3</v>
      </c>
      <c r="V403" s="6">
        <v>8</v>
      </c>
      <c r="W403" s="6">
        <v>1</v>
      </c>
      <c r="X403" s="6">
        <v>10</v>
      </c>
      <c r="Y403" s="6">
        <v>7</v>
      </c>
      <c r="Z403" s="6">
        <v>1</v>
      </c>
      <c r="AA403" s="3">
        <f t="shared" si="13"/>
        <v>43</v>
      </c>
      <c r="AB403" t="s">
        <v>63</v>
      </c>
      <c r="AE403">
        <v>16.48</v>
      </c>
      <c r="AF403">
        <v>16.96</v>
      </c>
      <c r="AG403">
        <v>6.98</v>
      </c>
      <c r="AH403">
        <v>154.51</v>
      </c>
      <c r="AI403">
        <v>82.75</v>
      </c>
      <c r="AJ403">
        <v>123.28</v>
      </c>
      <c r="AK403">
        <v>52.55</v>
      </c>
      <c r="AL403">
        <v>22.3</v>
      </c>
      <c r="AM403">
        <v>13.59</v>
      </c>
      <c r="AN403">
        <v>25.23</v>
      </c>
      <c r="AO403" s="1">
        <v>514.63</v>
      </c>
    </row>
    <row r="404" spans="1:41" x14ac:dyDescent="0.25">
      <c r="A404" t="s">
        <v>1035</v>
      </c>
      <c r="B404" s="6">
        <v>0</v>
      </c>
      <c r="C404" s="6">
        <v>0</v>
      </c>
      <c r="D404" s="6">
        <v>256</v>
      </c>
      <c r="E404" s="6">
        <v>0</v>
      </c>
      <c r="F404" s="6">
        <v>4190</v>
      </c>
      <c r="G404" s="6">
        <v>4704</v>
      </c>
      <c r="H404" s="6">
        <v>5061</v>
      </c>
      <c r="I404" s="6">
        <v>8075</v>
      </c>
      <c r="J404" s="6">
        <v>1617</v>
      </c>
      <c r="K404" s="6">
        <v>2554</v>
      </c>
      <c r="L404" s="6">
        <v>3790</v>
      </c>
      <c r="M404" s="6">
        <v>14026</v>
      </c>
      <c r="N404" s="3">
        <f t="shared" si="12"/>
        <v>44273</v>
      </c>
      <c r="O404" s="6">
        <v>0</v>
      </c>
      <c r="P404" s="6">
        <v>0</v>
      </c>
      <c r="Q404" s="6">
        <v>3</v>
      </c>
      <c r="R404" s="6">
        <v>7</v>
      </c>
      <c r="S404" s="6">
        <v>4</v>
      </c>
      <c r="T404" s="6">
        <v>2</v>
      </c>
      <c r="U404" s="6">
        <v>3</v>
      </c>
      <c r="V404" s="6">
        <v>7</v>
      </c>
      <c r="W404" s="6">
        <v>4</v>
      </c>
      <c r="X404" s="6">
        <v>2</v>
      </c>
      <c r="Y404" s="6">
        <v>14</v>
      </c>
      <c r="Z404" s="6">
        <v>5</v>
      </c>
      <c r="AA404" s="3">
        <f t="shared" si="13"/>
        <v>51</v>
      </c>
      <c r="AB404" t="s">
        <v>63</v>
      </c>
      <c r="AE404">
        <v>5.39</v>
      </c>
      <c r="AF404">
        <v>0.63</v>
      </c>
      <c r="AG404">
        <v>84.16</v>
      </c>
      <c r="AH404">
        <v>94.26</v>
      </c>
      <c r="AI404">
        <v>101.49</v>
      </c>
      <c r="AJ404">
        <v>162.13</v>
      </c>
      <c r="AK404">
        <v>32.700000000000003</v>
      </c>
      <c r="AL404">
        <v>51.26</v>
      </c>
      <c r="AM404">
        <v>77.06</v>
      </c>
      <c r="AN404">
        <v>280.97000000000003</v>
      </c>
      <c r="AO404" s="1">
        <v>890.05</v>
      </c>
    </row>
    <row r="405" spans="1:41" x14ac:dyDescent="0.25">
      <c r="A405" t="s">
        <v>1038</v>
      </c>
      <c r="B405" s="6">
        <v>0</v>
      </c>
      <c r="C405" s="6">
        <v>0</v>
      </c>
      <c r="D405" s="6">
        <v>3119</v>
      </c>
      <c r="E405" s="6">
        <v>493</v>
      </c>
      <c r="F405" s="6">
        <v>1045</v>
      </c>
      <c r="G405" s="6">
        <v>1940</v>
      </c>
      <c r="H405" s="6">
        <v>2012</v>
      </c>
      <c r="I405" s="6">
        <v>543</v>
      </c>
      <c r="J405" s="6">
        <v>11916</v>
      </c>
      <c r="K405" s="6">
        <v>1594</v>
      </c>
      <c r="L405" s="6">
        <v>1375</v>
      </c>
      <c r="M405" s="6">
        <v>0</v>
      </c>
      <c r="N405" s="3">
        <f t="shared" si="12"/>
        <v>24037</v>
      </c>
      <c r="O405" s="6">
        <v>0</v>
      </c>
      <c r="P405" s="6">
        <v>0</v>
      </c>
      <c r="Q405" s="6">
        <v>2</v>
      </c>
      <c r="R405" s="6">
        <v>1</v>
      </c>
      <c r="S405" s="6">
        <v>3</v>
      </c>
      <c r="T405" s="6">
        <v>6</v>
      </c>
      <c r="U405" s="6">
        <v>11</v>
      </c>
      <c r="V405" s="6">
        <v>25</v>
      </c>
      <c r="W405" s="6">
        <v>1</v>
      </c>
      <c r="X405" s="6">
        <v>3</v>
      </c>
      <c r="Y405" s="6">
        <v>8</v>
      </c>
      <c r="Z405" s="6">
        <v>3</v>
      </c>
      <c r="AA405" s="3">
        <f t="shared" si="13"/>
        <v>63</v>
      </c>
      <c r="AB405" t="s">
        <v>63</v>
      </c>
      <c r="AE405">
        <v>62.56</v>
      </c>
      <c r="AF405">
        <v>9.9499999999999993</v>
      </c>
      <c r="AG405">
        <v>21.17</v>
      </c>
      <c r="AH405">
        <v>39.340000000000003</v>
      </c>
      <c r="AI405">
        <v>41.23</v>
      </c>
      <c r="AJ405">
        <v>13.11</v>
      </c>
      <c r="AK405">
        <v>238.41</v>
      </c>
      <c r="AL405">
        <v>32.15</v>
      </c>
      <c r="AM405">
        <v>28.22</v>
      </c>
      <c r="AN405">
        <v>0.27</v>
      </c>
      <c r="AO405" s="1">
        <v>486.40999999999997</v>
      </c>
    </row>
    <row r="406" spans="1:41" x14ac:dyDescent="0.25">
      <c r="A406" t="s">
        <v>1040</v>
      </c>
      <c r="B406" s="6">
        <v>0</v>
      </c>
      <c r="C406" s="6">
        <v>0</v>
      </c>
      <c r="D406" s="6">
        <v>0</v>
      </c>
      <c r="E406" s="6">
        <v>393</v>
      </c>
      <c r="F406" s="6">
        <v>4518</v>
      </c>
      <c r="G406" s="6">
        <v>298</v>
      </c>
      <c r="H406" s="6">
        <v>3076</v>
      </c>
      <c r="I406" s="6">
        <v>3682</v>
      </c>
      <c r="J406" s="6">
        <v>939</v>
      </c>
      <c r="K406" s="6">
        <v>1806</v>
      </c>
      <c r="L406" s="6">
        <v>1376</v>
      </c>
      <c r="M406" s="6">
        <v>10466</v>
      </c>
      <c r="N406" s="3">
        <f t="shared" si="12"/>
        <v>26554</v>
      </c>
      <c r="O406" s="6">
        <v>0</v>
      </c>
      <c r="P406" s="6">
        <v>0</v>
      </c>
      <c r="Q406" s="6">
        <v>4</v>
      </c>
      <c r="R406" s="6">
        <v>3</v>
      </c>
      <c r="S406" s="6">
        <v>2</v>
      </c>
      <c r="T406" s="6">
        <v>5</v>
      </c>
      <c r="U406" s="6">
        <v>6</v>
      </c>
      <c r="V406" s="6">
        <v>0</v>
      </c>
      <c r="W406" s="6">
        <v>3</v>
      </c>
      <c r="X406" s="6">
        <v>1</v>
      </c>
      <c r="Y406" s="6">
        <v>2</v>
      </c>
      <c r="Z406" s="6">
        <v>1</v>
      </c>
      <c r="AA406" s="3">
        <f t="shared" si="13"/>
        <v>27</v>
      </c>
      <c r="AB406" t="s">
        <v>63</v>
      </c>
      <c r="AE406">
        <v>0.36</v>
      </c>
      <c r="AF406">
        <v>8.1300000000000008</v>
      </c>
      <c r="AG406">
        <v>90.54</v>
      </c>
      <c r="AH406">
        <v>6.41</v>
      </c>
      <c r="AI406">
        <v>62.06</v>
      </c>
      <c r="AJ406">
        <v>73.64</v>
      </c>
      <c r="AK406">
        <v>19.05</v>
      </c>
      <c r="AL406">
        <v>36.21</v>
      </c>
      <c r="AM406">
        <v>27.7</v>
      </c>
      <c r="AN406">
        <v>209.41</v>
      </c>
      <c r="AO406" s="1">
        <v>533.51</v>
      </c>
    </row>
    <row r="407" spans="1:41" x14ac:dyDescent="0.25">
      <c r="A407" t="s">
        <v>1041</v>
      </c>
      <c r="B407" s="6">
        <v>0</v>
      </c>
      <c r="C407" s="6">
        <v>0</v>
      </c>
      <c r="D407" s="6">
        <v>0</v>
      </c>
      <c r="E407" s="6">
        <v>1689</v>
      </c>
      <c r="F407" s="6">
        <v>1916</v>
      </c>
      <c r="G407" s="6">
        <v>4578</v>
      </c>
      <c r="H407" s="6">
        <v>1939</v>
      </c>
      <c r="I407" s="6">
        <v>15240</v>
      </c>
      <c r="J407" s="6">
        <v>4450</v>
      </c>
      <c r="K407" s="6">
        <v>2644</v>
      </c>
      <c r="L407" s="6">
        <v>1134</v>
      </c>
      <c r="M407" s="6">
        <v>25</v>
      </c>
      <c r="N407" s="3">
        <f t="shared" si="12"/>
        <v>33615</v>
      </c>
      <c r="O407" s="6">
        <v>0</v>
      </c>
      <c r="P407" s="6">
        <v>0</v>
      </c>
      <c r="Q407" s="6">
        <v>0</v>
      </c>
      <c r="R407" s="6">
        <v>3</v>
      </c>
      <c r="S407" s="6">
        <v>0</v>
      </c>
      <c r="T407" s="6">
        <v>3</v>
      </c>
      <c r="U407" s="6">
        <v>4</v>
      </c>
      <c r="V407" s="6">
        <v>11</v>
      </c>
      <c r="W407" s="6">
        <v>2</v>
      </c>
      <c r="X407" s="6">
        <v>6</v>
      </c>
      <c r="Y407" s="6">
        <v>0</v>
      </c>
      <c r="Z407" s="6">
        <v>3</v>
      </c>
      <c r="AA407" s="3">
        <f t="shared" si="13"/>
        <v>32</v>
      </c>
      <c r="AB407" t="s">
        <v>63</v>
      </c>
      <c r="AF407">
        <v>34.049999999999997</v>
      </c>
      <c r="AG407">
        <v>38.32</v>
      </c>
      <c r="AH407">
        <v>91.83</v>
      </c>
      <c r="AI407">
        <v>39.14</v>
      </c>
      <c r="AJ407">
        <v>305.79000000000002</v>
      </c>
      <c r="AK407">
        <v>89.18</v>
      </c>
      <c r="AL407">
        <v>53.42</v>
      </c>
      <c r="AM407">
        <v>22.68</v>
      </c>
      <c r="AN407">
        <v>0.77</v>
      </c>
      <c r="AO407" s="1">
        <v>675.17999999999984</v>
      </c>
    </row>
    <row r="408" spans="1:41" x14ac:dyDescent="0.25">
      <c r="A408" t="s">
        <v>1044</v>
      </c>
      <c r="B408" s="6">
        <v>0</v>
      </c>
      <c r="C408" s="6">
        <v>0</v>
      </c>
      <c r="D408" s="6">
        <v>0</v>
      </c>
      <c r="E408" s="6">
        <v>11564</v>
      </c>
      <c r="F408" s="6">
        <v>2410</v>
      </c>
      <c r="G408" s="6">
        <v>3906</v>
      </c>
      <c r="H408" s="6">
        <v>1223</v>
      </c>
      <c r="I408" s="6">
        <v>2738</v>
      </c>
      <c r="J408" s="6">
        <v>3445</v>
      </c>
      <c r="K408" s="6">
        <v>2313</v>
      </c>
      <c r="L408" s="6">
        <v>2006</v>
      </c>
      <c r="M408" s="6">
        <v>1053</v>
      </c>
      <c r="N408" s="3">
        <f t="shared" si="12"/>
        <v>30658</v>
      </c>
      <c r="O408" s="6">
        <v>0</v>
      </c>
      <c r="P408" s="6">
        <v>0</v>
      </c>
      <c r="Q408" s="6">
        <v>0</v>
      </c>
      <c r="R408" s="6">
        <v>0</v>
      </c>
      <c r="S408" s="6">
        <v>2</v>
      </c>
      <c r="T408" s="6">
        <v>18</v>
      </c>
      <c r="U408" s="6">
        <v>1</v>
      </c>
      <c r="V408" s="6">
        <v>4</v>
      </c>
      <c r="W408" s="6">
        <v>5</v>
      </c>
      <c r="X408" s="6">
        <v>4</v>
      </c>
      <c r="Y408" s="6">
        <v>4</v>
      </c>
      <c r="Z408" s="6">
        <v>0</v>
      </c>
      <c r="AA408" s="3">
        <f t="shared" si="13"/>
        <v>38</v>
      </c>
      <c r="AB408" t="s">
        <v>63</v>
      </c>
      <c r="AF408">
        <v>231.28</v>
      </c>
      <c r="AG408">
        <v>48.38</v>
      </c>
      <c r="AH408">
        <v>79.739999999999995</v>
      </c>
      <c r="AI408">
        <v>24.55</v>
      </c>
      <c r="AJ408">
        <v>55.12</v>
      </c>
      <c r="AK408">
        <v>69.349999999999994</v>
      </c>
      <c r="AL408">
        <v>46.62</v>
      </c>
      <c r="AM408">
        <v>40.479999999999997</v>
      </c>
      <c r="AN408">
        <v>21.06</v>
      </c>
      <c r="AO408" s="1">
        <v>616.58000000000004</v>
      </c>
    </row>
    <row r="409" spans="1:41" x14ac:dyDescent="0.25">
      <c r="A409" t="s">
        <v>1045</v>
      </c>
      <c r="B409" s="6">
        <v>0</v>
      </c>
      <c r="C409" s="6">
        <v>0</v>
      </c>
      <c r="D409" s="6">
        <v>0</v>
      </c>
      <c r="E409" s="6">
        <v>17078</v>
      </c>
      <c r="F409" s="6">
        <v>4295</v>
      </c>
      <c r="G409" s="6">
        <v>1361</v>
      </c>
      <c r="H409" s="6">
        <v>0</v>
      </c>
      <c r="I409" s="6">
        <v>332</v>
      </c>
      <c r="J409" s="6">
        <v>3314</v>
      </c>
      <c r="K409" s="6">
        <v>1497</v>
      </c>
      <c r="L409" s="6">
        <v>1379</v>
      </c>
      <c r="M409" s="6">
        <v>1782</v>
      </c>
      <c r="N409" s="3">
        <f t="shared" si="12"/>
        <v>31038</v>
      </c>
      <c r="O409" s="6">
        <v>0</v>
      </c>
      <c r="P409" s="6">
        <v>0</v>
      </c>
      <c r="Q409" s="6">
        <v>3</v>
      </c>
      <c r="R409" s="6">
        <v>4</v>
      </c>
      <c r="S409" s="6">
        <v>2</v>
      </c>
      <c r="T409" s="6">
        <v>1</v>
      </c>
      <c r="U409" s="6">
        <v>0</v>
      </c>
      <c r="V409" s="6">
        <v>8</v>
      </c>
      <c r="W409" s="6">
        <v>4</v>
      </c>
      <c r="X409" s="6">
        <v>3</v>
      </c>
      <c r="Y409" s="6">
        <v>0</v>
      </c>
      <c r="Z409" s="6">
        <v>3</v>
      </c>
      <c r="AA409" s="3">
        <f t="shared" si="13"/>
        <v>28</v>
      </c>
      <c r="AB409" t="s">
        <v>63</v>
      </c>
      <c r="AE409">
        <v>0.27</v>
      </c>
      <c r="AF409">
        <v>341.92</v>
      </c>
      <c r="AG409">
        <v>86.08</v>
      </c>
      <c r="AH409">
        <v>27.31</v>
      </c>
      <c r="AI409">
        <v>0</v>
      </c>
      <c r="AJ409">
        <v>7.36</v>
      </c>
      <c r="AK409">
        <v>66.64</v>
      </c>
      <c r="AL409">
        <v>30.21</v>
      </c>
      <c r="AM409">
        <v>27.58</v>
      </c>
      <c r="AN409">
        <v>35.909999999999997</v>
      </c>
      <c r="AO409" s="1">
        <v>623.28000000000009</v>
      </c>
    </row>
  </sheetData>
  <mergeCells count="3">
    <mergeCell ref="O1:AA1"/>
    <mergeCell ref="AC1:AO1"/>
    <mergeCell ref="B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D017-7435-47E0-BD35-A92C250AB060}">
  <dimension ref="A1:AO595"/>
  <sheetViews>
    <sheetView topLeftCell="O1" workbookViewId="0">
      <selection activeCell="AC1" activeCellId="2" sqref="B1:M1 O1:AA1 AC1:AO1"/>
    </sheetView>
  </sheetViews>
  <sheetFormatPr defaultRowHeight="15" x14ac:dyDescent="0.25"/>
  <cols>
    <col min="27" max="27" width="11" bestFit="1" customWidth="1"/>
  </cols>
  <sheetData>
    <row r="1" spans="1:41" x14ac:dyDescent="0.25">
      <c r="B1" s="10" t="s">
        <v>1061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8"/>
      <c r="O1" s="10" t="s">
        <v>1062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C1" s="10" t="s">
        <v>1063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2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</row>
    <row r="3" spans="1:41" x14ac:dyDescent="0.25">
      <c r="A3" t="s">
        <v>44</v>
      </c>
      <c r="B3">
        <v>28054</v>
      </c>
      <c r="C3">
        <v>2896</v>
      </c>
      <c r="D3">
        <v>1352</v>
      </c>
      <c r="E3">
        <v>3757</v>
      </c>
      <c r="F3">
        <v>224</v>
      </c>
      <c r="G3">
        <v>4013</v>
      </c>
      <c r="H3">
        <v>9167</v>
      </c>
      <c r="I3">
        <v>5242</v>
      </c>
      <c r="J3">
        <v>1597</v>
      </c>
      <c r="K3">
        <v>962</v>
      </c>
      <c r="L3">
        <v>0</v>
      </c>
      <c r="M3">
        <v>457</v>
      </c>
      <c r="N3">
        <f>SUM(B3:M3)</f>
        <v>57721</v>
      </c>
      <c r="O3">
        <v>0</v>
      </c>
      <c r="P3">
        <v>7</v>
      </c>
      <c r="Q3">
        <v>2</v>
      </c>
      <c r="R3">
        <v>1</v>
      </c>
      <c r="S3">
        <v>2</v>
      </c>
      <c r="T3">
        <v>6</v>
      </c>
      <c r="U3">
        <v>13</v>
      </c>
      <c r="V3">
        <v>0</v>
      </c>
      <c r="W3">
        <v>10</v>
      </c>
      <c r="X3">
        <v>10</v>
      </c>
      <c r="Y3">
        <v>11</v>
      </c>
      <c r="Z3">
        <v>4</v>
      </c>
      <c r="AA3">
        <f>SUM(O3:Z3)</f>
        <v>66</v>
      </c>
      <c r="AB3" t="s">
        <v>45</v>
      </c>
      <c r="AC3">
        <v>290.52999999999997</v>
      </c>
      <c r="AD3">
        <v>39.299999999999997</v>
      </c>
      <c r="AE3">
        <v>23.61</v>
      </c>
      <c r="AF3">
        <v>47.61</v>
      </c>
      <c r="AG3">
        <v>12.33</v>
      </c>
      <c r="AH3">
        <v>50.42</v>
      </c>
      <c r="AI3">
        <v>102.31</v>
      </c>
      <c r="AJ3">
        <v>62.41</v>
      </c>
      <c r="AK3">
        <v>26.46</v>
      </c>
      <c r="AL3">
        <v>20.11</v>
      </c>
      <c r="AM3">
        <v>10.54</v>
      </c>
      <c r="AN3">
        <v>14.76</v>
      </c>
      <c r="AO3">
        <v>700.39</v>
      </c>
    </row>
    <row r="4" spans="1:41" x14ac:dyDescent="0.25">
      <c r="A4" t="s">
        <v>46</v>
      </c>
      <c r="B4">
        <v>27982</v>
      </c>
      <c r="C4">
        <v>418</v>
      </c>
      <c r="D4">
        <v>853</v>
      </c>
      <c r="E4">
        <v>636</v>
      </c>
      <c r="F4">
        <v>664</v>
      </c>
      <c r="G4">
        <v>4987</v>
      </c>
      <c r="H4">
        <v>1855</v>
      </c>
      <c r="I4">
        <v>6696</v>
      </c>
      <c r="J4">
        <v>1892</v>
      </c>
      <c r="K4">
        <v>888</v>
      </c>
      <c r="L4">
        <v>744</v>
      </c>
      <c r="M4">
        <v>2698</v>
      </c>
      <c r="N4">
        <f t="shared" ref="N4:N67" si="0">SUM(B4:M4)</f>
        <v>50313</v>
      </c>
      <c r="O4">
        <v>4</v>
      </c>
      <c r="P4">
        <v>0</v>
      </c>
      <c r="Q4">
        <v>4</v>
      </c>
      <c r="R4">
        <v>14</v>
      </c>
      <c r="S4">
        <v>3</v>
      </c>
      <c r="T4">
        <v>1</v>
      </c>
      <c r="U4">
        <v>2</v>
      </c>
      <c r="V4">
        <v>1</v>
      </c>
      <c r="W4">
        <v>3</v>
      </c>
      <c r="X4">
        <v>1</v>
      </c>
      <c r="Y4">
        <v>7</v>
      </c>
      <c r="Z4">
        <v>2</v>
      </c>
      <c r="AA4">
        <f t="shared" ref="AA4:AA67" si="1">SUM(O4:Z4)</f>
        <v>42</v>
      </c>
      <c r="AB4" t="s">
        <v>45</v>
      </c>
      <c r="AC4">
        <v>290.01</v>
      </c>
      <c r="AD4">
        <v>14.17</v>
      </c>
      <c r="AE4">
        <v>18.72</v>
      </c>
      <c r="AF4">
        <v>17.05</v>
      </c>
      <c r="AG4">
        <v>16.78</v>
      </c>
      <c r="AH4">
        <v>59.91</v>
      </c>
      <c r="AI4">
        <v>28.64</v>
      </c>
      <c r="AJ4">
        <v>77</v>
      </c>
      <c r="AK4">
        <v>29.06</v>
      </c>
      <c r="AL4">
        <v>18.920000000000002</v>
      </c>
      <c r="AM4">
        <v>17.78</v>
      </c>
      <c r="AN4">
        <v>37.07</v>
      </c>
      <c r="AO4">
        <v>625.1099999999999</v>
      </c>
    </row>
    <row r="5" spans="1:41" x14ac:dyDescent="0.25">
      <c r="A5" t="s">
        <v>47</v>
      </c>
      <c r="B5">
        <v>24078</v>
      </c>
      <c r="C5">
        <v>2041</v>
      </c>
      <c r="D5">
        <v>698</v>
      </c>
      <c r="E5">
        <v>2977</v>
      </c>
      <c r="F5">
        <v>3285</v>
      </c>
      <c r="G5">
        <v>0</v>
      </c>
      <c r="H5">
        <v>883</v>
      </c>
      <c r="I5">
        <v>5063</v>
      </c>
      <c r="J5">
        <v>1430</v>
      </c>
      <c r="K5">
        <v>472</v>
      </c>
      <c r="L5">
        <v>2550</v>
      </c>
      <c r="M5">
        <v>348</v>
      </c>
      <c r="N5">
        <f t="shared" si="0"/>
        <v>43825</v>
      </c>
      <c r="O5">
        <v>4</v>
      </c>
      <c r="P5">
        <v>6</v>
      </c>
      <c r="Q5">
        <v>2</v>
      </c>
      <c r="R5">
        <v>4</v>
      </c>
      <c r="S5">
        <v>3</v>
      </c>
      <c r="T5">
        <v>3</v>
      </c>
      <c r="U5">
        <v>8</v>
      </c>
      <c r="V5">
        <v>0</v>
      </c>
      <c r="W5">
        <v>2</v>
      </c>
      <c r="X5">
        <v>9</v>
      </c>
      <c r="Y5">
        <v>1</v>
      </c>
      <c r="Z5">
        <v>5</v>
      </c>
      <c r="AA5">
        <f t="shared" si="1"/>
        <v>47</v>
      </c>
      <c r="AB5" t="s">
        <v>45</v>
      </c>
      <c r="AC5">
        <v>250.97</v>
      </c>
      <c r="AD5">
        <v>30.7</v>
      </c>
      <c r="AE5">
        <v>17.07</v>
      </c>
      <c r="AF5">
        <v>39.96</v>
      </c>
      <c r="AG5">
        <v>42.99</v>
      </c>
      <c r="AH5">
        <v>10.14</v>
      </c>
      <c r="AI5">
        <v>19.22</v>
      </c>
      <c r="AJ5">
        <v>60.62</v>
      </c>
      <c r="AK5">
        <v>24.39</v>
      </c>
      <c r="AL5">
        <v>15.16</v>
      </c>
      <c r="AM5">
        <v>35.54</v>
      </c>
      <c r="AN5">
        <v>13.72</v>
      </c>
      <c r="AO5">
        <v>560.48</v>
      </c>
    </row>
    <row r="6" spans="1:41" x14ac:dyDescent="0.25">
      <c r="A6" t="s">
        <v>48</v>
      </c>
      <c r="B6">
        <v>23075</v>
      </c>
      <c r="C6">
        <v>2786</v>
      </c>
      <c r="D6">
        <v>285</v>
      </c>
      <c r="E6">
        <v>3284</v>
      </c>
      <c r="F6">
        <v>7460</v>
      </c>
      <c r="G6">
        <v>3169</v>
      </c>
      <c r="H6">
        <v>1908</v>
      </c>
      <c r="I6">
        <v>340</v>
      </c>
      <c r="J6">
        <v>2229</v>
      </c>
      <c r="K6">
        <v>2687</v>
      </c>
      <c r="L6">
        <v>1171</v>
      </c>
      <c r="M6">
        <v>7623</v>
      </c>
      <c r="N6">
        <f t="shared" si="0"/>
        <v>56017</v>
      </c>
      <c r="O6">
        <v>2</v>
      </c>
      <c r="P6">
        <v>1</v>
      </c>
      <c r="Q6">
        <v>5</v>
      </c>
      <c r="R6">
        <v>5</v>
      </c>
      <c r="S6">
        <v>3</v>
      </c>
      <c r="T6">
        <v>7</v>
      </c>
      <c r="U6">
        <v>8</v>
      </c>
      <c r="V6">
        <v>6</v>
      </c>
      <c r="W6">
        <v>0</v>
      </c>
      <c r="X6">
        <v>4</v>
      </c>
      <c r="Y6">
        <v>4</v>
      </c>
      <c r="Z6">
        <v>5</v>
      </c>
      <c r="AA6">
        <f t="shared" si="1"/>
        <v>50</v>
      </c>
      <c r="AB6" t="s">
        <v>45</v>
      </c>
      <c r="AC6">
        <v>240.84</v>
      </c>
      <c r="AD6">
        <v>37.9</v>
      </c>
      <c r="AE6">
        <v>13.09</v>
      </c>
      <c r="AF6">
        <v>43.08</v>
      </c>
      <c r="AG6">
        <v>84.74</v>
      </c>
      <c r="AH6">
        <v>42.03</v>
      </c>
      <c r="AI6">
        <v>29.47</v>
      </c>
      <c r="AJ6">
        <v>13.69</v>
      </c>
      <c r="AK6">
        <v>32.28</v>
      </c>
      <c r="AL6">
        <v>37.06</v>
      </c>
      <c r="AM6">
        <v>21.9</v>
      </c>
      <c r="AN6">
        <v>86.47</v>
      </c>
      <c r="AO6">
        <v>682.55000000000007</v>
      </c>
    </row>
    <row r="7" spans="1:41" x14ac:dyDescent="0.25">
      <c r="A7" t="s">
        <v>49</v>
      </c>
      <c r="B7">
        <v>22980</v>
      </c>
      <c r="C7">
        <v>2123</v>
      </c>
      <c r="D7">
        <v>877</v>
      </c>
      <c r="E7">
        <v>5629</v>
      </c>
      <c r="F7">
        <v>0</v>
      </c>
      <c r="G7">
        <v>1866</v>
      </c>
      <c r="H7">
        <v>758</v>
      </c>
      <c r="I7">
        <v>9672</v>
      </c>
      <c r="J7">
        <v>2998</v>
      </c>
      <c r="K7">
        <v>7829</v>
      </c>
      <c r="L7">
        <v>1930</v>
      </c>
      <c r="M7">
        <v>1643</v>
      </c>
      <c r="N7">
        <f t="shared" si="0"/>
        <v>58305</v>
      </c>
      <c r="O7">
        <v>0</v>
      </c>
      <c r="P7">
        <v>1</v>
      </c>
      <c r="Q7">
        <v>3</v>
      </c>
      <c r="R7">
        <v>2</v>
      </c>
      <c r="S7">
        <v>2</v>
      </c>
      <c r="T7">
        <v>4</v>
      </c>
      <c r="U7">
        <v>2</v>
      </c>
      <c r="V7">
        <v>2</v>
      </c>
      <c r="W7">
        <v>7</v>
      </c>
      <c r="X7">
        <v>7</v>
      </c>
      <c r="Y7">
        <v>4</v>
      </c>
      <c r="Z7">
        <v>9</v>
      </c>
      <c r="AA7">
        <f t="shared" si="1"/>
        <v>43</v>
      </c>
      <c r="AB7" t="s">
        <v>45</v>
      </c>
      <c r="AC7">
        <v>239.79</v>
      </c>
      <c r="AD7">
        <v>31.27</v>
      </c>
      <c r="AE7">
        <v>18.91</v>
      </c>
      <c r="AF7">
        <v>66.38</v>
      </c>
      <c r="AG7">
        <v>10.09</v>
      </c>
      <c r="AH7">
        <v>28.85</v>
      </c>
      <c r="AI7">
        <v>17.670000000000002</v>
      </c>
      <c r="AJ7">
        <v>106.81</v>
      </c>
      <c r="AK7">
        <v>40.32</v>
      </c>
      <c r="AL7">
        <v>88.63</v>
      </c>
      <c r="AM7">
        <v>29.49</v>
      </c>
      <c r="AN7">
        <v>26.87</v>
      </c>
      <c r="AO7">
        <v>705.08</v>
      </c>
    </row>
    <row r="8" spans="1:41" x14ac:dyDescent="0.25">
      <c r="A8" t="s">
        <v>50</v>
      </c>
      <c r="B8">
        <v>21173</v>
      </c>
      <c r="C8">
        <v>1524</v>
      </c>
      <c r="D8">
        <v>1486</v>
      </c>
      <c r="E8">
        <v>4194</v>
      </c>
      <c r="F8">
        <v>1957</v>
      </c>
      <c r="G8">
        <v>1902</v>
      </c>
      <c r="H8">
        <v>3120</v>
      </c>
      <c r="I8">
        <v>2240</v>
      </c>
      <c r="J8">
        <v>5878</v>
      </c>
      <c r="K8">
        <v>1649</v>
      </c>
      <c r="L8">
        <v>9275</v>
      </c>
      <c r="M8">
        <v>6060</v>
      </c>
      <c r="N8">
        <f t="shared" si="0"/>
        <v>60458</v>
      </c>
      <c r="O8">
        <v>4</v>
      </c>
      <c r="P8">
        <v>3</v>
      </c>
      <c r="Q8">
        <v>9</v>
      </c>
      <c r="R8">
        <v>9</v>
      </c>
      <c r="S8">
        <v>0</v>
      </c>
      <c r="T8">
        <v>8</v>
      </c>
      <c r="U8">
        <v>3</v>
      </c>
      <c r="V8">
        <v>19</v>
      </c>
      <c r="W8">
        <v>2</v>
      </c>
      <c r="X8">
        <v>19</v>
      </c>
      <c r="Y8">
        <v>5</v>
      </c>
      <c r="Z8">
        <v>2</v>
      </c>
      <c r="AA8">
        <f t="shared" si="1"/>
        <v>83</v>
      </c>
      <c r="AB8" t="s">
        <v>45</v>
      </c>
      <c r="AC8">
        <v>221.92</v>
      </c>
      <c r="AD8">
        <v>25.38</v>
      </c>
      <c r="AE8">
        <v>25.3</v>
      </c>
      <c r="AF8">
        <v>52.38</v>
      </c>
      <c r="AG8">
        <v>29.56</v>
      </c>
      <c r="AH8">
        <v>29.41</v>
      </c>
      <c r="AI8">
        <v>41.34</v>
      </c>
      <c r="AJ8">
        <v>33.340000000000003</v>
      </c>
      <c r="AK8">
        <v>68.87</v>
      </c>
      <c r="AL8">
        <v>27.43</v>
      </c>
      <c r="AM8">
        <v>102.99</v>
      </c>
      <c r="AN8">
        <v>70.69</v>
      </c>
      <c r="AO8">
        <v>728.6099999999999</v>
      </c>
    </row>
    <row r="9" spans="1:41" x14ac:dyDescent="0.25">
      <c r="A9" t="s">
        <v>51</v>
      </c>
      <c r="B9">
        <v>17678</v>
      </c>
      <c r="C9">
        <v>4762</v>
      </c>
      <c r="D9">
        <v>3059</v>
      </c>
      <c r="E9">
        <v>9400</v>
      </c>
      <c r="F9">
        <v>8676</v>
      </c>
      <c r="G9">
        <v>5735</v>
      </c>
      <c r="H9">
        <v>3588</v>
      </c>
      <c r="I9">
        <v>3565</v>
      </c>
      <c r="J9">
        <v>1241</v>
      </c>
      <c r="K9">
        <v>156</v>
      </c>
      <c r="L9">
        <v>2066</v>
      </c>
      <c r="M9">
        <v>2313</v>
      </c>
      <c r="N9">
        <f t="shared" si="0"/>
        <v>62239</v>
      </c>
      <c r="O9">
        <v>5</v>
      </c>
      <c r="P9">
        <v>4</v>
      </c>
      <c r="Q9">
        <v>5</v>
      </c>
      <c r="R9">
        <v>6</v>
      </c>
      <c r="S9">
        <v>4</v>
      </c>
      <c r="T9">
        <v>1</v>
      </c>
      <c r="U9">
        <v>3</v>
      </c>
      <c r="V9">
        <v>5</v>
      </c>
      <c r="W9">
        <v>1</v>
      </c>
      <c r="X9">
        <v>2</v>
      </c>
      <c r="Y9">
        <v>2</v>
      </c>
      <c r="Z9">
        <v>3</v>
      </c>
      <c r="AA9">
        <f t="shared" si="1"/>
        <v>41</v>
      </c>
      <c r="AB9" t="s">
        <v>45</v>
      </c>
      <c r="AC9">
        <v>187.02</v>
      </c>
      <c r="AD9">
        <v>57.81</v>
      </c>
      <c r="AE9">
        <v>40.83</v>
      </c>
      <c r="AF9">
        <v>104.29</v>
      </c>
      <c r="AG9">
        <v>96.95</v>
      </c>
      <c r="AH9">
        <v>67.39</v>
      </c>
      <c r="AI9">
        <v>46.02</v>
      </c>
      <c r="AJ9">
        <v>45.89</v>
      </c>
      <c r="AK9">
        <v>22.45</v>
      </c>
      <c r="AL9">
        <v>11.65</v>
      </c>
      <c r="AM9">
        <v>30.75</v>
      </c>
      <c r="AN9">
        <v>33.270000000000003</v>
      </c>
      <c r="AO9">
        <v>744.32</v>
      </c>
    </row>
    <row r="10" spans="1:41" x14ac:dyDescent="0.25">
      <c r="A10" t="s">
        <v>52</v>
      </c>
      <c r="B10">
        <v>17563</v>
      </c>
      <c r="C10">
        <v>1589</v>
      </c>
      <c r="D10">
        <v>1874</v>
      </c>
      <c r="E10">
        <v>12192</v>
      </c>
      <c r="F10">
        <v>3105</v>
      </c>
      <c r="G10">
        <v>1560</v>
      </c>
      <c r="H10">
        <v>4199</v>
      </c>
      <c r="I10">
        <v>256</v>
      </c>
      <c r="J10">
        <v>1707</v>
      </c>
      <c r="K10">
        <v>507</v>
      </c>
      <c r="L10">
        <v>318</v>
      </c>
      <c r="M10">
        <v>0</v>
      </c>
      <c r="N10">
        <f t="shared" si="0"/>
        <v>44870</v>
      </c>
      <c r="O10">
        <v>0</v>
      </c>
      <c r="P10">
        <v>1</v>
      </c>
      <c r="Q10">
        <v>4</v>
      </c>
      <c r="R10">
        <v>4</v>
      </c>
      <c r="S10">
        <v>10</v>
      </c>
      <c r="T10">
        <v>3</v>
      </c>
      <c r="U10">
        <v>12</v>
      </c>
      <c r="V10">
        <v>1</v>
      </c>
      <c r="W10">
        <v>0</v>
      </c>
      <c r="X10">
        <v>0</v>
      </c>
      <c r="Y10">
        <v>0</v>
      </c>
      <c r="Z10">
        <v>3</v>
      </c>
      <c r="AA10">
        <f t="shared" si="1"/>
        <v>38</v>
      </c>
      <c r="AB10" t="s">
        <v>45</v>
      </c>
      <c r="AC10">
        <v>185.62</v>
      </c>
      <c r="AD10">
        <v>25.93</v>
      </c>
      <c r="AE10">
        <v>28.93</v>
      </c>
      <c r="AF10">
        <v>132.11000000000001</v>
      </c>
      <c r="AG10">
        <v>41.54</v>
      </c>
      <c r="AH10">
        <v>25.74</v>
      </c>
      <c r="AI10">
        <v>52.58</v>
      </c>
      <c r="AJ10">
        <v>12.6</v>
      </c>
      <c r="AK10">
        <v>27.06</v>
      </c>
      <c r="AL10">
        <v>15.06</v>
      </c>
      <c r="AM10">
        <v>13.17</v>
      </c>
      <c r="AN10">
        <v>10.14</v>
      </c>
      <c r="AO10">
        <v>570.4799999999999</v>
      </c>
    </row>
    <row r="11" spans="1:41" x14ac:dyDescent="0.25">
      <c r="A11" t="s">
        <v>53</v>
      </c>
      <c r="B11">
        <v>17311</v>
      </c>
      <c r="C11">
        <v>1601</v>
      </c>
      <c r="D11">
        <v>4072</v>
      </c>
      <c r="E11">
        <v>809</v>
      </c>
      <c r="F11">
        <v>209</v>
      </c>
      <c r="G11">
        <v>6818</v>
      </c>
      <c r="H11">
        <v>1512</v>
      </c>
      <c r="I11">
        <v>1615</v>
      </c>
      <c r="J11">
        <v>1724</v>
      </c>
      <c r="K11">
        <v>11609</v>
      </c>
      <c r="L11">
        <v>0</v>
      </c>
      <c r="M11">
        <v>5664</v>
      </c>
      <c r="N11">
        <f t="shared" si="0"/>
        <v>52944</v>
      </c>
      <c r="O11">
        <v>1</v>
      </c>
      <c r="P11">
        <v>2</v>
      </c>
      <c r="Q11">
        <v>6</v>
      </c>
      <c r="R11">
        <v>6</v>
      </c>
      <c r="S11">
        <v>2</v>
      </c>
      <c r="T11">
        <v>0</v>
      </c>
      <c r="U11">
        <v>3</v>
      </c>
      <c r="V11">
        <v>3</v>
      </c>
      <c r="W11">
        <v>11</v>
      </c>
      <c r="X11">
        <v>5</v>
      </c>
      <c r="Y11">
        <v>1</v>
      </c>
      <c r="Z11">
        <v>4</v>
      </c>
      <c r="AA11">
        <f t="shared" si="1"/>
        <v>44</v>
      </c>
      <c r="AB11" t="s">
        <v>45</v>
      </c>
      <c r="AC11">
        <v>183.15</v>
      </c>
      <c r="AD11">
        <v>26.1</v>
      </c>
      <c r="AE11">
        <v>51.01</v>
      </c>
      <c r="AF11">
        <v>18.38</v>
      </c>
      <c r="AG11">
        <v>12.18</v>
      </c>
      <c r="AH11">
        <v>78.17</v>
      </c>
      <c r="AI11">
        <v>25.26</v>
      </c>
      <c r="AJ11">
        <v>26.29</v>
      </c>
      <c r="AK11">
        <v>27.78</v>
      </c>
      <c r="AL11">
        <v>126.33</v>
      </c>
      <c r="AM11">
        <v>10.039999999999999</v>
      </c>
      <c r="AN11">
        <v>66.83</v>
      </c>
      <c r="AO11">
        <v>651.5200000000001</v>
      </c>
    </row>
    <row r="12" spans="1:41" x14ac:dyDescent="0.25">
      <c r="A12" t="s">
        <v>54</v>
      </c>
      <c r="B12">
        <v>16753</v>
      </c>
      <c r="C12">
        <v>6127</v>
      </c>
      <c r="D12">
        <v>2973</v>
      </c>
      <c r="E12">
        <v>4474</v>
      </c>
      <c r="F12">
        <v>5775</v>
      </c>
      <c r="G12">
        <v>2389</v>
      </c>
      <c r="H12">
        <v>6407</v>
      </c>
      <c r="I12">
        <v>1415</v>
      </c>
      <c r="J12">
        <v>1244</v>
      </c>
      <c r="K12">
        <v>2318</v>
      </c>
      <c r="L12">
        <v>4557</v>
      </c>
      <c r="M12">
        <v>4307</v>
      </c>
      <c r="N12">
        <f t="shared" si="0"/>
        <v>58739</v>
      </c>
      <c r="O12">
        <v>7</v>
      </c>
      <c r="P12">
        <v>1</v>
      </c>
      <c r="Q12">
        <v>6</v>
      </c>
      <c r="R12">
        <v>4</v>
      </c>
      <c r="S12">
        <v>12</v>
      </c>
      <c r="T12">
        <v>1</v>
      </c>
      <c r="U12">
        <v>3</v>
      </c>
      <c r="V12">
        <v>10</v>
      </c>
      <c r="W12">
        <v>1</v>
      </c>
      <c r="X12">
        <v>13</v>
      </c>
      <c r="Y12">
        <v>4</v>
      </c>
      <c r="Z12">
        <v>2</v>
      </c>
      <c r="AA12">
        <f t="shared" si="1"/>
        <v>64</v>
      </c>
      <c r="AB12" t="s">
        <v>45</v>
      </c>
      <c r="AC12">
        <v>177.87</v>
      </c>
      <c r="AD12">
        <v>71.31</v>
      </c>
      <c r="AE12">
        <v>40.020000000000003</v>
      </c>
      <c r="AF12">
        <v>54.93</v>
      </c>
      <c r="AG12">
        <v>68.34</v>
      </c>
      <c r="AH12">
        <v>33.93</v>
      </c>
      <c r="AI12">
        <v>74.209999999999994</v>
      </c>
      <c r="AJ12">
        <v>24.64</v>
      </c>
      <c r="AK12">
        <v>22.48</v>
      </c>
      <c r="AL12">
        <v>33.82</v>
      </c>
      <c r="AM12">
        <v>55.76</v>
      </c>
      <c r="AN12">
        <v>53.16</v>
      </c>
      <c r="AO12">
        <v>710.47</v>
      </c>
    </row>
    <row r="13" spans="1:41" x14ac:dyDescent="0.25">
      <c r="A13" t="s">
        <v>55</v>
      </c>
      <c r="B13">
        <v>16235</v>
      </c>
      <c r="C13">
        <v>3935</v>
      </c>
      <c r="D13">
        <v>5728</v>
      </c>
      <c r="E13">
        <v>0</v>
      </c>
      <c r="F13">
        <v>7943</v>
      </c>
      <c r="G13">
        <v>11274</v>
      </c>
      <c r="H13">
        <v>2246</v>
      </c>
      <c r="I13">
        <v>5507</v>
      </c>
      <c r="J13">
        <v>2620</v>
      </c>
      <c r="K13">
        <v>632</v>
      </c>
      <c r="L13">
        <v>6970</v>
      </c>
      <c r="M13">
        <v>3443</v>
      </c>
      <c r="N13">
        <f t="shared" si="0"/>
        <v>66533</v>
      </c>
      <c r="O13">
        <v>1</v>
      </c>
      <c r="P13">
        <v>4</v>
      </c>
      <c r="Q13">
        <v>0</v>
      </c>
      <c r="R13">
        <v>11</v>
      </c>
      <c r="S13">
        <v>7</v>
      </c>
      <c r="T13">
        <v>6</v>
      </c>
      <c r="U13">
        <v>2</v>
      </c>
      <c r="V13">
        <v>8</v>
      </c>
      <c r="W13">
        <v>8</v>
      </c>
      <c r="X13">
        <v>6</v>
      </c>
      <c r="Y13">
        <v>2</v>
      </c>
      <c r="Z13">
        <v>5</v>
      </c>
      <c r="AA13">
        <f t="shared" si="1"/>
        <v>60</v>
      </c>
      <c r="AB13" t="s">
        <v>45</v>
      </c>
      <c r="AC13">
        <v>172.39</v>
      </c>
      <c r="AD13">
        <v>49.54</v>
      </c>
      <c r="AE13">
        <v>67.27</v>
      </c>
      <c r="AF13">
        <v>10.54</v>
      </c>
      <c r="AG13">
        <v>89.77</v>
      </c>
      <c r="AH13">
        <v>123.03</v>
      </c>
      <c r="AI13">
        <v>32.549999999999997</v>
      </c>
      <c r="AJ13">
        <v>65.459999999999994</v>
      </c>
      <c r="AK13">
        <v>36.590000000000003</v>
      </c>
      <c r="AL13">
        <v>16.61</v>
      </c>
      <c r="AM13">
        <v>79.790000000000006</v>
      </c>
      <c r="AN13">
        <v>44.67</v>
      </c>
      <c r="AO13">
        <v>788.20999999999992</v>
      </c>
    </row>
    <row r="14" spans="1:41" x14ac:dyDescent="0.25">
      <c r="A14" t="s">
        <v>56</v>
      </c>
      <c r="B14">
        <v>16202</v>
      </c>
      <c r="C14">
        <v>1977</v>
      </c>
      <c r="D14">
        <v>1335</v>
      </c>
      <c r="E14">
        <v>6881</v>
      </c>
      <c r="F14">
        <v>2099</v>
      </c>
      <c r="G14">
        <v>1614</v>
      </c>
      <c r="H14">
        <v>1942</v>
      </c>
      <c r="I14">
        <v>3511</v>
      </c>
      <c r="J14">
        <v>0</v>
      </c>
      <c r="K14">
        <v>1531</v>
      </c>
      <c r="L14">
        <v>2423</v>
      </c>
      <c r="M14">
        <v>1135</v>
      </c>
      <c r="N14">
        <f t="shared" si="0"/>
        <v>40650</v>
      </c>
      <c r="O14">
        <v>3</v>
      </c>
      <c r="P14">
        <v>21</v>
      </c>
      <c r="Q14">
        <v>0</v>
      </c>
      <c r="R14">
        <v>3</v>
      </c>
      <c r="S14">
        <v>12</v>
      </c>
      <c r="T14">
        <v>1</v>
      </c>
      <c r="U14">
        <v>15</v>
      </c>
      <c r="V14">
        <v>12</v>
      </c>
      <c r="W14">
        <v>9</v>
      </c>
      <c r="X14">
        <v>3</v>
      </c>
      <c r="Y14">
        <v>6</v>
      </c>
      <c r="Z14">
        <v>7</v>
      </c>
      <c r="AA14">
        <f t="shared" si="1"/>
        <v>92</v>
      </c>
      <c r="AB14" t="s">
        <v>45</v>
      </c>
      <c r="AC14">
        <v>172.16</v>
      </c>
      <c r="AD14">
        <v>30.81</v>
      </c>
      <c r="AE14">
        <v>23.34</v>
      </c>
      <c r="AF14">
        <v>78.95</v>
      </c>
      <c r="AG14">
        <v>31.58</v>
      </c>
      <c r="AH14">
        <v>26.18</v>
      </c>
      <c r="AI14">
        <v>30.16</v>
      </c>
      <c r="AJ14">
        <v>45.7</v>
      </c>
      <c r="AK14">
        <v>10.44</v>
      </c>
      <c r="AL14">
        <v>25.45</v>
      </c>
      <c r="AM14">
        <v>34.520000000000003</v>
      </c>
      <c r="AN14">
        <v>21.69</v>
      </c>
      <c r="AO14">
        <v>530.98</v>
      </c>
    </row>
    <row r="15" spans="1:41" x14ac:dyDescent="0.25">
      <c r="A15" t="s">
        <v>57</v>
      </c>
      <c r="B15">
        <v>15959</v>
      </c>
      <c r="C15">
        <v>1234</v>
      </c>
      <c r="D15">
        <v>4139</v>
      </c>
      <c r="E15">
        <v>3581</v>
      </c>
      <c r="F15">
        <v>1396</v>
      </c>
      <c r="G15">
        <v>413</v>
      </c>
      <c r="H15">
        <v>544</v>
      </c>
      <c r="I15">
        <v>6709</v>
      </c>
      <c r="J15">
        <v>6703</v>
      </c>
      <c r="K15">
        <v>1400</v>
      </c>
      <c r="L15">
        <v>44</v>
      </c>
      <c r="M15">
        <v>7645</v>
      </c>
      <c r="N15">
        <f t="shared" si="0"/>
        <v>49767</v>
      </c>
      <c r="O15">
        <v>2</v>
      </c>
      <c r="P15">
        <v>4</v>
      </c>
      <c r="Q15">
        <v>2</v>
      </c>
      <c r="R15">
        <v>2</v>
      </c>
      <c r="S15">
        <v>3</v>
      </c>
      <c r="T15">
        <v>3</v>
      </c>
      <c r="U15">
        <v>6</v>
      </c>
      <c r="V15">
        <v>2</v>
      </c>
      <c r="W15">
        <v>12</v>
      </c>
      <c r="X15">
        <v>0</v>
      </c>
      <c r="Y15">
        <v>3</v>
      </c>
      <c r="Z15">
        <v>1</v>
      </c>
      <c r="AA15">
        <f t="shared" si="1"/>
        <v>40</v>
      </c>
      <c r="AB15" t="s">
        <v>45</v>
      </c>
      <c r="AC15">
        <v>169.68</v>
      </c>
      <c r="AD15">
        <v>22.53</v>
      </c>
      <c r="AE15">
        <v>51.48</v>
      </c>
      <c r="AF15">
        <v>45.9</v>
      </c>
      <c r="AG15">
        <v>24.1</v>
      </c>
      <c r="AH15">
        <v>14.27</v>
      </c>
      <c r="AI15">
        <v>15.73</v>
      </c>
      <c r="AJ15">
        <v>77.180000000000007</v>
      </c>
      <c r="AK15">
        <v>77.62</v>
      </c>
      <c r="AL15">
        <v>23.99</v>
      </c>
      <c r="AM15">
        <v>10.58</v>
      </c>
      <c r="AN15">
        <v>86.49</v>
      </c>
      <c r="AO15">
        <v>619.55000000000007</v>
      </c>
    </row>
    <row r="16" spans="1:41" x14ac:dyDescent="0.25">
      <c r="A16" t="s">
        <v>58</v>
      </c>
      <c r="B16">
        <v>15745</v>
      </c>
      <c r="C16">
        <v>410</v>
      </c>
      <c r="D16">
        <v>3494</v>
      </c>
      <c r="E16">
        <v>3607</v>
      </c>
      <c r="F16">
        <v>992</v>
      </c>
      <c r="G16">
        <v>11162</v>
      </c>
      <c r="H16">
        <v>7365</v>
      </c>
      <c r="I16">
        <v>6002</v>
      </c>
      <c r="J16">
        <v>12282</v>
      </c>
      <c r="K16">
        <v>1266</v>
      </c>
      <c r="L16">
        <v>0</v>
      </c>
      <c r="M16">
        <v>4229</v>
      </c>
      <c r="N16">
        <f t="shared" si="0"/>
        <v>66554</v>
      </c>
      <c r="O16">
        <v>12</v>
      </c>
      <c r="P16">
        <v>4</v>
      </c>
      <c r="Q16">
        <v>3</v>
      </c>
      <c r="R16">
        <v>1</v>
      </c>
      <c r="S16">
        <v>0</v>
      </c>
      <c r="T16">
        <v>7</v>
      </c>
      <c r="U16">
        <v>1</v>
      </c>
      <c r="V16">
        <v>5</v>
      </c>
      <c r="W16">
        <v>10</v>
      </c>
      <c r="X16">
        <v>2</v>
      </c>
      <c r="Y16">
        <v>6</v>
      </c>
      <c r="Z16">
        <v>0</v>
      </c>
      <c r="AA16">
        <f t="shared" si="1"/>
        <v>51</v>
      </c>
      <c r="AB16" t="s">
        <v>45</v>
      </c>
      <c r="AC16">
        <v>168.04</v>
      </c>
      <c r="AD16">
        <v>14.29</v>
      </c>
      <c r="AE16">
        <v>45.08</v>
      </c>
      <c r="AF16">
        <v>46.11</v>
      </c>
      <c r="AG16">
        <v>19.91</v>
      </c>
      <c r="AH16">
        <v>121.96</v>
      </c>
      <c r="AI16">
        <v>83.69</v>
      </c>
      <c r="AJ16">
        <v>70.260000000000005</v>
      </c>
      <c r="AK16">
        <v>133.31</v>
      </c>
      <c r="AL16">
        <v>22.75</v>
      </c>
      <c r="AM16">
        <v>10.29</v>
      </c>
      <c r="AN16">
        <v>52.28</v>
      </c>
      <c r="AO16">
        <v>787.97</v>
      </c>
    </row>
    <row r="17" spans="1:41" x14ac:dyDescent="0.25">
      <c r="A17" t="s">
        <v>59</v>
      </c>
      <c r="B17">
        <v>15031</v>
      </c>
      <c r="C17">
        <v>5617</v>
      </c>
      <c r="D17">
        <v>0</v>
      </c>
      <c r="E17">
        <v>524</v>
      </c>
      <c r="F17">
        <v>837</v>
      </c>
      <c r="G17">
        <v>3109</v>
      </c>
      <c r="H17">
        <v>14045</v>
      </c>
      <c r="I17">
        <v>4096</v>
      </c>
      <c r="J17">
        <v>1718</v>
      </c>
      <c r="K17">
        <v>403</v>
      </c>
      <c r="L17">
        <v>0</v>
      </c>
      <c r="M17">
        <v>2330</v>
      </c>
      <c r="N17">
        <f t="shared" si="0"/>
        <v>47710</v>
      </c>
      <c r="O17">
        <v>1</v>
      </c>
      <c r="P17">
        <v>5</v>
      </c>
      <c r="Q17">
        <v>0</v>
      </c>
      <c r="R17">
        <v>8</v>
      </c>
      <c r="S17">
        <v>5</v>
      </c>
      <c r="T17">
        <v>12</v>
      </c>
      <c r="U17">
        <v>4</v>
      </c>
      <c r="V17">
        <v>10</v>
      </c>
      <c r="W17">
        <v>15</v>
      </c>
      <c r="X17">
        <v>7</v>
      </c>
      <c r="Y17">
        <v>2</v>
      </c>
      <c r="Z17">
        <v>0</v>
      </c>
      <c r="AA17">
        <f t="shared" si="1"/>
        <v>69</v>
      </c>
      <c r="AB17" t="s">
        <v>45</v>
      </c>
      <c r="AC17">
        <v>160.35</v>
      </c>
      <c r="AD17">
        <v>66.41</v>
      </c>
      <c r="AE17">
        <v>9.99</v>
      </c>
      <c r="AF17">
        <v>15.63</v>
      </c>
      <c r="AG17">
        <v>18.61</v>
      </c>
      <c r="AH17">
        <v>41.68</v>
      </c>
      <c r="AI17">
        <v>150.63999999999999</v>
      </c>
      <c r="AJ17">
        <v>51.45</v>
      </c>
      <c r="AK17">
        <v>27.92</v>
      </c>
      <c r="AL17">
        <v>14.37</v>
      </c>
      <c r="AM17">
        <v>10.09</v>
      </c>
      <c r="AN17">
        <v>33.29</v>
      </c>
      <c r="AO17">
        <v>600.42999999999995</v>
      </c>
    </row>
    <row r="18" spans="1:41" x14ac:dyDescent="0.25">
      <c r="A18" t="s">
        <v>60</v>
      </c>
      <c r="B18">
        <v>14984</v>
      </c>
      <c r="C18">
        <v>0</v>
      </c>
      <c r="D18">
        <v>4447</v>
      </c>
      <c r="E18">
        <v>1544</v>
      </c>
      <c r="F18">
        <v>5646</v>
      </c>
      <c r="G18">
        <v>5648</v>
      </c>
      <c r="H18">
        <v>5361</v>
      </c>
      <c r="I18">
        <v>673</v>
      </c>
      <c r="J18">
        <v>7084</v>
      </c>
      <c r="K18">
        <v>178</v>
      </c>
      <c r="L18">
        <v>231</v>
      </c>
      <c r="M18">
        <v>1707</v>
      </c>
      <c r="N18">
        <f t="shared" si="0"/>
        <v>47503</v>
      </c>
      <c r="O18">
        <v>6</v>
      </c>
      <c r="P18">
        <v>0</v>
      </c>
      <c r="Q18">
        <v>4</v>
      </c>
      <c r="R18">
        <v>0</v>
      </c>
      <c r="S18">
        <v>13</v>
      </c>
      <c r="T18">
        <v>7</v>
      </c>
      <c r="U18">
        <v>5</v>
      </c>
      <c r="V18">
        <v>5</v>
      </c>
      <c r="W18">
        <v>3</v>
      </c>
      <c r="X18">
        <v>3</v>
      </c>
      <c r="Y18">
        <v>9</v>
      </c>
      <c r="Z18">
        <v>13</v>
      </c>
      <c r="AA18">
        <f t="shared" si="1"/>
        <v>68</v>
      </c>
      <c r="AB18" t="s">
        <v>45</v>
      </c>
      <c r="AC18">
        <v>160.13</v>
      </c>
      <c r="AD18">
        <v>9.99</v>
      </c>
      <c r="AE18">
        <v>54.66</v>
      </c>
      <c r="AF18">
        <v>25.43</v>
      </c>
      <c r="AG18">
        <v>67.099999999999994</v>
      </c>
      <c r="AH18">
        <v>66.819999999999993</v>
      </c>
      <c r="AI18">
        <v>63.85</v>
      </c>
      <c r="AJ18">
        <v>16.97</v>
      </c>
      <c r="AK18">
        <v>80.98</v>
      </c>
      <c r="AL18">
        <v>11.92</v>
      </c>
      <c r="AM18">
        <v>12.75</v>
      </c>
      <c r="AN18">
        <v>27.71</v>
      </c>
      <c r="AO18">
        <v>598.31000000000006</v>
      </c>
    </row>
    <row r="19" spans="1:41" x14ac:dyDescent="0.25">
      <c r="A19" t="s">
        <v>61</v>
      </c>
      <c r="B19">
        <v>14974</v>
      </c>
      <c r="C19">
        <v>3884</v>
      </c>
      <c r="D19">
        <v>1061</v>
      </c>
      <c r="E19">
        <v>0</v>
      </c>
      <c r="F19">
        <v>2949</v>
      </c>
      <c r="G19">
        <v>832</v>
      </c>
      <c r="H19">
        <v>4423</v>
      </c>
      <c r="I19">
        <v>3387</v>
      </c>
      <c r="J19">
        <v>1357</v>
      </c>
      <c r="K19">
        <v>0</v>
      </c>
      <c r="L19">
        <v>5529</v>
      </c>
      <c r="M19">
        <v>4090</v>
      </c>
      <c r="N19">
        <f t="shared" si="0"/>
        <v>42486</v>
      </c>
      <c r="O19">
        <v>16</v>
      </c>
      <c r="P19">
        <v>2</v>
      </c>
      <c r="Q19">
        <v>12</v>
      </c>
      <c r="R19">
        <v>3</v>
      </c>
      <c r="S19">
        <v>4</v>
      </c>
      <c r="T19">
        <v>9</v>
      </c>
      <c r="U19">
        <v>3</v>
      </c>
      <c r="V19">
        <v>2</v>
      </c>
      <c r="W19">
        <v>3</v>
      </c>
      <c r="X19">
        <v>2</v>
      </c>
      <c r="Y19">
        <v>12</v>
      </c>
      <c r="Z19">
        <v>8</v>
      </c>
      <c r="AA19">
        <f t="shared" si="1"/>
        <v>76</v>
      </c>
      <c r="AB19" t="s">
        <v>45</v>
      </c>
      <c r="AC19">
        <v>160.53</v>
      </c>
      <c r="AD19">
        <v>48.93</v>
      </c>
      <c r="AE19">
        <v>21.2</v>
      </c>
      <c r="AF19">
        <v>10.14</v>
      </c>
      <c r="AG19">
        <v>39.68</v>
      </c>
      <c r="AH19">
        <v>18.760000000000002</v>
      </c>
      <c r="AI19">
        <v>54.37</v>
      </c>
      <c r="AJ19">
        <v>43.96</v>
      </c>
      <c r="AK19">
        <v>23.71</v>
      </c>
      <c r="AL19">
        <v>10.09</v>
      </c>
      <c r="AM19">
        <v>65.88</v>
      </c>
      <c r="AN19">
        <v>51.29</v>
      </c>
      <c r="AO19">
        <v>548.54</v>
      </c>
    </row>
    <row r="20" spans="1:41" x14ac:dyDescent="0.25">
      <c r="A20" t="s">
        <v>65</v>
      </c>
      <c r="B20">
        <v>14213</v>
      </c>
      <c r="C20">
        <v>7092</v>
      </c>
      <c r="D20">
        <v>5630</v>
      </c>
      <c r="E20">
        <v>381</v>
      </c>
      <c r="F20">
        <v>685</v>
      </c>
      <c r="G20">
        <v>1254</v>
      </c>
      <c r="H20">
        <v>3977</v>
      </c>
      <c r="I20">
        <v>6048</v>
      </c>
      <c r="J20">
        <v>500</v>
      </c>
      <c r="K20">
        <v>2894</v>
      </c>
      <c r="L20">
        <v>2861</v>
      </c>
      <c r="M20">
        <v>2427</v>
      </c>
      <c r="N20">
        <f t="shared" si="0"/>
        <v>47962</v>
      </c>
      <c r="O20">
        <v>2</v>
      </c>
      <c r="P20">
        <v>8</v>
      </c>
      <c r="Q20">
        <v>2</v>
      </c>
      <c r="R20">
        <v>0</v>
      </c>
      <c r="S20">
        <v>3</v>
      </c>
      <c r="T20">
        <v>8</v>
      </c>
      <c r="U20">
        <v>7</v>
      </c>
      <c r="V20">
        <v>4</v>
      </c>
      <c r="W20">
        <v>1</v>
      </c>
      <c r="X20">
        <v>6</v>
      </c>
      <c r="Y20">
        <v>6</v>
      </c>
      <c r="Z20">
        <v>3</v>
      </c>
      <c r="AA20">
        <f t="shared" si="1"/>
        <v>50</v>
      </c>
      <c r="AB20" t="s">
        <v>45</v>
      </c>
      <c r="AC20">
        <v>152.22</v>
      </c>
      <c r="AD20">
        <v>81.31</v>
      </c>
      <c r="AE20">
        <v>66.39</v>
      </c>
      <c r="AF20">
        <v>13.8</v>
      </c>
      <c r="AG20">
        <v>16.989999999999998</v>
      </c>
      <c r="AH20">
        <v>22.93</v>
      </c>
      <c r="AI20">
        <v>50.11</v>
      </c>
      <c r="AJ20">
        <v>70.67</v>
      </c>
      <c r="AK20">
        <v>15.04</v>
      </c>
      <c r="AL20">
        <v>39.229999999999997</v>
      </c>
      <c r="AM20">
        <v>38.9</v>
      </c>
      <c r="AN20">
        <v>34.409999999999997</v>
      </c>
      <c r="AO20">
        <v>602</v>
      </c>
    </row>
    <row r="21" spans="1:41" x14ac:dyDescent="0.25">
      <c r="A21" t="s">
        <v>66</v>
      </c>
      <c r="B21">
        <v>14149</v>
      </c>
      <c r="C21">
        <v>482</v>
      </c>
      <c r="D21">
        <v>3840</v>
      </c>
      <c r="E21">
        <v>2774</v>
      </c>
      <c r="F21">
        <v>4717</v>
      </c>
      <c r="G21">
        <v>8014</v>
      </c>
      <c r="H21">
        <v>2243</v>
      </c>
      <c r="I21">
        <v>2972</v>
      </c>
      <c r="J21">
        <v>3186</v>
      </c>
      <c r="K21">
        <v>790</v>
      </c>
      <c r="L21">
        <v>1479</v>
      </c>
      <c r="M21">
        <v>3581</v>
      </c>
      <c r="N21">
        <f t="shared" si="0"/>
        <v>48227</v>
      </c>
      <c r="O21">
        <v>3</v>
      </c>
      <c r="P21">
        <v>4</v>
      </c>
      <c r="Q21">
        <v>1</v>
      </c>
      <c r="R21">
        <v>1</v>
      </c>
      <c r="S21">
        <v>6</v>
      </c>
      <c r="T21">
        <v>5</v>
      </c>
      <c r="U21">
        <v>9</v>
      </c>
      <c r="V21">
        <v>4</v>
      </c>
      <c r="W21">
        <v>5</v>
      </c>
      <c r="X21">
        <v>4</v>
      </c>
      <c r="Y21">
        <v>6</v>
      </c>
      <c r="Z21">
        <v>4</v>
      </c>
      <c r="AA21">
        <f t="shared" si="1"/>
        <v>52</v>
      </c>
      <c r="AB21" t="s">
        <v>45</v>
      </c>
      <c r="AC21">
        <v>151.63</v>
      </c>
      <c r="AD21">
        <v>15.01</v>
      </c>
      <c r="AE21">
        <v>48.44</v>
      </c>
      <c r="AF21">
        <v>37.78</v>
      </c>
      <c r="AG21">
        <v>57.46</v>
      </c>
      <c r="AH21">
        <v>90.38</v>
      </c>
      <c r="AI21">
        <v>32.869999999999997</v>
      </c>
      <c r="AJ21">
        <v>39.909999999999997</v>
      </c>
      <c r="AK21">
        <v>42.1</v>
      </c>
      <c r="AL21">
        <v>18.09</v>
      </c>
      <c r="AM21">
        <v>25.08</v>
      </c>
      <c r="AN21">
        <v>46</v>
      </c>
      <c r="AO21">
        <v>604.75000000000011</v>
      </c>
    </row>
    <row r="22" spans="1:41" x14ac:dyDescent="0.25">
      <c r="A22" t="s">
        <v>67</v>
      </c>
      <c r="B22">
        <v>13891</v>
      </c>
      <c r="C22">
        <v>6502</v>
      </c>
      <c r="D22">
        <v>4425</v>
      </c>
      <c r="E22">
        <v>0</v>
      </c>
      <c r="F22">
        <v>4324</v>
      </c>
      <c r="G22">
        <v>1391</v>
      </c>
      <c r="H22">
        <v>2674</v>
      </c>
      <c r="I22">
        <v>3998</v>
      </c>
      <c r="J22">
        <v>3202</v>
      </c>
      <c r="K22">
        <v>4220</v>
      </c>
      <c r="L22">
        <v>3811</v>
      </c>
      <c r="M22">
        <v>0</v>
      </c>
      <c r="N22">
        <f t="shared" si="0"/>
        <v>48438</v>
      </c>
      <c r="O22">
        <v>4</v>
      </c>
      <c r="P22">
        <v>9</v>
      </c>
      <c r="Q22">
        <v>5</v>
      </c>
      <c r="R22">
        <v>2</v>
      </c>
      <c r="S22">
        <v>4</v>
      </c>
      <c r="T22">
        <v>3</v>
      </c>
      <c r="U22">
        <v>2</v>
      </c>
      <c r="V22">
        <v>5</v>
      </c>
      <c r="W22">
        <v>5</v>
      </c>
      <c r="X22">
        <v>9</v>
      </c>
      <c r="Y22">
        <v>5</v>
      </c>
      <c r="Z22">
        <v>5</v>
      </c>
      <c r="AA22">
        <f t="shared" si="1"/>
        <v>58</v>
      </c>
      <c r="AB22" t="s">
        <v>45</v>
      </c>
      <c r="AC22">
        <v>149.1</v>
      </c>
      <c r="AD22">
        <v>75.459999999999994</v>
      </c>
      <c r="AE22">
        <v>54.49</v>
      </c>
      <c r="AF22">
        <v>10.09</v>
      </c>
      <c r="AG22">
        <v>53.43</v>
      </c>
      <c r="AH22">
        <v>24.05</v>
      </c>
      <c r="AI22">
        <v>36.83</v>
      </c>
      <c r="AJ22">
        <v>50.22</v>
      </c>
      <c r="AK22">
        <v>42.26</v>
      </c>
      <c r="AL22">
        <v>52.64</v>
      </c>
      <c r="AM22">
        <v>48.35</v>
      </c>
      <c r="AN22">
        <v>10.24</v>
      </c>
      <c r="AO22">
        <v>607.16</v>
      </c>
    </row>
    <row r="23" spans="1:41" x14ac:dyDescent="0.25">
      <c r="A23" t="s">
        <v>69</v>
      </c>
      <c r="B23">
        <v>13530</v>
      </c>
      <c r="C23">
        <v>109</v>
      </c>
      <c r="D23">
        <v>2250</v>
      </c>
      <c r="E23">
        <v>1214</v>
      </c>
      <c r="F23">
        <v>9449</v>
      </c>
      <c r="G23">
        <v>918</v>
      </c>
      <c r="H23">
        <v>1584</v>
      </c>
      <c r="I23">
        <v>1639</v>
      </c>
      <c r="J23">
        <v>3487</v>
      </c>
      <c r="K23">
        <v>6170</v>
      </c>
      <c r="L23">
        <v>1939</v>
      </c>
      <c r="M23">
        <v>5945</v>
      </c>
      <c r="N23">
        <f t="shared" si="0"/>
        <v>48234</v>
      </c>
      <c r="O23">
        <v>17</v>
      </c>
      <c r="P23">
        <v>2</v>
      </c>
      <c r="Q23">
        <v>3</v>
      </c>
      <c r="R23">
        <v>6</v>
      </c>
      <c r="S23">
        <v>5</v>
      </c>
      <c r="T23">
        <v>1</v>
      </c>
      <c r="U23">
        <v>10</v>
      </c>
      <c r="V23">
        <v>1</v>
      </c>
      <c r="W23">
        <v>6</v>
      </c>
      <c r="X23">
        <v>0</v>
      </c>
      <c r="Y23">
        <v>2</v>
      </c>
      <c r="Z23">
        <v>2</v>
      </c>
      <c r="AA23">
        <f t="shared" si="1"/>
        <v>55</v>
      </c>
      <c r="AB23" t="s">
        <v>45</v>
      </c>
      <c r="AC23">
        <v>146.13999999999999</v>
      </c>
      <c r="AD23">
        <v>11.18</v>
      </c>
      <c r="AE23">
        <v>32.64</v>
      </c>
      <c r="AF23">
        <v>22.43</v>
      </c>
      <c r="AG23">
        <v>104.73</v>
      </c>
      <c r="AH23">
        <v>19.22</v>
      </c>
      <c r="AI23">
        <v>26.33</v>
      </c>
      <c r="AJ23">
        <v>26.43</v>
      </c>
      <c r="AK23">
        <v>45.16</v>
      </c>
      <c r="AL23">
        <v>71.69</v>
      </c>
      <c r="AM23">
        <v>29.48</v>
      </c>
      <c r="AN23">
        <v>69.540000000000006</v>
      </c>
      <c r="AO23">
        <v>604.96999999999991</v>
      </c>
    </row>
    <row r="24" spans="1:41" x14ac:dyDescent="0.25">
      <c r="A24" t="s">
        <v>70</v>
      </c>
      <c r="B24">
        <v>13398</v>
      </c>
      <c r="C24">
        <v>2243</v>
      </c>
      <c r="D24">
        <v>1794</v>
      </c>
      <c r="E24">
        <v>644</v>
      </c>
      <c r="F24">
        <v>7264</v>
      </c>
      <c r="G24">
        <v>4959</v>
      </c>
      <c r="H24">
        <v>257</v>
      </c>
      <c r="I24">
        <v>8841</v>
      </c>
      <c r="J24">
        <v>2322</v>
      </c>
      <c r="K24">
        <v>4946</v>
      </c>
      <c r="L24">
        <v>6167</v>
      </c>
      <c r="M24">
        <v>5261</v>
      </c>
      <c r="N24">
        <f t="shared" si="0"/>
        <v>58096</v>
      </c>
      <c r="O24">
        <v>1</v>
      </c>
      <c r="P24">
        <v>4</v>
      </c>
      <c r="Q24">
        <v>7</v>
      </c>
      <c r="R24">
        <v>4</v>
      </c>
      <c r="S24">
        <v>5</v>
      </c>
      <c r="T24">
        <v>7</v>
      </c>
      <c r="U24">
        <v>1</v>
      </c>
      <c r="V24">
        <v>9</v>
      </c>
      <c r="W24">
        <v>1</v>
      </c>
      <c r="X24">
        <v>1</v>
      </c>
      <c r="Y24">
        <v>2</v>
      </c>
      <c r="Z24">
        <v>6</v>
      </c>
      <c r="AA24">
        <f t="shared" si="1"/>
        <v>48</v>
      </c>
      <c r="AB24" t="s">
        <v>45</v>
      </c>
      <c r="AC24">
        <v>144.02000000000001</v>
      </c>
      <c r="AD24">
        <v>32.619999999999997</v>
      </c>
      <c r="AE24">
        <v>28.28</v>
      </c>
      <c r="AF24">
        <v>16.63</v>
      </c>
      <c r="AG24">
        <v>82.88</v>
      </c>
      <c r="AH24">
        <v>59.93</v>
      </c>
      <c r="AI24">
        <v>12.61</v>
      </c>
      <c r="AJ24">
        <v>98.85</v>
      </c>
      <c r="AK24">
        <v>33.26</v>
      </c>
      <c r="AL24">
        <v>59.5</v>
      </c>
      <c r="AM24">
        <v>71.760000000000005</v>
      </c>
      <c r="AN24">
        <v>62.9</v>
      </c>
      <c r="AO24">
        <v>703.24</v>
      </c>
    </row>
    <row r="25" spans="1:41" x14ac:dyDescent="0.25">
      <c r="A25" t="s">
        <v>71</v>
      </c>
      <c r="B25">
        <v>13267</v>
      </c>
      <c r="C25">
        <v>8103</v>
      </c>
      <c r="D25">
        <v>3636</v>
      </c>
      <c r="E25">
        <v>1377</v>
      </c>
      <c r="F25">
        <v>306</v>
      </c>
      <c r="G25">
        <v>4098</v>
      </c>
      <c r="H25">
        <v>2624</v>
      </c>
      <c r="I25">
        <v>10913</v>
      </c>
      <c r="J25">
        <v>2698</v>
      </c>
      <c r="K25">
        <v>17130</v>
      </c>
      <c r="L25">
        <v>7067</v>
      </c>
      <c r="M25">
        <v>11475</v>
      </c>
      <c r="N25">
        <f t="shared" si="0"/>
        <v>82694</v>
      </c>
      <c r="O25">
        <v>7</v>
      </c>
      <c r="P25">
        <v>3</v>
      </c>
      <c r="Q25">
        <v>0</v>
      </c>
      <c r="R25">
        <v>0</v>
      </c>
      <c r="S25">
        <v>7</v>
      </c>
      <c r="T25">
        <v>16</v>
      </c>
      <c r="U25">
        <v>8</v>
      </c>
      <c r="V25">
        <v>2</v>
      </c>
      <c r="W25">
        <v>10</v>
      </c>
      <c r="X25">
        <v>4</v>
      </c>
      <c r="Y25">
        <v>4</v>
      </c>
      <c r="Z25">
        <v>2</v>
      </c>
      <c r="AA25">
        <f t="shared" si="1"/>
        <v>63</v>
      </c>
      <c r="AB25" t="s">
        <v>45</v>
      </c>
      <c r="AC25">
        <v>143.01</v>
      </c>
      <c r="AD25">
        <v>91.17</v>
      </c>
      <c r="AE25">
        <v>46.35</v>
      </c>
      <c r="AF25">
        <v>23.76</v>
      </c>
      <c r="AG25">
        <v>13.4</v>
      </c>
      <c r="AH25">
        <v>51.77</v>
      </c>
      <c r="AI25">
        <v>36.630000000000003</v>
      </c>
      <c r="AJ25">
        <v>119.22</v>
      </c>
      <c r="AK25">
        <v>37.47</v>
      </c>
      <c r="AL25">
        <v>181.49</v>
      </c>
      <c r="AM25">
        <v>80.86</v>
      </c>
      <c r="AN25">
        <v>124.84</v>
      </c>
      <c r="AO25">
        <v>949.97</v>
      </c>
    </row>
    <row r="26" spans="1:41" x14ac:dyDescent="0.25">
      <c r="A26" t="s">
        <v>72</v>
      </c>
      <c r="B26">
        <v>13099</v>
      </c>
      <c r="C26">
        <v>1462</v>
      </c>
      <c r="D26">
        <v>1690</v>
      </c>
      <c r="E26">
        <v>1956</v>
      </c>
      <c r="F26">
        <v>2953</v>
      </c>
      <c r="G26">
        <v>5752</v>
      </c>
      <c r="H26">
        <v>1773</v>
      </c>
      <c r="I26">
        <v>2724</v>
      </c>
      <c r="J26">
        <v>2024</v>
      </c>
      <c r="K26">
        <v>2255</v>
      </c>
      <c r="L26">
        <v>9682</v>
      </c>
      <c r="M26">
        <v>6501</v>
      </c>
      <c r="N26">
        <f t="shared" si="0"/>
        <v>51871</v>
      </c>
      <c r="O26">
        <v>9</v>
      </c>
      <c r="P26">
        <v>3</v>
      </c>
      <c r="Q26">
        <v>1</v>
      </c>
      <c r="R26">
        <v>8</v>
      </c>
      <c r="S26">
        <v>10</v>
      </c>
      <c r="T26">
        <v>7</v>
      </c>
      <c r="U26">
        <v>10</v>
      </c>
      <c r="V26">
        <v>3</v>
      </c>
      <c r="W26">
        <v>5</v>
      </c>
      <c r="X26">
        <v>4</v>
      </c>
      <c r="Y26">
        <v>8</v>
      </c>
      <c r="Z26">
        <v>5</v>
      </c>
      <c r="AA26">
        <f t="shared" si="1"/>
        <v>73</v>
      </c>
      <c r="AB26" t="s">
        <v>45</v>
      </c>
      <c r="AC26">
        <v>141.43</v>
      </c>
      <c r="AD26">
        <v>24.76</v>
      </c>
      <c r="AE26">
        <v>26.94</v>
      </c>
      <c r="AF26">
        <v>29.95</v>
      </c>
      <c r="AG26">
        <v>40.020000000000003</v>
      </c>
      <c r="AH26">
        <v>67.86</v>
      </c>
      <c r="AI26">
        <v>28.22</v>
      </c>
      <c r="AJ26">
        <v>37.380000000000003</v>
      </c>
      <c r="AK26">
        <v>30.48</v>
      </c>
      <c r="AL26">
        <v>32.74</v>
      </c>
      <c r="AM26">
        <v>107.21</v>
      </c>
      <c r="AN26">
        <v>75.25</v>
      </c>
      <c r="AO26">
        <v>642.24</v>
      </c>
    </row>
    <row r="27" spans="1:41" x14ac:dyDescent="0.25">
      <c r="A27" t="s">
        <v>73</v>
      </c>
      <c r="B27">
        <v>12946</v>
      </c>
      <c r="C27">
        <v>608</v>
      </c>
      <c r="D27">
        <v>0</v>
      </c>
      <c r="E27">
        <v>4034</v>
      </c>
      <c r="F27">
        <v>1066</v>
      </c>
      <c r="G27">
        <v>5431</v>
      </c>
      <c r="H27">
        <v>1171</v>
      </c>
      <c r="I27">
        <v>2908</v>
      </c>
      <c r="J27">
        <v>412</v>
      </c>
      <c r="K27">
        <v>1320</v>
      </c>
      <c r="L27">
        <v>4300</v>
      </c>
      <c r="M27">
        <v>6035</v>
      </c>
      <c r="N27">
        <f t="shared" si="0"/>
        <v>40231</v>
      </c>
      <c r="O27">
        <v>1</v>
      </c>
      <c r="P27">
        <v>1</v>
      </c>
      <c r="Q27">
        <v>6</v>
      </c>
      <c r="R27">
        <v>5</v>
      </c>
      <c r="S27">
        <v>10</v>
      </c>
      <c r="T27">
        <v>3</v>
      </c>
      <c r="U27">
        <v>0</v>
      </c>
      <c r="V27">
        <v>5</v>
      </c>
      <c r="W27">
        <v>5</v>
      </c>
      <c r="X27">
        <v>5</v>
      </c>
      <c r="Y27">
        <v>7</v>
      </c>
      <c r="Z27">
        <v>2</v>
      </c>
      <c r="AA27">
        <f t="shared" si="1"/>
        <v>50</v>
      </c>
      <c r="AB27" t="s">
        <v>45</v>
      </c>
      <c r="AC27">
        <v>139.5</v>
      </c>
      <c r="AD27">
        <v>16.12</v>
      </c>
      <c r="AE27">
        <v>10.29</v>
      </c>
      <c r="AF27">
        <v>50.58</v>
      </c>
      <c r="AG27">
        <v>21.15</v>
      </c>
      <c r="AH27">
        <v>64.45</v>
      </c>
      <c r="AI27">
        <v>21.7</v>
      </c>
      <c r="AJ27">
        <v>39.32</v>
      </c>
      <c r="AK27">
        <v>14.36</v>
      </c>
      <c r="AL27">
        <v>23.44</v>
      </c>
      <c r="AM27">
        <v>53.34</v>
      </c>
      <c r="AN27">
        <v>70.44</v>
      </c>
      <c r="AO27">
        <v>524.69000000000005</v>
      </c>
    </row>
    <row r="28" spans="1:41" x14ac:dyDescent="0.25">
      <c r="A28" t="s">
        <v>74</v>
      </c>
      <c r="B28">
        <v>12937</v>
      </c>
      <c r="C28">
        <v>2634</v>
      </c>
      <c r="D28">
        <v>5470</v>
      </c>
      <c r="E28">
        <v>2812</v>
      </c>
      <c r="F28">
        <v>696</v>
      </c>
      <c r="G28">
        <v>2436</v>
      </c>
      <c r="H28">
        <v>325</v>
      </c>
      <c r="I28">
        <v>2102</v>
      </c>
      <c r="J28">
        <v>3387</v>
      </c>
      <c r="K28">
        <v>3492</v>
      </c>
      <c r="L28">
        <v>637</v>
      </c>
      <c r="M28">
        <v>0</v>
      </c>
      <c r="N28">
        <f t="shared" si="0"/>
        <v>36928</v>
      </c>
      <c r="O28">
        <v>2</v>
      </c>
      <c r="P28">
        <v>3</v>
      </c>
      <c r="Q28">
        <v>6</v>
      </c>
      <c r="R28">
        <v>8</v>
      </c>
      <c r="S28">
        <v>6</v>
      </c>
      <c r="T28">
        <v>4</v>
      </c>
      <c r="U28">
        <v>4</v>
      </c>
      <c r="V28">
        <v>0</v>
      </c>
      <c r="W28">
        <v>2</v>
      </c>
      <c r="X28">
        <v>11</v>
      </c>
      <c r="Y28">
        <v>2</v>
      </c>
      <c r="Z28">
        <v>0</v>
      </c>
      <c r="AA28">
        <f t="shared" si="1"/>
        <v>48</v>
      </c>
      <c r="AB28" t="s">
        <v>45</v>
      </c>
      <c r="AC28">
        <v>139.46</v>
      </c>
      <c r="AD28">
        <v>36.479999999999997</v>
      </c>
      <c r="AE28">
        <v>64.989999999999995</v>
      </c>
      <c r="AF28">
        <v>38.51</v>
      </c>
      <c r="AG28">
        <v>17.25</v>
      </c>
      <c r="AH28">
        <v>34.549999999999997</v>
      </c>
      <c r="AI28">
        <v>13.44</v>
      </c>
      <c r="AJ28">
        <v>31.01</v>
      </c>
      <c r="AK28">
        <v>43.96</v>
      </c>
      <c r="AL28">
        <v>45.46</v>
      </c>
      <c r="AM28">
        <v>16.46</v>
      </c>
      <c r="AN28">
        <v>9.99</v>
      </c>
      <c r="AO28">
        <v>491.55999999999995</v>
      </c>
    </row>
    <row r="29" spans="1:41" x14ac:dyDescent="0.25">
      <c r="A29" t="s">
        <v>76</v>
      </c>
      <c r="B29">
        <v>12697</v>
      </c>
      <c r="C29">
        <v>1248</v>
      </c>
      <c r="D29">
        <v>0</v>
      </c>
      <c r="E29">
        <v>2339</v>
      </c>
      <c r="F29">
        <v>7271</v>
      </c>
      <c r="G29">
        <v>0</v>
      </c>
      <c r="H29">
        <v>880</v>
      </c>
      <c r="I29">
        <v>2240</v>
      </c>
      <c r="J29">
        <v>18599</v>
      </c>
      <c r="K29">
        <v>15058</v>
      </c>
      <c r="L29">
        <v>419</v>
      </c>
      <c r="M29">
        <v>3845</v>
      </c>
      <c r="N29">
        <f t="shared" si="0"/>
        <v>64596</v>
      </c>
      <c r="O29">
        <v>0</v>
      </c>
      <c r="P29">
        <v>8</v>
      </c>
      <c r="Q29">
        <v>0</v>
      </c>
      <c r="R29">
        <v>3</v>
      </c>
      <c r="S29">
        <v>5</v>
      </c>
      <c r="T29">
        <v>3</v>
      </c>
      <c r="U29">
        <v>5</v>
      </c>
      <c r="V29">
        <v>2</v>
      </c>
      <c r="W29">
        <v>3</v>
      </c>
      <c r="X29">
        <v>11</v>
      </c>
      <c r="Y29">
        <v>1</v>
      </c>
      <c r="Z29">
        <v>2</v>
      </c>
      <c r="AA29">
        <f t="shared" si="1"/>
        <v>43</v>
      </c>
      <c r="AB29" t="s">
        <v>45</v>
      </c>
      <c r="AC29">
        <v>136.96</v>
      </c>
      <c r="AD29">
        <v>22.87</v>
      </c>
      <c r="AE29">
        <v>9.99</v>
      </c>
      <c r="AF29">
        <v>33.53</v>
      </c>
      <c r="AG29">
        <v>82.95</v>
      </c>
      <c r="AH29">
        <v>10.14</v>
      </c>
      <c r="AI29">
        <v>19.04</v>
      </c>
      <c r="AJ29">
        <v>32.49</v>
      </c>
      <c r="AK29">
        <v>196.13</v>
      </c>
      <c r="AL29">
        <v>161.12</v>
      </c>
      <c r="AM29">
        <v>14.23</v>
      </c>
      <c r="AN29">
        <v>48.54</v>
      </c>
      <c r="AO29">
        <v>767.99</v>
      </c>
    </row>
    <row r="30" spans="1:41" x14ac:dyDescent="0.25">
      <c r="A30" t="s">
        <v>77</v>
      </c>
      <c r="B30">
        <v>12633</v>
      </c>
      <c r="C30">
        <v>3238</v>
      </c>
      <c r="D30">
        <v>7091</v>
      </c>
      <c r="E30">
        <v>748</v>
      </c>
      <c r="F30">
        <v>9982</v>
      </c>
      <c r="G30">
        <v>6522</v>
      </c>
      <c r="H30">
        <v>6365</v>
      </c>
      <c r="I30">
        <v>1077</v>
      </c>
      <c r="J30">
        <v>2260</v>
      </c>
      <c r="K30">
        <v>2812</v>
      </c>
      <c r="L30">
        <v>6541</v>
      </c>
      <c r="M30">
        <v>6612</v>
      </c>
      <c r="N30">
        <f t="shared" si="0"/>
        <v>65881</v>
      </c>
      <c r="O30">
        <v>2</v>
      </c>
      <c r="P30">
        <v>7</v>
      </c>
      <c r="Q30">
        <v>9</v>
      </c>
      <c r="R30">
        <v>3</v>
      </c>
      <c r="S30">
        <v>4</v>
      </c>
      <c r="T30">
        <v>6</v>
      </c>
      <c r="U30">
        <v>2</v>
      </c>
      <c r="V30">
        <v>1</v>
      </c>
      <c r="W30">
        <v>13</v>
      </c>
      <c r="X30">
        <v>5</v>
      </c>
      <c r="Y30">
        <v>15</v>
      </c>
      <c r="Z30">
        <v>3</v>
      </c>
      <c r="AA30">
        <f t="shared" si="1"/>
        <v>70</v>
      </c>
      <c r="AB30" t="s">
        <v>45</v>
      </c>
      <c r="AC30">
        <v>136.41999999999999</v>
      </c>
      <c r="AD30">
        <v>42.72</v>
      </c>
      <c r="AE30">
        <v>81.349999999999994</v>
      </c>
      <c r="AF30">
        <v>17.62</v>
      </c>
      <c r="AG30">
        <v>110.01</v>
      </c>
      <c r="AH30">
        <v>75.510000000000005</v>
      </c>
      <c r="AI30">
        <v>73.739999999999995</v>
      </c>
      <c r="AJ30">
        <v>20.81</v>
      </c>
      <c r="AK30">
        <v>33.24</v>
      </c>
      <c r="AL30">
        <v>38.36</v>
      </c>
      <c r="AM30">
        <v>76.150000000000006</v>
      </c>
      <c r="AN30">
        <v>76.260000000000005</v>
      </c>
      <c r="AO30">
        <v>782.18999999999994</v>
      </c>
    </row>
    <row r="31" spans="1:41" x14ac:dyDescent="0.25">
      <c r="A31" t="s">
        <v>78</v>
      </c>
      <c r="B31">
        <v>12410</v>
      </c>
      <c r="C31">
        <v>4398</v>
      </c>
      <c r="D31">
        <v>6822</v>
      </c>
      <c r="E31">
        <v>385</v>
      </c>
      <c r="F31">
        <v>3616</v>
      </c>
      <c r="G31">
        <v>123</v>
      </c>
      <c r="H31">
        <v>158</v>
      </c>
      <c r="I31">
        <v>2182</v>
      </c>
      <c r="J31">
        <v>4380</v>
      </c>
      <c r="K31">
        <v>1161</v>
      </c>
      <c r="L31">
        <v>4267</v>
      </c>
      <c r="M31">
        <v>2893</v>
      </c>
      <c r="N31">
        <f t="shared" si="0"/>
        <v>42795</v>
      </c>
      <c r="O31">
        <v>2</v>
      </c>
      <c r="P31">
        <v>4</v>
      </c>
      <c r="Q31">
        <v>3</v>
      </c>
      <c r="R31">
        <v>5</v>
      </c>
      <c r="S31">
        <v>7</v>
      </c>
      <c r="T31">
        <v>15</v>
      </c>
      <c r="U31">
        <v>3</v>
      </c>
      <c r="V31">
        <v>4</v>
      </c>
      <c r="W31">
        <v>6</v>
      </c>
      <c r="X31">
        <v>2</v>
      </c>
      <c r="Y31">
        <v>3</v>
      </c>
      <c r="Z31">
        <v>1</v>
      </c>
      <c r="AA31">
        <f t="shared" si="1"/>
        <v>55</v>
      </c>
      <c r="AB31" t="s">
        <v>45</v>
      </c>
      <c r="AC31">
        <v>134.19</v>
      </c>
      <c r="AD31">
        <v>54.17</v>
      </c>
      <c r="AE31">
        <v>78.36</v>
      </c>
      <c r="AF31">
        <v>14.09</v>
      </c>
      <c r="AG31">
        <v>46.5</v>
      </c>
      <c r="AH31">
        <v>11.97</v>
      </c>
      <c r="AI31">
        <v>11.72</v>
      </c>
      <c r="AJ31">
        <v>32.01</v>
      </c>
      <c r="AK31">
        <v>54.09</v>
      </c>
      <c r="AL31">
        <v>21.7</v>
      </c>
      <c r="AM31">
        <v>52.81</v>
      </c>
      <c r="AN31">
        <v>38.97</v>
      </c>
      <c r="AO31">
        <v>550.58000000000004</v>
      </c>
    </row>
    <row r="32" spans="1:41" x14ac:dyDescent="0.25">
      <c r="A32" t="s">
        <v>79</v>
      </c>
      <c r="B32">
        <v>12257</v>
      </c>
      <c r="C32">
        <v>3333</v>
      </c>
      <c r="D32">
        <v>1769</v>
      </c>
      <c r="E32">
        <v>227</v>
      </c>
      <c r="F32">
        <v>4834</v>
      </c>
      <c r="G32">
        <v>3641</v>
      </c>
      <c r="H32">
        <v>2613</v>
      </c>
      <c r="I32">
        <v>5978</v>
      </c>
      <c r="J32">
        <v>3711</v>
      </c>
      <c r="K32">
        <v>203</v>
      </c>
      <c r="L32">
        <v>6350</v>
      </c>
      <c r="M32">
        <v>3294</v>
      </c>
      <c r="N32">
        <f t="shared" si="0"/>
        <v>48210</v>
      </c>
      <c r="O32">
        <v>3</v>
      </c>
      <c r="P32">
        <v>0</v>
      </c>
      <c r="Q32">
        <v>3</v>
      </c>
      <c r="R32">
        <v>0</v>
      </c>
      <c r="S32">
        <v>2</v>
      </c>
      <c r="T32">
        <v>0</v>
      </c>
      <c r="U32">
        <v>13</v>
      </c>
      <c r="V32">
        <v>2</v>
      </c>
      <c r="W32">
        <v>15</v>
      </c>
      <c r="X32">
        <v>3</v>
      </c>
      <c r="Y32">
        <v>3</v>
      </c>
      <c r="Z32">
        <v>3</v>
      </c>
      <c r="AA32">
        <f t="shared" si="1"/>
        <v>47</v>
      </c>
      <c r="AB32" t="s">
        <v>45</v>
      </c>
      <c r="AC32">
        <v>132.71</v>
      </c>
      <c r="AD32">
        <v>43.32</v>
      </c>
      <c r="AE32">
        <v>27.83</v>
      </c>
      <c r="AF32">
        <v>12.26</v>
      </c>
      <c r="AG32">
        <v>58.43</v>
      </c>
      <c r="AH32">
        <v>46.4</v>
      </c>
      <c r="AI32">
        <v>36.770000000000003</v>
      </c>
      <c r="AJ32">
        <v>69.87</v>
      </c>
      <c r="AK32">
        <v>47.85</v>
      </c>
      <c r="AL32">
        <v>12.17</v>
      </c>
      <c r="AM32">
        <v>73.64</v>
      </c>
      <c r="AN32">
        <v>43.08</v>
      </c>
      <c r="AO32">
        <v>604.33000000000004</v>
      </c>
    </row>
    <row r="33" spans="1:41" x14ac:dyDescent="0.25">
      <c r="A33" t="s">
        <v>80</v>
      </c>
      <c r="B33">
        <v>12183</v>
      </c>
      <c r="C33">
        <v>3286</v>
      </c>
      <c r="D33">
        <v>1770</v>
      </c>
      <c r="E33">
        <v>4222</v>
      </c>
      <c r="F33">
        <v>4683</v>
      </c>
      <c r="G33">
        <v>0</v>
      </c>
      <c r="H33">
        <v>1392</v>
      </c>
      <c r="I33">
        <v>5682</v>
      </c>
      <c r="J33">
        <v>1925</v>
      </c>
      <c r="K33">
        <v>5185</v>
      </c>
      <c r="L33">
        <v>2209</v>
      </c>
      <c r="M33">
        <v>15602</v>
      </c>
      <c r="N33">
        <f t="shared" si="0"/>
        <v>58139</v>
      </c>
      <c r="O33">
        <v>18</v>
      </c>
      <c r="P33">
        <v>5</v>
      </c>
      <c r="Q33">
        <v>15</v>
      </c>
      <c r="R33">
        <v>0</v>
      </c>
      <c r="S33">
        <v>4</v>
      </c>
      <c r="T33">
        <v>2</v>
      </c>
      <c r="U33">
        <v>2</v>
      </c>
      <c r="V33">
        <v>1</v>
      </c>
      <c r="W33">
        <v>3</v>
      </c>
      <c r="X33">
        <v>6</v>
      </c>
      <c r="Y33">
        <v>4</v>
      </c>
      <c r="Z33">
        <v>1</v>
      </c>
      <c r="AA33">
        <f t="shared" si="1"/>
        <v>61</v>
      </c>
      <c r="AB33" t="s">
        <v>45</v>
      </c>
      <c r="AC33">
        <v>132.72</v>
      </c>
      <c r="AD33">
        <v>43.1</v>
      </c>
      <c r="AE33">
        <v>28.44</v>
      </c>
      <c r="AF33">
        <v>52.21</v>
      </c>
      <c r="AG33">
        <v>57.02</v>
      </c>
      <c r="AH33">
        <v>10.09</v>
      </c>
      <c r="AI33">
        <v>24.01</v>
      </c>
      <c r="AJ33">
        <v>66.86</v>
      </c>
      <c r="AK33">
        <v>29.39</v>
      </c>
      <c r="AL33">
        <v>62.14</v>
      </c>
      <c r="AM33">
        <v>32.28</v>
      </c>
      <c r="AN33">
        <v>166.06</v>
      </c>
      <c r="AO33">
        <v>704.31999999999994</v>
      </c>
    </row>
    <row r="34" spans="1:41" x14ac:dyDescent="0.25">
      <c r="A34" t="s">
        <v>82</v>
      </c>
      <c r="B34">
        <v>11822</v>
      </c>
      <c r="C34">
        <v>0</v>
      </c>
      <c r="D34">
        <v>14234</v>
      </c>
      <c r="E34">
        <v>6198</v>
      </c>
      <c r="F34">
        <v>1023</v>
      </c>
      <c r="G34">
        <v>4581</v>
      </c>
      <c r="H34">
        <v>3137</v>
      </c>
      <c r="I34">
        <v>0</v>
      </c>
      <c r="J34">
        <v>1815</v>
      </c>
      <c r="K34">
        <v>3375</v>
      </c>
      <c r="L34">
        <v>3464</v>
      </c>
      <c r="M34">
        <v>3464</v>
      </c>
      <c r="N34">
        <f t="shared" si="0"/>
        <v>53113</v>
      </c>
      <c r="O34">
        <v>5</v>
      </c>
      <c r="P34">
        <v>5</v>
      </c>
      <c r="Q34">
        <v>1</v>
      </c>
      <c r="R34">
        <v>2</v>
      </c>
      <c r="S34">
        <v>1</v>
      </c>
      <c r="T34">
        <v>2</v>
      </c>
      <c r="U34">
        <v>9</v>
      </c>
      <c r="V34">
        <v>2</v>
      </c>
      <c r="W34">
        <v>3</v>
      </c>
      <c r="X34">
        <v>0</v>
      </c>
      <c r="Y34">
        <v>6</v>
      </c>
      <c r="Z34">
        <v>3</v>
      </c>
      <c r="AA34">
        <f t="shared" si="1"/>
        <v>39</v>
      </c>
      <c r="AB34" t="s">
        <v>45</v>
      </c>
      <c r="AC34">
        <v>128.46</v>
      </c>
      <c r="AD34">
        <v>10.24</v>
      </c>
      <c r="AE34">
        <v>152.38</v>
      </c>
      <c r="AF34">
        <v>72.069999999999993</v>
      </c>
      <c r="AG34">
        <v>20.27</v>
      </c>
      <c r="AH34">
        <v>55.9</v>
      </c>
      <c r="AI34">
        <v>41.81</v>
      </c>
      <c r="AJ34">
        <v>10.09</v>
      </c>
      <c r="AK34">
        <v>28.29</v>
      </c>
      <c r="AL34">
        <v>43.74</v>
      </c>
      <c r="AM34">
        <v>44.93</v>
      </c>
      <c r="AN34">
        <v>44.78</v>
      </c>
      <c r="AO34">
        <v>652.95999999999992</v>
      </c>
    </row>
    <row r="35" spans="1:41" x14ac:dyDescent="0.25">
      <c r="A35" t="s">
        <v>83</v>
      </c>
      <c r="B35">
        <v>11596</v>
      </c>
      <c r="C35">
        <v>1734</v>
      </c>
      <c r="D35">
        <v>0</v>
      </c>
      <c r="E35">
        <v>5107</v>
      </c>
      <c r="F35">
        <v>0</v>
      </c>
      <c r="G35">
        <v>7808</v>
      </c>
      <c r="H35">
        <v>0</v>
      </c>
      <c r="I35">
        <v>3725</v>
      </c>
      <c r="J35">
        <v>1046</v>
      </c>
      <c r="K35">
        <v>1065</v>
      </c>
      <c r="L35">
        <v>7874</v>
      </c>
      <c r="M35">
        <v>4688</v>
      </c>
      <c r="N35">
        <f t="shared" si="0"/>
        <v>44643</v>
      </c>
      <c r="O35">
        <v>1</v>
      </c>
      <c r="P35">
        <v>11</v>
      </c>
      <c r="Q35">
        <v>5</v>
      </c>
      <c r="R35">
        <v>19</v>
      </c>
      <c r="S35">
        <v>6</v>
      </c>
      <c r="T35">
        <v>12</v>
      </c>
      <c r="U35">
        <v>1</v>
      </c>
      <c r="V35">
        <v>8</v>
      </c>
      <c r="W35">
        <v>2</v>
      </c>
      <c r="X35">
        <v>5</v>
      </c>
      <c r="Y35">
        <v>2</v>
      </c>
      <c r="Z35">
        <v>2</v>
      </c>
      <c r="AA35">
        <f t="shared" si="1"/>
        <v>74</v>
      </c>
      <c r="AB35" t="s">
        <v>45</v>
      </c>
      <c r="AC35">
        <v>126</v>
      </c>
      <c r="AD35">
        <v>27.88</v>
      </c>
      <c r="AE35">
        <v>10.24</v>
      </c>
      <c r="AF35">
        <v>62.01</v>
      </c>
      <c r="AG35">
        <v>10.29</v>
      </c>
      <c r="AH35">
        <v>88.67</v>
      </c>
      <c r="AI35">
        <v>10.039999999999999</v>
      </c>
      <c r="AJ35">
        <v>47.64</v>
      </c>
      <c r="AK35">
        <v>20.55</v>
      </c>
      <c r="AL35">
        <v>20.89</v>
      </c>
      <c r="AM35">
        <v>88.83</v>
      </c>
      <c r="AN35">
        <v>56.97</v>
      </c>
      <c r="AO35">
        <v>570.01</v>
      </c>
    </row>
    <row r="36" spans="1:41" x14ac:dyDescent="0.25">
      <c r="A36" t="s">
        <v>84</v>
      </c>
      <c r="B36">
        <v>11485</v>
      </c>
      <c r="C36">
        <v>691</v>
      </c>
      <c r="D36">
        <v>1602</v>
      </c>
      <c r="E36">
        <v>7562</v>
      </c>
      <c r="F36">
        <v>11403</v>
      </c>
      <c r="G36">
        <v>3659</v>
      </c>
      <c r="H36">
        <v>895</v>
      </c>
      <c r="I36">
        <v>2562</v>
      </c>
      <c r="J36">
        <v>6962</v>
      </c>
      <c r="K36">
        <v>3426</v>
      </c>
      <c r="L36">
        <v>0</v>
      </c>
      <c r="M36">
        <v>0</v>
      </c>
      <c r="N36">
        <f t="shared" si="0"/>
        <v>50247</v>
      </c>
      <c r="O36">
        <v>3</v>
      </c>
      <c r="P36">
        <v>11</v>
      </c>
      <c r="Q36">
        <v>5</v>
      </c>
      <c r="R36">
        <v>3</v>
      </c>
      <c r="S36">
        <v>3</v>
      </c>
      <c r="T36">
        <v>2</v>
      </c>
      <c r="U36">
        <v>5</v>
      </c>
      <c r="V36">
        <v>6</v>
      </c>
      <c r="W36">
        <v>4</v>
      </c>
      <c r="X36">
        <v>5</v>
      </c>
      <c r="Y36">
        <v>10</v>
      </c>
      <c r="Z36">
        <v>2</v>
      </c>
      <c r="AA36">
        <f t="shared" si="1"/>
        <v>59</v>
      </c>
      <c r="AB36" t="s">
        <v>45</v>
      </c>
      <c r="AC36">
        <v>124.99</v>
      </c>
      <c r="AD36">
        <v>17.45</v>
      </c>
      <c r="AE36">
        <v>26.26</v>
      </c>
      <c r="AF36">
        <v>85.76</v>
      </c>
      <c r="AG36">
        <v>124.17</v>
      </c>
      <c r="AH36">
        <v>46.68</v>
      </c>
      <c r="AI36">
        <v>19.190000000000001</v>
      </c>
      <c r="AJ36">
        <v>35.909999999999997</v>
      </c>
      <c r="AK36">
        <v>79.81</v>
      </c>
      <c r="AL36">
        <v>44.5</v>
      </c>
      <c r="AM36">
        <v>10.49</v>
      </c>
      <c r="AN36">
        <v>10.09</v>
      </c>
      <c r="AO36">
        <v>625.30000000000007</v>
      </c>
    </row>
    <row r="37" spans="1:41" x14ac:dyDescent="0.25">
      <c r="A37" t="s">
        <v>85</v>
      </c>
      <c r="B37">
        <v>11373</v>
      </c>
      <c r="C37">
        <v>2949</v>
      </c>
      <c r="D37">
        <v>4336</v>
      </c>
      <c r="E37">
        <v>6517</v>
      </c>
      <c r="F37">
        <v>970</v>
      </c>
      <c r="G37">
        <v>18439</v>
      </c>
      <c r="H37">
        <v>4351</v>
      </c>
      <c r="I37">
        <v>1120</v>
      </c>
      <c r="J37">
        <v>4955</v>
      </c>
      <c r="K37">
        <v>3021</v>
      </c>
      <c r="L37">
        <v>0</v>
      </c>
      <c r="M37">
        <v>6612</v>
      </c>
      <c r="N37">
        <f t="shared" si="0"/>
        <v>64643</v>
      </c>
      <c r="O37">
        <v>5</v>
      </c>
      <c r="P37">
        <v>1</v>
      </c>
      <c r="Q37">
        <v>1</v>
      </c>
      <c r="R37">
        <v>1</v>
      </c>
      <c r="S37">
        <v>6</v>
      </c>
      <c r="T37">
        <v>3</v>
      </c>
      <c r="U37">
        <v>0</v>
      </c>
      <c r="V37">
        <v>4</v>
      </c>
      <c r="W37">
        <v>1</v>
      </c>
      <c r="X37">
        <v>0</v>
      </c>
      <c r="Y37">
        <v>2</v>
      </c>
      <c r="Z37">
        <v>2</v>
      </c>
      <c r="AA37">
        <f t="shared" si="1"/>
        <v>26</v>
      </c>
      <c r="AB37" t="s">
        <v>45</v>
      </c>
      <c r="AC37">
        <v>123.97</v>
      </c>
      <c r="AD37">
        <v>39.53</v>
      </c>
      <c r="AE37">
        <v>53.4</v>
      </c>
      <c r="AF37">
        <v>75.209999999999994</v>
      </c>
      <c r="AG37">
        <v>19.989999999999998</v>
      </c>
      <c r="AH37">
        <v>194.53</v>
      </c>
      <c r="AI37">
        <v>53.5</v>
      </c>
      <c r="AJ37">
        <v>21.39</v>
      </c>
      <c r="AK37">
        <v>59.59</v>
      </c>
      <c r="AL37">
        <v>40.200000000000003</v>
      </c>
      <c r="AM37">
        <v>10.09</v>
      </c>
      <c r="AN37">
        <v>76.209999999999994</v>
      </c>
      <c r="AO37">
        <v>767.61000000000013</v>
      </c>
    </row>
    <row r="38" spans="1:41" x14ac:dyDescent="0.25">
      <c r="A38" t="s">
        <v>86</v>
      </c>
      <c r="B38">
        <v>11341</v>
      </c>
      <c r="C38">
        <v>12852</v>
      </c>
      <c r="D38">
        <v>5016</v>
      </c>
      <c r="E38">
        <v>5518</v>
      </c>
      <c r="F38">
        <v>3184</v>
      </c>
      <c r="G38">
        <v>4543</v>
      </c>
      <c r="H38">
        <v>6401</v>
      </c>
      <c r="I38">
        <v>1508</v>
      </c>
      <c r="J38">
        <v>2580</v>
      </c>
      <c r="K38">
        <v>2152</v>
      </c>
      <c r="L38">
        <v>2183</v>
      </c>
      <c r="M38">
        <v>8023</v>
      </c>
      <c r="N38">
        <f t="shared" si="0"/>
        <v>65301</v>
      </c>
      <c r="O38">
        <v>6</v>
      </c>
      <c r="P38">
        <v>0</v>
      </c>
      <c r="Q38">
        <v>3</v>
      </c>
      <c r="R38">
        <v>10</v>
      </c>
      <c r="S38">
        <v>11</v>
      </c>
      <c r="T38">
        <v>1</v>
      </c>
      <c r="U38">
        <v>4</v>
      </c>
      <c r="V38">
        <v>3</v>
      </c>
      <c r="W38">
        <v>20</v>
      </c>
      <c r="X38">
        <v>1</v>
      </c>
      <c r="Y38">
        <v>11</v>
      </c>
      <c r="Z38">
        <v>4</v>
      </c>
      <c r="AA38">
        <f t="shared" si="1"/>
        <v>74</v>
      </c>
      <c r="AB38" t="s">
        <v>45</v>
      </c>
      <c r="AC38">
        <v>123.7</v>
      </c>
      <c r="AD38">
        <v>138.51</v>
      </c>
      <c r="AE38">
        <v>60.3</v>
      </c>
      <c r="AF38">
        <v>65.67</v>
      </c>
      <c r="AG38">
        <v>42.38</v>
      </c>
      <c r="AH38">
        <v>55.47</v>
      </c>
      <c r="AI38">
        <v>74.2</v>
      </c>
      <c r="AJ38">
        <v>25.22</v>
      </c>
      <c r="AK38">
        <v>36.79</v>
      </c>
      <c r="AL38">
        <v>31.56</v>
      </c>
      <c r="AM38">
        <v>32.369999999999997</v>
      </c>
      <c r="AN38">
        <v>90.42</v>
      </c>
      <c r="AO38">
        <v>776.58999999999992</v>
      </c>
    </row>
    <row r="39" spans="1:41" x14ac:dyDescent="0.25">
      <c r="A39" t="s">
        <v>87</v>
      </c>
      <c r="B39">
        <v>11055</v>
      </c>
      <c r="C39">
        <v>768</v>
      </c>
      <c r="D39">
        <v>7889</v>
      </c>
      <c r="E39">
        <v>11901</v>
      </c>
      <c r="F39">
        <v>9723</v>
      </c>
      <c r="G39">
        <v>7544</v>
      </c>
      <c r="H39">
        <v>8225</v>
      </c>
      <c r="I39">
        <v>578</v>
      </c>
      <c r="J39">
        <v>1009</v>
      </c>
      <c r="K39">
        <v>4026</v>
      </c>
      <c r="L39">
        <v>3157</v>
      </c>
      <c r="M39">
        <v>0</v>
      </c>
      <c r="N39">
        <f t="shared" si="0"/>
        <v>65875</v>
      </c>
      <c r="O39">
        <v>11</v>
      </c>
      <c r="P39">
        <v>0</v>
      </c>
      <c r="Q39">
        <v>2</v>
      </c>
      <c r="R39">
        <v>5</v>
      </c>
      <c r="S39">
        <v>5</v>
      </c>
      <c r="T39">
        <v>5</v>
      </c>
      <c r="U39">
        <v>0</v>
      </c>
      <c r="V39">
        <v>7</v>
      </c>
      <c r="W39">
        <v>4</v>
      </c>
      <c r="X39">
        <v>0</v>
      </c>
      <c r="Y39">
        <v>2</v>
      </c>
      <c r="Z39">
        <v>0</v>
      </c>
      <c r="AA39">
        <f t="shared" si="1"/>
        <v>41</v>
      </c>
      <c r="AB39" t="s">
        <v>45</v>
      </c>
      <c r="AC39">
        <v>121.09</v>
      </c>
      <c r="AD39">
        <v>17.670000000000002</v>
      </c>
      <c r="AE39">
        <v>88.98</v>
      </c>
      <c r="AF39">
        <v>129.25</v>
      </c>
      <c r="AG39">
        <v>107.47</v>
      </c>
      <c r="AH39">
        <v>85.68</v>
      </c>
      <c r="AI39">
        <v>92.24</v>
      </c>
      <c r="AJ39">
        <v>16.12</v>
      </c>
      <c r="AK39">
        <v>20.28</v>
      </c>
      <c r="AL39">
        <v>50.25</v>
      </c>
      <c r="AM39">
        <v>41.66</v>
      </c>
      <c r="AN39">
        <v>9.99</v>
      </c>
      <c r="AO39">
        <v>780.68000000000006</v>
      </c>
    </row>
    <row r="40" spans="1:41" x14ac:dyDescent="0.25">
      <c r="A40" t="s">
        <v>88</v>
      </c>
      <c r="B40">
        <v>11041</v>
      </c>
      <c r="C40">
        <v>2861</v>
      </c>
      <c r="D40">
        <v>2261</v>
      </c>
      <c r="E40">
        <v>8055</v>
      </c>
      <c r="F40">
        <v>418</v>
      </c>
      <c r="G40">
        <v>3139</v>
      </c>
      <c r="H40">
        <v>4653</v>
      </c>
      <c r="I40">
        <v>2115</v>
      </c>
      <c r="J40">
        <v>942</v>
      </c>
      <c r="K40">
        <v>2400</v>
      </c>
      <c r="L40">
        <v>1462</v>
      </c>
      <c r="M40">
        <v>1045</v>
      </c>
      <c r="N40">
        <f t="shared" si="0"/>
        <v>40392</v>
      </c>
      <c r="O40">
        <v>5</v>
      </c>
      <c r="P40">
        <v>4</v>
      </c>
      <c r="Q40">
        <v>5</v>
      </c>
      <c r="R40">
        <v>3</v>
      </c>
      <c r="S40">
        <v>0</v>
      </c>
      <c r="T40">
        <v>5</v>
      </c>
      <c r="U40">
        <v>5</v>
      </c>
      <c r="V40">
        <v>4</v>
      </c>
      <c r="W40">
        <v>6</v>
      </c>
      <c r="X40">
        <v>2</v>
      </c>
      <c r="Y40">
        <v>1</v>
      </c>
      <c r="Z40">
        <v>2</v>
      </c>
      <c r="AA40">
        <f t="shared" si="1"/>
        <v>42</v>
      </c>
      <c r="AB40" t="s">
        <v>45</v>
      </c>
      <c r="AC40">
        <v>120.65</v>
      </c>
      <c r="AD40">
        <v>38.799999999999997</v>
      </c>
      <c r="AE40">
        <v>32.85</v>
      </c>
      <c r="AF40">
        <v>90.69</v>
      </c>
      <c r="AG40">
        <v>14.17</v>
      </c>
      <c r="AH40">
        <v>41.63</v>
      </c>
      <c r="AI40">
        <v>56.77</v>
      </c>
      <c r="AJ40">
        <v>31.34</v>
      </c>
      <c r="AK40">
        <v>19.71</v>
      </c>
      <c r="AL40">
        <v>34.090000000000003</v>
      </c>
      <c r="AM40">
        <v>24.66</v>
      </c>
      <c r="AN40">
        <v>20.54</v>
      </c>
      <c r="AO40">
        <v>525.9</v>
      </c>
    </row>
    <row r="41" spans="1:41" x14ac:dyDescent="0.25">
      <c r="A41" t="s">
        <v>89</v>
      </c>
      <c r="B41">
        <v>11018</v>
      </c>
      <c r="C41">
        <v>1982</v>
      </c>
      <c r="D41">
        <v>812</v>
      </c>
      <c r="E41">
        <v>7730</v>
      </c>
      <c r="F41">
        <v>1109</v>
      </c>
      <c r="G41">
        <v>3199</v>
      </c>
      <c r="H41">
        <v>2107</v>
      </c>
      <c r="I41">
        <v>3721</v>
      </c>
      <c r="J41">
        <v>3520</v>
      </c>
      <c r="K41">
        <v>1502</v>
      </c>
      <c r="L41">
        <v>12304</v>
      </c>
      <c r="M41">
        <v>1483</v>
      </c>
      <c r="N41">
        <f t="shared" si="0"/>
        <v>50487</v>
      </c>
      <c r="O41">
        <v>2</v>
      </c>
      <c r="P41">
        <v>4</v>
      </c>
      <c r="Q41">
        <v>2</v>
      </c>
      <c r="R41">
        <v>7</v>
      </c>
      <c r="S41">
        <v>2</v>
      </c>
      <c r="T41">
        <v>0</v>
      </c>
      <c r="U41">
        <v>11</v>
      </c>
      <c r="V41">
        <v>6</v>
      </c>
      <c r="W41">
        <v>2</v>
      </c>
      <c r="X41">
        <v>6</v>
      </c>
      <c r="Y41">
        <v>2</v>
      </c>
      <c r="Z41">
        <v>10</v>
      </c>
      <c r="AA41">
        <f t="shared" si="1"/>
        <v>54</v>
      </c>
      <c r="AB41" t="s">
        <v>45</v>
      </c>
      <c r="AC41">
        <v>120.27</v>
      </c>
      <c r="AD41">
        <v>30.01</v>
      </c>
      <c r="AE41">
        <v>18.21</v>
      </c>
      <c r="AF41">
        <v>87.64</v>
      </c>
      <c r="AG41">
        <v>21.18</v>
      </c>
      <c r="AH41">
        <v>41.98</v>
      </c>
      <c r="AI41">
        <v>31.61</v>
      </c>
      <c r="AJ41">
        <v>47.5</v>
      </c>
      <c r="AK41">
        <v>45.29</v>
      </c>
      <c r="AL41">
        <v>25.31</v>
      </c>
      <c r="AM41">
        <v>133.13</v>
      </c>
      <c r="AN41">
        <v>25.32</v>
      </c>
      <c r="AO41">
        <v>627.45000000000016</v>
      </c>
    </row>
    <row r="42" spans="1:41" x14ac:dyDescent="0.25">
      <c r="A42" t="s">
        <v>91</v>
      </c>
      <c r="B42">
        <v>10986</v>
      </c>
      <c r="C42">
        <v>7879</v>
      </c>
      <c r="D42">
        <v>4115</v>
      </c>
      <c r="E42">
        <v>4011</v>
      </c>
      <c r="F42">
        <v>1311</v>
      </c>
      <c r="G42">
        <v>852</v>
      </c>
      <c r="H42">
        <v>924</v>
      </c>
      <c r="I42">
        <v>5052</v>
      </c>
      <c r="J42">
        <v>1506</v>
      </c>
      <c r="K42">
        <v>3969</v>
      </c>
      <c r="L42">
        <v>1075</v>
      </c>
      <c r="M42">
        <v>1487</v>
      </c>
      <c r="N42">
        <f t="shared" si="0"/>
        <v>43167</v>
      </c>
      <c r="O42">
        <v>4</v>
      </c>
      <c r="P42">
        <v>1</v>
      </c>
      <c r="Q42">
        <v>2</v>
      </c>
      <c r="R42">
        <v>4</v>
      </c>
      <c r="S42">
        <v>2</v>
      </c>
      <c r="T42">
        <v>19</v>
      </c>
      <c r="U42">
        <v>2</v>
      </c>
      <c r="V42">
        <v>3</v>
      </c>
      <c r="W42">
        <v>3</v>
      </c>
      <c r="X42">
        <v>6</v>
      </c>
      <c r="Y42">
        <v>2</v>
      </c>
      <c r="Z42">
        <v>3</v>
      </c>
      <c r="AA42">
        <f t="shared" si="1"/>
        <v>51</v>
      </c>
      <c r="AB42" t="s">
        <v>45</v>
      </c>
      <c r="AC42">
        <v>120.05</v>
      </c>
      <c r="AD42">
        <v>88.83</v>
      </c>
      <c r="AE42">
        <v>51.24</v>
      </c>
      <c r="AF42">
        <v>50.3</v>
      </c>
      <c r="AG42">
        <v>23.2</v>
      </c>
      <c r="AH42">
        <v>19.46</v>
      </c>
      <c r="AI42">
        <v>19.329999999999998</v>
      </c>
      <c r="AJ42">
        <v>60.66</v>
      </c>
      <c r="AK42">
        <v>25.2</v>
      </c>
      <c r="AL42">
        <v>49.98</v>
      </c>
      <c r="AM42">
        <v>20.84</v>
      </c>
      <c r="AN42">
        <v>25.01</v>
      </c>
      <c r="AO42">
        <v>554.09999999999991</v>
      </c>
    </row>
    <row r="43" spans="1:41" x14ac:dyDescent="0.25">
      <c r="A43" t="s">
        <v>93</v>
      </c>
      <c r="B43">
        <v>10838</v>
      </c>
      <c r="C43">
        <v>483</v>
      </c>
      <c r="D43">
        <v>3128</v>
      </c>
      <c r="E43">
        <v>1361</v>
      </c>
      <c r="F43">
        <v>4476</v>
      </c>
      <c r="G43">
        <v>0</v>
      </c>
      <c r="H43">
        <v>1652</v>
      </c>
      <c r="I43">
        <v>5233</v>
      </c>
      <c r="J43">
        <v>2783</v>
      </c>
      <c r="K43">
        <v>857</v>
      </c>
      <c r="L43">
        <v>3855</v>
      </c>
      <c r="M43">
        <v>2394</v>
      </c>
      <c r="N43">
        <f t="shared" si="0"/>
        <v>37060</v>
      </c>
      <c r="O43">
        <v>12</v>
      </c>
      <c r="P43">
        <v>1</v>
      </c>
      <c r="Q43">
        <v>1</v>
      </c>
      <c r="R43">
        <v>3</v>
      </c>
      <c r="S43">
        <v>13</v>
      </c>
      <c r="T43">
        <v>10</v>
      </c>
      <c r="U43">
        <v>0</v>
      </c>
      <c r="V43">
        <v>3</v>
      </c>
      <c r="W43">
        <v>4</v>
      </c>
      <c r="X43">
        <v>3</v>
      </c>
      <c r="Y43">
        <v>1</v>
      </c>
      <c r="Z43">
        <v>7</v>
      </c>
      <c r="AA43">
        <f t="shared" si="1"/>
        <v>58</v>
      </c>
      <c r="AB43" t="s">
        <v>45</v>
      </c>
      <c r="AC43">
        <v>118.97</v>
      </c>
      <c r="AD43">
        <v>14.87</v>
      </c>
      <c r="AE43">
        <v>41.32</v>
      </c>
      <c r="AF43">
        <v>23.75</v>
      </c>
      <c r="AG43">
        <v>55.4</v>
      </c>
      <c r="AH43">
        <v>10.49</v>
      </c>
      <c r="AI43">
        <v>26.51</v>
      </c>
      <c r="AJ43">
        <v>62.47</v>
      </c>
      <c r="AK43">
        <v>38.020000000000003</v>
      </c>
      <c r="AL43">
        <v>18.71</v>
      </c>
      <c r="AM43">
        <v>48.59</v>
      </c>
      <c r="AN43">
        <v>34.28</v>
      </c>
      <c r="AO43">
        <v>493.37999999999988</v>
      </c>
    </row>
    <row r="44" spans="1:41" x14ac:dyDescent="0.25">
      <c r="A44" t="s">
        <v>94</v>
      </c>
      <c r="B44">
        <v>10829</v>
      </c>
      <c r="C44">
        <v>6169</v>
      </c>
      <c r="D44">
        <v>4423</v>
      </c>
      <c r="E44">
        <v>4850</v>
      </c>
      <c r="F44">
        <v>4239</v>
      </c>
      <c r="G44">
        <v>54</v>
      </c>
      <c r="H44">
        <v>1108</v>
      </c>
      <c r="I44">
        <v>7956</v>
      </c>
      <c r="J44">
        <v>3702</v>
      </c>
      <c r="K44">
        <v>1300</v>
      </c>
      <c r="L44">
        <v>4397</v>
      </c>
      <c r="M44">
        <v>2400</v>
      </c>
      <c r="N44">
        <f t="shared" si="0"/>
        <v>51427</v>
      </c>
      <c r="O44">
        <v>8</v>
      </c>
      <c r="P44">
        <v>7</v>
      </c>
      <c r="Q44">
        <v>0</v>
      </c>
      <c r="R44">
        <v>3</v>
      </c>
      <c r="S44">
        <v>1</v>
      </c>
      <c r="T44">
        <v>5</v>
      </c>
      <c r="U44">
        <v>3</v>
      </c>
      <c r="V44">
        <v>10</v>
      </c>
      <c r="W44">
        <v>1</v>
      </c>
      <c r="X44">
        <v>1</v>
      </c>
      <c r="Y44">
        <v>3</v>
      </c>
      <c r="Z44">
        <v>5</v>
      </c>
      <c r="AA44">
        <f t="shared" si="1"/>
        <v>47</v>
      </c>
      <c r="AB44" t="s">
        <v>45</v>
      </c>
      <c r="AC44">
        <v>118.68</v>
      </c>
      <c r="AD44">
        <v>72.03</v>
      </c>
      <c r="AE44">
        <v>54.22</v>
      </c>
      <c r="AF44">
        <v>58.64</v>
      </c>
      <c r="AG44">
        <v>52.43</v>
      </c>
      <c r="AH44">
        <v>10.78</v>
      </c>
      <c r="AI44">
        <v>21.22</v>
      </c>
      <c r="AJ44">
        <v>90.05</v>
      </c>
      <c r="AK44">
        <v>47.06</v>
      </c>
      <c r="AL44">
        <v>23.04</v>
      </c>
      <c r="AM44">
        <v>54.11</v>
      </c>
      <c r="AN44">
        <v>34.24</v>
      </c>
      <c r="AO44">
        <v>636.5</v>
      </c>
    </row>
    <row r="45" spans="1:41" x14ac:dyDescent="0.25">
      <c r="A45" t="s">
        <v>95</v>
      </c>
      <c r="B45">
        <v>10775</v>
      </c>
      <c r="C45">
        <v>1330</v>
      </c>
      <c r="D45">
        <v>3530</v>
      </c>
      <c r="E45">
        <v>0</v>
      </c>
      <c r="F45">
        <v>868</v>
      </c>
      <c r="G45">
        <v>2288</v>
      </c>
      <c r="H45">
        <v>5009</v>
      </c>
      <c r="I45">
        <v>1566</v>
      </c>
      <c r="J45">
        <v>3627</v>
      </c>
      <c r="K45">
        <v>1880</v>
      </c>
      <c r="L45">
        <v>1130</v>
      </c>
      <c r="M45">
        <v>7900</v>
      </c>
      <c r="N45">
        <f t="shared" si="0"/>
        <v>39903</v>
      </c>
      <c r="O45">
        <v>6</v>
      </c>
      <c r="P45">
        <v>1</v>
      </c>
      <c r="Q45">
        <v>4</v>
      </c>
      <c r="R45">
        <v>4</v>
      </c>
      <c r="S45">
        <v>10</v>
      </c>
      <c r="T45">
        <v>16</v>
      </c>
      <c r="U45">
        <v>5</v>
      </c>
      <c r="V45">
        <v>4</v>
      </c>
      <c r="W45">
        <v>2</v>
      </c>
      <c r="X45">
        <v>6</v>
      </c>
      <c r="Y45">
        <v>2</v>
      </c>
      <c r="Z45">
        <v>1</v>
      </c>
      <c r="AA45">
        <f t="shared" si="1"/>
        <v>61</v>
      </c>
      <c r="AB45" t="s">
        <v>45</v>
      </c>
      <c r="AC45">
        <v>118.04</v>
      </c>
      <c r="AD45">
        <v>23.34</v>
      </c>
      <c r="AE45">
        <v>45.49</v>
      </c>
      <c r="AF45">
        <v>10.19</v>
      </c>
      <c r="AG45">
        <v>19.170000000000002</v>
      </c>
      <c r="AH45">
        <v>33.67</v>
      </c>
      <c r="AI45">
        <v>60.33</v>
      </c>
      <c r="AJ45">
        <v>25.85</v>
      </c>
      <c r="AK45">
        <v>46.36</v>
      </c>
      <c r="AL45">
        <v>29.09</v>
      </c>
      <c r="AM45">
        <v>21.39</v>
      </c>
      <c r="AN45">
        <v>89.04</v>
      </c>
      <c r="AO45">
        <v>521.96</v>
      </c>
    </row>
    <row r="46" spans="1:41" x14ac:dyDescent="0.25">
      <c r="A46" t="s">
        <v>96</v>
      </c>
      <c r="B46">
        <v>10740</v>
      </c>
      <c r="C46">
        <v>0</v>
      </c>
      <c r="D46">
        <v>43</v>
      </c>
      <c r="E46">
        <v>6180</v>
      </c>
      <c r="F46">
        <v>7206</v>
      </c>
      <c r="G46">
        <v>3987</v>
      </c>
      <c r="H46">
        <v>1073</v>
      </c>
      <c r="I46">
        <v>3525</v>
      </c>
      <c r="J46">
        <v>976</v>
      </c>
      <c r="K46">
        <v>461</v>
      </c>
      <c r="L46">
        <v>3364</v>
      </c>
      <c r="M46">
        <v>653</v>
      </c>
      <c r="N46">
        <f t="shared" si="0"/>
        <v>38208</v>
      </c>
      <c r="O46">
        <v>5</v>
      </c>
      <c r="P46">
        <v>3</v>
      </c>
      <c r="Q46">
        <v>11</v>
      </c>
      <c r="R46">
        <v>9</v>
      </c>
      <c r="S46">
        <v>11</v>
      </c>
      <c r="T46">
        <v>7</v>
      </c>
      <c r="U46">
        <v>4</v>
      </c>
      <c r="V46">
        <v>4</v>
      </c>
      <c r="W46">
        <v>10</v>
      </c>
      <c r="X46">
        <v>9</v>
      </c>
      <c r="Y46">
        <v>2</v>
      </c>
      <c r="Z46">
        <v>0</v>
      </c>
      <c r="AA46">
        <f t="shared" si="1"/>
        <v>75</v>
      </c>
      <c r="AB46" t="s">
        <v>45</v>
      </c>
      <c r="AC46">
        <v>117.64</v>
      </c>
      <c r="AD46">
        <v>10.14</v>
      </c>
      <c r="AE46">
        <v>10.97</v>
      </c>
      <c r="AF46">
        <v>72.239999999999995</v>
      </c>
      <c r="AG46">
        <v>82.6</v>
      </c>
      <c r="AH46">
        <v>50.21</v>
      </c>
      <c r="AI46">
        <v>20.92</v>
      </c>
      <c r="AJ46">
        <v>45.44</v>
      </c>
      <c r="AK46">
        <v>20.25</v>
      </c>
      <c r="AL46">
        <v>15.05</v>
      </c>
      <c r="AM46">
        <v>43.73</v>
      </c>
      <c r="AN46">
        <v>16.52</v>
      </c>
      <c r="AO46">
        <v>505.71000000000004</v>
      </c>
    </row>
    <row r="47" spans="1:41" x14ac:dyDescent="0.25">
      <c r="A47" t="s">
        <v>97</v>
      </c>
      <c r="B47">
        <v>10732</v>
      </c>
      <c r="C47">
        <v>15507</v>
      </c>
      <c r="D47">
        <v>5560</v>
      </c>
      <c r="E47">
        <v>0</v>
      </c>
      <c r="F47">
        <v>2216</v>
      </c>
      <c r="G47">
        <v>1557</v>
      </c>
      <c r="H47">
        <v>5866</v>
      </c>
      <c r="I47">
        <v>128</v>
      </c>
      <c r="J47">
        <v>313</v>
      </c>
      <c r="K47">
        <v>2646</v>
      </c>
      <c r="L47">
        <v>299</v>
      </c>
      <c r="M47">
        <v>3968</v>
      </c>
      <c r="N47">
        <f t="shared" si="0"/>
        <v>48792</v>
      </c>
      <c r="O47">
        <v>6</v>
      </c>
      <c r="P47">
        <v>0</v>
      </c>
      <c r="Q47">
        <v>1</v>
      </c>
      <c r="R47">
        <v>0</v>
      </c>
      <c r="S47">
        <v>1</v>
      </c>
      <c r="T47">
        <v>5</v>
      </c>
      <c r="U47">
        <v>5</v>
      </c>
      <c r="V47">
        <v>13</v>
      </c>
      <c r="W47">
        <v>5</v>
      </c>
      <c r="X47">
        <v>2</v>
      </c>
      <c r="Y47">
        <v>9</v>
      </c>
      <c r="Z47">
        <v>8</v>
      </c>
      <c r="AA47">
        <f t="shared" si="1"/>
        <v>55</v>
      </c>
      <c r="AB47" t="s">
        <v>45</v>
      </c>
      <c r="AC47">
        <v>117.61</v>
      </c>
      <c r="AD47">
        <v>165.06</v>
      </c>
      <c r="AE47">
        <v>65.64</v>
      </c>
      <c r="AF47">
        <v>9.99</v>
      </c>
      <c r="AG47">
        <v>32.200000000000003</v>
      </c>
      <c r="AH47">
        <v>25.81</v>
      </c>
      <c r="AI47">
        <v>68.900000000000006</v>
      </c>
      <c r="AJ47">
        <v>11.92</v>
      </c>
      <c r="AK47">
        <v>13.37</v>
      </c>
      <c r="AL47">
        <v>36.549999999999997</v>
      </c>
      <c r="AM47">
        <v>13.43</v>
      </c>
      <c r="AN47">
        <v>50.07</v>
      </c>
      <c r="AO47">
        <v>610.55000000000007</v>
      </c>
    </row>
    <row r="48" spans="1:41" x14ac:dyDescent="0.25">
      <c r="A48" t="s">
        <v>98</v>
      </c>
      <c r="B48">
        <v>10541</v>
      </c>
      <c r="C48">
        <v>1559</v>
      </c>
      <c r="D48">
        <v>496</v>
      </c>
      <c r="E48">
        <v>1650</v>
      </c>
      <c r="F48">
        <v>1815</v>
      </c>
      <c r="G48">
        <v>2459</v>
      </c>
      <c r="H48">
        <v>1885</v>
      </c>
      <c r="I48">
        <v>3055</v>
      </c>
      <c r="J48">
        <v>3636</v>
      </c>
      <c r="K48">
        <v>5554</v>
      </c>
      <c r="L48">
        <v>4765</v>
      </c>
      <c r="M48">
        <v>0</v>
      </c>
      <c r="N48">
        <f t="shared" si="0"/>
        <v>37415</v>
      </c>
      <c r="O48">
        <v>1</v>
      </c>
      <c r="P48">
        <v>4</v>
      </c>
      <c r="Q48">
        <v>5</v>
      </c>
      <c r="R48">
        <v>3</v>
      </c>
      <c r="S48">
        <v>3</v>
      </c>
      <c r="T48">
        <v>11</v>
      </c>
      <c r="U48">
        <v>2</v>
      </c>
      <c r="V48">
        <v>0</v>
      </c>
      <c r="W48">
        <v>7</v>
      </c>
      <c r="X48">
        <v>5</v>
      </c>
      <c r="Y48">
        <v>10</v>
      </c>
      <c r="Z48">
        <v>4</v>
      </c>
      <c r="AA48">
        <f t="shared" si="1"/>
        <v>55</v>
      </c>
      <c r="AB48" t="s">
        <v>45</v>
      </c>
      <c r="AC48">
        <v>115.45</v>
      </c>
      <c r="AD48">
        <v>25.78</v>
      </c>
      <c r="AE48">
        <v>15.2</v>
      </c>
      <c r="AF48">
        <v>26.64</v>
      </c>
      <c r="AG48">
        <v>28.29</v>
      </c>
      <c r="AH48">
        <v>35.130000000000003</v>
      </c>
      <c r="AI48">
        <v>28.94</v>
      </c>
      <c r="AJ48">
        <v>40.54</v>
      </c>
      <c r="AK48">
        <v>46.7</v>
      </c>
      <c r="AL48">
        <v>65.78</v>
      </c>
      <c r="AM48">
        <v>58.14</v>
      </c>
      <c r="AN48">
        <v>10.19</v>
      </c>
      <c r="AO48">
        <v>496.78000000000003</v>
      </c>
    </row>
    <row r="49" spans="1:41" x14ac:dyDescent="0.25">
      <c r="A49" t="s">
        <v>99</v>
      </c>
      <c r="B49">
        <v>10396</v>
      </c>
      <c r="C49">
        <v>4178</v>
      </c>
      <c r="D49">
        <v>2502</v>
      </c>
      <c r="E49">
        <v>5325</v>
      </c>
      <c r="F49">
        <v>195</v>
      </c>
      <c r="G49">
        <v>397</v>
      </c>
      <c r="H49">
        <v>3017</v>
      </c>
      <c r="I49">
        <v>429</v>
      </c>
      <c r="J49">
        <v>10607</v>
      </c>
      <c r="K49">
        <v>1339</v>
      </c>
      <c r="L49">
        <v>1968</v>
      </c>
      <c r="M49">
        <v>4275</v>
      </c>
      <c r="N49">
        <f t="shared" si="0"/>
        <v>44628</v>
      </c>
      <c r="O49">
        <v>17</v>
      </c>
      <c r="P49">
        <v>4</v>
      </c>
      <c r="Q49">
        <v>2</v>
      </c>
      <c r="R49">
        <v>7</v>
      </c>
      <c r="S49">
        <v>1</v>
      </c>
      <c r="T49">
        <v>5</v>
      </c>
      <c r="U49">
        <v>3</v>
      </c>
      <c r="V49">
        <v>0</v>
      </c>
      <c r="W49">
        <v>3</v>
      </c>
      <c r="X49">
        <v>7</v>
      </c>
      <c r="Y49">
        <v>9</v>
      </c>
      <c r="Z49">
        <v>2</v>
      </c>
      <c r="AA49">
        <f t="shared" si="1"/>
        <v>60</v>
      </c>
      <c r="AB49" t="s">
        <v>45</v>
      </c>
      <c r="AC49">
        <v>114.8</v>
      </c>
      <c r="AD49">
        <v>51.97</v>
      </c>
      <c r="AE49">
        <v>35.11</v>
      </c>
      <c r="AF49">
        <v>63.59</v>
      </c>
      <c r="AG49">
        <v>11.99</v>
      </c>
      <c r="AH49">
        <v>14.21</v>
      </c>
      <c r="AI49">
        <v>40.31</v>
      </c>
      <c r="AJ49">
        <v>14.28</v>
      </c>
      <c r="AK49">
        <v>116.21</v>
      </c>
      <c r="AL49">
        <v>23.73</v>
      </c>
      <c r="AM49">
        <v>30.12</v>
      </c>
      <c r="AN49">
        <v>52.84</v>
      </c>
      <c r="AO49">
        <v>569.16</v>
      </c>
    </row>
    <row r="50" spans="1:41" x14ac:dyDescent="0.25">
      <c r="A50" t="s">
        <v>100</v>
      </c>
      <c r="B50">
        <v>10377</v>
      </c>
      <c r="C50">
        <v>262</v>
      </c>
      <c r="D50">
        <v>0</v>
      </c>
      <c r="E50">
        <v>2861</v>
      </c>
      <c r="F50">
        <v>6783</v>
      </c>
      <c r="G50">
        <v>11637</v>
      </c>
      <c r="H50">
        <v>4363</v>
      </c>
      <c r="I50">
        <v>881</v>
      </c>
      <c r="J50">
        <v>13919</v>
      </c>
      <c r="K50">
        <v>9208</v>
      </c>
      <c r="L50">
        <v>1376</v>
      </c>
      <c r="M50">
        <v>3649</v>
      </c>
      <c r="N50">
        <f t="shared" si="0"/>
        <v>65316</v>
      </c>
      <c r="O50">
        <v>6</v>
      </c>
      <c r="P50">
        <v>2</v>
      </c>
      <c r="Q50">
        <v>6</v>
      </c>
      <c r="R50">
        <v>3</v>
      </c>
      <c r="S50">
        <v>3</v>
      </c>
      <c r="T50">
        <v>7</v>
      </c>
      <c r="U50">
        <v>2</v>
      </c>
      <c r="V50">
        <v>3</v>
      </c>
      <c r="W50">
        <v>1</v>
      </c>
      <c r="X50">
        <v>7</v>
      </c>
      <c r="Y50">
        <v>11</v>
      </c>
      <c r="Z50">
        <v>5</v>
      </c>
      <c r="AA50">
        <f t="shared" si="1"/>
        <v>56</v>
      </c>
      <c r="AB50" t="s">
        <v>45</v>
      </c>
      <c r="AC50">
        <v>114.06</v>
      </c>
      <c r="AD50">
        <v>12.71</v>
      </c>
      <c r="AE50">
        <v>10.29</v>
      </c>
      <c r="AF50">
        <v>38.75</v>
      </c>
      <c r="AG50">
        <v>77.97</v>
      </c>
      <c r="AH50">
        <v>126.71</v>
      </c>
      <c r="AI50">
        <v>53.72</v>
      </c>
      <c r="AJ50">
        <v>18.95</v>
      </c>
      <c r="AK50">
        <v>149.22999999999999</v>
      </c>
      <c r="AL50">
        <v>102.42</v>
      </c>
      <c r="AM50">
        <v>24.3</v>
      </c>
      <c r="AN50">
        <v>46.73</v>
      </c>
      <c r="AO50">
        <v>775.83999999999992</v>
      </c>
    </row>
    <row r="51" spans="1:41" x14ac:dyDescent="0.25">
      <c r="A51" t="s">
        <v>101</v>
      </c>
      <c r="B51">
        <v>10355</v>
      </c>
      <c r="C51">
        <v>3212</v>
      </c>
      <c r="D51">
        <v>282</v>
      </c>
      <c r="E51">
        <v>2949</v>
      </c>
      <c r="F51">
        <v>3373</v>
      </c>
      <c r="G51">
        <v>7319</v>
      </c>
      <c r="H51">
        <v>1532</v>
      </c>
      <c r="I51">
        <v>1836</v>
      </c>
      <c r="J51">
        <v>2742</v>
      </c>
      <c r="K51">
        <v>3491</v>
      </c>
      <c r="L51">
        <v>4194</v>
      </c>
      <c r="M51">
        <v>280</v>
      </c>
      <c r="N51">
        <f t="shared" si="0"/>
        <v>41565</v>
      </c>
      <c r="O51">
        <v>7</v>
      </c>
      <c r="P51">
        <v>3</v>
      </c>
      <c r="Q51">
        <v>5</v>
      </c>
      <c r="R51">
        <v>4</v>
      </c>
      <c r="S51">
        <v>0</v>
      </c>
      <c r="T51">
        <v>0</v>
      </c>
      <c r="U51">
        <v>3</v>
      </c>
      <c r="V51">
        <v>3</v>
      </c>
      <c r="W51">
        <v>2</v>
      </c>
      <c r="X51">
        <v>9</v>
      </c>
      <c r="Y51">
        <v>18</v>
      </c>
      <c r="Z51">
        <v>7</v>
      </c>
      <c r="AA51">
        <f t="shared" si="1"/>
        <v>61</v>
      </c>
      <c r="AB51" t="s">
        <v>45</v>
      </c>
      <c r="AC51">
        <v>113.89</v>
      </c>
      <c r="AD51">
        <v>42.26</v>
      </c>
      <c r="AE51">
        <v>13.06</v>
      </c>
      <c r="AF51">
        <v>39.68</v>
      </c>
      <c r="AG51">
        <v>43.72</v>
      </c>
      <c r="AH51">
        <v>83.18</v>
      </c>
      <c r="AI51">
        <v>25.46</v>
      </c>
      <c r="AJ51">
        <v>28.5</v>
      </c>
      <c r="AK51">
        <v>37.51</v>
      </c>
      <c r="AL51">
        <v>45.35</v>
      </c>
      <c r="AM51">
        <v>52.83</v>
      </c>
      <c r="AN51">
        <v>13.14</v>
      </c>
      <c r="AO51">
        <v>538.58000000000004</v>
      </c>
    </row>
    <row r="52" spans="1:41" x14ac:dyDescent="0.25">
      <c r="A52" t="s">
        <v>102</v>
      </c>
      <c r="B52">
        <v>10285</v>
      </c>
      <c r="C52">
        <v>0</v>
      </c>
      <c r="D52">
        <v>2396</v>
      </c>
      <c r="E52">
        <v>6230</v>
      </c>
      <c r="F52">
        <v>3942</v>
      </c>
      <c r="G52">
        <v>5396</v>
      </c>
      <c r="H52">
        <v>7138</v>
      </c>
      <c r="I52">
        <v>5686</v>
      </c>
      <c r="J52">
        <v>4690</v>
      </c>
      <c r="K52">
        <v>11347</v>
      </c>
      <c r="L52">
        <v>7856</v>
      </c>
      <c r="M52">
        <v>5574</v>
      </c>
      <c r="N52">
        <f t="shared" si="0"/>
        <v>70540</v>
      </c>
      <c r="O52">
        <v>2</v>
      </c>
      <c r="P52">
        <v>6</v>
      </c>
      <c r="Q52">
        <v>4</v>
      </c>
      <c r="R52">
        <v>7</v>
      </c>
      <c r="S52">
        <v>4</v>
      </c>
      <c r="T52">
        <v>2</v>
      </c>
      <c r="U52">
        <v>2</v>
      </c>
      <c r="V52">
        <v>7</v>
      </c>
      <c r="W52">
        <v>5</v>
      </c>
      <c r="X52">
        <v>8</v>
      </c>
      <c r="Y52">
        <v>0</v>
      </c>
      <c r="Z52">
        <v>19</v>
      </c>
      <c r="AA52">
        <f t="shared" si="1"/>
        <v>66</v>
      </c>
      <c r="AB52" t="s">
        <v>45</v>
      </c>
      <c r="AC52">
        <v>112.94</v>
      </c>
      <c r="AD52">
        <v>10.29</v>
      </c>
      <c r="AE52">
        <v>34.15</v>
      </c>
      <c r="AF52">
        <v>72.64</v>
      </c>
      <c r="AG52">
        <v>49.61</v>
      </c>
      <c r="AH52">
        <v>64.05</v>
      </c>
      <c r="AI52">
        <v>81.47</v>
      </c>
      <c r="AJ52">
        <v>67.2</v>
      </c>
      <c r="AK52">
        <v>57.14</v>
      </c>
      <c r="AL52">
        <v>123.86</v>
      </c>
      <c r="AM52">
        <v>88.55</v>
      </c>
      <c r="AN52">
        <v>66.680000000000007</v>
      </c>
      <c r="AO52">
        <v>828.57999999999993</v>
      </c>
    </row>
    <row r="53" spans="1:41" x14ac:dyDescent="0.25">
      <c r="A53" t="s">
        <v>103</v>
      </c>
      <c r="B53">
        <v>10167</v>
      </c>
      <c r="C53">
        <v>1084</v>
      </c>
      <c r="D53">
        <v>10991</v>
      </c>
      <c r="E53">
        <v>5569</v>
      </c>
      <c r="F53">
        <v>3681</v>
      </c>
      <c r="G53">
        <v>9484</v>
      </c>
      <c r="H53">
        <v>23</v>
      </c>
      <c r="I53">
        <v>1664</v>
      </c>
      <c r="J53">
        <v>567</v>
      </c>
      <c r="K53">
        <v>1474</v>
      </c>
      <c r="L53">
        <v>1173</v>
      </c>
      <c r="M53">
        <v>2362</v>
      </c>
      <c r="N53">
        <f t="shared" si="0"/>
        <v>48239</v>
      </c>
      <c r="O53">
        <v>3</v>
      </c>
      <c r="P53">
        <v>4</v>
      </c>
      <c r="Q53">
        <v>2</v>
      </c>
      <c r="R53">
        <v>6</v>
      </c>
      <c r="S53">
        <v>8</v>
      </c>
      <c r="T53">
        <v>6</v>
      </c>
      <c r="U53">
        <v>2</v>
      </c>
      <c r="V53">
        <v>8</v>
      </c>
      <c r="W53">
        <v>3</v>
      </c>
      <c r="X53">
        <v>3</v>
      </c>
      <c r="Y53">
        <v>2</v>
      </c>
      <c r="Z53">
        <v>9</v>
      </c>
      <c r="AA53">
        <f t="shared" si="1"/>
        <v>56</v>
      </c>
      <c r="AB53" t="s">
        <v>45</v>
      </c>
      <c r="AC53">
        <v>111.81</v>
      </c>
      <c r="AD53">
        <v>21.03</v>
      </c>
      <c r="AE53">
        <v>120</v>
      </c>
      <c r="AF53">
        <v>65.98</v>
      </c>
      <c r="AG53">
        <v>47.2</v>
      </c>
      <c r="AH53">
        <v>105.13</v>
      </c>
      <c r="AI53">
        <v>10.32</v>
      </c>
      <c r="AJ53">
        <v>27.03</v>
      </c>
      <c r="AK53">
        <v>15.81</v>
      </c>
      <c r="AL53">
        <v>24.88</v>
      </c>
      <c r="AM53">
        <v>21.82</v>
      </c>
      <c r="AN53">
        <v>34.06</v>
      </c>
      <c r="AO53">
        <v>605.06999999999994</v>
      </c>
    </row>
    <row r="54" spans="1:41" x14ac:dyDescent="0.25">
      <c r="A54" t="s">
        <v>105</v>
      </c>
      <c r="B54">
        <v>10056</v>
      </c>
      <c r="C54">
        <v>1590</v>
      </c>
      <c r="D54">
        <v>5030</v>
      </c>
      <c r="E54">
        <v>1221</v>
      </c>
      <c r="F54">
        <v>1772</v>
      </c>
      <c r="G54">
        <v>1209</v>
      </c>
      <c r="H54">
        <v>6011</v>
      </c>
      <c r="I54">
        <v>262</v>
      </c>
      <c r="J54">
        <v>240</v>
      </c>
      <c r="K54">
        <v>24396</v>
      </c>
      <c r="L54">
        <v>605</v>
      </c>
      <c r="M54">
        <v>2520</v>
      </c>
      <c r="N54">
        <f t="shared" si="0"/>
        <v>54912</v>
      </c>
      <c r="O54">
        <v>1</v>
      </c>
      <c r="P54">
        <v>7</v>
      </c>
      <c r="Q54">
        <v>6</v>
      </c>
      <c r="R54">
        <v>2</v>
      </c>
      <c r="S54">
        <v>0</v>
      </c>
      <c r="T54">
        <v>11</v>
      </c>
      <c r="U54">
        <v>1</v>
      </c>
      <c r="V54">
        <v>1</v>
      </c>
      <c r="W54">
        <v>4</v>
      </c>
      <c r="X54">
        <v>5</v>
      </c>
      <c r="Y54">
        <v>1</v>
      </c>
      <c r="Z54">
        <v>0</v>
      </c>
      <c r="AA54">
        <f t="shared" si="1"/>
        <v>39</v>
      </c>
      <c r="AB54" t="s">
        <v>45</v>
      </c>
      <c r="AC54">
        <v>110.6</v>
      </c>
      <c r="AD54">
        <v>26.24</v>
      </c>
      <c r="AE54">
        <v>60.59</v>
      </c>
      <c r="AF54">
        <v>22.3</v>
      </c>
      <c r="AG54">
        <v>27.71</v>
      </c>
      <c r="AH54">
        <v>22.63</v>
      </c>
      <c r="AI54">
        <v>70.150000000000006</v>
      </c>
      <c r="AJ54">
        <v>12.66</v>
      </c>
      <c r="AK54">
        <v>12.59</v>
      </c>
      <c r="AL54">
        <v>254.2</v>
      </c>
      <c r="AM54">
        <v>16.09</v>
      </c>
      <c r="AN54">
        <v>35.19</v>
      </c>
      <c r="AO54">
        <v>670.95</v>
      </c>
    </row>
    <row r="55" spans="1:41" x14ac:dyDescent="0.25">
      <c r="A55" t="s">
        <v>106</v>
      </c>
      <c r="B55">
        <v>10021</v>
      </c>
      <c r="C55">
        <v>5709</v>
      </c>
      <c r="D55">
        <v>404</v>
      </c>
      <c r="E55">
        <v>2028</v>
      </c>
      <c r="F55">
        <v>1355</v>
      </c>
      <c r="G55">
        <v>14451</v>
      </c>
      <c r="H55">
        <v>14622</v>
      </c>
      <c r="I55">
        <v>2301</v>
      </c>
      <c r="J55">
        <v>1028</v>
      </c>
      <c r="K55">
        <v>3273</v>
      </c>
      <c r="L55">
        <v>1870</v>
      </c>
      <c r="M55">
        <v>602</v>
      </c>
      <c r="N55">
        <f t="shared" si="0"/>
        <v>57664</v>
      </c>
      <c r="O55">
        <v>15</v>
      </c>
      <c r="P55">
        <v>5</v>
      </c>
      <c r="Q55">
        <v>0</v>
      </c>
      <c r="R55">
        <v>0</v>
      </c>
      <c r="S55">
        <v>3</v>
      </c>
      <c r="T55">
        <v>3</v>
      </c>
      <c r="U55">
        <v>0</v>
      </c>
      <c r="V55">
        <v>12</v>
      </c>
      <c r="W55">
        <v>3</v>
      </c>
      <c r="X55">
        <v>9</v>
      </c>
      <c r="Y55">
        <v>7</v>
      </c>
      <c r="Z55">
        <v>7</v>
      </c>
      <c r="AA55">
        <f t="shared" si="1"/>
        <v>64</v>
      </c>
      <c r="AB55" t="s">
        <v>45</v>
      </c>
      <c r="AC55">
        <v>110.95</v>
      </c>
      <c r="AD55">
        <v>67.33</v>
      </c>
      <c r="AE55">
        <v>14.03</v>
      </c>
      <c r="AF55">
        <v>30.27</v>
      </c>
      <c r="AG55">
        <v>23.69</v>
      </c>
      <c r="AH55">
        <v>154.65</v>
      </c>
      <c r="AI55">
        <v>156.21</v>
      </c>
      <c r="AJ55">
        <v>33.6</v>
      </c>
      <c r="AK55">
        <v>20.420000000000002</v>
      </c>
      <c r="AL55">
        <v>43.17</v>
      </c>
      <c r="AM55">
        <v>29.04</v>
      </c>
      <c r="AN55">
        <v>16.36</v>
      </c>
      <c r="AO55">
        <v>699.71999999999991</v>
      </c>
    </row>
    <row r="56" spans="1:41" x14ac:dyDescent="0.25">
      <c r="A56" t="s">
        <v>108</v>
      </c>
      <c r="B56">
        <v>9695</v>
      </c>
      <c r="C56">
        <v>591</v>
      </c>
      <c r="D56">
        <v>1144</v>
      </c>
      <c r="E56">
        <v>1531</v>
      </c>
      <c r="F56">
        <v>7586</v>
      </c>
      <c r="G56">
        <v>9155</v>
      </c>
      <c r="H56">
        <v>1140</v>
      </c>
      <c r="I56">
        <v>7657</v>
      </c>
      <c r="J56">
        <v>1017</v>
      </c>
      <c r="K56">
        <v>11875</v>
      </c>
      <c r="L56">
        <v>2763</v>
      </c>
      <c r="M56">
        <v>377</v>
      </c>
      <c r="N56">
        <f t="shared" si="0"/>
        <v>54531</v>
      </c>
      <c r="O56">
        <v>6</v>
      </c>
      <c r="P56">
        <v>6</v>
      </c>
      <c r="Q56">
        <v>2</v>
      </c>
      <c r="R56">
        <v>3</v>
      </c>
      <c r="S56">
        <v>5</v>
      </c>
      <c r="T56">
        <v>9</v>
      </c>
      <c r="U56">
        <v>0</v>
      </c>
      <c r="V56">
        <v>0</v>
      </c>
      <c r="W56">
        <v>12</v>
      </c>
      <c r="X56">
        <v>10</v>
      </c>
      <c r="Y56">
        <v>4</v>
      </c>
      <c r="Z56">
        <v>3</v>
      </c>
      <c r="AA56">
        <f t="shared" si="1"/>
        <v>60</v>
      </c>
      <c r="AB56" t="s">
        <v>45</v>
      </c>
      <c r="AC56">
        <v>107.24</v>
      </c>
      <c r="AD56">
        <v>16.2</v>
      </c>
      <c r="AE56">
        <v>21.53</v>
      </c>
      <c r="AF56">
        <v>25.45</v>
      </c>
      <c r="AG56">
        <v>86.1</v>
      </c>
      <c r="AH56">
        <v>101.99</v>
      </c>
      <c r="AI56">
        <v>21.39</v>
      </c>
      <c r="AJ56">
        <v>86.56</v>
      </c>
      <c r="AK56">
        <v>20.76</v>
      </c>
      <c r="AL56">
        <v>129.24</v>
      </c>
      <c r="AM56">
        <v>37.82</v>
      </c>
      <c r="AN56">
        <v>13.91</v>
      </c>
      <c r="AO56">
        <v>668.19</v>
      </c>
    </row>
    <row r="57" spans="1:41" x14ac:dyDescent="0.25">
      <c r="A57" t="s">
        <v>109</v>
      </c>
      <c r="B57">
        <v>9679</v>
      </c>
      <c r="C57">
        <v>792</v>
      </c>
      <c r="D57">
        <v>4948</v>
      </c>
      <c r="E57">
        <v>0</v>
      </c>
      <c r="F57">
        <v>7628</v>
      </c>
      <c r="G57">
        <v>3712</v>
      </c>
      <c r="H57">
        <v>1542</v>
      </c>
      <c r="I57">
        <v>681</v>
      </c>
      <c r="J57">
        <v>5375</v>
      </c>
      <c r="K57">
        <v>2691</v>
      </c>
      <c r="L57">
        <v>2282</v>
      </c>
      <c r="M57">
        <v>1444</v>
      </c>
      <c r="N57">
        <f t="shared" si="0"/>
        <v>40774</v>
      </c>
      <c r="O57">
        <v>0</v>
      </c>
      <c r="P57">
        <v>1</v>
      </c>
      <c r="Q57">
        <v>14</v>
      </c>
      <c r="R57">
        <v>7</v>
      </c>
      <c r="S57">
        <v>13</v>
      </c>
      <c r="T57">
        <v>4</v>
      </c>
      <c r="U57">
        <v>0</v>
      </c>
      <c r="V57">
        <v>4</v>
      </c>
      <c r="W57">
        <v>1</v>
      </c>
      <c r="X57">
        <v>8</v>
      </c>
      <c r="Y57">
        <v>0</v>
      </c>
      <c r="Z57">
        <v>5</v>
      </c>
      <c r="AA57">
        <f t="shared" si="1"/>
        <v>57</v>
      </c>
      <c r="AB57" t="s">
        <v>45</v>
      </c>
      <c r="AC57">
        <v>106.78</v>
      </c>
      <c r="AD57">
        <v>17.96</v>
      </c>
      <c r="AE57">
        <v>60.17</v>
      </c>
      <c r="AF57">
        <v>10.34</v>
      </c>
      <c r="AG57">
        <v>86.92</v>
      </c>
      <c r="AH57">
        <v>47.31</v>
      </c>
      <c r="AI57">
        <v>25.41</v>
      </c>
      <c r="AJ57">
        <v>17</v>
      </c>
      <c r="AK57">
        <v>63.79</v>
      </c>
      <c r="AL57">
        <v>37.299999999999997</v>
      </c>
      <c r="AM57">
        <v>32.81</v>
      </c>
      <c r="AN57">
        <v>24.68</v>
      </c>
      <c r="AO57">
        <v>530.47</v>
      </c>
    </row>
    <row r="58" spans="1:41" x14ac:dyDescent="0.25">
      <c r="A58" t="s">
        <v>110</v>
      </c>
      <c r="B58">
        <v>9653</v>
      </c>
      <c r="C58">
        <v>561</v>
      </c>
      <c r="D58">
        <v>9302</v>
      </c>
      <c r="E58">
        <v>588</v>
      </c>
      <c r="F58">
        <v>8487</v>
      </c>
      <c r="G58">
        <v>7519</v>
      </c>
      <c r="H58">
        <v>10184</v>
      </c>
      <c r="I58">
        <v>2355</v>
      </c>
      <c r="J58">
        <v>8177</v>
      </c>
      <c r="K58">
        <v>10569</v>
      </c>
      <c r="L58">
        <v>1110</v>
      </c>
      <c r="M58">
        <v>2756</v>
      </c>
      <c r="N58">
        <f t="shared" si="0"/>
        <v>71261</v>
      </c>
      <c r="O58">
        <v>3</v>
      </c>
      <c r="P58">
        <v>1</v>
      </c>
      <c r="Q58">
        <v>0</v>
      </c>
      <c r="R58">
        <v>2</v>
      </c>
      <c r="S58">
        <v>4</v>
      </c>
      <c r="T58">
        <v>13</v>
      </c>
      <c r="U58">
        <v>4</v>
      </c>
      <c r="V58">
        <v>8</v>
      </c>
      <c r="W58">
        <v>2</v>
      </c>
      <c r="X58">
        <v>2</v>
      </c>
      <c r="Y58">
        <v>2</v>
      </c>
      <c r="Z58">
        <v>8</v>
      </c>
      <c r="AA58">
        <f t="shared" si="1"/>
        <v>49</v>
      </c>
      <c r="AB58" t="s">
        <v>45</v>
      </c>
      <c r="AC58">
        <v>106.67</v>
      </c>
      <c r="AD58">
        <v>15.65</v>
      </c>
      <c r="AE58">
        <v>103.01</v>
      </c>
      <c r="AF58">
        <v>15.97</v>
      </c>
      <c r="AG58">
        <v>95.06</v>
      </c>
      <c r="AH58">
        <v>85.83</v>
      </c>
      <c r="AI58">
        <v>112.03</v>
      </c>
      <c r="AJ58">
        <v>33.94</v>
      </c>
      <c r="AK58">
        <v>91.86</v>
      </c>
      <c r="AL58">
        <v>115.78</v>
      </c>
      <c r="AM58">
        <v>21.19</v>
      </c>
      <c r="AN58">
        <v>37.950000000000003</v>
      </c>
      <c r="AO58">
        <v>834.94000000000017</v>
      </c>
    </row>
    <row r="59" spans="1:41" x14ac:dyDescent="0.25">
      <c r="A59" t="s">
        <v>111</v>
      </c>
      <c r="B59">
        <v>9629</v>
      </c>
      <c r="C59">
        <v>1462</v>
      </c>
      <c r="D59">
        <v>3877</v>
      </c>
      <c r="E59">
        <v>76</v>
      </c>
      <c r="F59">
        <v>5157</v>
      </c>
      <c r="G59">
        <v>3053</v>
      </c>
      <c r="H59">
        <v>4328</v>
      </c>
      <c r="I59">
        <v>8564</v>
      </c>
      <c r="J59">
        <v>0</v>
      </c>
      <c r="K59">
        <v>879</v>
      </c>
      <c r="L59">
        <v>19962</v>
      </c>
      <c r="M59">
        <v>437</v>
      </c>
      <c r="N59">
        <f t="shared" si="0"/>
        <v>57424</v>
      </c>
      <c r="O59">
        <v>2</v>
      </c>
      <c r="P59">
        <v>8</v>
      </c>
      <c r="Q59">
        <v>7</v>
      </c>
      <c r="R59">
        <v>2</v>
      </c>
      <c r="S59">
        <v>1</v>
      </c>
      <c r="T59">
        <v>3</v>
      </c>
      <c r="U59">
        <v>7</v>
      </c>
      <c r="V59">
        <v>2</v>
      </c>
      <c r="W59">
        <v>0</v>
      </c>
      <c r="X59">
        <v>5</v>
      </c>
      <c r="Y59">
        <v>3</v>
      </c>
      <c r="Z59">
        <v>0</v>
      </c>
      <c r="AA59">
        <f t="shared" si="1"/>
        <v>40</v>
      </c>
      <c r="AB59" t="s">
        <v>45</v>
      </c>
      <c r="AC59">
        <v>106.38</v>
      </c>
      <c r="AD59">
        <v>25.01</v>
      </c>
      <c r="AE59">
        <v>49.11</v>
      </c>
      <c r="AF59">
        <v>10.85</v>
      </c>
      <c r="AG59">
        <v>61.61</v>
      </c>
      <c r="AH59">
        <v>40.67</v>
      </c>
      <c r="AI59">
        <v>53.62</v>
      </c>
      <c r="AJ59">
        <v>95.73</v>
      </c>
      <c r="AK59">
        <v>9.99</v>
      </c>
      <c r="AL59">
        <v>19.03</v>
      </c>
      <c r="AM59">
        <v>209.76</v>
      </c>
      <c r="AN59">
        <v>14.36</v>
      </c>
      <c r="AO59">
        <v>696.12</v>
      </c>
    </row>
    <row r="60" spans="1:41" x14ac:dyDescent="0.25">
      <c r="A60" t="s">
        <v>112</v>
      </c>
      <c r="B60">
        <v>9569</v>
      </c>
      <c r="C60">
        <v>4727</v>
      </c>
      <c r="D60">
        <v>984</v>
      </c>
      <c r="E60">
        <v>1556</v>
      </c>
      <c r="F60">
        <v>0</v>
      </c>
      <c r="G60">
        <v>711</v>
      </c>
      <c r="H60">
        <v>17846</v>
      </c>
      <c r="I60">
        <v>2638</v>
      </c>
      <c r="J60">
        <v>7641</v>
      </c>
      <c r="K60">
        <v>1405</v>
      </c>
      <c r="L60">
        <v>2835</v>
      </c>
      <c r="M60">
        <v>10782</v>
      </c>
      <c r="N60">
        <f t="shared" si="0"/>
        <v>60694</v>
      </c>
      <c r="O60">
        <v>9</v>
      </c>
      <c r="P60">
        <v>4</v>
      </c>
      <c r="Q60">
        <v>0</v>
      </c>
      <c r="R60">
        <v>5</v>
      </c>
      <c r="S60">
        <v>0</v>
      </c>
      <c r="T60">
        <v>2</v>
      </c>
      <c r="U60">
        <v>3</v>
      </c>
      <c r="V60">
        <v>4</v>
      </c>
      <c r="W60">
        <v>17</v>
      </c>
      <c r="X60">
        <v>2</v>
      </c>
      <c r="Y60">
        <v>7</v>
      </c>
      <c r="Z60">
        <v>4</v>
      </c>
      <c r="AA60">
        <f t="shared" si="1"/>
        <v>57</v>
      </c>
      <c r="AB60" t="s">
        <v>45</v>
      </c>
      <c r="AC60">
        <v>106.13</v>
      </c>
      <c r="AD60">
        <v>57.46</v>
      </c>
      <c r="AE60">
        <v>19.829999999999998</v>
      </c>
      <c r="AF60">
        <v>25.8</v>
      </c>
      <c r="AG60">
        <v>9.99</v>
      </c>
      <c r="AH60">
        <v>17.2</v>
      </c>
      <c r="AI60">
        <v>188.6</v>
      </c>
      <c r="AJ60">
        <v>36.57</v>
      </c>
      <c r="AK60">
        <v>87.25</v>
      </c>
      <c r="AL60">
        <v>24.14</v>
      </c>
      <c r="AM60">
        <v>38.69</v>
      </c>
      <c r="AN60">
        <v>118.01</v>
      </c>
      <c r="AO60">
        <v>729.66999999999985</v>
      </c>
    </row>
    <row r="61" spans="1:41" x14ac:dyDescent="0.25">
      <c r="A61" t="s">
        <v>113</v>
      </c>
      <c r="B61">
        <v>9493</v>
      </c>
      <c r="C61">
        <v>1262</v>
      </c>
      <c r="D61">
        <v>3299</v>
      </c>
      <c r="E61">
        <v>4874</v>
      </c>
      <c r="F61">
        <v>4637</v>
      </c>
      <c r="G61">
        <v>2977</v>
      </c>
      <c r="H61">
        <v>732</v>
      </c>
      <c r="I61">
        <v>5328</v>
      </c>
      <c r="J61">
        <v>4897</v>
      </c>
      <c r="K61">
        <v>3822</v>
      </c>
      <c r="L61">
        <v>4627</v>
      </c>
      <c r="M61">
        <v>1389</v>
      </c>
      <c r="N61">
        <f t="shared" si="0"/>
        <v>47337</v>
      </c>
      <c r="O61">
        <v>2</v>
      </c>
      <c r="P61">
        <v>4</v>
      </c>
      <c r="Q61">
        <v>2</v>
      </c>
      <c r="R61">
        <v>4</v>
      </c>
      <c r="S61">
        <v>5</v>
      </c>
      <c r="T61">
        <v>10</v>
      </c>
      <c r="U61">
        <v>4</v>
      </c>
      <c r="V61">
        <v>8</v>
      </c>
      <c r="W61">
        <v>3</v>
      </c>
      <c r="X61">
        <v>2</v>
      </c>
      <c r="Y61">
        <v>4</v>
      </c>
      <c r="Z61">
        <v>1</v>
      </c>
      <c r="AA61">
        <f t="shared" si="1"/>
        <v>49</v>
      </c>
      <c r="AB61" t="s">
        <v>45</v>
      </c>
      <c r="AC61">
        <v>105.02</v>
      </c>
      <c r="AD61">
        <v>22.81</v>
      </c>
      <c r="AE61">
        <v>43.08</v>
      </c>
      <c r="AF61">
        <v>58.93</v>
      </c>
      <c r="AG61">
        <v>56.61</v>
      </c>
      <c r="AH61">
        <v>40.26</v>
      </c>
      <c r="AI61">
        <v>17.510000000000002</v>
      </c>
      <c r="AJ61">
        <v>63.67</v>
      </c>
      <c r="AK61">
        <v>59.11</v>
      </c>
      <c r="AL61">
        <v>48.31</v>
      </c>
      <c r="AM61">
        <v>56.46</v>
      </c>
      <c r="AN61">
        <v>23.93</v>
      </c>
      <c r="AO61">
        <v>595.69999999999993</v>
      </c>
    </row>
    <row r="62" spans="1:41" x14ac:dyDescent="0.25">
      <c r="A62" t="s">
        <v>114</v>
      </c>
      <c r="B62">
        <v>9455</v>
      </c>
      <c r="C62">
        <v>1444</v>
      </c>
      <c r="D62">
        <v>4690</v>
      </c>
      <c r="E62">
        <v>3855</v>
      </c>
      <c r="F62">
        <v>7307</v>
      </c>
      <c r="G62">
        <v>4793</v>
      </c>
      <c r="H62">
        <v>2811</v>
      </c>
      <c r="I62">
        <v>3471</v>
      </c>
      <c r="J62">
        <v>5838</v>
      </c>
      <c r="K62">
        <v>0</v>
      </c>
      <c r="L62">
        <v>734</v>
      </c>
      <c r="M62">
        <v>0</v>
      </c>
      <c r="N62">
        <f t="shared" si="0"/>
        <v>44398</v>
      </c>
      <c r="O62">
        <v>7</v>
      </c>
      <c r="P62">
        <v>13</v>
      </c>
      <c r="Q62">
        <v>11</v>
      </c>
      <c r="R62">
        <v>2</v>
      </c>
      <c r="S62">
        <v>8</v>
      </c>
      <c r="T62">
        <v>5</v>
      </c>
      <c r="U62">
        <v>0</v>
      </c>
      <c r="V62">
        <v>2</v>
      </c>
      <c r="W62">
        <v>1</v>
      </c>
      <c r="X62">
        <v>11</v>
      </c>
      <c r="Y62">
        <v>5</v>
      </c>
      <c r="Z62">
        <v>7</v>
      </c>
      <c r="AA62">
        <f t="shared" si="1"/>
        <v>72</v>
      </c>
      <c r="AB62" t="s">
        <v>45</v>
      </c>
      <c r="AC62">
        <v>104.89</v>
      </c>
      <c r="AD62">
        <v>25.08</v>
      </c>
      <c r="AE62">
        <v>57.44</v>
      </c>
      <c r="AF62">
        <v>48.64</v>
      </c>
      <c r="AG62">
        <v>83.46</v>
      </c>
      <c r="AH62">
        <v>58.17</v>
      </c>
      <c r="AI62">
        <v>38.1</v>
      </c>
      <c r="AJ62">
        <v>44.8</v>
      </c>
      <c r="AK62">
        <v>68.42</v>
      </c>
      <c r="AL62">
        <v>10.54</v>
      </c>
      <c r="AM62">
        <v>17.579999999999998</v>
      </c>
      <c r="AN62">
        <v>10.34</v>
      </c>
      <c r="AO62">
        <v>567.46</v>
      </c>
    </row>
    <row r="63" spans="1:41" x14ac:dyDescent="0.25">
      <c r="A63" t="s">
        <v>115</v>
      </c>
      <c r="B63">
        <v>9403</v>
      </c>
      <c r="C63">
        <v>3886</v>
      </c>
      <c r="D63">
        <v>7236</v>
      </c>
      <c r="E63">
        <v>1821</v>
      </c>
      <c r="F63">
        <v>7075</v>
      </c>
      <c r="G63">
        <v>2235</v>
      </c>
      <c r="H63">
        <v>1323</v>
      </c>
      <c r="I63">
        <v>8721</v>
      </c>
      <c r="J63">
        <v>0</v>
      </c>
      <c r="K63">
        <v>10173</v>
      </c>
      <c r="L63">
        <v>1795</v>
      </c>
      <c r="M63">
        <v>18445</v>
      </c>
      <c r="N63">
        <f t="shared" si="0"/>
        <v>72113</v>
      </c>
      <c r="O63">
        <v>2</v>
      </c>
      <c r="P63">
        <v>9</v>
      </c>
      <c r="Q63">
        <v>14</v>
      </c>
      <c r="R63">
        <v>2</v>
      </c>
      <c r="S63">
        <v>3</v>
      </c>
      <c r="T63">
        <v>1</v>
      </c>
      <c r="U63">
        <v>4</v>
      </c>
      <c r="V63">
        <v>3</v>
      </c>
      <c r="W63">
        <v>2</v>
      </c>
      <c r="X63">
        <v>1</v>
      </c>
      <c r="Y63">
        <v>3</v>
      </c>
      <c r="Z63">
        <v>5</v>
      </c>
      <c r="AA63">
        <f t="shared" si="1"/>
        <v>49</v>
      </c>
      <c r="AB63" t="s">
        <v>45</v>
      </c>
      <c r="AC63">
        <v>104.12</v>
      </c>
      <c r="AD63">
        <v>49.3</v>
      </c>
      <c r="AE63">
        <v>83.05</v>
      </c>
      <c r="AF63">
        <v>28.3</v>
      </c>
      <c r="AG63">
        <v>80.89</v>
      </c>
      <c r="AH63">
        <v>32.39</v>
      </c>
      <c r="AI63">
        <v>23.42</v>
      </c>
      <c r="AJ63">
        <v>97.35</v>
      </c>
      <c r="AK63">
        <v>10.09</v>
      </c>
      <c r="AL63">
        <v>111.77</v>
      </c>
      <c r="AM63">
        <v>28.09</v>
      </c>
      <c r="AN63">
        <v>194.69</v>
      </c>
      <c r="AO63">
        <v>843.46</v>
      </c>
    </row>
    <row r="64" spans="1:41" x14ac:dyDescent="0.25">
      <c r="A64" t="s">
        <v>116</v>
      </c>
      <c r="B64">
        <v>9305</v>
      </c>
      <c r="C64">
        <v>3792</v>
      </c>
      <c r="D64">
        <v>4375</v>
      </c>
      <c r="E64">
        <v>1857</v>
      </c>
      <c r="F64">
        <v>3753</v>
      </c>
      <c r="G64">
        <v>2464</v>
      </c>
      <c r="H64">
        <v>7176</v>
      </c>
      <c r="I64">
        <v>1702</v>
      </c>
      <c r="J64">
        <v>2027</v>
      </c>
      <c r="K64">
        <v>1703</v>
      </c>
      <c r="L64">
        <v>5016</v>
      </c>
      <c r="M64">
        <v>10367</v>
      </c>
      <c r="N64">
        <f t="shared" si="0"/>
        <v>53537</v>
      </c>
      <c r="O64">
        <v>6</v>
      </c>
      <c r="P64">
        <v>8</v>
      </c>
      <c r="Q64">
        <v>4</v>
      </c>
      <c r="R64">
        <v>7</v>
      </c>
      <c r="S64">
        <v>2</v>
      </c>
      <c r="T64">
        <v>1</v>
      </c>
      <c r="U64">
        <v>2</v>
      </c>
      <c r="V64">
        <v>2</v>
      </c>
      <c r="W64">
        <v>12</v>
      </c>
      <c r="X64">
        <v>8</v>
      </c>
      <c r="Y64">
        <v>2</v>
      </c>
      <c r="Z64">
        <v>0</v>
      </c>
      <c r="AA64">
        <f t="shared" si="1"/>
        <v>54</v>
      </c>
      <c r="AB64" t="s">
        <v>45</v>
      </c>
      <c r="AC64">
        <v>103.34</v>
      </c>
      <c r="AD64">
        <v>48.31</v>
      </c>
      <c r="AE64">
        <v>53.94</v>
      </c>
      <c r="AF64">
        <v>28.91</v>
      </c>
      <c r="AG64">
        <v>47.62</v>
      </c>
      <c r="AH64">
        <v>34.68</v>
      </c>
      <c r="AI64">
        <v>81.849999999999994</v>
      </c>
      <c r="AJ64">
        <v>27.11</v>
      </c>
      <c r="AK64">
        <v>30.86</v>
      </c>
      <c r="AL64">
        <v>27.42</v>
      </c>
      <c r="AM64">
        <v>60.25</v>
      </c>
      <c r="AN64">
        <v>113.66</v>
      </c>
      <c r="AO64">
        <v>657.94999999999993</v>
      </c>
    </row>
    <row r="65" spans="1:41" x14ac:dyDescent="0.25">
      <c r="A65" t="s">
        <v>117</v>
      </c>
      <c r="B65">
        <v>9218</v>
      </c>
      <c r="C65">
        <v>0</v>
      </c>
      <c r="D65">
        <v>4344</v>
      </c>
      <c r="E65">
        <v>1820</v>
      </c>
      <c r="F65">
        <v>1468</v>
      </c>
      <c r="G65">
        <v>3228</v>
      </c>
      <c r="H65">
        <v>5106</v>
      </c>
      <c r="I65">
        <v>2127</v>
      </c>
      <c r="J65">
        <v>0</v>
      </c>
      <c r="K65">
        <v>8245</v>
      </c>
      <c r="L65">
        <v>3992</v>
      </c>
      <c r="M65">
        <v>1672</v>
      </c>
      <c r="N65">
        <f t="shared" si="0"/>
        <v>41220</v>
      </c>
      <c r="O65">
        <v>2</v>
      </c>
      <c r="P65">
        <v>0</v>
      </c>
      <c r="Q65">
        <v>0</v>
      </c>
      <c r="R65">
        <v>4</v>
      </c>
      <c r="S65">
        <v>6</v>
      </c>
      <c r="T65">
        <v>9</v>
      </c>
      <c r="U65">
        <v>1</v>
      </c>
      <c r="V65">
        <v>1</v>
      </c>
      <c r="W65">
        <v>0</v>
      </c>
      <c r="X65">
        <v>1</v>
      </c>
      <c r="Y65">
        <v>4</v>
      </c>
      <c r="Z65">
        <v>5</v>
      </c>
      <c r="AA65">
        <f t="shared" si="1"/>
        <v>33</v>
      </c>
      <c r="AB65" t="s">
        <v>45</v>
      </c>
      <c r="AC65">
        <v>102.27</v>
      </c>
      <c r="AD65">
        <v>9.99</v>
      </c>
      <c r="AE65">
        <v>53.43</v>
      </c>
      <c r="AF65">
        <v>28.39</v>
      </c>
      <c r="AG65">
        <v>24.97</v>
      </c>
      <c r="AH65">
        <v>42.72</v>
      </c>
      <c r="AI65">
        <v>61.1</v>
      </c>
      <c r="AJ65">
        <v>31.31</v>
      </c>
      <c r="AK65">
        <v>9.99</v>
      </c>
      <c r="AL65">
        <v>92.49</v>
      </c>
      <c r="AM65">
        <v>50.11</v>
      </c>
      <c r="AN65">
        <v>26.96</v>
      </c>
      <c r="AO65">
        <v>533.73</v>
      </c>
    </row>
    <row r="66" spans="1:41" x14ac:dyDescent="0.25">
      <c r="A66" t="s">
        <v>118</v>
      </c>
      <c r="B66">
        <v>9162</v>
      </c>
      <c r="C66">
        <v>1629</v>
      </c>
      <c r="D66">
        <v>15155</v>
      </c>
      <c r="E66">
        <v>3646</v>
      </c>
      <c r="F66">
        <v>726</v>
      </c>
      <c r="G66">
        <v>867</v>
      </c>
      <c r="H66">
        <v>5007</v>
      </c>
      <c r="I66">
        <v>879</v>
      </c>
      <c r="J66">
        <v>1837</v>
      </c>
      <c r="K66">
        <v>684</v>
      </c>
      <c r="L66">
        <v>2678</v>
      </c>
      <c r="M66">
        <v>5696</v>
      </c>
      <c r="N66">
        <f t="shared" si="0"/>
        <v>47966</v>
      </c>
      <c r="O66">
        <v>10</v>
      </c>
      <c r="P66">
        <v>5</v>
      </c>
      <c r="Q66">
        <v>4</v>
      </c>
      <c r="R66">
        <v>5</v>
      </c>
      <c r="S66">
        <v>3</v>
      </c>
      <c r="T66">
        <v>1</v>
      </c>
      <c r="U66">
        <v>9</v>
      </c>
      <c r="V66">
        <v>6</v>
      </c>
      <c r="W66">
        <v>10</v>
      </c>
      <c r="X66">
        <v>11</v>
      </c>
      <c r="Y66">
        <v>3</v>
      </c>
      <c r="Z66">
        <v>3</v>
      </c>
      <c r="AA66">
        <f t="shared" si="1"/>
        <v>70</v>
      </c>
      <c r="AB66" t="s">
        <v>45</v>
      </c>
      <c r="AC66">
        <v>102.11</v>
      </c>
      <c r="AD66">
        <v>26.53</v>
      </c>
      <c r="AE66">
        <v>161.74</v>
      </c>
      <c r="AF66">
        <v>46.7</v>
      </c>
      <c r="AG66">
        <v>17.399999999999999</v>
      </c>
      <c r="AH66">
        <v>18.71</v>
      </c>
      <c r="AI66">
        <v>60.51</v>
      </c>
      <c r="AJ66">
        <v>19.079999999999998</v>
      </c>
      <c r="AK66">
        <v>28.86</v>
      </c>
      <c r="AL66">
        <v>17.38</v>
      </c>
      <c r="AM66">
        <v>36.92</v>
      </c>
      <c r="AN66">
        <v>67.099999999999994</v>
      </c>
      <c r="AO66">
        <v>603.04</v>
      </c>
    </row>
    <row r="67" spans="1:41" x14ac:dyDescent="0.25">
      <c r="A67" t="s">
        <v>119</v>
      </c>
      <c r="B67">
        <v>9139</v>
      </c>
      <c r="C67">
        <v>3365</v>
      </c>
      <c r="D67">
        <v>0</v>
      </c>
      <c r="E67">
        <v>2288</v>
      </c>
      <c r="F67">
        <v>1552</v>
      </c>
      <c r="G67">
        <v>5730</v>
      </c>
      <c r="H67">
        <v>13094</v>
      </c>
      <c r="I67">
        <v>2248</v>
      </c>
      <c r="J67">
        <v>1855</v>
      </c>
      <c r="K67">
        <v>1224</v>
      </c>
      <c r="L67">
        <v>1457</v>
      </c>
      <c r="M67">
        <v>5377</v>
      </c>
      <c r="N67">
        <f t="shared" si="0"/>
        <v>47329</v>
      </c>
      <c r="O67">
        <v>2</v>
      </c>
      <c r="P67">
        <v>7</v>
      </c>
      <c r="Q67">
        <v>2</v>
      </c>
      <c r="R67">
        <v>4</v>
      </c>
      <c r="S67">
        <v>6</v>
      </c>
      <c r="T67">
        <v>1</v>
      </c>
      <c r="U67">
        <v>3</v>
      </c>
      <c r="V67">
        <v>6</v>
      </c>
      <c r="W67">
        <v>3</v>
      </c>
      <c r="X67">
        <v>2</v>
      </c>
      <c r="Y67">
        <v>0</v>
      </c>
      <c r="Z67">
        <v>12</v>
      </c>
      <c r="AA67">
        <f t="shared" si="1"/>
        <v>48</v>
      </c>
      <c r="AB67" t="s">
        <v>45</v>
      </c>
      <c r="AC67">
        <v>101.48</v>
      </c>
      <c r="AD67">
        <v>43.99</v>
      </c>
      <c r="AE67">
        <v>10.09</v>
      </c>
      <c r="AF67">
        <v>33.07</v>
      </c>
      <c r="AG67">
        <v>25.81</v>
      </c>
      <c r="AH67">
        <v>67.34</v>
      </c>
      <c r="AI67">
        <v>141.08000000000001</v>
      </c>
      <c r="AJ67">
        <v>32.770000000000003</v>
      </c>
      <c r="AK67">
        <v>28.69</v>
      </c>
      <c r="AL67">
        <v>22.33</v>
      </c>
      <c r="AM67">
        <v>24.56</v>
      </c>
      <c r="AN67">
        <v>64.36</v>
      </c>
      <c r="AO67">
        <v>595.56999999999994</v>
      </c>
    </row>
    <row r="68" spans="1:41" x14ac:dyDescent="0.25">
      <c r="A68" t="s">
        <v>121</v>
      </c>
      <c r="B68">
        <v>9057</v>
      </c>
      <c r="C68">
        <v>7767</v>
      </c>
      <c r="D68">
        <v>19395</v>
      </c>
      <c r="E68">
        <v>201</v>
      </c>
      <c r="F68">
        <v>1225</v>
      </c>
      <c r="G68">
        <v>3888</v>
      </c>
      <c r="H68">
        <v>5668</v>
      </c>
      <c r="I68">
        <v>3099</v>
      </c>
      <c r="J68">
        <v>1052</v>
      </c>
      <c r="K68">
        <v>7280</v>
      </c>
      <c r="L68">
        <v>11776</v>
      </c>
      <c r="M68">
        <v>2633</v>
      </c>
      <c r="N68">
        <f t="shared" ref="N68:N131" si="2">SUM(B68:M68)</f>
        <v>73041</v>
      </c>
      <c r="O68">
        <v>0</v>
      </c>
      <c r="P68">
        <v>0</v>
      </c>
      <c r="Q68">
        <v>13</v>
      </c>
      <c r="R68">
        <v>2</v>
      </c>
      <c r="S68">
        <v>5</v>
      </c>
      <c r="T68">
        <v>4</v>
      </c>
      <c r="U68">
        <v>2</v>
      </c>
      <c r="V68">
        <v>4</v>
      </c>
      <c r="W68">
        <v>0</v>
      </c>
      <c r="X68">
        <v>5</v>
      </c>
      <c r="Y68">
        <v>3</v>
      </c>
      <c r="Z68">
        <v>4</v>
      </c>
      <c r="AA68">
        <f t="shared" ref="AA68:AA131" si="3">SUM(O68:Z68)</f>
        <v>42</v>
      </c>
      <c r="AB68" t="s">
        <v>45</v>
      </c>
      <c r="AC68">
        <v>100.56</v>
      </c>
      <c r="AD68">
        <v>87.66</v>
      </c>
      <c r="AE68">
        <v>204.59</v>
      </c>
      <c r="AF68">
        <v>12.1</v>
      </c>
      <c r="AG68">
        <v>22.49</v>
      </c>
      <c r="AH68">
        <v>49.07</v>
      </c>
      <c r="AI68">
        <v>66.77</v>
      </c>
      <c r="AJ68">
        <v>41.18</v>
      </c>
      <c r="AK68">
        <v>20.51</v>
      </c>
      <c r="AL68">
        <v>83.04</v>
      </c>
      <c r="AM68">
        <v>127.9</v>
      </c>
      <c r="AN68">
        <v>36.520000000000003</v>
      </c>
      <c r="AO68">
        <v>852.38999999999987</v>
      </c>
    </row>
    <row r="69" spans="1:41" x14ac:dyDescent="0.25">
      <c r="A69" t="s">
        <v>122</v>
      </c>
      <c r="B69">
        <v>9018</v>
      </c>
      <c r="C69">
        <v>2905</v>
      </c>
      <c r="D69">
        <v>657</v>
      </c>
      <c r="E69">
        <v>4270</v>
      </c>
      <c r="F69">
        <v>2648</v>
      </c>
      <c r="G69">
        <v>12209</v>
      </c>
      <c r="H69">
        <v>6938</v>
      </c>
      <c r="I69">
        <v>0</v>
      </c>
      <c r="J69">
        <v>5287</v>
      </c>
      <c r="K69">
        <v>2094</v>
      </c>
      <c r="L69">
        <v>0</v>
      </c>
      <c r="M69">
        <v>3884</v>
      </c>
      <c r="N69">
        <f t="shared" si="2"/>
        <v>49910</v>
      </c>
      <c r="O69">
        <v>15</v>
      </c>
      <c r="P69">
        <v>6</v>
      </c>
      <c r="Q69">
        <v>12</v>
      </c>
      <c r="R69">
        <v>2</v>
      </c>
      <c r="S69">
        <v>4</v>
      </c>
      <c r="T69">
        <v>4</v>
      </c>
      <c r="U69">
        <v>2</v>
      </c>
      <c r="V69">
        <v>6</v>
      </c>
      <c r="W69">
        <v>11</v>
      </c>
      <c r="X69">
        <v>9</v>
      </c>
      <c r="Y69">
        <v>6</v>
      </c>
      <c r="Z69">
        <v>0</v>
      </c>
      <c r="AA69">
        <f t="shared" si="3"/>
        <v>77</v>
      </c>
      <c r="AB69" t="s">
        <v>45</v>
      </c>
      <c r="AC69">
        <v>100.92</v>
      </c>
      <c r="AD69">
        <v>39.340000000000003</v>
      </c>
      <c r="AE69">
        <v>17.16</v>
      </c>
      <c r="AF69">
        <v>52.79</v>
      </c>
      <c r="AG69">
        <v>36.67</v>
      </c>
      <c r="AH69">
        <v>132.28</v>
      </c>
      <c r="AI69">
        <v>79.47</v>
      </c>
      <c r="AJ69">
        <v>10.29</v>
      </c>
      <c r="AK69">
        <v>63.41</v>
      </c>
      <c r="AL69">
        <v>31.38</v>
      </c>
      <c r="AM69">
        <v>10.29</v>
      </c>
      <c r="AN69">
        <v>48.83</v>
      </c>
      <c r="AO69">
        <v>622.83000000000004</v>
      </c>
    </row>
    <row r="70" spans="1:41" x14ac:dyDescent="0.25">
      <c r="A70" t="s">
        <v>123</v>
      </c>
      <c r="B70">
        <v>9008</v>
      </c>
      <c r="C70">
        <v>1316</v>
      </c>
      <c r="D70">
        <v>1852</v>
      </c>
      <c r="E70">
        <v>12946</v>
      </c>
      <c r="F70">
        <v>6654</v>
      </c>
      <c r="G70">
        <v>1142</v>
      </c>
      <c r="H70">
        <v>3305</v>
      </c>
      <c r="I70">
        <v>5536</v>
      </c>
      <c r="J70">
        <v>4903</v>
      </c>
      <c r="K70">
        <v>4438</v>
      </c>
      <c r="L70">
        <v>2676</v>
      </c>
      <c r="M70">
        <v>1308</v>
      </c>
      <c r="N70">
        <f t="shared" si="2"/>
        <v>55084</v>
      </c>
      <c r="O70">
        <v>4</v>
      </c>
      <c r="P70">
        <v>1</v>
      </c>
      <c r="Q70">
        <v>1</v>
      </c>
      <c r="R70">
        <v>0</v>
      </c>
      <c r="S70">
        <v>13</v>
      </c>
      <c r="T70">
        <v>8</v>
      </c>
      <c r="U70">
        <v>9</v>
      </c>
      <c r="V70">
        <v>20</v>
      </c>
      <c r="W70">
        <v>1</v>
      </c>
      <c r="X70">
        <v>2</v>
      </c>
      <c r="Y70">
        <v>6</v>
      </c>
      <c r="Z70">
        <v>2</v>
      </c>
      <c r="AA70">
        <f t="shared" si="3"/>
        <v>67</v>
      </c>
      <c r="AB70" t="s">
        <v>45</v>
      </c>
      <c r="AC70">
        <v>100.27</v>
      </c>
      <c r="AD70">
        <v>23.2</v>
      </c>
      <c r="AE70">
        <v>28.56</v>
      </c>
      <c r="AF70">
        <v>139.44999999999999</v>
      </c>
      <c r="AG70">
        <v>77.180000000000007</v>
      </c>
      <c r="AH70">
        <v>21.81</v>
      </c>
      <c r="AI70">
        <v>43.49</v>
      </c>
      <c r="AJ70">
        <v>66.349999999999994</v>
      </c>
      <c r="AK70">
        <v>59.07</v>
      </c>
      <c r="AL70">
        <v>54.47</v>
      </c>
      <c r="AM70">
        <v>37.049999999999997</v>
      </c>
      <c r="AN70">
        <v>23.17</v>
      </c>
      <c r="AO70">
        <v>674.07</v>
      </c>
    </row>
    <row r="71" spans="1:41" x14ac:dyDescent="0.25">
      <c r="A71" t="s">
        <v>124</v>
      </c>
      <c r="B71">
        <v>8971</v>
      </c>
      <c r="C71">
        <v>4333</v>
      </c>
      <c r="D71">
        <v>9909</v>
      </c>
      <c r="E71">
        <v>1174</v>
      </c>
      <c r="F71">
        <v>3011</v>
      </c>
      <c r="G71">
        <v>18341</v>
      </c>
      <c r="H71">
        <v>3550</v>
      </c>
      <c r="I71">
        <v>8393</v>
      </c>
      <c r="J71">
        <v>646</v>
      </c>
      <c r="K71">
        <v>6914</v>
      </c>
      <c r="L71">
        <v>4897</v>
      </c>
      <c r="M71">
        <v>374</v>
      </c>
      <c r="N71">
        <f t="shared" si="2"/>
        <v>70513</v>
      </c>
      <c r="O71">
        <v>2</v>
      </c>
      <c r="P71">
        <v>4</v>
      </c>
      <c r="Q71">
        <v>0</v>
      </c>
      <c r="R71">
        <v>0</v>
      </c>
      <c r="S71">
        <v>2</v>
      </c>
      <c r="T71">
        <v>13</v>
      </c>
      <c r="U71">
        <v>6</v>
      </c>
      <c r="V71">
        <v>2</v>
      </c>
      <c r="W71">
        <v>7</v>
      </c>
      <c r="X71">
        <v>7</v>
      </c>
      <c r="Y71">
        <v>5</v>
      </c>
      <c r="Z71">
        <v>7</v>
      </c>
      <c r="AA71">
        <f t="shared" si="3"/>
        <v>55</v>
      </c>
      <c r="AB71" t="s">
        <v>45</v>
      </c>
      <c r="AC71">
        <v>99.8</v>
      </c>
      <c r="AD71">
        <v>53.52</v>
      </c>
      <c r="AE71">
        <v>109.08</v>
      </c>
      <c r="AF71">
        <v>21.73</v>
      </c>
      <c r="AG71">
        <v>40.200000000000003</v>
      </c>
      <c r="AH71">
        <v>194.05</v>
      </c>
      <c r="AI71">
        <v>45.79</v>
      </c>
      <c r="AJ71">
        <v>94.02</v>
      </c>
      <c r="AK71">
        <v>16.8</v>
      </c>
      <c r="AL71">
        <v>79.48</v>
      </c>
      <c r="AM71">
        <v>59.21</v>
      </c>
      <c r="AN71">
        <v>14.08</v>
      </c>
      <c r="AO71">
        <v>827.76</v>
      </c>
    </row>
    <row r="72" spans="1:41" x14ac:dyDescent="0.25">
      <c r="A72" t="s">
        <v>126</v>
      </c>
      <c r="B72">
        <v>8687</v>
      </c>
      <c r="C72">
        <v>8957</v>
      </c>
      <c r="D72">
        <v>0</v>
      </c>
      <c r="E72">
        <v>3594</v>
      </c>
      <c r="F72">
        <v>750</v>
      </c>
      <c r="G72">
        <v>2956</v>
      </c>
      <c r="H72">
        <v>5129</v>
      </c>
      <c r="I72">
        <v>2310</v>
      </c>
      <c r="J72">
        <v>7817</v>
      </c>
      <c r="K72">
        <v>5823</v>
      </c>
      <c r="L72">
        <v>1035</v>
      </c>
      <c r="M72">
        <v>3201</v>
      </c>
      <c r="N72">
        <f t="shared" si="2"/>
        <v>50259</v>
      </c>
      <c r="O72">
        <v>9</v>
      </c>
      <c r="P72">
        <v>2</v>
      </c>
      <c r="Q72">
        <v>5</v>
      </c>
      <c r="R72">
        <v>11</v>
      </c>
      <c r="S72">
        <v>4</v>
      </c>
      <c r="T72">
        <v>15</v>
      </c>
      <c r="U72">
        <v>2</v>
      </c>
      <c r="V72">
        <v>5</v>
      </c>
      <c r="W72">
        <v>4</v>
      </c>
      <c r="X72">
        <v>13</v>
      </c>
      <c r="Y72">
        <v>3</v>
      </c>
      <c r="Z72">
        <v>4</v>
      </c>
      <c r="AA72">
        <f t="shared" si="3"/>
        <v>77</v>
      </c>
      <c r="AB72" t="s">
        <v>45</v>
      </c>
      <c r="AC72">
        <v>97.31</v>
      </c>
      <c r="AD72">
        <v>99.66</v>
      </c>
      <c r="AE72">
        <v>10.24</v>
      </c>
      <c r="AF72">
        <v>46.48</v>
      </c>
      <c r="AG72">
        <v>17.690000000000001</v>
      </c>
      <c r="AH72">
        <v>40.299999999999997</v>
      </c>
      <c r="AI72">
        <v>61.38</v>
      </c>
      <c r="AJ72">
        <v>33.340000000000003</v>
      </c>
      <c r="AK72">
        <v>88.36</v>
      </c>
      <c r="AL72">
        <v>68.87</v>
      </c>
      <c r="AM72">
        <v>20.49</v>
      </c>
      <c r="AN72">
        <v>42.2</v>
      </c>
      <c r="AO72">
        <v>626.32000000000005</v>
      </c>
    </row>
    <row r="73" spans="1:41" x14ac:dyDescent="0.25">
      <c r="A73" t="s">
        <v>127</v>
      </c>
      <c r="B73">
        <v>8604</v>
      </c>
      <c r="C73">
        <v>1055</v>
      </c>
      <c r="D73">
        <v>0</v>
      </c>
      <c r="E73">
        <v>3092</v>
      </c>
      <c r="F73">
        <v>6441</v>
      </c>
      <c r="G73">
        <v>3091</v>
      </c>
      <c r="H73">
        <v>12129</v>
      </c>
      <c r="I73">
        <v>6201</v>
      </c>
      <c r="J73">
        <v>4287</v>
      </c>
      <c r="K73">
        <v>1174</v>
      </c>
      <c r="L73">
        <v>1219</v>
      </c>
      <c r="M73">
        <v>4647</v>
      </c>
      <c r="N73">
        <f t="shared" si="2"/>
        <v>51940</v>
      </c>
      <c r="O73">
        <v>19</v>
      </c>
      <c r="P73">
        <v>2</v>
      </c>
      <c r="Q73">
        <v>1</v>
      </c>
      <c r="R73">
        <v>2</v>
      </c>
      <c r="S73">
        <v>2</v>
      </c>
      <c r="T73">
        <v>1</v>
      </c>
      <c r="U73">
        <v>13</v>
      </c>
      <c r="V73">
        <v>6</v>
      </c>
      <c r="W73">
        <v>1</v>
      </c>
      <c r="X73">
        <v>3</v>
      </c>
      <c r="Y73">
        <v>7</v>
      </c>
      <c r="Z73">
        <v>13</v>
      </c>
      <c r="AA73">
        <f t="shared" si="3"/>
        <v>70</v>
      </c>
      <c r="AB73" t="s">
        <v>45</v>
      </c>
      <c r="AC73">
        <v>96.98</v>
      </c>
      <c r="AD73">
        <v>20.64</v>
      </c>
      <c r="AE73">
        <v>10.039999999999999</v>
      </c>
      <c r="AF73">
        <v>41.01</v>
      </c>
      <c r="AG73">
        <v>74.5</v>
      </c>
      <c r="AH73">
        <v>40.950000000000003</v>
      </c>
      <c r="AI73">
        <v>131.93</v>
      </c>
      <c r="AJ73">
        <v>72.3</v>
      </c>
      <c r="AK73">
        <v>52.91</v>
      </c>
      <c r="AL73">
        <v>21.88</v>
      </c>
      <c r="AM73">
        <v>22.53</v>
      </c>
      <c r="AN73">
        <v>57.11</v>
      </c>
      <c r="AO73">
        <v>642.78</v>
      </c>
    </row>
    <row r="74" spans="1:41" x14ac:dyDescent="0.25">
      <c r="A74" t="s">
        <v>128</v>
      </c>
      <c r="B74">
        <v>8585</v>
      </c>
      <c r="C74">
        <v>1544</v>
      </c>
      <c r="D74">
        <v>3091</v>
      </c>
      <c r="E74">
        <v>4064</v>
      </c>
      <c r="F74">
        <v>4505</v>
      </c>
      <c r="G74">
        <v>3163</v>
      </c>
      <c r="H74">
        <v>0</v>
      </c>
      <c r="I74">
        <v>1094</v>
      </c>
      <c r="J74">
        <v>871</v>
      </c>
      <c r="K74">
        <v>7139</v>
      </c>
      <c r="L74">
        <v>7346</v>
      </c>
      <c r="M74">
        <v>64</v>
      </c>
      <c r="N74">
        <f t="shared" si="2"/>
        <v>41466</v>
      </c>
      <c r="O74">
        <v>1</v>
      </c>
      <c r="P74">
        <v>16</v>
      </c>
      <c r="Q74">
        <v>13</v>
      </c>
      <c r="R74">
        <v>2</v>
      </c>
      <c r="S74">
        <v>3</v>
      </c>
      <c r="T74">
        <v>2</v>
      </c>
      <c r="U74">
        <v>1</v>
      </c>
      <c r="V74">
        <v>6</v>
      </c>
      <c r="W74">
        <v>4</v>
      </c>
      <c r="X74">
        <v>1</v>
      </c>
      <c r="Y74">
        <v>1</v>
      </c>
      <c r="Z74">
        <v>17</v>
      </c>
      <c r="AA74">
        <f t="shared" si="3"/>
        <v>67</v>
      </c>
      <c r="AB74" t="s">
        <v>45</v>
      </c>
      <c r="AC74">
        <v>95.89</v>
      </c>
      <c r="AD74">
        <v>26.23</v>
      </c>
      <c r="AE74">
        <v>41.55</v>
      </c>
      <c r="AF74">
        <v>50.73</v>
      </c>
      <c r="AG74">
        <v>55.19</v>
      </c>
      <c r="AH74">
        <v>41.72</v>
      </c>
      <c r="AI74">
        <v>10.039999999999999</v>
      </c>
      <c r="AJ74">
        <v>21.23</v>
      </c>
      <c r="AK74">
        <v>18.899999999999999</v>
      </c>
      <c r="AL74">
        <v>81.430000000000007</v>
      </c>
      <c r="AM74">
        <v>83.5</v>
      </c>
      <c r="AN74">
        <v>11.48</v>
      </c>
      <c r="AO74">
        <v>537.8900000000001</v>
      </c>
    </row>
    <row r="75" spans="1:41" x14ac:dyDescent="0.25">
      <c r="A75" t="s">
        <v>129</v>
      </c>
      <c r="B75">
        <v>8450</v>
      </c>
      <c r="C75">
        <v>3586</v>
      </c>
      <c r="D75">
        <v>2368</v>
      </c>
      <c r="E75">
        <v>4990</v>
      </c>
      <c r="F75">
        <v>2118</v>
      </c>
      <c r="G75">
        <v>0</v>
      </c>
      <c r="H75">
        <v>1750</v>
      </c>
      <c r="I75">
        <v>909</v>
      </c>
      <c r="J75">
        <v>2373</v>
      </c>
      <c r="K75">
        <v>10372</v>
      </c>
      <c r="L75">
        <v>5339</v>
      </c>
      <c r="M75">
        <v>10777</v>
      </c>
      <c r="N75">
        <f t="shared" si="2"/>
        <v>53032</v>
      </c>
      <c r="O75">
        <v>2</v>
      </c>
      <c r="P75">
        <v>7</v>
      </c>
      <c r="Q75">
        <v>12</v>
      </c>
      <c r="R75">
        <v>4</v>
      </c>
      <c r="S75">
        <v>3</v>
      </c>
      <c r="T75">
        <v>0</v>
      </c>
      <c r="U75">
        <v>10</v>
      </c>
      <c r="V75">
        <v>3</v>
      </c>
      <c r="W75">
        <v>0</v>
      </c>
      <c r="X75">
        <v>7</v>
      </c>
      <c r="Y75">
        <v>5</v>
      </c>
      <c r="Z75">
        <v>1</v>
      </c>
      <c r="AA75">
        <f t="shared" si="3"/>
        <v>54</v>
      </c>
      <c r="AB75" t="s">
        <v>45</v>
      </c>
      <c r="AC75">
        <v>94.59</v>
      </c>
      <c r="AD75">
        <v>46.2</v>
      </c>
      <c r="AE75">
        <v>34.270000000000003</v>
      </c>
      <c r="AF75">
        <v>60.09</v>
      </c>
      <c r="AG75">
        <v>31.32</v>
      </c>
      <c r="AH75">
        <v>9.99</v>
      </c>
      <c r="AI75">
        <v>27.99</v>
      </c>
      <c r="AJ75">
        <v>19.23</v>
      </c>
      <c r="AK75">
        <v>33.72</v>
      </c>
      <c r="AL75">
        <v>114.06</v>
      </c>
      <c r="AM75">
        <v>63.63</v>
      </c>
      <c r="AN75">
        <v>117.81</v>
      </c>
      <c r="AO75">
        <v>652.90000000000009</v>
      </c>
    </row>
    <row r="76" spans="1:41" x14ac:dyDescent="0.25">
      <c r="A76" t="s">
        <v>130</v>
      </c>
      <c r="B76">
        <v>8384</v>
      </c>
      <c r="C76">
        <v>874</v>
      </c>
      <c r="D76">
        <v>3186</v>
      </c>
      <c r="E76">
        <v>5812</v>
      </c>
      <c r="F76">
        <v>15777</v>
      </c>
      <c r="G76">
        <v>4207</v>
      </c>
      <c r="H76">
        <v>267</v>
      </c>
      <c r="I76">
        <v>0</v>
      </c>
      <c r="J76">
        <v>4363</v>
      </c>
      <c r="K76">
        <v>4829</v>
      </c>
      <c r="L76">
        <v>7617</v>
      </c>
      <c r="M76">
        <v>44</v>
      </c>
      <c r="N76">
        <f t="shared" si="2"/>
        <v>55360</v>
      </c>
      <c r="O76">
        <v>11</v>
      </c>
      <c r="P76">
        <v>3</v>
      </c>
      <c r="Q76">
        <v>0</v>
      </c>
      <c r="R76">
        <v>10</v>
      </c>
      <c r="S76">
        <v>3</v>
      </c>
      <c r="T76">
        <v>4</v>
      </c>
      <c r="U76">
        <v>14</v>
      </c>
      <c r="V76">
        <v>0</v>
      </c>
      <c r="W76">
        <v>6</v>
      </c>
      <c r="X76">
        <v>0</v>
      </c>
      <c r="Y76">
        <v>3</v>
      </c>
      <c r="Z76">
        <v>7</v>
      </c>
      <c r="AA76">
        <f t="shared" si="3"/>
        <v>61</v>
      </c>
      <c r="AB76" t="s">
        <v>45</v>
      </c>
      <c r="AC76">
        <v>94.38</v>
      </c>
      <c r="AD76">
        <v>18.88</v>
      </c>
      <c r="AE76">
        <v>41.85</v>
      </c>
      <c r="AF76">
        <v>68.61</v>
      </c>
      <c r="AG76">
        <v>167.91</v>
      </c>
      <c r="AH76">
        <v>52.26</v>
      </c>
      <c r="AI76">
        <v>13.36</v>
      </c>
      <c r="AJ76">
        <v>9.99</v>
      </c>
      <c r="AK76">
        <v>53.92</v>
      </c>
      <c r="AL76">
        <v>58.28</v>
      </c>
      <c r="AM76">
        <v>86.31</v>
      </c>
      <c r="AN76">
        <v>10.78</v>
      </c>
      <c r="AO76">
        <v>676.53</v>
      </c>
    </row>
    <row r="77" spans="1:41" x14ac:dyDescent="0.25">
      <c r="A77" t="s">
        <v>133</v>
      </c>
      <c r="B77">
        <v>8269</v>
      </c>
      <c r="C77">
        <v>1907</v>
      </c>
      <c r="D77">
        <v>2648</v>
      </c>
      <c r="E77">
        <v>4319</v>
      </c>
      <c r="F77">
        <v>1304</v>
      </c>
      <c r="G77">
        <v>809</v>
      </c>
      <c r="H77">
        <v>8472</v>
      </c>
      <c r="I77">
        <v>0</v>
      </c>
      <c r="J77">
        <v>0</v>
      </c>
      <c r="K77">
        <v>2671</v>
      </c>
      <c r="L77">
        <v>0</v>
      </c>
      <c r="M77">
        <v>8893</v>
      </c>
      <c r="N77">
        <f t="shared" si="2"/>
        <v>39292</v>
      </c>
      <c r="O77">
        <v>3</v>
      </c>
      <c r="P77">
        <v>5</v>
      </c>
      <c r="Q77">
        <v>5</v>
      </c>
      <c r="R77">
        <v>2</v>
      </c>
      <c r="S77">
        <v>10</v>
      </c>
      <c r="T77">
        <v>1</v>
      </c>
      <c r="U77">
        <v>5</v>
      </c>
      <c r="V77">
        <v>6</v>
      </c>
      <c r="W77">
        <v>14</v>
      </c>
      <c r="X77">
        <v>1</v>
      </c>
      <c r="Y77">
        <v>5</v>
      </c>
      <c r="Z77">
        <v>4</v>
      </c>
      <c r="AA77">
        <f t="shared" si="3"/>
        <v>61</v>
      </c>
      <c r="AB77" t="s">
        <v>45</v>
      </c>
      <c r="AC77">
        <v>92.83</v>
      </c>
      <c r="AD77">
        <v>29.31</v>
      </c>
      <c r="AE77">
        <v>36.72</v>
      </c>
      <c r="AF77">
        <v>53.28</v>
      </c>
      <c r="AG77">
        <v>23.53</v>
      </c>
      <c r="AH77">
        <v>18.13</v>
      </c>
      <c r="AI77">
        <v>94.96</v>
      </c>
      <c r="AJ77">
        <v>10.29</v>
      </c>
      <c r="AK77">
        <v>10.69</v>
      </c>
      <c r="AL77">
        <v>36.75</v>
      </c>
      <c r="AM77">
        <v>10.24</v>
      </c>
      <c r="AN77">
        <v>99.12</v>
      </c>
      <c r="AO77">
        <v>515.85</v>
      </c>
    </row>
    <row r="78" spans="1:41" x14ac:dyDescent="0.25">
      <c r="A78" t="s">
        <v>135</v>
      </c>
      <c r="B78">
        <v>8253</v>
      </c>
      <c r="C78">
        <v>2235</v>
      </c>
      <c r="D78">
        <v>6541</v>
      </c>
      <c r="E78">
        <v>287</v>
      </c>
      <c r="F78">
        <v>0</v>
      </c>
      <c r="G78">
        <v>2849</v>
      </c>
      <c r="H78">
        <v>4212</v>
      </c>
      <c r="I78">
        <v>0</v>
      </c>
      <c r="J78">
        <v>2809</v>
      </c>
      <c r="K78">
        <v>0</v>
      </c>
      <c r="L78">
        <v>3337</v>
      </c>
      <c r="M78">
        <v>7067</v>
      </c>
      <c r="N78">
        <f t="shared" si="2"/>
        <v>37590</v>
      </c>
      <c r="O78">
        <v>3</v>
      </c>
      <c r="P78">
        <v>10</v>
      </c>
      <c r="Q78">
        <v>16</v>
      </c>
      <c r="R78">
        <v>6</v>
      </c>
      <c r="S78">
        <v>1</v>
      </c>
      <c r="T78">
        <v>11</v>
      </c>
      <c r="U78">
        <v>4</v>
      </c>
      <c r="V78">
        <v>2</v>
      </c>
      <c r="W78">
        <v>9</v>
      </c>
      <c r="X78">
        <v>5</v>
      </c>
      <c r="Y78">
        <v>4</v>
      </c>
      <c r="Z78">
        <v>5</v>
      </c>
      <c r="AA78">
        <f t="shared" si="3"/>
        <v>76</v>
      </c>
      <c r="AB78" t="s">
        <v>45</v>
      </c>
      <c r="AC78">
        <v>92.67</v>
      </c>
      <c r="AD78">
        <v>32.840000000000003</v>
      </c>
      <c r="AE78">
        <v>76.2</v>
      </c>
      <c r="AF78">
        <v>13.16</v>
      </c>
      <c r="AG78">
        <v>10.039999999999999</v>
      </c>
      <c r="AH78">
        <v>39.03</v>
      </c>
      <c r="AI78">
        <v>52.31</v>
      </c>
      <c r="AJ78">
        <v>10.09</v>
      </c>
      <c r="AK78">
        <v>38.53</v>
      </c>
      <c r="AL78">
        <v>10.24</v>
      </c>
      <c r="AM78">
        <v>43.56</v>
      </c>
      <c r="AN78">
        <v>80.91</v>
      </c>
      <c r="AO78">
        <v>499.58000000000004</v>
      </c>
    </row>
    <row r="79" spans="1:41" x14ac:dyDescent="0.25">
      <c r="A79" t="s">
        <v>139</v>
      </c>
      <c r="B79">
        <v>7916</v>
      </c>
      <c r="C79">
        <v>0</v>
      </c>
      <c r="D79">
        <v>987</v>
      </c>
      <c r="E79">
        <v>2141</v>
      </c>
      <c r="F79">
        <v>6690</v>
      </c>
      <c r="G79">
        <v>2735</v>
      </c>
      <c r="H79">
        <v>19255</v>
      </c>
      <c r="I79">
        <v>3994</v>
      </c>
      <c r="J79">
        <v>7035</v>
      </c>
      <c r="K79">
        <v>0</v>
      </c>
      <c r="L79">
        <v>125</v>
      </c>
      <c r="M79">
        <v>458</v>
      </c>
      <c r="N79">
        <f t="shared" si="2"/>
        <v>51336</v>
      </c>
      <c r="O79">
        <v>2</v>
      </c>
      <c r="P79">
        <v>8</v>
      </c>
      <c r="Q79">
        <v>7</v>
      </c>
      <c r="R79">
        <v>1</v>
      </c>
      <c r="S79">
        <v>5</v>
      </c>
      <c r="T79">
        <v>1</v>
      </c>
      <c r="U79">
        <v>8</v>
      </c>
      <c r="V79">
        <v>5</v>
      </c>
      <c r="W79">
        <v>3</v>
      </c>
      <c r="X79">
        <v>4</v>
      </c>
      <c r="Y79">
        <v>3</v>
      </c>
      <c r="Z79">
        <v>0</v>
      </c>
      <c r="AA79">
        <f t="shared" si="3"/>
        <v>47</v>
      </c>
      <c r="AB79" t="s">
        <v>45</v>
      </c>
      <c r="AC79">
        <v>89.25</v>
      </c>
      <c r="AD79">
        <v>10.39</v>
      </c>
      <c r="AE79">
        <v>20.21</v>
      </c>
      <c r="AF79">
        <v>31.45</v>
      </c>
      <c r="AG79">
        <v>77.14</v>
      </c>
      <c r="AH79">
        <v>37.39</v>
      </c>
      <c r="AI79">
        <v>202.94</v>
      </c>
      <c r="AJ79">
        <v>50.18</v>
      </c>
      <c r="AK79">
        <v>80.489999999999995</v>
      </c>
      <c r="AL79">
        <v>10.19</v>
      </c>
      <c r="AM79">
        <v>11.39</v>
      </c>
      <c r="AN79">
        <v>14.57</v>
      </c>
      <c r="AO79">
        <v>635.59</v>
      </c>
    </row>
    <row r="80" spans="1:41" x14ac:dyDescent="0.25">
      <c r="A80" t="s">
        <v>140</v>
      </c>
      <c r="B80">
        <v>7873</v>
      </c>
      <c r="C80">
        <v>196</v>
      </c>
      <c r="D80">
        <v>3309</v>
      </c>
      <c r="E80">
        <v>7038</v>
      </c>
      <c r="F80">
        <v>8438</v>
      </c>
      <c r="G80">
        <v>3414</v>
      </c>
      <c r="H80">
        <v>127</v>
      </c>
      <c r="I80">
        <v>0</v>
      </c>
      <c r="J80">
        <v>2935</v>
      </c>
      <c r="K80">
        <v>231</v>
      </c>
      <c r="L80">
        <v>1000</v>
      </c>
      <c r="M80">
        <v>4903</v>
      </c>
      <c r="N80">
        <f t="shared" si="2"/>
        <v>39464</v>
      </c>
      <c r="O80">
        <v>3</v>
      </c>
      <c r="P80">
        <v>1</v>
      </c>
      <c r="Q80">
        <v>2</v>
      </c>
      <c r="R80">
        <v>5</v>
      </c>
      <c r="S80">
        <v>11</v>
      </c>
      <c r="T80">
        <v>1</v>
      </c>
      <c r="U80">
        <v>4</v>
      </c>
      <c r="V80">
        <v>1</v>
      </c>
      <c r="W80">
        <v>4</v>
      </c>
      <c r="X80">
        <v>2</v>
      </c>
      <c r="Y80">
        <v>3</v>
      </c>
      <c r="Z80">
        <v>6</v>
      </c>
      <c r="AA80">
        <f t="shared" si="3"/>
        <v>43</v>
      </c>
      <c r="AB80" t="s">
        <v>45</v>
      </c>
      <c r="AC80">
        <v>88.87</v>
      </c>
      <c r="AD80">
        <v>12</v>
      </c>
      <c r="AE80">
        <v>43.18</v>
      </c>
      <c r="AF80">
        <v>80.62</v>
      </c>
      <c r="AG80">
        <v>94.92</v>
      </c>
      <c r="AH80">
        <v>44.18</v>
      </c>
      <c r="AI80">
        <v>11.46</v>
      </c>
      <c r="AJ80">
        <v>10.039999999999999</v>
      </c>
      <c r="AK80">
        <v>39.54</v>
      </c>
      <c r="AL80">
        <v>12.4</v>
      </c>
      <c r="AM80">
        <v>20.14</v>
      </c>
      <c r="AN80">
        <v>59.32</v>
      </c>
      <c r="AO80">
        <v>516.67000000000007</v>
      </c>
    </row>
    <row r="81" spans="1:41" x14ac:dyDescent="0.25">
      <c r="A81" t="s">
        <v>141</v>
      </c>
      <c r="B81">
        <v>7855</v>
      </c>
      <c r="C81">
        <v>11094</v>
      </c>
      <c r="D81">
        <v>4149</v>
      </c>
      <c r="E81">
        <v>4126</v>
      </c>
      <c r="F81">
        <v>701</v>
      </c>
      <c r="G81">
        <v>0</v>
      </c>
      <c r="H81">
        <v>6399</v>
      </c>
      <c r="I81">
        <v>2937</v>
      </c>
      <c r="J81">
        <v>3670</v>
      </c>
      <c r="K81">
        <v>5056</v>
      </c>
      <c r="L81">
        <v>989</v>
      </c>
      <c r="M81">
        <v>0</v>
      </c>
      <c r="N81">
        <f t="shared" si="2"/>
        <v>46976</v>
      </c>
      <c r="O81">
        <v>0</v>
      </c>
      <c r="P81">
        <v>5</v>
      </c>
      <c r="Q81">
        <v>11</v>
      </c>
      <c r="R81">
        <v>8</v>
      </c>
      <c r="S81">
        <v>3</v>
      </c>
      <c r="T81">
        <v>3</v>
      </c>
      <c r="U81">
        <v>4</v>
      </c>
      <c r="V81">
        <v>2</v>
      </c>
      <c r="W81">
        <v>4</v>
      </c>
      <c r="X81">
        <v>6</v>
      </c>
      <c r="Y81">
        <v>12</v>
      </c>
      <c r="Z81">
        <v>2</v>
      </c>
      <c r="AA81">
        <f t="shared" si="3"/>
        <v>60</v>
      </c>
      <c r="AB81" t="s">
        <v>45</v>
      </c>
      <c r="AC81">
        <v>88.54</v>
      </c>
      <c r="AD81">
        <v>121.18</v>
      </c>
      <c r="AE81">
        <v>52.03</v>
      </c>
      <c r="AF81">
        <v>51.65</v>
      </c>
      <c r="AG81">
        <v>17.149999999999999</v>
      </c>
      <c r="AH81">
        <v>10.14</v>
      </c>
      <c r="AI81">
        <v>74.180000000000007</v>
      </c>
      <c r="AJ81">
        <v>39.46</v>
      </c>
      <c r="AK81">
        <v>46.89</v>
      </c>
      <c r="AL81">
        <v>60.85</v>
      </c>
      <c r="AM81">
        <v>20.48</v>
      </c>
      <c r="AN81">
        <v>10.09</v>
      </c>
      <c r="AO81">
        <v>592.64</v>
      </c>
    </row>
    <row r="82" spans="1:41" x14ac:dyDescent="0.25">
      <c r="A82" t="s">
        <v>142</v>
      </c>
      <c r="B82">
        <v>7794</v>
      </c>
      <c r="C82">
        <v>2826</v>
      </c>
      <c r="D82">
        <v>4447</v>
      </c>
      <c r="E82">
        <v>705</v>
      </c>
      <c r="F82">
        <v>1695</v>
      </c>
      <c r="G82">
        <v>2034</v>
      </c>
      <c r="H82">
        <v>5343</v>
      </c>
      <c r="I82">
        <v>993</v>
      </c>
      <c r="J82">
        <v>1483</v>
      </c>
      <c r="K82">
        <v>962</v>
      </c>
      <c r="L82">
        <v>7559</v>
      </c>
      <c r="M82">
        <v>4369</v>
      </c>
      <c r="N82">
        <f t="shared" si="2"/>
        <v>40210</v>
      </c>
      <c r="O82">
        <v>4</v>
      </c>
      <c r="P82">
        <v>3</v>
      </c>
      <c r="Q82">
        <v>2</v>
      </c>
      <c r="R82">
        <v>2</v>
      </c>
      <c r="S82">
        <v>0</v>
      </c>
      <c r="T82">
        <v>3</v>
      </c>
      <c r="U82">
        <v>13</v>
      </c>
      <c r="V82">
        <v>14</v>
      </c>
      <c r="W82">
        <v>0</v>
      </c>
      <c r="X82">
        <v>3</v>
      </c>
      <c r="Y82">
        <v>9</v>
      </c>
      <c r="Z82">
        <v>0</v>
      </c>
      <c r="AA82">
        <f t="shared" si="3"/>
        <v>53</v>
      </c>
      <c r="AB82" t="s">
        <v>45</v>
      </c>
      <c r="AC82">
        <v>88.13</v>
      </c>
      <c r="AD82">
        <v>38.4</v>
      </c>
      <c r="AE82">
        <v>54.56</v>
      </c>
      <c r="AF82">
        <v>17.14</v>
      </c>
      <c r="AG82">
        <v>26.94</v>
      </c>
      <c r="AH82">
        <v>30.48</v>
      </c>
      <c r="AI82">
        <v>64.069999999999993</v>
      </c>
      <c r="AJ82">
        <v>20.62</v>
      </c>
      <c r="AK82">
        <v>24.82</v>
      </c>
      <c r="AL82">
        <v>19.760000000000002</v>
      </c>
      <c r="AM82">
        <v>86.03</v>
      </c>
      <c r="AN82">
        <v>53.68</v>
      </c>
      <c r="AO82">
        <v>524.63</v>
      </c>
    </row>
    <row r="83" spans="1:41" x14ac:dyDescent="0.25">
      <c r="A83" t="s">
        <v>144</v>
      </c>
      <c r="B83">
        <v>7567</v>
      </c>
      <c r="C83">
        <v>1427</v>
      </c>
      <c r="D83">
        <v>2615</v>
      </c>
      <c r="E83">
        <v>4695</v>
      </c>
      <c r="F83">
        <v>10854</v>
      </c>
      <c r="G83">
        <v>9291</v>
      </c>
      <c r="H83">
        <v>0</v>
      </c>
      <c r="I83">
        <v>479</v>
      </c>
      <c r="J83">
        <v>0</v>
      </c>
      <c r="K83">
        <v>2816</v>
      </c>
      <c r="L83">
        <v>3853</v>
      </c>
      <c r="M83">
        <v>768</v>
      </c>
      <c r="N83">
        <f t="shared" si="2"/>
        <v>44365</v>
      </c>
      <c r="O83">
        <v>4</v>
      </c>
      <c r="P83">
        <v>3</v>
      </c>
      <c r="Q83">
        <v>8</v>
      </c>
      <c r="R83">
        <v>0</v>
      </c>
      <c r="S83">
        <v>6</v>
      </c>
      <c r="T83">
        <v>0</v>
      </c>
      <c r="U83">
        <v>8</v>
      </c>
      <c r="V83">
        <v>1</v>
      </c>
      <c r="W83">
        <v>3</v>
      </c>
      <c r="X83">
        <v>1</v>
      </c>
      <c r="Y83">
        <v>4</v>
      </c>
      <c r="Z83">
        <v>8</v>
      </c>
      <c r="AA83">
        <f t="shared" si="3"/>
        <v>46</v>
      </c>
      <c r="AB83" t="s">
        <v>45</v>
      </c>
      <c r="AC83">
        <v>85.86</v>
      </c>
      <c r="AD83">
        <v>24.41</v>
      </c>
      <c r="AE83">
        <v>36.54</v>
      </c>
      <c r="AF83">
        <v>56.94</v>
      </c>
      <c r="AG83">
        <v>118.83</v>
      </c>
      <c r="AH83">
        <v>102.9</v>
      </c>
      <c r="AI83">
        <v>10.39</v>
      </c>
      <c r="AJ83">
        <v>14.83</v>
      </c>
      <c r="AK83">
        <v>10.14</v>
      </c>
      <c r="AL83">
        <v>38.200000000000003</v>
      </c>
      <c r="AM83">
        <v>48.72</v>
      </c>
      <c r="AN83">
        <v>18.07</v>
      </c>
      <c r="AO83">
        <v>565.83000000000004</v>
      </c>
    </row>
    <row r="84" spans="1:41" x14ac:dyDescent="0.25">
      <c r="A84" t="s">
        <v>146</v>
      </c>
      <c r="B84">
        <v>7419</v>
      </c>
      <c r="C84">
        <v>4647</v>
      </c>
      <c r="D84">
        <v>683</v>
      </c>
      <c r="E84">
        <v>2297</v>
      </c>
      <c r="F84">
        <v>1231</v>
      </c>
      <c r="G84">
        <v>2522</v>
      </c>
      <c r="H84">
        <v>1117</v>
      </c>
      <c r="I84">
        <v>3500</v>
      </c>
      <c r="J84">
        <v>1117</v>
      </c>
      <c r="K84">
        <v>11522</v>
      </c>
      <c r="L84">
        <v>10699</v>
      </c>
      <c r="M84">
        <v>2245</v>
      </c>
      <c r="N84">
        <f t="shared" si="2"/>
        <v>48999</v>
      </c>
      <c r="O84">
        <v>1</v>
      </c>
      <c r="P84">
        <v>8</v>
      </c>
      <c r="Q84">
        <v>3</v>
      </c>
      <c r="R84">
        <v>3</v>
      </c>
      <c r="S84">
        <v>2</v>
      </c>
      <c r="T84">
        <v>4</v>
      </c>
      <c r="U84">
        <v>0</v>
      </c>
      <c r="V84">
        <v>2</v>
      </c>
      <c r="W84">
        <v>8</v>
      </c>
      <c r="X84">
        <v>1</v>
      </c>
      <c r="Y84">
        <v>2</v>
      </c>
      <c r="Z84">
        <v>9</v>
      </c>
      <c r="AA84">
        <f t="shared" si="3"/>
        <v>43</v>
      </c>
      <c r="AB84" t="s">
        <v>45</v>
      </c>
      <c r="AC84">
        <v>84.23</v>
      </c>
      <c r="AD84">
        <v>56.86</v>
      </c>
      <c r="AE84">
        <v>16.97</v>
      </c>
      <c r="AF84">
        <v>33.11</v>
      </c>
      <c r="AG84">
        <v>22.4</v>
      </c>
      <c r="AH84">
        <v>35.409999999999997</v>
      </c>
      <c r="AI84">
        <v>21.16</v>
      </c>
      <c r="AJ84">
        <v>45.09</v>
      </c>
      <c r="AK84">
        <v>21.56</v>
      </c>
      <c r="AL84">
        <v>125.26</v>
      </c>
      <c r="AM84">
        <v>117.08</v>
      </c>
      <c r="AN84">
        <v>32.89</v>
      </c>
      <c r="AO84">
        <v>612.02</v>
      </c>
    </row>
    <row r="85" spans="1:41" x14ac:dyDescent="0.25">
      <c r="A85" t="s">
        <v>147</v>
      </c>
      <c r="B85">
        <v>7398</v>
      </c>
      <c r="C85">
        <v>3588</v>
      </c>
      <c r="D85">
        <v>276</v>
      </c>
      <c r="E85">
        <v>1755</v>
      </c>
      <c r="F85">
        <v>645</v>
      </c>
      <c r="G85">
        <v>2168</v>
      </c>
      <c r="H85">
        <v>2564</v>
      </c>
      <c r="I85">
        <v>1661</v>
      </c>
      <c r="J85">
        <v>4480</v>
      </c>
      <c r="K85">
        <v>1658</v>
      </c>
      <c r="L85">
        <v>2033</v>
      </c>
      <c r="M85">
        <v>11002</v>
      </c>
      <c r="N85">
        <f t="shared" si="2"/>
        <v>39228</v>
      </c>
      <c r="O85">
        <v>9</v>
      </c>
      <c r="P85">
        <v>2</v>
      </c>
      <c r="Q85">
        <v>6</v>
      </c>
      <c r="R85">
        <v>6</v>
      </c>
      <c r="S85">
        <v>0</v>
      </c>
      <c r="T85">
        <v>3</v>
      </c>
      <c r="U85">
        <v>4</v>
      </c>
      <c r="V85">
        <v>0</v>
      </c>
      <c r="W85">
        <v>2</v>
      </c>
      <c r="X85">
        <v>4</v>
      </c>
      <c r="Y85">
        <v>22</v>
      </c>
      <c r="Z85">
        <v>2</v>
      </c>
      <c r="AA85">
        <f t="shared" si="3"/>
        <v>60</v>
      </c>
      <c r="AB85" t="s">
        <v>45</v>
      </c>
      <c r="AC85">
        <v>84.42</v>
      </c>
      <c r="AD85">
        <v>45.97</v>
      </c>
      <c r="AE85">
        <v>13.05</v>
      </c>
      <c r="AF85">
        <v>27.84</v>
      </c>
      <c r="AG85">
        <v>16.440000000000001</v>
      </c>
      <c r="AH85">
        <v>31.82</v>
      </c>
      <c r="AI85">
        <v>35.83</v>
      </c>
      <c r="AJ85">
        <v>26.6</v>
      </c>
      <c r="AK85">
        <v>54.89</v>
      </c>
      <c r="AL85">
        <v>26.77</v>
      </c>
      <c r="AM85">
        <v>31.42</v>
      </c>
      <c r="AN85">
        <v>120.11</v>
      </c>
      <c r="AO85">
        <v>515.16</v>
      </c>
    </row>
    <row r="86" spans="1:41" x14ac:dyDescent="0.25">
      <c r="A86" t="s">
        <v>148</v>
      </c>
      <c r="B86">
        <v>7299</v>
      </c>
      <c r="C86">
        <v>802</v>
      </c>
      <c r="D86">
        <v>740</v>
      </c>
      <c r="E86">
        <v>949</v>
      </c>
      <c r="F86">
        <v>15171</v>
      </c>
      <c r="G86">
        <v>20</v>
      </c>
      <c r="H86">
        <v>4660</v>
      </c>
      <c r="I86">
        <v>0</v>
      </c>
      <c r="J86">
        <v>3985</v>
      </c>
      <c r="K86">
        <v>1230</v>
      </c>
      <c r="L86">
        <v>1035</v>
      </c>
      <c r="M86">
        <v>2870</v>
      </c>
      <c r="N86">
        <f t="shared" si="2"/>
        <v>38761</v>
      </c>
      <c r="O86">
        <v>10</v>
      </c>
      <c r="P86">
        <v>4</v>
      </c>
      <c r="Q86">
        <v>2</v>
      </c>
      <c r="R86">
        <v>4</v>
      </c>
      <c r="S86">
        <v>7</v>
      </c>
      <c r="T86">
        <v>8</v>
      </c>
      <c r="U86">
        <v>3</v>
      </c>
      <c r="V86">
        <v>0</v>
      </c>
      <c r="W86">
        <v>3</v>
      </c>
      <c r="X86">
        <v>3</v>
      </c>
      <c r="Y86">
        <v>9</v>
      </c>
      <c r="Z86">
        <v>10</v>
      </c>
      <c r="AA86">
        <f t="shared" si="3"/>
        <v>63</v>
      </c>
      <c r="AB86" t="s">
        <v>45</v>
      </c>
      <c r="AC86">
        <v>83.48</v>
      </c>
      <c r="AD86">
        <v>18.21</v>
      </c>
      <c r="AE86">
        <v>17.489999999999998</v>
      </c>
      <c r="AF86">
        <v>19.68</v>
      </c>
      <c r="AG86">
        <v>162.05000000000001</v>
      </c>
      <c r="AH86">
        <v>10.59</v>
      </c>
      <c r="AI86">
        <v>56.74</v>
      </c>
      <c r="AJ86">
        <v>9.99</v>
      </c>
      <c r="AK86">
        <v>49.99</v>
      </c>
      <c r="AL86">
        <v>22.44</v>
      </c>
      <c r="AM86">
        <v>20.79</v>
      </c>
      <c r="AN86">
        <v>39.19</v>
      </c>
      <c r="AO86">
        <v>510.64</v>
      </c>
    </row>
    <row r="87" spans="1:41" x14ac:dyDescent="0.25">
      <c r="A87" t="s">
        <v>150</v>
      </c>
      <c r="B87">
        <v>7220</v>
      </c>
      <c r="C87">
        <v>5395</v>
      </c>
      <c r="D87">
        <v>6440</v>
      </c>
      <c r="E87">
        <v>3443</v>
      </c>
      <c r="F87">
        <v>2810</v>
      </c>
      <c r="G87">
        <v>7367</v>
      </c>
      <c r="H87">
        <v>1254</v>
      </c>
      <c r="I87">
        <v>2732</v>
      </c>
      <c r="J87">
        <v>3243</v>
      </c>
      <c r="K87">
        <v>8650</v>
      </c>
      <c r="L87">
        <v>301</v>
      </c>
      <c r="M87">
        <v>658</v>
      </c>
      <c r="N87">
        <f t="shared" si="2"/>
        <v>49513</v>
      </c>
      <c r="O87">
        <v>3</v>
      </c>
      <c r="P87">
        <v>1</v>
      </c>
      <c r="Q87">
        <v>9</v>
      </c>
      <c r="R87">
        <v>7</v>
      </c>
      <c r="S87">
        <v>3</v>
      </c>
      <c r="T87">
        <v>5</v>
      </c>
      <c r="U87">
        <v>1</v>
      </c>
      <c r="V87">
        <v>3</v>
      </c>
      <c r="W87">
        <v>2</v>
      </c>
      <c r="X87">
        <v>1</v>
      </c>
      <c r="Y87">
        <v>9</v>
      </c>
      <c r="Z87">
        <v>5</v>
      </c>
      <c r="AA87">
        <f t="shared" si="3"/>
        <v>49</v>
      </c>
      <c r="AB87" t="s">
        <v>45</v>
      </c>
      <c r="AC87">
        <v>82.34</v>
      </c>
      <c r="AD87">
        <v>63.99</v>
      </c>
      <c r="AE87">
        <v>74.84</v>
      </c>
      <c r="AF87">
        <v>44.77</v>
      </c>
      <c r="AG87">
        <v>38.24</v>
      </c>
      <c r="AH87">
        <v>83.91</v>
      </c>
      <c r="AI87">
        <v>22.58</v>
      </c>
      <c r="AJ87">
        <v>37.46</v>
      </c>
      <c r="AK87">
        <v>42.52</v>
      </c>
      <c r="AL87">
        <v>96.54</v>
      </c>
      <c r="AM87">
        <v>13.45</v>
      </c>
      <c r="AN87">
        <v>16.82</v>
      </c>
      <c r="AO87">
        <v>617.46</v>
      </c>
    </row>
    <row r="88" spans="1:41" x14ac:dyDescent="0.25">
      <c r="A88" t="s">
        <v>151</v>
      </c>
      <c r="B88">
        <v>7202</v>
      </c>
      <c r="C88">
        <v>1623</v>
      </c>
      <c r="D88">
        <v>0</v>
      </c>
      <c r="E88">
        <v>7905</v>
      </c>
      <c r="F88">
        <v>4229</v>
      </c>
      <c r="G88">
        <v>0</v>
      </c>
      <c r="H88">
        <v>4688</v>
      </c>
      <c r="I88">
        <v>766</v>
      </c>
      <c r="J88">
        <v>0</v>
      </c>
      <c r="K88">
        <v>2484</v>
      </c>
      <c r="L88">
        <v>78</v>
      </c>
      <c r="M88">
        <v>12230</v>
      </c>
      <c r="N88">
        <f t="shared" si="2"/>
        <v>41205</v>
      </c>
      <c r="O88">
        <v>11</v>
      </c>
      <c r="P88">
        <v>9</v>
      </c>
      <c r="Q88">
        <v>3</v>
      </c>
      <c r="R88">
        <v>3</v>
      </c>
      <c r="S88">
        <v>4</v>
      </c>
      <c r="T88">
        <v>2</v>
      </c>
      <c r="U88">
        <v>5</v>
      </c>
      <c r="V88">
        <v>0</v>
      </c>
      <c r="W88">
        <v>2</v>
      </c>
      <c r="X88">
        <v>4</v>
      </c>
      <c r="Y88">
        <v>4</v>
      </c>
      <c r="Z88">
        <v>8</v>
      </c>
      <c r="AA88">
        <f t="shared" si="3"/>
        <v>55</v>
      </c>
      <c r="AB88" t="s">
        <v>45</v>
      </c>
      <c r="AC88">
        <v>82.56</v>
      </c>
      <c r="AD88">
        <v>26.67</v>
      </c>
      <c r="AE88">
        <v>10.14</v>
      </c>
      <c r="AF88">
        <v>89.19</v>
      </c>
      <c r="AG88">
        <v>52.48</v>
      </c>
      <c r="AH88">
        <v>10.09</v>
      </c>
      <c r="AI88">
        <v>57.12</v>
      </c>
      <c r="AJ88">
        <v>17.649999999999999</v>
      </c>
      <c r="AK88">
        <v>10.09</v>
      </c>
      <c r="AL88">
        <v>35.03</v>
      </c>
      <c r="AM88">
        <v>10.97</v>
      </c>
      <c r="AN88">
        <v>132.69</v>
      </c>
      <c r="AO88">
        <v>534.68000000000006</v>
      </c>
    </row>
    <row r="89" spans="1:41" x14ac:dyDescent="0.25">
      <c r="A89" t="s">
        <v>152</v>
      </c>
      <c r="B89">
        <v>7195</v>
      </c>
      <c r="C89">
        <v>3007</v>
      </c>
      <c r="D89">
        <v>3733</v>
      </c>
      <c r="E89">
        <v>1873</v>
      </c>
      <c r="F89">
        <v>3438</v>
      </c>
      <c r="G89">
        <v>13981</v>
      </c>
      <c r="H89">
        <v>1755</v>
      </c>
      <c r="I89">
        <v>4591</v>
      </c>
      <c r="J89">
        <v>0</v>
      </c>
      <c r="K89">
        <v>0</v>
      </c>
      <c r="L89">
        <v>4585</v>
      </c>
      <c r="M89">
        <v>5968</v>
      </c>
      <c r="N89">
        <f t="shared" si="2"/>
        <v>50126</v>
      </c>
      <c r="O89">
        <v>3</v>
      </c>
      <c r="P89">
        <v>3</v>
      </c>
      <c r="Q89">
        <v>4</v>
      </c>
      <c r="R89">
        <v>0</v>
      </c>
      <c r="S89">
        <v>6</v>
      </c>
      <c r="T89">
        <v>9</v>
      </c>
      <c r="U89">
        <v>2</v>
      </c>
      <c r="V89">
        <v>10</v>
      </c>
      <c r="W89">
        <v>22</v>
      </c>
      <c r="X89">
        <v>1</v>
      </c>
      <c r="Y89">
        <v>1</v>
      </c>
      <c r="Z89">
        <v>11</v>
      </c>
      <c r="AA89">
        <f t="shared" si="3"/>
        <v>72</v>
      </c>
      <c r="AB89" t="s">
        <v>45</v>
      </c>
      <c r="AC89">
        <v>82.09</v>
      </c>
      <c r="AD89">
        <v>40.21</v>
      </c>
      <c r="AE89">
        <v>47.52</v>
      </c>
      <c r="AF89">
        <v>28.72</v>
      </c>
      <c r="AG89">
        <v>44.67</v>
      </c>
      <c r="AH89">
        <v>150.25</v>
      </c>
      <c r="AI89">
        <v>27.64</v>
      </c>
      <c r="AJ89">
        <v>56.4</v>
      </c>
      <c r="AK89">
        <v>11.09</v>
      </c>
      <c r="AL89">
        <v>10.039999999999999</v>
      </c>
      <c r="AM89">
        <v>55.89</v>
      </c>
      <c r="AN89">
        <v>70.22</v>
      </c>
      <c r="AO89">
        <v>624.74</v>
      </c>
    </row>
    <row r="90" spans="1:41" x14ac:dyDescent="0.25">
      <c r="A90" t="s">
        <v>153</v>
      </c>
      <c r="B90">
        <v>7193</v>
      </c>
      <c r="C90">
        <v>10814</v>
      </c>
      <c r="D90">
        <v>2580</v>
      </c>
      <c r="E90">
        <v>9797</v>
      </c>
      <c r="F90">
        <v>5085</v>
      </c>
      <c r="G90">
        <v>170</v>
      </c>
      <c r="H90">
        <v>8650</v>
      </c>
      <c r="I90">
        <v>3154</v>
      </c>
      <c r="J90">
        <v>1393</v>
      </c>
      <c r="K90">
        <v>3944</v>
      </c>
      <c r="L90">
        <v>2432</v>
      </c>
      <c r="M90">
        <v>144</v>
      </c>
      <c r="N90">
        <f t="shared" si="2"/>
        <v>55356</v>
      </c>
      <c r="O90">
        <v>4</v>
      </c>
      <c r="P90">
        <v>5</v>
      </c>
      <c r="Q90">
        <v>3</v>
      </c>
      <c r="R90">
        <v>5</v>
      </c>
      <c r="S90">
        <v>0</v>
      </c>
      <c r="T90">
        <v>8</v>
      </c>
      <c r="U90">
        <v>10</v>
      </c>
      <c r="V90">
        <v>0</v>
      </c>
      <c r="W90">
        <v>8</v>
      </c>
      <c r="X90">
        <v>1</v>
      </c>
      <c r="Y90">
        <v>2</v>
      </c>
      <c r="Z90">
        <v>5</v>
      </c>
      <c r="AA90">
        <f t="shared" si="3"/>
        <v>51</v>
      </c>
      <c r="AB90" t="s">
        <v>45</v>
      </c>
      <c r="AC90">
        <v>82.12</v>
      </c>
      <c r="AD90">
        <v>118.38</v>
      </c>
      <c r="AE90">
        <v>35.94</v>
      </c>
      <c r="AF90">
        <v>108.21</v>
      </c>
      <c r="AG90">
        <v>60.84</v>
      </c>
      <c r="AH90">
        <v>12.09</v>
      </c>
      <c r="AI90">
        <v>96.99</v>
      </c>
      <c r="AJ90">
        <v>41.53</v>
      </c>
      <c r="AK90">
        <v>24.32</v>
      </c>
      <c r="AL90">
        <v>49.48</v>
      </c>
      <c r="AM90">
        <v>34.409999999999997</v>
      </c>
      <c r="AN90">
        <v>11.68</v>
      </c>
      <c r="AO90">
        <v>675.9899999999999</v>
      </c>
    </row>
    <row r="91" spans="1:41" x14ac:dyDescent="0.25">
      <c r="A91" t="s">
        <v>154</v>
      </c>
      <c r="B91">
        <v>7193</v>
      </c>
      <c r="C91">
        <v>9290</v>
      </c>
      <c r="D91">
        <v>7721</v>
      </c>
      <c r="E91">
        <v>5651</v>
      </c>
      <c r="F91">
        <v>539</v>
      </c>
      <c r="G91">
        <v>630</v>
      </c>
      <c r="H91">
        <v>1619</v>
      </c>
      <c r="I91">
        <v>4091</v>
      </c>
      <c r="J91">
        <v>5978</v>
      </c>
      <c r="K91">
        <v>1741</v>
      </c>
      <c r="L91">
        <v>881</v>
      </c>
      <c r="M91">
        <v>2054</v>
      </c>
      <c r="N91">
        <f t="shared" si="2"/>
        <v>47388</v>
      </c>
      <c r="O91">
        <v>2</v>
      </c>
      <c r="P91">
        <v>5</v>
      </c>
      <c r="Q91">
        <v>2</v>
      </c>
      <c r="R91">
        <v>8</v>
      </c>
      <c r="S91">
        <v>3</v>
      </c>
      <c r="T91">
        <v>0</v>
      </c>
      <c r="U91">
        <v>4</v>
      </c>
      <c r="V91">
        <v>2</v>
      </c>
      <c r="W91">
        <v>1</v>
      </c>
      <c r="X91">
        <v>2</v>
      </c>
      <c r="Y91">
        <v>1</v>
      </c>
      <c r="Z91">
        <v>6</v>
      </c>
      <c r="AA91">
        <f t="shared" si="3"/>
        <v>36</v>
      </c>
      <c r="AB91" t="s">
        <v>45</v>
      </c>
      <c r="AC91">
        <v>82.02</v>
      </c>
      <c r="AD91">
        <v>103.14</v>
      </c>
      <c r="AE91">
        <v>87.3</v>
      </c>
      <c r="AF91">
        <v>66.900000000000006</v>
      </c>
      <c r="AG91">
        <v>15.53</v>
      </c>
      <c r="AH91">
        <v>16.29</v>
      </c>
      <c r="AI91">
        <v>26.38</v>
      </c>
      <c r="AJ91">
        <v>51</v>
      </c>
      <c r="AK91">
        <v>69.819999999999993</v>
      </c>
      <c r="AL91">
        <v>27.5</v>
      </c>
      <c r="AM91">
        <v>18.850000000000001</v>
      </c>
      <c r="AN91">
        <v>30.83</v>
      </c>
      <c r="AO91">
        <v>595.56000000000006</v>
      </c>
    </row>
    <row r="92" spans="1:41" x14ac:dyDescent="0.25">
      <c r="A92" t="s">
        <v>155</v>
      </c>
      <c r="B92">
        <v>7151</v>
      </c>
      <c r="C92">
        <v>4122</v>
      </c>
      <c r="D92">
        <v>0</v>
      </c>
      <c r="E92">
        <v>4504</v>
      </c>
      <c r="F92">
        <v>475</v>
      </c>
      <c r="G92">
        <v>1659</v>
      </c>
      <c r="H92">
        <v>4472</v>
      </c>
      <c r="I92">
        <v>7816</v>
      </c>
      <c r="J92">
        <v>2210</v>
      </c>
      <c r="K92">
        <v>6079</v>
      </c>
      <c r="L92">
        <v>5711</v>
      </c>
      <c r="M92">
        <v>991</v>
      </c>
      <c r="N92">
        <f t="shared" si="2"/>
        <v>45190</v>
      </c>
      <c r="O92">
        <v>3</v>
      </c>
      <c r="P92">
        <v>2</v>
      </c>
      <c r="Q92">
        <v>1</v>
      </c>
      <c r="R92">
        <v>2</v>
      </c>
      <c r="S92">
        <v>8</v>
      </c>
      <c r="T92">
        <v>4</v>
      </c>
      <c r="U92">
        <v>1</v>
      </c>
      <c r="V92">
        <v>2</v>
      </c>
      <c r="W92">
        <v>2</v>
      </c>
      <c r="X92">
        <v>1</v>
      </c>
      <c r="Y92">
        <v>3</v>
      </c>
      <c r="Z92">
        <v>3</v>
      </c>
      <c r="AA92">
        <f t="shared" si="3"/>
        <v>32</v>
      </c>
      <c r="AB92" t="s">
        <v>45</v>
      </c>
      <c r="AC92">
        <v>81.650000000000006</v>
      </c>
      <c r="AD92">
        <v>51.31</v>
      </c>
      <c r="AE92">
        <v>10.039999999999999</v>
      </c>
      <c r="AF92">
        <v>55.13</v>
      </c>
      <c r="AG92">
        <v>15.14</v>
      </c>
      <c r="AH92">
        <v>26.78</v>
      </c>
      <c r="AI92">
        <v>54.76</v>
      </c>
      <c r="AJ92">
        <v>88.25</v>
      </c>
      <c r="AK92">
        <v>32.19</v>
      </c>
      <c r="AL92">
        <v>70.83</v>
      </c>
      <c r="AM92">
        <v>67.25</v>
      </c>
      <c r="AN92">
        <v>20.05</v>
      </c>
      <c r="AO92">
        <v>573.37999999999988</v>
      </c>
    </row>
    <row r="93" spans="1:41" x14ac:dyDescent="0.25">
      <c r="A93" t="s">
        <v>156</v>
      </c>
      <c r="B93">
        <v>7116</v>
      </c>
      <c r="C93">
        <v>1720</v>
      </c>
      <c r="D93">
        <v>984</v>
      </c>
      <c r="E93">
        <v>1033</v>
      </c>
      <c r="F93">
        <v>2462</v>
      </c>
      <c r="G93">
        <v>18058</v>
      </c>
      <c r="H93">
        <v>35</v>
      </c>
      <c r="I93">
        <v>616</v>
      </c>
      <c r="J93">
        <v>2824</v>
      </c>
      <c r="K93">
        <v>2073</v>
      </c>
      <c r="L93">
        <v>2198</v>
      </c>
      <c r="M93">
        <v>1931</v>
      </c>
      <c r="N93">
        <f t="shared" si="2"/>
        <v>41050</v>
      </c>
      <c r="O93">
        <v>5</v>
      </c>
      <c r="P93">
        <v>0</v>
      </c>
      <c r="Q93">
        <v>12</v>
      </c>
      <c r="R93">
        <v>8</v>
      </c>
      <c r="S93">
        <v>2</v>
      </c>
      <c r="T93">
        <v>2</v>
      </c>
      <c r="U93">
        <v>0</v>
      </c>
      <c r="V93">
        <v>3</v>
      </c>
      <c r="W93">
        <v>1</v>
      </c>
      <c r="X93">
        <v>4</v>
      </c>
      <c r="Y93">
        <v>1</v>
      </c>
      <c r="Z93">
        <v>2</v>
      </c>
      <c r="AA93">
        <f t="shared" si="3"/>
        <v>40</v>
      </c>
      <c r="AB93" t="s">
        <v>45</v>
      </c>
      <c r="AC93">
        <v>81.400000000000006</v>
      </c>
      <c r="AD93">
        <v>27.19</v>
      </c>
      <c r="AE93">
        <v>20.43</v>
      </c>
      <c r="AF93">
        <v>20.72</v>
      </c>
      <c r="AG93">
        <v>34.71</v>
      </c>
      <c r="AH93">
        <v>190.67</v>
      </c>
      <c r="AI93">
        <v>10.34</v>
      </c>
      <c r="AJ93">
        <v>16.3</v>
      </c>
      <c r="AK93">
        <v>38.28</v>
      </c>
      <c r="AL93">
        <v>30.92</v>
      </c>
      <c r="AM93">
        <v>32.020000000000003</v>
      </c>
      <c r="AN93">
        <v>29.4</v>
      </c>
      <c r="AO93">
        <v>532.38</v>
      </c>
    </row>
    <row r="94" spans="1:41" x14ac:dyDescent="0.25">
      <c r="A94" t="s">
        <v>157</v>
      </c>
      <c r="B94">
        <v>7103</v>
      </c>
      <c r="C94">
        <v>1548</v>
      </c>
      <c r="D94">
        <v>3727</v>
      </c>
      <c r="E94">
        <v>10629</v>
      </c>
      <c r="F94">
        <v>6088</v>
      </c>
      <c r="G94">
        <v>0</v>
      </c>
      <c r="H94">
        <v>557</v>
      </c>
      <c r="I94">
        <v>1361</v>
      </c>
      <c r="J94">
        <v>9895</v>
      </c>
      <c r="K94">
        <v>15254</v>
      </c>
      <c r="L94">
        <v>1348</v>
      </c>
      <c r="M94">
        <v>4655</v>
      </c>
      <c r="N94">
        <f t="shared" si="2"/>
        <v>62165</v>
      </c>
      <c r="O94">
        <v>4</v>
      </c>
      <c r="P94">
        <v>4</v>
      </c>
      <c r="Q94">
        <v>2</v>
      </c>
      <c r="R94">
        <v>3</v>
      </c>
      <c r="S94">
        <v>2</v>
      </c>
      <c r="T94">
        <v>1</v>
      </c>
      <c r="U94">
        <v>0</v>
      </c>
      <c r="V94">
        <v>18</v>
      </c>
      <c r="W94">
        <v>4</v>
      </c>
      <c r="X94">
        <v>5</v>
      </c>
      <c r="Y94">
        <v>10</v>
      </c>
      <c r="Z94">
        <v>21</v>
      </c>
      <c r="AA94">
        <f t="shared" si="3"/>
        <v>74</v>
      </c>
      <c r="AB94" t="s">
        <v>45</v>
      </c>
      <c r="AC94">
        <v>81.22</v>
      </c>
      <c r="AD94">
        <v>25.67</v>
      </c>
      <c r="AE94">
        <v>47.36</v>
      </c>
      <c r="AF94">
        <v>116.43</v>
      </c>
      <c r="AG94">
        <v>70.97</v>
      </c>
      <c r="AH94">
        <v>10.039999999999999</v>
      </c>
      <c r="AI94">
        <v>15.56</v>
      </c>
      <c r="AJ94">
        <v>24.5</v>
      </c>
      <c r="AK94">
        <v>109.14</v>
      </c>
      <c r="AL94">
        <v>162.78</v>
      </c>
      <c r="AM94">
        <v>23.97</v>
      </c>
      <c r="AN94">
        <v>57.59</v>
      </c>
      <c r="AO94">
        <v>745.23</v>
      </c>
    </row>
    <row r="95" spans="1:41" x14ac:dyDescent="0.25">
      <c r="A95" t="s">
        <v>159</v>
      </c>
      <c r="B95">
        <v>7076</v>
      </c>
      <c r="C95">
        <v>1129</v>
      </c>
      <c r="D95">
        <v>5624</v>
      </c>
      <c r="E95">
        <v>3331</v>
      </c>
      <c r="F95">
        <v>585</v>
      </c>
      <c r="G95">
        <v>3023</v>
      </c>
      <c r="H95">
        <v>2183</v>
      </c>
      <c r="I95">
        <v>1169</v>
      </c>
      <c r="J95">
        <v>8174</v>
      </c>
      <c r="K95">
        <v>2123</v>
      </c>
      <c r="L95">
        <v>7458</v>
      </c>
      <c r="M95">
        <v>7140</v>
      </c>
      <c r="N95">
        <f t="shared" si="2"/>
        <v>49015</v>
      </c>
      <c r="O95">
        <v>4</v>
      </c>
      <c r="P95">
        <v>3</v>
      </c>
      <c r="Q95">
        <v>2</v>
      </c>
      <c r="R95">
        <v>3</v>
      </c>
      <c r="S95">
        <v>4</v>
      </c>
      <c r="T95">
        <v>7</v>
      </c>
      <c r="U95">
        <v>6</v>
      </c>
      <c r="V95">
        <v>4</v>
      </c>
      <c r="W95">
        <v>10</v>
      </c>
      <c r="X95">
        <v>8</v>
      </c>
      <c r="Y95">
        <v>8</v>
      </c>
      <c r="Z95">
        <v>1</v>
      </c>
      <c r="AA95">
        <f t="shared" si="3"/>
        <v>60</v>
      </c>
      <c r="AB95" t="s">
        <v>45</v>
      </c>
      <c r="AC95">
        <v>80.95</v>
      </c>
      <c r="AD95">
        <v>21.43</v>
      </c>
      <c r="AE95">
        <v>66.33</v>
      </c>
      <c r="AF95">
        <v>43.45</v>
      </c>
      <c r="AG95">
        <v>16.04</v>
      </c>
      <c r="AH95">
        <v>40.57</v>
      </c>
      <c r="AI95">
        <v>32.119999999999997</v>
      </c>
      <c r="AJ95">
        <v>21.88</v>
      </c>
      <c r="AK95">
        <v>92.23</v>
      </c>
      <c r="AL95">
        <v>31.62</v>
      </c>
      <c r="AM95">
        <v>84.97</v>
      </c>
      <c r="AN95">
        <v>81.44</v>
      </c>
      <c r="AO95">
        <v>613.03</v>
      </c>
    </row>
    <row r="96" spans="1:41" x14ac:dyDescent="0.25">
      <c r="A96" t="s">
        <v>160</v>
      </c>
      <c r="B96">
        <v>6992</v>
      </c>
      <c r="C96">
        <v>4507</v>
      </c>
      <c r="D96">
        <v>6798</v>
      </c>
      <c r="E96">
        <v>377</v>
      </c>
      <c r="F96">
        <v>3322</v>
      </c>
      <c r="G96">
        <v>922</v>
      </c>
      <c r="H96">
        <v>103</v>
      </c>
      <c r="I96">
        <v>4659</v>
      </c>
      <c r="J96">
        <v>0</v>
      </c>
      <c r="K96">
        <v>2480</v>
      </c>
      <c r="L96">
        <v>5671</v>
      </c>
      <c r="M96">
        <v>1566</v>
      </c>
      <c r="N96">
        <f t="shared" si="2"/>
        <v>37397</v>
      </c>
      <c r="O96">
        <v>3</v>
      </c>
      <c r="P96">
        <v>4</v>
      </c>
      <c r="Q96">
        <v>3</v>
      </c>
      <c r="R96">
        <v>2</v>
      </c>
      <c r="S96">
        <v>12</v>
      </c>
      <c r="T96">
        <v>1</v>
      </c>
      <c r="U96">
        <v>15</v>
      </c>
      <c r="V96">
        <v>9</v>
      </c>
      <c r="W96">
        <v>1</v>
      </c>
      <c r="X96">
        <v>2</v>
      </c>
      <c r="Y96">
        <v>0</v>
      </c>
      <c r="Z96">
        <v>0</v>
      </c>
      <c r="AA96">
        <f t="shared" si="3"/>
        <v>52</v>
      </c>
      <c r="AB96" t="s">
        <v>45</v>
      </c>
      <c r="AC96">
        <v>80.06</v>
      </c>
      <c r="AD96">
        <v>55.26</v>
      </c>
      <c r="AE96">
        <v>78.12</v>
      </c>
      <c r="AF96">
        <v>13.86</v>
      </c>
      <c r="AG96">
        <v>43.81</v>
      </c>
      <c r="AH96">
        <v>19.260000000000002</v>
      </c>
      <c r="AI96">
        <v>11.77</v>
      </c>
      <c r="AJ96">
        <v>57.03</v>
      </c>
      <c r="AK96">
        <v>10.039999999999999</v>
      </c>
      <c r="AL96">
        <v>34.89</v>
      </c>
      <c r="AM96">
        <v>66.7</v>
      </c>
      <c r="AN96">
        <v>25.65</v>
      </c>
      <c r="AO96">
        <v>496.44999999999993</v>
      </c>
    </row>
    <row r="97" spans="1:41" x14ac:dyDescent="0.25">
      <c r="A97" t="s">
        <v>161</v>
      </c>
      <c r="B97">
        <v>6988</v>
      </c>
      <c r="C97">
        <v>11767</v>
      </c>
      <c r="D97">
        <v>2554</v>
      </c>
      <c r="E97">
        <v>12666</v>
      </c>
      <c r="F97">
        <v>2724</v>
      </c>
      <c r="G97">
        <v>1662</v>
      </c>
      <c r="H97">
        <v>5012</v>
      </c>
      <c r="I97">
        <v>886</v>
      </c>
      <c r="J97">
        <v>637</v>
      </c>
      <c r="K97">
        <v>3613</v>
      </c>
      <c r="L97">
        <v>2434</v>
      </c>
      <c r="M97">
        <v>0</v>
      </c>
      <c r="N97">
        <f t="shared" si="2"/>
        <v>50943</v>
      </c>
      <c r="O97">
        <v>3</v>
      </c>
      <c r="P97">
        <v>6</v>
      </c>
      <c r="Q97">
        <v>3</v>
      </c>
      <c r="R97">
        <v>3</v>
      </c>
      <c r="S97">
        <v>2</v>
      </c>
      <c r="T97">
        <v>1</v>
      </c>
      <c r="U97">
        <v>5</v>
      </c>
      <c r="V97">
        <v>2</v>
      </c>
      <c r="W97">
        <v>2</v>
      </c>
      <c r="X97">
        <v>7</v>
      </c>
      <c r="Y97">
        <v>4</v>
      </c>
      <c r="Z97">
        <v>13</v>
      </c>
      <c r="AA97">
        <f t="shared" si="3"/>
        <v>51</v>
      </c>
      <c r="AB97" t="s">
        <v>45</v>
      </c>
      <c r="AC97">
        <v>80.02</v>
      </c>
      <c r="AD97">
        <v>127.96</v>
      </c>
      <c r="AE97">
        <v>35.68</v>
      </c>
      <c r="AF97">
        <v>136.80000000000001</v>
      </c>
      <c r="AG97">
        <v>37.33</v>
      </c>
      <c r="AH97">
        <v>26.66</v>
      </c>
      <c r="AI97">
        <v>60.36</v>
      </c>
      <c r="AJ97">
        <v>18.95</v>
      </c>
      <c r="AK97">
        <v>16.46</v>
      </c>
      <c r="AL97">
        <v>46.47</v>
      </c>
      <c r="AM97">
        <v>34.53</v>
      </c>
      <c r="AN97">
        <v>10.64</v>
      </c>
      <c r="AO97">
        <v>631.86000000000013</v>
      </c>
    </row>
    <row r="98" spans="1:41" x14ac:dyDescent="0.25">
      <c r="A98" t="s">
        <v>163</v>
      </c>
      <c r="B98">
        <v>6960</v>
      </c>
      <c r="C98">
        <v>11546</v>
      </c>
      <c r="D98">
        <v>1913</v>
      </c>
      <c r="E98">
        <v>8044</v>
      </c>
      <c r="F98">
        <v>5887</v>
      </c>
      <c r="G98">
        <v>943</v>
      </c>
      <c r="H98">
        <v>951</v>
      </c>
      <c r="I98">
        <v>3855</v>
      </c>
      <c r="J98">
        <v>778</v>
      </c>
      <c r="K98">
        <v>1931</v>
      </c>
      <c r="L98">
        <v>2011</v>
      </c>
      <c r="M98">
        <v>4280</v>
      </c>
      <c r="N98">
        <f t="shared" si="2"/>
        <v>49099</v>
      </c>
      <c r="O98">
        <v>5</v>
      </c>
      <c r="P98">
        <v>5</v>
      </c>
      <c r="Q98">
        <v>2</v>
      </c>
      <c r="R98">
        <v>3</v>
      </c>
      <c r="S98">
        <v>2</v>
      </c>
      <c r="T98">
        <v>3</v>
      </c>
      <c r="U98">
        <v>4</v>
      </c>
      <c r="V98">
        <v>11</v>
      </c>
      <c r="W98">
        <v>3</v>
      </c>
      <c r="X98">
        <v>3</v>
      </c>
      <c r="Y98">
        <v>6</v>
      </c>
      <c r="Z98">
        <v>10</v>
      </c>
      <c r="AA98">
        <f t="shared" si="3"/>
        <v>57</v>
      </c>
      <c r="AB98" t="s">
        <v>45</v>
      </c>
      <c r="AC98">
        <v>79.84</v>
      </c>
      <c r="AD98">
        <v>125.7</v>
      </c>
      <c r="AE98">
        <v>29.22</v>
      </c>
      <c r="AF98">
        <v>90.58</v>
      </c>
      <c r="AG98">
        <v>68.959999999999994</v>
      </c>
      <c r="AH98">
        <v>19.57</v>
      </c>
      <c r="AI98">
        <v>19.7</v>
      </c>
      <c r="AJ98">
        <v>49.09</v>
      </c>
      <c r="AK98">
        <v>17.920000000000002</v>
      </c>
      <c r="AL98">
        <v>29.45</v>
      </c>
      <c r="AM98">
        <v>30.4</v>
      </c>
      <c r="AN98">
        <v>53.29</v>
      </c>
      <c r="AO98">
        <v>613.71999999999991</v>
      </c>
    </row>
    <row r="99" spans="1:41" x14ac:dyDescent="0.25">
      <c r="A99" t="s">
        <v>165</v>
      </c>
      <c r="B99">
        <v>6869</v>
      </c>
      <c r="C99">
        <v>5809</v>
      </c>
      <c r="D99">
        <v>12103</v>
      </c>
      <c r="E99">
        <v>0</v>
      </c>
      <c r="F99">
        <v>9063</v>
      </c>
      <c r="G99">
        <v>967</v>
      </c>
      <c r="H99">
        <v>2063</v>
      </c>
      <c r="I99">
        <v>2125</v>
      </c>
      <c r="J99">
        <v>3151</v>
      </c>
      <c r="K99">
        <v>19384</v>
      </c>
      <c r="L99">
        <v>3736</v>
      </c>
      <c r="M99">
        <v>9652</v>
      </c>
      <c r="N99">
        <f t="shared" si="2"/>
        <v>74922</v>
      </c>
      <c r="O99">
        <v>3</v>
      </c>
      <c r="P99">
        <v>4</v>
      </c>
      <c r="Q99">
        <v>17</v>
      </c>
      <c r="R99">
        <v>4</v>
      </c>
      <c r="S99">
        <v>3</v>
      </c>
      <c r="T99">
        <v>4</v>
      </c>
      <c r="U99">
        <v>8</v>
      </c>
      <c r="V99">
        <v>12</v>
      </c>
      <c r="W99">
        <v>6</v>
      </c>
      <c r="X99">
        <v>3</v>
      </c>
      <c r="Y99">
        <v>5</v>
      </c>
      <c r="Z99">
        <v>9</v>
      </c>
      <c r="AA99">
        <f t="shared" si="3"/>
        <v>78</v>
      </c>
      <c r="AB99" t="s">
        <v>45</v>
      </c>
      <c r="AC99">
        <v>78.83</v>
      </c>
      <c r="AD99">
        <v>68.28</v>
      </c>
      <c r="AE99">
        <v>131.87</v>
      </c>
      <c r="AF99">
        <v>10.19</v>
      </c>
      <c r="AG99">
        <v>100.77</v>
      </c>
      <c r="AH99">
        <v>19.86</v>
      </c>
      <c r="AI99">
        <v>31.02</v>
      </c>
      <c r="AJ99">
        <v>31.84</v>
      </c>
      <c r="AK99">
        <v>41.8</v>
      </c>
      <c r="AL99">
        <v>203.98</v>
      </c>
      <c r="AM99">
        <v>47.6</v>
      </c>
      <c r="AN99">
        <v>106.96</v>
      </c>
      <c r="AO99">
        <v>873</v>
      </c>
    </row>
    <row r="100" spans="1:41" x14ac:dyDescent="0.25">
      <c r="A100" t="s">
        <v>167</v>
      </c>
      <c r="B100">
        <v>6807</v>
      </c>
      <c r="C100">
        <v>797</v>
      </c>
      <c r="D100">
        <v>2383</v>
      </c>
      <c r="E100">
        <v>1648</v>
      </c>
      <c r="F100">
        <v>3194</v>
      </c>
      <c r="G100">
        <v>3477</v>
      </c>
      <c r="H100">
        <v>0</v>
      </c>
      <c r="I100">
        <v>2887</v>
      </c>
      <c r="J100">
        <v>8900</v>
      </c>
      <c r="K100">
        <v>7086</v>
      </c>
      <c r="L100">
        <v>2643</v>
      </c>
      <c r="M100">
        <v>2631</v>
      </c>
      <c r="N100">
        <f t="shared" si="2"/>
        <v>42453</v>
      </c>
      <c r="O100">
        <v>3</v>
      </c>
      <c r="P100">
        <v>0</v>
      </c>
      <c r="Q100">
        <v>9</v>
      </c>
      <c r="R100">
        <v>2</v>
      </c>
      <c r="S100">
        <v>2</v>
      </c>
      <c r="T100">
        <v>2</v>
      </c>
      <c r="U100">
        <v>10</v>
      </c>
      <c r="V100">
        <v>8</v>
      </c>
      <c r="W100">
        <v>3</v>
      </c>
      <c r="X100">
        <v>3</v>
      </c>
      <c r="Y100">
        <v>3</v>
      </c>
      <c r="Z100">
        <v>3</v>
      </c>
      <c r="AA100">
        <f t="shared" si="3"/>
        <v>48</v>
      </c>
      <c r="AB100" t="s">
        <v>45</v>
      </c>
      <c r="AC100">
        <v>78.209999999999994</v>
      </c>
      <c r="AD100">
        <v>17.96</v>
      </c>
      <c r="AE100">
        <v>34.270000000000003</v>
      </c>
      <c r="AF100">
        <v>26.57</v>
      </c>
      <c r="AG100">
        <v>42.03</v>
      </c>
      <c r="AH100">
        <v>44.86</v>
      </c>
      <c r="AI100">
        <v>10.49</v>
      </c>
      <c r="AJ100">
        <v>39.26</v>
      </c>
      <c r="AK100">
        <v>99.14</v>
      </c>
      <c r="AL100">
        <v>81</v>
      </c>
      <c r="AM100">
        <v>36.57</v>
      </c>
      <c r="AN100">
        <v>36.450000000000003</v>
      </c>
      <c r="AO100">
        <v>546.80999999999995</v>
      </c>
    </row>
    <row r="101" spans="1:41" x14ac:dyDescent="0.25">
      <c r="A101" t="s">
        <v>168</v>
      </c>
      <c r="B101">
        <v>6766</v>
      </c>
      <c r="C101">
        <v>2928</v>
      </c>
      <c r="D101">
        <v>12796</v>
      </c>
      <c r="E101">
        <v>5571</v>
      </c>
      <c r="F101">
        <v>1426</v>
      </c>
      <c r="G101">
        <v>995</v>
      </c>
      <c r="H101">
        <v>8901</v>
      </c>
      <c r="I101">
        <v>3159</v>
      </c>
      <c r="J101">
        <v>4203</v>
      </c>
      <c r="K101">
        <v>5601</v>
      </c>
      <c r="L101">
        <v>2400</v>
      </c>
      <c r="M101">
        <v>0</v>
      </c>
      <c r="N101">
        <f t="shared" si="2"/>
        <v>54746</v>
      </c>
      <c r="O101">
        <v>1</v>
      </c>
      <c r="P101">
        <v>2</v>
      </c>
      <c r="Q101">
        <v>5</v>
      </c>
      <c r="R101">
        <v>9</v>
      </c>
      <c r="S101">
        <v>2</v>
      </c>
      <c r="T101">
        <v>4</v>
      </c>
      <c r="U101">
        <v>5</v>
      </c>
      <c r="V101">
        <v>10</v>
      </c>
      <c r="W101">
        <v>1</v>
      </c>
      <c r="X101">
        <v>1</v>
      </c>
      <c r="Y101">
        <v>7</v>
      </c>
      <c r="Z101">
        <v>3</v>
      </c>
      <c r="AA101">
        <f t="shared" si="3"/>
        <v>50</v>
      </c>
      <c r="AB101" t="s">
        <v>45</v>
      </c>
      <c r="AC101">
        <v>77.7</v>
      </c>
      <c r="AD101">
        <v>39.369999999999997</v>
      </c>
      <c r="AE101">
        <v>138.19999999999999</v>
      </c>
      <c r="AF101">
        <v>66.150000000000006</v>
      </c>
      <c r="AG101">
        <v>24.35</v>
      </c>
      <c r="AH101">
        <v>20.14</v>
      </c>
      <c r="AI101">
        <v>99.25</v>
      </c>
      <c r="AJ101">
        <v>42.08</v>
      </c>
      <c r="AK101">
        <v>52.07</v>
      </c>
      <c r="AL101">
        <v>66.05</v>
      </c>
      <c r="AM101">
        <v>34.340000000000003</v>
      </c>
      <c r="AN101">
        <v>10.14</v>
      </c>
      <c r="AO101">
        <v>669.83999999999992</v>
      </c>
    </row>
    <row r="102" spans="1:41" x14ac:dyDescent="0.25">
      <c r="A102" t="s">
        <v>169</v>
      </c>
      <c r="B102">
        <v>6735</v>
      </c>
      <c r="C102">
        <v>2438</v>
      </c>
      <c r="D102">
        <v>619</v>
      </c>
      <c r="E102">
        <v>7355</v>
      </c>
      <c r="F102">
        <v>2862</v>
      </c>
      <c r="G102">
        <v>3028</v>
      </c>
      <c r="H102">
        <v>9232</v>
      </c>
      <c r="I102">
        <v>3074</v>
      </c>
      <c r="J102">
        <v>124</v>
      </c>
      <c r="K102">
        <v>6927</v>
      </c>
      <c r="L102">
        <v>1397</v>
      </c>
      <c r="M102">
        <v>2379</v>
      </c>
      <c r="N102">
        <f t="shared" si="2"/>
        <v>46170</v>
      </c>
      <c r="O102">
        <v>6</v>
      </c>
      <c r="P102">
        <v>6</v>
      </c>
      <c r="Q102">
        <v>5</v>
      </c>
      <c r="R102">
        <v>3</v>
      </c>
      <c r="S102">
        <v>2</v>
      </c>
      <c r="T102">
        <v>2</v>
      </c>
      <c r="U102">
        <v>1</v>
      </c>
      <c r="V102">
        <v>16</v>
      </c>
      <c r="W102">
        <v>6</v>
      </c>
      <c r="X102">
        <v>0</v>
      </c>
      <c r="Y102">
        <v>0</v>
      </c>
      <c r="Z102">
        <v>2</v>
      </c>
      <c r="AA102">
        <f t="shared" si="3"/>
        <v>49</v>
      </c>
      <c r="AB102" t="s">
        <v>45</v>
      </c>
      <c r="AC102">
        <v>77.64</v>
      </c>
      <c r="AD102">
        <v>34.67</v>
      </c>
      <c r="AE102">
        <v>16.43</v>
      </c>
      <c r="AF102">
        <v>83.69</v>
      </c>
      <c r="AG102">
        <v>38.71</v>
      </c>
      <c r="AH102">
        <v>40.369999999999997</v>
      </c>
      <c r="AI102">
        <v>102.36</v>
      </c>
      <c r="AJ102">
        <v>41.53</v>
      </c>
      <c r="AK102">
        <v>11.53</v>
      </c>
      <c r="AL102">
        <v>79.260000000000005</v>
      </c>
      <c r="AM102">
        <v>23.96</v>
      </c>
      <c r="AN102">
        <v>33.880000000000003</v>
      </c>
      <c r="AO102">
        <v>584.03</v>
      </c>
    </row>
    <row r="103" spans="1:41" x14ac:dyDescent="0.25">
      <c r="A103" t="s">
        <v>172</v>
      </c>
      <c r="B103">
        <v>6689</v>
      </c>
      <c r="C103">
        <v>0</v>
      </c>
      <c r="D103">
        <v>3299</v>
      </c>
      <c r="E103">
        <v>6851</v>
      </c>
      <c r="F103">
        <v>1045</v>
      </c>
      <c r="G103">
        <v>3523</v>
      </c>
      <c r="H103">
        <v>6342</v>
      </c>
      <c r="I103">
        <v>908</v>
      </c>
      <c r="J103">
        <v>2247</v>
      </c>
      <c r="K103">
        <v>3975</v>
      </c>
      <c r="L103">
        <v>2994</v>
      </c>
      <c r="M103">
        <v>0</v>
      </c>
      <c r="N103">
        <f t="shared" si="2"/>
        <v>37873</v>
      </c>
      <c r="O103">
        <v>0</v>
      </c>
      <c r="P103">
        <v>12</v>
      </c>
      <c r="Q103">
        <v>2</v>
      </c>
      <c r="R103">
        <v>3</v>
      </c>
      <c r="S103">
        <v>3</v>
      </c>
      <c r="T103">
        <v>2</v>
      </c>
      <c r="U103">
        <v>3</v>
      </c>
      <c r="V103">
        <v>0</v>
      </c>
      <c r="W103">
        <v>1</v>
      </c>
      <c r="X103">
        <v>2</v>
      </c>
      <c r="Y103">
        <v>7</v>
      </c>
      <c r="Z103">
        <v>6</v>
      </c>
      <c r="AA103">
        <f t="shared" si="3"/>
        <v>41</v>
      </c>
      <c r="AB103" t="s">
        <v>45</v>
      </c>
      <c r="AC103">
        <v>76.88</v>
      </c>
      <c r="AD103">
        <v>10.59</v>
      </c>
      <c r="AE103">
        <v>43.08</v>
      </c>
      <c r="AF103">
        <v>78.650000000000006</v>
      </c>
      <c r="AG103">
        <v>20.59</v>
      </c>
      <c r="AH103">
        <v>45.32</v>
      </c>
      <c r="AI103">
        <v>73.56</v>
      </c>
      <c r="AJ103">
        <v>19.07</v>
      </c>
      <c r="AK103">
        <v>32.51</v>
      </c>
      <c r="AL103">
        <v>49.84</v>
      </c>
      <c r="AM103">
        <v>40.28</v>
      </c>
      <c r="AN103">
        <v>10.29</v>
      </c>
      <c r="AO103">
        <v>500.66</v>
      </c>
    </row>
    <row r="104" spans="1:41" x14ac:dyDescent="0.25">
      <c r="A104" t="s">
        <v>173</v>
      </c>
      <c r="B104">
        <v>6675</v>
      </c>
      <c r="C104">
        <v>3244</v>
      </c>
      <c r="D104">
        <v>7113</v>
      </c>
      <c r="E104">
        <v>7191</v>
      </c>
      <c r="F104">
        <v>8318</v>
      </c>
      <c r="G104">
        <v>558</v>
      </c>
      <c r="H104">
        <v>952</v>
      </c>
      <c r="I104">
        <v>491</v>
      </c>
      <c r="J104">
        <v>9591</v>
      </c>
      <c r="K104">
        <v>2553</v>
      </c>
      <c r="L104">
        <v>532</v>
      </c>
      <c r="M104">
        <v>1557</v>
      </c>
      <c r="N104">
        <f t="shared" si="2"/>
        <v>48775</v>
      </c>
      <c r="O104">
        <v>3</v>
      </c>
      <c r="P104">
        <v>1</v>
      </c>
      <c r="Q104">
        <v>1</v>
      </c>
      <c r="R104">
        <v>9</v>
      </c>
      <c r="S104">
        <v>14</v>
      </c>
      <c r="T104">
        <v>2</v>
      </c>
      <c r="U104">
        <v>2</v>
      </c>
      <c r="V104">
        <v>1</v>
      </c>
      <c r="W104">
        <v>5</v>
      </c>
      <c r="X104">
        <v>7</v>
      </c>
      <c r="Y104">
        <v>2</v>
      </c>
      <c r="Z104">
        <v>1</v>
      </c>
      <c r="AA104">
        <f t="shared" si="3"/>
        <v>48</v>
      </c>
      <c r="AB104" t="s">
        <v>45</v>
      </c>
      <c r="AC104">
        <v>76.89</v>
      </c>
      <c r="AD104">
        <v>42.48</v>
      </c>
      <c r="AE104">
        <v>81.17</v>
      </c>
      <c r="AF104">
        <v>82.35</v>
      </c>
      <c r="AG104">
        <v>93.87</v>
      </c>
      <c r="AH104">
        <v>15.67</v>
      </c>
      <c r="AI104">
        <v>19.61</v>
      </c>
      <c r="AJ104">
        <v>14.95</v>
      </c>
      <c r="AK104">
        <v>106.15</v>
      </c>
      <c r="AL104">
        <v>35.869999999999997</v>
      </c>
      <c r="AM104">
        <v>15.41</v>
      </c>
      <c r="AN104">
        <v>25.61</v>
      </c>
      <c r="AO104">
        <v>610.03</v>
      </c>
    </row>
    <row r="105" spans="1:41" x14ac:dyDescent="0.25">
      <c r="A105" t="s">
        <v>174</v>
      </c>
      <c r="B105">
        <v>6603</v>
      </c>
      <c r="C105">
        <v>1325</v>
      </c>
      <c r="D105">
        <v>1252</v>
      </c>
      <c r="E105">
        <v>7835</v>
      </c>
      <c r="F105">
        <v>2402</v>
      </c>
      <c r="G105">
        <v>1519</v>
      </c>
      <c r="H105">
        <v>0</v>
      </c>
      <c r="I105">
        <v>7700</v>
      </c>
      <c r="J105">
        <v>699</v>
      </c>
      <c r="K105">
        <v>3266</v>
      </c>
      <c r="L105">
        <v>7354</v>
      </c>
      <c r="M105">
        <v>942</v>
      </c>
      <c r="N105">
        <f t="shared" si="2"/>
        <v>40897</v>
      </c>
      <c r="O105">
        <v>2</v>
      </c>
      <c r="P105">
        <v>2</v>
      </c>
      <c r="Q105">
        <v>4</v>
      </c>
      <c r="R105">
        <v>3</v>
      </c>
      <c r="S105">
        <v>3</v>
      </c>
      <c r="T105">
        <v>1</v>
      </c>
      <c r="U105">
        <v>3</v>
      </c>
      <c r="V105">
        <v>8</v>
      </c>
      <c r="W105">
        <v>10</v>
      </c>
      <c r="X105">
        <v>14</v>
      </c>
      <c r="Y105">
        <v>8</v>
      </c>
      <c r="Z105">
        <v>3</v>
      </c>
      <c r="AA105">
        <f t="shared" si="3"/>
        <v>61</v>
      </c>
      <c r="AB105" t="s">
        <v>45</v>
      </c>
      <c r="AC105">
        <v>76.12</v>
      </c>
      <c r="AD105">
        <v>23.34</v>
      </c>
      <c r="AE105">
        <v>22.71</v>
      </c>
      <c r="AF105">
        <v>88.49</v>
      </c>
      <c r="AG105">
        <v>34.159999999999997</v>
      </c>
      <c r="AH105">
        <v>25.23</v>
      </c>
      <c r="AI105">
        <v>10.14</v>
      </c>
      <c r="AJ105">
        <v>87.39</v>
      </c>
      <c r="AK105">
        <v>17.48</v>
      </c>
      <c r="AL105">
        <v>43.35</v>
      </c>
      <c r="AM105">
        <v>83.93</v>
      </c>
      <c r="AN105">
        <v>19.559999999999999</v>
      </c>
      <c r="AO105">
        <v>531.9</v>
      </c>
    </row>
    <row r="106" spans="1:41" x14ac:dyDescent="0.25">
      <c r="A106" t="s">
        <v>175</v>
      </c>
      <c r="B106">
        <v>6601</v>
      </c>
      <c r="C106">
        <v>2647</v>
      </c>
      <c r="D106">
        <v>3850</v>
      </c>
      <c r="E106">
        <v>3399</v>
      </c>
      <c r="F106">
        <v>8905</v>
      </c>
      <c r="G106">
        <v>0</v>
      </c>
      <c r="H106">
        <v>993</v>
      </c>
      <c r="I106">
        <v>3627</v>
      </c>
      <c r="J106">
        <v>10791</v>
      </c>
      <c r="K106">
        <v>15130</v>
      </c>
      <c r="L106">
        <v>3478</v>
      </c>
      <c r="M106">
        <v>1607</v>
      </c>
      <c r="N106">
        <f t="shared" si="2"/>
        <v>61028</v>
      </c>
      <c r="O106">
        <v>3</v>
      </c>
      <c r="P106">
        <v>2</v>
      </c>
      <c r="Q106">
        <v>4</v>
      </c>
      <c r="R106">
        <v>1</v>
      </c>
      <c r="S106">
        <v>3</v>
      </c>
      <c r="T106">
        <v>3</v>
      </c>
      <c r="U106">
        <v>5</v>
      </c>
      <c r="V106">
        <v>9</v>
      </c>
      <c r="W106">
        <v>2</v>
      </c>
      <c r="X106">
        <v>2</v>
      </c>
      <c r="Y106">
        <v>3</v>
      </c>
      <c r="Z106">
        <v>1</v>
      </c>
      <c r="AA106">
        <f t="shared" si="3"/>
        <v>38</v>
      </c>
      <c r="AB106" t="s">
        <v>45</v>
      </c>
      <c r="AC106">
        <v>76.150000000000006</v>
      </c>
      <c r="AD106">
        <v>36.56</v>
      </c>
      <c r="AE106">
        <v>48.69</v>
      </c>
      <c r="AF106">
        <v>44.03</v>
      </c>
      <c r="AG106">
        <v>99.19</v>
      </c>
      <c r="AH106">
        <v>10.14</v>
      </c>
      <c r="AI106">
        <v>20.170000000000002</v>
      </c>
      <c r="AJ106">
        <v>46.71</v>
      </c>
      <c r="AK106">
        <v>118</v>
      </c>
      <c r="AL106">
        <v>161.38999999999999</v>
      </c>
      <c r="AM106">
        <v>44.92</v>
      </c>
      <c r="AN106">
        <v>26.11</v>
      </c>
      <c r="AO106">
        <v>732.06</v>
      </c>
    </row>
    <row r="107" spans="1:41" x14ac:dyDescent="0.25">
      <c r="A107" t="s">
        <v>176</v>
      </c>
      <c r="B107">
        <v>6599</v>
      </c>
      <c r="C107">
        <v>9071</v>
      </c>
      <c r="D107">
        <v>1407</v>
      </c>
      <c r="E107">
        <v>6830</v>
      </c>
      <c r="F107">
        <v>1274</v>
      </c>
      <c r="G107">
        <v>1249</v>
      </c>
      <c r="H107">
        <v>697</v>
      </c>
      <c r="I107">
        <v>1266</v>
      </c>
      <c r="J107">
        <v>1060</v>
      </c>
      <c r="K107">
        <v>1118</v>
      </c>
      <c r="L107">
        <v>1693</v>
      </c>
      <c r="M107">
        <v>5208</v>
      </c>
      <c r="N107">
        <f t="shared" si="2"/>
        <v>37472</v>
      </c>
      <c r="O107">
        <v>18</v>
      </c>
      <c r="P107">
        <v>0</v>
      </c>
      <c r="Q107">
        <v>7</v>
      </c>
      <c r="R107">
        <v>0</v>
      </c>
      <c r="S107">
        <v>1</v>
      </c>
      <c r="T107">
        <v>3</v>
      </c>
      <c r="U107">
        <v>10</v>
      </c>
      <c r="V107">
        <v>0</v>
      </c>
      <c r="W107">
        <v>5</v>
      </c>
      <c r="X107">
        <v>3</v>
      </c>
      <c r="Y107">
        <v>7</v>
      </c>
      <c r="Z107">
        <v>2</v>
      </c>
      <c r="AA107">
        <f t="shared" si="3"/>
        <v>56</v>
      </c>
      <c r="AB107" t="s">
        <v>45</v>
      </c>
      <c r="AC107">
        <v>76.88</v>
      </c>
      <c r="AD107">
        <v>100.7</v>
      </c>
      <c r="AE107">
        <v>24.41</v>
      </c>
      <c r="AF107">
        <v>78.290000000000006</v>
      </c>
      <c r="AG107">
        <v>22.78</v>
      </c>
      <c r="AH107">
        <v>22.63</v>
      </c>
      <c r="AI107">
        <v>17.46</v>
      </c>
      <c r="AJ107">
        <v>22.65</v>
      </c>
      <c r="AK107">
        <v>20.84</v>
      </c>
      <c r="AL107">
        <v>21.32</v>
      </c>
      <c r="AM107">
        <v>27.27</v>
      </c>
      <c r="AN107">
        <v>62.17</v>
      </c>
      <c r="AO107">
        <v>497.39999999999986</v>
      </c>
    </row>
    <row r="108" spans="1:41" x14ac:dyDescent="0.25">
      <c r="A108" t="s">
        <v>178</v>
      </c>
      <c r="B108">
        <v>6573</v>
      </c>
      <c r="C108">
        <v>1505</v>
      </c>
      <c r="D108">
        <v>3108</v>
      </c>
      <c r="E108">
        <v>8680</v>
      </c>
      <c r="F108">
        <v>8436</v>
      </c>
      <c r="G108">
        <v>4708</v>
      </c>
      <c r="H108">
        <v>139</v>
      </c>
      <c r="I108">
        <v>4750</v>
      </c>
      <c r="J108">
        <v>0</v>
      </c>
      <c r="K108">
        <v>8803</v>
      </c>
      <c r="L108">
        <v>1232</v>
      </c>
      <c r="M108">
        <v>3597</v>
      </c>
      <c r="N108">
        <f t="shared" si="2"/>
        <v>51531</v>
      </c>
      <c r="O108">
        <v>1</v>
      </c>
      <c r="P108">
        <v>1</v>
      </c>
      <c r="Q108">
        <v>2</v>
      </c>
      <c r="R108">
        <v>5</v>
      </c>
      <c r="S108">
        <v>0</v>
      </c>
      <c r="T108">
        <v>1</v>
      </c>
      <c r="U108">
        <v>3</v>
      </c>
      <c r="V108">
        <v>8</v>
      </c>
      <c r="W108">
        <v>8</v>
      </c>
      <c r="X108">
        <v>2</v>
      </c>
      <c r="Y108">
        <v>3</v>
      </c>
      <c r="Z108">
        <v>16</v>
      </c>
      <c r="AA108">
        <f t="shared" si="3"/>
        <v>50</v>
      </c>
      <c r="AB108" t="s">
        <v>45</v>
      </c>
      <c r="AC108">
        <v>75.77</v>
      </c>
      <c r="AD108">
        <v>25.09</v>
      </c>
      <c r="AE108">
        <v>41.17</v>
      </c>
      <c r="AF108">
        <v>97.04</v>
      </c>
      <c r="AG108">
        <v>94.35</v>
      </c>
      <c r="AH108">
        <v>57.12</v>
      </c>
      <c r="AI108">
        <v>11.53</v>
      </c>
      <c r="AJ108">
        <v>57.89</v>
      </c>
      <c r="AK108">
        <v>10.39</v>
      </c>
      <c r="AL108">
        <v>98.12</v>
      </c>
      <c r="AM108">
        <v>22.46</v>
      </c>
      <c r="AN108">
        <v>46.76</v>
      </c>
      <c r="AO108">
        <v>637.68999999999994</v>
      </c>
    </row>
    <row r="109" spans="1:41" x14ac:dyDescent="0.25">
      <c r="A109" t="s">
        <v>179</v>
      </c>
      <c r="B109">
        <v>6572</v>
      </c>
      <c r="C109">
        <v>1135</v>
      </c>
      <c r="D109">
        <v>1530</v>
      </c>
      <c r="E109">
        <v>3122</v>
      </c>
      <c r="F109">
        <v>6938</v>
      </c>
      <c r="G109">
        <v>4459</v>
      </c>
      <c r="H109">
        <v>5699</v>
      </c>
      <c r="I109">
        <v>2427</v>
      </c>
      <c r="J109">
        <v>4151</v>
      </c>
      <c r="K109">
        <v>13559</v>
      </c>
      <c r="L109">
        <v>609</v>
      </c>
      <c r="M109">
        <v>10154</v>
      </c>
      <c r="N109">
        <f t="shared" si="2"/>
        <v>60355</v>
      </c>
      <c r="O109">
        <v>4</v>
      </c>
      <c r="P109">
        <v>1</v>
      </c>
      <c r="Q109">
        <v>6</v>
      </c>
      <c r="R109">
        <v>12</v>
      </c>
      <c r="S109">
        <v>5</v>
      </c>
      <c r="T109">
        <v>3</v>
      </c>
      <c r="U109">
        <v>4</v>
      </c>
      <c r="V109">
        <v>7</v>
      </c>
      <c r="W109">
        <v>4</v>
      </c>
      <c r="X109">
        <v>10</v>
      </c>
      <c r="Y109">
        <v>5</v>
      </c>
      <c r="Z109">
        <v>9</v>
      </c>
      <c r="AA109">
        <f t="shared" si="3"/>
        <v>70</v>
      </c>
      <c r="AB109" t="s">
        <v>45</v>
      </c>
      <c r="AC109">
        <v>75.91</v>
      </c>
      <c r="AD109">
        <v>21.39</v>
      </c>
      <c r="AE109">
        <v>25.59</v>
      </c>
      <c r="AF109">
        <v>41.81</v>
      </c>
      <c r="AG109">
        <v>79.62</v>
      </c>
      <c r="AH109">
        <v>54.73</v>
      </c>
      <c r="AI109">
        <v>67.180000000000007</v>
      </c>
      <c r="AJ109">
        <v>34.61</v>
      </c>
      <c r="AK109">
        <v>51.7</v>
      </c>
      <c r="AL109">
        <v>146.08000000000001</v>
      </c>
      <c r="AM109">
        <v>16.329999999999998</v>
      </c>
      <c r="AN109">
        <v>111.98</v>
      </c>
      <c r="AO109">
        <v>726.93000000000006</v>
      </c>
    </row>
    <row r="110" spans="1:41" x14ac:dyDescent="0.25">
      <c r="A110" t="s">
        <v>180</v>
      </c>
      <c r="B110">
        <v>6572</v>
      </c>
      <c r="C110">
        <v>5998</v>
      </c>
      <c r="D110">
        <v>5375</v>
      </c>
      <c r="E110">
        <v>0</v>
      </c>
      <c r="F110">
        <v>747</v>
      </c>
      <c r="G110">
        <v>2136</v>
      </c>
      <c r="H110">
        <v>19526</v>
      </c>
      <c r="I110">
        <v>573</v>
      </c>
      <c r="J110">
        <v>768</v>
      </c>
      <c r="K110">
        <v>149</v>
      </c>
      <c r="L110">
        <v>4039</v>
      </c>
      <c r="M110">
        <v>3175</v>
      </c>
      <c r="N110">
        <f t="shared" si="2"/>
        <v>49058</v>
      </c>
      <c r="O110">
        <v>2</v>
      </c>
      <c r="P110">
        <v>6</v>
      </c>
      <c r="Q110">
        <v>0</v>
      </c>
      <c r="R110">
        <v>0</v>
      </c>
      <c r="S110">
        <v>1</v>
      </c>
      <c r="T110">
        <v>11</v>
      </c>
      <c r="U110">
        <v>7</v>
      </c>
      <c r="V110">
        <v>3</v>
      </c>
      <c r="W110">
        <v>4</v>
      </c>
      <c r="X110">
        <v>4</v>
      </c>
      <c r="Y110">
        <v>6</v>
      </c>
      <c r="Z110">
        <v>5</v>
      </c>
      <c r="AA110">
        <f t="shared" si="3"/>
        <v>49</v>
      </c>
      <c r="AB110" t="s">
        <v>45</v>
      </c>
      <c r="AC110">
        <v>75.81</v>
      </c>
      <c r="AD110">
        <v>70.27</v>
      </c>
      <c r="AE110">
        <v>63.74</v>
      </c>
      <c r="AF110">
        <v>9.99</v>
      </c>
      <c r="AG110">
        <v>17.510000000000002</v>
      </c>
      <c r="AH110">
        <v>31.9</v>
      </c>
      <c r="AI110">
        <v>205.6</v>
      </c>
      <c r="AJ110">
        <v>15.87</v>
      </c>
      <c r="AK110">
        <v>17.87</v>
      </c>
      <c r="AL110">
        <v>11.68</v>
      </c>
      <c r="AM110">
        <v>50.68</v>
      </c>
      <c r="AN110">
        <v>41.99</v>
      </c>
      <c r="AO110">
        <v>612.90999999999985</v>
      </c>
    </row>
    <row r="111" spans="1:41" x14ac:dyDescent="0.25">
      <c r="A111" t="s">
        <v>181</v>
      </c>
      <c r="B111">
        <v>6564</v>
      </c>
      <c r="C111">
        <v>412</v>
      </c>
      <c r="D111">
        <v>4724</v>
      </c>
      <c r="E111">
        <v>43</v>
      </c>
      <c r="F111">
        <v>1060</v>
      </c>
      <c r="G111">
        <v>3005</v>
      </c>
      <c r="H111">
        <v>5499</v>
      </c>
      <c r="I111">
        <v>834</v>
      </c>
      <c r="J111">
        <v>5843</v>
      </c>
      <c r="K111">
        <v>4172</v>
      </c>
      <c r="L111">
        <v>1745</v>
      </c>
      <c r="M111">
        <v>7657</v>
      </c>
      <c r="N111">
        <f t="shared" si="2"/>
        <v>41558</v>
      </c>
      <c r="O111">
        <v>2</v>
      </c>
      <c r="P111">
        <v>2</v>
      </c>
      <c r="Q111">
        <v>4</v>
      </c>
      <c r="R111">
        <v>2</v>
      </c>
      <c r="S111">
        <v>6</v>
      </c>
      <c r="T111">
        <v>1</v>
      </c>
      <c r="U111">
        <v>2</v>
      </c>
      <c r="V111">
        <v>2</v>
      </c>
      <c r="W111">
        <v>2</v>
      </c>
      <c r="X111">
        <v>4</v>
      </c>
      <c r="Y111">
        <v>2</v>
      </c>
      <c r="Z111">
        <v>15</v>
      </c>
      <c r="AA111">
        <f t="shared" si="3"/>
        <v>44</v>
      </c>
      <c r="AB111" t="s">
        <v>45</v>
      </c>
      <c r="AC111">
        <v>75.73</v>
      </c>
      <c r="AD111">
        <v>14.21</v>
      </c>
      <c r="AE111">
        <v>57.43</v>
      </c>
      <c r="AF111">
        <v>10.52</v>
      </c>
      <c r="AG111">
        <v>20.89</v>
      </c>
      <c r="AH111">
        <v>40.090000000000003</v>
      </c>
      <c r="AI111">
        <v>65.08</v>
      </c>
      <c r="AJ111">
        <v>18.43</v>
      </c>
      <c r="AK111">
        <v>68.52</v>
      </c>
      <c r="AL111">
        <v>51.91</v>
      </c>
      <c r="AM111">
        <v>27.54</v>
      </c>
      <c r="AN111">
        <v>87.31</v>
      </c>
      <c r="AO111">
        <v>537.66000000000008</v>
      </c>
    </row>
    <row r="112" spans="1:41" x14ac:dyDescent="0.25">
      <c r="A112" t="s">
        <v>183</v>
      </c>
      <c r="B112">
        <v>6551</v>
      </c>
      <c r="C112">
        <v>824</v>
      </c>
      <c r="D112">
        <v>1406</v>
      </c>
      <c r="E112">
        <v>1001</v>
      </c>
      <c r="F112">
        <v>5316</v>
      </c>
      <c r="G112">
        <v>1460</v>
      </c>
      <c r="H112">
        <v>2102</v>
      </c>
      <c r="I112">
        <v>24019</v>
      </c>
      <c r="J112">
        <v>1105</v>
      </c>
      <c r="K112">
        <v>1964</v>
      </c>
      <c r="L112">
        <v>3486</v>
      </c>
      <c r="M112">
        <v>5039</v>
      </c>
      <c r="N112">
        <f t="shared" si="2"/>
        <v>54273</v>
      </c>
      <c r="O112">
        <v>7</v>
      </c>
      <c r="P112">
        <v>2</v>
      </c>
      <c r="Q112">
        <v>2</v>
      </c>
      <c r="R112">
        <v>8</v>
      </c>
      <c r="S112">
        <v>2</v>
      </c>
      <c r="T112">
        <v>3</v>
      </c>
      <c r="U112">
        <v>2</v>
      </c>
      <c r="V112">
        <v>3</v>
      </c>
      <c r="W112">
        <v>3</v>
      </c>
      <c r="X112">
        <v>6</v>
      </c>
      <c r="Y112">
        <v>2</v>
      </c>
      <c r="Z112">
        <v>5</v>
      </c>
      <c r="AA112">
        <f t="shared" si="3"/>
        <v>45</v>
      </c>
      <c r="AB112" t="s">
        <v>45</v>
      </c>
      <c r="AC112">
        <v>75.849999999999994</v>
      </c>
      <c r="AD112">
        <v>18.329999999999998</v>
      </c>
      <c r="AE112">
        <v>24.15</v>
      </c>
      <c r="AF112">
        <v>20.399999999999999</v>
      </c>
      <c r="AG112">
        <v>63.25</v>
      </c>
      <c r="AH112">
        <v>24.74</v>
      </c>
      <c r="AI112">
        <v>31.11</v>
      </c>
      <c r="AJ112">
        <v>250.33</v>
      </c>
      <c r="AK112">
        <v>21.19</v>
      </c>
      <c r="AL112">
        <v>29.93</v>
      </c>
      <c r="AM112">
        <v>44.95</v>
      </c>
      <c r="AN112">
        <v>60.63</v>
      </c>
      <c r="AO112">
        <v>664.86</v>
      </c>
    </row>
    <row r="113" spans="1:41" x14ac:dyDescent="0.25">
      <c r="A113" t="s">
        <v>184</v>
      </c>
      <c r="B113">
        <v>6526</v>
      </c>
      <c r="C113">
        <v>170</v>
      </c>
      <c r="D113">
        <v>6057</v>
      </c>
      <c r="E113">
        <v>3807</v>
      </c>
      <c r="F113">
        <v>2122</v>
      </c>
      <c r="G113">
        <v>748</v>
      </c>
      <c r="H113">
        <v>5517</v>
      </c>
      <c r="I113">
        <v>1573</v>
      </c>
      <c r="J113">
        <v>4084</v>
      </c>
      <c r="K113">
        <v>910</v>
      </c>
      <c r="L113">
        <v>6071</v>
      </c>
      <c r="M113">
        <v>315</v>
      </c>
      <c r="N113">
        <f t="shared" si="2"/>
        <v>37900</v>
      </c>
      <c r="O113">
        <v>3</v>
      </c>
      <c r="P113">
        <v>2</v>
      </c>
      <c r="Q113">
        <v>3</v>
      </c>
      <c r="R113">
        <v>8</v>
      </c>
      <c r="S113">
        <v>0</v>
      </c>
      <c r="T113">
        <v>0</v>
      </c>
      <c r="U113">
        <v>3</v>
      </c>
      <c r="V113">
        <v>2</v>
      </c>
      <c r="W113">
        <v>0</v>
      </c>
      <c r="X113">
        <v>8</v>
      </c>
      <c r="Y113">
        <v>4</v>
      </c>
      <c r="Z113">
        <v>0</v>
      </c>
      <c r="AA113">
        <f t="shared" si="3"/>
        <v>33</v>
      </c>
      <c r="AB113" t="s">
        <v>45</v>
      </c>
      <c r="AC113">
        <v>75.400000000000006</v>
      </c>
      <c r="AD113">
        <v>11.79</v>
      </c>
      <c r="AE113">
        <v>70.709999999999994</v>
      </c>
      <c r="AF113">
        <v>48.46</v>
      </c>
      <c r="AG113">
        <v>31.21</v>
      </c>
      <c r="AH113">
        <v>17.47</v>
      </c>
      <c r="AI113">
        <v>65.31</v>
      </c>
      <c r="AJ113">
        <v>25.82</v>
      </c>
      <c r="AK113">
        <v>50.83</v>
      </c>
      <c r="AL113">
        <v>19.489999999999998</v>
      </c>
      <c r="AM113">
        <v>70.900000000000006</v>
      </c>
      <c r="AN113">
        <v>13.14</v>
      </c>
      <c r="AO113">
        <v>500.53</v>
      </c>
    </row>
    <row r="114" spans="1:41" x14ac:dyDescent="0.25">
      <c r="A114" t="s">
        <v>189</v>
      </c>
      <c r="B114">
        <v>6451</v>
      </c>
      <c r="C114">
        <v>0</v>
      </c>
      <c r="D114">
        <v>9510</v>
      </c>
      <c r="E114">
        <v>517</v>
      </c>
      <c r="F114">
        <v>1576</v>
      </c>
      <c r="G114">
        <v>292</v>
      </c>
      <c r="H114">
        <v>7561</v>
      </c>
      <c r="I114">
        <v>5676</v>
      </c>
      <c r="J114">
        <v>10069</v>
      </c>
      <c r="K114">
        <v>4086</v>
      </c>
      <c r="L114">
        <v>587</v>
      </c>
      <c r="M114">
        <v>1398</v>
      </c>
      <c r="N114">
        <f t="shared" si="2"/>
        <v>47723</v>
      </c>
      <c r="O114">
        <v>5</v>
      </c>
      <c r="P114">
        <v>8</v>
      </c>
      <c r="Q114">
        <v>2</v>
      </c>
      <c r="R114">
        <v>3</v>
      </c>
      <c r="S114">
        <v>3</v>
      </c>
      <c r="T114">
        <v>7</v>
      </c>
      <c r="U114">
        <v>9</v>
      </c>
      <c r="V114">
        <v>1</v>
      </c>
      <c r="W114">
        <v>5</v>
      </c>
      <c r="X114">
        <v>0</v>
      </c>
      <c r="Y114">
        <v>2</v>
      </c>
      <c r="Z114">
        <v>1</v>
      </c>
      <c r="AA114">
        <f t="shared" si="3"/>
        <v>46</v>
      </c>
      <c r="AB114" t="s">
        <v>45</v>
      </c>
      <c r="AC114">
        <v>74.75</v>
      </c>
      <c r="AD114">
        <v>10.39</v>
      </c>
      <c r="AE114">
        <v>105.19</v>
      </c>
      <c r="AF114">
        <v>15.31</v>
      </c>
      <c r="AG114">
        <v>25.9</v>
      </c>
      <c r="AH114">
        <v>13.26</v>
      </c>
      <c r="AI114">
        <v>86.05</v>
      </c>
      <c r="AJ114">
        <v>66.8</v>
      </c>
      <c r="AK114">
        <v>110.93</v>
      </c>
      <c r="AL114">
        <v>50.85</v>
      </c>
      <c r="AM114">
        <v>15.96</v>
      </c>
      <c r="AN114">
        <v>24.02</v>
      </c>
      <c r="AO114">
        <v>599.41</v>
      </c>
    </row>
    <row r="115" spans="1:41" x14ac:dyDescent="0.25">
      <c r="A115" t="s">
        <v>190</v>
      </c>
      <c r="B115">
        <v>6440</v>
      </c>
      <c r="C115">
        <v>3361</v>
      </c>
      <c r="D115">
        <v>1279</v>
      </c>
      <c r="E115">
        <v>3551</v>
      </c>
      <c r="F115">
        <v>3582</v>
      </c>
      <c r="G115">
        <v>12748</v>
      </c>
      <c r="H115">
        <v>2471</v>
      </c>
      <c r="I115">
        <v>2343</v>
      </c>
      <c r="J115">
        <v>3732</v>
      </c>
      <c r="K115">
        <v>6181</v>
      </c>
      <c r="L115">
        <v>3301</v>
      </c>
      <c r="M115">
        <v>4373</v>
      </c>
      <c r="N115">
        <f t="shared" si="2"/>
        <v>53362</v>
      </c>
      <c r="O115">
        <v>4</v>
      </c>
      <c r="P115">
        <v>3</v>
      </c>
      <c r="Q115">
        <v>1</v>
      </c>
      <c r="R115">
        <v>2</v>
      </c>
      <c r="S115">
        <v>3</v>
      </c>
      <c r="T115">
        <v>5</v>
      </c>
      <c r="U115">
        <v>8</v>
      </c>
      <c r="V115">
        <v>2</v>
      </c>
      <c r="W115">
        <v>0</v>
      </c>
      <c r="X115">
        <v>14</v>
      </c>
      <c r="Y115">
        <v>12</v>
      </c>
      <c r="Z115">
        <v>5</v>
      </c>
      <c r="AA115">
        <f t="shared" si="3"/>
        <v>59</v>
      </c>
      <c r="AB115" t="s">
        <v>45</v>
      </c>
      <c r="AC115">
        <v>74.59</v>
      </c>
      <c r="AD115">
        <v>43.75</v>
      </c>
      <c r="AE115">
        <v>22.83</v>
      </c>
      <c r="AF115">
        <v>45.6</v>
      </c>
      <c r="AG115">
        <v>45.96</v>
      </c>
      <c r="AH115">
        <v>137.72</v>
      </c>
      <c r="AI115">
        <v>35.1</v>
      </c>
      <c r="AJ115">
        <v>33.520000000000003</v>
      </c>
      <c r="AK115">
        <v>47.31</v>
      </c>
      <c r="AL115">
        <v>72.5</v>
      </c>
      <c r="AM115">
        <v>43.6</v>
      </c>
      <c r="AN115">
        <v>53.97</v>
      </c>
      <c r="AO115">
        <v>656.45000000000016</v>
      </c>
    </row>
    <row r="116" spans="1:41" x14ac:dyDescent="0.25">
      <c r="A116" t="s">
        <v>191</v>
      </c>
      <c r="B116">
        <v>6429</v>
      </c>
      <c r="C116">
        <v>1246</v>
      </c>
      <c r="D116">
        <v>1387</v>
      </c>
      <c r="E116">
        <v>6135</v>
      </c>
      <c r="F116">
        <v>2753</v>
      </c>
      <c r="G116">
        <v>11437</v>
      </c>
      <c r="H116">
        <v>2244</v>
      </c>
      <c r="I116">
        <v>3358</v>
      </c>
      <c r="J116">
        <v>2660</v>
      </c>
      <c r="K116">
        <v>11198</v>
      </c>
      <c r="L116">
        <v>2384</v>
      </c>
      <c r="M116">
        <v>1420</v>
      </c>
      <c r="N116">
        <f t="shared" si="2"/>
        <v>52651</v>
      </c>
      <c r="O116">
        <v>6</v>
      </c>
      <c r="P116">
        <v>3</v>
      </c>
      <c r="Q116">
        <v>8</v>
      </c>
      <c r="R116">
        <v>13</v>
      </c>
      <c r="S116">
        <v>1</v>
      </c>
      <c r="T116">
        <v>5</v>
      </c>
      <c r="U116">
        <v>3</v>
      </c>
      <c r="V116">
        <v>8</v>
      </c>
      <c r="W116">
        <v>4</v>
      </c>
      <c r="X116">
        <v>6</v>
      </c>
      <c r="Y116">
        <v>8</v>
      </c>
      <c r="Z116">
        <v>4</v>
      </c>
      <c r="AA116">
        <f t="shared" si="3"/>
        <v>69</v>
      </c>
      <c r="AB116" t="s">
        <v>45</v>
      </c>
      <c r="AC116">
        <v>74.58</v>
      </c>
      <c r="AD116">
        <v>22.6</v>
      </c>
      <c r="AE116">
        <v>24.26</v>
      </c>
      <c r="AF116">
        <v>71.989999999999995</v>
      </c>
      <c r="AG116">
        <v>37.57</v>
      </c>
      <c r="AH116">
        <v>124.61</v>
      </c>
      <c r="AI116">
        <v>32.58</v>
      </c>
      <c r="AJ116">
        <v>43.97</v>
      </c>
      <c r="AK116">
        <v>36.79</v>
      </c>
      <c r="AL116">
        <v>122.27</v>
      </c>
      <c r="AM116">
        <v>34.229999999999997</v>
      </c>
      <c r="AN116">
        <v>24.39</v>
      </c>
      <c r="AO116">
        <v>649.84</v>
      </c>
    </row>
    <row r="117" spans="1:41" x14ac:dyDescent="0.25">
      <c r="A117" t="s">
        <v>192</v>
      </c>
      <c r="B117">
        <v>6407</v>
      </c>
      <c r="C117">
        <v>14105</v>
      </c>
      <c r="D117">
        <v>10514</v>
      </c>
      <c r="E117">
        <v>6064</v>
      </c>
      <c r="F117">
        <v>0</v>
      </c>
      <c r="G117">
        <v>7222</v>
      </c>
      <c r="H117">
        <v>435</v>
      </c>
      <c r="I117">
        <v>6839</v>
      </c>
      <c r="J117">
        <v>886</v>
      </c>
      <c r="K117">
        <v>2573</v>
      </c>
      <c r="L117">
        <v>0</v>
      </c>
      <c r="M117">
        <v>4669</v>
      </c>
      <c r="N117">
        <f t="shared" si="2"/>
        <v>59714</v>
      </c>
      <c r="O117">
        <v>9</v>
      </c>
      <c r="P117">
        <v>9</v>
      </c>
      <c r="Q117">
        <v>6</v>
      </c>
      <c r="R117">
        <v>6</v>
      </c>
      <c r="S117">
        <v>11</v>
      </c>
      <c r="T117">
        <v>1</v>
      </c>
      <c r="U117">
        <v>1</v>
      </c>
      <c r="V117">
        <v>1</v>
      </c>
      <c r="W117">
        <v>8</v>
      </c>
      <c r="X117">
        <v>2</v>
      </c>
      <c r="Y117">
        <v>5</v>
      </c>
      <c r="Z117">
        <v>22</v>
      </c>
      <c r="AA117">
        <f t="shared" si="3"/>
        <v>81</v>
      </c>
      <c r="AB117" t="s">
        <v>45</v>
      </c>
      <c r="AC117">
        <v>74.510000000000005</v>
      </c>
      <c r="AD117">
        <v>151.49</v>
      </c>
      <c r="AE117">
        <v>115.43</v>
      </c>
      <c r="AF117">
        <v>70.930000000000007</v>
      </c>
      <c r="AG117">
        <v>10.54</v>
      </c>
      <c r="AH117">
        <v>82.26</v>
      </c>
      <c r="AI117">
        <v>14.39</v>
      </c>
      <c r="AJ117">
        <v>78.430000000000007</v>
      </c>
      <c r="AK117">
        <v>19.25</v>
      </c>
      <c r="AL117">
        <v>35.82</v>
      </c>
      <c r="AM117">
        <v>10.24</v>
      </c>
      <c r="AN117">
        <v>57.78</v>
      </c>
      <c r="AO117">
        <v>721.07</v>
      </c>
    </row>
    <row r="118" spans="1:41" x14ac:dyDescent="0.25">
      <c r="A118" t="s">
        <v>193</v>
      </c>
      <c r="B118">
        <v>6404</v>
      </c>
      <c r="C118">
        <v>67</v>
      </c>
      <c r="D118">
        <v>1780</v>
      </c>
      <c r="E118">
        <v>3824</v>
      </c>
      <c r="F118">
        <v>3248</v>
      </c>
      <c r="G118">
        <v>1875</v>
      </c>
      <c r="H118">
        <v>8403</v>
      </c>
      <c r="I118">
        <v>741</v>
      </c>
      <c r="J118">
        <v>4963</v>
      </c>
      <c r="K118">
        <v>0</v>
      </c>
      <c r="L118">
        <v>3225</v>
      </c>
      <c r="M118">
        <v>7084</v>
      </c>
      <c r="N118">
        <f t="shared" si="2"/>
        <v>41614</v>
      </c>
      <c r="O118">
        <v>3</v>
      </c>
      <c r="P118">
        <v>2</v>
      </c>
      <c r="Q118">
        <v>4</v>
      </c>
      <c r="R118">
        <v>4</v>
      </c>
      <c r="S118">
        <v>1</v>
      </c>
      <c r="T118">
        <v>11</v>
      </c>
      <c r="U118">
        <v>1</v>
      </c>
      <c r="V118">
        <v>5</v>
      </c>
      <c r="W118">
        <v>6</v>
      </c>
      <c r="X118">
        <v>9</v>
      </c>
      <c r="Y118">
        <v>6</v>
      </c>
      <c r="Z118">
        <v>8</v>
      </c>
      <c r="AA118">
        <f t="shared" si="3"/>
        <v>60</v>
      </c>
      <c r="AB118" t="s">
        <v>45</v>
      </c>
      <c r="AC118">
        <v>74.180000000000007</v>
      </c>
      <c r="AD118">
        <v>10.76</v>
      </c>
      <c r="AE118">
        <v>27.99</v>
      </c>
      <c r="AF118">
        <v>48.43</v>
      </c>
      <c r="AG118">
        <v>42.52</v>
      </c>
      <c r="AH118">
        <v>29.29</v>
      </c>
      <c r="AI118">
        <v>94.07</v>
      </c>
      <c r="AJ118">
        <v>17.649999999999999</v>
      </c>
      <c r="AK118">
        <v>59.92</v>
      </c>
      <c r="AL118">
        <v>10.44</v>
      </c>
      <c r="AM118">
        <v>42.54</v>
      </c>
      <c r="AN118">
        <v>81.23</v>
      </c>
      <c r="AO118">
        <v>539.02</v>
      </c>
    </row>
    <row r="119" spans="1:41" x14ac:dyDescent="0.25">
      <c r="A119" t="s">
        <v>198</v>
      </c>
      <c r="B119">
        <v>6304</v>
      </c>
      <c r="C119">
        <v>952</v>
      </c>
      <c r="D119">
        <v>634</v>
      </c>
      <c r="E119">
        <v>14753</v>
      </c>
      <c r="F119">
        <v>15472</v>
      </c>
      <c r="G119">
        <v>1361</v>
      </c>
      <c r="H119">
        <v>182</v>
      </c>
      <c r="I119">
        <v>654</v>
      </c>
      <c r="J119">
        <v>2295</v>
      </c>
      <c r="K119">
        <v>2928</v>
      </c>
      <c r="L119">
        <v>2790</v>
      </c>
      <c r="M119">
        <v>8168</v>
      </c>
      <c r="N119">
        <f t="shared" si="2"/>
        <v>56493</v>
      </c>
      <c r="O119">
        <v>2</v>
      </c>
      <c r="P119">
        <v>5</v>
      </c>
      <c r="Q119">
        <v>3</v>
      </c>
      <c r="R119">
        <v>1</v>
      </c>
      <c r="S119">
        <v>10</v>
      </c>
      <c r="T119">
        <v>1</v>
      </c>
      <c r="U119">
        <v>5</v>
      </c>
      <c r="V119">
        <v>8</v>
      </c>
      <c r="W119">
        <v>1</v>
      </c>
      <c r="X119">
        <v>3</v>
      </c>
      <c r="Y119">
        <v>9</v>
      </c>
      <c r="Z119">
        <v>12</v>
      </c>
      <c r="AA119">
        <f t="shared" si="3"/>
        <v>60</v>
      </c>
      <c r="AB119" t="s">
        <v>45</v>
      </c>
      <c r="AC119">
        <v>73.13</v>
      </c>
      <c r="AD119">
        <v>19.760000000000002</v>
      </c>
      <c r="AE119">
        <v>16.48</v>
      </c>
      <c r="AF119">
        <v>157.57</v>
      </c>
      <c r="AG119">
        <v>165.21</v>
      </c>
      <c r="AH119">
        <v>23.65</v>
      </c>
      <c r="AI119">
        <v>12.06</v>
      </c>
      <c r="AJ119">
        <v>16.93</v>
      </c>
      <c r="AK119">
        <v>32.99</v>
      </c>
      <c r="AL119">
        <v>39.42</v>
      </c>
      <c r="AM119">
        <v>38.340000000000003</v>
      </c>
      <c r="AN119">
        <v>92.27</v>
      </c>
      <c r="AO119">
        <v>687.81</v>
      </c>
    </row>
    <row r="120" spans="1:41" x14ac:dyDescent="0.25">
      <c r="A120" t="s">
        <v>199</v>
      </c>
      <c r="B120">
        <v>6287</v>
      </c>
      <c r="C120">
        <v>3368</v>
      </c>
      <c r="D120">
        <v>20</v>
      </c>
      <c r="E120">
        <v>3877</v>
      </c>
      <c r="F120">
        <v>21366</v>
      </c>
      <c r="G120">
        <v>51</v>
      </c>
      <c r="H120">
        <v>5743</v>
      </c>
      <c r="I120">
        <v>1872</v>
      </c>
      <c r="J120">
        <v>2454</v>
      </c>
      <c r="K120">
        <v>2245</v>
      </c>
      <c r="L120">
        <v>7829</v>
      </c>
      <c r="M120">
        <v>2106</v>
      </c>
      <c r="N120">
        <f t="shared" si="2"/>
        <v>57218</v>
      </c>
      <c r="O120">
        <v>3</v>
      </c>
      <c r="P120">
        <v>1</v>
      </c>
      <c r="Q120">
        <v>4</v>
      </c>
      <c r="R120">
        <v>14</v>
      </c>
      <c r="S120">
        <v>1</v>
      </c>
      <c r="T120">
        <v>4</v>
      </c>
      <c r="U120">
        <v>3</v>
      </c>
      <c r="V120">
        <v>1</v>
      </c>
      <c r="W120">
        <v>2</v>
      </c>
      <c r="X120">
        <v>7</v>
      </c>
      <c r="Y120">
        <v>3</v>
      </c>
      <c r="Z120">
        <v>3</v>
      </c>
      <c r="AA120">
        <f t="shared" si="3"/>
        <v>46</v>
      </c>
      <c r="AB120" t="s">
        <v>45</v>
      </c>
      <c r="AC120">
        <v>73.010000000000005</v>
      </c>
      <c r="AD120">
        <v>43.72</v>
      </c>
      <c r="AE120">
        <v>10.39</v>
      </c>
      <c r="AF120">
        <v>49.46</v>
      </c>
      <c r="AG120">
        <v>223.7</v>
      </c>
      <c r="AH120">
        <v>10.7</v>
      </c>
      <c r="AI120">
        <v>67.569999999999993</v>
      </c>
      <c r="AJ120">
        <v>28.76</v>
      </c>
      <c r="AK120">
        <v>34.630000000000003</v>
      </c>
      <c r="AL120">
        <v>32.79</v>
      </c>
      <c r="AM120">
        <v>88.43</v>
      </c>
      <c r="AN120">
        <v>31.2</v>
      </c>
      <c r="AO120">
        <v>694.3599999999999</v>
      </c>
    </row>
    <row r="121" spans="1:41" x14ac:dyDescent="0.25">
      <c r="A121" t="s">
        <v>200</v>
      </c>
      <c r="B121">
        <v>6223</v>
      </c>
      <c r="C121">
        <v>7682</v>
      </c>
      <c r="D121">
        <v>3585</v>
      </c>
      <c r="E121">
        <v>1179</v>
      </c>
      <c r="F121">
        <v>4282</v>
      </c>
      <c r="G121">
        <v>1931</v>
      </c>
      <c r="H121">
        <v>1326</v>
      </c>
      <c r="I121">
        <v>577</v>
      </c>
      <c r="J121">
        <v>4865</v>
      </c>
      <c r="K121">
        <v>4693</v>
      </c>
      <c r="L121">
        <v>2910</v>
      </c>
      <c r="M121">
        <v>3022</v>
      </c>
      <c r="N121">
        <f t="shared" si="2"/>
        <v>42275</v>
      </c>
      <c r="O121">
        <v>12</v>
      </c>
      <c r="P121">
        <v>7</v>
      </c>
      <c r="Q121">
        <v>5</v>
      </c>
      <c r="R121">
        <v>3</v>
      </c>
      <c r="S121">
        <v>4</v>
      </c>
      <c r="T121">
        <v>1</v>
      </c>
      <c r="U121">
        <v>3</v>
      </c>
      <c r="V121">
        <v>8</v>
      </c>
      <c r="W121">
        <v>2</v>
      </c>
      <c r="X121">
        <v>3</v>
      </c>
      <c r="Y121">
        <v>0</v>
      </c>
      <c r="Z121">
        <v>0</v>
      </c>
      <c r="AA121">
        <f t="shared" si="3"/>
        <v>48</v>
      </c>
      <c r="AB121" t="s">
        <v>45</v>
      </c>
      <c r="AC121">
        <v>72.819999999999993</v>
      </c>
      <c r="AD121">
        <v>87.16</v>
      </c>
      <c r="AE121">
        <v>46.09</v>
      </c>
      <c r="AF121">
        <v>21.93</v>
      </c>
      <c r="AG121">
        <v>53.01</v>
      </c>
      <c r="AH121">
        <v>29.35</v>
      </c>
      <c r="AI121">
        <v>23.4</v>
      </c>
      <c r="AJ121">
        <v>16.16</v>
      </c>
      <c r="AK121">
        <v>58.74</v>
      </c>
      <c r="AL121">
        <v>57.07</v>
      </c>
      <c r="AM121">
        <v>39.090000000000003</v>
      </c>
      <c r="AN121">
        <v>40.21</v>
      </c>
      <c r="AO121">
        <v>545.03000000000009</v>
      </c>
    </row>
    <row r="122" spans="1:41" x14ac:dyDescent="0.25">
      <c r="A122" t="s">
        <v>201</v>
      </c>
      <c r="B122">
        <v>6200</v>
      </c>
      <c r="C122">
        <v>6951</v>
      </c>
      <c r="D122">
        <v>6782</v>
      </c>
      <c r="E122">
        <v>2363</v>
      </c>
      <c r="F122">
        <v>6993</v>
      </c>
      <c r="G122">
        <v>2144</v>
      </c>
      <c r="H122">
        <v>4229</v>
      </c>
      <c r="I122">
        <v>4639</v>
      </c>
      <c r="J122">
        <v>1364</v>
      </c>
      <c r="K122">
        <v>1055</v>
      </c>
      <c r="L122">
        <v>738</v>
      </c>
      <c r="M122">
        <v>3037</v>
      </c>
      <c r="N122">
        <f t="shared" si="2"/>
        <v>46495</v>
      </c>
      <c r="O122">
        <v>4</v>
      </c>
      <c r="P122">
        <v>5</v>
      </c>
      <c r="Q122">
        <v>4</v>
      </c>
      <c r="R122">
        <v>2</v>
      </c>
      <c r="S122">
        <v>1</v>
      </c>
      <c r="T122">
        <v>2</v>
      </c>
      <c r="U122">
        <v>3</v>
      </c>
      <c r="V122">
        <v>2</v>
      </c>
      <c r="W122">
        <v>7</v>
      </c>
      <c r="X122">
        <v>15</v>
      </c>
      <c r="Y122">
        <v>15</v>
      </c>
      <c r="Z122">
        <v>9</v>
      </c>
      <c r="AA122">
        <f t="shared" si="3"/>
        <v>69</v>
      </c>
      <c r="AB122" t="s">
        <v>45</v>
      </c>
      <c r="AC122">
        <v>72.19</v>
      </c>
      <c r="AD122">
        <v>79.75</v>
      </c>
      <c r="AE122">
        <v>78.010000000000005</v>
      </c>
      <c r="AF122">
        <v>33.72</v>
      </c>
      <c r="AG122">
        <v>79.97</v>
      </c>
      <c r="AH122">
        <v>31.53</v>
      </c>
      <c r="AI122">
        <v>52.43</v>
      </c>
      <c r="AJ122">
        <v>56.48</v>
      </c>
      <c r="AK122">
        <v>23.98</v>
      </c>
      <c r="AL122">
        <v>21.29</v>
      </c>
      <c r="AM122">
        <v>18.12</v>
      </c>
      <c r="AN122">
        <v>40.81</v>
      </c>
      <c r="AO122">
        <v>588.28</v>
      </c>
    </row>
    <row r="123" spans="1:41" x14ac:dyDescent="0.25">
      <c r="A123" t="s">
        <v>202</v>
      </c>
      <c r="B123">
        <v>6187</v>
      </c>
      <c r="C123">
        <v>2052</v>
      </c>
      <c r="D123">
        <v>4627</v>
      </c>
      <c r="E123">
        <v>8860</v>
      </c>
      <c r="F123">
        <v>9959</v>
      </c>
      <c r="G123">
        <v>3865</v>
      </c>
      <c r="H123">
        <v>2866</v>
      </c>
      <c r="I123">
        <v>3557</v>
      </c>
      <c r="J123">
        <v>165</v>
      </c>
      <c r="K123">
        <v>960</v>
      </c>
      <c r="L123">
        <v>1805</v>
      </c>
      <c r="M123">
        <v>1522</v>
      </c>
      <c r="N123">
        <f t="shared" si="2"/>
        <v>46425</v>
      </c>
      <c r="O123">
        <v>1</v>
      </c>
      <c r="P123">
        <v>9</v>
      </c>
      <c r="Q123">
        <v>9</v>
      </c>
      <c r="R123">
        <v>4</v>
      </c>
      <c r="S123">
        <v>5</v>
      </c>
      <c r="T123">
        <v>15</v>
      </c>
      <c r="U123">
        <v>4</v>
      </c>
      <c r="V123">
        <v>10</v>
      </c>
      <c r="W123">
        <v>1</v>
      </c>
      <c r="X123">
        <v>2</v>
      </c>
      <c r="Y123">
        <v>4</v>
      </c>
      <c r="Z123">
        <v>3</v>
      </c>
      <c r="AA123">
        <f t="shared" si="3"/>
        <v>67</v>
      </c>
      <c r="AB123" t="s">
        <v>45</v>
      </c>
      <c r="AC123">
        <v>71.91</v>
      </c>
      <c r="AD123">
        <v>30.96</v>
      </c>
      <c r="AE123">
        <v>56.71</v>
      </c>
      <c r="AF123">
        <v>98.79</v>
      </c>
      <c r="AG123">
        <v>109.83</v>
      </c>
      <c r="AH123">
        <v>49.39</v>
      </c>
      <c r="AI123">
        <v>38.85</v>
      </c>
      <c r="AJ123">
        <v>46.06</v>
      </c>
      <c r="AK123">
        <v>11.69</v>
      </c>
      <c r="AL123">
        <v>19.690000000000001</v>
      </c>
      <c r="AM123">
        <v>28.24</v>
      </c>
      <c r="AN123">
        <v>25.36</v>
      </c>
      <c r="AO123">
        <v>587.48000000000013</v>
      </c>
    </row>
    <row r="124" spans="1:41" x14ac:dyDescent="0.25">
      <c r="A124" t="s">
        <v>203</v>
      </c>
      <c r="B124">
        <v>6106</v>
      </c>
      <c r="C124">
        <v>1412</v>
      </c>
      <c r="D124">
        <v>6240</v>
      </c>
      <c r="E124">
        <v>2733</v>
      </c>
      <c r="F124">
        <v>620</v>
      </c>
      <c r="G124">
        <v>371</v>
      </c>
      <c r="H124">
        <v>5611</v>
      </c>
      <c r="I124">
        <v>3779</v>
      </c>
      <c r="J124">
        <v>2601</v>
      </c>
      <c r="K124">
        <v>2569</v>
      </c>
      <c r="L124">
        <v>3743</v>
      </c>
      <c r="M124">
        <v>1604</v>
      </c>
      <c r="N124">
        <f t="shared" si="2"/>
        <v>37389</v>
      </c>
      <c r="O124">
        <v>0</v>
      </c>
      <c r="P124">
        <v>5</v>
      </c>
      <c r="Q124">
        <v>7</v>
      </c>
      <c r="R124">
        <v>6</v>
      </c>
      <c r="S124">
        <v>1</v>
      </c>
      <c r="T124">
        <v>0</v>
      </c>
      <c r="U124">
        <v>3</v>
      </c>
      <c r="V124">
        <v>2</v>
      </c>
      <c r="W124">
        <v>7</v>
      </c>
      <c r="X124">
        <v>4</v>
      </c>
      <c r="Y124">
        <v>6</v>
      </c>
      <c r="Z124">
        <v>4</v>
      </c>
      <c r="AA124">
        <f t="shared" si="3"/>
        <v>45</v>
      </c>
      <c r="AB124" t="s">
        <v>45</v>
      </c>
      <c r="AC124">
        <v>71.05</v>
      </c>
      <c r="AD124">
        <v>24.36</v>
      </c>
      <c r="AE124">
        <v>72.739999999999995</v>
      </c>
      <c r="AF124">
        <v>37.619999999999997</v>
      </c>
      <c r="AG124">
        <v>16.239999999999998</v>
      </c>
      <c r="AH124">
        <v>13.7</v>
      </c>
      <c r="AI124">
        <v>66.25</v>
      </c>
      <c r="AJ124">
        <v>47.88</v>
      </c>
      <c r="AK124">
        <v>36.35</v>
      </c>
      <c r="AL124">
        <v>35.880000000000003</v>
      </c>
      <c r="AM124">
        <v>47.72</v>
      </c>
      <c r="AN124">
        <v>26.23</v>
      </c>
      <c r="AO124">
        <v>496.02</v>
      </c>
    </row>
    <row r="125" spans="1:41" x14ac:dyDescent="0.25">
      <c r="A125" t="s">
        <v>205</v>
      </c>
      <c r="B125">
        <v>6054</v>
      </c>
      <c r="C125">
        <v>1737</v>
      </c>
      <c r="D125">
        <v>4356</v>
      </c>
      <c r="E125">
        <v>2244</v>
      </c>
      <c r="F125">
        <v>3450</v>
      </c>
      <c r="G125">
        <v>1451</v>
      </c>
      <c r="H125">
        <v>46</v>
      </c>
      <c r="I125">
        <v>9867</v>
      </c>
      <c r="J125">
        <v>0</v>
      </c>
      <c r="K125">
        <v>5340</v>
      </c>
      <c r="L125">
        <v>392</v>
      </c>
      <c r="M125">
        <v>1307</v>
      </c>
      <c r="N125">
        <f t="shared" si="2"/>
        <v>36244</v>
      </c>
      <c r="O125">
        <v>5</v>
      </c>
      <c r="P125">
        <v>3</v>
      </c>
      <c r="Q125">
        <v>3</v>
      </c>
      <c r="R125">
        <v>9</v>
      </c>
      <c r="S125">
        <v>2</v>
      </c>
      <c r="T125">
        <v>8</v>
      </c>
      <c r="U125">
        <v>2</v>
      </c>
      <c r="V125">
        <v>4</v>
      </c>
      <c r="W125">
        <v>4</v>
      </c>
      <c r="X125">
        <v>9</v>
      </c>
      <c r="Y125">
        <v>5</v>
      </c>
      <c r="Z125">
        <v>3</v>
      </c>
      <c r="AA125">
        <f t="shared" si="3"/>
        <v>57</v>
      </c>
      <c r="AB125" t="s">
        <v>45</v>
      </c>
      <c r="AC125">
        <v>70.78</v>
      </c>
      <c r="AD125">
        <v>27.51</v>
      </c>
      <c r="AE125">
        <v>53.7</v>
      </c>
      <c r="AF125">
        <v>32.880000000000003</v>
      </c>
      <c r="AG125">
        <v>44.59</v>
      </c>
      <c r="AH125">
        <v>24.9</v>
      </c>
      <c r="AI125">
        <v>10.55</v>
      </c>
      <c r="AJ125">
        <v>108.86</v>
      </c>
      <c r="AK125">
        <v>10.19</v>
      </c>
      <c r="AL125">
        <v>63.84</v>
      </c>
      <c r="AM125">
        <v>14.16</v>
      </c>
      <c r="AN125">
        <v>23.21</v>
      </c>
      <c r="AO125">
        <v>485.17000000000007</v>
      </c>
    </row>
    <row r="126" spans="1:41" x14ac:dyDescent="0.25">
      <c r="A126" t="s">
        <v>206</v>
      </c>
      <c r="B126">
        <v>6043</v>
      </c>
      <c r="C126">
        <v>2550</v>
      </c>
      <c r="D126">
        <v>3200</v>
      </c>
      <c r="E126">
        <v>8605</v>
      </c>
      <c r="F126">
        <v>9764</v>
      </c>
      <c r="G126">
        <v>4078</v>
      </c>
      <c r="H126">
        <v>221</v>
      </c>
      <c r="I126">
        <v>0</v>
      </c>
      <c r="J126">
        <v>7565</v>
      </c>
      <c r="K126">
        <v>188</v>
      </c>
      <c r="L126">
        <v>808</v>
      </c>
      <c r="M126">
        <v>1910</v>
      </c>
      <c r="N126">
        <f t="shared" si="2"/>
        <v>44932</v>
      </c>
      <c r="O126">
        <v>3</v>
      </c>
      <c r="P126">
        <v>2</v>
      </c>
      <c r="Q126">
        <v>4</v>
      </c>
      <c r="R126">
        <v>7</v>
      </c>
      <c r="S126">
        <v>6</v>
      </c>
      <c r="T126">
        <v>9</v>
      </c>
      <c r="U126">
        <v>3</v>
      </c>
      <c r="V126">
        <v>9</v>
      </c>
      <c r="W126">
        <v>0</v>
      </c>
      <c r="X126">
        <v>8</v>
      </c>
      <c r="Y126">
        <v>3</v>
      </c>
      <c r="Z126">
        <v>3</v>
      </c>
      <c r="AA126">
        <f t="shared" si="3"/>
        <v>57</v>
      </c>
      <c r="AB126" t="s">
        <v>45</v>
      </c>
      <c r="AC126">
        <v>70.569999999999993</v>
      </c>
      <c r="AD126">
        <v>35.590000000000003</v>
      </c>
      <c r="AE126">
        <v>42.19</v>
      </c>
      <c r="AF126">
        <v>96.39</v>
      </c>
      <c r="AG126">
        <v>107.93</v>
      </c>
      <c r="AH126">
        <v>51.22</v>
      </c>
      <c r="AI126">
        <v>12.35</v>
      </c>
      <c r="AJ126">
        <v>10.44</v>
      </c>
      <c r="AK126">
        <v>85.64</v>
      </c>
      <c r="AL126">
        <v>12.27</v>
      </c>
      <c r="AM126">
        <v>18.22</v>
      </c>
      <c r="AN126">
        <v>29.24</v>
      </c>
      <c r="AO126">
        <v>572.05000000000007</v>
      </c>
    </row>
    <row r="127" spans="1:41" x14ac:dyDescent="0.25">
      <c r="A127" t="s">
        <v>207</v>
      </c>
      <c r="B127">
        <v>6031</v>
      </c>
      <c r="C127">
        <v>3331</v>
      </c>
      <c r="D127">
        <v>1208</v>
      </c>
      <c r="E127">
        <v>811</v>
      </c>
      <c r="F127">
        <v>8619</v>
      </c>
      <c r="G127">
        <v>8514</v>
      </c>
      <c r="H127">
        <v>0</v>
      </c>
      <c r="I127">
        <v>5549</v>
      </c>
      <c r="J127">
        <v>1721</v>
      </c>
      <c r="K127">
        <v>565</v>
      </c>
      <c r="L127">
        <v>4645</v>
      </c>
      <c r="M127">
        <v>3642</v>
      </c>
      <c r="N127">
        <f t="shared" si="2"/>
        <v>44636</v>
      </c>
      <c r="O127">
        <v>2</v>
      </c>
      <c r="P127">
        <v>3</v>
      </c>
      <c r="Q127">
        <v>12</v>
      </c>
      <c r="R127">
        <v>4</v>
      </c>
      <c r="S127">
        <v>8</v>
      </c>
      <c r="T127">
        <v>8</v>
      </c>
      <c r="U127">
        <v>3</v>
      </c>
      <c r="V127">
        <v>1</v>
      </c>
      <c r="W127">
        <v>3</v>
      </c>
      <c r="X127">
        <v>3</v>
      </c>
      <c r="Y127">
        <v>6</v>
      </c>
      <c r="Z127">
        <v>10</v>
      </c>
      <c r="AA127">
        <f t="shared" si="3"/>
        <v>63</v>
      </c>
      <c r="AB127" t="s">
        <v>45</v>
      </c>
      <c r="AC127">
        <v>70.400000000000006</v>
      </c>
      <c r="AD127">
        <v>43.45</v>
      </c>
      <c r="AE127">
        <v>22.67</v>
      </c>
      <c r="AF127">
        <v>18.3</v>
      </c>
      <c r="AG127">
        <v>96.58</v>
      </c>
      <c r="AH127">
        <v>95.53</v>
      </c>
      <c r="AI127">
        <v>10.14</v>
      </c>
      <c r="AJ127">
        <v>65.53</v>
      </c>
      <c r="AK127">
        <v>27.35</v>
      </c>
      <c r="AL127">
        <v>15.79</v>
      </c>
      <c r="AM127">
        <v>56.74</v>
      </c>
      <c r="AN127">
        <v>46.91</v>
      </c>
      <c r="AO127">
        <v>569.39</v>
      </c>
    </row>
    <row r="128" spans="1:41" x14ac:dyDescent="0.25">
      <c r="A128" t="s">
        <v>208</v>
      </c>
      <c r="B128">
        <v>6003</v>
      </c>
      <c r="C128">
        <v>2456</v>
      </c>
      <c r="D128">
        <v>0</v>
      </c>
      <c r="E128">
        <v>6190</v>
      </c>
      <c r="F128">
        <v>1016</v>
      </c>
      <c r="G128">
        <v>421</v>
      </c>
      <c r="H128">
        <v>5912</v>
      </c>
      <c r="I128">
        <v>9344</v>
      </c>
      <c r="J128">
        <v>8532</v>
      </c>
      <c r="K128">
        <v>187</v>
      </c>
      <c r="L128">
        <v>1922</v>
      </c>
      <c r="M128">
        <v>222</v>
      </c>
      <c r="N128">
        <f t="shared" si="2"/>
        <v>42205</v>
      </c>
      <c r="O128">
        <v>3</v>
      </c>
      <c r="P128">
        <v>5</v>
      </c>
      <c r="Q128">
        <v>9</v>
      </c>
      <c r="R128">
        <v>1</v>
      </c>
      <c r="S128">
        <v>3</v>
      </c>
      <c r="T128">
        <v>4</v>
      </c>
      <c r="U128">
        <v>8</v>
      </c>
      <c r="V128">
        <v>6</v>
      </c>
      <c r="W128">
        <v>5</v>
      </c>
      <c r="X128">
        <v>5</v>
      </c>
      <c r="Y128">
        <v>8</v>
      </c>
      <c r="Z128">
        <v>2</v>
      </c>
      <c r="AA128">
        <f t="shared" si="3"/>
        <v>59</v>
      </c>
      <c r="AB128" t="s">
        <v>45</v>
      </c>
      <c r="AC128">
        <v>70.17</v>
      </c>
      <c r="AD128">
        <v>34.799999999999997</v>
      </c>
      <c r="AE128">
        <v>10.44</v>
      </c>
      <c r="AF128">
        <v>71.94</v>
      </c>
      <c r="AG128">
        <v>20.3</v>
      </c>
      <c r="AH128">
        <v>14.4</v>
      </c>
      <c r="AI128">
        <v>69.510000000000005</v>
      </c>
      <c r="AJ128">
        <v>103.73</v>
      </c>
      <c r="AK128">
        <v>95.56</v>
      </c>
      <c r="AL128">
        <v>12.11</v>
      </c>
      <c r="AM128">
        <v>29.61</v>
      </c>
      <c r="AN128">
        <v>12.31</v>
      </c>
      <c r="AO128">
        <v>544.88</v>
      </c>
    </row>
    <row r="129" spans="1:41" x14ac:dyDescent="0.25">
      <c r="A129" t="s">
        <v>209</v>
      </c>
      <c r="B129">
        <v>6000</v>
      </c>
      <c r="C129">
        <v>14723</v>
      </c>
      <c r="D129">
        <v>1818</v>
      </c>
      <c r="E129">
        <v>0</v>
      </c>
      <c r="F129">
        <v>11755</v>
      </c>
      <c r="G129">
        <v>0</v>
      </c>
      <c r="H129">
        <v>5634</v>
      </c>
      <c r="I129">
        <v>388</v>
      </c>
      <c r="J129">
        <v>4513</v>
      </c>
      <c r="K129">
        <v>10363</v>
      </c>
      <c r="L129">
        <v>2169</v>
      </c>
      <c r="M129">
        <v>696</v>
      </c>
      <c r="N129">
        <f t="shared" si="2"/>
        <v>58059</v>
      </c>
      <c r="O129">
        <v>7</v>
      </c>
      <c r="P129">
        <v>3</v>
      </c>
      <c r="Q129">
        <v>29</v>
      </c>
      <c r="R129">
        <v>2</v>
      </c>
      <c r="S129">
        <v>0</v>
      </c>
      <c r="T129">
        <v>0</v>
      </c>
      <c r="U129">
        <v>1</v>
      </c>
      <c r="V129">
        <v>1</v>
      </c>
      <c r="W129">
        <v>8</v>
      </c>
      <c r="X129">
        <v>11</v>
      </c>
      <c r="Y129">
        <v>16</v>
      </c>
      <c r="Z129">
        <v>1</v>
      </c>
      <c r="AA129">
        <f t="shared" si="3"/>
        <v>79</v>
      </c>
      <c r="AB129" t="s">
        <v>45</v>
      </c>
      <c r="AC129">
        <v>70.34</v>
      </c>
      <c r="AD129">
        <v>157.37</v>
      </c>
      <c r="AE129">
        <v>29.62</v>
      </c>
      <c r="AF129">
        <v>10.09</v>
      </c>
      <c r="AG129">
        <v>127.54</v>
      </c>
      <c r="AH129">
        <v>9.99</v>
      </c>
      <c r="AI129">
        <v>66.38</v>
      </c>
      <c r="AJ129">
        <v>13.92</v>
      </c>
      <c r="AK129">
        <v>55.52</v>
      </c>
      <c r="AL129">
        <v>114.17</v>
      </c>
      <c r="AM129">
        <v>32.479999999999997</v>
      </c>
      <c r="AN129">
        <v>17</v>
      </c>
      <c r="AO129">
        <v>704.42</v>
      </c>
    </row>
    <row r="130" spans="1:41" x14ac:dyDescent="0.25">
      <c r="A130" t="s">
        <v>211</v>
      </c>
      <c r="B130">
        <v>5979</v>
      </c>
      <c r="C130">
        <v>654</v>
      </c>
      <c r="D130">
        <v>7207</v>
      </c>
      <c r="E130">
        <v>6245</v>
      </c>
      <c r="F130">
        <v>2901</v>
      </c>
      <c r="G130">
        <v>3744</v>
      </c>
      <c r="H130">
        <v>5381</v>
      </c>
      <c r="I130">
        <v>3265</v>
      </c>
      <c r="J130">
        <v>802</v>
      </c>
      <c r="K130">
        <v>0</v>
      </c>
      <c r="L130">
        <v>436</v>
      </c>
      <c r="M130">
        <v>4749</v>
      </c>
      <c r="N130">
        <f t="shared" si="2"/>
        <v>41363</v>
      </c>
      <c r="O130">
        <v>4</v>
      </c>
      <c r="P130">
        <v>5</v>
      </c>
      <c r="Q130">
        <v>6</v>
      </c>
      <c r="R130">
        <v>1</v>
      </c>
      <c r="S130">
        <v>1</v>
      </c>
      <c r="T130">
        <v>3</v>
      </c>
      <c r="U130">
        <v>11</v>
      </c>
      <c r="V130">
        <v>2</v>
      </c>
      <c r="W130">
        <v>4</v>
      </c>
      <c r="X130">
        <v>5</v>
      </c>
      <c r="Y130">
        <v>5</v>
      </c>
      <c r="Z130">
        <v>1</v>
      </c>
      <c r="AA130">
        <f t="shared" si="3"/>
        <v>48</v>
      </c>
      <c r="AB130" t="s">
        <v>45</v>
      </c>
      <c r="AC130">
        <v>69.98</v>
      </c>
      <c r="AD130">
        <v>16.78</v>
      </c>
      <c r="AE130">
        <v>82.36</v>
      </c>
      <c r="AF130">
        <v>72.489999999999995</v>
      </c>
      <c r="AG130">
        <v>39.049999999999997</v>
      </c>
      <c r="AH130">
        <v>47.58</v>
      </c>
      <c r="AI130">
        <v>64.349999999999994</v>
      </c>
      <c r="AJ130">
        <v>42.74</v>
      </c>
      <c r="AK130">
        <v>18.21</v>
      </c>
      <c r="AL130">
        <v>10.24</v>
      </c>
      <c r="AM130">
        <v>14.6</v>
      </c>
      <c r="AN130">
        <v>57.53</v>
      </c>
      <c r="AO130">
        <v>535.91000000000008</v>
      </c>
    </row>
    <row r="131" spans="1:41" x14ac:dyDescent="0.25">
      <c r="A131" t="s">
        <v>212</v>
      </c>
      <c r="B131">
        <v>5966</v>
      </c>
      <c r="C131">
        <v>984</v>
      </c>
      <c r="D131">
        <v>7650</v>
      </c>
      <c r="E131">
        <v>2674</v>
      </c>
      <c r="F131">
        <v>1983</v>
      </c>
      <c r="G131">
        <v>4607</v>
      </c>
      <c r="H131">
        <v>2227</v>
      </c>
      <c r="I131">
        <v>2234</v>
      </c>
      <c r="J131">
        <v>4063</v>
      </c>
      <c r="K131">
        <v>843</v>
      </c>
      <c r="L131">
        <v>808</v>
      </c>
      <c r="M131">
        <v>5633</v>
      </c>
      <c r="N131">
        <f t="shared" si="2"/>
        <v>39672</v>
      </c>
      <c r="O131">
        <v>2</v>
      </c>
      <c r="P131">
        <v>4</v>
      </c>
      <c r="Q131">
        <v>0</v>
      </c>
      <c r="R131">
        <v>5</v>
      </c>
      <c r="S131">
        <v>4</v>
      </c>
      <c r="T131">
        <v>6</v>
      </c>
      <c r="U131">
        <v>2</v>
      </c>
      <c r="V131">
        <v>2</v>
      </c>
      <c r="W131">
        <v>7</v>
      </c>
      <c r="X131">
        <v>1</v>
      </c>
      <c r="Y131">
        <v>2</v>
      </c>
      <c r="Z131">
        <v>2</v>
      </c>
      <c r="AA131">
        <f t="shared" si="3"/>
        <v>37</v>
      </c>
      <c r="AB131" t="s">
        <v>45</v>
      </c>
      <c r="AC131">
        <v>69.75</v>
      </c>
      <c r="AD131">
        <v>20.03</v>
      </c>
      <c r="AE131">
        <v>86.49</v>
      </c>
      <c r="AF131">
        <v>36.979999999999997</v>
      </c>
      <c r="AG131">
        <v>30.02</v>
      </c>
      <c r="AH131">
        <v>56.36</v>
      </c>
      <c r="AI131">
        <v>32.36</v>
      </c>
      <c r="AJ131">
        <v>32.43</v>
      </c>
      <c r="AK131">
        <v>50.97</v>
      </c>
      <c r="AL131">
        <v>18.47</v>
      </c>
      <c r="AM131">
        <v>18.170000000000002</v>
      </c>
      <c r="AN131">
        <v>66.42</v>
      </c>
      <c r="AO131">
        <v>518.45000000000005</v>
      </c>
    </row>
    <row r="132" spans="1:41" x14ac:dyDescent="0.25">
      <c r="A132" t="s">
        <v>213</v>
      </c>
      <c r="B132">
        <v>5963</v>
      </c>
      <c r="C132">
        <v>833</v>
      </c>
      <c r="D132">
        <v>260</v>
      </c>
      <c r="E132">
        <v>0</v>
      </c>
      <c r="F132">
        <v>1520</v>
      </c>
      <c r="G132">
        <v>8403</v>
      </c>
      <c r="H132">
        <v>7417</v>
      </c>
      <c r="I132">
        <v>312</v>
      </c>
      <c r="J132">
        <v>208</v>
      </c>
      <c r="K132">
        <v>2792</v>
      </c>
      <c r="L132">
        <v>5599</v>
      </c>
      <c r="M132">
        <v>4111</v>
      </c>
      <c r="N132">
        <f t="shared" ref="N132:N195" si="4">SUM(B132:M132)</f>
        <v>37418</v>
      </c>
      <c r="O132">
        <v>4</v>
      </c>
      <c r="P132">
        <v>7</v>
      </c>
      <c r="Q132">
        <v>2</v>
      </c>
      <c r="R132">
        <v>1</v>
      </c>
      <c r="S132">
        <v>4</v>
      </c>
      <c r="T132">
        <v>6</v>
      </c>
      <c r="U132">
        <v>5</v>
      </c>
      <c r="V132">
        <v>1</v>
      </c>
      <c r="W132">
        <v>0</v>
      </c>
      <c r="X132">
        <v>5</v>
      </c>
      <c r="Y132">
        <v>0</v>
      </c>
      <c r="Z132">
        <v>5</v>
      </c>
      <c r="AA132">
        <f t="shared" ref="AA132:AA195" si="5">SUM(O132:Z132)</f>
        <v>40</v>
      </c>
      <c r="AB132" t="s">
        <v>45</v>
      </c>
      <c r="AC132">
        <v>69.819999999999993</v>
      </c>
      <c r="AD132">
        <v>18.670000000000002</v>
      </c>
      <c r="AE132">
        <v>12.69</v>
      </c>
      <c r="AF132">
        <v>10.039999999999999</v>
      </c>
      <c r="AG132">
        <v>25.39</v>
      </c>
      <c r="AH132">
        <v>94.32</v>
      </c>
      <c r="AI132">
        <v>84.41</v>
      </c>
      <c r="AJ132">
        <v>13.16</v>
      </c>
      <c r="AK132">
        <v>12.07</v>
      </c>
      <c r="AL132">
        <v>38.159999999999997</v>
      </c>
      <c r="AM132">
        <v>65.98</v>
      </c>
      <c r="AN132">
        <v>51.35</v>
      </c>
      <c r="AO132">
        <v>496.06000000000006</v>
      </c>
    </row>
    <row r="133" spans="1:41" x14ac:dyDescent="0.25">
      <c r="A133" t="s">
        <v>214</v>
      </c>
      <c r="B133">
        <v>5948</v>
      </c>
      <c r="C133">
        <v>2584</v>
      </c>
      <c r="D133">
        <v>22836</v>
      </c>
      <c r="E133">
        <v>0</v>
      </c>
      <c r="F133">
        <v>162</v>
      </c>
      <c r="G133">
        <v>2080</v>
      </c>
      <c r="H133">
        <v>115</v>
      </c>
      <c r="I133">
        <v>6416</v>
      </c>
      <c r="J133">
        <v>273</v>
      </c>
      <c r="K133">
        <v>5858</v>
      </c>
      <c r="L133">
        <v>0</v>
      </c>
      <c r="M133">
        <v>634</v>
      </c>
      <c r="N133">
        <f t="shared" si="4"/>
        <v>46906</v>
      </c>
      <c r="O133">
        <v>4</v>
      </c>
      <c r="P133">
        <v>6</v>
      </c>
      <c r="Q133">
        <v>3</v>
      </c>
      <c r="R133">
        <v>9</v>
      </c>
      <c r="S133">
        <v>3</v>
      </c>
      <c r="T133">
        <v>7</v>
      </c>
      <c r="U133">
        <v>6</v>
      </c>
      <c r="V133">
        <v>3</v>
      </c>
      <c r="W133">
        <v>2</v>
      </c>
      <c r="X133">
        <v>2</v>
      </c>
      <c r="Y133">
        <v>6</v>
      </c>
      <c r="Z133">
        <v>0</v>
      </c>
      <c r="AA133">
        <f t="shared" si="5"/>
        <v>51</v>
      </c>
      <c r="AB133" t="s">
        <v>45</v>
      </c>
      <c r="AC133">
        <v>69.67</v>
      </c>
      <c r="AD133">
        <v>36.130000000000003</v>
      </c>
      <c r="AE133">
        <v>238.5</v>
      </c>
      <c r="AF133">
        <v>10.44</v>
      </c>
      <c r="AG133">
        <v>11.76</v>
      </c>
      <c r="AH133">
        <v>31.14</v>
      </c>
      <c r="AI133">
        <v>11.44</v>
      </c>
      <c r="AJ133">
        <v>74.3</v>
      </c>
      <c r="AK133">
        <v>12.82</v>
      </c>
      <c r="AL133">
        <v>68.67</v>
      </c>
      <c r="AM133">
        <v>10.29</v>
      </c>
      <c r="AN133">
        <v>16.329999999999998</v>
      </c>
      <c r="AO133">
        <v>591.49</v>
      </c>
    </row>
    <row r="134" spans="1:41" x14ac:dyDescent="0.25">
      <c r="A134" t="s">
        <v>215</v>
      </c>
      <c r="B134">
        <v>5939</v>
      </c>
      <c r="C134">
        <v>3441</v>
      </c>
      <c r="D134">
        <v>4632</v>
      </c>
      <c r="E134">
        <v>1954</v>
      </c>
      <c r="F134">
        <v>2098</v>
      </c>
      <c r="G134">
        <v>3568</v>
      </c>
      <c r="H134">
        <v>1038</v>
      </c>
      <c r="I134">
        <v>256</v>
      </c>
      <c r="J134">
        <v>3712</v>
      </c>
      <c r="K134">
        <v>2845</v>
      </c>
      <c r="L134">
        <v>2543</v>
      </c>
      <c r="M134">
        <v>5616</v>
      </c>
      <c r="N134">
        <f t="shared" si="4"/>
        <v>37642</v>
      </c>
      <c r="O134">
        <v>3</v>
      </c>
      <c r="P134">
        <v>9</v>
      </c>
      <c r="Q134">
        <v>11</v>
      </c>
      <c r="R134">
        <v>2</v>
      </c>
      <c r="S134">
        <v>5</v>
      </c>
      <c r="T134">
        <v>1</v>
      </c>
      <c r="U134">
        <v>2</v>
      </c>
      <c r="V134">
        <v>2</v>
      </c>
      <c r="W134">
        <v>2</v>
      </c>
      <c r="X134">
        <v>10</v>
      </c>
      <c r="Y134">
        <v>1</v>
      </c>
      <c r="Z134">
        <v>2</v>
      </c>
      <c r="AA134">
        <f t="shared" si="5"/>
        <v>50</v>
      </c>
      <c r="AB134" t="s">
        <v>45</v>
      </c>
      <c r="AC134">
        <v>69.53</v>
      </c>
      <c r="AD134">
        <v>44.85</v>
      </c>
      <c r="AE134">
        <v>56.86</v>
      </c>
      <c r="AF134">
        <v>29.63</v>
      </c>
      <c r="AG134">
        <v>31.22</v>
      </c>
      <c r="AH134">
        <v>45.72</v>
      </c>
      <c r="AI134">
        <v>20.47</v>
      </c>
      <c r="AJ134">
        <v>12.65</v>
      </c>
      <c r="AK134">
        <v>47.21</v>
      </c>
      <c r="AL134">
        <v>38.94</v>
      </c>
      <c r="AM134">
        <v>35.47</v>
      </c>
      <c r="AN134">
        <v>66.25</v>
      </c>
      <c r="AO134">
        <v>498.79999999999995</v>
      </c>
    </row>
    <row r="135" spans="1:41" x14ac:dyDescent="0.25">
      <c r="A135" t="s">
        <v>218</v>
      </c>
      <c r="B135">
        <v>5898</v>
      </c>
      <c r="C135">
        <v>3283</v>
      </c>
      <c r="D135">
        <v>9307</v>
      </c>
      <c r="E135">
        <v>7093</v>
      </c>
      <c r="F135">
        <v>0</v>
      </c>
      <c r="G135">
        <v>1186</v>
      </c>
      <c r="H135">
        <v>2816</v>
      </c>
      <c r="I135">
        <v>2457</v>
      </c>
      <c r="J135">
        <v>482</v>
      </c>
      <c r="K135">
        <v>1212</v>
      </c>
      <c r="L135">
        <v>3479</v>
      </c>
      <c r="M135">
        <v>0</v>
      </c>
      <c r="N135">
        <f t="shared" si="4"/>
        <v>37213</v>
      </c>
      <c r="O135">
        <v>4</v>
      </c>
      <c r="P135">
        <v>12</v>
      </c>
      <c r="Q135">
        <v>4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2</v>
      </c>
      <c r="X135">
        <v>2</v>
      </c>
      <c r="Y135">
        <v>6</v>
      </c>
      <c r="Z135">
        <v>2</v>
      </c>
      <c r="AA135">
        <f t="shared" si="5"/>
        <v>36</v>
      </c>
      <c r="AB135" t="s">
        <v>45</v>
      </c>
      <c r="AC135">
        <v>69.17</v>
      </c>
      <c r="AD135">
        <v>43.42</v>
      </c>
      <c r="AE135">
        <v>103.26</v>
      </c>
      <c r="AF135">
        <v>80.97</v>
      </c>
      <c r="AG135">
        <v>10.039999999999999</v>
      </c>
      <c r="AH135">
        <v>21.9</v>
      </c>
      <c r="AI135">
        <v>38.15</v>
      </c>
      <c r="AJ135">
        <v>34.61</v>
      </c>
      <c r="AK135">
        <v>14.91</v>
      </c>
      <c r="AL135">
        <v>22.21</v>
      </c>
      <c r="AM135">
        <v>45.08</v>
      </c>
      <c r="AN135">
        <v>10.09</v>
      </c>
      <c r="AO135">
        <v>493.81</v>
      </c>
    </row>
    <row r="136" spans="1:41" x14ac:dyDescent="0.25">
      <c r="A136" t="s">
        <v>219</v>
      </c>
      <c r="B136">
        <v>5871</v>
      </c>
      <c r="C136">
        <v>3201</v>
      </c>
      <c r="D136">
        <v>11159</v>
      </c>
      <c r="E136">
        <v>7716</v>
      </c>
      <c r="F136">
        <v>1687</v>
      </c>
      <c r="G136">
        <v>656</v>
      </c>
      <c r="H136">
        <v>2490</v>
      </c>
      <c r="I136">
        <v>3641</v>
      </c>
      <c r="J136">
        <v>1944</v>
      </c>
      <c r="K136">
        <v>6287</v>
      </c>
      <c r="L136">
        <v>389</v>
      </c>
      <c r="M136">
        <v>1274</v>
      </c>
      <c r="N136">
        <f t="shared" si="4"/>
        <v>46315</v>
      </c>
      <c r="O136">
        <v>4</v>
      </c>
      <c r="P136">
        <v>2</v>
      </c>
      <c r="Q136">
        <v>9</v>
      </c>
      <c r="R136">
        <v>4</v>
      </c>
      <c r="S136">
        <v>4</v>
      </c>
      <c r="T136">
        <v>2</v>
      </c>
      <c r="U136">
        <v>6</v>
      </c>
      <c r="V136">
        <v>2</v>
      </c>
      <c r="W136">
        <v>7</v>
      </c>
      <c r="X136">
        <v>3</v>
      </c>
      <c r="Y136">
        <v>2</v>
      </c>
      <c r="Z136">
        <v>2</v>
      </c>
      <c r="AA136">
        <f t="shared" si="5"/>
        <v>47</v>
      </c>
      <c r="AB136" t="s">
        <v>45</v>
      </c>
      <c r="AC136">
        <v>68.900000000000006</v>
      </c>
      <c r="AD136">
        <v>42.1</v>
      </c>
      <c r="AE136">
        <v>122.03</v>
      </c>
      <c r="AF136">
        <v>87.35</v>
      </c>
      <c r="AG136">
        <v>27.06</v>
      </c>
      <c r="AH136">
        <v>16.649999999999999</v>
      </c>
      <c r="AI136">
        <v>35.19</v>
      </c>
      <c r="AJ136">
        <v>46.5</v>
      </c>
      <c r="AK136">
        <v>29.78</v>
      </c>
      <c r="AL136">
        <v>73.010000000000005</v>
      </c>
      <c r="AM136">
        <v>13.98</v>
      </c>
      <c r="AN136">
        <v>22.83</v>
      </c>
      <c r="AO136">
        <v>585.38</v>
      </c>
    </row>
    <row r="137" spans="1:41" x14ac:dyDescent="0.25">
      <c r="A137" t="s">
        <v>220</v>
      </c>
      <c r="B137">
        <v>5836</v>
      </c>
      <c r="C137">
        <v>3403</v>
      </c>
      <c r="D137">
        <v>6559</v>
      </c>
      <c r="E137">
        <v>7208</v>
      </c>
      <c r="F137">
        <v>3260</v>
      </c>
      <c r="G137">
        <v>8006</v>
      </c>
      <c r="H137">
        <v>7261</v>
      </c>
      <c r="I137">
        <v>10514</v>
      </c>
      <c r="J137">
        <v>6127</v>
      </c>
      <c r="K137">
        <v>5741</v>
      </c>
      <c r="L137">
        <v>2850</v>
      </c>
      <c r="M137">
        <v>1538</v>
      </c>
      <c r="N137">
        <f t="shared" si="4"/>
        <v>68303</v>
      </c>
      <c r="O137">
        <v>9</v>
      </c>
      <c r="P137">
        <v>3</v>
      </c>
      <c r="Q137">
        <v>5</v>
      </c>
      <c r="R137">
        <v>5</v>
      </c>
      <c r="S137">
        <v>8</v>
      </c>
      <c r="T137">
        <v>2</v>
      </c>
      <c r="U137">
        <v>8</v>
      </c>
      <c r="V137">
        <v>2</v>
      </c>
      <c r="W137">
        <v>13</v>
      </c>
      <c r="X137">
        <v>2</v>
      </c>
      <c r="Y137">
        <v>3</v>
      </c>
      <c r="Z137">
        <v>8</v>
      </c>
      <c r="AA137">
        <f t="shared" si="5"/>
        <v>68</v>
      </c>
      <c r="AB137" t="s">
        <v>45</v>
      </c>
      <c r="AC137">
        <v>68.8</v>
      </c>
      <c r="AD137">
        <v>44.17</v>
      </c>
      <c r="AE137">
        <v>75.83</v>
      </c>
      <c r="AF137">
        <v>82.32</v>
      </c>
      <c r="AG137">
        <v>42.99</v>
      </c>
      <c r="AH137">
        <v>90.15</v>
      </c>
      <c r="AI137">
        <v>83</v>
      </c>
      <c r="AJ137">
        <v>115.23</v>
      </c>
      <c r="AK137">
        <v>71.91</v>
      </c>
      <c r="AL137">
        <v>67.5</v>
      </c>
      <c r="AM137">
        <v>38.64</v>
      </c>
      <c r="AN137">
        <v>25.77</v>
      </c>
      <c r="AO137">
        <v>806.31</v>
      </c>
    </row>
    <row r="138" spans="1:41" x14ac:dyDescent="0.25">
      <c r="A138" t="s">
        <v>222</v>
      </c>
      <c r="B138">
        <v>5799</v>
      </c>
      <c r="C138">
        <v>2782</v>
      </c>
      <c r="D138">
        <v>679</v>
      </c>
      <c r="E138">
        <v>3121</v>
      </c>
      <c r="F138">
        <v>4411</v>
      </c>
      <c r="G138">
        <v>2750</v>
      </c>
      <c r="H138">
        <v>1044</v>
      </c>
      <c r="I138">
        <v>0</v>
      </c>
      <c r="J138">
        <v>6670</v>
      </c>
      <c r="K138">
        <v>6891</v>
      </c>
      <c r="L138">
        <v>5208</v>
      </c>
      <c r="M138">
        <v>0</v>
      </c>
      <c r="N138">
        <f t="shared" si="4"/>
        <v>39355</v>
      </c>
      <c r="O138">
        <v>2</v>
      </c>
      <c r="P138">
        <v>1</v>
      </c>
      <c r="Q138">
        <v>1</v>
      </c>
      <c r="R138">
        <v>2</v>
      </c>
      <c r="S138">
        <v>8</v>
      </c>
      <c r="T138">
        <v>2</v>
      </c>
      <c r="U138">
        <v>11</v>
      </c>
      <c r="V138">
        <v>5</v>
      </c>
      <c r="W138">
        <v>4</v>
      </c>
      <c r="X138">
        <v>2</v>
      </c>
      <c r="Y138">
        <v>4</v>
      </c>
      <c r="Z138">
        <v>6</v>
      </c>
      <c r="AA138">
        <f t="shared" si="5"/>
        <v>48</v>
      </c>
      <c r="AB138" t="s">
        <v>45</v>
      </c>
      <c r="AC138">
        <v>68.08</v>
      </c>
      <c r="AD138">
        <v>37.86</v>
      </c>
      <c r="AE138">
        <v>16.829999999999998</v>
      </c>
      <c r="AF138">
        <v>41.3</v>
      </c>
      <c r="AG138">
        <v>54.5</v>
      </c>
      <c r="AH138">
        <v>37.590000000000003</v>
      </c>
      <c r="AI138">
        <v>20.98</v>
      </c>
      <c r="AJ138">
        <v>10.24</v>
      </c>
      <c r="AK138">
        <v>76.89</v>
      </c>
      <c r="AL138">
        <v>79</v>
      </c>
      <c r="AM138">
        <v>62.27</v>
      </c>
      <c r="AN138">
        <v>10.29</v>
      </c>
      <c r="AO138">
        <v>515.82999999999993</v>
      </c>
    </row>
    <row r="139" spans="1:41" x14ac:dyDescent="0.25">
      <c r="A139" t="s">
        <v>223</v>
      </c>
      <c r="B139">
        <v>5794</v>
      </c>
      <c r="C139">
        <v>2986</v>
      </c>
      <c r="D139">
        <v>4283</v>
      </c>
      <c r="E139">
        <v>4046</v>
      </c>
      <c r="F139">
        <v>3124</v>
      </c>
      <c r="G139">
        <v>798</v>
      </c>
      <c r="H139">
        <v>1334</v>
      </c>
      <c r="I139">
        <v>3545</v>
      </c>
      <c r="J139">
        <v>10539</v>
      </c>
      <c r="K139">
        <v>2307</v>
      </c>
      <c r="L139">
        <v>9142</v>
      </c>
      <c r="M139">
        <v>0</v>
      </c>
      <c r="N139">
        <f t="shared" si="4"/>
        <v>47898</v>
      </c>
      <c r="O139">
        <v>2</v>
      </c>
      <c r="P139">
        <v>13</v>
      </c>
      <c r="Q139">
        <v>2</v>
      </c>
      <c r="R139">
        <v>2</v>
      </c>
      <c r="S139">
        <v>1</v>
      </c>
      <c r="T139">
        <v>6</v>
      </c>
      <c r="U139">
        <v>7</v>
      </c>
      <c r="V139">
        <v>1</v>
      </c>
      <c r="W139">
        <v>10</v>
      </c>
      <c r="X139">
        <v>4</v>
      </c>
      <c r="Y139">
        <v>4</v>
      </c>
      <c r="Z139">
        <v>10</v>
      </c>
      <c r="AA139">
        <f t="shared" si="5"/>
        <v>62</v>
      </c>
      <c r="AB139" t="s">
        <v>45</v>
      </c>
      <c r="AC139">
        <v>68.03</v>
      </c>
      <c r="AD139">
        <v>40.5</v>
      </c>
      <c r="AE139">
        <v>52.92</v>
      </c>
      <c r="AF139">
        <v>50.55</v>
      </c>
      <c r="AG139">
        <v>41.28</v>
      </c>
      <c r="AH139">
        <v>18.27</v>
      </c>
      <c r="AI139">
        <v>23.68</v>
      </c>
      <c r="AJ139">
        <v>45.49</v>
      </c>
      <c r="AK139">
        <v>115.88</v>
      </c>
      <c r="AL139">
        <v>33.26</v>
      </c>
      <c r="AM139">
        <v>101.61</v>
      </c>
      <c r="AN139">
        <v>10.49</v>
      </c>
      <c r="AO139">
        <v>601.96</v>
      </c>
    </row>
    <row r="140" spans="1:41" x14ac:dyDescent="0.25">
      <c r="A140" t="s">
        <v>226</v>
      </c>
      <c r="B140">
        <v>5749</v>
      </c>
      <c r="C140">
        <v>9013</v>
      </c>
      <c r="D140">
        <v>1863</v>
      </c>
      <c r="E140">
        <v>3548</v>
      </c>
      <c r="F140">
        <v>0</v>
      </c>
      <c r="G140">
        <v>5063</v>
      </c>
      <c r="H140">
        <v>0</v>
      </c>
      <c r="I140">
        <v>352</v>
      </c>
      <c r="J140">
        <v>4791</v>
      </c>
      <c r="K140">
        <v>3945</v>
      </c>
      <c r="L140">
        <v>4129</v>
      </c>
      <c r="M140">
        <v>2244</v>
      </c>
      <c r="N140">
        <f t="shared" si="4"/>
        <v>40697</v>
      </c>
      <c r="O140">
        <v>4</v>
      </c>
      <c r="P140">
        <v>2</v>
      </c>
      <c r="Q140">
        <v>2</v>
      </c>
      <c r="R140">
        <v>2</v>
      </c>
      <c r="S140">
        <v>0</v>
      </c>
      <c r="T140">
        <v>5</v>
      </c>
      <c r="U140">
        <v>15</v>
      </c>
      <c r="V140">
        <v>5</v>
      </c>
      <c r="W140">
        <v>4</v>
      </c>
      <c r="X140">
        <v>1</v>
      </c>
      <c r="Y140">
        <v>2</v>
      </c>
      <c r="Z140">
        <v>2</v>
      </c>
      <c r="AA140">
        <f t="shared" si="5"/>
        <v>44</v>
      </c>
      <c r="AB140" t="s">
        <v>45</v>
      </c>
      <c r="AC140">
        <v>67.680000000000007</v>
      </c>
      <c r="AD140">
        <v>100.22</v>
      </c>
      <c r="AE140">
        <v>28.72</v>
      </c>
      <c r="AF140">
        <v>45.57</v>
      </c>
      <c r="AG140">
        <v>9.99</v>
      </c>
      <c r="AH140">
        <v>60.87</v>
      </c>
      <c r="AI140">
        <v>10.74</v>
      </c>
      <c r="AJ140">
        <v>13.76</v>
      </c>
      <c r="AK140">
        <v>58.1</v>
      </c>
      <c r="AL140">
        <v>49.49</v>
      </c>
      <c r="AM140">
        <v>51.38</v>
      </c>
      <c r="AN140">
        <v>32.53</v>
      </c>
      <c r="AO140">
        <v>529.05000000000007</v>
      </c>
    </row>
    <row r="141" spans="1:41" x14ac:dyDescent="0.25">
      <c r="A141" t="s">
        <v>227</v>
      </c>
      <c r="B141">
        <v>5748</v>
      </c>
      <c r="C141">
        <v>3712</v>
      </c>
      <c r="D141">
        <v>0</v>
      </c>
      <c r="E141">
        <v>468</v>
      </c>
      <c r="F141">
        <v>5813</v>
      </c>
      <c r="G141">
        <v>1478</v>
      </c>
      <c r="H141">
        <v>13947</v>
      </c>
      <c r="I141">
        <v>3676</v>
      </c>
      <c r="J141">
        <v>1233</v>
      </c>
      <c r="K141">
        <v>7812</v>
      </c>
      <c r="L141">
        <v>2214</v>
      </c>
      <c r="M141">
        <v>1712</v>
      </c>
      <c r="N141">
        <f t="shared" si="4"/>
        <v>47813</v>
      </c>
      <c r="O141">
        <v>5</v>
      </c>
      <c r="P141">
        <v>3</v>
      </c>
      <c r="Q141">
        <v>2</v>
      </c>
      <c r="R141">
        <v>4</v>
      </c>
      <c r="S141">
        <v>2</v>
      </c>
      <c r="T141">
        <v>4</v>
      </c>
      <c r="U141">
        <v>1</v>
      </c>
      <c r="V141">
        <v>1</v>
      </c>
      <c r="W141">
        <v>1</v>
      </c>
      <c r="X141">
        <v>7</v>
      </c>
      <c r="Y141">
        <v>2</v>
      </c>
      <c r="Z141">
        <v>5</v>
      </c>
      <c r="AA141">
        <f t="shared" si="5"/>
        <v>37</v>
      </c>
      <c r="AB141" t="s">
        <v>45</v>
      </c>
      <c r="AC141">
        <v>67.72</v>
      </c>
      <c r="AD141">
        <v>47.26</v>
      </c>
      <c r="AE141">
        <v>10.09</v>
      </c>
      <c r="AF141">
        <v>14.87</v>
      </c>
      <c r="AG141">
        <v>68.22</v>
      </c>
      <c r="AH141">
        <v>24.97</v>
      </c>
      <c r="AI141">
        <v>149.51</v>
      </c>
      <c r="AJ141">
        <v>46.8</v>
      </c>
      <c r="AK141">
        <v>22.37</v>
      </c>
      <c r="AL141">
        <v>88.46</v>
      </c>
      <c r="AM141">
        <v>32.229999999999997</v>
      </c>
      <c r="AN141">
        <v>27.36</v>
      </c>
      <c r="AO141">
        <v>599.86</v>
      </c>
    </row>
    <row r="142" spans="1:41" x14ac:dyDescent="0.25">
      <c r="A142" t="s">
        <v>228</v>
      </c>
      <c r="B142">
        <v>5676</v>
      </c>
      <c r="C142">
        <v>17447</v>
      </c>
      <c r="D142">
        <v>861</v>
      </c>
      <c r="E142">
        <v>4426</v>
      </c>
      <c r="F142">
        <v>2279</v>
      </c>
      <c r="G142">
        <v>0</v>
      </c>
      <c r="H142">
        <v>2516</v>
      </c>
      <c r="I142">
        <v>0</v>
      </c>
      <c r="J142">
        <v>1864</v>
      </c>
      <c r="K142">
        <v>1157</v>
      </c>
      <c r="L142">
        <v>2471</v>
      </c>
      <c r="M142">
        <v>2813</v>
      </c>
      <c r="N142">
        <f t="shared" si="4"/>
        <v>41510</v>
      </c>
      <c r="O142">
        <v>0</v>
      </c>
      <c r="P142">
        <v>2</v>
      </c>
      <c r="Q142">
        <v>7</v>
      </c>
      <c r="R142">
        <v>1</v>
      </c>
      <c r="S142">
        <v>4</v>
      </c>
      <c r="T142">
        <v>5</v>
      </c>
      <c r="U142">
        <v>3</v>
      </c>
      <c r="V142">
        <v>1</v>
      </c>
      <c r="W142">
        <v>6</v>
      </c>
      <c r="X142">
        <v>1</v>
      </c>
      <c r="Y142">
        <v>5</v>
      </c>
      <c r="Z142">
        <v>8</v>
      </c>
      <c r="AA142">
        <f t="shared" si="5"/>
        <v>43</v>
      </c>
      <c r="AB142" t="s">
        <v>45</v>
      </c>
      <c r="AC142">
        <v>66.75</v>
      </c>
      <c r="AD142">
        <v>184.56</v>
      </c>
      <c r="AE142">
        <v>18.95</v>
      </c>
      <c r="AF142">
        <v>54.3</v>
      </c>
      <c r="AG142">
        <v>32.979999999999997</v>
      </c>
      <c r="AH142">
        <v>10.24</v>
      </c>
      <c r="AI142">
        <v>35.299999999999997</v>
      </c>
      <c r="AJ142">
        <v>10.039999999999999</v>
      </c>
      <c r="AK142">
        <v>28.93</v>
      </c>
      <c r="AL142">
        <v>21.61</v>
      </c>
      <c r="AM142">
        <v>34.950000000000003</v>
      </c>
      <c r="AN142">
        <v>38.520000000000003</v>
      </c>
      <c r="AO142">
        <v>537.13000000000011</v>
      </c>
    </row>
    <row r="143" spans="1:41" x14ac:dyDescent="0.25">
      <c r="A143" t="s">
        <v>229</v>
      </c>
      <c r="B143">
        <v>5655</v>
      </c>
      <c r="C143">
        <v>203</v>
      </c>
      <c r="D143">
        <v>957</v>
      </c>
      <c r="E143">
        <v>11660</v>
      </c>
      <c r="F143">
        <v>8044</v>
      </c>
      <c r="G143">
        <v>1932</v>
      </c>
      <c r="H143">
        <v>6554</v>
      </c>
      <c r="I143">
        <v>277</v>
      </c>
      <c r="J143">
        <v>82</v>
      </c>
      <c r="K143">
        <v>1292</v>
      </c>
      <c r="L143">
        <v>0</v>
      </c>
      <c r="M143">
        <v>5980</v>
      </c>
      <c r="N143">
        <f t="shared" si="4"/>
        <v>42636</v>
      </c>
      <c r="O143">
        <v>0</v>
      </c>
      <c r="P143">
        <v>7</v>
      </c>
      <c r="Q143">
        <v>1</v>
      </c>
      <c r="R143">
        <v>2</v>
      </c>
      <c r="S143">
        <v>4</v>
      </c>
      <c r="T143">
        <v>3</v>
      </c>
      <c r="U143">
        <v>9</v>
      </c>
      <c r="V143">
        <v>3</v>
      </c>
      <c r="W143">
        <v>0</v>
      </c>
      <c r="X143">
        <v>3</v>
      </c>
      <c r="Y143">
        <v>3</v>
      </c>
      <c r="Z143">
        <v>3</v>
      </c>
      <c r="AA143">
        <f t="shared" si="5"/>
        <v>38</v>
      </c>
      <c r="AB143" t="s">
        <v>45</v>
      </c>
      <c r="AC143">
        <v>66.540000000000006</v>
      </c>
      <c r="AD143">
        <v>12.37</v>
      </c>
      <c r="AE143">
        <v>19.61</v>
      </c>
      <c r="AF143">
        <v>126.69</v>
      </c>
      <c r="AG143">
        <v>90.63</v>
      </c>
      <c r="AH143">
        <v>29.46</v>
      </c>
      <c r="AI143">
        <v>75.98</v>
      </c>
      <c r="AJ143">
        <v>12.91</v>
      </c>
      <c r="AK143">
        <v>10.81</v>
      </c>
      <c r="AL143">
        <v>23.06</v>
      </c>
      <c r="AM143">
        <v>10.14</v>
      </c>
      <c r="AN143">
        <v>69.94</v>
      </c>
      <c r="AO143">
        <v>548.1400000000001</v>
      </c>
    </row>
    <row r="144" spans="1:41" x14ac:dyDescent="0.25">
      <c r="A144" t="s">
        <v>231</v>
      </c>
      <c r="B144">
        <v>5604</v>
      </c>
      <c r="C144">
        <v>2404</v>
      </c>
      <c r="D144">
        <v>628</v>
      </c>
      <c r="E144">
        <v>4597</v>
      </c>
      <c r="F144">
        <v>891</v>
      </c>
      <c r="G144">
        <v>533</v>
      </c>
      <c r="H144">
        <v>4408</v>
      </c>
      <c r="I144">
        <v>0</v>
      </c>
      <c r="J144">
        <v>12564</v>
      </c>
      <c r="K144">
        <v>4041</v>
      </c>
      <c r="L144">
        <v>15674</v>
      </c>
      <c r="M144">
        <v>2393</v>
      </c>
      <c r="N144">
        <f t="shared" si="4"/>
        <v>53737</v>
      </c>
      <c r="O144">
        <v>2</v>
      </c>
      <c r="P144">
        <v>3</v>
      </c>
      <c r="Q144">
        <v>9</v>
      </c>
      <c r="R144">
        <v>2</v>
      </c>
      <c r="S144">
        <v>7</v>
      </c>
      <c r="T144">
        <v>2</v>
      </c>
      <c r="U144">
        <v>4</v>
      </c>
      <c r="V144">
        <v>3</v>
      </c>
      <c r="W144">
        <v>7</v>
      </c>
      <c r="X144">
        <v>1</v>
      </c>
      <c r="Y144">
        <v>6</v>
      </c>
      <c r="Z144">
        <v>3</v>
      </c>
      <c r="AA144">
        <f t="shared" si="5"/>
        <v>49</v>
      </c>
      <c r="AB144" t="s">
        <v>45</v>
      </c>
      <c r="AC144">
        <v>66.13</v>
      </c>
      <c r="AD144">
        <v>34.18</v>
      </c>
      <c r="AE144">
        <v>16.72</v>
      </c>
      <c r="AF144">
        <v>56.06</v>
      </c>
      <c r="AG144">
        <v>19.25</v>
      </c>
      <c r="AH144">
        <v>15.42</v>
      </c>
      <c r="AI144">
        <v>54.27</v>
      </c>
      <c r="AJ144">
        <v>10.14</v>
      </c>
      <c r="AK144">
        <v>135.97999999999999</v>
      </c>
      <c r="AL144">
        <v>50.45</v>
      </c>
      <c r="AM144">
        <v>167.03</v>
      </c>
      <c r="AN144">
        <v>34.07</v>
      </c>
      <c r="AO144">
        <v>659.7</v>
      </c>
    </row>
    <row r="145" spans="1:41" x14ac:dyDescent="0.25">
      <c r="A145" t="s">
        <v>232</v>
      </c>
      <c r="B145">
        <v>5604</v>
      </c>
      <c r="C145">
        <v>1145</v>
      </c>
      <c r="D145">
        <v>491</v>
      </c>
      <c r="E145">
        <v>2456</v>
      </c>
      <c r="F145">
        <v>5805</v>
      </c>
      <c r="G145">
        <v>559</v>
      </c>
      <c r="H145">
        <v>1574</v>
      </c>
      <c r="I145">
        <v>8288</v>
      </c>
      <c r="J145">
        <v>11056</v>
      </c>
      <c r="K145">
        <v>2085</v>
      </c>
      <c r="L145">
        <v>139</v>
      </c>
      <c r="M145">
        <v>279</v>
      </c>
      <c r="N145">
        <f t="shared" si="4"/>
        <v>39481</v>
      </c>
      <c r="O145">
        <v>7</v>
      </c>
      <c r="P145">
        <v>4</v>
      </c>
      <c r="Q145">
        <v>3</v>
      </c>
      <c r="R145">
        <v>3</v>
      </c>
      <c r="S145">
        <v>2</v>
      </c>
      <c r="T145">
        <v>5</v>
      </c>
      <c r="U145">
        <v>0</v>
      </c>
      <c r="V145">
        <v>0</v>
      </c>
      <c r="W145">
        <v>9</v>
      </c>
      <c r="X145">
        <v>0</v>
      </c>
      <c r="Y145">
        <v>1</v>
      </c>
      <c r="Z145">
        <v>5</v>
      </c>
      <c r="AA145">
        <f t="shared" si="5"/>
        <v>39</v>
      </c>
      <c r="AB145" t="s">
        <v>45</v>
      </c>
      <c r="AC145">
        <v>66.38</v>
      </c>
      <c r="AD145">
        <v>21.64</v>
      </c>
      <c r="AE145">
        <v>15.05</v>
      </c>
      <c r="AF145">
        <v>34.700000000000003</v>
      </c>
      <c r="AG145">
        <v>68.14</v>
      </c>
      <c r="AH145">
        <v>15.83</v>
      </c>
      <c r="AI145">
        <v>25.73</v>
      </c>
      <c r="AJ145">
        <v>92.87</v>
      </c>
      <c r="AK145">
        <v>121</v>
      </c>
      <c r="AL145">
        <v>30.84</v>
      </c>
      <c r="AM145">
        <v>11.43</v>
      </c>
      <c r="AN145">
        <v>13.03</v>
      </c>
      <c r="AO145">
        <v>516.64</v>
      </c>
    </row>
    <row r="146" spans="1:41" x14ac:dyDescent="0.25">
      <c r="A146" t="s">
        <v>234</v>
      </c>
      <c r="B146">
        <v>5495</v>
      </c>
      <c r="C146">
        <v>2586</v>
      </c>
      <c r="D146">
        <v>718</v>
      </c>
      <c r="E146">
        <v>7549</v>
      </c>
      <c r="F146">
        <v>129</v>
      </c>
      <c r="G146">
        <v>1017</v>
      </c>
      <c r="H146">
        <v>411</v>
      </c>
      <c r="I146">
        <v>19557</v>
      </c>
      <c r="J146">
        <v>1160</v>
      </c>
      <c r="K146">
        <v>3204</v>
      </c>
      <c r="L146">
        <v>5274</v>
      </c>
      <c r="M146">
        <v>3686</v>
      </c>
      <c r="N146">
        <f t="shared" si="4"/>
        <v>50786</v>
      </c>
      <c r="O146">
        <v>1</v>
      </c>
      <c r="P146">
        <v>3</v>
      </c>
      <c r="Q146">
        <v>0</v>
      </c>
      <c r="R146">
        <v>5</v>
      </c>
      <c r="S146">
        <v>5</v>
      </c>
      <c r="T146">
        <v>0</v>
      </c>
      <c r="U146">
        <v>8</v>
      </c>
      <c r="V146">
        <v>1</v>
      </c>
      <c r="W146">
        <v>3</v>
      </c>
      <c r="X146">
        <v>5</v>
      </c>
      <c r="Y146">
        <v>1</v>
      </c>
      <c r="Z146">
        <v>3</v>
      </c>
      <c r="AA146">
        <f t="shared" si="5"/>
        <v>35</v>
      </c>
      <c r="AB146" t="s">
        <v>45</v>
      </c>
      <c r="AC146">
        <v>64.989999999999995</v>
      </c>
      <c r="AD146">
        <v>36</v>
      </c>
      <c r="AE146">
        <v>17.170000000000002</v>
      </c>
      <c r="AF146">
        <v>85.73</v>
      </c>
      <c r="AG146">
        <v>11.53</v>
      </c>
      <c r="AH146">
        <v>20.16</v>
      </c>
      <c r="AI146">
        <v>14.5</v>
      </c>
      <c r="AJ146">
        <v>205.61</v>
      </c>
      <c r="AK146">
        <v>21.74</v>
      </c>
      <c r="AL146">
        <v>42.28</v>
      </c>
      <c r="AM146">
        <v>62.78</v>
      </c>
      <c r="AN146">
        <v>47</v>
      </c>
      <c r="AO146">
        <v>629.49</v>
      </c>
    </row>
    <row r="147" spans="1:41" x14ac:dyDescent="0.25">
      <c r="A147" t="s">
        <v>235</v>
      </c>
      <c r="B147">
        <v>5491</v>
      </c>
      <c r="C147">
        <v>5187</v>
      </c>
      <c r="D147">
        <v>6266</v>
      </c>
      <c r="E147">
        <v>665</v>
      </c>
      <c r="F147">
        <v>3197</v>
      </c>
      <c r="G147">
        <v>1879</v>
      </c>
      <c r="H147">
        <v>5187</v>
      </c>
      <c r="I147">
        <v>11525</v>
      </c>
      <c r="J147">
        <v>9119</v>
      </c>
      <c r="K147">
        <v>1045</v>
      </c>
      <c r="L147">
        <v>1923</v>
      </c>
      <c r="M147">
        <v>2022</v>
      </c>
      <c r="N147">
        <f t="shared" si="4"/>
        <v>53506</v>
      </c>
      <c r="O147">
        <v>0</v>
      </c>
      <c r="P147">
        <v>5</v>
      </c>
      <c r="Q147">
        <v>2</v>
      </c>
      <c r="R147">
        <v>6</v>
      </c>
      <c r="S147">
        <v>3</v>
      </c>
      <c r="T147">
        <v>25</v>
      </c>
      <c r="U147">
        <v>2</v>
      </c>
      <c r="V147">
        <v>0</v>
      </c>
      <c r="W147">
        <v>12</v>
      </c>
      <c r="X147">
        <v>1</v>
      </c>
      <c r="Y147">
        <v>6</v>
      </c>
      <c r="Z147">
        <v>7</v>
      </c>
      <c r="AA147">
        <f t="shared" si="5"/>
        <v>69</v>
      </c>
      <c r="AB147" t="s">
        <v>45</v>
      </c>
      <c r="AC147">
        <v>64.900000000000006</v>
      </c>
      <c r="AD147">
        <v>62.11</v>
      </c>
      <c r="AE147">
        <v>72.75</v>
      </c>
      <c r="AF147">
        <v>16.940000000000001</v>
      </c>
      <c r="AG147">
        <v>42.11</v>
      </c>
      <c r="AH147">
        <v>30.03</v>
      </c>
      <c r="AI147">
        <v>61.96</v>
      </c>
      <c r="AJ147">
        <v>125.24</v>
      </c>
      <c r="AK147">
        <v>101.78</v>
      </c>
      <c r="AL147">
        <v>20.49</v>
      </c>
      <c r="AM147">
        <v>29.52</v>
      </c>
      <c r="AN147">
        <v>30.56</v>
      </c>
      <c r="AO147">
        <v>658.39</v>
      </c>
    </row>
    <row r="148" spans="1:41" x14ac:dyDescent="0.25">
      <c r="A148" t="s">
        <v>237</v>
      </c>
      <c r="B148">
        <v>5431</v>
      </c>
      <c r="C148">
        <v>1537</v>
      </c>
      <c r="D148">
        <v>2659</v>
      </c>
      <c r="E148">
        <v>0</v>
      </c>
      <c r="F148">
        <v>3523</v>
      </c>
      <c r="G148">
        <v>4273</v>
      </c>
      <c r="H148">
        <v>6210</v>
      </c>
      <c r="I148">
        <v>90</v>
      </c>
      <c r="J148">
        <v>3640</v>
      </c>
      <c r="K148">
        <v>602</v>
      </c>
      <c r="L148">
        <v>10165</v>
      </c>
      <c r="M148">
        <v>4260</v>
      </c>
      <c r="N148">
        <f t="shared" si="4"/>
        <v>42390</v>
      </c>
      <c r="O148">
        <v>4</v>
      </c>
      <c r="P148">
        <v>4</v>
      </c>
      <c r="Q148">
        <v>1</v>
      </c>
      <c r="R148">
        <v>1</v>
      </c>
      <c r="S148">
        <v>2</v>
      </c>
      <c r="T148">
        <v>5</v>
      </c>
      <c r="U148">
        <v>5</v>
      </c>
      <c r="V148">
        <v>7</v>
      </c>
      <c r="W148">
        <v>0</v>
      </c>
      <c r="X148">
        <v>4</v>
      </c>
      <c r="Y148">
        <v>3</v>
      </c>
      <c r="Z148">
        <v>1</v>
      </c>
      <c r="AA148">
        <f t="shared" si="5"/>
        <v>37</v>
      </c>
      <c r="AB148" t="s">
        <v>45</v>
      </c>
      <c r="AC148">
        <v>64.5</v>
      </c>
      <c r="AD148">
        <v>25.56</v>
      </c>
      <c r="AE148">
        <v>36.630000000000003</v>
      </c>
      <c r="AF148">
        <v>10.039999999999999</v>
      </c>
      <c r="AG148">
        <v>45.32</v>
      </c>
      <c r="AH148">
        <v>52.97</v>
      </c>
      <c r="AI148">
        <v>72.34</v>
      </c>
      <c r="AJ148">
        <v>11.24</v>
      </c>
      <c r="AK148">
        <v>46.39</v>
      </c>
      <c r="AL148">
        <v>16.21</v>
      </c>
      <c r="AM148">
        <v>111.79</v>
      </c>
      <c r="AN148">
        <v>52.64</v>
      </c>
      <c r="AO148">
        <v>545.63</v>
      </c>
    </row>
    <row r="149" spans="1:41" x14ac:dyDescent="0.25">
      <c r="A149" t="s">
        <v>238</v>
      </c>
      <c r="B149">
        <v>5429</v>
      </c>
      <c r="C149">
        <v>7391</v>
      </c>
      <c r="D149">
        <v>81</v>
      </c>
      <c r="E149">
        <v>80</v>
      </c>
      <c r="F149">
        <v>6685</v>
      </c>
      <c r="G149">
        <v>4305</v>
      </c>
      <c r="H149">
        <v>5943</v>
      </c>
      <c r="I149">
        <v>16677</v>
      </c>
      <c r="J149">
        <v>6982</v>
      </c>
      <c r="K149">
        <v>3464</v>
      </c>
      <c r="L149">
        <v>1138</v>
      </c>
      <c r="M149">
        <v>2646</v>
      </c>
      <c r="N149">
        <f t="shared" si="4"/>
        <v>60821</v>
      </c>
      <c r="O149">
        <v>3</v>
      </c>
      <c r="P149">
        <v>2</v>
      </c>
      <c r="Q149">
        <v>1</v>
      </c>
      <c r="R149">
        <v>3</v>
      </c>
      <c r="S149">
        <v>3</v>
      </c>
      <c r="T149">
        <v>7</v>
      </c>
      <c r="U149">
        <v>16</v>
      </c>
      <c r="V149">
        <v>4</v>
      </c>
      <c r="W149">
        <v>2</v>
      </c>
      <c r="X149">
        <v>8</v>
      </c>
      <c r="Y149">
        <v>2</v>
      </c>
      <c r="Z149">
        <v>5</v>
      </c>
      <c r="AA149">
        <f t="shared" si="5"/>
        <v>56</v>
      </c>
      <c r="AB149" t="s">
        <v>45</v>
      </c>
      <c r="AC149">
        <v>64.430000000000007</v>
      </c>
      <c r="AD149">
        <v>84</v>
      </c>
      <c r="AE149">
        <v>10.85</v>
      </c>
      <c r="AF149">
        <v>10.94</v>
      </c>
      <c r="AG149">
        <v>76.989999999999995</v>
      </c>
      <c r="AH149">
        <v>53.39</v>
      </c>
      <c r="AI149">
        <v>70.22</v>
      </c>
      <c r="AJ149">
        <v>176.96</v>
      </c>
      <c r="AK149">
        <v>79.91</v>
      </c>
      <c r="AL149">
        <v>45.03</v>
      </c>
      <c r="AM149">
        <v>21.47</v>
      </c>
      <c r="AN149">
        <v>36.700000000000003</v>
      </c>
      <c r="AO149">
        <v>730.89</v>
      </c>
    </row>
    <row r="150" spans="1:41" x14ac:dyDescent="0.25">
      <c r="A150" t="s">
        <v>239</v>
      </c>
      <c r="B150">
        <v>5428</v>
      </c>
      <c r="C150">
        <v>9229</v>
      </c>
      <c r="D150">
        <v>5378</v>
      </c>
      <c r="E150">
        <v>972</v>
      </c>
      <c r="F150">
        <v>3542</v>
      </c>
      <c r="G150">
        <v>0</v>
      </c>
      <c r="H150">
        <v>1395</v>
      </c>
      <c r="I150">
        <v>4227</v>
      </c>
      <c r="J150">
        <v>7391</v>
      </c>
      <c r="K150">
        <v>0</v>
      </c>
      <c r="L150">
        <v>0</v>
      </c>
      <c r="M150">
        <v>3156</v>
      </c>
      <c r="N150">
        <f t="shared" si="4"/>
        <v>40718</v>
      </c>
      <c r="O150">
        <v>1</v>
      </c>
      <c r="P150">
        <v>3</v>
      </c>
      <c r="Q150">
        <v>2</v>
      </c>
      <c r="R150">
        <v>3</v>
      </c>
      <c r="S150">
        <v>1</v>
      </c>
      <c r="T150">
        <v>2</v>
      </c>
      <c r="U150">
        <v>2</v>
      </c>
      <c r="V150">
        <v>21</v>
      </c>
      <c r="W150">
        <v>21</v>
      </c>
      <c r="X150">
        <v>2</v>
      </c>
      <c r="Y150">
        <v>6</v>
      </c>
      <c r="Z150">
        <v>0</v>
      </c>
      <c r="AA150">
        <f t="shared" si="5"/>
        <v>64</v>
      </c>
      <c r="AB150" t="s">
        <v>45</v>
      </c>
      <c r="AC150">
        <v>64.319999999999993</v>
      </c>
      <c r="AD150">
        <v>102.43</v>
      </c>
      <c r="AE150">
        <v>63.87</v>
      </c>
      <c r="AF150">
        <v>19.86</v>
      </c>
      <c r="AG150">
        <v>45.46</v>
      </c>
      <c r="AH150">
        <v>10.09</v>
      </c>
      <c r="AI150">
        <v>24.04</v>
      </c>
      <c r="AJ150">
        <v>53.31</v>
      </c>
      <c r="AK150">
        <v>84.95</v>
      </c>
      <c r="AL150">
        <v>10.09</v>
      </c>
      <c r="AM150">
        <v>10.29</v>
      </c>
      <c r="AN150">
        <v>41.55</v>
      </c>
      <c r="AO150">
        <v>530.26</v>
      </c>
    </row>
    <row r="151" spans="1:41" x14ac:dyDescent="0.25">
      <c r="A151" t="s">
        <v>241</v>
      </c>
      <c r="B151">
        <v>5365</v>
      </c>
      <c r="C151">
        <v>4854</v>
      </c>
      <c r="D151">
        <v>3442</v>
      </c>
      <c r="E151">
        <v>901</v>
      </c>
      <c r="F151">
        <v>1386</v>
      </c>
      <c r="G151">
        <v>4214</v>
      </c>
      <c r="H151">
        <v>1492</v>
      </c>
      <c r="I151">
        <v>4372</v>
      </c>
      <c r="J151">
        <v>1575</v>
      </c>
      <c r="K151">
        <v>995</v>
      </c>
      <c r="L151">
        <v>1572</v>
      </c>
      <c r="M151">
        <v>10057</v>
      </c>
      <c r="N151">
        <f t="shared" si="4"/>
        <v>40225</v>
      </c>
      <c r="O151">
        <v>1</v>
      </c>
      <c r="P151">
        <v>10</v>
      </c>
      <c r="Q151">
        <v>7</v>
      </c>
      <c r="R151">
        <v>4</v>
      </c>
      <c r="S151">
        <v>5</v>
      </c>
      <c r="T151">
        <v>3</v>
      </c>
      <c r="U151">
        <v>15</v>
      </c>
      <c r="V151">
        <v>15</v>
      </c>
      <c r="W151">
        <v>2</v>
      </c>
      <c r="X151">
        <v>8</v>
      </c>
      <c r="Y151">
        <v>2</v>
      </c>
      <c r="Z151">
        <v>3</v>
      </c>
      <c r="AA151">
        <f t="shared" si="5"/>
        <v>75</v>
      </c>
      <c r="AB151" t="s">
        <v>45</v>
      </c>
      <c r="AC151">
        <v>63.69</v>
      </c>
      <c r="AD151">
        <v>59.03</v>
      </c>
      <c r="AE151">
        <v>44.76</v>
      </c>
      <c r="AF151">
        <v>19.2</v>
      </c>
      <c r="AG151">
        <v>24.1</v>
      </c>
      <c r="AH151">
        <v>52.28</v>
      </c>
      <c r="AI151">
        <v>25.66</v>
      </c>
      <c r="AJ151">
        <v>54.46</v>
      </c>
      <c r="AK151">
        <v>25.84</v>
      </c>
      <c r="AL151">
        <v>20.34</v>
      </c>
      <c r="AM151">
        <v>25.81</v>
      </c>
      <c r="AN151">
        <v>110.71</v>
      </c>
      <c r="AO151">
        <v>525.87999999999988</v>
      </c>
    </row>
    <row r="152" spans="1:41" x14ac:dyDescent="0.25">
      <c r="A152" t="s">
        <v>242</v>
      </c>
      <c r="B152">
        <v>5337</v>
      </c>
      <c r="C152">
        <v>6722</v>
      </c>
      <c r="D152">
        <v>3342</v>
      </c>
      <c r="E152">
        <v>561</v>
      </c>
      <c r="F152">
        <v>7473</v>
      </c>
      <c r="G152">
        <v>4672</v>
      </c>
      <c r="H152">
        <v>2578</v>
      </c>
      <c r="I152">
        <v>848</v>
      </c>
      <c r="J152">
        <v>3150</v>
      </c>
      <c r="K152">
        <v>7733</v>
      </c>
      <c r="L152">
        <v>784</v>
      </c>
      <c r="M152">
        <v>981</v>
      </c>
      <c r="N152">
        <f t="shared" si="4"/>
        <v>44181</v>
      </c>
      <c r="O152">
        <v>6</v>
      </c>
      <c r="P152">
        <v>10</v>
      </c>
      <c r="Q152">
        <v>3</v>
      </c>
      <c r="R152">
        <v>7</v>
      </c>
      <c r="S152">
        <v>3</v>
      </c>
      <c r="T152">
        <v>2</v>
      </c>
      <c r="U152">
        <v>2</v>
      </c>
      <c r="V152">
        <v>9</v>
      </c>
      <c r="W152">
        <v>0</v>
      </c>
      <c r="X152">
        <v>0</v>
      </c>
      <c r="Y152">
        <v>2</v>
      </c>
      <c r="Z152">
        <v>8</v>
      </c>
      <c r="AA152">
        <f t="shared" si="5"/>
        <v>52</v>
      </c>
      <c r="AB152" t="s">
        <v>45</v>
      </c>
      <c r="AC152">
        <v>63.66</v>
      </c>
      <c r="AD152">
        <v>77.709999999999994</v>
      </c>
      <c r="AE152">
        <v>43.56</v>
      </c>
      <c r="AF152">
        <v>15.95</v>
      </c>
      <c r="AG152">
        <v>84.87</v>
      </c>
      <c r="AH152">
        <v>56.81</v>
      </c>
      <c r="AI152">
        <v>35.869999999999997</v>
      </c>
      <c r="AJ152">
        <v>18.920000000000002</v>
      </c>
      <c r="AK152">
        <v>41.49</v>
      </c>
      <c r="AL152">
        <v>87.32</v>
      </c>
      <c r="AM152">
        <v>17.93</v>
      </c>
      <c r="AN152">
        <v>20.2</v>
      </c>
      <c r="AO152">
        <v>564.29000000000008</v>
      </c>
    </row>
    <row r="153" spans="1:41" x14ac:dyDescent="0.25">
      <c r="A153" t="s">
        <v>243</v>
      </c>
      <c r="B153">
        <v>5317</v>
      </c>
      <c r="C153">
        <v>0</v>
      </c>
      <c r="D153">
        <v>8695</v>
      </c>
      <c r="E153">
        <v>1703</v>
      </c>
      <c r="F153">
        <v>8159</v>
      </c>
      <c r="G153">
        <v>662</v>
      </c>
      <c r="H153">
        <v>1332</v>
      </c>
      <c r="I153">
        <v>5853</v>
      </c>
      <c r="J153">
        <v>3216</v>
      </c>
      <c r="K153">
        <v>1494</v>
      </c>
      <c r="L153">
        <v>4353</v>
      </c>
      <c r="M153">
        <v>3382</v>
      </c>
      <c r="N153">
        <f t="shared" si="4"/>
        <v>44166</v>
      </c>
      <c r="O153">
        <v>1</v>
      </c>
      <c r="P153">
        <v>9</v>
      </c>
      <c r="Q153">
        <v>4</v>
      </c>
      <c r="R153">
        <v>5</v>
      </c>
      <c r="S153">
        <v>0</v>
      </c>
      <c r="T153">
        <v>4</v>
      </c>
      <c r="U153">
        <v>2</v>
      </c>
      <c r="V153">
        <v>1</v>
      </c>
      <c r="W153">
        <v>3</v>
      </c>
      <c r="X153">
        <v>3</v>
      </c>
      <c r="Y153">
        <v>3</v>
      </c>
      <c r="Z153">
        <v>1</v>
      </c>
      <c r="AA153">
        <f t="shared" si="5"/>
        <v>36</v>
      </c>
      <c r="AB153" t="s">
        <v>45</v>
      </c>
      <c r="AC153">
        <v>63.21</v>
      </c>
      <c r="AD153">
        <v>10.44</v>
      </c>
      <c r="AE153">
        <v>97.14</v>
      </c>
      <c r="AF153">
        <v>27.27</v>
      </c>
      <c r="AG153">
        <v>91.58</v>
      </c>
      <c r="AH153">
        <v>16.809999999999999</v>
      </c>
      <c r="AI153">
        <v>23.41</v>
      </c>
      <c r="AJ153">
        <v>68.569999999999993</v>
      </c>
      <c r="AK153">
        <v>42.3</v>
      </c>
      <c r="AL153">
        <v>25.08</v>
      </c>
      <c r="AM153">
        <v>53.67</v>
      </c>
      <c r="AN153">
        <v>43.86</v>
      </c>
      <c r="AO153">
        <v>563.34</v>
      </c>
    </row>
    <row r="154" spans="1:41" x14ac:dyDescent="0.25">
      <c r="A154" t="s">
        <v>244</v>
      </c>
      <c r="B154">
        <v>5306</v>
      </c>
      <c r="C154">
        <v>2214</v>
      </c>
      <c r="D154">
        <v>18054</v>
      </c>
      <c r="E154">
        <v>3051</v>
      </c>
      <c r="F154">
        <v>6431</v>
      </c>
      <c r="G154">
        <v>3992</v>
      </c>
      <c r="H154">
        <v>15976</v>
      </c>
      <c r="I154">
        <v>5656</v>
      </c>
      <c r="J154">
        <v>1884</v>
      </c>
      <c r="K154">
        <v>1239</v>
      </c>
      <c r="L154">
        <v>4027</v>
      </c>
      <c r="M154">
        <v>3154</v>
      </c>
      <c r="N154">
        <f t="shared" si="4"/>
        <v>70984</v>
      </c>
      <c r="O154">
        <v>3</v>
      </c>
      <c r="P154">
        <v>1</v>
      </c>
      <c r="Q154">
        <v>6</v>
      </c>
      <c r="R154">
        <v>1</v>
      </c>
      <c r="S154">
        <v>2</v>
      </c>
      <c r="T154">
        <v>8</v>
      </c>
      <c r="U154">
        <v>6</v>
      </c>
      <c r="V154">
        <v>4</v>
      </c>
      <c r="W154">
        <v>6</v>
      </c>
      <c r="X154">
        <v>9</v>
      </c>
      <c r="Y154">
        <v>5</v>
      </c>
      <c r="Z154">
        <v>2</v>
      </c>
      <c r="AA154">
        <f t="shared" si="5"/>
        <v>53</v>
      </c>
      <c r="AB154" t="s">
        <v>45</v>
      </c>
      <c r="AC154">
        <v>63.2</v>
      </c>
      <c r="AD154">
        <v>32.18</v>
      </c>
      <c r="AE154">
        <v>190.83</v>
      </c>
      <c r="AF154">
        <v>40.549999999999997</v>
      </c>
      <c r="AG154">
        <v>74.400000000000006</v>
      </c>
      <c r="AH154">
        <v>50.31</v>
      </c>
      <c r="AI154">
        <v>170.05</v>
      </c>
      <c r="AJ154">
        <v>66.75</v>
      </c>
      <c r="AK154">
        <v>29.13</v>
      </c>
      <c r="AL154">
        <v>22.83</v>
      </c>
      <c r="AM154">
        <v>50.51</v>
      </c>
      <c r="AN154">
        <v>41.63</v>
      </c>
      <c r="AO154">
        <v>832.37000000000012</v>
      </c>
    </row>
    <row r="155" spans="1:41" x14ac:dyDescent="0.25">
      <c r="A155" t="s">
        <v>245</v>
      </c>
      <c r="B155">
        <v>5301</v>
      </c>
      <c r="C155">
        <v>6220</v>
      </c>
      <c r="D155">
        <v>5063</v>
      </c>
      <c r="E155">
        <v>0</v>
      </c>
      <c r="F155">
        <v>1463</v>
      </c>
      <c r="G155">
        <v>14990</v>
      </c>
      <c r="H155">
        <v>16134</v>
      </c>
      <c r="I155">
        <v>3047</v>
      </c>
      <c r="J155">
        <v>4418</v>
      </c>
      <c r="K155">
        <v>10689</v>
      </c>
      <c r="L155">
        <v>2773</v>
      </c>
      <c r="M155">
        <v>0</v>
      </c>
      <c r="N155">
        <f t="shared" si="4"/>
        <v>70098</v>
      </c>
      <c r="O155">
        <v>3</v>
      </c>
      <c r="P155">
        <v>0</v>
      </c>
      <c r="Q155">
        <v>19</v>
      </c>
      <c r="R155">
        <v>4</v>
      </c>
      <c r="S155">
        <v>6</v>
      </c>
      <c r="T155">
        <v>3</v>
      </c>
      <c r="U155">
        <v>1</v>
      </c>
      <c r="V155">
        <v>15</v>
      </c>
      <c r="W155">
        <v>2</v>
      </c>
      <c r="X155">
        <v>3</v>
      </c>
      <c r="Y155">
        <v>6</v>
      </c>
      <c r="Z155">
        <v>2</v>
      </c>
      <c r="AA155">
        <f t="shared" si="5"/>
        <v>64</v>
      </c>
      <c r="AB155" t="s">
        <v>45</v>
      </c>
      <c r="AC155">
        <v>63.15</v>
      </c>
      <c r="AD155">
        <v>72.19</v>
      </c>
      <c r="AE155">
        <v>61.57</v>
      </c>
      <c r="AF155">
        <v>10.19</v>
      </c>
      <c r="AG155">
        <v>24.92</v>
      </c>
      <c r="AH155">
        <v>160.04</v>
      </c>
      <c r="AI155">
        <v>171.38</v>
      </c>
      <c r="AJ155">
        <v>41.21</v>
      </c>
      <c r="AK155">
        <v>54.27</v>
      </c>
      <c r="AL155">
        <v>117.03</v>
      </c>
      <c r="AM155">
        <v>38.020000000000003</v>
      </c>
      <c r="AN155">
        <v>10.09</v>
      </c>
      <c r="AO155">
        <v>824.06</v>
      </c>
    </row>
    <row r="156" spans="1:41" x14ac:dyDescent="0.25">
      <c r="A156" t="s">
        <v>246</v>
      </c>
      <c r="B156">
        <v>5295</v>
      </c>
      <c r="C156">
        <v>1890</v>
      </c>
      <c r="D156">
        <v>2199</v>
      </c>
      <c r="E156">
        <v>8836</v>
      </c>
      <c r="F156">
        <v>800</v>
      </c>
      <c r="G156">
        <v>0</v>
      </c>
      <c r="H156">
        <v>4672</v>
      </c>
      <c r="I156">
        <v>3814</v>
      </c>
      <c r="J156">
        <v>6263</v>
      </c>
      <c r="K156">
        <v>1177</v>
      </c>
      <c r="L156">
        <v>3167</v>
      </c>
      <c r="M156">
        <v>829</v>
      </c>
      <c r="N156">
        <f t="shared" si="4"/>
        <v>38942</v>
      </c>
      <c r="O156">
        <v>4</v>
      </c>
      <c r="P156">
        <v>9</v>
      </c>
      <c r="Q156">
        <v>2</v>
      </c>
      <c r="R156">
        <v>5</v>
      </c>
      <c r="S156">
        <v>0</v>
      </c>
      <c r="T156">
        <v>0</v>
      </c>
      <c r="U156">
        <v>6</v>
      </c>
      <c r="V156">
        <v>5</v>
      </c>
      <c r="W156">
        <v>3</v>
      </c>
      <c r="X156">
        <v>2</v>
      </c>
      <c r="Y156">
        <v>4</v>
      </c>
      <c r="Z156">
        <v>1</v>
      </c>
      <c r="AA156">
        <f t="shared" si="5"/>
        <v>41</v>
      </c>
      <c r="AB156" t="s">
        <v>45</v>
      </c>
      <c r="AC156">
        <v>63.14</v>
      </c>
      <c r="AD156">
        <v>29.34</v>
      </c>
      <c r="AE156">
        <v>32.08</v>
      </c>
      <c r="AF156">
        <v>98.6</v>
      </c>
      <c r="AG156">
        <v>17.989999999999998</v>
      </c>
      <c r="AH156">
        <v>9.99</v>
      </c>
      <c r="AI156">
        <v>57.01</v>
      </c>
      <c r="AJ156">
        <v>48.38</v>
      </c>
      <c r="AK156">
        <v>72.77</v>
      </c>
      <c r="AL156">
        <v>21.86</v>
      </c>
      <c r="AM156">
        <v>41.86</v>
      </c>
      <c r="AN156">
        <v>18.329999999999998</v>
      </c>
      <c r="AO156">
        <v>511.35</v>
      </c>
    </row>
    <row r="157" spans="1:41" x14ac:dyDescent="0.25">
      <c r="A157" t="s">
        <v>248</v>
      </c>
      <c r="B157">
        <v>5263</v>
      </c>
      <c r="C157">
        <v>153</v>
      </c>
      <c r="D157">
        <v>1404</v>
      </c>
      <c r="E157">
        <v>5756</v>
      </c>
      <c r="F157">
        <v>8728</v>
      </c>
      <c r="G157">
        <v>2593</v>
      </c>
      <c r="H157">
        <v>6941</v>
      </c>
      <c r="I157">
        <v>1040</v>
      </c>
      <c r="J157">
        <v>691</v>
      </c>
      <c r="K157">
        <v>7034</v>
      </c>
      <c r="L157">
        <v>7782</v>
      </c>
      <c r="M157">
        <v>393</v>
      </c>
      <c r="N157">
        <f t="shared" si="4"/>
        <v>47778</v>
      </c>
      <c r="O157">
        <v>5</v>
      </c>
      <c r="P157">
        <v>1</v>
      </c>
      <c r="Q157">
        <v>5</v>
      </c>
      <c r="R157">
        <v>2</v>
      </c>
      <c r="S157">
        <v>0</v>
      </c>
      <c r="T157">
        <v>2</v>
      </c>
      <c r="U157">
        <v>12</v>
      </c>
      <c r="V157">
        <v>1</v>
      </c>
      <c r="W157">
        <v>6</v>
      </c>
      <c r="X157">
        <v>1</v>
      </c>
      <c r="Y157">
        <v>2</v>
      </c>
      <c r="Z157">
        <v>1</v>
      </c>
      <c r="AA157">
        <f t="shared" si="5"/>
        <v>38</v>
      </c>
      <c r="AB157" t="s">
        <v>45</v>
      </c>
      <c r="AC157">
        <v>62.87</v>
      </c>
      <c r="AD157">
        <v>11.57</v>
      </c>
      <c r="AE157">
        <v>24.28</v>
      </c>
      <c r="AF157">
        <v>67.650000000000006</v>
      </c>
      <c r="AG157">
        <v>97.27</v>
      </c>
      <c r="AH157">
        <v>36.020000000000003</v>
      </c>
      <c r="AI157">
        <v>80</v>
      </c>
      <c r="AJ157">
        <v>20.440000000000001</v>
      </c>
      <c r="AK157">
        <v>17.2</v>
      </c>
      <c r="AL157">
        <v>80.38</v>
      </c>
      <c r="AM157">
        <v>87.91</v>
      </c>
      <c r="AN157">
        <v>13.97</v>
      </c>
      <c r="AO157">
        <v>599.55999999999995</v>
      </c>
    </row>
    <row r="158" spans="1:41" x14ac:dyDescent="0.25">
      <c r="A158" t="s">
        <v>249</v>
      </c>
      <c r="B158">
        <v>5238</v>
      </c>
      <c r="C158">
        <v>5726</v>
      </c>
      <c r="D158">
        <v>14341</v>
      </c>
      <c r="E158">
        <v>215</v>
      </c>
      <c r="F158">
        <v>1311</v>
      </c>
      <c r="G158">
        <v>5704</v>
      </c>
      <c r="H158">
        <v>2442</v>
      </c>
      <c r="I158">
        <v>1393</v>
      </c>
      <c r="J158">
        <v>358</v>
      </c>
      <c r="K158">
        <v>597</v>
      </c>
      <c r="L158">
        <v>1035</v>
      </c>
      <c r="M158">
        <v>1605</v>
      </c>
      <c r="N158">
        <f t="shared" si="4"/>
        <v>39965</v>
      </c>
      <c r="O158">
        <v>3</v>
      </c>
      <c r="P158">
        <v>7</v>
      </c>
      <c r="Q158">
        <v>2</v>
      </c>
      <c r="R158">
        <v>5</v>
      </c>
      <c r="S158">
        <v>9</v>
      </c>
      <c r="T158">
        <v>9</v>
      </c>
      <c r="U158">
        <v>10</v>
      </c>
      <c r="V158">
        <v>2</v>
      </c>
      <c r="W158">
        <v>3</v>
      </c>
      <c r="X158">
        <v>5</v>
      </c>
      <c r="Y158">
        <v>3</v>
      </c>
      <c r="Z158">
        <v>5</v>
      </c>
      <c r="AA158">
        <f t="shared" si="5"/>
        <v>63</v>
      </c>
      <c r="AB158" t="s">
        <v>45</v>
      </c>
      <c r="AC158">
        <v>62.52</v>
      </c>
      <c r="AD158">
        <v>67.599999999999994</v>
      </c>
      <c r="AE158">
        <v>153.5</v>
      </c>
      <c r="AF158">
        <v>12.39</v>
      </c>
      <c r="AG158">
        <v>23.55</v>
      </c>
      <c r="AH158">
        <v>67.48</v>
      </c>
      <c r="AI158">
        <v>34.909999999999997</v>
      </c>
      <c r="AJ158">
        <v>24.02</v>
      </c>
      <c r="AK158">
        <v>13.72</v>
      </c>
      <c r="AL158">
        <v>16.21</v>
      </c>
      <c r="AM158">
        <v>20.49</v>
      </c>
      <c r="AN158">
        <v>26.29</v>
      </c>
      <c r="AO158">
        <v>522.68000000000006</v>
      </c>
    </row>
    <row r="159" spans="1:41" x14ac:dyDescent="0.25">
      <c r="A159" t="s">
        <v>250</v>
      </c>
      <c r="B159">
        <v>5198</v>
      </c>
      <c r="C159">
        <v>300</v>
      </c>
      <c r="D159">
        <v>6399</v>
      </c>
      <c r="E159">
        <v>9256</v>
      </c>
      <c r="F159">
        <v>6899</v>
      </c>
      <c r="G159">
        <v>7919</v>
      </c>
      <c r="H159">
        <v>0</v>
      </c>
      <c r="I159">
        <v>13037</v>
      </c>
      <c r="J159">
        <v>1177</v>
      </c>
      <c r="K159">
        <v>7683</v>
      </c>
      <c r="L159">
        <v>1638</v>
      </c>
      <c r="M159">
        <v>1548</v>
      </c>
      <c r="N159">
        <f t="shared" si="4"/>
        <v>61054</v>
      </c>
      <c r="O159">
        <v>5</v>
      </c>
      <c r="P159">
        <v>3</v>
      </c>
      <c r="Q159">
        <v>8</v>
      </c>
      <c r="R159">
        <v>0</v>
      </c>
      <c r="S159">
        <v>2</v>
      </c>
      <c r="T159">
        <v>5</v>
      </c>
      <c r="U159">
        <v>3</v>
      </c>
      <c r="V159">
        <v>2</v>
      </c>
      <c r="W159">
        <v>2</v>
      </c>
      <c r="X159">
        <v>5</v>
      </c>
      <c r="Y159">
        <v>0</v>
      </c>
      <c r="Z159">
        <v>9</v>
      </c>
      <c r="AA159">
        <f t="shared" si="5"/>
        <v>44</v>
      </c>
      <c r="AB159" t="s">
        <v>45</v>
      </c>
      <c r="AC159">
        <v>62.22</v>
      </c>
      <c r="AD159">
        <v>13.14</v>
      </c>
      <c r="AE159">
        <v>74.38</v>
      </c>
      <c r="AF159">
        <v>102.55</v>
      </c>
      <c r="AG159">
        <v>79.08</v>
      </c>
      <c r="AH159">
        <v>89.43</v>
      </c>
      <c r="AI159">
        <v>10.14</v>
      </c>
      <c r="AJ159">
        <v>140.46</v>
      </c>
      <c r="AK159">
        <v>21.86</v>
      </c>
      <c r="AL159">
        <v>87.07</v>
      </c>
      <c r="AM159">
        <v>26.37</v>
      </c>
      <c r="AN159">
        <v>25.92</v>
      </c>
      <c r="AO159">
        <v>732.61999999999989</v>
      </c>
    </row>
    <row r="160" spans="1:41" x14ac:dyDescent="0.25">
      <c r="A160" t="s">
        <v>251</v>
      </c>
      <c r="B160">
        <v>5198</v>
      </c>
      <c r="C160">
        <v>1534</v>
      </c>
      <c r="D160">
        <v>1952</v>
      </c>
      <c r="E160">
        <v>1323</v>
      </c>
      <c r="F160">
        <v>2295</v>
      </c>
      <c r="G160">
        <v>4856</v>
      </c>
      <c r="H160">
        <v>4809</v>
      </c>
      <c r="I160">
        <v>4800</v>
      </c>
      <c r="J160">
        <v>1811</v>
      </c>
      <c r="K160">
        <v>4272</v>
      </c>
      <c r="L160">
        <v>1741</v>
      </c>
      <c r="M160">
        <v>10493</v>
      </c>
      <c r="N160">
        <f t="shared" si="4"/>
        <v>45084</v>
      </c>
      <c r="O160">
        <v>6</v>
      </c>
      <c r="P160">
        <v>2</v>
      </c>
      <c r="Q160">
        <v>0</v>
      </c>
      <c r="R160">
        <v>2</v>
      </c>
      <c r="S160">
        <v>2</v>
      </c>
      <c r="T160">
        <v>1</v>
      </c>
      <c r="U160">
        <v>4</v>
      </c>
      <c r="V160">
        <v>2</v>
      </c>
      <c r="W160">
        <v>12</v>
      </c>
      <c r="X160">
        <v>0</v>
      </c>
      <c r="Y160">
        <v>6</v>
      </c>
      <c r="Z160">
        <v>8</v>
      </c>
      <c r="AA160">
        <f t="shared" si="5"/>
        <v>45</v>
      </c>
      <c r="AB160" t="s">
        <v>45</v>
      </c>
      <c r="AC160">
        <v>62.27</v>
      </c>
      <c r="AD160">
        <v>25.43</v>
      </c>
      <c r="AE160">
        <v>29.51</v>
      </c>
      <c r="AF160">
        <v>23.32</v>
      </c>
      <c r="AG160">
        <v>33.04</v>
      </c>
      <c r="AH160">
        <v>58.6</v>
      </c>
      <c r="AI160">
        <v>58.28</v>
      </c>
      <c r="AJ160">
        <v>58.09</v>
      </c>
      <c r="AK160">
        <v>28.7</v>
      </c>
      <c r="AL160">
        <v>52.71</v>
      </c>
      <c r="AM160">
        <v>27.7</v>
      </c>
      <c r="AN160">
        <v>115.32</v>
      </c>
      <c r="AO160">
        <v>572.96999999999991</v>
      </c>
    </row>
    <row r="161" spans="1:41" x14ac:dyDescent="0.25">
      <c r="A161" t="s">
        <v>252</v>
      </c>
      <c r="B161">
        <v>5147</v>
      </c>
      <c r="C161">
        <v>2053</v>
      </c>
      <c r="D161">
        <v>3610</v>
      </c>
      <c r="E161">
        <v>3970</v>
      </c>
      <c r="F161">
        <v>2393</v>
      </c>
      <c r="G161">
        <v>970</v>
      </c>
      <c r="H161">
        <v>19343</v>
      </c>
      <c r="I161">
        <v>404</v>
      </c>
      <c r="J161">
        <v>2445</v>
      </c>
      <c r="K161">
        <v>8694</v>
      </c>
      <c r="L161">
        <v>4708</v>
      </c>
      <c r="M161">
        <v>8069</v>
      </c>
      <c r="N161">
        <f t="shared" si="4"/>
        <v>61806</v>
      </c>
      <c r="O161">
        <v>14</v>
      </c>
      <c r="P161">
        <v>4</v>
      </c>
      <c r="Q161">
        <v>4</v>
      </c>
      <c r="R161">
        <v>2</v>
      </c>
      <c r="S161">
        <v>3</v>
      </c>
      <c r="T161">
        <v>5</v>
      </c>
      <c r="U161">
        <v>4</v>
      </c>
      <c r="V161">
        <v>1</v>
      </c>
      <c r="W161">
        <v>1</v>
      </c>
      <c r="X161">
        <v>0</v>
      </c>
      <c r="Y161">
        <v>6</v>
      </c>
      <c r="Z161">
        <v>5</v>
      </c>
      <c r="AA161">
        <f t="shared" si="5"/>
        <v>49</v>
      </c>
      <c r="AB161" t="s">
        <v>45</v>
      </c>
      <c r="AC161">
        <v>62.16</v>
      </c>
      <c r="AD161">
        <v>30.72</v>
      </c>
      <c r="AE161">
        <v>46.29</v>
      </c>
      <c r="AF161">
        <v>49.79</v>
      </c>
      <c r="AG161">
        <v>34.07</v>
      </c>
      <c r="AH161">
        <v>19.940000000000001</v>
      </c>
      <c r="AI161">
        <v>203.62</v>
      </c>
      <c r="AJ161">
        <v>14.08</v>
      </c>
      <c r="AK161">
        <v>34.49</v>
      </c>
      <c r="AL161">
        <v>96.93</v>
      </c>
      <c r="AM161">
        <v>57.37</v>
      </c>
      <c r="AN161">
        <v>90.93</v>
      </c>
      <c r="AO161">
        <v>740.38999999999987</v>
      </c>
    </row>
    <row r="162" spans="1:41" x14ac:dyDescent="0.25">
      <c r="A162" t="s">
        <v>253</v>
      </c>
      <c r="B162">
        <v>5142</v>
      </c>
      <c r="C162">
        <v>6647</v>
      </c>
      <c r="D162">
        <v>3881</v>
      </c>
      <c r="E162">
        <v>9686</v>
      </c>
      <c r="F162">
        <v>4064</v>
      </c>
      <c r="G162">
        <v>858</v>
      </c>
      <c r="H162">
        <v>284</v>
      </c>
      <c r="I162">
        <v>2980</v>
      </c>
      <c r="J162">
        <v>8397</v>
      </c>
      <c r="K162">
        <v>831</v>
      </c>
      <c r="L162">
        <v>4174</v>
      </c>
      <c r="M162">
        <v>5922</v>
      </c>
      <c r="N162">
        <f t="shared" si="4"/>
        <v>52866</v>
      </c>
      <c r="O162">
        <v>2</v>
      </c>
      <c r="P162">
        <v>3</v>
      </c>
      <c r="Q162">
        <v>9</v>
      </c>
      <c r="R162">
        <v>9</v>
      </c>
      <c r="S162">
        <v>15</v>
      </c>
      <c r="T162">
        <v>10</v>
      </c>
      <c r="U162">
        <v>1</v>
      </c>
      <c r="V162">
        <v>8</v>
      </c>
      <c r="W162">
        <v>3</v>
      </c>
      <c r="X162">
        <v>20</v>
      </c>
      <c r="Y162">
        <v>2</v>
      </c>
      <c r="Z162">
        <v>5</v>
      </c>
      <c r="AA162">
        <f t="shared" si="5"/>
        <v>87</v>
      </c>
      <c r="AB162" t="s">
        <v>45</v>
      </c>
      <c r="AC162">
        <v>61.51</v>
      </c>
      <c r="AD162">
        <v>76.61</v>
      </c>
      <c r="AE162">
        <v>49.25</v>
      </c>
      <c r="AF162">
        <v>107.3</v>
      </c>
      <c r="AG162">
        <v>51.38</v>
      </c>
      <c r="AH162">
        <v>19.07</v>
      </c>
      <c r="AI162">
        <v>12.88</v>
      </c>
      <c r="AJ162">
        <v>40.19</v>
      </c>
      <c r="AK162">
        <v>94.11</v>
      </c>
      <c r="AL162">
        <v>19.3</v>
      </c>
      <c r="AM162">
        <v>51.83</v>
      </c>
      <c r="AN162">
        <v>69.459999999999994</v>
      </c>
      <c r="AO162">
        <v>652.89</v>
      </c>
    </row>
    <row r="163" spans="1:41" x14ac:dyDescent="0.25">
      <c r="A163" t="s">
        <v>254</v>
      </c>
      <c r="B163">
        <v>5142</v>
      </c>
      <c r="C163">
        <v>628</v>
      </c>
      <c r="D163">
        <v>8517</v>
      </c>
      <c r="E163">
        <v>0</v>
      </c>
      <c r="F163">
        <v>9022</v>
      </c>
      <c r="G163">
        <v>2844</v>
      </c>
      <c r="H163">
        <v>4430</v>
      </c>
      <c r="I163">
        <v>1073</v>
      </c>
      <c r="J163">
        <v>17280</v>
      </c>
      <c r="K163">
        <v>1308</v>
      </c>
      <c r="L163">
        <v>914</v>
      </c>
      <c r="M163">
        <v>642</v>
      </c>
      <c r="N163">
        <f t="shared" si="4"/>
        <v>51800</v>
      </c>
      <c r="O163">
        <v>16</v>
      </c>
      <c r="P163">
        <v>5</v>
      </c>
      <c r="Q163">
        <v>2</v>
      </c>
      <c r="R163">
        <v>6</v>
      </c>
      <c r="S163">
        <v>1</v>
      </c>
      <c r="T163">
        <v>6</v>
      </c>
      <c r="U163">
        <v>9</v>
      </c>
      <c r="V163">
        <v>2</v>
      </c>
      <c r="W163">
        <v>5</v>
      </c>
      <c r="X163">
        <v>3</v>
      </c>
      <c r="Y163">
        <v>2</v>
      </c>
      <c r="Z163">
        <v>1</v>
      </c>
      <c r="AA163">
        <f t="shared" si="5"/>
        <v>58</v>
      </c>
      <c r="AB163" t="s">
        <v>45</v>
      </c>
      <c r="AC163">
        <v>62.21</v>
      </c>
      <c r="AD163">
        <v>16.52</v>
      </c>
      <c r="AE163">
        <v>95.26</v>
      </c>
      <c r="AF163">
        <v>10.29</v>
      </c>
      <c r="AG163">
        <v>100.26</v>
      </c>
      <c r="AH163">
        <v>38.729999999999997</v>
      </c>
      <c r="AI163">
        <v>54.74</v>
      </c>
      <c r="AJ163">
        <v>20.82</v>
      </c>
      <c r="AK163">
        <v>183.04</v>
      </c>
      <c r="AL163">
        <v>23.22</v>
      </c>
      <c r="AM163">
        <v>19.23</v>
      </c>
      <c r="AN163">
        <v>16.46</v>
      </c>
      <c r="AO163">
        <v>640.78000000000009</v>
      </c>
    </row>
    <row r="164" spans="1:41" x14ac:dyDescent="0.25">
      <c r="A164" t="s">
        <v>255</v>
      </c>
      <c r="B164">
        <v>5140</v>
      </c>
      <c r="C164">
        <v>1762</v>
      </c>
      <c r="D164">
        <v>2569</v>
      </c>
      <c r="E164">
        <v>13919</v>
      </c>
      <c r="F164">
        <v>1056</v>
      </c>
      <c r="G164">
        <v>2099</v>
      </c>
      <c r="H164">
        <v>1186</v>
      </c>
      <c r="I164">
        <v>557</v>
      </c>
      <c r="J164">
        <v>1406</v>
      </c>
      <c r="K164">
        <v>0</v>
      </c>
      <c r="L164">
        <v>7884</v>
      </c>
      <c r="M164">
        <v>3837</v>
      </c>
      <c r="N164">
        <f t="shared" si="4"/>
        <v>41415</v>
      </c>
      <c r="O164">
        <v>1</v>
      </c>
      <c r="P164">
        <v>11</v>
      </c>
      <c r="Q164">
        <v>2</v>
      </c>
      <c r="R164">
        <v>11</v>
      </c>
      <c r="S164">
        <v>2</v>
      </c>
      <c r="T164">
        <v>8</v>
      </c>
      <c r="U164">
        <v>6</v>
      </c>
      <c r="V164">
        <v>9</v>
      </c>
      <c r="W164">
        <v>15</v>
      </c>
      <c r="X164">
        <v>3</v>
      </c>
      <c r="Y164">
        <v>15</v>
      </c>
      <c r="Z164">
        <v>2</v>
      </c>
      <c r="AA164">
        <f t="shared" si="5"/>
        <v>85</v>
      </c>
      <c r="AB164" t="s">
        <v>45</v>
      </c>
      <c r="AC164">
        <v>61.44</v>
      </c>
      <c r="AD164">
        <v>28.16</v>
      </c>
      <c r="AE164">
        <v>35.78</v>
      </c>
      <c r="AF164">
        <v>149.72999999999999</v>
      </c>
      <c r="AG164">
        <v>20.65</v>
      </c>
      <c r="AH164">
        <v>31.38</v>
      </c>
      <c r="AI164">
        <v>22.15</v>
      </c>
      <c r="AJ164">
        <v>16.010000000000002</v>
      </c>
      <c r="AK164">
        <v>24.8</v>
      </c>
      <c r="AL164">
        <v>10.14</v>
      </c>
      <c r="AM164">
        <v>89.58</v>
      </c>
      <c r="AN164">
        <v>48.46</v>
      </c>
      <c r="AO164">
        <v>538.28</v>
      </c>
    </row>
    <row r="165" spans="1:41" x14ac:dyDescent="0.25">
      <c r="A165" t="s">
        <v>256</v>
      </c>
      <c r="B165">
        <v>5132</v>
      </c>
      <c r="C165">
        <v>6430</v>
      </c>
      <c r="D165">
        <v>381</v>
      </c>
      <c r="E165">
        <v>4109</v>
      </c>
      <c r="F165">
        <v>3263</v>
      </c>
      <c r="G165">
        <v>1330</v>
      </c>
      <c r="H165">
        <v>4604</v>
      </c>
      <c r="I165">
        <v>2119</v>
      </c>
      <c r="J165">
        <v>4253</v>
      </c>
      <c r="K165">
        <v>2492</v>
      </c>
      <c r="L165">
        <v>1774</v>
      </c>
      <c r="M165">
        <v>3200</v>
      </c>
      <c r="N165">
        <f t="shared" si="4"/>
        <v>39087</v>
      </c>
      <c r="O165">
        <v>7</v>
      </c>
      <c r="P165">
        <v>6</v>
      </c>
      <c r="Q165">
        <v>2</v>
      </c>
      <c r="R165">
        <v>13</v>
      </c>
      <c r="S165">
        <v>0</v>
      </c>
      <c r="T165">
        <v>8</v>
      </c>
      <c r="U165">
        <v>14</v>
      </c>
      <c r="V165">
        <v>1</v>
      </c>
      <c r="W165">
        <v>5</v>
      </c>
      <c r="X165">
        <v>1</v>
      </c>
      <c r="Y165">
        <v>2</v>
      </c>
      <c r="Z165">
        <v>4</v>
      </c>
      <c r="AA165">
        <f t="shared" si="5"/>
        <v>63</v>
      </c>
      <c r="AB165" t="s">
        <v>45</v>
      </c>
      <c r="AC165">
        <v>61.66</v>
      </c>
      <c r="AD165">
        <v>74.59</v>
      </c>
      <c r="AE165">
        <v>13.9</v>
      </c>
      <c r="AF165">
        <v>51.73</v>
      </c>
      <c r="AG165">
        <v>42.62</v>
      </c>
      <c r="AH165">
        <v>23.69</v>
      </c>
      <c r="AI165">
        <v>56.73</v>
      </c>
      <c r="AJ165">
        <v>31.23</v>
      </c>
      <c r="AK165">
        <v>52.77</v>
      </c>
      <c r="AL165">
        <v>34.96</v>
      </c>
      <c r="AM165">
        <v>27.83</v>
      </c>
      <c r="AN165">
        <v>42.19</v>
      </c>
      <c r="AO165">
        <v>513.9</v>
      </c>
    </row>
    <row r="166" spans="1:41" x14ac:dyDescent="0.25">
      <c r="A166" t="s">
        <v>258</v>
      </c>
      <c r="B166">
        <v>5110</v>
      </c>
      <c r="C166">
        <v>8423</v>
      </c>
      <c r="D166">
        <v>4701</v>
      </c>
      <c r="E166">
        <v>5316</v>
      </c>
      <c r="F166">
        <v>1315</v>
      </c>
      <c r="G166">
        <v>773</v>
      </c>
      <c r="H166">
        <v>7808</v>
      </c>
      <c r="I166">
        <v>3614</v>
      </c>
      <c r="J166">
        <v>456</v>
      </c>
      <c r="K166">
        <v>3443</v>
      </c>
      <c r="L166">
        <v>4308</v>
      </c>
      <c r="M166">
        <v>875</v>
      </c>
      <c r="N166">
        <f t="shared" si="4"/>
        <v>46142</v>
      </c>
      <c r="O166">
        <v>3</v>
      </c>
      <c r="P166">
        <v>1</v>
      </c>
      <c r="Q166">
        <v>4</v>
      </c>
      <c r="R166">
        <v>4</v>
      </c>
      <c r="S166">
        <v>6</v>
      </c>
      <c r="T166">
        <v>4</v>
      </c>
      <c r="U166">
        <v>4</v>
      </c>
      <c r="V166">
        <v>9</v>
      </c>
      <c r="W166">
        <v>8</v>
      </c>
      <c r="X166">
        <v>1</v>
      </c>
      <c r="Y166">
        <v>7</v>
      </c>
      <c r="Z166">
        <v>2</v>
      </c>
      <c r="AA166">
        <f t="shared" si="5"/>
        <v>53</v>
      </c>
      <c r="AB166" t="s">
        <v>45</v>
      </c>
      <c r="AC166">
        <v>61.24</v>
      </c>
      <c r="AD166">
        <v>94.27</v>
      </c>
      <c r="AE166">
        <v>57.2</v>
      </c>
      <c r="AF166">
        <v>63.35</v>
      </c>
      <c r="AG166">
        <v>23.44</v>
      </c>
      <c r="AH166">
        <v>17.920000000000002</v>
      </c>
      <c r="AI166">
        <v>88.27</v>
      </c>
      <c r="AJ166">
        <v>46.58</v>
      </c>
      <c r="AK166">
        <v>14.95</v>
      </c>
      <c r="AL166">
        <v>44.47</v>
      </c>
      <c r="AM166">
        <v>53.42</v>
      </c>
      <c r="AN166">
        <v>18.84</v>
      </c>
      <c r="AO166">
        <v>583.94999999999993</v>
      </c>
    </row>
    <row r="167" spans="1:41" x14ac:dyDescent="0.25">
      <c r="A167" t="s">
        <v>261</v>
      </c>
      <c r="B167">
        <v>5085</v>
      </c>
      <c r="C167">
        <v>20729</v>
      </c>
      <c r="D167">
        <v>0</v>
      </c>
      <c r="E167">
        <v>2514</v>
      </c>
      <c r="F167">
        <v>340</v>
      </c>
      <c r="G167">
        <v>0</v>
      </c>
      <c r="H167">
        <v>1589</v>
      </c>
      <c r="I167">
        <v>2200</v>
      </c>
      <c r="J167">
        <v>9854</v>
      </c>
      <c r="K167">
        <v>1310</v>
      </c>
      <c r="L167">
        <v>2808</v>
      </c>
      <c r="M167">
        <v>1227</v>
      </c>
      <c r="N167">
        <f t="shared" si="4"/>
        <v>47656</v>
      </c>
      <c r="O167">
        <v>2</v>
      </c>
      <c r="P167">
        <v>3</v>
      </c>
      <c r="Q167">
        <v>2</v>
      </c>
      <c r="R167">
        <v>5</v>
      </c>
      <c r="S167">
        <v>3</v>
      </c>
      <c r="T167">
        <v>1</v>
      </c>
      <c r="U167">
        <v>1</v>
      </c>
      <c r="V167">
        <v>1</v>
      </c>
      <c r="W167">
        <v>1</v>
      </c>
      <c r="X167">
        <v>14</v>
      </c>
      <c r="Y167">
        <v>4</v>
      </c>
      <c r="Z167">
        <v>2</v>
      </c>
      <c r="AA167">
        <f t="shared" si="5"/>
        <v>39</v>
      </c>
      <c r="AB167" t="s">
        <v>45</v>
      </c>
      <c r="AC167">
        <v>60.94</v>
      </c>
      <c r="AD167">
        <v>217.43</v>
      </c>
      <c r="AE167">
        <v>10.09</v>
      </c>
      <c r="AF167">
        <v>35.380000000000003</v>
      </c>
      <c r="AG167">
        <v>13.54</v>
      </c>
      <c r="AH167">
        <v>10.039999999999999</v>
      </c>
      <c r="AI167">
        <v>25.93</v>
      </c>
      <c r="AJ167">
        <v>32.04</v>
      </c>
      <c r="AK167">
        <v>108.58</v>
      </c>
      <c r="AL167">
        <v>23.79</v>
      </c>
      <c r="AM167">
        <v>38.270000000000003</v>
      </c>
      <c r="AN167">
        <v>22.36</v>
      </c>
      <c r="AO167">
        <v>598.39</v>
      </c>
    </row>
    <row r="168" spans="1:41" x14ac:dyDescent="0.25">
      <c r="A168" t="s">
        <v>264</v>
      </c>
      <c r="B168">
        <v>5048</v>
      </c>
      <c r="C168">
        <v>4106</v>
      </c>
      <c r="D168">
        <v>2791</v>
      </c>
      <c r="E168">
        <v>1123</v>
      </c>
      <c r="F168">
        <v>3953</v>
      </c>
      <c r="G168">
        <v>7773</v>
      </c>
      <c r="H168">
        <v>529</v>
      </c>
      <c r="I168">
        <v>595</v>
      </c>
      <c r="J168">
        <v>1350</v>
      </c>
      <c r="K168">
        <v>9468</v>
      </c>
      <c r="L168">
        <v>3216</v>
      </c>
      <c r="M168">
        <v>10824</v>
      </c>
      <c r="N168">
        <f t="shared" si="4"/>
        <v>50776</v>
      </c>
      <c r="O168">
        <v>4</v>
      </c>
      <c r="P168">
        <v>2</v>
      </c>
      <c r="Q168">
        <v>3</v>
      </c>
      <c r="R168">
        <v>7</v>
      </c>
      <c r="S168">
        <v>0</v>
      </c>
      <c r="T168">
        <v>6</v>
      </c>
      <c r="U168">
        <v>8</v>
      </c>
      <c r="V168">
        <v>2</v>
      </c>
      <c r="W168">
        <v>1</v>
      </c>
      <c r="X168">
        <v>5</v>
      </c>
      <c r="Y168">
        <v>4</v>
      </c>
      <c r="Z168">
        <v>4</v>
      </c>
      <c r="AA168">
        <f t="shared" si="5"/>
        <v>46</v>
      </c>
      <c r="AB168" t="s">
        <v>45</v>
      </c>
      <c r="AC168">
        <v>60.67</v>
      </c>
      <c r="AD168">
        <v>51.15</v>
      </c>
      <c r="AE168">
        <v>38.049999999999997</v>
      </c>
      <c r="AF168">
        <v>21.57</v>
      </c>
      <c r="AG168">
        <v>49.52</v>
      </c>
      <c r="AH168">
        <v>88.02</v>
      </c>
      <c r="AI168">
        <v>15.68</v>
      </c>
      <c r="AJ168">
        <v>16.04</v>
      </c>
      <c r="AK168">
        <v>23.54</v>
      </c>
      <c r="AL168">
        <v>104.92</v>
      </c>
      <c r="AM168">
        <v>42.35</v>
      </c>
      <c r="AN168">
        <v>118.43</v>
      </c>
      <c r="AO168">
        <v>629.94000000000005</v>
      </c>
    </row>
    <row r="169" spans="1:41" x14ac:dyDescent="0.25">
      <c r="A169" t="s">
        <v>265</v>
      </c>
      <c r="B169">
        <v>5044</v>
      </c>
      <c r="C169">
        <v>0</v>
      </c>
      <c r="D169">
        <v>10278</v>
      </c>
      <c r="E169">
        <v>2344</v>
      </c>
      <c r="F169">
        <v>9201</v>
      </c>
      <c r="G169">
        <v>0</v>
      </c>
      <c r="H169">
        <v>3952</v>
      </c>
      <c r="I169">
        <v>3064</v>
      </c>
      <c r="J169">
        <v>2566</v>
      </c>
      <c r="K169">
        <v>1017</v>
      </c>
      <c r="L169">
        <v>4173</v>
      </c>
      <c r="M169">
        <v>338</v>
      </c>
      <c r="N169">
        <f t="shared" si="4"/>
        <v>41977</v>
      </c>
      <c r="O169">
        <v>6</v>
      </c>
      <c r="P169">
        <v>9</v>
      </c>
      <c r="Q169">
        <v>3</v>
      </c>
      <c r="R169">
        <v>1</v>
      </c>
      <c r="S169">
        <v>3</v>
      </c>
      <c r="T169">
        <v>7</v>
      </c>
      <c r="U169">
        <v>2</v>
      </c>
      <c r="V169">
        <v>1</v>
      </c>
      <c r="W169">
        <v>2</v>
      </c>
      <c r="X169">
        <v>3</v>
      </c>
      <c r="Y169">
        <v>10</v>
      </c>
      <c r="Z169">
        <v>6</v>
      </c>
      <c r="AA169">
        <f t="shared" si="5"/>
        <v>53</v>
      </c>
      <c r="AB169" t="s">
        <v>45</v>
      </c>
      <c r="AC169">
        <v>60.73</v>
      </c>
      <c r="AD169">
        <v>10.44</v>
      </c>
      <c r="AE169">
        <v>112.92</v>
      </c>
      <c r="AF169">
        <v>33.479999999999997</v>
      </c>
      <c r="AG169">
        <v>102.15</v>
      </c>
      <c r="AH169">
        <v>10.34</v>
      </c>
      <c r="AI169">
        <v>49.61</v>
      </c>
      <c r="AJ169">
        <v>40.68</v>
      </c>
      <c r="AK169">
        <v>35.75</v>
      </c>
      <c r="AL169">
        <v>20.309999999999999</v>
      </c>
      <c r="AM169">
        <v>52.22</v>
      </c>
      <c r="AN169">
        <v>13.67</v>
      </c>
      <c r="AO169">
        <v>542.29999999999995</v>
      </c>
    </row>
    <row r="170" spans="1:41" x14ac:dyDescent="0.25">
      <c r="A170" t="s">
        <v>266</v>
      </c>
      <c r="B170">
        <v>5019</v>
      </c>
      <c r="C170">
        <v>343</v>
      </c>
      <c r="D170">
        <v>1860</v>
      </c>
      <c r="E170">
        <v>11414</v>
      </c>
      <c r="F170">
        <v>3620</v>
      </c>
      <c r="G170">
        <v>11132</v>
      </c>
      <c r="H170">
        <v>5213</v>
      </c>
      <c r="I170">
        <v>4653</v>
      </c>
      <c r="J170">
        <v>3905</v>
      </c>
      <c r="K170">
        <v>1107</v>
      </c>
      <c r="L170">
        <v>1959</v>
      </c>
      <c r="M170">
        <v>547</v>
      </c>
      <c r="N170">
        <f t="shared" si="4"/>
        <v>50772</v>
      </c>
      <c r="O170">
        <v>4</v>
      </c>
      <c r="P170">
        <v>0</v>
      </c>
      <c r="Q170">
        <v>8</v>
      </c>
      <c r="R170">
        <v>4</v>
      </c>
      <c r="S170">
        <v>2</v>
      </c>
      <c r="T170">
        <v>0</v>
      </c>
      <c r="U170">
        <v>3</v>
      </c>
      <c r="V170">
        <v>5</v>
      </c>
      <c r="W170">
        <v>2</v>
      </c>
      <c r="X170">
        <v>4</v>
      </c>
      <c r="Y170">
        <v>4</v>
      </c>
      <c r="Z170">
        <v>12</v>
      </c>
      <c r="AA170">
        <f t="shared" si="5"/>
        <v>48</v>
      </c>
      <c r="AB170" t="s">
        <v>45</v>
      </c>
      <c r="AC170">
        <v>60.38</v>
      </c>
      <c r="AD170">
        <v>13.42</v>
      </c>
      <c r="AE170">
        <v>28.99</v>
      </c>
      <c r="AF170">
        <v>124.33</v>
      </c>
      <c r="AG170">
        <v>46.29</v>
      </c>
      <c r="AH170">
        <v>121.31</v>
      </c>
      <c r="AI170">
        <v>62.27</v>
      </c>
      <c r="AJ170">
        <v>56.77</v>
      </c>
      <c r="AK170">
        <v>49.14</v>
      </c>
      <c r="AL170">
        <v>21.26</v>
      </c>
      <c r="AM170">
        <v>29.78</v>
      </c>
      <c r="AN170">
        <v>16.059999999999999</v>
      </c>
      <c r="AO170">
        <v>629.99999999999989</v>
      </c>
    </row>
    <row r="171" spans="1:41" x14ac:dyDescent="0.25">
      <c r="A171" t="s">
        <v>268</v>
      </c>
      <c r="B171">
        <v>5012</v>
      </c>
      <c r="C171">
        <v>952</v>
      </c>
      <c r="D171">
        <v>297</v>
      </c>
      <c r="E171">
        <v>488</v>
      </c>
      <c r="F171">
        <v>686</v>
      </c>
      <c r="G171">
        <v>1803</v>
      </c>
      <c r="H171">
        <v>3441</v>
      </c>
      <c r="I171">
        <v>15785</v>
      </c>
      <c r="J171">
        <v>0</v>
      </c>
      <c r="K171">
        <v>524</v>
      </c>
      <c r="L171">
        <v>1715</v>
      </c>
      <c r="M171">
        <v>8818</v>
      </c>
      <c r="N171">
        <f t="shared" si="4"/>
        <v>39521</v>
      </c>
      <c r="O171">
        <v>5</v>
      </c>
      <c r="P171">
        <v>3</v>
      </c>
      <c r="Q171">
        <v>2</v>
      </c>
      <c r="R171">
        <v>12</v>
      </c>
      <c r="S171">
        <v>5</v>
      </c>
      <c r="T171">
        <v>4</v>
      </c>
      <c r="U171">
        <v>0</v>
      </c>
      <c r="V171">
        <v>1</v>
      </c>
      <c r="W171">
        <v>0</v>
      </c>
      <c r="X171">
        <v>1</v>
      </c>
      <c r="Y171">
        <v>4</v>
      </c>
      <c r="Z171">
        <v>2</v>
      </c>
      <c r="AA171">
        <f t="shared" si="5"/>
        <v>39</v>
      </c>
      <c r="AB171" t="s">
        <v>45</v>
      </c>
      <c r="AC171">
        <v>60.36</v>
      </c>
      <c r="AD171">
        <v>19.66</v>
      </c>
      <c r="AE171">
        <v>13.06</v>
      </c>
      <c r="AF171">
        <v>15.47</v>
      </c>
      <c r="AG171">
        <v>17.100000000000001</v>
      </c>
      <c r="AH171">
        <v>28.22</v>
      </c>
      <c r="AI171">
        <v>44.4</v>
      </c>
      <c r="AJ171">
        <v>167.89</v>
      </c>
      <c r="AK171">
        <v>9.99</v>
      </c>
      <c r="AL171">
        <v>15.28</v>
      </c>
      <c r="AM171">
        <v>27.34</v>
      </c>
      <c r="AN171">
        <v>98.27</v>
      </c>
      <c r="AO171">
        <v>517.04</v>
      </c>
    </row>
    <row r="172" spans="1:41" x14ac:dyDescent="0.25">
      <c r="A172" t="s">
        <v>269</v>
      </c>
      <c r="B172">
        <v>5011</v>
      </c>
      <c r="C172">
        <v>1971</v>
      </c>
      <c r="D172">
        <v>4184</v>
      </c>
      <c r="E172">
        <v>4975</v>
      </c>
      <c r="F172">
        <v>1893</v>
      </c>
      <c r="G172">
        <v>0</v>
      </c>
      <c r="H172">
        <v>8934</v>
      </c>
      <c r="I172">
        <v>3878</v>
      </c>
      <c r="J172">
        <v>4448</v>
      </c>
      <c r="K172">
        <v>0</v>
      </c>
      <c r="L172">
        <v>5184</v>
      </c>
      <c r="M172">
        <v>3136</v>
      </c>
      <c r="N172">
        <f t="shared" si="4"/>
        <v>43614</v>
      </c>
      <c r="O172">
        <v>6</v>
      </c>
      <c r="P172">
        <v>5</v>
      </c>
      <c r="Q172">
        <v>1</v>
      </c>
      <c r="R172">
        <v>2</v>
      </c>
      <c r="S172">
        <v>1</v>
      </c>
      <c r="T172">
        <v>3</v>
      </c>
      <c r="U172">
        <v>2</v>
      </c>
      <c r="V172">
        <v>3</v>
      </c>
      <c r="W172">
        <v>0</v>
      </c>
      <c r="X172">
        <v>1</v>
      </c>
      <c r="Y172">
        <v>5</v>
      </c>
      <c r="Z172">
        <v>1</v>
      </c>
      <c r="AA172">
        <f t="shared" si="5"/>
        <v>30</v>
      </c>
      <c r="AB172" t="s">
        <v>45</v>
      </c>
      <c r="AC172">
        <v>60.4</v>
      </c>
      <c r="AD172">
        <v>29.95</v>
      </c>
      <c r="AE172">
        <v>51.88</v>
      </c>
      <c r="AF172">
        <v>59.84</v>
      </c>
      <c r="AG172">
        <v>28.97</v>
      </c>
      <c r="AH172">
        <v>10.14</v>
      </c>
      <c r="AI172">
        <v>99.43</v>
      </c>
      <c r="AJ172">
        <v>48.92</v>
      </c>
      <c r="AK172">
        <v>54.47</v>
      </c>
      <c r="AL172">
        <v>10.039999999999999</v>
      </c>
      <c r="AM172">
        <v>62.08</v>
      </c>
      <c r="AN172">
        <v>41.4</v>
      </c>
      <c r="AO172">
        <v>557.52</v>
      </c>
    </row>
    <row r="173" spans="1:41" x14ac:dyDescent="0.25">
      <c r="A173" t="s">
        <v>270</v>
      </c>
      <c r="B173">
        <v>4975</v>
      </c>
      <c r="C173">
        <v>1986</v>
      </c>
      <c r="D173">
        <v>2949</v>
      </c>
      <c r="E173">
        <v>5250</v>
      </c>
      <c r="F173">
        <v>1513</v>
      </c>
      <c r="G173">
        <v>14433</v>
      </c>
      <c r="H173">
        <v>675</v>
      </c>
      <c r="I173">
        <v>2771</v>
      </c>
      <c r="J173">
        <v>8392</v>
      </c>
      <c r="K173">
        <v>10942</v>
      </c>
      <c r="L173">
        <v>1685</v>
      </c>
      <c r="M173">
        <v>880</v>
      </c>
      <c r="N173">
        <f t="shared" si="4"/>
        <v>56451</v>
      </c>
      <c r="O173">
        <v>6</v>
      </c>
      <c r="P173">
        <v>6</v>
      </c>
      <c r="Q173">
        <v>7</v>
      </c>
      <c r="R173">
        <v>2</v>
      </c>
      <c r="S173">
        <v>3</v>
      </c>
      <c r="T173">
        <v>5</v>
      </c>
      <c r="U173">
        <v>3</v>
      </c>
      <c r="V173">
        <v>7</v>
      </c>
      <c r="W173">
        <v>2</v>
      </c>
      <c r="X173">
        <v>2</v>
      </c>
      <c r="Y173">
        <v>9</v>
      </c>
      <c r="Z173">
        <v>7</v>
      </c>
      <c r="AA173">
        <f t="shared" si="5"/>
        <v>59</v>
      </c>
      <c r="AB173" t="s">
        <v>45</v>
      </c>
      <c r="AC173">
        <v>60.04</v>
      </c>
      <c r="AD173">
        <v>30.15</v>
      </c>
      <c r="AE173">
        <v>39.83</v>
      </c>
      <c r="AF173">
        <v>62.59</v>
      </c>
      <c r="AG173">
        <v>25.27</v>
      </c>
      <c r="AH173">
        <v>154.57</v>
      </c>
      <c r="AI173">
        <v>16.89</v>
      </c>
      <c r="AJ173">
        <v>38.049999999999997</v>
      </c>
      <c r="AK173">
        <v>94.01</v>
      </c>
      <c r="AL173">
        <v>119.51</v>
      </c>
      <c r="AM173">
        <v>27.29</v>
      </c>
      <c r="AN173">
        <v>19.14</v>
      </c>
      <c r="AO173">
        <v>687.33999999999992</v>
      </c>
    </row>
    <row r="174" spans="1:41" x14ac:dyDescent="0.25">
      <c r="A174" t="s">
        <v>271</v>
      </c>
      <c r="B174">
        <v>4960</v>
      </c>
      <c r="C174">
        <v>3139</v>
      </c>
      <c r="D174">
        <v>0</v>
      </c>
      <c r="E174">
        <v>8629</v>
      </c>
      <c r="F174">
        <v>14740</v>
      </c>
      <c r="G174">
        <v>2093</v>
      </c>
      <c r="H174">
        <v>4010</v>
      </c>
      <c r="I174">
        <v>2835</v>
      </c>
      <c r="J174">
        <v>1281</v>
      </c>
      <c r="K174">
        <v>13</v>
      </c>
      <c r="L174">
        <v>2096</v>
      </c>
      <c r="M174">
        <v>6413</v>
      </c>
      <c r="N174">
        <f t="shared" si="4"/>
        <v>50209</v>
      </c>
      <c r="O174">
        <v>3</v>
      </c>
      <c r="P174">
        <v>11</v>
      </c>
      <c r="Q174">
        <v>5</v>
      </c>
      <c r="R174">
        <v>5</v>
      </c>
      <c r="S174">
        <v>1</v>
      </c>
      <c r="T174">
        <v>3</v>
      </c>
      <c r="U174">
        <v>1</v>
      </c>
      <c r="V174">
        <v>10</v>
      </c>
      <c r="W174">
        <v>4</v>
      </c>
      <c r="X174">
        <v>7</v>
      </c>
      <c r="Y174">
        <v>2</v>
      </c>
      <c r="Z174">
        <v>14</v>
      </c>
      <c r="AA174">
        <f t="shared" si="5"/>
        <v>66</v>
      </c>
      <c r="AB174" t="s">
        <v>45</v>
      </c>
      <c r="AC174">
        <v>59.74</v>
      </c>
      <c r="AD174">
        <v>41.93</v>
      </c>
      <c r="AE174">
        <v>10.24</v>
      </c>
      <c r="AF174">
        <v>96.53</v>
      </c>
      <c r="AG174">
        <v>157.44</v>
      </c>
      <c r="AH174">
        <v>31.07</v>
      </c>
      <c r="AI174">
        <v>50.14</v>
      </c>
      <c r="AJ174">
        <v>38.840000000000003</v>
      </c>
      <c r="AK174">
        <v>23</v>
      </c>
      <c r="AL174">
        <v>10.47</v>
      </c>
      <c r="AM174">
        <v>31.05</v>
      </c>
      <c r="AN174">
        <v>74.819999999999993</v>
      </c>
      <c r="AO174">
        <v>625.27</v>
      </c>
    </row>
    <row r="175" spans="1:41" x14ac:dyDescent="0.25">
      <c r="A175" t="s">
        <v>273</v>
      </c>
      <c r="B175">
        <v>4932</v>
      </c>
      <c r="C175">
        <v>3726</v>
      </c>
      <c r="D175">
        <v>10292</v>
      </c>
      <c r="E175">
        <v>13944</v>
      </c>
      <c r="F175">
        <v>19802</v>
      </c>
      <c r="G175">
        <v>3168</v>
      </c>
      <c r="H175">
        <v>9827</v>
      </c>
      <c r="I175">
        <v>1616</v>
      </c>
      <c r="J175">
        <v>6332</v>
      </c>
      <c r="K175">
        <v>8017</v>
      </c>
      <c r="L175">
        <v>8954</v>
      </c>
      <c r="M175">
        <v>5708</v>
      </c>
      <c r="N175">
        <f t="shared" si="4"/>
        <v>96318</v>
      </c>
      <c r="O175">
        <v>4</v>
      </c>
      <c r="P175">
        <v>3</v>
      </c>
      <c r="Q175">
        <v>5</v>
      </c>
      <c r="R175">
        <v>2</v>
      </c>
      <c r="S175">
        <v>7</v>
      </c>
      <c r="T175">
        <v>0</v>
      </c>
      <c r="U175">
        <v>0</v>
      </c>
      <c r="V175">
        <v>10</v>
      </c>
      <c r="W175">
        <v>6</v>
      </c>
      <c r="X175">
        <v>2</v>
      </c>
      <c r="Y175">
        <v>0</v>
      </c>
      <c r="Z175">
        <v>2</v>
      </c>
      <c r="AA175">
        <f t="shared" si="5"/>
        <v>41</v>
      </c>
      <c r="AB175" t="s">
        <v>45</v>
      </c>
      <c r="AC175">
        <v>59.51</v>
      </c>
      <c r="AD175">
        <v>47.4</v>
      </c>
      <c r="AE175">
        <v>113.16</v>
      </c>
      <c r="AF175">
        <v>149.53</v>
      </c>
      <c r="AG175">
        <v>208.36</v>
      </c>
      <c r="AH175">
        <v>41.67</v>
      </c>
      <c r="AI175">
        <v>108.26</v>
      </c>
      <c r="AJ175">
        <v>26.65</v>
      </c>
      <c r="AK175">
        <v>73.61</v>
      </c>
      <c r="AL175">
        <v>90.26</v>
      </c>
      <c r="AM175">
        <v>99.53</v>
      </c>
      <c r="AN175">
        <v>67.17</v>
      </c>
      <c r="AO175">
        <v>1085.1099999999999</v>
      </c>
    </row>
    <row r="176" spans="1:41" x14ac:dyDescent="0.25">
      <c r="A176" t="s">
        <v>274</v>
      </c>
      <c r="B176">
        <v>4930</v>
      </c>
      <c r="C176">
        <v>2285</v>
      </c>
      <c r="D176">
        <v>5847</v>
      </c>
      <c r="E176">
        <v>3550</v>
      </c>
      <c r="F176">
        <v>4842</v>
      </c>
      <c r="G176">
        <v>698</v>
      </c>
      <c r="H176">
        <v>4084</v>
      </c>
      <c r="I176">
        <v>2882</v>
      </c>
      <c r="J176">
        <v>3390</v>
      </c>
      <c r="K176">
        <v>3516</v>
      </c>
      <c r="L176">
        <v>8755</v>
      </c>
      <c r="M176">
        <v>6209</v>
      </c>
      <c r="N176">
        <f t="shared" si="4"/>
        <v>50988</v>
      </c>
      <c r="O176">
        <v>5</v>
      </c>
      <c r="P176">
        <v>8</v>
      </c>
      <c r="Q176">
        <v>7</v>
      </c>
      <c r="R176">
        <v>1</v>
      </c>
      <c r="S176">
        <v>8</v>
      </c>
      <c r="T176">
        <v>1</v>
      </c>
      <c r="U176">
        <v>0</v>
      </c>
      <c r="V176">
        <v>4</v>
      </c>
      <c r="W176">
        <v>3</v>
      </c>
      <c r="X176">
        <v>10</v>
      </c>
      <c r="Y176">
        <v>4</v>
      </c>
      <c r="Z176">
        <v>1</v>
      </c>
      <c r="AA176">
        <f t="shared" si="5"/>
        <v>52</v>
      </c>
      <c r="AB176" t="s">
        <v>45</v>
      </c>
      <c r="AC176">
        <v>59.54</v>
      </c>
      <c r="AD176">
        <v>33.24</v>
      </c>
      <c r="AE176">
        <v>68.81</v>
      </c>
      <c r="AF176">
        <v>45.54</v>
      </c>
      <c r="AG176">
        <v>58.81</v>
      </c>
      <c r="AH176">
        <v>17.02</v>
      </c>
      <c r="AI176">
        <v>50.83</v>
      </c>
      <c r="AJ176">
        <v>39.01</v>
      </c>
      <c r="AK176">
        <v>44.04</v>
      </c>
      <c r="AL176">
        <v>45.65</v>
      </c>
      <c r="AM176">
        <v>97.74</v>
      </c>
      <c r="AN176">
        <v>72.13</v>
      </c>
      <c r="AO176">
        <v>632.3599999999999</v>
      </c>
    </row>
    <row r="177" spans="1:41" x14ac:dyDescent="0.25">
      <c r="A177" t="s">
        <v>275</v>
      </c>
      <c r="B177">
        <v>4929</v>
      </c>
      <c r="C177">
        <v>769</v>
      </c>
      <c r="D177">
        <v>2375</v>
      </c>
      <c r="E177">
        <v>1432</v>
      </c>
      <c r="F177">
        <v>7332</v>
      </c>
      <c r="G177">
        <v>1730</v>
      </c>
      <c r="H177">
        <v>4513</v>
      </c>
      <c r="I177">
        <v>4961</v>
      </c>
      <c r="J177">
        <v>8549</v>
      </c>
      <c r="K177">
        <v>5618</v>
      </c>
      <c r="L177">
        <v>0</v>
      </c>
      <c r="M177">
        <v>6783</v>
      </c>
      <c r="N177">
        <f t="shared" si="4"/>
        <v>48991</v>
      </c>
      <c r="O177">
        <v>5</v>
      </c>
      <c r="P177">
        <v>11</v>
      </c>
      <c r="Q177">
        <v>9</v>
      </c>
      <c r="R177">
        <v>8</v>
      </c>
      <c r="S177">
        <v>6</v>
      </c>
      <c r="T177">
        <v>5</v>
      </c>
      <c r="U177">
        <v>1</v>
      </c>
      <c r="V177">
        <v>9</v>
      </c>
      <c r="W177">
        <v>5</v>
      </c>
      <c r="X177">
        <v>5</v>
      </c>
      <c r="Y177">
        <v>0</v>
      </c>
      <c r="Z177">
        <v>1</v>
      </c>
      <c r="AA177">
        <f t="shared" si="5"/>
        <v>65</v>
      </c>
      <c r="AB177" t="s">
        <v>45</v>
      </c>
      <c r="AC177">
        <v>59.53</v>
      </c>
      <c r="AD177">
        <v>18.23</v>
      </c>
      <c r="AE177">
        <v>34.19</v>
      </c>
      <c r="AF177">
        <v>24.71</v>
      </c>
      <c r="AG177">
        <v>83.61</v>
      </c>
      <c r="AH177">
        <v>27.54</v>
      </c>
      <c r="AI177">
        <v>55.17</v>
      </c>
      <c r="AJ177">
        <v>60.05</v>
      </c>
      <c r="AK177">
        <v>95.73</v>
      </c>
      <c r="AL177">
        <v>66.42</v>
      </c>
      <c r="AM177">
        <v>9.99</v>
      </c>
      <c r="AN177">
        <v>77.87</v>
      </c>
      <c r="AO177">
        <v>613.04</v>
      </c>
    </row>
    <row r="178" spans="1:41" x14ac:dyDescent="0.25">
      <c r="A178" t="s">
        <v>277</v>
      </c>
      <c r="B178">
        <v>4872</v>
      </c>
      <c r="C178">
        <v>0</v>
      </c>
      <c r="D178">
        <v>2103</v>
      </c>
      <c r="E178">
        <v>6140</v>
      </c>
      <c r="F178">
        <v>2001</v>
      </c>
      <c r="G178">
        <v>1023</v>
      </c>
      <c r="H178">
        <v>2914</v>
      </c>
      <c r="I178">
        <v>8787</v>
      </c>
      <c r="J178">
        <v>2614</v>
      </c>
      <c r="K178">
        <v>5205</v>
      </c>
      <c r="L178">
        <v>770</v>
      </c>
      <c r="M178">
        <v>497</v>
      </c>
      <c r="N178">
        <f t="shared" si="4"/>
        <v>36926</v>
      </c>
      <c r="O178">
        <v>8</v>
      </c>
      <c r="P178">
        <v>5</v>
      </c>
      <c r="Q178">
        <v>4</v>
      </c>
      <c r="R178">
        <v>3</v>
      </c>
      <c r="S178">
        <v>10</v>
      </c>
      <c r="T178">
        <v>4</v>
      </c>
      <c r="U178">
        <v>4</v>
      </c>
      <c r="V178">
        <v>0</v>
      </c>
      <c r="W178">
        <v>4</v>
      </c>
      <c r="X178">
        <v>7</v>
      </c>
      <c r="Y178">
        <v>1</v>
      </c>
      <c r="Z178">
        <v>2</v>
      </c>
      <c r="AA178">
        <f t="shared" si="5"/>
        <v>52</v>
      </c>
      <c r="AB178" t="s">
        <v>45</v>
      </c>
      <c r="AC178">
        <v>59.11</v>
      </c>
      <c r="AD178">
        <v>10.24</v>
      </c>
      <c r="AE178">
        <v>31.22</v>
      </c>
      <c r="AF178">
        <v>71.540000000000006</v>
      </c>
      <c r="AG178">
        <v>30.5</v>
      </c>
      <c r="AH178">
        <v>20.420000000000002</v>
      </c>
      <c r="AI178">
        <v>39.33</v>
      </c>
      <c r="AJ178">
        <v>97.86</v>
      </c>
      <c r="AK178">
        <v>36.33</v>
      </c>
      <c r="AL178">
        <v>62.39</v>
      </c>
      <c r="AM178">
        <v>17.739999999999998</v>
      </c>
      <c r="AN178">
        <v>15.06</v>
      </c>
      <c r="AO178">
        <v>491.74</v>
      </c>
    </row>
    <row r="179" spans="1:41" x14ac:dyDescent="0.25">
      <c r="A179" t="s">
        <v>278</v>
      </c>
      <c r="B179">
        <v>4871</v>
      </c>
      <c r="C179">
        <v>257</v>
      </c>
      <c r="D179">
        <v>6697</v>
      </c>
      <c r="E179">
        <v>3058</v>
      </c>
      <c r="F179">
        <v>589</v>
      </c>
      <c r="G179">
        <v>1592</v>
      </c>
      <c r="H179">
        <v>4448</v>
      </c>
      <c r="I179">
        <v>2970</v>
      </c>
      <c r="J179">
        <v>0</v>
      </c>
      <c r="K179">
        <v>9886</v>
      </c>
      <c r="L179">
        <v>0</v>
      </c>
      <c r="M179">
        <v>10701</v>
      </c>
      <c r="N179">
        <f t="shared" si="4"/>
        <v>45069</v>
      </c>
      <c r="O179">
        <v>2</v>
      </c>
      <c r="P179">
        <v>0</v>
      </c>
      <c r="Q179">
        <v>9</v>
      </c>
      <c r="R179">
        <v>6</v>
      </c>
      <c r="S179">
        <v>1</v>
      </c>
      <c r="T179">
        <v>5</v>
      </c>
      <c r="U179">
        <v>4</v>
      </c>
      <c r="V179">
        <v>12</v>
      </c>
      <c r="W179">
        <v>2</v>
      </c>
      <c r="X179">
        <v>0</v>
      </c>
      <c r="Y179">
        <v>12</v>
      </c>
      <c r="Z179">
        <v>11</v>
      </c>
      <c r="AA179">
        <f t="shared" si="5"/>
        <v>64</v>
      </c>
      <c r="AB179" t="s">
        <v>45</v>
      </c>
      <c r="AC179">
        <v>58.8</v>
      </c>
      <c r="AD179">
        <v>12.56</v>
      </c>
      <c r="AE179">
        <v>77.41</v>
      </c>
      <c r="AF179">
        <v>40.869999999999997</v>
      </c>
      <c r="AG179">
        <v>15.93</v>
      </c>
      <c r="AH179">
        <v>26.16</v>
      </c>
      <c r="AI179">
        <v>54.67</v>
      </c>
      <c r="AJ179">
        <v>40.29</v>
      </c>
      <c r="AK179">
        <v>10.09</v>
      </c>
      <c r="AL179">
        <v>108.85</v>
      </c>
      <c r="AM179">
        <v>10.59</v>
      </c>
      <c r="AN179">
        <v>117.55</v>
      </c>
      <c r="AO179">
        <v>573.77</v>
      </c>
    </row>
    <row r="180" spans="1:41" x14ac:dyDescent="0.25">
      <c r="A180" t="s">
        <v>279</v>
      </c>
      <c r="B180">
        <v>4815</v>
      </c>
      <c r="C180">
        <v>2414</v>
      </c>
      <c r="D180">
        <v>6803</v>
      </c>
      <c r="E180">
        <v>9637</v>
      </c>
      <c r="F180">
        <v>1515</v>
      </c>
      <c r="G180">
        <v>2242</v>
      </c>
      <c r="H180">
        <v>2864</v>
      </c>
      <c r="I180">
        <v>0</v>
      </c>
      <c r="J180">
        <v>8500</v>
      </c>
      <c r="K180">
        <v>2557</v>
      </c>
      <c r="L180">
        <v>0</v>
      </c>
      <c r="M180">
        <v>5992</v>
      </c>
      <c r="N180">
        <f t="shared" si="4"/>
        <v>47339</v>
      </c>
      <c r="O180">
        <v>1</v>
      </c>
      <c r="P180">
        <v>11</v>
      </c>
      <c r="Q180">
        <v>4</v>
      </c>
      <c r="R180">
        <v>10</v>
      </c>
      <c r="S180">
        <v>5</v>
      </c>
      <c r="T180">
        <v>4</v>
      </c>
      <c r="U180">
        <v>5</v>
      </c>
      <c r="V180">
        <v>5</v>
      </c>
      <c r="W180">
        <v>13</v>
      </c>
      <c r="X180">
        <v>3</v>
      </c>
      <c r="Y180">
        <v>8</v>
      </c>
      <c r="Z180">
        <v>10</v>
      </c>
      <c r="AA180">
        <f t="shared" si="5"/>
        <v>79</v>
      </c>
      <c r="AB180" t="s">
        <v>45</v>
      </c>
      <c r="AC180">
        <v>58.19</v>
      </c>
      <c r="AD180">
        <v>34.68</v>
      </c>
      <c r="AE180">
        <v>78.22</v>
      </c>
      <c r="AF180">
        <v>106.86</v>
      </c>
      <c r="AG180">
        <v>25.39</v>
      </c>
      <c r="AH180">
        <v>32.61</v>
      </c>
      <c r="AI180">
        <v>38.880000000000003</v>
      </c>
      <c r="AJ180">
        <v>10.24</v>
      </c>
      <c r="AK180">
        <v>95.64</v>
      </c>
      <c r="AL180">
        <v>35.71</v>
      </c>
      <c r="AM180">
        <v>10.39</v>
      </c>
      <c r="AN180">
        <v>70.41</v>
      </c>
      <c r="AO180">
        <v>597.21999999999991</v>
      </c>
    </row>
    <row r="181" spans="1:41" x14ac:dyDescent="0.25">
      <c r="A181" t="s">
        <v>280</v>
      </c>
      <c r="B181">
        <v>4804</v>
      </c>
      <c r="C181">
        <v>110</v>
      </c>
      <c r="D181">
        <v>5442</v>
      </c>
      <c r="E181">
        <v>441</v>
      </c>
      <c r="F181">
        <v>4441</v>
      </c>
      <c r="G181">
        <v>2457</v>
      </c>
      <c r="H181">
        <v>2973</v>
      </c>
      <c r="I181">
        <v>4633</v>
      </c>
      <c r="J181">
        <v>499</v>
      </c>
      <c r="K181">
        <v>384</v>
      </c>
      <c r="L181">
        <v>3551</v>
      </c>
      <c r="M181">
        <v>6454</v>
      </c>
      <c r="N181">
        <f t="shared" si="4"/>
        <v>36189</v>
      </c>
      <c r="O181">
        <v>3</v>
      </c>
      <c r="P181">
        <v>2</v>
      </c>
      <c r="Q181">
        <v>1</v>
      </c>
      <c r="R181">
        <v>5</v>
      </c>
      <c r="S181">
        <v>3</v>
      </c>
      <c r="T181">
        <v>4</v>
      </c>
      <c r="U181">
        <v>2</v>
      </c>
      <c r="V181">
        <v>4</v>
      </c>
      <c r="W181">
        <v>2</v>
      </c>
      <c r="X181">
        <v>6</v>
      </c>
      <c r="Y181">
        <v>2</v>
      </c>
      <c r="Z181">
        <v>2</v>
      </c>
      <c r="AA181">
        <f t="shared" si="5"/>
        <v>36</v>
      </c>
      <c r="AB181" t="s">
        <v>45</v>
      </c>
      <c r="AC181">
        <v>58.18</v>
      </c>
      <c r="AD181">
        <v>11.19</v>
      </c>
      <c r="AE181">
        <v>64.459999999999994</v>
      </c>
      <c r="AF181">
        <v>14.65</v>
      </c>
      <c r="AG181">
        <v>54.55</v>
      </c>
      <c r="AH181">
        <v>34.76</v>
      </c>
      <c r="AI181">
        <v>39.82</v>
      </c>
      <c r="AJ181">
        <v>56.52</v>
      </c>
      <c r="AK181">
        <v>15.08</v>
      </c>
      <c r="AL181">
        <v>14.13</v>
      </c>
      <c r="AM181">
        <v>45.6</v>
      </c>
      <c r="AN181">
        <v>74.63</v>
      </c>
      <c r="AO181">
        <v>483.56999999999994</v>
      </c>
    </row>
    <row r="182" spans="1:41" x14ac:dyDescent="0.25">
      <c r="A182" t="s">
        <v>282</v>
      </c>
      <c r="B182">
        <v>4778</v>
      </c>
      <c r="C182">
        <v>2817</v>
      </c>
      <c r="D182">
        <v>805</v>
      </c>
      <c r="E182">
        <v>2384</v>
      </c>
      <c r="F182">
        <v>1039</v>
      </c>
      <c r="G182">
        <v>3752</v>
      </c>
      <c r="H182">
        <v>4876</v>
      </c>
      <c r="I182">
        <v>0</v>
      </c>
      <c r="J182">
        <v>3453</v>
      </c>
      <c r="K182">
        <v>2831</v>
      </c>
      <c r="L182">
        <v>2022</v>
      </c>
      <c r="M182">
        <v>11879</v>
      </c>
      <c r="N182">
        <f t="shared" si="4"/>
        <v>40636</v>
      </c>
      <c r="O182">
        <v>5</v>
      </c>
      <c r="P182">
        <v>6</v>
      </c>
      <c r="Q182">
        <v>1</v>
      </c>
      <c r="R182">
        <v>0</v>
      </c>
      <c r="S182">
        <v>3</v>
      </c>
      <c r="T182">
        <v>4</v>
      </c>
      <c r="U182">
        <v>0</v>
      </c>
      <c r="V182">
        <v>1</v>
      </c>
      <c r="W182">
        <v>11</v>
      </c>
      <c r="X182">
        <v>5</v>
      </c>
      <c r="Y182">
        <v>2</v>
      </c>
      <c r="Z182">
        <v>3</v>
      </c>
      <c r="AA182">
        <f t="shared" si="5"/>
        <v>41</v>
      </c>
      <c r="AB182" t="s">
        <v>45</v>
      </c>
      <c r="AC182">
        <v>58.02</v>
      </c>
      <c r="AD182">
        <v>38.46</v>
      </c>
      <c r="AE182">
        <v>18.09</v>
      </c>
      <c r="AF182">
        <v>33.83</v>
      </c>
      <c r="AG182">
        <v>20.53</v>
      </c>
      <c r="AH182">
        <v>47.71</v>
      </c>
      <c r="AI182">
        <v>58.75</v>
      </c>
      <c r="AJ182">
        <v>10.039999999999999</v>
      </c>
      <c r="AK182">
        <v>45.07</v>
      </c>
      <c r="AL182">
        <v>38.549999999999997</v>
      </c>
      <c r="AM182">
        <v>30.31</v>
      </c>
      <c r="AN182">
        <v>128.93</v>
      </c>
      <c r="AO182">
        <v>528.29</v>
      </c>
    </row>
    <row r="183" spans="1:41" x14ac:dyDescent="0.25">
      <c r="A183" t="s">
        <v>283</v>
      </c>
      <c r="B183">
        <v>4763</v>
      </c>
      <c r="C183">
        <v>75</v>
      </c>
      <c r="D183">
        <v>1303</v>
      </c>
      <c r="E183">
        <v>9052</v>
      </c>
      <c r="F183">
        <v>1505</v>
      </c>
      <c r="G183">
        <v>6229</v>
      </c>
      <c r="H183">
        <v>1180</v>
      </c>
      <c r="I183">
        <v>9895</v>
      </c>
      <c r="J183">
        <v>9627</v>
      </c>
      <c r="K183">
        <v>0</v>
      </c>
      <c r="L183">
        <v>4402</v>
      </c>
      <c r="M183">
        <v>651</v>
      </c>
      <c r="N183">
        <f t="shared" si="4"/>
        <v>48682</v>
      </c>
      <c r="O183">
        <v>13</v>
      </c>
      <c r="P183">
        <v>3</v>
      </c>
      <c r="Q183">
        <v>0</v>
      </c>
      <c r="R183">
        <v>1</v>
      </c>
      <c r="S183">
        <v>23</v>
      </c>
      <c r="T183">
        <v>3</v>
      </c>
      <c r="U183">
        <v>4</v>
      </c>
      <c r="V183">
        <v>9</v>
      </c>
      <c r="W183">
        <v>0</v>
      </c>
      <c r="X183">
        <v>3</v>
      </c>
      <c r="Y183">
        <v>3</v>
      </c>
      <c r="Z183">
        <v>10</v>
      </c>
      <c r="AA183">
        <f t="shared" si="5"/>
        <v>72</v>
      </c>
      <c r="AB183" t="s">
        <v>45</v>
      </c>
      <c r="AC183">
        <v>58.27</v>
      </c>
      <c r="AD183">
        <v>10.89</v>
      </c>
      <c r="AE183">
        <v>23.02</v>
      </c>
      <c r="AF183">
        <v>100.56</v>
      </c>
      <c r="AG183">
        <v>26.19</v>
      </c>
      <c r="AH183">
        <v>72.430000000000007</v>
      </c>
      <c r="AI183">
        <v>21.99</v>
      </c>
      <c r="AJ183">
        <v>109.39</v>
      </c>
      <c r="AK183">
        <v>106.26</v>
      </c>
      <c r="AL183">
        <v>10.14</v>
      </c>
      <c r="AM183">
        <v>54.16</v>
      </c>
      <c r="AN183">
        <v>17</v>
      </c>
      <c r="AO183">
        <v>610.29999999999995</v>
      </c>
    </row>
    <row r="184" spans="1:41" x14ac:dyDescent="0.25">
      <c r="A184" t="s">
        <v>284</v>
      </c>
      <c r="B184">
        <v>4757</v>
      </c>
      <c r="C184">
        <v>7116</v>
      </c>
      <c r="D184">
        <v>903</v>
      </c>
      <c r="E184">
        <v>0</v>
      </c>
      <c r="F184">
        <v>232</v>
      </c>
      <c r="G184">
        <v>1541</v>
      </c>
      <c r="H184">
        <v>1971</v>
      </c>
      <c r="I184">
        <v>11908</v>
      </c>
      <c r="J184">
        <v>693</v>
      </c>
      <c r="K184">
        <v>11054</v>
      </c>
      <c r="L184">
        <v>0</v>
      </c>
      <c r="M184">
        <v>8583</v>
      </c>
      <c r="N184">
        <f t="shared" si="4"/>
        <v>48758</v>
      </c>
      <c r="O184">
        <v>1</v>
      </c>
      <c r="P184">
        <v>9</v>
      </c>
      <c r="Q184">
        <v>0</v>
      </c>
      <c r="R184">
        <v>3</v>
      </c>
      <c r="S184">
        <v>1</v>
      </c>
      <c r="T184">
        <v>4</v>
      </c>
      <c r="U184">
        <v>3</v>
      </c>
      <c r="V184">
        <v>8</v>
      </c>
      <c r="W184">
        <v>1</v>
      </c>
      <c r="X184">
        <v>0</v>
      </c>
      <c r="Y184">
        <v>1</v>
      </c>
      <c r="Z184">
        <v>9</v>
      </c>
      <c r="AA184">
        <f t="shared" si="5"/>
        <v>40</v>
      </c>
      <c r="AB184" t="s">
        <v>45</v>
      </c>
      <c r="AC184">
        <v>57.61</v>
      </c>
      <c r="AD184">
        <v>81.599999999999994</v>
      </c>
      <c r="AE184">
        <v>19.02</v>
      </c>
      <c r="AF184">
        <v>10.14</v>
      </c>
      <c r="AG184">
        <v>12.36</v>
      </c>
      <c r="AH184">
        <v>25.6</v>
      </c>
      <c r="AI184">
        <v>29.85</v>
      </c>
      <c r="AJ184">
        <v>129.47</v>
      </c>
      <c r="AK184">
        <v>16.97</v>
      </c>
      <c r="AL184">
        <v>120.53</v>
      </c>
      <c r="AM184">
        <v>10.039999999999999</v>
      </c>
      <c r="AN184">
        <v>96.27</v>
      </c>
      <c r="AO184">
        <v>609.45999999999992</v>
      </c>
    </row>
    <row r="185" spans="1:41" x14ac:dyDescent="0.25">
      <c r="A185" t="s">
        <v>286</v>
      </c>
      <c r="B185">
        <v>4747</v>
      </c>
      <c r="C185">
        <v>29303</v>
      </c>
      <c r="D185">
        <v>960</v>
      </c>
      <c r="E185">
        <v>15918</v>
      </c>
      <c r="F185">
        <v>1139</v>
      </c>
      <c r="G185">
        <v>1521</v>
      </c>
      <c r="H185">
        <v>813</v>
      </c>
      <c r="I185">
        <v>2692</v>
      </c>
      <c r="J185">
        <v>5020</v>
      </c>
      <c r="K185">
        <v>2338</v>
      </c>
      <c r="L185">
        <v>8063</v>
      </c>
      <c r="M185">
        <v>3127</v>
      </c>
      <c r="N185">
        <f t="shared" si="4"/>
        <v>75641</v>
      </c>
      <c r="O185">
        <v>1</v>
      </c>
      <c r="P185">
        <v>5</v>
      </c>
      <c r="Q185">
        <v>2</v>
      </c>
      <c r="R185">
        <v>23</v>
      </c>
      <c r="S185">
        <v>2</v>
      </c>
      <c r="T185">
        <v>3</v>
      </c>
      <c r="U185">
        <v>3</v>
      </c>
      <c r="V185">
        <v>11</v>
      </c>
      <c r="W185">
        <v>8</v>
      </c>
      <c r="X185">
        <v>4</v>
      </c>
      <c r="Y185">
        <v>5</v>
      </c>
      <c r="Z185">
        <v>5</v>
      </c>
      <c r="AA185">
        <f t="shared" si="5"/>
        <v>72</v>
      </c>
      <c r="AB185" t="s">
        <v>45</v>
      </c>
      <c r="AC185">
        <v>57.51</v>
      </c>
      <c r="AD185">
        <v>303.27</v>
      </c>
      <c r="AE185">
        <v>19.690000000000001</v>
      </c>
      <c r="AF185">
        <v>170.32</v>
      </c>
      <c r="AG185">
        <v>21.48</v>
      </c>
      <c r="AH185">
        <v>25.35</v>
      </c>
      <c r="AI185">
        <v>18.27</v>
      </c>
      <c r="AJ185">
        <v>37.46</v>
      </c>
      <c r="AK185">
        <v>60.59</v>
      </c>
      <c r="AL185">
        <v>33.57</v>
      </c>
      <c r="AM185">
        <v>90.87</v>
      </c>
      <c r="AN185">
        <v>41.51</v>
      </c>
      <c r="AO185">
        <v>879.8900000000001</v>
      </c>
    </row>
    <row r="186" spans="1:41" x14ac:dyDescent="0.25">
      <c r="A186" t="s">
        <v>287</v>
      </c>
      <c r="B186">
        <v>4739</v>
      </c>
      <c r="C186">
        <v>2907</v>
      </c>
      <c r="D186">
        <v>4069</v>
      </c>
      <c r="E186">
        <v>1456</v>
      </c>
      <c r="F186">
        <v>5754</v>
      </c>
      <c r="G186">
        <v>3691</v>
      </c>
      <c r="H186">
        <v>10941</v>
      </c>
      <c r="I186">
        <v>557</v>
      </c>
      <c r="J186">
        <v>1731</v>
      </c>
      <c r="K186">
        <v>4383</v>
      </c>
      <c r="L186">
        <v>3374</v>
      </c>
      <c r="M186">
        <v>0</v>
      </c>
      <c r="N186">
        <f t="shared" si="4"/>
        <v>43602</v>
      </c>
      <c r="O186">
        <v>3</v>
      </c>
      <c r="P186">
        <v>3</v>
      </c>
      <c r="Q186">
        <v>11</v>
      </c>
      <c r="R186">
        <v>2</v>
      </c>
      <c r="S186">
        <v>1</v>
      </c>
      <c r="T186">
        <v>3</v>
      </c>
      <c r="U186">
        <v>2</v>
      </c>
      <c r="V186">
        <v>3</v>
      </c>
      <c r="W186">
        <v>12</v>
      </c>
      <c r="X186">
        <v>0</v>
      </c>
      <c r="Y186">
        <v>2</v>
      </c>
      <c r="Z186">
        <v>1</v>
      </c>
      <c r="AA186">
        <f t="shared" si="5"/>
        <v>43</v>
      </c>
      <c r="AB186" t="s">
        <v>45</v>
      </c>
      <c r="AC186">
        <v>57.53</v>
      </c>
      <c r="AD186">
        <v>39.21</v>
      </c>
      <c r="AE186">
        <v>51.23</v>
      </c>
      <c r="AF186">
        <v>24.65</v>
      </c>
      <c r="AG186">
        <v>67.58</v>
      </c>
      <c r="AH186">
        <v>47.05</v>
      </c>
      <c r="AI186">
        <v>119.5</v>
      </c>
      <c r="AJ186">
        <v>15.71</v>
      </c>
      <c r="AK186">
        <v>27.9</v>
      </c>
      <c r="AL186">
        <v>53.82</v>
      </c>
      <c r="AM186">
        <v>43.83</v>
      </c>
      <c r="AN186">
        <v>10.039999999999999</v>
      </c>
      <c r="AO186">
        <v>558.04999999999995</v>
      </c>
    </row>
    <row r="187" spans="1:41" x14ac:dyDescent="0.25">
      <c r="A187" t="s">
        <v>288</v>
      </c>
      <c r="B187">
        <v>4733</v>
      </c>
      <c r="C187">
        <v>7131</v>
      </c>
      <c r="D187">
        <v>11342</v>
      </c>
      <c r="E187">
        <v>2108</v>
      </c>
      <c r="F187">
        <v>1093</v>
      </c>
      <c r="G187">
        <v>2271</v>
      </c>
      <c r="H187">
        <v>2936</v>
      </c>
      <c r="I187">
        <v>5058</v>
      </c>
      <c r="J187">
        <v>7285</v>
      </c>
      <c r="K187">
        <v>2466</v>
      </c>
      <c r="L187">
        <v>1631</v>
      </c>
      <c r="M187">
        <v>13999</v>
      </c>
      <c r="N187">
        <f t="shared" si="4"/>
        <v>62053</v>
      </c>
      <c r="O187">
        <v>4</v>
      </c>
      <c r="P187">
        <v>1</v>
      </c>
      <c r="Q187">
        <v>3</v>
      </c>
      <c r="R187">
        <v>13</v>
      </c>
      <c r="S187">
        <v>0</v>
      </c>
      <c r="T187">
        <v>5</v>
      </c>
      <c r="U187">
        <v>7</v>
      </c>
      <c r="V187">
        <v>4</v>
      </c>
      <c r="W187">
        <v>13</v>
      </c>
      <c r="X187">
        <v>5</v>
      </c>
      <c r="Y187">
        <v>4</v>
      </c>
      <c r="Z187">
        <v>5</v>
      </c>
      <c r="AA187">
        <f t="shared" si="5"/>
        <v>64</v>
      </c>
      <c r="AB187" t="s">
        <v>45</v>
      </c>
      <c r="AC187">
        <v>57.52</v>
      </c>
      <c r="AD187">
        <v>81.349999999999994</v>
      </c>
      <c r="AE187">
        <v>123.56</v>
      </c>
      <c r="AF187">
        <v>31.72</v>
      </c>
      <c r="AG187">
        <v>20.92</v>
      </c>
      <c r="AH187">
        <v>32.950000000000003</v>
      </c>
      <c r="AI187">
        <v>39.700000000000003</v>
      </c>
      <c r="AJ187">
        <v>60.77</v>
      </c>
      <c r="AK187">
        <v>83.49</v>
      </c>
      <c r="AL187">
        <v>34.9</v>
      </c>
      <c r="AM187">
        <v>26.5</v>
      </c>
      <c r="AN187">
        <v>150.22999999999999</v>
      </c>
      <c r="AO187">
        <v>743.6099999999999</v>
      </c>
    </row>
    <row r="188" spans="1:41" x14ac:dyDescent="0.25">
      <c r="A188" t="s">
        <v>289</v>
      </c>
      <c r="B188">
        <v>4724</v>
      </c>
      <c r="C188">
        <v>4895</v>
      </c>
      <c r="D188">
        <v>11592</v>
      </c>
      <c r="E188">
        <v>0</v>
      </c>
      <c r="F188">
        <v>5333</v>
      </c>
      <c r="G188">
        <v>4081</v>
      </c>
      <c r="H188">
        <v>3634</v>
      </c>
      <c r="I188">
        <v>726</v>
      </c>
      <c r="J188">
        <v>535</v>
      </c>
      <c r="K188">
        <v>5663</v>
      </c>
      <c r="L188">
        <v>6345</v>
      </c>
      <c r="M188">
        <v>2792</v>
      </c>
      <c r="N188">
        <f t="shared" si="4"/>
        <v>50320</v>
      </c>
      <c r="O188">
        <v>3</v>
      </c>
      <c r="P188">
        <v>13</v>
      </c>
      <c r="Q188">
        <v>4</v>
      </c>
      <c r="R188">
        <v>0</v>
      </c>
      <c r="S188">
        <v>3</v>
      </c>
      <c r="T188">
        <v>4</v>
      </c>
      <c r="U188">
        <v>1</v>
      </c>
      <c r="V188">
        <v>8</v>
      </c>
      <c r="W188">
        <v>6</v>
      </c>
      <c r="X188">
        <v>6</v>
      </c>
      <c r="Y188">
        <v>3</v>
      </c>
      <c r="Z188">
        <v>1</v>
      </c>
      <c r="AA188">
        <f t="shared" si="5"/>
        <v>52</v>
      </c>
      <c r="AB188" t="s">
        <v>45</v>
      </c>
      <c r="AC188">
        <v>57.38</v>
      </c>
      <c r="AD188">
        <v>59.59</v>
      </c>
      <c r="AE188">
        <v>126.11</v>
      </c>
      <c r="AF188">
        <v>9.99</v>
      </c>
      <c r="AG188">
        <v>63.47</v>
      </c>
      <c r="AH188">
        <v>51</v>
      </c>
      <c r="AI188">
        <v>46.38</v>
      </c>
      <c r="AJ188">
        <v>17.649999999999999</v>
      </c>
      <c r="AK188">
        <v>15.64</v>
      </c>
      <c r="AL188">
        <v>66.92</v>
      </c>
      <c r="AM188">
        <v>73.59</v>
      </c>
      <c r="AN188">
        <v>37.96</v>
      </c>
      <c r="AO188">
        <v>625.67999999999995</v>
      </c>
    </row>
    <row r="189" spans="1:41" x14ac:dyDescent="0.25">
      <c r="A189" t="s">
        <v>291</v>
      </c>
      <c r="B189">
        <v>4681</v>
      </c>
      <c r="C189">
        <v>11046</v>
      </c>
      <c r="D189">
        <v>4715</v>
      </c>
      <c r="E189">
        <v>5643</v>
      </c>
      <c r="F189">
        <v>1568</v>
      </c>
      <c r="G189">
        <v>589</v>
      </c>
      <c r="H189">
        <v>1189</v>
      </c>
      <c r="I189">
        <v>14434</v>
      </c>
      <c r="J189">
        <v>2371</v>
      </c>
      <c r="K189">
        <v>0</v>
      </c>
      <c r="L189">
        <v>11972</v>
      </c>
      <c r="M189">
        <v>3146</v>
      </c>
      <c r="N189">
        <f t="shared" si="4"/>
        <v>61354</v>
      </c>
      <c r="O189">
        <v>6</v>
      </c>
      <c r="P189">
        <v>4</v>
      </c>
      <c r="Q189">
        <v>3</v>
      </c>
      <c r="R189">
        <v>1</v>
      </c>
      <c r="S189">
        <v>2</v>
      </c>
      <c r="T189">
        <v>10</v>
      </c>
      <c r="U189">
        <v>5</v>
      </c>
      <c r="V189">
        <v>1</v>
      </c>
      <c r="W189">
        <v>2</v>
      </c>
      <c r="X189">
        <v>5</v>
      </c>
      <c r="Y189">
        <v>4</v>
      </c>
      <c r="Z189">
        <v>3</v>
      </c>
      <c r="AA189">
        <f t="shared" si="5"/>
        <v>46</v>
      </c>
      <c r="AB189" t="s">
        <v>45</v>
      </c>
      <c r="AC189">
        <v>57.1</v>
      </c>
      <c r="AD189">
        <v>120.65</v>
      </c>
      <c r="AE189">
        <v>57.29</v>
      </c>
      <c r="AF189">
        <v>66.47</v>
      </c>
      <c r="AG189">
        <v>25.77</v>
      </c>
      <c r="AH189">
        <v>16.38</v>
      </c>
      <c r="AI189">
        <v>22.13</v>
      </c>
      <c r="AJ189">
        <v>154.38</v>
      </c>
      <c r="AK189">
        <v>33.799999999999997</v>
      </c>
      <c r="AL189">
        <v>10.24</v>
      </c>
      <c r="AM189">
        <v>129.91</v>
      </c>
      <c r="AN189">
        <v>41.6</v>
      </c>
      <c r="AO189">
        <v>735.71999999999991</v>
      </c>
    </row>
    <row r="190" spans="1:41" x14ac:dyDescent="0.25">
      <c r="A190" t="s">
        <v>292</v>
      </c>
      <c r="B190">
        <v>4676</v>
      </c>
      <c r="C190">
        <v>9433</v>
      </c>
      <c r="D190">
        <v>585</v>
      </c>
      <c r="E190">
        <v>5457</v>
      </c>
      <c r="F190">
        <v>8128</v>
      </c>
      <c r="G190">
        <v>2415</v>
      </c>
      <c r="H190">
        <v>2264</v>
      </c>
      <c r="I190">
        <v>9987</v>
      </c>
      <c r="J190">
        <v>3676</v>
      </c>
      <c r="K190">
        <v>947</v>
      </c>
      <c r="L190">
        <v>5978</v>
      </c>
      <c r="M190">
        <v>341</v>
      </c>
      <c r="N190">
        <f t="shared" si="4"/>
        <v>53887</v>
      </c>
      <c r="O190">
        <v>3</v>
      </c>
      <c r="P190">
        <v>5</v>
      </c>
      <c r="Q190">
        <v>2</v>
      </c>
      <c r="R190">
        <v>11</v>
      </c>
      <c r="S190">
        <v>2</v>
      </c>
      <c r="T190">
        <v>5</v>
      </c>
      <c r="U190">
        <v>0</v>
      </c>
      <c r="V190">
        <v>2</v>
      </c>
      <c r="W190">
        <v>8</v>
      </c>
      <c r="X190">
        <v>8</v>
      </c>
      <c r="Y190">
        <v>3</v>
      </c>
      <c r="Z190">
        <v>2</v>
      </c>
      <c r="AA190">
        <f t="shared" si="5"/>
        <v>51</v>
      </c>
      <c r="AB190" t="s">
        <v>45</v>
      </c>
      <c r="AC190">
        <v>56.9</v>
      </c>
      <c r="AD190">
        <v>104.57</v>
      </c>
      <c r="AE190">
        <v>15.94</v>
      </c>
      <c r="AF190">
        <v>65.11</v>
      </c>
      <c r="AG190">
        <v>91.37</v>
      </c>
      <c r="AH190">
        <v>34.39</v>
      </c>
      <c r="AI190">
        <v>32.630000000000003</v>
      </c>
      <c r="AJ190">
        <v>109.96</v>
      </c>
      <c r="AK190">
        <v>47.15</v>
      </c>
      <c r="AL190">
        <v>19.86</v>
      </c>
      <c r="AM190">
        <v>69.92</v>
      </c>
      <c r="AN190">
        <v>13.5</v>
      </c>
      <c r="AO190">
        <v>661.3</v>
      </c>
    </row>
    <row r="191" spans="1:41" x14ac:dyDescent="0.25">
      <c r="A191" t="s">
        <v>293</v>
      </c>
      <c r="B191">
        <v>4655</v>
      </c>
      <c r="C191">
        <v>543</v>
      </c>
      <c r="D191">
        <v>1671</v>
      </c>
      <c r="E191">
        <v>0</v>
      </c>
      <c r="F191">
        <v>6979</v>
      </c>
      <c r="G191">
        <v>2154</v>
      </c>
      <c r="H191">
        <v>3645</v>
      </c>
      <c r="I191">
        <v>5748</v>
      </c>
      <c r="J191">
        <v>7702</v>
      </c>
      <c r="K191">
        <v>0</v>
      </c>
      <c r="L191">
        <v>7561</v>
      </c>
      <c r="M191">
        <v>0</v>
      </c>
      <c r="N191">
        <f t="shared" si="4"/>
        <v>40658</v>
      </c>
      <c r="O191">
        <v>1</v>
      </c>
      <c r="P191">
        <v>8</v>
      </c>
      <c r="Q191">
        <v>3</v>
      </c>
      <c r="R191">
        <v>3</v>
      </c>
      <c r="S191">
        <v>5</v>
      </c>
      <c r="T191">
        <v>4</v>
      </c>
      <c r="U191">
        <v>2</v>
      </c>
      <c r="V191">
        <v>4</v>
      </c>
      <c r="W191">
        <v>2</v>
      </c>
      <c r="X191">
        <v>4</v>
      </c>
      <c r="Y191">
        <v>8</v>
      </c>
      <c r="Z191">
        <v>9</v>
      </c>
      <c r="AA191">
        <f t="shared" si="5"/>
        <v>53</v>
      </c>
      <c r="AB191" t="s">
        <v>45</v>
      </c>
      <c r="AC191">
        <v>56.59</v>
      </c>
      <c r="AD191">
        <v>15.82</v>
      </c>
      <c r="AE191">
        <v>26.85</v>
      </c>
      <c r="AF191">
        <v>10.14</v>
      </c>
      <c r="AG191">
        <v>80.03</v>
      </c>
      <c r="AH191">
        <v>31.73</v>
      </c>
      <c r="AI191">
        <v>46.54</v>
      </c>
      <c r="AJ191">
        <v>67.67</v>
      </c>
      <c r="AK191">
        <v>87.11</v>
      </c>
      <c r="AL191">
        <v>10.19</v>
      </c>
      <c r="AM191">
        <v>86</v>
      </c>
      <c r="AN191">
        <v>10.44</v>
      </c>
      <c r="AO191">
        <v>529.11000000000013</v>
      </c>
    </row>
    <row r="192" spans="1:41" x14ac:dyDescent="0.25">
      <c r="A192" t="s">
        <v>294</v>
      </c>
      <c r="B192">
        <v>4650</v>
      </c>
      <c r="C192">
        <v>2830</v>
      </c>
      <c r="D192">
        <v>0</v>
      </c>
      <c r="E192">
        <v>5864</v>
      </c>
      <c r="F192">
        <v>3907</v>
      </c>
      <c r="G192">
        <v>12859</v>
      </c>
      <c r="H192">
        <v>2458</v>
      </c>
      <c r="I192">
        <v>1018</v>
      </c>
      <c r="J192">
        <v>1354</v>
      </c>
      <c r="K192">
        <v>1436</v>
      </c>
      <c r="L192">
        <v>4122</v>
      </c>
      <c r="M192">
        <v>4123</v>
      </c>
      <c r="N192">
        <f t="shared" si="4"/>
        <v>44621</v>
      </c>
      <c r="O192">
        <v>3</v>
      </c>
      <c r="P192">
        <v>9</v>
      </c>
      <c r="Q192">
        <v>1</v>
      </c>
      <c r="R192">
        <v>4</v>
      </c>
      <c r="S192">
        <v>9</v>
      </c>
      <c r="T192">
        <v>4</v>
      </c>
      <c r="U192">
        <v>0</v>
      </c>
      <c r="V192">
        <v>11</v>
      </c>
      <c r="W192">
        <v>3</v>
      </c>
      <c r="X192">
        <v>1</v>
      </c>
      <c r="Y192">
        <v>2</v>
      </c>
      <c r="Z192">
        <v>8</v>
      </c>
      <c r="AA192">
        <f t="shared" si="5"/>
        <v>55</v>
      </c>
      <c r="AB192" t="s">
        <v>45</v>
      </c>
      <c r="AC192">
        <v>56.64</v>
      </c>
      <c r="AD192">
        <v>38.74</v>
      </c>
      <c r="AE192">
        <v>10.039999999999999</v>
      </c>
      <c r="AF192">
        <v>68.83</v>
      </c>
      <c r="AG192">
        <v>49.51</v>
      </c>
      <c r="AH192">
        <v>138.78</v>
      </c>
      <c r="AI192">
        <v>34.57</v>
      </c>
      <c r="AJ192">
        <v>20.72</v>
      </c>
      <c r="AK192">
        <v>23.68</v>
      </c>
      <c r="AL192">
        <v>24.4</v>
      </c>
      <c r="AM192">
        <v>51.31</v>
      </c>
      <c r="AN192">
        <v>51.62</v>
      </c>
      <c r="AO192">
        <v>568.83999999999992</v>
      </c>
    </row>
    <row r="193" spans="1:41" x14ac:dyDescent="0.25">
      <c r="A193" t="s">
        <v>299</v>
      </c>
      <c r="B193">
        <v>4549</v>
      </c>
      <c r="C193">
        <v>3015</v>
      </c>
      <c r="D193">
        <v>5357</v>
      </c>
      <c r="E193">
        <v>2331</v>
      </c>
      <c r="F193">
        <v>32</v>
      </c>
      <c r="G193">
        <v>3024</v>
      </c>
      <c r="H193">
        <v>10707</v>
      </c>
      <c r="I193">
        <v>5134</v>
      </c>
      <c r="J193">
        <v>1412</v>
      </c>
      <c r="K193">
        <v>1499</v>
      </c>
      <c r="L193">
        <v>8803</v>
      </c>
      <c r="M193">
        <v>0</v>
      </c>
      <c r="N193">
        <f t="shared" si="4"/>
        <v>45863</v>
      </c>
      <c r="O193">
        <v>12</v>
      </c>
      <c r="P193">
        <v>7</v>
      </c>
      <c r="Q193">
        <v>2</v>
      </c>
      <c r="R193">
        <v>3</v>
      </c>
      <c r="S193">
        <v>3</v>
      </c>
      <c r="T193">
        <v>5</v>
      </c>
      <c r="U193">
        <v>7</v>
      </c>
      <c r="V193">
        <v>3</v>
      </c>
      <c r="W193">
        <v>1</v>
      </c>
      <c r="X193">
        <v>7</v>
      </c>
      <c r="Y193">
        <v>7</v>
      </c>
      <c r="Z193">
        <v>1</v>
      </c>
      <c r="AA193">
        <f t="shared" si="5"/>
        <v>58</v>
      </c>
      <c r="AB193" t="s">
        <v>45</v>
      </c>
      <c r="AC193">
        <v>56.08</v>
      </c>
      <c r="AD193">
        <v>40.49</v>
      </c>
      <c r="AE193">
        <v>63.66</v>
      </c>
      <c r="AF193">
        <v>33.450000000000003</v>
      </c>
      <c r="AG193">
        <v>10.46</v>
      </c>
      <c r="AH193">
        <v>40.479999999999997</v>
      </c>
      <c r="AI193">
        <v>117.41</v>
      </c>
      <c r="AJ193">
        <v>61.48</v>
      </c>
      <c r="AK193">
        <v>24.16</v>
      </c>
      <c r="AL193">
        <v>25.33</v>
      </c>
      <c r="AM193">
        <v>98.37</v>
      </c>
      <c r="AN193">
        <v>10.039999999999999</v>
      </c>
      <c r="AO193">
        <v>581.41</v>
      </c>
    </row>
    <row r="194" spans="1:41" x14ac:dyDescent="0.25">
      <c r="A194" t="s">
        <v>300</v>
      </c>
      <c r="B194">
        <v>4536</v>
      </c>
      <c r="C194">
        <v>4702</v>
      </c>
      <c r="D194">
        <v>1098</v>
      </c>
      <c r="E194">
        <v>7367</v>
      </c>
      <c r="F194">
        <v>2423</v>
      </c>
      <c r="G194">
        <v>0</v>
      </c>
      <c r="H194">
        <v>3255</v>
      </c>
      <c r="I194">
        <v>7564</v>
      </c>
      <c r="J194">
        <v>11453</v>
      </c>
      <c r="K194">
        <v>4260</v>
      </c>
      <c r="L194">
        <v>583</v>
      </c>
      <c r="M194">
        <v>634</v>
      </c>
      <c r="N194">
        <f t="shared" si="4"/>
        <v>47875</v>
      </c>
      <c r="O194">
        <v>2</v>
      </c>
      <c r="P194">
        <v>4</v>
      </c>
      <c r="Q194">
        <v>4</v>
      </c>
      <c r="R194">
        <v>1</v>
      </c>
      <c r="S194">
        <v>14</v>
      </c>
      <c r="T194">
        <v>9</v>
      </c>
      <c r="U194">
        <v>6</v>
      </c>
      <c r="V194">
        <v>2</v>
      </c>
      <c r="W194">
        <v>2</v>
      </c>
      <c r="X194">
        <v>4</v>
      </c>
      <c r="Y194">
        <v>3</v>
      </c>
      <c r="Z194">
        <v>15</v>
      </c>
      <c r="AA194">
        <f t="shared" si="5"/>
        <v>66</v>
      </c>
      <c r="AB194" t="s">
        <v>45</v>
      </c>
      <c r="AC194">
        <v>55.45</v>
      </c>
      <c r="AD194">
        <v>57.21</v>
      </c>
      <c r="AE194">
        <v>21.17</v>
      </c>
      <c r="AF194">
        <v>83.71</v>
      </c>
      <c r="AG194">
        <v>34.92</v>
      </c>
      <c r="AH194">
        <v>10.44</v>
      </c>
      <c r="AI194">
        <v>42.84</v>
      </c>
      <c r="AJ194">
        <v>85.73</v>
      </c>
      <c r="AK194">
        <v>124.62</v>
      </c>
      <c r="AL194">
        <v>52.79</v>
      </c>
      <c r="AM194">
        <v>15.97</v>
      </c>
      <c r="AN194">
        <v>17.079999999999998</v>
      </c>
      <c r="AO194">
        <v>601.93000000000006</v>
      </c>
    </row>
    <row r="195" spans="1:41" x14ac:dyDescent="0.25">
      <c r="A195" t="s">
        <v>302</v>
      </c>
      <c r="B195">
        <v>4521</v>
      </c>
      <c r="C195">
        <v>637</v>
      </c>
      <c r="D195">
        <v>5753</v>
      </c>
      <c r="E195">
        <v>5875</v>
      </c>
      <c r="F195">
        <v>2552</v>
      </c>
      <c r="G195">
        <v>2624</v>
      </c>
      <c r="H195">
        <v>4520</v>
      </c>
      <c r="I195">
        <v>5130</v>
      </c>
      <c r="J195">
        <v>1180</v>
      </c>
      <c r="K195">
        <v>5110</v>
      </c>
      <c r="L195">
        <v>5880</v>
      </c>
      <c r="M195">
        <v>1608</v>
      </c>
      <c r="N195">
        <f t="shared" si="4"/>
        <v>45390</v>
      </c>
      <c r="O195">
        <v>10</v>
      </c>
      <c r="P195">
        <v>13</v>
      </c>
      <c r="Q195">
        <v>3</v>
      </c>
      <c r="R195">
        <v>1</v>
      </c>
      <c r="S195">
        <v>3</v>
      </c>
      <c r="T195">
        <v>0</v>
      </c>
      <c r="U195">
        <v>1</v>
      </c>
      <c r="V195">
        <v>5</v>
      </c>
      <c r="W195">
        <v>4</v>
      </c>
      <c r="X195">
        <v>8</v>
      </c>
      <c r="Y195">
        <v>1</v>
      </c>
      <c r="Z195">
        <v>6</v>
      </c>
      <c r="AA195">
        <f t="shared" si="5"/>
        <v>55</v>
      </c>
      <c r="AB195" t="s">
        <v>45</v>
      </c>
      <c r="AC195">
        <v>55.7</v>
      </c>
      <c r="AD195">
        <v>17.010000000000002</v>
      </c>
      <c r="AE195">
        <v>67.67</v>
      </c>
      <c r="AF195">
        <v>68.790000000000006</v>
      </c>
      <c r="AG195">
        <v>35.659999999999997</v>
      </c>
      <c r="AH195">
        <v>36.229999999999997</v>
      </c>
      <c r="AI195">
        <v>55.24</v>
      </c>
      <c r="AJ195">
        <v>61.54</v>
      </c>
      <c r="AK195">
        <v>21.99</v>
      </c>
      <c r="AL195">
        <v>61.49</v>
      </c>
      <c r="AM195">
        <v>68.84</v>
      </c>
      <c r="AN195">
        <v>26.37</v>
      </c>
      <c r="AO195">
        <v>576.53000000000009</v>
      </c>
    </row>
    <row r="196" spans="1:41" x14ac:dyDescent="0.25">
      <c r="A196" t="s">
        <v>303</v>
      </c>
      <c r="B196">
        <v>4518</v>
      </c>
      <c r="C196">
        <v>1044</v>
      </c>
      <c r="D196">
        <v>14880</v>
      </c>
      <c r="E196">
        <v>11723</v>
      </c>
      <c r="F196">
        <v>2370</v>
      </c>
      <c r="G196">
        <v>6672</v>
      </c>
      <c r="H196">
        <v>627</v>
      </c>
      <c r="I196">
        <v>1949</v>
      </c>
      <c r="J196">
        <v>348</v>
      </c>
      <c r="K196">
        <v>3407</v>
      </c>
      <c r="L196">
        <v>3371</v>
      </c>
      <c r="M196">
        <v>682</v>
      </c>
      <c r="N196">
        <f t="shared" ref="N196:N259" si="6">SUM(B196:M196)</f>
        <v>51591</v>
      </c>
      <c r="O196">
        <v>1</v>
      </c>
      <c r="P196">
        <v>1</v>
      </c>
      <c r="Q196">
        <v>5</v>
      </c>
      <c r="R196">
        <v>0</v>
      </c>
      <c r="S196">
        <v>11</v>
      </c>
      <c r="T196">
        <v>2</v>
      </c>
      <c r="U196">
        <v>3</v>
      </c>
      <c r="V196">
        <v>4</v>
      </c>
      <c r="W196">
        <v>2</v>
      </c>
      <c r="X196">
        <v>8</v>
      </c>
      <c r="Y196">
        <v>1</v>
      </c>
      <c r="Z196">
        <v>2</v>
      </c>
      <c r="AA196">
        <f t="shared" ref="AA196:AA259" si="7">SUM(O196:Z196)</f>
        <v>40</v>
      </c>
      <c r="AB196" t="s">
        <v>45</v>
      </c>
      <c r="AC196">
        <v>55.22</v>
      </c>
      <c r="AD196">
        <v>20.48</v>
      </c>
      <c r="AE196">
        <v>159.04</v>
      </c>
      <c r="AF196">
        <v>127.22</v>
      </c>
      <c r="AG196">
        <v>34.24</v>
      </c>
      <c r="AH196">
        <v>76.81</v>
      </c>
      <c r="AI196">
        <v>16.41</v>
      </c>
      <c r="AJ196">
        <v>29.68</v>
      </c>
      <c r="AK196">
        <v>13.57</v>
      </c>
      <c r="AL196">
        <v>44.46</v>
      </c>
      <c r="AM196">
        <v>43.75</v>
      </c>
      <c r="AN196">
        <v>16.91</v>
      </c>
      <c r="AO196">
        <v>637.79000000000008</v>
      </c>
    </row>
    <row r="197" spans="1:41" x14ac:dyDescent="0.25">
      <c r="A197" t="s">
        <v>304</v>
      </c>
      <c r="B197">
        <v>4516</v>
      </c>
      <c r="C197">
        <v>2978</v>
      </c>
      <c r="D197">
        <v>11448</v>
      </c>
      <c r="E197">
        <v>423</v>
      </c>
      <c r="F197">
        <v>4118</v>
      </c>
      <c r="G197">
        <v>3804</v>
      </c>
      <c r="H197">
        <v>7145</v>
      </c>
      <c r="I197">
        <v>2166</v>
      </c>
      <c r="J197">
        <v>3284</v>
      </c>
      <c r="K197">
        <v>974</v>
      </c>
      <c r="L197">
        <v>2003</v>
      </c>
      <c r="M197">
        <v>8750</v>
      </c>
      <c r="N197">
        <f t="shared" si="6"/>
        <v>51609</v>
      </c>
      <c r="O197">
        <v>5</v>
      </c>
      <c r="P197">
        <v>1</v>
      </c>
      <c r="Q197">
        <v>9</v>
      </c>
      <c r="R197">
        <v>5</v>
      </c>
      <c r="S197">
        <v>2</v>
      </c>
      <c r="T197">
        <v>13</v>
      </c>
      <c r="U197">
        <v>3</v>
      </c>
      <c r="V197">
        <v>2</v>
      </c>
      <c r="W197">
        <v>5</v>
      </c>
      <c r="X197">
        <v>1</v>
      </c>
      <c r="Y197">
        <v>8</v>
      </c>
      <c r="Z197">
        <v>9</v>
      </c>
      <c r="AA197">
        <f t="shared" si="7"/>
        <v>63</v>
      </c>
      <c r="AB197" t="s">
        <v>45</v>
      </c>
      <c r="AC197">
        <v>55.4</v>
      </c>
      <c r="AD197">
        <v>39.82</v>
      </c>
      <c r="AE197">
        <v>124.92</v>
      </c>
      <c r="AF197">
        <v>14.47</v>
      </c>
      <c r="AG197">
        <v>51.27</v>
      </c>
      <c r="AH197">
        <v>48.68</v>
      </c>
      <c r="AI197">
        <v>81.59</v>
      </c>
      <c r="AJ197">
        <v>31.75</v>
      </c>
      <c r="AK197">
        <v>43.08</v>
      </c>
      <c r="AL197">
        <v>19.78</v>
      </c>
      <c r="AM197">
        <v>30.42</v>
      </c>
      <c r="AN197">
        <v>97.94</v>
      </c>
      <c r="AO197">
        <v>639.11999999999989</v>
      </c>
    </row>
    <row r="198" spans="1:41" x14ac:dyDescent="0.25">
      <c r="A198" t="s">
        <v>305</v>
      </c>
      <c r="B198">
        <v>4438</v>
      </c>
      <c r="C198">
        <v>6789</v>
      </c>
      <c r="D198">
        <v>0</v>
      </c>
      <c r="E198">
        <v>2731</v>
      </c>
      <c r="F198">
        <v>5742</v>
      </c>
      <c r="G198">
        <v>5129</v>
      </c>
      <c r="H198">
        <v>1417</v>
      </c>
      <c r="I198">
        <v>3563</v>
      </c>
      <c r="J198">
        <v>7602</v>
      </c>
      <c r="K198">
        <v>2327</v>
      </c>
      <c r="L198">
        <v>2045</v>
      </c>
      <c r="M198">
        <v>5983</v>
      </c>
      <c r="N198">
        <f t="shared" si="6"/>
        <v>47766</v>
      </c>
      <c r="O198">
        <v>31</v>
      </c>
      <c r="P198">
        <v>1</v>
      </c>
      <c r="Q198">
        <v>16</v>
      </c>
      <c r="R198">
        <v>4</v>
      </c>
      <c r="S198">
        <v>8</v>
      </c>
      <c r="T198">
        <v>6</v>
      </c>
      <c r="U198">
        <v>3</v>
      </c>
      <c r="V198">
        <v>6</v>
      </c>
      <c r="W198">
        <v>8</v>
      </c>
      <c r="X198">
        <v>2</v>
      </c>
      <c r="Y198">
        <v>2</v>
      </c>
      <c r="Z198">
        <v>3</v>
      </c>
      <c r="AA198">
        <f t="shared" si="7"/>
        <v>90</v>
      </c>
      <c r="AB198" t="s">
        <v>45</v>
      </c>
      <c r="AC198">
        <v>55.92</v>
      </c>
      <c r="AD198">
        <v>77.930000000000007</v>
      </c>
      <c r="AE198">
        <v>10.79</v>
      </c>
      <c r="AF198">
        <v>37.5</v>
      </c>
      <c r="AG198">
        <v>67.81</v>
      </c>
      <c r="AH198">
        <v>61.58</v>
      </c>
      <c r="AI198">
        <v>24.31</v>
      </c>
      <c r="AJ198">
        <v>45.92</v>
      </c>
      <c r="AK198">
        <v>86.41</v>
      </c>
      <c r="AL198">
        <v>33.36</v>
      </c>
      <c r="AM198">
        <v>30.54</v>
      </c>
      <c r="AN198">
        <v>69.97</v>
      </c>
      <c r="AO198">
        <v>602.04000000000008</v>
      </c>
    </row>
    <row r="199" spans="1:41" x14ac:dyDescent="0.25">
      <c r="A199" t="s">
        <v>306</v>
      </c>
      <c r="B199">
        <v>4427</v>
      </c>
      <c r="C199">
        <v>4833</v>
      </c>
      <c r="D199">
        <v>6141</v>
      </c>
      <c r="E199">
        <v>196</v>
      </c>
      <c r="F199">
        <v>3057</v>
      </c>
      <c r="G199">
        <v>11437</v>
      </c>
      <c r="H199">
        <v>5968</v>
      </c>
      <c r="I199">
        <v>829</v>
      </c>
      <c r="J199">
        <v>2934</v>
      </c>
      <c r="K199">
        <v>9102</v>
      </c>
      <c r="L199">
        <v>2138</v>
      </c>
      <c r="M199">
        <v>6774</v>
      </c>
      <c r="N199">
        <f t="shared" si="6"/>
        <v>57836</v>
      </c>
      <c r="O199">
        <v>2</v>
      </c>
      <c r="P199">
        <v>3</v>
      </c>
      <c r="Q199">
        <v>6</v>
      </c>
      <c r="R199">
        <v>2</v>
      </c>
      <c r="S199">
        <v>0</v>
      </c>
      <c r="T199">
        <v>9</v>
      </c>
      <c r="U199">
        <v>7</v>
      </c>
      <c r="V199">
        <v>6</v>
      </c>
      <c r="W199">
        <v>7</v>
      </c>
      <c r="X199">
        <v>1</v>
      </c>
      <c r="Y199">
        <v>5</v>
      </c>
      <c r="Z199">
        <v>4</v>
      </c>
      <c r="AA199">
        <f t="shared" si="7"/>
        <v>52</v>
      </c>
      <c r="AB199" t="s">
        <v>45</v>
      </c>
      <c r="AC199">
        <v>54.36</v>
      </c>
      <c r="AD199">
        <v>58.47</v>
      </c>
      <c r="AE199">
        <v>71.7</v>
      </c>
      <c r="AF199">
        <v>12.05</v>
      </c>
      <c r="AG199">
        <v>40.56</v>
      </c>
      <c r="AH199">
        <v>124.81</v>
      </c>
      <c r="AI199">
        <v>70.02</v>
      </c>
      <c r="AJ199">
        <v>18.579999999999998</v>
      </c>
      <c r="AK199">
        <v>39.68</v>
      </c>
      <c r="AL199">
        <v>101.06</v>
      </c>
      <c r="AM199">
        <v>31.62</v>
      </c>
      <c r="AN199">
        <v>77.930000000000007</v>
      </c>
      <c r="AO199">
        <v>700.83999999999992</v>
      </c>
    </row>
    <row r="200" spans="1:41" x14ac:dyDescent="0.25">
      <c r="A200" t="s">
        <v>307</v>
      </c>
      <c r="B200">
        <v>4425</v>
      </c>
      <c r="C200">
        <v>8043</v>
      </c>
      <c r="D200">
        <v>4272</v>
      </c>
      <c r="E200">
        <v>9056</v>
      </c>
      <c r="F200">
        <v>0</v>
      </c>
      <c r="G200">
        <v>2342</v>
      </c>
      <c r="H200">
        <v>4390</v>
      </c>
      <c r="I200">
        <v>2242</v>
      </c>
      <c r="J200">
        <v>53</v>
      </c>
      <c r="K200">
        <v>606</v>
      </c>
      <c r="L200">
        <v>1310</v>
      </c>
      <c r="M200">
        <v>1255</v>
      </c>
      <c r="N200">
        <f t="shared" si="6"/>
        <v>37994</v>
      </c>
      <c r="O200">
        <v>6</v>
      </c>
      <c r="P200">
        <v>5</v>
      </c>
      <c r="Q200">
        <v>1</v>
      </c>
      <c r="R200">
        <v>1</v>
      </c>
      <c r="S200">
        <v>2</v>
      </c>
      <c r="T200">
        <v>4</v>
      </c>
      <c r="U200">
        <v>3</v>
      </c>
      <c r="V200">
        <v>2</v>
      </c>
      <c r="W200">
        <v>6</v>
      </c>
      <c r="X200">
        <v>7</v>
      </c>
      <c r="Y200">
        <v>28</v>
      </c>
      <c r="Z200">
        <v>12</v>
      </c>
      <c r="AA200">
        <f t="shared" si="7"/>
        <v>77</v>
      </c>
      <c r="AB200" t="s">
        <v>45</v>
      </c>
      <c r="AC200">
        <v>54.54</v>
      </c>
      <c r="AD200">
        <v>90.67</v>
      </c>
      <c r="AE200">
        <v>52.76</v>
      </c>
      <c r="AF200">
        <v>100.6</v>
      </c>
      <c r="AG200">
        <v>10.09</v>
      </c>
      <c r="AH200">
        <v>33.61</v>
      </c>
      <c r="AI200">
        <v>54.04</v>
      </c>
      <c r="AJ200">
        <v>32.51</v>
      </c>
      <c r="AK200">
        <v>10.82</v>
      </c>
      <c r="AL200">
        <v>16.399999999999999</v>
      </c>
      <c r="AM200">
        <v>24.49</v>
      </c>
      <c r="AN200">
        <v>23.14</v>
      </c>
      <c r="AO200">
        <v>503.66999999999996</v>
      </c>
    </row>
    <row r="201" spans="1:41" x14ac:dyDescent="0.25">
      <c r="A201" t="s">
        <v>309</v>
      </c>
      <c r="B201">
        <v>4401</v>
      </c>
      <c r="C201">
        <v>754</v>
      </c>
      <c r="D201">
        <v>4548</v>
      </c>
      <c r="E201">
        <v>1200</v>
      </c>
      <c r="F201">
        <v>4849</v>
      </c>
      <c r="G201">
        <v>0</v>
      </c>
      <c r="H201">
        <v>2539</v>
      </c>
      <c r="I201">
        <v>6199</v>
      </c>
      <c r="J201">
        <v>559</v>
      </c>
      <c r="K201">
        <v>2522</v>
      </c>
      <c r="L201">
        <v>897</v>
      </c>
      <c r="M201">
        <v>7650</v>
      </c>
      <c r="N201">
        <f t="shared" si="6"/>
        <v>36118</v>
      </c>
      <c r="O201">
        <v>2</v>
      </c>
      <c r="P201">
        <v>7</v>
      </c>
      <c r="Q201">
        <v>3</v>
      </c>
      <c r="R201">
        <v>8</v>
      </c>
      <c r="S201">
        <v>5</v>
      </c>
      <c r="T201">
        <v>3</v>
      </c>
      <c r="U201">
        <v>7</v>
      </c>
      <c r="V201">
        <v>6</v>
      </c>
      <c r="W201">
        <v>3</v>
      </c>
      <c r="X201">
        <v>2</v>
      </c>
      <c r="Y201">
        <v>2</v>
      </c>
      <c r="Z201">
        <v>2</v>
      </c>
      <c r="AA201">
        <f t="shared" si="7"/>
        <v>50</v>
      </c>
      <c r="AB201" t="s">
        <v>45</v>
      </c>
      <c r="AC201">
        <v>54.1</v>
      </c>
      <c r="AD201">
        <v>17.88</v>
      </c>
      <c r="AE201">
        <v>55.62</v>
      </c>
      <c r="AF201">
        <v>22.39</v>
      </c>
      <c r="AG201">
        <v>58.73</v>
      </c>
      <c r="AH201">
        <v>10.14</v>
      </c>
      <c r="AI201">
        <v>35.729999999999997</v>
      </c>
      <c r="AJ201">
        <v>72.28</v>
      </c>
      <c r="AK201">
        <v>15.73</v>
      </c>
      <c r="AL201">
        <v>35.31</v>
      </c>
      <c r="AM201">
        <v>19.059999999999999</v>
      </c>
      <c r="AN201">
        <v>86.59</v>
      </c>
      <c r="AO201">
        <v>483.56000000000006</v>
      </c>
    </row>
    <row r="202" spans="1:41" x14ac:dyDescent="0.25">
      <c r="A202" t="s">
        <v>311</v>
      </c>
      <c r="B202">
        <v>4322</v>
      </c>
      <c r="C202">
        <v>0</v>
      </c>
      <c r="D202">
        <v>7140</v>
      </c>
      <c r="E202">
        <v>1932</v>
      </c>
      <c r="F202">
        <v>2211</v>
      </c>
      <c r="G202">
        <v>945</v>
      </c>
      <c r="H202">
        <v>737</v>
      </c>
      <c r="I202">
        <v>181</v>
      </c>
      <c r="J202">
        <v>1974</v>
      </c>
      <c r="K202">
        <v>6473</v>
      </c>
      <c r="L202">
        <v>3779</v>
      </c>
      <c r="M202">
        <v>8018</v>
      </c>
      <c r="N202">
        <f t="shared" si="6"/>
        <v>37712</v>
      </c>
      <c r="O202">
        <v>7</v>
      </c>
      <c r="P202">
        <v>5</v>
      </c>
      <c r="Q202">
        <v>1</v>
      </c>
      <c r="R202">
        <v>10</v>
      </c>
      <c r="S202">
        <v>9</v>
      </c>
      <c r="T202">
        <v>0</v>
      </c>
      <c r="U202">
        <v>2</v>
      </c>
      <c r="V202">
        <v>14</v>
      </c>
      <c r="W202">
        <v>10</v>
      </c>
      <c r="X202">
        <v>8</v>
      </c>
      <c r="Y202">
        <v>8</v>
      </c>
      <c r="Z202">
        <v>4</v>
      </c>
      <c r="AA202">
        <f t="shared" si="7"/>
        <v>78</v>
      </c>
      <c r="AB202" t="s">
        <v>45</v>
      </c>
      <c r="AC202">
        <v>53.56</v>
      </c>
      <c r="AD202">
        <v>10.24</v>
      </c>
      <c r="AE202">
        <v>81.44</v>
      </c>
      <c r="AF202">
        <v>29.81</v>
      </c>
      <c r="AG202">
        <v>32.549999999999997</v>
      </c>
      <c r="AH202">
        <v>19.440000000000001</v>
      </c>
      <c r="AI202">
        <v>17.46</v>
      </c>
      <c r="AJ202">
        <v>12.5</v>
      </c>
      <c r="AK202">
        <v>30.23</v>
      </c>
      <c r="AL202">
        <v>75.12</v>
      </c>
      <c r="AM202">
        <v>48.18</v>
      </c>
      <c r="AN202">
        <v>90.37</v>
      </c>
      <c r="AO202">
        <v>500.90000000000003</v>
      </c>
    </row>
    <row r="203" spans="1:41" x14ac:dyDescent="0.25">
      <c r="A203" t="s">
        <v>312</v>
      </c>
      <c r="B203">
        <v>4315</v>
      </c>
      <c r="C203">
        <v>2295</v>
      </c>
      <c r="D203">
        <v>1741</v>
      </c>
      <c r="E203">
        <v>8652</v>
      </c>
      <c r="F203">
        <v>0</v>
      </c>
      <c r="G203">
        <v>2699</v>
      </c>
      <c r="H203">
        <v>5351</v>
      </c>
      <c r="I203">
        <v>1361</v>
      </c>
      <c r="J203">
        <v>0</v>
      </c>
      <c r="K203">
        <v>898</v>
      </c>
      <c r="L203">
        <v>9159</v>
      </c>
      <c r="M203">
        <v>2629</v>
      </c>
      <c r="N203">
        <f t="shared" si="6"/>
        <v>39100</v>
      </c>
      <c r="O203">
        <v>2</v>
      </c>
      <c r="P203">
        <v>4</v>
      </c>
      <c r="Q203">
        <v>9</v>
      </c>
      <c r="R203">
        <v>27</v>
      </c>
      <c r="S203">
        <v>3</v>
      </c>
      <c r="T203">
        <v>1</v>
      </c>
      <c r="U203">
        <v>1</v>
      </c>
      <c r="V203">
        <v>0</v>
      </c>
      <c r="W203">
        <v>3</v>
      </c>
      <c r="X203">
        <v>3</v>
      </c>
      <c r="Y203">
        <v>11</v>
      </c>
      <c r="Z203">
        <v>3</v>
      </c>
      <c r="AA203">
        <f t="shared" si="7"/>
        <v>67</v>
      </c>
      <c r="AB203" t="s">
        <v>45</v>
      </c>
      <c r="AC203">
        <v>53.24</v>
      </c>
      <c r="AD203">
        <v>33.14</v>
      </c>
      <c r="AE203">
        <v>27.85</v>
      </c>
      <c r="AF203">
        <v>97.86</v>
      </c>
      <c r="AG203">
        <v>10.14</v>
      </c>
      <c r="AH203">
        <v>37.03</v>
      </c>
      <c r="AI203">
        <v>63.55</v>
      </c>
      <c r="AJ203">
        <v>23.6</v>
      </c>
      <c r="AK203">
        <v>10.14</v>
      </c>
      <c r="AL203">
        <v>19.12</v>
      </c>
      <c r="AM203">
        <v>102.13</v>
      </c>
      <c r="AN203">
        <v>36.43</v>
      </c>
      <c r="AO203">
        <v>514.23</v>
      </c>
    </row>
    <row r="204" spans="1:41" x14ac:dyDescent="0.25">
      <c r="A204" t="s">
        <v>314</v>
      </c>
      <c r="B204">
        <v>4301</v>
      </c>
      <c r="C204">
        <v>4880</v>
      </c>
      <c r="D204">
        <v>3790</v>
      </c>
      <c r="E204">
        <v>9506</v>
      </c>
      <c r="F204">
        <v>14465</v>
      </c>
      <c r="G204">
        <v>10134</v>
      </c>
      <c r="H204">
        <v>6243</v>
      </c>
      <c r="I204">
        <v>3949</v>
      </c>
      <c r="J204">
        <v>4840</v>
      </c>
      <c r="K204">
        <v>379</v>
      </c>
      <c r="L204">
        <v>1612</v>
      </c>
      <c r="M204">
        <v>413</v>
      </c>
      <c r="N204">
        <f t="shared" si="6"/>
        <v>64512</v>
      </c>
      <c r="O204">
        <v>6</v>
      </c>
      <c r="P204">
        <v>6</v>
      </c>
      <c r="Q204">
        <v>3</v>
      </c>
      <c r="R204">
        <v>1</v>
      </c>
      <c r="S204">
        <v>8</v>
      </c>
      <c r="T204">
        <v>6</v>
      </c>
      <c r="U204">
        <v>20</v>
      </c>
      <c r="V204">
        <v>4</v>
      </c>
      <c r="W204">
        <v>3</v>
      </c>
      <c r="X204">
        <v>8</v>
      </c>
      <c r="Y204">
        <v>3</v>
      </c>
      <c r="Z204">
        <v>11</v>
      </c>
      <c r="AA204">
        <f t="shared" si="7"/>
        <v>79</v>
      </c>
      <c r="AB204" t="s">
        <v>45</v>
      </c>
      <c r="AC204">
        <v>53.3</v>
      </c>
      <c r="AD204">
        <v>59.09</v>
      </c>
      <c r="AE204">
        <v>48.04</v>
      </c>
      <c r="AF204">
        <v>105.1</v>
      </c>
      <c r="AG204">
        <v>155.04</v>
      </c>
      <c r="AH204">
        <v>111.63</v>
      </c>
      <c r="AI204">
        <v>73.42</v>
      </c>
      <c r="AJ204">
        <v>49.68</v>
      </c>
      <c r="AK204">
        <v>58.54</v>
      </c>
      <c r="AL204">
        <v>14.18</v>
      </c>
      <c r="AM204">
        <v>26.26</v>
      </c>
      <c r="AN204">
        <v>14.67</v>
      </c>
      <c r="AO204">
        <v>768.9499999999997</v>
      </c>
    </row>
    <row r="205" spans="1:41" x14ac:dyDescent="0.25">
      <c r="A205" t="s">
        <v>315</v>
      </c>
      <c r="B205">
        <v>4292</v>
      </c>
      <c r="C205">
        <v>424</v>
      </c>
      <c r="D205">
        <v>3379</v>
      </c>
      <c r="E205">
        <v>9747</v>
      </c>
      <c r="F205">
        <v>2149</v>
      </c>
      <c r="G205">
        <v>0</v>
      </c>
      <c r="H205">
        <v>834</v>
      </c>
      <c r="I205">
        <v>8236</v>
      </c>
      <c r="J205">
        <v>5491</v>
      </c>
      <c r="K205">
        <v>0</v>
      </c>
      <c r="L205">
        <v>1059</v>
      </c>
      <c r="M205">
        <v>6065</v>
      </c>
      <c r="N205">
        <f t="shared" si="6"/>
        <v>41676</v>
      </c>
      <c r="O205">
        <v>2</v>
      </c>
      <c r="P205">
        <v>2</v>
      </c>
      <c r="Q205">
        <v>17</v>
      </c>
      <c r="R205">
        <v>7</v>
      </c>
      <c r="S205">
        <v>0</v>
      </c>
      <c r="T205">
        <v>2</v>
      </c>
      <c r="U205">
        <v>5</v>
      </c>
      <c r="V205">
        <v>9</v>
      </c>
      <c r="W205">
        <v>3</v>
      </c>
      <c r="X205">
        <v>3</v>
      </c>
      <c r="Y205">
        <v>2</v>
      </c>
      <c r="Z205">
        <v>4</v>
      </c>
      <c r="AA205">
        <f t="shared" si="7"/>
        <v>56</v>
      </c>
      <c r="AB205" t="s">
        <v>45</v>
      </c>
      <c r="AC205">
        <v>53.01</v>
      </c>
      <c r="AD205">
        <v>14.33</v>
      </c>
      <c r="AE205">
        <v>44.63</v>
      </c>
      <c r="AF205">
        <v>107.81</v>
      </c>
      <c r="AG205">
        <v>31.48</v>
      </c>
      <c r="AH205">
        <v>10.09</v>
      </c>
      <c r="AI205">
        <v>18.579999999999998</v>
      </c>
      <c r="AJ205">
        <v>92.8</v>
      </c>
      <c r="AK205">
        <v>65.05</v>
      </c>
      <c r="AL205">
        <v>10.14</v>
      </c>
      <c r="AM205">
        <v>20.68</v>
      </c>
      <c r="AN205">
        <v>70.84</v>
      </c>
      <c r="AO205">
        <v>539.43999999999994</v>
      </c>
    </row>
    <row r="206" spans="1:41" x14ac:dyDescent="0.25">
      <c r="A206" t="s">
        <v>316</v>
      </c>
      <c r="B206">
        <v>4289</v>
      </c>
      <c r="C206">
        <v>3999</v>
      </c>
      <c r="D206">
        <v>2086</v>
      </c>
      <c r="E206">
        <v>2828</v>
      </c>
      <c r="F206">
        <v>4158</v>
      </c>
      <c r="G206">
        <v>3903</v>
      </c>
      <c r="H206">
        <v>3863</v>
      </c>
      <c r="I206">
        <v>2479</v>
      </c>
      <c r="J206">
        <v>0</v>
      </c>
      <c r="K206">
        <v>1788</v>
      </c>
      <c r="L206">
        <v>690</v>
      </c>
      <c r="M206">
        <v>8606</v>
      </c>
      <c r="N206">
        <f t="shared" si="6"/>
        <v>38689</v>
      </c>
      <c r="O206">
        <v>1</v>
      </c>
      <c r="P206">
        <v>6</v>
      </c>
      <c r="Q206">
        <v>2</v>
      </c>
      <c r="R206">
        <v>3</v>
      </c>
      <c r="S206">
        <v>5</v>
      </c>
      <c r="T206">
        <v>2</v>
      </c>
      <c r="U206">
        <v>2</v>
      </c>
      <c r="V206">
        <v>3</v>
      </c>
      <c r="W206">
        <v>13</v>
      </c>
      <c r="X206">
        <v>4</v>
      </c>
      <c r="Y206">
        <v>7</v>
      </c>
      <c r="Z206">
        <v>4</v>
      </c>
      <c r="AA206">
        <f t="shared" si="7"/>
        <v>52</v>
      </c>
      <c r="AB206" t="s">
        <v>45</v>
      </c>
      <c r="AC206">
        <v>52.93</v>
      </c>
      <c r="AD206">
        <v>50.28</v>
      </c>
      <c r="AE206">
        <v>30.95</v>
      </c>
      <c r="AF206">
        <v>38.42</v>
      </c>
      <c r="AG206">
        <v>51.82</v>
      </c>
      <c r="AH206">
        <v>49.12</v>
      </c>
      <c r="AI206">
        <v>48.72</v>
      </c>
      <c r="AJ206">
        <v>34.93</v>
      </c>
      <c r="AK206">
        <v>10.64</v>
      </c>
      <c r="AL206">
        <v>28.07</v>
      </c>
      <c r="AM206">
        <v>17.239999999999998</v>
      </c>
      <c r="AN206">
        <v>96.25</v>
      </c>
      <c r="AO206">
        <v>509.37</v>
      </c>
    </row>
    <row r="207" spans="1:41" x14ac:dyDescent="0.25">
      <c r="A207" t="s">
        <v>317</v>
      </c>
      <c r="B207">
        <v>4284</v>
      </c>
      <c r="C207">
        <v>9902</v>
      </c>
      <c r="D207">
        <v>6215</v>
      </c>
      <c r="E207">
        <v>3263</v>
      </c>
      <c r="F207">
        <v>1137</v>
      </c>
      <c r="G207">
        <v>2823</v>
      </c>
      <c r="H207">
        <v>3288</v>
      </c>
      <c r="I207">
        <v>7361</v>
      </c>
      <c r="J207">
        <v>12156</v>
      </c>
      <c r="K207">
        <v>4189</v>
      </c>
      <c r="L207">
        <v>3256</v>
      </c>
      <c r="M207">
        <v>804</v>
      </c>
      <c r="N207">
        <f t="shared" si="6"/>
        <v>58678</v>
      </c>
      <c r="O207">
        <v>1</v>
      </c>
      <c r="P207">
        <v>0</v>
      </c>
      <c r="Q207">
        <v>0</v>
      </c>
      <c r="R207">
        <v>6</v>
      </c>
      <c r="S207">
        <v>2</v>
      </c>
      <c r="T207">
        <v>5</v>
      </c>
      <c r="U207">
        <v>1</v>
      </c>
      <c r="V207">
        <v>3</v>
      </c>
      <c r="W207">
        <v>3</v>
      </c>
      <c r="X207">
        <v>7</v>
      </c>
      <c r="Y207">
        <v>4</v>
      </c>
      <c r="Z207">
        <v>6</v>
      </c>
      <c r="AA207">
        <f t="shared" si="7"/>
        <v>38</v>
      </c>
      <c r="AB207" t="s">
        <v>45</v>
      </c>
      <c r="AC207">
        <v>52.88</v>
      </c>
      <c r="AD207">
        <v>109.01</v>
      </c>
      <c r="AE207">
        <v>72.14</v>
      </c>
      <c r="AF207">
        <v>42.92</v>
      </c>
      <c r="AG207">
        <v>21.46</v>
      </c>
      <c r="AH207">
        <v>38.47</v>
      </c>
      <c r="AI207">
        <v>42.92</v>
      </c>
      <c r="AJ207">
        <v>83.75</v>
      </c>
      <c r="AK207">
        <v>131.69999999999999</v>
      </c>
      <c r="AL207">
        <v>52.23</v>
      </c>
      <c r="AM207">
        <v>42.75</v>
      </c>
      <c r="AN207">
        <v>18.329999999999998</v>
      </c>
      <c r="AO207">
        <v>708.56000000000006</v>
      </c>
    </row>
    <row r="208" spans="1:41" x14ac:dyDescent="0.25">
      <c r="A208" t="s">
        <v>319</v>
      </c>
      <c r="B208">
        <v>4255</v>
      </c>
      <c r="C208">
        <v>4819</v>
      </c>
      <c r="D208">
        <v>667</v>
      </c>
      <c r="E208">
        <v>343</v>
      </c>
      <c r="F208">
        <v>10652</v>
      </c>
      <c r="G208">
        <v>3442</v>
      </c>
      <c r="H208">
        <v>1792</v>
      </c>
      <c r="I208">
        <v>6142</v>
      </c>
      <c r="J208">
        <v>2156</v>
      </c>
      <c r="K208">
        <v>647</v>
      </c>
      <c r="L208">
        <v>424</v>
      </c>
      <c r="M208">
        <v>2394</v>
      </c>
      <c r="N208">
        <f t="shared" si="6"/>
        <v>37733</v>
      </c>
      <c r="O208">
        <v>14</v>
      </c>
      <c r="P208">
        <v>1</v>
      </c>
      <c r="Q208">
        <v>0</v>
      </c>
      <c r="R208">
        <v>1</v>
      </c>
      <c r="S208">
        <v>5</v>
      </c>
      <c r="T208">
        <v>11</v>
      </c>
      <c r="U208">
        <v>1</v>
      </c>
      <c r="V208">
        <v>10</v>
      </c>
      <c r="W208">
        <v>0</v>
      </c>
      <c r="X208">
        <v>11</v>
      </c>
      <c r="Y208">
        <v>1</v>
      </c>
      <c r="Z208">
        <v>2</v>
      </c>
      <c r="AA208">
        <f t="shared" si="7"/>
        <v>57</v>
      </c>
      <c r="AB208" t="s">
        <v>45</v>
      </c>
      <c r="AC208">
        <v>53.24</v>
      </c>
      <c r="AD208">
        <v>58.23</v>
      </c>
      <c r="AE208">
        <v>16.66</v>
      </c>
      <c r="AF208">
        <v>13.47</v>
      </c>
      <c r="AG208">
        <v>116.76</v>
      </c>
      <c r="AH208">
        <v>44.96</v>
      </c>
      <c r="AI208">
        <v>27.96</v>
      </c>
      <c r="AJ208">
        <v>71.91</v>
      </c>
      <c r="AK208">
        <v>31.55</v>
      </c>
      <c r="AL208">
        <v>17.010000000000002</v>
      </c>
      <c r="AM208">
        <v>14.28</v>
      </c>
      <c r="AN208">
        <v>34.03</v>
      </c>
      <c r="AO208">
        <v>500.05999999999995</v>
      </c>
    </row>
    <row r="209" spans="1:41" x14ac:dyDescent="0.25">
      <c r="A209" t="s">
        <v>321</v>
      </c>
      <c r="B209">
        <v>4208</v>
      </c>
      <c r="C209">
        <v>8304</v>
      </c>
      <c r="D209">
        <v>2691</v>
      </c>
      <c r="E209">
        <v>2353</v>
      </c>
      <c r="F209">
        <v>606</v>
      </c>
      <c r="G209">
        <v>1501</v>
      </c>
      <c r="H209">
        <v>488</v>
      </c>
      <c r="I209">
        <v>6685</v>
      </c>
      <c r="J209">
        <v>6147</v>
      </c>
      <c r="K209">
        <v>1462</v>
      </c>
      <c r="L209">
        <v>1344</v>
      </c>
      <c r="M209">
        <v>1192</v>
      </c>
      <c r="N209">
        <f t="shared" si="6"/>
        <v>36981</v>
      </c>
      <c r="O209">
        <v>6</v>
      </c>
      <c r="P209">
        <v>1</v>
      </c>
      <c r="Q209">
        <v>3</v>
      </c>
      <c r="R209">
        <v>4</v>
      </c>
      <c r="S209">
        <v>9</v>
      </c>
      <c r="T209">
        <v>10</v>
      </c>
      <c r="U209">
        <v>15</v>
      </c>
      <c r="V209">
        <v>9</v>
      </c>
      <c r="W209">
        <v>1</v>
      </c>
      <c r="X209">
        <v>2</v>
      </c>
      <c r="Y209">
        <v>8</v>
      </c>
      <c r="Z209">
        <v>1</v>
      </c>
      <c r="AA209">
        <f t="shared" si="7"/>
        <v>69</v>
      </c>
      <c r="AB209" t="s">
        <v>45</v>
      </c>
      <c r="AC209">
        <v>52.37</v>
      </c>
      <c r="AD209">
        <v>93.08</v>
      </c>
      <c r="AE209">
        <v>37.049999999999997</v>
      </c>
      <c r="AF209">
        <v>33.72</v>
      </c>
      <c r="AG209">
        <v>16.5</v>
      </c>
      <c r="AH209">
        <v>25.5</v>
      </c>
      <c r="AI209">
        <v>15.62</v>
      </c>
      <c r="AJ209">
        <v>77.290000000000006</v>
      </c>
      <c r="AK209">
        <v>71.510000000000005</v>
      </c>
      <c r="AL209">
        <v>24.71</v>
      </c>
      <c r="AM209">
        <v>23.83</v>
      </c>
      <c r="AN209">
        <v>21.96</v>
      </c>
      <c r="AO209">
        <v>493.14</v>
      </c>
    </row>
    <row r="210" spans="1:41" x14ac:dyDescent="0.25">
      <c r="A210" t="s">
        <v>322</v>
      </c>
      <c r="B210">
        <v>4207</v>
      </c>
      <c r="C210">
        <v>1915</v>
      </c>
      <c r="D210">
        <v>4514</v>
      </c>
      <c r="E210">
        <v>2674</v>
      </c>
      <c r="F210">
        <v>7758</v>
      </c>
      <c r="G210">
        <v>14752</v>
      </c>
      <c r="H210">
        <v>3005</v>
      </c>
      <c r="I210">
        <v>6235</v>
      </c>
      <c r="J210">
        <v>1729</v>
      </c>
      <c r="K210">
        <v>10165</v>
      </c>
      <c r="L210">
        <v>6358</v>
      </c>
      <c r="M210">
        <v>16608</v>
      </c>
      <c r="N210">
        <f t="shared" si="6"/>
        <v>79920</v>
      </c>
      <c r="O210">
        <v>4</v>
      </c>
      <c r="P210">
        <v>6</v>
      </c>
      <c r="Q210">
        <v>0</v>
      </c>
      <c r="R210">
        <v>10</v>
      </c>
      <c r="S210">
        <v>12</v>
      </c>
      <c r="T210">
        <v>4</v>
      </c>
      <c r="U210">
        <v>6</v>
      </c>
      <c r="V210">
        <v>11</v>
      </c>
      <c r="W210">
        <v>6</v>
      </c>
      <c r="X210">
        <v>0</v>
      </c>
      <c r="Y210">
        <v>5</v>
      </c>
      <c r="Z210">
        <v>3</v>
      </c>
      <c r="AA210">
        <f t="shared" si="7"/>
        <v>67</v>
      </c>
      <c r="AB210" t="s">
        <v>45</v>
      </c>
      <c r="AC210">
        <v>52.26</v>
      </c>
      <c r="AD210">
        <v>29.44</v>
      </c>
      <c r="AE210">
        <v>55.13</v>
      </c>
      <c r="AF210">
        <v>37.229999999999997</v>
      </c>
      <c r="AG210">
        <v>88.17</v>
      </c>
      <c r="AH210">
        <v>157.71</v>
      </c>
      <c r="AI210">
        <v>40.340000000000003</v>
      </c>
      <c r="AJ210">
        <v>72.89</v>
      </c>
      <c r="AK210">
        <v>27.58</v>
      </c>
      <c r="AL210">
        <v>111.64</v>
      </c>
      <c r="AM210">
        <v>73.819999999999993</v>
      </c>
      <c r="AN210">
        <v>176.22</v>
      </c>
      <c r="AO210">
        <v>922.43000000000006</v>
      </c>
    </row>
    <row r="211" spans="1:41" x14ac:dyDescent="0.25">
      <c r="A211" t="s">
        <v>323</v>
      </c>
      <c r="B211">
        <v>4202</v>
      </c>
      <c r="C211">
        <v>3199</v>
      </c>
      <c r="D211">
        <v>6685</v>
      </c>
      <c r="E211">
        <v>3873</v>
      </c>
      <c r="F211">
        <v>3376</v>
      </c>
      <c r="G211">
        <v>2746</v>
      </c>
      <c r="H211">
        <v>2752</v>
      </c>
      <c r="I211">
        <v>11337</v>
      </c>
      <c r="J211">
        <v>0</v>
      </c>
      <c r="K211">
        <v>2937</v>
      </c>
      <c r="L211">
        <v>3564</v>
      </c>
      <c r="M211">
        <v>2941</v>
      </c>
      <c r="N211">
        <f t="shared" si="6"/>
        <v>47612</v>
      </c>
      <c r="O211">
        <v>3</v>
      </c>
      <c r="P211">
        <v>0</v>
      </c>
      <c r="Q211">
        <v>4</v>
      </c>
      <c r="R211">
        <v>2</v>
      </c>
      <c r="S211">
        <v>3</v>
      </c>
      <c r="T211">
        <v>4</v>
      </c>
      <c r="U211">
        <v>9</v>
      </c>
      <c r="V211">
        <v>1</v>
      </c>
      <c r="W211">
        <v>1</v>
      </c>
      <c r="X211">
        <v>7</v>
      </c>
      <c r="Y211">
        <v>0</v>
      </c>
      <c r="Z211">
        <v>17</v>
      </c>
      <c r="AA211">
        <f t="shared" si="7"/>
        <v>51</v>
      </c>
      <c r="AB211" t="s">
        <v>45</v>
      </c>
      <c r="AC211">
        <v>52.16</v>
      </c>
      <c r="AD211">
        <v>41.98</v>
      </c>
      <c r="AE211">
        <v>77.040000000000006</v>
      </c>
      <c r="AF211">
        <v>48.82</v>
      </c>
      <c r="AG211">
        <v>43.9</v>
      </c>
      <c r="AH211">
        <v>37.65</v>
      </c>
      <c r="AI211">
        <v>37.96</v>
      </c>
      <c r="AJ211">
        <v>123.41</v>
      </c>
      <c r="AK211">
        <v>10.039999999999999</v>
      </c>
      <c r="AL211">
        <v>39.71</v>
      </c>
      <c r="AM211">
        <v>45.63</v>
      </c>
      <c r="AN211">
        <v>40.25</v>
      </c>
      <c r="AO211">
        <v>598.54999999999995</v>
      </c>
    </row>
    <row r="212" spans="1:41" x14ac:dyDescent="0.25">
      <c r="A212" t="s">
        <v>324</v>
      </c>
      <c r="B212">
        <v>4189</v>
      </c>
      <c r="C212">
        <v>4970</v>
      </c>
      <c r="D212">
        <v>3354</v>
      </c>
      <c r="E212">
        <v>1208</v>
      </c>
      <c r="F212">
        <v>1184</v>
      </c>
      <c r="G212">
        <v>9745</v>
      </c>
      <c r="H212">
        <v>227</v>
      </c>
      <c r="I212">
        <v>1723</v>
      </c>
      <c r="J212">
        <v>4309</v>
      </c>
      <c r="K212">
        <v>3862</v>
      </c>
      <c r="L212">
        <v>9354</v>
      </c>
      <c r="M212">
        <v>1420</v>
      </c>
      <c r="N212">
        <f t="shared" si="6"/>
        <v>45545</v>
      </c>
      <c r="O212">
        <v>0</v>
      </c>
      <c r="P212">
        <v>1</v>
      </c>
      <c r="Q212">
        <v>7</v>
      </c>
      <c r="R212">
        <v>7</v>
      </c>
      <c r="S212">
        <v>6</v>
      </c>
      <c r="T212">
        <v>0</v>
      </c>
      <c r="U212">
        <v>7</v>
      </c>
      <c r="V212">
        <v>6</v>
      </c>
      <c r="W212">
        <v>4</v>
      </c>
      <c r="X212">
        <v>7</v>
      </c>
      <c r="Y212">
        <v>7</v>
      </c>
      <c r="Z212">
        <v>4</v>
      </c>
      <c r="AA212">
        <f t="shared" si="7"/>
        <v>56</v>
      </c>
      <c r="AB212" t="s">
        <v>45</v>
      </c>
      <c r="AC212">
        <v>51.88</v>
      </c>
      <c r="AD212">
        <v>59.74</v>
      </c>
      <c r="AE212">
        <v>43.88</v>
      </c>
      <c r="AF212">
        <v>22.42</v>
      </c>
      <c r="AG212">
        <v>22.13</v>
      </c>
      <c r="AH212">
        <v>107.44</v>
      </c>
      <c r="AI212">
        <v>12.61</v>
      </c>
      <c r="AJ212">
        <v>27.52</v>
      </c>
      <c r="AK212">
        <v>53.28</v>
      </c>
      <c r="AL212">
        <v>48.96</v>
      </c>
      <c r="AM212">
        <v>103.88</v>
      </c>
      <c r="AN212">
        <v>24.39</v>
      </c>
      <c r="AO212">
        <v>578.13</v>
      </c>
    </row>
    <row r="213" spans="1:41" x14ac:dyDescent="0.25">
      <c r="A213" t="s">
        <v>326</v>
      </c>
      <c r="B213">
        <v>4184</v>
      </c>
      <c r="C213">
        <v>12502</v>
      </c>
      <c r="D213">
        <v>2320</v>
      </c>
      <c r="E213">
        <v>8531</v>
      </c>
      <c r="F213">
        <v>102</v>
      </c>
      <c r="G213">
        <v>1849</v>
      </c>
      <c r="H213">
        <v>0</v>
      </c>
      <c r="I213">
        <v>3357</v>
      </c>
      <c r="J213">
        <v>130</v>
      </c>
      <c r="K213">
        <v>7627</v>
      </c>
      <c r="L213">
        <v>2758</v>
      </c>
      <c r="M213">
        <v>0</v>
      </c>
      <c r="N213">
        <f t="shared" si="6"/>
        <v>43360</v>
      </c>
      <c r="O213">
        <v>8</v>
      </c>
      <c r="P213">
        <v>0</v>
      </c>
      <c r="Q213">
        <v>6</v>
      </c>
      <c r="R213">
        <v>15</v>
      </c>
      <c r="S213">
        <v>2</v>
      </c>
      <c r="T213">
        <v>1</v>
      </c>
      <c r="U213">
        <v>7</v>
      </c>
      <c r="V213">
        <v>7</v>
      </c>
      <c r="W213">
        <v>5</v>
      </c>
      <c r="X213">
        <v>14</v>
      </c>
      <c r="Y213">
        <v>2</v>
      </c>
      <c r="Z213">
        <v>4</v>
      </c>
      <c r="AA213">
        <f t="shared" si="7"/>
        <v>71</v>
      </c>
      <c r="AB213" t="s">
        <v>45</v>
      </c>
      <c r="AC213">
        <v>52.23</v>
      </c>
      <c r="AD213">
        <v>135.01</v>
      </c>
      <c r="AE213">
        <v>33.49</v>
      </c>
      <c r="AF213">
        <v>96.05</v>
      </c>
      <c r="AG213">
        <v>11.11</v>
      </c>
      <c r="AH213">
        <v>28.53</v>
      </c>
      <c r="AI213">
        <v>10.34</v>
      </c>
      <c r="AJ213">
        <v>43.91</v>
      </c>
      <c r="AK213">
        <v>11.54</v>
      </c>
      <c r="AL213">
        <v>86.96</v>
      </c>
      <c r="AM213">
        <v>37.67</v>
      </c>
      <c r="AN213">
        <v>10.19</v>
      </c>
      <c r="AO213">
        <v>557.03</v>
      </c>
    </row>
    <row r="214" spans="1:41" x14ac:dyDescent="0.25">
      <c r="A214" t="s">
        <v>328</v>
      </c>
      <c r="B214">
        <v>4172</v>
      </c>
      <c r="C214">
        <v>953</v>
      </c>
      <c r="D214">
        <v>1726</v>
      </c>
      <c r="E214">
        <v>6961</v>
      </c>
      <c r="F214">
        <v>575</v>
      </c>
      <c r="G214">
        <v>525</v>
      </c>
      <c r="H214">
        <v>1349</v>
      </c>
      <c r="I214">
        <v>5898</v>
      </c>
      <c r="J214">
        <v>434</v>
      </c>
      <c r="K214">
        <v>21836</v>
      </c>
      <c r="L214">
        <v>918</v>
      </c>
      <c r="M214">
        <v>2188</v>
      </c>
      <c r="N214">
        <f t="shared" si="6"/>
        <v>47535</v>
      </c>
      <c r="O214">
        <v>3</v>
      </c>
      <c r="P214">
        <v>11</v>
      </c>
      <c r="Q214">
        <v>11</v>
      </c>
      <c r="R214">
        <v>1</v>
      </c>
      <c r="S214">
        <v>11</v>
      </c>
      <c r="T214">
        <v>6</v>
      </c>
      <c r="U214">
        <v>5</v>
      </c>
      <c r="V214">
        <v>2</v>
      </c>
      <c r="W214">
        <v>6</v>
      </c>
      <c r="X214">
        <v>9</v>
      </c>
      <c r="Y214">
        <v>2</v>
      </c>
      <c r="Z214">
        <v>12</v>
      </c>
      <c r="AA214">
        <f t="shared" si="7"/>
        <v>79</v>
      </c>
      <c r="AB214" t="s">
        <v>45</v>
      </c>
      <c r="AC214">
        <v>51.86</v>
      </c>
      <c r="AD214">
        <v>20.07</v>
      </c>
      <c r="AE214">
        <v>27.8</v>
      </c>
      <c r="AF214">
        <v>79.650000000000006</v>
      </c>
      <c r="AG214">
        <v>16.29</v>
      </c>
      <c r="AH214">
        <v>15.54</v>
      </c>
      <c r="AI214">
        <v>23.73</v>
      </c>
      <c r="AJ214">
        <v>69.069999999999993</v>
      </c>
      <c r="AK214">
        <v>14.63</v>
      </c>
      <c r="AL214">
        <v>228.8</v>
      </c>
      <c r="AM214">
        <v>19.27</v>
      </c>
      <c r="AN214">
        <v>32.47</v>
      </c>
      <c r="AO214">
        <v>599.18000000000006</v>
      </c>
    </row>
    <row r="215" spans="1:41" x14ac:dyDescent="0.25">
      <c r="A215" t="s">
        <v>329</v>
      </c>
      <c r="B215">
        <v>4153</v>
      </c>
      <c r="C215">
        <v>4788</v>
      </c>
      <c r="D215">
        <v>1323</v>
      </c>
      <c r="E215">
        <v>7095</v>
      </c>
      <c r="F215">
        <v>7309</v>
      </c>
      <c r="G215">
        <v>933</v>
      </c>
      <c r="H215">
        <v>8006</v>
      </c>
      <c r="I215">
        <v>2501</v>
      </c>
      <c r="J215">
        <v>4308</v>
      </c>
      <c r="K215">
        <v>6200</v>
      </c>
      <c r="L215">
        <v>3484</v>
      </c>
      <c r="M215">
        <v>1438</v>
      </c>
      <c r="N215">
        <f t="shared" si="6"/>
        <v>51538</v>
      </c>
      <c r="O215">
        <v>2</v>
      </c>
      <c r="P215">
        <v>14</v>
      </c>
      <c r="Q215">
        <v>1</v>
      </c>
      <c r="R215">
        <v>15</v>
      </c>
      <c r="S215">
        <v>0</v>
      </c>
      <c r="T215">
        <v>9</v>
      </c>
      <c r="U215">
        <v>4</v>
      </c>
      <c r="V215">
        <v>20</v>
      </c>
      <c r="W215">
        <v>0</v>
      </c>
      <c r="X215">
        <v>3</v>
      </c>
      <c r="Y215">
        <v>14</v>
      </c>
      <c r="Z215">
        <v>2</v>
      </c>
      <c r="AA215">
        <f t="shared" si="7"/>
        <v>84</v>
      </c>
      <c r="AB215" t="s">
        <v>45</v>
      </c>
      <c r="AC215">
        <v>51.62</v>
      </c>
      <c r="AD215">
        <v>58.57</v>
      </c>
      <c r="AE215">
        <v>23.27</v>
      </c>
      <c r="AF215">
        <v>81.69</v>
      </c>
      <c r="AG215">
        <v>83.08</v>
      </c>
      <c r="AH215">
        <v>19.77</v>
      </c>
      <c r="AI215">
        <v>90.25</v>
      </c>
      <c r="AJ215">
        <v>36</v>
      </c>
      <c r="AK215">
        <v>53.07</v>
      </c>
      <c r="AL215">
        <v>72.14</v>
      </c>
      <c r="AM215">
        <v>45.53</v>
      </c>
      <c r="AN215">
        <v>24.47</v>
      </c>
      <c r="AO215">
        <v>639.46</v>
      </c>
    </row>
    <row r="216" spans="1:41" x14ac:dyDescent="0.25">
      <c r="A216" t="s">
        <v>330</v>
      </c>
      <c r="B216">
        <v>4147</v>
      </c>
      <c r="C216">
        <v>1565</v>
      </c>
      <c r="D216">
        <v>0</v>
      </c>
      <c r="E216">
        <v>4221</v>
      </c>
      <c r="F216">
        <v>2093</v>
      </c>
      <c r="G216">
        <v>16198</v>
      </c>
      <c r="H216">
        <v>11058</v>
      </c>
      <c r="I216">
        <v>5099</v>
      </c>
      <c r="J216">
        <v>11800</v>
      </c>
      <c r="K216">
        <v>294</v>
      </c>
      <c r="L216">
        <v>352</v>
      </c>
      <c r="M216">
        <v>687</v>
      </c>
      <c r="N216">
        <f t="shared" si="6"/>
        <v>57514</v>
      </c>
      <c r="O216">
        <v>0</v>
      </c>
      <c r="P216">
        <v>5</v>
      </c>
      <c r="Q216">
        <v>5</v>
      </c>
      <c r="R216">
        <v>6</v>
      </c>
      <c r="S216">
        <v>0</v>
      </c>
      <c r="T216">
        <v>8</v>
      </c>
      <c r="U216">
        <v>5</v>
      </c>
      <c r="V216">
        <v>10</v>
      </c>
      <c r="W216">
        <v>4</v>
      </c>
      <c r="X216">
        <v>4</v>
      </c>
      <c r="Y216">
        <v>11</v>
      </c>
      <c r="Z216">
        <v>9</v>
      </c>
      <c r="AA216">
        <f t="shared" si="7"/>
        <v>67</v>
      </c>
      <c r="AB216" t="s">
        <v>45</v>
      </c>
      <c r="AC216">
        <v>51.46</v>
      </c>
      <c r="AD216">
        <v>25.89</v>
      </c>
      <c r="AE216">
        <v>10.24</v>
      </c>
      <c r="AF216">
        <v>52.5</v>
      </c>
      <c r="AG216">
        <v>30.92</v>
      </c>
      <c r="AH216">
        <v>172.37</v>
      </c>
      <c r="AI216">
        <v>120.82</v>
      </c>
      <c r="AJ216">
        <v>61.48</v>
      </c>
      <c r="AK216">
        <v>128.19</v>
      </c>
      <c r="AL216">
        <v>13.13</v>
      </c>
      <c r="AM216">
        <v>14.06</v>
      </c>
      <c r="AN216">
        <v>17.309999999999999</v>
      </c>
      <c r="AO216">
        <v>698.36999999999978</v>
      </c>
    </row>
    <row r="217" spans="1:41" x14ac:dyDescent="0.25">
      <c r="A217" t="s">
        <v>332</v>
      </c>
      <c r="B217">
        <v>4112</v>
      </c>
      <c r="C217">
        <v>4410</v>
      </c>
      <c r="D217">
        <v>0</v>
      </c>
      <c r="E217">
        <v>1388</v>
      </c>
      <c r="F217">
        <v>3005</v>
      </c>
      <c r="G217">
        <v>1780</v>
      </c>
      <c r="H217">
        <v>9936</v>
      </c>
      <c r="I217">
        <v>1948</v>
      </c>
      <c r="J217">
        <v>10384</v>
      </c>
      <c r="K217">
        <v>1604</v>
      </c>
      <c r="L217">
        <v>12609</v>
      </c>
      <c r="M217">
        <v>5661</v>
      </c>
      <c r="N217">
        <f t="shared" si="6"/>
        <v>56837</v>
      </c>
      <c r="O217">
        <v>5</v>
      </c>
      <c r="P217">
        <v>4</v>
      </c>
      <c r="Q217">
        <v>1</v>
      </c>
      <c r="R217">
        <v>8</v>
      </c>
      <c r="S217">
        <v>3</v>
      </c>
      <c r="T217">
        <v>5</v>
      </c>
      <c r="U217">
        <v>1</v>
      </c>
      <c r="V217">
        <v>3</v>
      </c>
      <c r="W217">
        <v>3</v>
      </c>
      <c r="X217">
        <v>0</v>
      </c>
      <c r="Y217">
        <v>5</v>
      </c>
      <c r="Z217">
        <v>1</v>
      </c>
      <c r="AA217">
        <f t="shared" si="7"/>
        <v>39</v>
      </c>
      <c r="AB217" t="s">
        <v>45</v>
      </c>
      <c r="AC217">
        <v>51.36</v>
      </c>
      <c r="AD217">
        <v>54.29</v>
      </c>
      <c r="AE217">
        <v>10.039999999999999</v>
      </c>
      <c r="AF217">
        <v>24.27</v>
      </c>
      <c r="AG217">
        <v>40.19</v>
      </c>
      <c r="AH217">
        <v>28.04</v>
      </c>
      <c r="AI217">
        <v>109.4</v>
      </c>
      <c r="AJ217">
        <v>29.62</v>
      </c>
      <c r="AK217">
        <v>113.98</v>
      </c>
      <c r="AL217">
        <v>26.03</v>
      </c>
      <c r="AM217">
        <v>136.33000000000001</v>
      </c>
      <c r="AN217">
        <v>66.650000000000006</v>
      </c>
      <c r="AO217">
        <v>690.2</v>
      </c>
    </row>
    <row r="218" spans="1:41" x14ac:dyDescent="0.25">
      <c r="A218" t="s">
        <v>337</v>
      </c>
      <c r="B218">
        <v>4043</v>
      </c>
      <c r="C218">
        <v>0</v>
      </c>
      <c r="D218">
        <v>5407</v>
      </c>
      <c r="E218">
        <v>3121</v>
      </c>
      <c r="F218">
        <v>1862</v>
      </c>
      <c r="G218">
        <v>4594</v>
      </c>
      <c r="H218">
        <v>2684</v>
      </c>
      <c r="I218">
        <v>1776</v>
      </c>
      <c r="J218">
        <v>2773</v>
      </c>
      <c r="K218">
        <v>4914</v>
      </c>
      <c r="L218">
        <v>7151</v>
      </c>
      <c r="M218">
        <v>5906</v>
      </c>
      <c r="N218">
        <f t="shared" si="6"/>
        <v>44231</v>
      </c>
      <c r="O218">
        <v>0</v>
      </c>
      <c r="P218">
        <v>3</v>
      </c>
      <c r="Q218">
        <v>2</v>
      </c>
      <c r="R218">
        <v>5</v>
      </c>
      <c r="S218">
        <v>3</v>
      </c>
      <c r="T218">
        <v>5</v>
      </c>
      <c r="U218">
        <v>1</v>
      </c>
      <c r="V218">
        <v>7</v>
      </c>
      <c r="W218">
        <v>1</v>
      </c>
      <c r="X218">
        <v>4</v>
      </c>
      <c r="Y218">
        <v>8</v>
      </c>
      <c r="Z218">
        <v>2</v>
      </c>
      <c r="AA218">
        <f t="shared" si="7"/>
        <v>41</v>
      </c>
      <c r="AB218" t="s">
        <v>45</v>
      </c>
      <c r="AC218">
        <v>50.42</v>
      </c>
      <c r="AD218">
        <v>10.14</v>
      </c>
      <c r="AE218">
        <v>64.16</v>
      </c>
      <c r="AF218">
        <v>41.45</v>
      </c>
      <c r="AG218">
        <v>28.76</v>
      </c>
      <c r="AH218">
        <v>56.18</v>
      </c>
      <c r="AI218">
        <v>36.880000000000003</v>
      </c>
      <c r="AJ218">
        <v>28.1</v>
      </c>
      <c r="AK218">
        <v>37.770000000000003</v>
      </c>
      <c r="AL218">
        <v>59.33</v>
      </c>
      <c r="AM218">
        <v>81.900000000000006</v>
      </c>
      <c r="AN218">
        <v>69.150000000000006</v>
      </c>
      <c r="AO218">
        <v>564.24</v>
      </c>
    </row>
    <row r="219" spans="1:41" x14ac:dyDescent="0.25">
      <c r="A219" t="s">
        <v>339</v>
      </c>
      <c r="B219">
        <v>4026</v>
      </c>
      <c r="C219">
        <v>4110</v>
      </c>
      <c r="D219">
        <v>5571</v>
      </c>
      <c r="E219">
        <v>5865</v>
      </c>
      <c r="F219">
        <v>157</v>
      </c>
      <c r="G219">
        <v>4463</v>
      </c>
      <c r="H219">
        <v>5055</v>
      </c>
      <c r="I219">
        <v>4421</v>
      </c>
      <c r="J219">
        <v>4791</v>
      </c>
      <c r="K219">
        <v>329</v>
      </c>
      <c r="L219">
        <v>2979</v>
      </c>
      <c r="M219">
        <v>5717</v>
      </c>
      <c r="N219">
        <f t="shared" si="6"/>
        <v>47484</v>
      </c>
      <c r="O219">
        <v>4</v>
      </c>
      <c r="P219">
        <v>3</v>
      </c>
      <c r="Q219">
        <v>10</v>
      </c>
      <c r="R219">
        <v>12</v>
      </c>
      <c r="S219">
        <v>3</v>
      </c>
      <c r="T219">
        <v>8</v>
      </c>
      <c r="U219">
        <v>8</v>
      </c>
      <c r="V219">
        <v>10</v>
      </c>
      <c r="W219">
        <v>1</v>
      </c>
      <c r="X219">
        <v>3</v>
      </c>
      <c r="Y219">
        <v>3</v>
      </c>
      <c r="Z219">
        <v>9</v>
      </c>
      <c r="AA219">
        <f t="shared" si="7"/>
        <v>74</v>
      </c>
      <c r="AB219" t="s">
        <v>45</v>
      </c>
      <c r="AC219">
        <v>50.45</v>
      </c>
      <c r="AD219">
        <v>51.24</v>
      </c>
      <c r="AE219">
        <v>66.2</v>
      </c>
      <c r="AF219">
        <v>69.239999999999995</v>
      </c>
      <c r="AG219">
        <v>11.71</v>
      </c>
      <c r="AH219">
        <v>55.02</v>
      </c>
      <c r="AI219">
        <v>60.94</v>
      </c>
      <c r="AJ219">
        <v>54.7</v>
      </c>
      <c r="AK219">
        <v>57.95</v>
      </c>
      <c r="AL219">
        <v>13.43</v>
      </c>
      <c r="AM219">
        <v>39.93</v>
      </c>
      <c r="AN219">
        <v>67.61</v>
      </c>
      <c r="AO219">
        <v>598.41999999999996</v>
      </c>
    </row>
    <row r="220" spans="1:41" x14ac:dyDescent="0.25">
      <c r="A220" t="s">
        <v>340</v>
      </c>
      <c r="B220">
        <v>4024</v>
      </c>
      <c r="C220">
        <v>5442</v>
      </c>
      <c r="D220">
        <v>2209</v>
      </c>
      <c r="E220">
        <v>444</v>
      </c>
      <c r="F220">
        <v>4737</v>
      </c>
      <c r="G220">
        <v>919</v>
      </c>
      <c r="H220">
        <v>1022</v>
      </c>
      <c r="I220">
        <v>16196</v>
      </c>
      <c r="J220">
        <v>2841</v>
      </c>
      <c r="K220">
        <v>4125</v>
      </c>
      <c r="L220">
        <v>2933</v>
      </c>
      <c r="M220">
        <v>4680</v>
      </c>
      <c r="N220">
        <f t="shared" si="6"/>
        <v>49572</v>
      </c>
      <c r="O220">
        <v>3</v>
      </c>
      <c r="P220">
        <v>2</v>
      </c>
      <c r="Q220">
        <v>3</v>
      </c>
      <c r="R220">
        <v>1</v>
      </c>
      <c r="S220">
        <v>2</v>
      </c>
      <c r="T220">
        <v>11</v>
      </c>
      <c r="U220">
        <v>4</v>
      </c>
      <c r="V220">
        <v>4</v>
      </c>
      <c r="W220">
        <v>11</v>
      </c>
      <c r="X220">
        <v>0</v>
      </c>
      <c r="Y220">
        <v>2</v>
      </c>
      <c r="Z220">
        <v>2</v>
      </c>
      <c r="AA220">
        <f t="shared" si="7"/>
        <v>45</v>
      </c>
      <c r="AB220" t="s">
        <v>45</v>
      </c>
      <c r="AC220">
        <v>50.38</v>
      </c>
      <c r="AD220">
        <v>64.510000000000005</v>
      </c>
      <c r="AE220">
        <v>32.229999999999997</v>
      </c>
      <c r="AF220">
        <v>14.48</v>
      </c>
      <c r="AG220">
        <v>57.46</v>
      </c>
      <c r="AH220">
        <v>19.73</v>
      </c>
      <c r="AI220">
        <v>20.41</v>
      </c>
      <c r="AJ220">
        <v>172.15</v>
      </c>
      <c r="AK220">
        <v>38.950000000000003</v>
      </c>
      <c r="AL220">
        <v>51.24</v>
      </c>
      <c r="AM220">
        <v>39.42</v>
      </c>
      <c r="AN220">
        <v>56.89</v>
      </c>
      <c r="AO220">
        <v>617.84999999999991</v>
      </c>
    </row>
    <row r="221" spans="1:41" x14ac:dyDescent="0.25">
      <c r="A221" t="s">
        <v>341</v>
      </c>
      <c r="B221">
        <v>4017</v>
      </c>
      <c r="C221">
        <v>0</v>
      </c>
      <c r="D221">
        <v>5871</v>
      </c>
      <c r="E221">
        <v>3038</v>
      </c>
      <c r="F221">
        <v>6883</v>
      </c>
      <c r="G221">
        <v>0</v>
      </c>
      <c r="H221">
        <v>6398</v>
      </c>
      <c r="I221">
        <v>16</v>
      </c>
      <c r="J221">
        <v>937</v>
      </c>
      <c r="K221">
        <v>1336</v>
      </c>
      <c r="L221">
        <v>7508</v>
      </c>
      <c r="M221">
        <v>4049</v>
      </c>
      <c r="N221">
        <f t="shared" si="6"/>
        <v>40053</v>
      </c>
      <c r="O221">
        <v>1</v>
      </c>
      <c r="P221">
        <v>1</v>
      </c>
      <c r="Q221">
        <v>9</v>
      </c>
      <c r="R221">
        <v>2</v>
      </c>
      <c r="S221">
        <v>8</v>
      </c>
      <c r="T221">
        <v>9</v>
      </c>
      <c r="U221">
        <v>2</v>
      </c>
      <c r="V221">
        <v>11</v>
      </c>
      <c r="W221">
        <v>2</v>
      </c>
      <c r="X221">
        <v>14</v>
      </c>
      <c r="Y221">
        <v>0</v>
      </c>
      <c r="Z221">
        <v>4</v>
      </c>
      <c r="AA221">
        <f t="shared" si="7"/>
        <v>63</v>
      </c>
      <c r="AB221" t="s">
        <v>45</v>
      </c>
      <c r="AC221">
        <v>50.21</v>
      </c>
      <c r="AD221">
        <v>10.039999999999999</v>
      </c>
      <c r="AE221">
        <v>69.150000000000006</v>
      </c>
      <c r="AF221">
        <v>40.47</v>
      </c>
      <c r="AG221">
        <v>79.22</v>
      </c>
      <c r="AH221">
        <v>10.44</v>
      </c>
      <c r="AI221">
        <v>74.069999999999993</v>
      </c>
      <c r="AJ221">
        <v>10.7</v>
      </c>
      <c r="AK221">
        <v>19.46</v>
      </c>
      <c r="AL221">
        <v>24.05</v>
      </c>
      <c r="AM221">
        <v>85.07</v>
      </c>
      <c r="AN221">
        <v>50.68</v>
      </c>
      <c r="AO221">
        <v>523.55999999999995</v>
      </c>
    </row>
    <row r="222" spans="1:41" x14ac:dyDescent="0.25">
      <c r="A222" t="s">
        <v>342</v>
      </c>
      <c r="B222">
        <v>4016</v>
      </c>
      <c r="C222">
        <v>185</v>
      </c>
      <c r="D222">
        <v>7709</v>
      </c>
      <c r="E222">
        <v>3607</v>
      </c>
      <c r="F222">
        <v>9178</v>
      </c>
      <c r="G222">
        <v>8931</v>
      </c>
      <c r="H222">
        <v>118</v>
      </c>
      <c r="I222">
        <v>2634</v>
      </c>
      <c r="J222">
        <v>1357</v>
      </c>
      <c r="K222">
        <v>5221</v>
      </c>
      <c r="L222">
        <v>2869</v>
      </c>
      <c r="M222">
        <v>10433</v>
      </c>
      <c r="N222">
        <f t="shared" si="6"/>
        <v>56258</v>
      </c>
      <c r="O222">
        <v>4</v>
      </c>
      <c r="P222">
        <v>7</v>
      </c>
      <c r="Q222">
        <v>2</v>
      </c>
      <c r="R222">
        <v>0</v>
      </c>
      <c r="S222">
        <v>3</v>
      </c>
      <c r="T222">
        <v>0</v>
      </c>
      <c r="U222">
        <v>4</v>
      </c>
      <c r="V222">
        <v>1</v>
      </c>
      <c r="W222">
        <v>1</v>
      </c>
      <c r="X222">
        <v>1</v>
      </c>
      <c r="Y222">
        <v>3</v>
      </c>
      <c r="Z222">
        <v>3</v>
      </c>
      <c r="AA222">
        <f t="shared" si="7"/>
        <v>29</v>
      </c>
      <c r="AB222" t="s">
        <v>45</v>
      </c>
      <c r="AC222">
        <v>50.35</v>
      </c>
      <c r="AD222">
        <v>12.19</v>
      </c>
      <c r="AE222">
        <v>87.18</v>
      </c>
      <c r="AF222">
        <v>46.06</v>
      </c>
      <c r="AG222">
        <v>101.92</v>
      </c>
      <c r="AH222">
        <v>99.3</v>
      </c>
      <c r="AI222">
        <v>11.37</v>
      </c>
      <c r="AJ222">
        <v>36.380000000000003</v>
      </c>
      <c r="AK222">
        <v>23.61</v>
      </c>
      <c r="AL222">
        <v>62.25</v>
      </c>
      <c r="AM222">
        <v>38.83</v>
      </c>
      <c r="AN222">
        <v>114.47</v>
      </c>
      <c r="AO222">
        <v>683.91000000000008</v>
      </c>
    </row>
    <row r="223" spans="1:41" x14ac:dyDescent="0.25">
      <c r="A223" t="s">
        <v>343</v>
      </c>
      <c r="B223">
        <v>4010</v>
      </c>
      <c r="C223">
        <v>3320</v>
      </c>
      <c r="D223">
        <v>3702</v>
      </c>
      <c r="E223">
        <v>6474</v>
      </c>
      <c r="F223">
        <v>1619</v>
      </c>
      <c r="G223">
        <v>4474</v>
      </c>
      <c r="H223">
        <v>187</v>
      </c>
      <c r="I223">
        <v>2467</v>
      </c>
      <c r="J223">
        <v>2713</v>
      </c>
      <c r="K223">
        <v>1576</v>
      </c>
      <c r="L223">
        <v>2138</v>
      </c>
      <c r="M223">
        <v>7036</v>
      </c>
      <c r="N223">
        <f t="shared" si="6"/>
        <v>39716</v>
      </c>
      <c r="O223">
        <v>5</v>
      </c>
      <c r="P223">
        <v>5</v>
      </c>
      <c r="Q223">
        <v>7</v>
      </c>
      <c r="R223">
        <v>1</v>
      </c>
      <c r="S223">
        <v>2</v>
      </c>
      <c r="T223">
        <v>7</v>
      </c>
      <c r="U223">
        <v>11</v>
      </c>
      <c r="V223">
        <v>1</v>
      </c>
      <c r="W223">
        <v>4</v>
      </c>
      <c r="X223">
        <v>1</v>
      </c>
      <c r="Y223">
        <v>2</v>
      </c>
      <c r="Z223">
        <v>1</v>
      </c>
      <c r="AA223">
        <f t="shared" si="7"/>
        <v>47</v>
      </c>
      <c r="AB223" t="s">
        <v>45</v>
      </c>
      <c r="AC223">
        <v>50.34</v>
      </c>
      <c r="AD223">
        <v>43.44</v>
      </c>
      <c r="AE223">
        <v>47.36</v>
      </c>
      <c r="AF223">
        <v>74.78</v>
      </c>
      <c r="AG223">
        <v>26.28</v>
      </c>
      <c r="AH223">
        <v>55.08</v>
      </c>
      <c r="AI223">
        <v>12.41</v>
      </c>
      <c r="AJ223">
        <v>34.71</v>
      </c>
      <c r="AK223">
        <v>37.32</v>
      </c>
      <c r="AL223">
        <v>25.8</v>
      </c>
      <c r="AM223">
        <v>31.47</v>
      </c>
      <c r="AN223">
        <v>80.400000000000006</v>
      </c>
      <c r="AO223">
        <v>519.39</v>
      </c>
    </row>
    <row r="224" spans="1:41" x14ac:dyDescent="0.25">
      <c r="A224" t="s">
        <v>346</v>
      </c>
      <c r="B224">
        <v>3961</v>
      </c>
      <c r="C224">
        <v>2279</v>
      </c>
      <c r="D224">
        <v>2021</v>
      </c>
      <c r="E224">
        <v>7266</v>
      </c>
      <c r="F224">
        <v>8535</v>
      </c>
      <c r="G224">
        <v>2477</v>
      </c>
      <c r="H224">
        <v>2724</v>
      </c>
      <c r="I224">
        <v>1762</v>
      </c>
      <c r="J224">
        <v>2785</v>
      </c>
      <c r="K224">
        <v>11609</v>
      </c>
      <c r="L224">
        <v>2991</v>
      </c>
      <c r="M224">
        <v>373</v>
      </c>
      <c r="N224">
        <f t="shared" si="6"/>
        <v>48783</v>
      </c>
      <c r="O224">
        <v>0</v>
      </c>
      <c r="P224">
        <v>2</v>
      </c>
      <c r="Q224">
        <v>1</v>
      </c>
      <c r="R224">
        <v>0</v>
      </c>
      <c r="S224">
        <v>2</v>
      </c>
      <c r="T224">
        <v>3</v>
      </c>
      <c r="U224">
        <v>2</v>
      </c>
      <c r="V224">
        <v>4</v>
      </c>
      <c r="W224">
        <v>5</v>
      </c>
      <c r="X224">
        <v>6</v>
      </c>
      <c r="Y224">
        <v>0</v>
      </c>
      <c r="Z224">
        <v>5</v>
      </c>
      <c r="AA224">
        <f t="shared" si="7"/>
        <v>30</v>
      </c>
      <c r="AB224" t="s">
        <v>45</v>
      </c>
      <c r="AC224">
        <v>49.6</v>
      </c>
      <c r="AD224">
        <v>32.880000000000003</v>
      </c>
      <c r="AE224">
        <v>30.25</v>
      </c>
      <c r="AF224">
        <v>82.65</v>
      </c>
      <c r="AG224">
        <v>95.44</v>
      </c>
      <c r="AH224">
        <v>34.909999999999997</v>
      </c>
      <c r="AI224">
        <v>37.33</v>
      </c>
      <c r="AJ224">
        <v>27.81</v>
      </c>
      <c r="AK224">
        <v>38.090000000000003</v>
      </c>
      <c r="AL224">
        <v>126.38</v>
      </c>
      <c r="AM224">
        <v>39.9</v>
      </c>
      <c r="AN224">
        <v>13.97</v>
      </c>
      <c r="AO224">
        <v>609.21</v>
      </c>
    </row>
    <row r="225" spans="1:41" x14ac:dyDescent="0.25">
      <c r="A225" t="s">
        <v>348</v>
      </c>
      <c r="B225">
        <v>3931</v>
      </c>
      <c r="C225">
        <v>5646</v>
      </c>
      <c r="D225">
        <v>10102</v>
      </c>
      <c r="E225">
        <v>8436</v>
      </c>
      <c r="F225">
        <v>10429</v>
      </c>
      <c r="G225">
        <v>717</v>
      </c>
      <c r="H225">
        <v>3570</v>
      </c>
      <c r="I225">
        <v>683</v>
      </c>
      <c r="J225">
        <v>453</v>
      </c>
      <c r="K225">
        <v>5891</v>
      </c>
      <c r="L225">
        <v>1181</v>
      </c>
      <c r="M225">
        <v>9750</v>
      </c>
      <c r="N225">
        <f t="shared" si="6"/>
        <v>60789</v>
      </c>
      <c r="O225">
        <v>19</v>
      </c>
      <c r="P225">
        <v>2</v>
      </c>
      <c r="Q225">
        <v>1</v>
      </c>
      <c r="R225">
        <v>0</v>
      </c>
      <c r="S225">
        <v>5</v>
      </c>
      <c r="T225">
        <v>5</v>
      </c>
      <c r="U225">
        <v>8</v>
      </c>
      <c r="V225">
        <v>1</v>
      </c>
      <c r="W225">
        <v>6</v>
      </c>
      <c r="X225">
        <v>5</v>
      </c>
      <c r="Y225">
        <v>2</v>
      </c>
      <c r="Z225">
        <v>3</v>
      </c>
      <c r="AA225">
        <f t="shared" si="7"/>
        <v>57</v>
      </c>
      <c r="AB225" t="s">
        <v>45</v>
      </c>
      <c r="AC225">
        <v>50.25</v>
      </c>
      <c r="AD225">
        <v>66.55</v>
      </c>
      <c r="AE225">
        <v>111.06</v>
      </c>
      <c r="AF225">
        <v>94.35</v>
      </c>
      <c r="AG225">
        <v>114.53</v>
      </c>
      <c r="AH225">
        <v>17.41</v>
      </c>
      <c r="AI225">
        <v>46.09</v>
      </c>
      <c r="AJ225">
        <v>16.87</v>
      </c>
      <c r="AK225">
        <v>14.82</v>
      </c>
      <c r="AL225">
        <v>69.150000000000006</v>
      </c>
      <c r="AM225">
        <v>21.9</v>
      </c>
      <c r="AN225">
        <v>107.64</v>
      </c>
      <c r="AO225">
        <v>730.62</v>
      </c>
    </row>
    <row r="226" spans="1:41" x14ac:dyDescent="0.25">
      <c r="A226" t="s">
        <v>349</v>
      </c>
      <c r="B226">
        <v>3930</v>
      </c>
      <c r="C226">
        <v>960</v>
      </c>
      <c r="D226">
        <v>2547</v>
      </c>
      <c r="E226">
        <v>2349</v>
      </c>
      <c r="F226">
        <v>3157</v>
      </c>
      <c r="G226">
        <v>2155</v>
      </c>
      <c r="H226">
        <v>17932</v>
      </c>
      <c r="I226">
        <v>780</v>
      </c>
      <c r="J226">
        <v>3737</v>
      </c>
      <c r="K226">
        <v>7899</v>
      </c>
      <c r="L226">
        <v>3674</v>
      </c>
      <c r="M226">
        <v>2227</v>
      </c>
      <c r="N226">
        <f t="shared" si="6"/>
        <v>51347</v>
      </c>
      <c r="O226">
        <v>6</v>
      </c>
      <c r="P226">
        <v>4</v>
      </c>
      <c r="Q226">
        <v>4</v>
      </c>
      <c r="R226">
        <v>7</v>
      </c>
      <c r="S226">
        <v>0</v>
      </c>
      <c r="T226">
        <v>3</v>
      </c>
      <c r="U226">
        <v>6</v>
      </c>
      <c r="V226">
        <v>4</v>
      </c>
      <c r="W226">
        <v>8</v>
      </c>
      <c r="X226">
        <v>0</v>
      </c>
      <c r="Y226">
        <v>5</v>
      </c>
      <c r="Z226">
        <v>2</v>
      </c>
      <c r="AA226">
        <f t="shared" si="7"/>
        <v>49</v>
      </c>
      <c r="AB226" t="s">
        <v>45</v>
      </c>
      <c r="AC226">
        <v>49.59</v>
      </c>
      <c r="AD226">
        <v>19.79</v>
      </c>
      <c r="AE226">
        <v>35.659999999999997</v>
      </c>
      <c r="AF226">
        <v>33.83</v>
      </c>
      <c r="AG226">
        <v>41.56</v>
      </c>
      <c r="AH226">
        <v>31.69</v>
      </c>
      <c r="AI226">
        <v>189.61</v>
      </c>
      <c r="AJ226">
        <v>17.989999999999998</v>
      </c>
      <c r="AK226">
        <v>47.76</v>
      </c>
      <c r="AL226">
        <v>88.98</v>
      </c>
      <c r="AM226">
        <v>46.98</v>
      </c>
      <c r="AN226">
        <v>32.36</v>
      </c>
      <c r="AO226">
        <v>635.80000000000007</v>
      </c>
    </row>
    <row r="227" spans="1:41" x14ac:dyDescent="0.25">
      <c r="A227" t="s">
        <v>351</v>
      </c>
      <c r="B227">
        <v>3920</v>
      </c>
      <c r="C227">
        <v>0</v>
      </c>
      <c r="D227">
        <v>0</v>
      </c>
      <c r="E227">
        <v>8197</v>
      </c>
      <c r="F227">
        <v>8114</v>
      </c>
      <c r="G227">
        <v>3107</v>
      </c>
      <c r="H227">
        <v>3330</v>
      </c>
      <c r="I227">
        <v>5883</v>
      </c>
      <c r="J227">
        <v>104</v>
      </c>
      <c r="K227">
        <v>4512</v>
      </c>
      <c r="L227">
        <v>2989</v>
      </c>
      <c r="M227">
        <v>5118</v>
      </c>
      <c r="N227">
        <f t="shared" si="6"/>
        <v>45274</v>
      </c>
      <c r="O227">
        <v>1</v>
      </c>
      <c r="P227">
        <v>7</v>
      </c>
      <c r="Q227">
        <v>1</v>
      </c>
      <c r="R227">
        <v>1</v>
      </c>
      <c r="S227">
        <v>3</v>
      </c>
      <c r="T227">
        <v>2</v>
      </c>
      <c r="U227">
        <v>9</v>
      </c>
      <c r="V227">
        <v>4</v>
      </c>
      <c r="W227">
        <v>3</v>
      </c>
      <c r="X227">
        <v>5</v>
      </c>
      <c r="Y227">
        <v>2</v>
      </c>
      <c r="Z227">
        <v>3</v>
      </c>
      <c r="AA227">
        <f t="shared" si="7"/>
        <v>41</v>
      </c>
      <c r="AB227" t="s">
        <v>45</v>
      </c>
      <c r="AC227">
        <v>49.24</v>
      </c>
      <c r="AD227">
        <v>10.34</v>
      </c>
      <c r="AE227">
        <v>10.039999999999999</v>
      </c>
      <c r="AF227">
        <v>92.01</v>
      </c>
      <c r="AG227">
        <v>91.28</v>
      </c>
      <c r="AH227">
        <v>41.16</v>
      </c>
      <c r="AI227">
        <v>43.74</v>
      </c>
      <c r="AJ227">
        <v>69.02</v>
      </c>
      <c r="AK227">
        <v>11.18</v>
      </c>
      <c r="AL227">
        <v>55.36</v>
      </c>
      <c r="AM227">
        <v>39.979999999999997</v>
      </c>
      <c r="AN227">
        <v>61.32</v>
      </c>
      <c r="AO227">
        <v>574.67000000000007</v>
      </c>
    </row>
    <row r="228" spans="1:41" x14ac:dyDescent="0.25">
      <c r="A228" t="s">
        <v>352</v>
      </c>
      <c r="B228">
        <v>3903</v>
      </c>
      <c r="C228">
        <v>2001</v>
      </c>
      <c r="D228">
        <v>10949</v>
      </c>
      <c r="E228">
        <v>2566</v>
      </c>
      <c r="F228">
        <v>2515</v>
      </c>
      <c r="G228">
        <v>5229</v>
      </c>
      <c r="H228">
        <v>2218</v>
      </c>
      <c r="I228">
        <v>1276</v>
      </c>
      <c r="J228">
        <v>685</v>
      </c>
      <c r="K228">
        <v>4090</v>
      </c>
      <c r="L228">
        <v>7880</v>
      </c>
      <c r="M228">
        <v>4593</v>
      </c>
      <c r="N228">
        <f t="shared" si="6"/>
        <v>47905</v>
      </c>
      <c r="O228">
        <v>2</v>
      </c>
      <c r="P228">
        <v>16</v>
      </c>
      <c r="Q228">
        <v>2</v>
      </c>
      <c r="R228">
        <v>10</v>
      </c>
      <c r="S228">
        <v>3</v>
      </c>
      <c r="T228">
        <v>2</v>
      </c>
      <c r="U228">
        <v>3</v>
      </c>
      <c r="V228">
        <v>2</v>
      </c>
      <c r="W228">
        <v>5</v>
      </c>
      <c r="X228">
        <v>1</v>
      </c>
      <c r="Y228">
        <v>4</v>
      </c>
      <c r="Z228">
        <v>3</v>
      </c>
      <c r="AA228">
        <f t="shared" si="7"/>
        <v>53</v>
      </c>
      <c r="AB228" t="s">
        <v>45</v>
      </c>
      <c r="AC228">
        <v>49.12</v>
      </c>
      <c r="AD228">
        <v>30.8</v>
      </c>
      <c r="AE228">
        <v>119.58</v>
      </c>
      <c r="AF228">
        <v>36.15</v>
      </c>
      <c r="AG228">
        <v>35.29</v>
      </c>
      <c r="AH228">
        <v>62.38</v>
      </c>
      <c r="AI228">
        <v>32.32</v>
      </c>
      <c r="AJ228">
        <v>22.85</v>
      </c>
      <c r="AK228">
        <v>17.09</v>
      </c>
      <c r="AL228">
        <v>50.94</v>
      </c>
      <c r="AM228">
        <v>88.99</v>
      </c>
      <c r="AN228">
        <v>56.07</v>
      </c>
      <c r="AO228">
        <v>601.58000000000004</v>
      </c>
    </row>
    <row r="229" spans="1:41" x14ac:dyDescent="0.25">
      <c r="A229" t="s">
        <v>353</v>
      </c>
      <c r="B229">
        <v>3883</v>
      </c>
      <c r="C229">
        <v>3152</v>
      </c>
      <c r="D229">
        <v>2982</v>
      </c>
      <c r="E229">
        <v>1400</v>
      </c>
      <c r="F229">
        <v>1063</v>
      </c>
      <c r="G229">
        <v>3772</v>
      </c>
      <c r="H229">
        <v>707</v>
      </c>
      <c r="I229">
        <v>1088</v>
      </c>
      <c r="J229">
        <v>2446</v>
      </c>
      <c r="K229">
        <v>9462</v>
      </c>
      <c r="L229">
        <v>8996</v>
      </c>
      <c r="M229">
        <v>868</v>
      </c>
      <c r="N229">
        <f t="shared" si="6"/>
        <v>39819</v>
      </c>
      <c r="O229">
        <v>11</v>
      </c>
      <c r="P229">
        <v>3</v>
      </c>
      <c r="Q229">
        <v>1</v>
      </c>
      <c r="R229">
        <v>0</v>
      </c>
      <c r="S229">
        <v>4</v>
      </c>
      <c r="T229">
        <v>2</v>
      </c>
      <c r="U229">
        <v>0</v>
      </c>
      <c r="V229">
        <v>1</v>
      </c>
      <c r="W229">
        <v>1</v>
      </c>
      <c r="X229">
        <v>5</v>
      </c>
      <c r="Y229">
        <v>8</v>
      </c>
      <c r="Z229">
        <v>6</v>
      </c>
      <c r="AA229">
        <f t="shared" si="7"/>
        <v>42</v>
      </c>
      <c r="AB229" t="s">
        <v>45</v>
      </c>
      <c r="AC229">
        <v>49.37</v>
      </c>
      <c r="AD229">
        <v>41.66</v>
      </c>
      <c r="AE229">
        <v>39.86</v>
      </c>
      <c r="AF229">
        <v>23.99</v>
      </c>
      <c r="AG229">
        <v>20.82</v>
      </c>
      <c r="AH229">
        <v>47.81</v>
      </c>
      <c r="AI229">
        <v>17.059999999999999</v>
      </c>
      <c r="AJ229">
        <v>20.92</v>
      </c>
      <c r="AK229">
        <v>34.5</v>
      </c>
      <c r="AL229">
        <v>104.86</v>
      </c>
      <c r="AM229">
        <v>100.35</v>
      </c>
      <c r="AN229">
        <v>18.97</v>
      </c>
      <c r="AO229">
        <v>520.17000000000007</v>
      </c>
    </row>
    <row r="230" spans="1:41" x14ac:dyDescent="0.25">
      <c r="A230" t="s">
        <v>354</v>
      </c>
      <c r="B230">
        <v>3880</v>
      </c>
      <c r="C230">
        <v>8812</v>
      </c>
      <c r="D230">
        <v>4610</v>
      </c>
      <c r="E230">
        <v>10079</v>
      </c>
      <c r="F230">
        <v>0</v>
      </c>
      <c r="G230">
        <v>0</v>
      </c>
      <c r="H230">
        <v>3555</v>
      </c>
      <c r="I230">
        <v>12611</v>
      </c>
      <c r="J230">
        <v>2996</v>
      </c>
      <c r="K230">
        <v>0</v>
      </c>
      <c r="L230">
        <v>1193</v>
      </c>
      <c r="M230">
        <v>1262</v>
      </c>
      <c r="N230">
        <f t="shared" si="6"/>
        <v>48998</v>
      </c>
      <c r="O230">
        <v>11</v>
      </c>
      <c r="P230">
        <v>2</v>
      </c>
      <c r="Q230">
        <v>12</v>
      </c>
      <c r="R230">
        <v>1</v>
      </c>
      <c r="S230">
        <v>3</v>
      </c>
      <c r="T230">
        <v>2</v>
      </c>
      <c r="U230">
        <v>10</v>
      </c>
      <c r="V230">
        <v>5</v>
      </c>
      <c r="W230">
        <v>5</v>
      </c>
      <c r="X230">
        <v>5</v>
      </c>
      <c r="Y230">
        <v>7</v>
      </c>
      <c r="Z230">
        <v>10</v>
      </c>
      <c r="AA230">
        <f t="shared" si="7"/>
        <v>73</v>
      </c>
      <c r="AB230" t="s">
        <v>45</v>
      </c>
      <c r="AC230">
        <v>49.34</v>
      </c>
      <c r="AD230">
        <v>98.21</v>
      </c>
      <c r="AE230">
        <v>56.69</v>
      </c>
      <c r="AF230">
        <v>110.83</v>
      </c>
      <c r="AG230">
        <v>10.14</v>
      </c>
      <c r="AH230">
        <v>10.09</v>
      </c>
      <c r="AI230">
        <v>46.04</v>
      </c>
      <c r="AJ230">
        <v>136.35</v>
      </c>
      <c r="AK230">
        <v>40.200000000000003</v>
      </c>
      <c r="AL230">
        <v>10.24</v>
      </c>
      <c r="AM230">
        <v>22.27</v>
      </c>
      <c r="AN230">
        <v>23.11</v>
      </c>
      <c r="AO230">
        <v>613.51</v>
      </c>
    </row>
    <row r="231" spans="1:41" x14ac:dyDescent="0.25">
      <c r="A231" t="s">
        <v>356</v>
      </c>
      <c r="B231">
        <v>3862</v>
      </c>
      <c r="C231">
        <v>1660</v>
      </c>
      <c r="D231">
        <v>5681</v>
      </c>
      <c r="E231">
        <v>3926</v>
      </c>
      <c r="F231">
        <v>4847</v>
      </c>
      <c r="G231">
        <v>1622</v>
      </c>
      <c r="H231">
        <v>1424</v>
      </c>
      <c r="I231">
        <v>3161</v>
      </c>
      <c r="J231">
        <v>1081</v>
      </c>
      <c r="K231">
        <v>5675</v>
      </c>
      <c r="L231">
        <v>2538</v>
      </c>
      <c r="M231">
        <v>715</v>
      </c>
      <c r="N231">
        <f t="shared" si="6"/>
        <v>36192</v>
      </c>
      <c r="O231">
        <v>12</v>
      </c>
      <c r="P231">
        <v>4</v>
      </c>
      <c r="Q231">
        <v>1</v>
      </c>
      <c r="R231">
        <v>5</v>
      </c>
      <c r="S231">
        <v>12</v>
      </c>
      <c r="T231">
        <v>0</v>
      </c>
      <c r="U231">
        <v>3</v>
      </c>
      <c r="V231">
        <v>11</v>
      </c>
      <c r="W231">
        <v>1</v>
      </c>
      <c r="X231">
        <v>0</v>
      </c>
      <c r="Y231">
        <v>4</v>
      </c>
      <c r="Z231">
        <v>10</v>
      </c>
      <c r="AA231">
        <f t="shared" si="7"/>
        <v>63</v>
      </c>
      <c r="AB231" t="s">
        <v>45</v>
      </c>
      <c r="AC231">
        <v>49.21</v>
      </c>
      <c r="AD231">
        <v>26.79</v>
      </c>
      <c r="AE231">
        <v>66.849999999999994</v>
      </c>
      <c r="AF231">
        <v>49.5</v>
      </c>
      <c r="AG231">
        <v>59.06</v>
      </c>
      <c r="AH231">
        <v>26.21</v>
      </c>
      <c r="AI231">
        <v>24.38</v>
      </c>
      <c r="AJ231">
        <v>42.15</v>
      </c>
      <c r="AK231">
        <v>20.85</v>
      </c>
      <c r="AL231">
        <v>66.739999999999995</v>
      </c>
      <c r="AM231">
        <v>35.57</v>
      </c>
      <c r="AN231">
        <v>17.64</v>
      </c>
      <c r="AO231">
        <v>484.95</v>
      </c>
    </row>
    <row r="232" spans="1:41" x14ac:dyDescent="0.25">
      <c r="A232" t="s">
        <v>358</v>
      </c>
      <c r="B232">
        <v>3853</v>
      </c>
      <c r="C232">
        <v>5821</v>
      </c>
      <c r="D232">
        <v>1780</v>
      </c>
      <c r="E232">
        <v>3069</v>
      </c>
      <c r="F232">
        <v>8123</v>
      </c>
      <c r="G232">
        <v>5101</v>
      </c>
      <c r="H232">
        <v>1682</v>
      </c>
      <c r="I232">
        <v>4359</v>
      </c>
      <c r="J232">
        <v>2798</v>
      </c>
      <c r="K232">
        <v>4204</v>
      </c>
      <c r="L232">
        <v>3079</v>
      </c>
      <c r="M232">
        <v>574</v>
      </c>
      <c r="N232">
        <f t="shared" si="6"/>
        <v>44443</v>
      </c>
      <c r="O232">
        <v>3</v>
      </c>
      <c r="P232">
        <v>2</v>
      </c>
      <c r="Q232">
        <v>2</v>
      </c>
      <c r="R232">
        <v>5</v>
      </c>
      <c r="S232">
        <v>1</v>
      </c>
      <c r="T232">
        <v>2</v>
      </c>
      <c r="U232">
        <v>8</v>
      </c>
      <c r="V232">
        <v>2</v>
      </c>
      <c r="W232">
        <v>6</v>
      </c>
      <c r="X232">
        <v>1</v>
      </c>
      <c r="Y232">
        <v>2</v>
      </c>
      <c r="Z232">
        <v>1</v>
      </c>
      <c r="AA232">
        <f t="shared" si="7"/>
        <v>35</v>
      </c>
      <c r="AB232" t="s">
        <v>45</v>
      </c>
      <c r="AC232">
        <v>48.67</v>
      </c>
      <c r="AD232">
        <v>68.3</v>
      </c>
      <c r="AE232">
        <v>27.89</v>
      </c>
      <c r="AF232">
        <v>40.93</v>
      </c>
      <c r="AG232">
        <v>91.27</v>
      </c>
      <c r="AH232">
        <v>61.1</v>
      </c>
      <c r="AI232">
        <v>27.21</v>
      </c>
      <c r="AJ232">
        <v>53.68</v>
      </c>
      <c r="AK232">
        <v>38.270000000000003</v>
      </c>
      <c r="AL232">
        <v>52.08</v>
      </c>
      <c r="AM232">
        <v>40.880000000000003</v>
      </c>
      <c r="AN232">
        <v>15.78</v>
      </c>
      <c r="AO232">
        <v>566.05999999999995</v>
      </c>
    </row>
    <row r="233" spans="1:41" x14ac:dyDescent="0.25">
      <c r="A233" t="s">
        <v>359</v>
      </c>
      <c r="B233">
        <v>3849</v>
      </c>
      <c r="C233">
        <v>12343</v>
      </c>
      <c r="D233">
        <v>168</v>
      </c>
      <c r="E233">
        <v>131</v>
      </c>
      <c r="F233">
        <v>0</v>
      </c>
      <c r="G233">
        <v>2089</v>
      </c>
      <c r="H233">
        <v>1794</v>
      </c>
      <c r="I233">
        <v>6040</v>
      </c>
      <c r="J233">
        <v>3228</v>
      </c>
      <c r="K233">
        <v>1593</v>
      </c>
      <c r="L233">
        <v>5152</v>
      </c>
      <c r="M233">
        <v>1622</v>
      </c>
      <c r="N233">
        <f t="shared" si="6"/>
        <v>38009</v>
      </c>
      <c r="O233">
        <v>3</v>
      </c>
      <c r="P233">
        <v>21</v>
      </c>
      <c r="Q233">
        <v>2</v>
      </c>
      <c r="R233">
        <v>10</v>
      </c>
      <c r="S233">
        <v>2</v>
      </c>
      <c r="T233">
        <v>0</v>
      </c>
      <c r="U233">
        <v>2</v>
      </c>
      <c r="V233">
        <v>4</v>
      </c>
      <c r="W233">
        <v>2</v>
      </c>
      <c r="X233">
        <v>2</v>
      </c>
      <c r="Y233">
        <v>9</v>
      </c>
      <c r="Z233">
        <v>6</v>
      </c>
      <c r="AA233">
        <f t="shared" si="7"/>
        <v>63</v>
      </c>
      <c r="AB233" t="s">
        <v>45</v>
      </c>
      <c r="AC233">
        <v>48.63</v>
      </c>
      <c r="AD233">
        <v>134.47</v>
      </c>
      <c r="AE233">
        <v>11.77</v>
      </c>
      <c r="AF233">
        <v>11.8</v>
      </c>
      <c r="AG233">
        <v>10.09</v>
      </c>
      <c r="AH233">
        <v>30.88</v>
      </c>
      <c r="AI233">
        <v>28.03</v>
      </c>
      <c r="AJ233">
        <v>70.59</v>
      </c>
      <c r="AK233">
        <v>42.37</v>
      </c>
      <c r="AL233">
        <v>26.02</v>
      </c>
      <c r="AM233">
        <v>61.96</v>
      </c>
      <c r="AN233">
        <v>26.51</v>
      </c>
      <c r="AO233">
        <v>503.11999999999995</v>
      </c>
    </row>
    <row r="234" spans="1:41" x14ac:dyDescent="0.25">
      <c r="A234" t="s">
        <v>360</v>
      </c>
      <c r="B234">
        <v>3841</v>
      </c>
      <c r="C234">
        <v>6760</v>
      </c>
      <c r="D234">
        <v>2555</v>
      </c>
      <c r="E234">
        <v>846</v>
      </c>
      <c r="F234">
        <v>3738</v>
      </c>
      <c r="G234">
        <v>5398</v>
      </c>
      <c r="H234">
        <v>0</v>
      </c>
      <c r="I234">
        <v>2512</v>
      </c>
      <c r="J234">
        <v>4504</v>
      </c>
      <c r="K234">
        <v>2449</v>
      </c>
      <c r="L234">
        <v>2982</v>
      </c>
      <c r="M234">
        <v>4418</v>
      </c>
      <c r="N234">
        <f t="shared" si="6"/>
        <v>40003</v>
      </c>
      <c r="O234">
        <v>1</v>
      </c>
      <c r="P234">
        <v>2</v>
      </c>
      <c r="Q234">
        <v>8</v>
      </c>
      <c r="R234">
        <v>12</v>
      </c>
      <c r="S234">
        <v>9</v>
      </c>
      <c r="T234">
        <v>3</v>
      </c>
      <c r="U234">
        <v>7</v>
      </c>
      <c r="V234">
        <v>3</v>
      </c>
      <c r="W234">
        <v>2</v>
      </c>
      <c r="X234">
        <v>3</v>
      </c>
      <c r="Y234">
        <v>5</v>
      </c>
      <c r="Z234">
        <v>0</v>
      </c>
      <c r="AA234">
        <f t="shared" si="7"/>
        <v>55</v>
      </c>
      <c r="AB234" t="s">
        <v>45</v>
      </c>
      <c r="AC234">
        <v>48.45</v>
      </c>
      <c r="AD234">
        <v>77.69</v>
      </c>
      <c r="AE234">
        <v>35.94</v>
      </c>
      <c r="AF234">
        <v>19.05</v>
      </c>
      <c r="AG234">
        <v>47.82</v>
      </c>
      <c r="AH234">
        <v>64.12</v>
      </c>
      <c r="AI234">
        <v>10.34</v>
      </c>
      <c r="AJ234">
        <v>35.26</v>
      </c>
      <c r="AK234">
        <v>55.13</v>
      </c>
      <c r="AL234">
        <v>34.630000000000003</v>
      </c>
      <c r="AM234">
        <v>40.06</v>
      </c>
      <c r="AN234">
        <v>54.17</v>
      </c>
      <c r="AO234">
        <v>522.66</v>
      </c>
    </row>
    <row r="235" spans="1:41" x14ac:dyDescent="0.25">
      <c r="A235" t="s">
        <v>364</v>
      </c>
      <c r="B235">
        <v>3797</v>
      </c>
      <c r="C235">
        <v>13011</v>
      </c>
      <c r="D235">
        <v>10472</v>
      </c>
      <c r="E235">
        <v>1663</v>
      </c>
      <c r="F235">
        <v>1255</v>
      </c>
      <c r="G235">
        <v>0</v>
      </c>
      <c r="H235">
        <v>1686</v>
      </c>
      <c r="I235">
        <v>5855</v>
      </c>
      <c r="J235">
        <v>8625</v>
      </c>
      <c r="K235">
        <v>961</v>
      </c>
      <c r="L235">
        <v>834</v>
      </c>
      <c r="M235">
        <v>1202</v>
      </c>
      <c r="N235">
        <f t="shared" si="6"/>
        <v>49361</v>
      </c>
      <c r="O235">
        <v>2</v>
      </c>
      <c r="P235">
        <v>2</v>
      </c>
      <c r="Q235">
        <v>3</v>
      </c>
      <c r="R235">
        <v>1</v>
      </c>
      <c r="S235">
        <v>1</v>
      </c>
      <c r="T235">
        <v>1</v>
      </c>
      <c r="U235">
        <v>4</v>
      </c>
      <c r="V235">
        <v>3</v>
      </c>
      <c r="W235">
        <v>0</v>
      </c>
      <c r="X235">
        <v>6</v>
      </c>
      <c r="Y235">
        <v>2</v>
      </c>
      <c r="Z235">
        <v>7</v>
      </c>
      <c r="AA235">
        <f t="shared" si="7"/>
        <v>32</v>
      </c>
      <c r="AB235" t="s">
        <v>45</v>
      </c>
      <c r="AC235">
        <v>48.06</v>
      </c>
      <c r="AD235">
        <v>140.19999999999999</v>
      </c>
      <c r="AE235">
        <v>114.86</v>
      </c>
      <c r="AF235">
        <v>26.67</v>
      </c>
      <c r="AG235">
        <v>22.59</v>
      </c>
      <c r="AH235">
        <v>10.039999999999999</v>
      </c>
      <c r="AI235">
        <v>27.05</v>
      </c>
      <c r="AJ235">
        <v>68.69</v>
      </c>
      <c r="AK235">
        <v>96.24</v>
      </c>
      <c r="AL235">
        <v>19.899999999999999</v>
      </c>
      <c r="AM235">
        <v>18.43</v>
      </c>
      <c r="AN235">
        <v>22.36</v>
      </c>
      <c r="AO235">
        <v>615.08999999999992</v>
      </c>
    </row>
    <row r="236" spans="1:41" x14ac:dyDescent="0.25">
      <c r="A236" t="s">
        <v>365</v>
      </c>
      <c r="B236">
        <v>3793</v>
      </c>
      <c r="C236">
        <v>8485</v>
      </c>
      <c r="D236">
        <v>3668</v>
      </c>
      <c r="E236">
        <v>6571</v>
      </c>
      <c r="F236">
        <v>2929</v>
      </c>
      <c r="G236">
        <v>3616</v>
      </c>
      <c r="H236">
        <v>8997</v>
      </c>
      <c r="I236">
        <v>6023</v>
      </c>
      <c r="J236">
        <v>9510</v>
      </c>
      <c r="K236">
        <v>2474</v>
      </c>
      <c r="L236">
        <v>8236</v>
      </c>
      <c r="M236">
        <v>2911</v>
      </c>
      <c r="N236">
        <f t="shared" si="6"/>
        <v>67213</v>
      </c>
      <c r="O236">
        <v>6</v>
      </c>
      <c r="P236">
        <v>11</v>
      </c>
      <c r="Q236">
        <v>5</v>
      </c>
      <c r="R236">
        <v>1</v>
      </c>
      <c r="S236">
        <v>3</v>
      </c>
      <c r="T236">
        <v>9</v>
      </c>
      <c r="U236">
        <v>2</v>
      </c>
      <c r="V236">
        <v>1</v>
      </c>
      <c r="W236">
        <v>7</v>
      </c>
      <c r="X236">
        <v>3</v>
      </c>
      <c r="Y236">
        <v>12</v>
      </c>
      <c r="Z236">
        <v>6</v>
      </c>
      <c r="AA236">
        <f t="shared" si="7"/>
        <v>66</v>
      </c>
      <c r="AB236" t="s">
        <v>45</v>
      </c>
      <c r="AC236">
        <v>48.22</v>
      </c>
      <c r="AD236">
        <v>95.39</v>
      </c>
      <c r="AE236">
        <v>46.92</v>
      </c>
      <c r="AF236">
        <v>75.75</v>
      </c>
      <c r="AG236">
        <v>39.43</v>
      </c>
      <c r="AH236">
        <v>46.6</v>
      </c>
      <c r="AI236">
        <v>100.06</v>
      </c>
      <c r="AJ236">
        <v>70.27</v>
      </c>
      <c r="AK236">
        <v>105.44</v>
      </c>
      <c r="AL236">
        <v>34.880000000000003</v>
      </c>
      <c r="AM236">
        <v>92.95</v>
      </c>
      <c r="AN236">
        <v>39.4</v>
      </c>
      <c r="AO236">
        <v>795.31000000000017</v>
      </c>
    </row>
    <row r="237" spans="1:41" x14ac:dyDescent="0.25">
      <c r="A237" t="s">
        <v>366</v>
      </c>
      <c r="B237">
        <v>3791</v>
      </c>
      <c r="C237">
        <v>170</v>
      </c>
      <c r="D237">
        <v>1646</v>
      </c>
      <c r="E237">
        <v>8664</v>
      </c>
      <c r="F237">
        <v>3766</v>
      </c>
      <c r="G237">
        <v>0</v>
      </c>
      <c r="H237">
        <v>2620</v>
      </c>
      <c r="I237">
        <v>8882</v>
      </c>
      <c r="J237">
        <v>817</v>
      </c>
      <c r="K237">
        <v>1003</v>
      </c>
      <c r="L237">
        <v>10686</v>
      </c>
      <c r="M237">
        <v>2155</v>
      </c>
      <c r="N237">
        <f t="shared" si="6"/>
        <v>44200</v>
      </c>
      <c r="O237">
        <v>5</v>
      </c>
      <c r="P237">
        <v>4</v>
      </c>
      <c r="Q237">
        <v>3</v>
      </c>
      <c r="R237">
        <v>9</v>
      </c>
      <c r="S237">
        <v>3</v>
      </c>
      <c r="T237">
        <v>0</v>
      </c>
      <c r="U237">
        <v>1</v>
      </c>
      <c r="V237">
        <v>6</v>
      </c>
      <c r="W237">
        <v>0</v>
      </c>
      <c r="X237">
        <v>20</v>
      </c>
      <c r="Y237">
        <v>0</v>
      </c>
      <c r="Z237">
        <v>8</v>
      </c>
      <c r="AA237">
        <f t="shared" si="7"/>
        <v>59</v>
      </c>
      <c r="AB237" t="s">
        <v>45</v>
      </c>
      <c r="AC237">
        <v>48.15</v>
      </c>
      <c r="AD237">
        <v>11.89</v>
      </c>
      <c r="AE237">
        <v>26.6</v>
      </c>
      <c r="AF237">
        <v>97.08</v>
      </c>
      <c r="AG237">
        <v>47.8</v>
      </c>
      <c r="AH237">
        <v>9.99</v>
      </c>
      <c r="AI237">
        <v>36.24</v>
      </c>
      <c r="AJ237">
        <v>99.11</v>
      </c>
      <c r="AK237">
        <v>18.16</v>
      </c>
      <c r="AL237">
        <v>21.02</v>
      </c>
      <c r="AM237">
        <v>116.85</v>
      </c>
      <c r="AN237">
        <v>31.94</v>
      </c>
      <c r="AO237">
        <v>564.83000000000004</v>
      </c>
    </row>
    <row r="238" spans="1:41" x14ac:dyDescent="0.25">
      <c r="A238" t="s">
        <v>369</v>
      </c>
      <c r="B238">
        <v>3772</v>
      </c>
      <c r="C238">
        <v>1908</v>
      </c>
      <c r="D238">
        <v>11326</v>
      </c>
      <c r="E238">
        <v>1227</v>
      </c>
      <c r="F238">
        <v>2599</v>
      </c>
      <c r="G238">
        <v>859</v>
      </c>
      <c r="H238">
        <v>5398</v>
      </c>
      <c r="I238">
        <v>0</v>
      </c>
      <c r="J238">
        <v>0</v>
      </c>
      <c r="K238">
        <v>5664</v>
      </c>
      <c r="L238">
        <v>2313</v>
      </c>
      <c r="M238">
        <v>2109</v>
      </c>
      <c r="N238">
        <f t="shared" si="6"/>
        <v>37175</v>
      </c>
      <c r="O238">
        <v>3</v>
      </c>
      <c r="P238">
        <v>4</v>
      </c>
      <c r="Q238">
        <v>0</v>
      </c>
      <c r="R238">
        <v>1</v>
      </c>
      <c r="S238">
        <v>1</v>
      </c>
      <c r="T238">
        <v>4</v>
      </c>
      <c r="U238">
        <v>4</v>
      </c>
      <c r="V238">
        <v>5</v>
      </c>
      <c r="W238">
        <v>4</v>
      </c>
      <c r="X238">
        <v>7</v>
      </c>
      <c r="Y238">
        <v>7</v>
      </c>
      <c r="Z238">
        <v>7</v>
      </c>
      <c r="AA238">
        <f t="shared" si="7"/>
        <v>47</v>
      </c>
      <c r="AB238" t="s">
        <v>45</v>
      </c>
      <c r="AC238">
        <v>47.86</v>
      </c>
      <c r="AD238">
        <v>29.27</v>
      </c>
      <c r="AE238">
        <v>123.25</v>
      </c>
      <c r="AF238">
        <v>22.31</v>
      </c>
      <c r="AG238">
        <v>36.03</v>
      </c>
      <c r="AH238">
        <v>18.78</v>
      </c>
      <c r="AI238">
        <v>64.17</v>
      </c>
      <c r="AJ238">
        <v>10.24</v>
      </c>
      <c r="AK238">
        <v>10.19</v>
      </c>
      <c r="AL238">
        <v>66.98</v>
      </c>
      <c r="AM238">
        <v>33.47</v>
      </c>
      <c r="AN238">
        <v>31.43</v>
      </c>
      <c r="AO238">
        <v>493.98000000000008</v>
      </c>
    </row>
    <row r="239" spans="1:41" x14ac:dyDescent="0.25">
      <c r="A239" t="s">
        <v>370</v>
      </c>
      <c r="B239">
        <v>3772</v>
      </c>
      <c r="C239">
        <v>0</v>
      </c>
      <c r="D239">
        <v>1136</v>
      </c>
      <c r="E239">
        <v>3542</v>
      </c>
      <c r="F239">
        <v>7704</v>
      </c>
      <c r="G239">
        <v>0</v>
      </c>
      <c r="H239">
        <v>6639</v>
      </c>
      <c r="I239">
        <v>2278</v>
      </c>
      <c r="J239">
        <v>7508</v>
      </c>
      <c r="K239">
        <v>6461</v>
      </c>
      <c r="L239">
        <v>8375</v>
      </c>
      <c r="M239">
        <v>5630</v>
      </c>
      <c r="N239">
        <f t="shared" si="6"/>
        <v>53045</v>
      </c>
      <c r="O239">
        <v>6</v>
      </c>
      <c r="P239">
        <v>7</v>
      </c>
      <c r="Q239">
        <v>11</v>
      </c>
      <c r="R239">
        <v>6</v>
      </c>
      <c r="S239">
        <v>11</v>
      </c>
      <c r="T239">
        <v>1</v>
      </c>
      <c r="U239">
        <v>3</v>
      </c>
      <c r="V239">
        <v>1</v>
      </c>
      <c r="W239">
        <v>2</v>
      </c>
      <c r="X239">
        <v>1</v>
      </c>
      <c r="Y239">
        <v>2</v>
      </c>
      <c r="Z239">
        <v>1</v>
      </c>
      <c r="AA239">
        <f t="shared" si="7"/>
        <v>52</v>
      </c>
      <c r="AB239" t="s">
        <v>45</v>
      </c>
      <c r="AC239">
        <v>48.01</v>
      </c>
      <c r="AD239">
        <v>10.34</v>
      </c>
      <c r="AE239">
        <v>21.9</v>
      </c>
      <c r="AF239">
        <v>45.71</v>
      </c>
      <c r="AG239">
        <v>87.58</v>
      </c>
      <c r="AH239">
        <v>10.039999999999999</v>
      </c>
      <c r="AI239">
        <v>76.53</v>
      </c>
      <c r="AJ239">
        <v>32.82</v>
      </c>
      <c r="AK239">
        <v>85.17</v>
      </c>
      <c r="AL239">
        <v>74.650000000000006</v>
      </c>
      <c r="AM239">
        <v>93.84</v>
      </c>
      <c r="AN239">
        <v>66.34</v>
      </c>
      <c r="AO239">
        <v>652.93000000000006</v>
      </c>
    </row>
    <row r="240" spans="1:41" x14ac:dyDescent="0.25">
      <c r="A240" t="s">
        <v>377</v>
      </c>
      <c r="B240">
        <v>3717</v>
      </c>
      <c r="C240">
        <v>2376</v>
      </c>
      <c r="D240">
        <v>2798</v>
      </c>
      <c r="E240">
        <v>3702</v>
      </c>
      <c r="F240">
        <v>5435</v>
      </c>
      <c r="G240">
        <v>8102</v>
      </c>
      <c r="H240">
        <v>0</v>
      </c>
      <c r="I240">
        <v>3980</v>
      </c>
      <c r="J240">
        <v>0</v>
      </c>
      <c r="K240">
        <v>198</v>
      </c>
      <c r="L240">
        <v>3233</v>
      </c>
      <c r="M240">
        <v>2861</v>
      </c>
      <c r="N240">
        <f t="shared" si="6"/>
        <v>36402</v>
      </c>
      <c r="O240">
        <v>7</v>
      </c>
      <c r="P240">
        <v>3</v>
      </c>
      <c r="Q240">
        <v>4</v>
      </c>
      <c r="R240">
        <v>10</v>
      </c>
      <c r="S240">
        <v>2</v>
      </c>
      <c r="T240">
        <v>2</v>
      </c>
      <c r="U240">
        <v>6</v>
      </c>
      <c r="V240">
        <v>5</v>
      </c>
      <c r="W240">
        <v>11</v>
      </c>
      <c r="X240">
        <v>11</v>
      </c>
      <c r="Y240">
        <v>6</v>
      </c>
      <c r="Z240">
        <v>3</v>
      </c>
      <c r="AA240">
        <f t="shared" si="7"/>
        <v>70</v>
      </c>
      <c r="AB240" t="s">
        <v>45</v>
      </c>
      <c r="AC240">
        <v>47.51</v>
      </c>
      <c r="AD240">
        <v>33.9</v>
      </c>
      <c r="AE240">
        <v>38.17</v>
      </c>
      <c r="AF240">
        <v>47.51</v>
      </c>
      <c r="AG240">
        <v>64.44</v>
      </c>
      <c r="AH240">
        <v>91.11</v>
      </c>
      <c r="AI240">
        <v>10.29</v>
      </c>
      <c r="AJ240">
        <v>50.04</v>
      </c>
      <c r="AK240">
        <v>10.54</v>
      </c>
      <c r="AL240">
        <v>12.52</v>
      </c>
      <c r="AM240">
        <v>42.62</v>
      </c>
      <c r="AN240">
        <v>38.75</v>
      </c>
      <c r="AO240">
        <v>487.40000000000003</v>
      </c>
    </row>
    <row r="241" spans="1:41" x14ac:dyDescent="0.25">
      <c r="A241" t="s">
        <v>379</v>
      </c>
      <c r="B241">
        <v>3678</v>
      </c>
      <c r="C241">
        <v>5501</v>
      </c>
      <c r="D241">
        <v>2003</v>
      </c>
      <c r="E241">
        <v>1350</v>
      </c>
      <c r="F241">
        <v>2093</v>
      </c>
      <c r="G241">
        <v>7627</v>
      </c>
      <c r="H241">
        <v>573</v>
      </c>
      <c r="I241">
        <v>2622</v>
      </c>
      <c r="J241">
        <v>2172</v>
      </c>
      <c r="K241">
        <v>2557</v>
      </c>
      <c r="L241">
        <v>7625</v>
      </c>
      <c r="M241">
        <v>6394</v>
      </c>
      <c r="N241">
        <f t="shared" si="6"/>
        <v>44195</v>
      </c>
      <c r="O241">
        <v>4</v>
      </c>
      <c r="P241">
        <v>7</v>
      </c>
      <c r="Q241">
        <v>11</v>
      </c>
      <c r="R241">
        <v>10</v>
      </c>
      <c r="S241">
        <v>3</v>
      </c>
      <c r="T241">
        <v>1</v>
      </c>
      <c r="U241">
        <v>17</v>
      </c>
      <c r="V241">
        <v>8</v>
      </c>
      <c r="W241">
        <v>0</v>
      </c>
      <c r="X241">
        <v>9</v>
      </c>
      <c r="Y241">
        <v>7</v>
      </c>
      <c r="Z241">
        <v>2</v>
      </c>
      <c r="AA241">
        <f t="shared" si="7"/>
        <v>79</v>
      </c>
      <c r="AB241" t="s">
        <v>45</v>
      </c>
      <c r="AC241">
        <v>46.97</v>
      </c>
      <c r="AD241">
        <v>65.349999999999994</v>
      </c>
      <c r="AE241">
        <v>30.57</v>
      </c>
      <c r="AF241">
        <v>23.99</v>
      </c>
      <c r="AG241">
        <v>31.07</v>
      </c>
      <c r="AH241">
        <v>86.31</v>
      </c>
      <c r="AI241">
        <v>16.57</v>
      </c>
      <c r="AJ241">
        <v>36.61</v>
      </c>
      <c r="AK241">
        <v>31.71</v>
      </c>
      <c r="AL241">
        <v>36.01</v>
      </c>
      <c r="AM241">
        <v>86.59</v>
      </c>
      <c r="AN241">
        <v>74.03</v>
      </c>
      <c r="AO241">
        <v>565.78</v>
      </c>
    </row>
    <row r="242" spans="1:41" x14ac:dyDescent="0.25">
      <c r="A242" t="s">
        <v>380</v>
      </c>
      <c r="B242">
        <v>3653</v>
      </c>
      <c r="C242">
        <v>4537</v>
      </c>
      <c r="D242">
        <v>3554</v>
      </c>
      <c r="E242">
        <v>0</v>
      </c>
      <c r="F242">
        <v>84</v>
      </c>
      <c r="G242">
        <v>721</v>
      </c>
      <c r="H242">
        <v>1189</v>
      </c>
      <c r="I242">
        <v>15959</v>
      </c>
      <c r="J242">
        <v>2324</v>
      </c>
      <c r="K242">
        <v>693</v>
      </c>
      <c r="L242">
        <v>908</v>
      </c>
      <c r="M242">
        <v>3641</v>
      </c>
      <c r="N242">
        <f t="shared" si="6"/>
        <v>37263</v>
      </c>
      <c r="O242">
        <v>9</v>
      </c>
      <c r="P242">
        <v>17</v>
      </c>
      <c r="Q242">
        <v>2</v>
      </c>
      <c r="R242">
        <v>0</v>
      </c>
      <c r="S242">
        <v>7</v>
      </c>
      <c r="T242">
        <v>3</v>
      </c>
      <c r="U242">
        <v>3</v>
      </c>
      <c r="V242">
        <v>4</v>
      </c>
      <c r="W242">
        <v>6</v>
      </c>
      <c r="X242">
        <v>6</v>
      </c>
      <c r="Y242">
        <v>5</v>
      </c>
      <c r="Z242">
        <v>3</v>
      </c>
      <c r="AA242">
        <f t="shared" si="7"/>
        <v>65</v>
      </c>
      <c r="AB242" t="s">
        <v>45</v>
      </c>
      <c r="AC242">
        <v>46.97</v>
      </c>
      <c r="AD242">
        <v>56.21</v>
      </c>
      <c r="AE242">
        <v>45.63</v>
      </c>
      <c r="AF242">
        <v>9.99</v>
      </c>
      <c r="AG242">
        <v>11.18</v>
      </c>
      <c r="AH242">
        <v>17.350000000000001</v>
      </c>
      <c r="AI242">
        <v>22.03</v>
      </c>
      <c r="AJ242">
        <v>169.78</v>
      </c>
      <c r="AK242">
        <v>33.53</v>
      </c>
      <c r="AL242">
        <v>17.22</v>
      </c>
      <c r="AM242">
        <v>19.32</v>
      </c>
      <c r="AN242">
        <v>46.55</v>
      </c>
      <c r="AO242">
        <v>495.76</v>
      </c>
    </row>
    <row r="243" spans="1:41" x14ac:dyDescent="0.25">
      <c r="A243" t="s">
        <v>384</v>
      </c>
      <c r="B243">
        <v>3610</v>
      </c>
      <c r="C243">
        <v>2175</v>
      </c>
      <c r="D243">
        <v>901</v>
      </c>
      <c r="E243">
        <v>0</v>
      </c>
      <c r="F243">
        <v>5333</v>
      </c>
      <c r="G243">
        <v>2264</v>
      </c>
      <c r="H243">
        <v>1438</v>
      </c>
      <c r="I243">
        <v>4242</v>
      </c>
      <c r="J243">
        <v>5695</v>
      </c>
      <c r="K243">
        <v>783</v>
      </c>
      <c r="L243">
        <v>7260</v>
      </c>
      <c r="M243">
        <v>4174</v>
      </c>
      <c r="N243">
        <f t="shared" si="6"/>
        <v>37875</v>
      </c>
      <c r="O243">
        <v>0</v>
      </c>
      <c r="P243">
        <v>1</v>
      </c>
      <c r="Q243">
        <v>4</v>
      </c>
      <c r="R243">
        <v>9</v>
      </c>
      <c r="S243">
        <v>4</v>
      </c>
      <c r="T243">
        <v>2</v>
      </c>
      <c r="U243">
        <v>13</v>
      </c>
      <c r="V243">
        <v>4</v>
      </c>
      <c r="W243">
        <v>12</v>
      </c>
      <c r="X243">
        <v>3</v>
      </c>
      <c r="Y243">
        <v>3</v>
      </c>
      <c r="Z243">
        <v>2</v>
      </c>
      <c r="AA243">
        <f t="shared" si="7"/>
        <v>57</v>
      </c>
      <c r="AB243" t="s">
        <v>45</v>
      </c>
      <c r="AC243">
        <v>46.09</v>
      </c>
      <c r="AD243">
        <v>31.79</v>
      </c>
      <c r="AE243">
        <v>19.2</v>
      </c>
      <c r="AF243">
        <v>10.44</v>
      </c>
      <c r="AG243">
        <v>63.52</v>
      </c>
      <c r="AH243">
        <v>32.729999999999997</v>
      </c>
      <c r="AI243">
        <v>25.02</v>
      </c>
      <c r="AJ243">
        <v>52.61</v>
      </c>
      <c r="AK243">
        <v>67.540000000000006</v>
      </c>
      <c r="AL243">
        <v>17.97</v>
      </c>
      <c r="AM243">
        <v>82.74</v>
      </c>
      <c r="AN243">
        <v>51.83</v>
      </c>
      <c r="AO243">
        <v>501.47999999999996</v>
      </c>
    </row>
    <row r="244" spans="1:41" x14ac:dyDescent="0.25">
      <c r="A244" t="s">
        <v>385</v>
      </c>
      <c r="B244">
        <v>3607</v>
      </c>
      <c r="C244">
        <v>6196</v>
      </c>
      <c r="D244">
        <v>5647</v>
      </c>
      <c r="E244">
        <v>638</v>
      </c>
      <c r="F244">
        <v>12148</v>
      </c>
      <c r="G244">
        <v>0</v>
      </c>
      <c r="H244">
        <v>812</v>
      </c>
      <c r="I244">
        <v>1518</v>
      </c>
      <c r="J244">
        <v>180</v>
      </c>
      <c r="K244">
        <v>2384</v>
      </c>
      <c r="L244">
        <v>4208</v>
      </c>
      <c r="M244">
        <v>7190</v>
      </c>
      <c r="N244">
        <f t="shared" si="6"/>
        <v>44528</v>
      </c>
      <c r="O244">
        <v>1</v>
      </c>
      <c r="P244">
        <v>6</v>
      </c>
      <c r="Q244">
        <v>7</v>
      </c>
      <c r="R244">
        <v>2</v>
      </c>
      <c r="S244">
        <v>1</v>
      </c>
      <c r="T244">
        <v>2</v>
      </c>
      <c r="U244">
        <v>4</v>
      </c>
      <c r="V244">
        <v>16</v>
      </c>
      <c r="W244">
        <v>4</v>
      </c>
      <c r="X244">
        <v>3</v>
      </c>
      <c r="Y244">
        <v>4</v>
      </c>
      <c r="Z244">
        <v>4</v>
      </c>
      <c r="AA244">
        <f t="shared" si="7"/>
        <v>54</v>
      </c>
      <c r="AB244" t="s">
        <v>45</v>
      </c>
      <c r="AC244">
        <v>46.11</v>
      </c>
      <c r="AD244">
        <v>72.25</v>
      </c>
      <c r="AE244">
        <v>66.81</v>
      </c>
      <c r="AF244">
        <v>16.47</v>
      </c>
      <c r="AG244">
        <v>131.52000000000001</v>
      </c>
      <c r="AH244">
        <v>10.09</v>
      </c>
      <c r="AI244">
        <v>18.309999999999999</v>
      </c>
      <c r="AJ244">
        <v>25.97</v>
      </c>
      <c r="AK244">
        <v>11.99</v>
      </c>
      <c r="AL244">
        <v>33.979999999999997</v>
      </c>
      <c r="AM244">
        <v>52.27</v>
      </c>
      <c r="AN244">
        <v>82.09</v>
      </c>
      <c r="AO244">
        <v>567.86</v>
      </c>
    </row>
    <row r="245" spans="1:41" x14ac:dyDescent="0.25">
      <c r="A245" t="s">
        <v>386</v>
      </c>
      <c r="B245">
        <v>3598</v>
      </c>
      <c r="C245">
        <v>1233</v>
      </c>
      <c r="D245">
        <v>717</v>
      </c>
      <c r="E245">
        <v>1208</v>
      </c>
      <c r="F245">
        <v>10394</v>
      </c>
      <c r="G245">
        <v>1033</v>
      </c>
      <c r="H245">
        <v>4942</v>
      </c>
      <c r="I245">
        <v>3710</v>
      </c>
      <c r="J245">
        <v>0</v>
      </c>
      <c r="K245">
        <v>10828</v>
      </c>
      <c r="L245">
        <v>1497</v>
      </c>
      <c r="M245">
        <v>462</v>
      </c>
      <c r="N245">
        <f t="shared" si="6"/>
        <v>39622</v>
      </c>
      <c r="O245">
        <v>9</v>
      </c>
      <c r="P245">
        <v>14</v>
      </c>
      <c r="Q245">
        <v>8</v>
      </c>
      <c r="R245">
        <v>1</v>
      </c>
      <c r="S245">
        <v>11</v>
      </c>
      <c r="T245">
        <v>3</v>
      </c>
      <c r="U245">
        <v>0</v>
      </c>
      <c r="V245">
        <v>2</v>
      </c>
      <c r="W245">
        <v>0</v>
      </c>
      <c r="X245">
        <v>4</v>
      </c>
      <c r="Y245">
        <v>3</v>
      </c>
      <c r="Z245">
        <v>3</v>
      </c>
      <c r="AA245">
        <f t="shared" si="7"/>
        <v>58</v>
      </c>
      <c r="AB245" t="s">
        <v>45</v>
      </c>
      <c r="AC245">
        <v>46.42</v>
      </c>
      <c r="AD245">
        <v>23.02</v>
      </c>
      <c r="AE245">
        <v>17.559999999999999</v>
      </c>
      <c r="AF245">
        <v>22.12</v>
      </c>
      <c r="AG245">
        <v>114.48</v>
      </c>
      <c r="AH245">
        <v>20.47</v>
      </c>
      <c r="AI245">
        <v>59.41</v>
      </c>
      <c r="AJ245">
        <v>47.19</v>
      </c>
      <c r="AK245">
        <v>9.99</v>
      </c>
      <c r="AL245">
        <v>118.47</v>
      </c>
      <c r="AM245">
        <v>25.11</v>
      </c>
      <c r="AN245">
        <v>14.76</v>
      </c>
      <c r="AO245">
        <v>519</v>
      </c>
    </row>
    <row r="246" spans="1:41" x14ac:dyDescent="0.25">
      <c r="A246" t="s">
        <v>387</v>
      </c>
      <c r="B246">
        <v>3588</v>
      </c>
      <c r="C246">
        <v>9797</v>
      </c>
      <c r="D246">
        <v>2352</v>
      </c>
      <c r="E246">
        <v>14377</v>
      </c>
      <c r="F246">
        <v>3579</v>
      </c>
      <c r="G246">
        <v>12943</v>
      </c>
      <c r="H246">
        <v>0</v>
      </c>
      <c r="I246">
        <v>4161</v>
      </c>
      <c r="J246">
        <v>5879</v>
      </c>
      <c r="K246">
        <v>0</v>
      </c>
      <c r="L246">
        <v>2471</v>
      </c>
      <c r="M246">
        <v>5805</v>
      </c>
      <c r="N246">
        <f t="shared" si="6"/>
        <v>64952</v>
      </c>
      <c r="O246">
        <v>6</v>
      </c>
      <c r="P246">
        <v>13</v>
      </c>
      <c r="Q246">
        <v>2</v>
      </c>
      <c r="R246">
        <v>14</v>
      </c>
      <c r="S246">
        <v>5</v>
      </c>
      <c r="T246">
        <v>3</v>
      </c>
      <c r="U246">
        <v>7</v>
      </c>
      <c r="V246">
        <v>4</v>
      </c>
      <c r="W246">
        <v>4</v>
      </c>
      <c r="X246">
        <v>3</v>
      </c>
      <c r="Y246">
        <v>8</v>
      </c>
      <c r="Z246">
        <v>7</v>
      </c>
      <c r="AA246">
        <f t="shared" si="7"/>
        <v>76</v>
      </c>
      <c r="AB246" t="s">
        <v>45</v>
      </c>
      <c r="AC246">
        <v>46.17</v>
      </c>
      <c r="AD246">
        <v>108.61</v>
      </c>
      <c r="AE246">
        <v>33.61</v>
      </c>
      <c r="AF246">
        <v>154.46</v>
      </c>
      <c r="AG246">
        <v>46.03</v>
      </c>
      <c r="AH246">
        <v>139.57</v>
      </c>
      <c r="AI246">
        <v>10.34</v>
      </c>
      <c r="AJ246">
        <v>51.8</v>
      </c>
      <c r="AK246">
        <v>68.98</v>
      </c>
      <c r="AL246">
        <v>10.14</v>
      </c>
      <c r="AM246">
        <v>35.1</v>
      </c>
      <c r="AN246">
        <v>68.39</v>
      </c>
      <c r="AO246">
        <v>773.2</v>
      </c>
    </row>
    <row r="247" spans="1:41" x14ac:dyDescent="0.25">
      <c r="A247" t="s">
        <v>390</v>
      </c>
      <c r="B247">
        <v>3549</v>
      </c>
      <c r="C247">
        <v>1004</v>
      </c>
      <c r="D247">
        <v>6667</v>
      </c>
      <c r="E247">
        <v>11746</v>
      </c>
      <c r="F247">
        <v>3646</v>
      </c>
      <c r="G247">
        <v>3159</v>
      </c>
      <c r="H247">
        <v>7169</v>
      </c>
      <c r="I247">
        <v>0</v>
      </c>
      <c r="J247">
        <v>980</v>
      </c>
      <c r="K247">
        <v>6770</v>
      </c>
      <c r="L247">
        <v>4624</v>
      </c>
      <c r="M247">
        <v>2780</v>
      </c>
      <c r="N247">
        <f t="shared" si="6"/>
        <v>52094</v>
      </c>
      <c r="O247">
        <v>4</v>
      </c>
      <c r="P247">
        <v>4</v>
      </c>
      <c r="Q247">
        <v>5</v>
      </c>
      <c r="R247">
        <v>4</v>
      </c>
      <c r="S247">
        <v>4</v>
      </c>
      <c r="T247">
        <v>5</v>
      </c>
      <c r="U247">
        <v>5</v>
      </c>
      <c r="V247">
        <v>6</v>
      </c>
      <c r="W247">
        <v>3</v>
      </c>
      <c r="X247">
        <v>4</v>
      </c>
      <c r="Y247">
        <v>8</v>
      </c>
      <c r="Z247">
        <v>2</v>
      </c>
      <c r="AA247">
        <f t="shared" si="7"/>
        <v>54</v>
      </c>
      <c r="AB247" t="s">
        <v>45</v>
      </c>
      <c r="AC247">
        <v>45.68</v>
      </c>
      <c r="AD247">
        <v>20.23</v>
      </c>
      <c r="AE247">
        <v>76.91</v>
      </c>
      <c r="AF247">
        <v>127.65</v>
      </c>
      <c r="AG247">
        <v>46.65</v>
      </c>
      <c r="AH247">
        <v>41.83</v>
      </c>
      <c r="AI247">
        <v>81.93</v>
      </c>
      <c r="AJ247">
        <v>10.29</v>
      </c>
      <c r="AK247">
        <v>19.940000000000001</v>
      </c>
      <c r="AL247">
        <v>77.89</v>
      </c>
      <c r="AM247">
        <v>56.63</v>
      </c>
      <c r="AN247">
        <v>37.89</v>
      </c>
      <c r="AO247">
        <v>643.52</v>
      </c>
    </row>
    <row r="248" spans="1:41" x14ac:dyDescent="0.25">
      <c r="A248" t="s">
        <v>392</v>
      </c>
      <c r="B248">
        <v>3521</v>
      </c>
      <c r="C248">
        <v>5866</v>
      </c>
      <c r="D248">
        <v>209</v>
      </c>
      <c r="E248">
        <v>3549</v>
      </c>
      <c r="F248">
        <v>1487</v>
      </c>
      <c r="G248">
        <v>994</v>
      </c>
      <c r="H248">
        <v>4011</v>
      </c>
      <c r="I248">
        <v>17440</v>
      </c>
      <c r="J248">
        <v>1927</v>
      </c>
      <c r="K248">
        <v>1968</v>
      </c>
      <c r="L248">
        <v>647</v>
      </c>
      <c r="M248">
        <v>7945</v>
      </c>
      <c r="N248">
        <f t="shared" si="6"/>
        <v>49564</v>
      </c>
      <c r="O248">
        <v>7</v>
      </c>
      <c r="P248">
        <v>3</v>
      </c>
      <c r="Q248">
        <v>2</v>
      </c>
      <c r="R248">
        <v>2</v>
      </c>
      <c r="S248">
        <v>3</v>
      </c>
      <c r="T248">
        <v>1</v>
      </c>
      <c r="U248">
        <v>3</v>
      </c>
      <c r="V248">
        <v>18</v>
      </c>
      <c r="W248">
        <v>3</v>
      </c>
      <c r="X248">
        <v>0</v>
      </c>
      <c r="Y248">
        <v>7</v>
      </c>
      <c r="Z248">
        <v>1</v>
      </c>
      <c r="AA248">
        <f t="shared" si="7"/>
        <v>50</v>
      </c>
      <c r="AB248" t="s">
        <v>45</v>
      </c>
      <c r="AC248">
        <v>45.55</v>
      </c>
      <c r="AD248">
        <v>68.8</v>
      </c>
      <c r="AE248">
        <v>12.18</v>
      </c>
      <c r="AF248">
        <v>45.58</v>
      </c>
      <c r="AG248">
        <v>25.01</v>
      </c>
      <c r="AH248">
        <v>19.98</v>
      </c>
      <c r="AI248">
        <v>50.25</v>
      </c>
      <c r="AJ248">
        <v>185.29</v>
      </c>
      <c r="AK248">
        <v>29.41</v>
      </c>
      <c r="AL248">
        <v>29.67</v>
      </c>
      <c r="AM248">
        <v>16.809999999999999</v>
      </c>
      <c r="AN248">
        <v>89.49</v>
      </c>
      <c r="AO248">
        <v>618.02</v>
      </c>
    </row>
    <row r="249" spans="1:41" x14ac:dyDescent="0.25">
      <c r="A249" t="s">
        <v>394</v>
      </c>
      <c r="B249">
        <v>3507</v>
      </c>
      <c r="C249">
        <v>5523</v>
      </c>
      <c r="D249">
        <v>11221</v>
      </c>
      <c r="E249">
        <v>2377</v>
      </c>
      <c r="F249">
        <v>1132</v>
      </c>
      <c r="G249">
        <v>1389</v>
      </c>
      <c r="H249">
        <v>2198</v>
      </c>
      <c r="I249">
        <v>1570</v>
      </c>
      <c r="J249">
        <v>8345</v>
      </c>
      <c r="K249">
        <v>2513</v>
      </c>
      <c r="L249">
        <v>3885</v>
      </c>
      <c r="M249">
        <v>303</v>
      </c>
      <c r="N249">
        <f t="shared" si="6"/>
        <v>43963</v>
      </c>
      <c r="O249">
        <v>5</v>
      </c>
      <c r="P249">
        <v>6</v>
      </c>
      <c r="Q249">
        <v>1</v>
      </c>
      <c r="R249">
        <v>0</v>
      </c>
      <c r="S249">
        <v>8</v>
      </c>
      <c r="T249">
        <v>2</v>
      </c>
      <c r="U249">
        <v>9</v>
      </c>
      <c r="V249">
        <v>0</v>
      </c>
      <c r="W249">
        <v>8</v>
      </c>
      <c r="X249">
        <v>2</v>
      </c>
      <c r="Y249">
        <v>5</v>
      </c>
      <c r="Z249">
        <v>0</v>
      </c>
      <c r="AA249">
        <f t="shared" si="7"/>
        <v>46</v>
      </c>
      <c r="AB249" t="s">
        <v>45</v>
      </c>
      <c r="AC249">
        <v>45.31</v>
      </c>
      <c r="AD249">
        <v>65.52</v>
      </c>
      <c r="AE249">
        <v>122.25</v>
      </c>
      <c r="AF249">
        <v>33.76</v>
      </c>
      <c r="AG249">
        <v>21.71</v>
      </c>
      <c r="AH249">
        <v>23.98</v>
      </c>
      <c r="AI249">
        <v>32.42</v>
      </c>
      <c r="AJ249">
        <v>25.69</v>
      </c>
      <c r="AK249">
        <v>93.84</v>
      </c>
      <c r="AL249">
        <v>35.22</v>
      </c>
      <c r="AM249">
        <v>49.09</v>
      </c>
      <c r="AN249">
        <v>13.02</v>
      </c>
      <c r="AO249">
        <v>561.81000000000006</v>
      </c>
    </row>
    <row r="250" spans="1:41" x14ac:dyDescent="0.25">
      <c r="A250" t="s">
        <v>395</v>
      </c>
      <c r="B250">
        <v>3481</v>
      </c>
      <c r="C250">
        <v>1776</v>
      </c>
      <c r="D250">
        <v>1782</v>
      </c>
      <c r="E250">
        <v>9415</v>
      </c>
      <c r="F250">
        <v>1693</v>
      </c>
      <c r="G250">
        <v>3095</v>
      </c>
      <c r="H250">
        <v>54</v>
      </c>
      <c r="I250">
        <v>1707</v>
      </c>
      <c r="J250">
        <v>7014</v>
      </c>
      <c r="K250">
        <v>2715</v>
      </c>
      <c r="L250">
        <v>3138</v>
      </c>
      <c r="M250">
        <v>159</v>
      </c>
      <c r="N250">
        <f t="shared" si="6"/>
        <v>36029</v>
      </c>
      <c r="O250">
        <v>4</v>
      </c>
      <c r="P250">
        <v>3</v>
      </c>
      <c r="Q250">
        <v>8</v>
      </c>
      <c r="R250">
        <v>8</v>
      </c>
      <c r="S250">
        <v>3</v>
      </c>
      <c r="T250">
        <v>10</v>
      </c>
      <c r="U250">
        <v>0</v>
      </c>
      <c r="V250">
        <v>0</v>
      </c>
      <c r="W250">
        <v>0</v>
      </c>
      <c r="X250">
        <v>0</v>
      </c>
      <c r="Y250">
        <v>5</v>
      </c>
      <c r="Z250">
        <v>11</v>
      </c>
      <c r="AA250">
        <f t="shared" si="7"/>
        <v>52</v>
      </c>
      <c r="AB250" t="s">
        <v>45</v>
      </c>
      <c r="AC250">
        <v>45</v>
      </c>
      <c r="AD250">
        <v>27.9</v>
      </c>
      <c r="AE250">
        <v>28.21</v>
      </c>
      <c r="AF250">
        <v>104.54</v>
      </c>
      <c r="AG250">
        <v>27.07</v>
      </c>
      <c r="AH250">
        <v>41.44</v>
      </c>
      <c r="AI250">
        <v>10.53</v>
      </c>
      <c r="AJ250">
        <v>27.06</v>
      </c>
      <c r="AK250">
        <v>80.13</v>
      </c>
      <c r="AL250">
        <v>37.14</v>
      </c>
      <c r="AM250">
        <v>41.62</v>
      </c>
      <c r="AN250">
        <v>12.13</v>
      </c>
      <c r="AO250">
        <v>482.77</v>
      </c>
    </row>
    <row r="251" spans="1:41" x14ac:dyDescent="0.25">
      <c r="A251" t="s">
        <v>396</v>
      </c>
      <c r="B251">
        <v>3472</v>
      </c>
      <c r="C251">
        <v>1404</v>
      </c>
      <c r="D251">
        <v>6861</v>
      </c>
      <c r="E251">
        <v>6965</v>
      </c>
      <c r="F251">
        <v>2177</v>
      </c>
      <c r="G251">
        <v>697</v>
      </c>
      <c r="H251">
        <v>562</v>
      </c>
      <c r="I251">
        <v>2276</v>
      </c>
      <c r="J251">
        <v>3401</v>
      </c>
      <c r="K251">
        <v>4641</v>
      </c>
      <c r="L251">
        <v>617</v>
      </c>
      <c r="M251">
        <v>3965</v>
      </c>
      <c r="N251">
        <f t="shared" si="6"/>
        <v>37038</v>
      </c>
      <c r="O251">
        <v>1</v>
      </c>
      <c r="P251">
        <v>2</v>
      </c>
      <c r="Q251">
        <v>3</v>
      </c>
      <c r="R251">
        <v>3</v>
      </c>
      <c r="S251">
        <v>2</v>
      </c>
      <c r="T251">
        <v>13</v>
      </c>
      <c r="U251">
        <v>3</v>
      </c>
      <c r="V251">
        <v>3</v>
      </c>
      <c r="W251">
        <v>2</v>
      </c>
      <c r="X251">
        <v>4</v>
      </c>
      <c r="Y251">
        <v>2</v>
      </c>
      <c r="Z251">
        <v>3</v>
      </c>
      <c r="AA251">
        <f t="shared" si="7"/>
        <v>41</v>
      </c>
      <c r="AB251" t="s">
        <v>45</v>
      </c>
      <c r="AC251">
        <v>44.76</v>
      </c>
      <c r="AD251">
        <v>24.13</v>
      </c>
      <c r="AE251">
        <v>78.75</v>
      </c>
      <c r="AF251">
        <v>79.790000000000006</v>
      </c>
      <c r="AG251">
        <v>31.86</v>
      </c>
      <c r="AH251">
        <v>17.61</v>
      </c>
      <c r="AI251">
        <v>15.76</v>
      </c>
      <c r="AJ251">
        <v>32.9</v>
      </c>
      <c r="AK251">
        <v>44.1</v>
      </c>
      <c r="AL251">
        <v>56.6</v>
      </c>
      <c r="AM251">
        <v>16.260000000000002</v>
      </c>
      <c r="AN251">
        <v>49.79</v>
      </c>
      <c r="AO251">
        <v>492.31000000000006</v>
      </c>
    </row>
    <row r="252" spans="1:41" x14ac:dyDescent="0.25">
      <c r="A252" t="s">
        <v>397</v>
      </c>
      <c r="B252">
        <v>3456</v>
      </c>
      <c r="C252">
        <v>16342</v>
      </c>
      <c r="D252">
        <v>3359</v>
      </c>
      <c r="E252">
        <v>3480</v>
      </c>
      <c r="F252">
        <v>9507</v>
      </c>
      <c r="G252">
        <v>1834</v>
      </c>
      <c r="H252">
        <v>1375</v>
      </c>
      <c r="I252">
        <v>1283</v>
      </c>
      <c r="J252">
        <v>1234</v>
      </c>
      <c r="K252">
        <v>4342</v>
      </c>
      <c r="L252">
        <v>570</v>
      </c>
      <c r="M252">
        <v>7804</v>
      </c>
      <c r="N252">
        <f t="shared" si="6"/>
        <v>54586</v>
      </c>
      <c r="O252">
        <v>9</v>
      </c>
      <c r="P252">
        <v>4</v>
      </c>
      <c r="Q252">
        <v>0</v>
      </c>
      <c r="R252">
        <v>6</v>
      </c>
      <c r="S252">
        <v>2</v>
      </c>
      <c r="T252">
        <v>4</v>
      </c>
      <c r="U252">
        <v>8</v>
      </c>
      <c r="V252">
        <v>3</v>
      </c>
      <c r="W252">
        <v>10</v>
      </c>
      <c r="X252">
        <v>7</v>
      </c>
      <c r="Y252">
        <v>3</v>
      </c>
      <c r="Z252">
        <v>3</v>
      </c>
      <c r="AA252">
        <f t="shared" si="7"/>
        <v>59</v>
      </c>
      <c r="AB252" t="s">
        <v>45</v>
      </c>
      <c r="AC252">
        <v>45</v>
      </c>
      <c r="AD252">
        <v>173.61</v>
      </c>
      <c r="AE252">
        <v>43.58</v>
      </c>
      <c r="AF252">
        <v>45.09</v>
      </c>
      <c r="AG252">
        <v>105.16</v>
      </c>
      <c r="AH252">
        <v>28.53</v>
      </c>
      <c r="AI252">
        <v>24.14</v>
      </c>
      <c r="AJ252">
        <v>22.97</v>
      </c>
      <c r="AK252">
        <v>22.83</v>
      </c>
      <c r="AL252">
        <v>53.76</v>
      </c>
      <c r="AM252">
        <v>15.84</v>
      </c>
      <c r="AN252">
        <v>88.18</v>
      </c>
      <c r="AO252">
        <v>668.69</v>
      </c>
    </row>
    <row r="253" spans="1:41" x14ac:dyDescent="0.25">
      <c r="A253" t="s">
        <v>398</v>
      </c>
      <c r="B253">
        <v>3454</v>
      </c>
      <c r="C253">
        <v>1979</v>
      </c>
      <c r="D253">
        <v>6881</v>
      </c>
      <c r="E253">
        <v>7541</v>
      </c>
      <c r="F253">
        <v>1499</v>
      </c>
      <c r="G253">
        <v>905</v>
      </c>
      <c r="H253">
        <v>10166</v>
      </c>
      <c r="I253">
        <v>5404</v>
      </c>
      <c r="J253">
        <v>4323</v>
      </c>
      <c r="K253">
        <v>4157</v>
      </c>
      <c r="L253">
        <v>894</v>
      </c>
      <c r="M253">
        <v>377</v>
      </c>
      <c r="N253">
        <f t="shared" si="6"/>
        <v>47580</v>
      </c>
      <c r="O253">
        <v>8</v>
      </c>
      <c r="P253">
        <v>1</v>
      </c>
      <c r="Q253">
        <v>15</v>
      </c>
      <c r="R253">
        <v>4</v>
      </c>
      <c r="S253">
        <v>1</v>
      </c>
      <c r="T253">
        <v>2</v>
      </c>
      <c r="U253">
        <v>0</v>
      </c>
      <c r="V253">
        <v>20</v>
      </c>
      <c r="W253">
        <v>0</v>
      </c>
      <c r="X253">
        <v>6</v>
      </c>
      <c r="Y253">
        <v>4</v>
      </c>
      <c r="Z253">
        <v>14</v>
      </c>
      <c r="AA253">
        <f t="shared" si="7"/>
        <v>75</v>
      </c>
      <c r="AB253" t="s">
        <v>45</v>
      </c>
      <c r="AC253">
        <v>44.93</v>
      </c>
      <c r="AD253">
        <v>29.83</v>
      </c>
      <c r="AE253">
        <v>79.55</v>
      </c>
      <c r="AF253">
        <v>85.6</v>
      </c>
      <c r="AG253">
        <v>25.03</v>
      </c>
      <c r="AH253">
        <v>19.14</v>
      </c>
      <c r="AI253">
        <v>111.65</v>
      </c>
      <c r="AJ253">
        <v>65.03</v>
      </c>
      <c r="AK253">
        <v>53.22</v>
      </c>
      <c r="AL253">
        <v>51.86</v>
      </c>
      <c r="AM253">
        <v>19.13</v>
      </c>
      <c r="AN253">
        <v>14.46</v>
      </c>
      <c r="AO253">
        <v>599.43000000000006</v>
      </c>
    </row>
    <row r="254" spans="1:41" x14ac:dyDescent="0.25">
      <c r="A254" t="s">
        <v>399</v>
      </c>
      <c r="B254">
        <v>3450</v>
      </c>
      <c r="C254">
        <v>2094</v>
      </c>
      <c r="D254">
        <v>763</v>
      </c>
      <c r="E254">
        <v>5638</v>
      </c>
      <c r="F254">
        <v>570</v>
      </c>
      <c r="G254">
        <v>1679</v>
      </c>
      <c r="H254">
        <v>1840</v>
      </c>
      <c r="I254">
        <v>4104</v>
      </c>
      <c r="J254">
        <v>9376</v>
      </c>
      <c r="K254">
        <v>10785</v>
      </c>
      <c r="L254">
        <v>0</v>
      </c>
      <c r="M254">
        <v>706</v>
      </c>
      <c r="N254">
        <f t="shared" si="6"/>
        <v>41005</v>
      </c>
      <c r="O254">
        <v>2</v>
      </c>
      <c r="P254">
        <v>2</v>
      </c>
      <c r="Q254">
        <v>1</v>
      </c>
      <c r="R254">
        <v>1</v>
      </c>
      <c r="S254">
        <v>6</v>
      </c>
      <c r="T254">
        <v>16</v>
      </c>
      <c r="U254">
        <v>7</v>
      </c>
      <c r="V254">
        <v>0</v>
      </c>
      <c r="W254">
        <v>10</v>
      </c>
      <c r="X254">
        <v>5</v>
      </c>
      <c r="Y254">
        <v>6</v>
      </c>
      <c r="Z254">
        <v>2</v>
      </c>
      <c r="AA254">
        <f t="shared" si="7"/>
        <v>58</v>
      </c>
      <c r="AB254" t="s">
        <v>45</v>
      </c>
      <c r="AC254">
        <v>44.59</v>
      </c>
      <c r="AD254">
        <v>31.03</v>
      </c>
      <c r="AE254">
        <v>17.670000000000002</v>
      </c>
      <c r="AF254">
        <v>66.42</v>
      </c>
      <c r="AG254">
        <v>15.99</v>
      </c>
      <c r="AH254">
        <v>27.58</v>
      </c>
      <c r="AI254">
        <v>28.74</v>
      </c>
      <c r="AJ254">
        <v>51.03</v>
      </c>
      <c r="AK254">
        <v>104.25</v>
      </c>
      <c r="AL254">
        <v>118.09</v>
      </c>
      <c r="AM254">
        <v>10.29</v>
      </c>
      <c r="AN254">
        <v>17.149999999999999</v>
      </c>
      <c r="AO254">
        <v>532.83000000000004</v>
      </c>
    </row>
    <row r="255" spans="1:41" x14ac:dyDescent="0.25">
      <c r="A255" t="s">
        <v>400</v>
      </c>
      <c r="B255">
        <v>3446</v>
      </c>
      <c r="C255">
        <v>4442</v>
      </c>
      <c r="D255">
        <v>2547</v>
      </c>
      <c r="E255">
        <v>11616</v>
      </c>
      <c r="F255">
        <v>1019</v>
      </c>
      <c r="G255">
        <v>5839</v>
      </c>
      <c r="H255">
        <v>1482</v>
      </c>
      <c r="I255">
        <v>2563</v>
      </c>
      <c r="J255">
        <v>4651</v>
      </c>
      <c r="K255">
        <v>9917</v>
      </c>
      <c r="L255">
        <v>3707</v>
      </c>
      <c r="M255">
        <v>5787</v>
      </c>
      <c r="N255">
        <f t="shared" si="6"/>
        <v>57016</v>
      </c>
      <c r="O255">
        <v>8</v>
      </c>
      <c r="P255">
        <v>5</v>
      </c>
      <c r="Q255">
        <v>3</v>
      </c>
      <c r="R255">
        <v>2</v>
      </c>
      <c r="S255">
        <v>0</v>
      </c>
      <c r="T255">
        <v>8</v>
      </c>
      <c r="U255">
        <v>3</v>
      </c>
      <c r="V255">
        <v>2</v>
      </c>
      <c r="W255">
        <v>3</v>
      </c>
      <c r="X255">
        <v>7</v>
      </c>
      <c r="Y255">
        <v>0</v>
      </c>
      <c r="Z255">
        <v>8</v>
      </c>
      <c r="AA255">
        <f t="shared" si="7"/>
        <v>49</v>
      </c>
      <c r="AB255" t="s">
        <v>45</v>
      </c>
      <c r="AC255">
        <v>44.85</v>
      </c>
      <c r="AD255">
        <v>54.66</v>
      </c>
      <c r="AE255">
        <v>35.61</v>
      </c>
      <c r="AF255">
        <v>126.25</v>
      </c>
      <c r="AG255">
        <v>20.18</v>
      </c>
      <c r="AH255">
        <v>68.78</v>
      </c>
      <c r="AI255">
        <v>24.96</v>
      </c>
      <c r="AJ255">
        <v>35.72</v>
      </c>
      <c r="AK255">
        <v>56.65</v>
      </c>
      <c r="AL255">
        <v>109.51</v>
      </c>
      <c r="AM255">
        <v>47.06</v>
      </c>
      <c r="AN255">
        <v>68.260000000000005</v>
      </c>
      <c r="AO255">
        <v>692.49</v>
      </c>
    </row>
    <row r="256" spans="1:41" x14ac:dyDescent="0.25">
      <c r="A256" t="s">
        <v>401</v>
      </c>
      <c r="B256">
        <v>3443</v>
      </c>
      <c r="C256">
        <v>287</v>
      </c>
      <c r="D256">
        <v>3430</v>
      </c>
      <c r="E256">
        <v>0</v>
      </c>
      <c r="F256">
        <v>921</v>
      </c>
      <c r="G256">
        <v>3500</v>
      </c>
      <c r="H256">
        <v>17301</v>
      </c>
      <c r="I256">
        <v>8029</v>
      </c>
      <c r="J256">
        <v>3024</v>
      </c>
      <c r="K256">
        <v>3237</v>
      </c>
      <c r="L256">
        <v>22112</v>
      </c>
      <c r="M256">
        <v>2922</v>
      </c>
      <c r="N256">
        <f t="shared" si="6"/>
        <v>68206</v>
      </c>
      <c r="O256">
        <v>3</v>
      </c>
      <c r="P256">
        <v>0</v>
      </c>
      <c r="Q256">
        <v>3</v>
      </c>
      <c r="R256">
        <v>8</v>
      </c>
      <c r="S256">
        <v>23</v>
      </c>
      <c r="T256">
        <v>4</v>
      </c>
      <c r="U256">
        <v>3</v>
      </c>
      <c r="V256">
        <v>6</v>
      </c>
      <c r="W256">
        <v>10</v>
      </c>
      <c r="X256">
        <v>5</v>
      </c>
      <c r="Y256">
        <v>4</v>
      </c>
      <c r="Z256">
        <v>2</v>
      </c>
      <c r="AA256">
        <f t="shared" si="7"/>
        <v>71</v>
      </c>
      <c r="AB256" t="s">
        <v>45</v>
      </c>
      <c r="AC256">
        <v>44.57</v>
      </c>
      <c r="AD256">
        <v>12.86</v>
      </c>
      <c r="AE256">
        <v>44.44</v>
      </c>
      <c r="AF256">
        <v>10.39</v>
      </c>
      <c r="AG256">
        <v>20.350000000000001</v>
      </c>
      <c r="AH256">
        <v>45.19</v>
      </c>
      <c r="AI256">
        <v>183.15</v>
      </c>
      <c r="AJ256">
        <v>90.58</v>
      </c>
      <c r="AK256">
        <v>40.729999999999997</v>
      </c>
      <c r="AL256">
        <v>42.61</v>
      </c>
      <c r="AM256">
        <v>231.31</v>
      </c>
      <c r="AN256">
        <v>39.31</v>
      </c>
      <c r="AO256">
        <v>805.49</v>
      </c>
    </row>
    <row r="257" spans="1:41" x14ac:dyDescent="0.25">
      <c r="A257" t="s">
        <v>403</v>
      </c>
      <c r="B257">
        <v>3410</v>
      </c>
      <c r="C257">
        <v>15257</v>
      </c>
      <c r="D257">
        <v>6883</v>
      </c>
      <c r="E257">
        <v>0</v>
      </c>
      <c r="F257">
        <v>2740</v>
      </c>
      <c r="G257">
        <v>3726</v>
      </c>
      <c r="H257">
        <v>3483</v>
      </c>
      <c r="I257">
        <v>4587</v>
      </c>
      <c r="J257">
        <v>5945</v>
      </c>
      <c r="K257">
        <v>1036</v>
      </c>
      <c r="L257">
        <v>10437</v>
      </c>
      <c r="M257">
        <v>987</v>
      </c>
      <c r="N257">
        <f t="shared" si="6"/>
        <v>58491</v>
      </c>
      <c r="O257">
        <v>2</v>
      </c>
      <c r="P257">
        <v>12</v>
      </c>
      <c r="Q257">
        <v>8</v>
      </c>
      <c r="R257">
        <v>0</v>
      </c>
      <c r="S257">
        <v>2</v>
      </c>
      <c r="T257">
        <v>8</v>
      </c>
      <c r="U257">
        <v>5</v>
      </c>
      <c r="V257">
        <v>5</v>
      </c>
      <c r="W257">
        <v>2</v>
      </c>
      <c r="X257">
        <v>6</v>
      </c>
      <c r="Y257">
        <v>2</v>
      </c>
      <c r="Z257">
        <v>2</v>
      </c>
      <c r="AA257">
        <f t="shared" si="7"/>
        <v>54</v>
      </c>
      <c r="AB257" t="s">
        <v>45</v>
      </c>
      <c r="AC257">
        <v>44.19</v>
      </c>
      <c r="AD257">
        <v>163.16</v>
      </c>
      <c r="AE257">
        <v>79.22</v>
      </c>
      <c r="AF257">
        <v>9.99</v>
      </c>
      <c r="AG257">
        <v>37.49</v>
      </c>
      <c r="AH257">
        <v>47.65</v>
      </c>
      <c r="AI257">
        <v>45.07</v>
      </c>
      <c r="AJ257">
        <v>56.11</v>
      </c>
      <c r="AK257">
        <v>69.540000000000006</v>
      </c>
      <c r="AL257">
        <v>20.65</v>
      </c>
      <c r="AM257">
        <v>114.46</v>
      </c>
      <c r="AN257">
        <v>19.96</v>
      </c>
      <c r="AO257">
        <v>707.49</v>
      </c>
    </row>
    <row r="258" spans="1:41" x14ac:dyDescent="0.25">
      <c r="A258" t="s">
        <v>406</v>
      </c>
      <c r="B258">
        <v>3385</v>
      </c>
      <c r="C258">
        <v>1636</v>
      </c>
      <c r="D258">
        <v>8816</v>
      </c>
      <c r="E258">
        <v>2072</v>
      </c>
      <c r="F258">
        <v>1507</v>
      </c>
      <c r="G258">
        <v>9130</v>
      </c>
      <c r="H258">
        <v>2752</v>
      </c>
      <c r="I258">
        <v>1693</v>
      </c>
      <c r="J258">
        <v>2255</v>
      </c>
      <c r="K258">
        <v>4459</v>
      </c>
      <c r="L258">
        <v>155</v>
      </c>
      <c r="M258">
        <v>7170</v>
      </c>
      <c r="N258">
        <f t="shared" si="6"/>
        <v>45030</v>
      </c>
      <c r="O258">
        <v>12</v>
      </c>
      <c r="P258">
        <v>3</v>
      </c>
      <c r="Q258">
        <v>4</v>
      </c>
      <c r="R258">
        <v>3</v>
      </c>
      <c r="S258">
        <v>11</v>
      </c>
      <c r="T258">
        <v>7</v>
      </c>
      <c r="U258">
        <v>1</v>
      </c>
      <c r="V258">
        <v>7</v>
      </c>
      <c r="W258">
        <v>3</v>
      </c>
      <c r="X258">
        <v>7</v>
      </c>
      <c r="Y258">
        <v>9</v>
      </c>
      <c r="Z258">
        <v>3</v>
      </c>
      <c r="AA258">
        <f t="shared" si="7"/>
        <v>70</v>
      </c>
      <c r="AB258" t="s">
        <v>45</v>
      </c>
      <c r="AC258">
        <v>44.44</v>
      </c>
      <c r="AD258">
        <v>26.5</v>
      </c>
      <c r="AE258">
        <v>98.35</v>
      </c>
      <c r="AF258">
        <v>30.86</v>
      </c>
      <c r="AG258">
        <v>25.61</v>
      </c>
      <c r="AH258">
        <v>101.64</v>
      </c>
      <c r="AI258">
        <v>37.56</v>
      </c>
      <c r="AJ258">
        <v>27.27</v>
      </c>
      <c r="AK258">
        <v>32.69</v>
      </c>
      <c r="AL258">
        <v>54.93</v>
      </c>
      <c r="AM258">
        <v>11.99</v>
      </c>
      <c r="AN258">
        <v>81.84</v>
      </c>
      <c r="AO258">
        <v>573.67999999999995</v>
      </c>
    </row>
    <row r="259" spans="1:41" x14ac:dyDescent="0.25">
      <c r="A259" t="s">
        <v>410</v>
      </c>
      <c r="B259">
        <v>3355</v>
      </c>
      <c r="C259">
        <v>4953</v>
      </c>
      <c r="D259">
        <v>2506</v>
      </c>
      <c r="E259">
        <v>4271</v>
      </c>
      <c r="F259">
        <v>2140</v>
      </c>
      <c r="G259">
        <v>470</v>
      </c>
      <c r="H259">
        <v>13377</v>
      </c>
      <c r="I259">
        <v>6228</v>
      </c>
      <c r="J259">
        <v>233</v>
      </c>
      <c r="K259">
        <v>3107</v>
      </c>
      <c r="L259">
        <v>3296</v>
      </c>
      <c r="M259">
        <v>0</v>
      </c>
      <c r="N259">
        <f t="shared" si="6"/>
        <v>43936</v>
      </c>
      <c r="O259">
        <v>10</v>
      </c>
      <c r="P259">
        <v>2</v>
      </c>
      <c r="Q259">
        <v>6</v>
      </c>
      <c r="R259">
        <v>8</v>
      </c>
      <c r="S259">
        <v>3</v>
      </c>
      <c r="T259">
        <v>3</v>
      </c>
      <c r="U259">
        <v>3</v>
      </c>
      <c r="V259">
        <v>6</v>
      </c>
      <c r="W259">
        <v>4</v>
      </c>
      <c r="X259">
        <v>3</v>
      </c>
      <c r="Y259">
        <v>1</v>
      </c>
      <c r="Z259">
        <v>3</v>
      </c>
      <c r="AA259">
        <f t="shared" si="7"/>
        <v>52</v>
      </c>
      <c r="AB259" t="s">
        <v>45</v>
      </c>
      <c r="AC259">
        <v>44.04</v>
      </c>
      <c r="AD259">
        <v>59.62</v>
      </c>
      <c r="AE259">
        <v>35.35</v>
      </c>
      <c r="AF259">
        <v>53.1</v>
      </c>
      <c r="AG259">
        <v>31.54</v>
      </c>
      <c r="AH259">
        <v>14.84</v>
      </c>
      <c r="AI259">
        <v>143.91</v>
      </c>
      <c r="AJ259">
        <v>72.569999999999993</v>
      </c>
      <c r="AK259">
        <v>12.52</v>
      </c>
      <c r="AL259">
        <v>41.21</v>
      </c>
      <c r="AM259">
        <v>43</v>
      </c>
      <c r="AN259">
        <v>10.14</v>
      </c>
      <c r="AO259">
        <v>561.83999999999992</v>
      </c>
    </row>
    <row r="260" spans="1:41" x14ac:dyDescent="0.25">
      <c r="A260" t="s">
        <v>412</v>
      </c>
      <c r="B260">
        <v>3346</v>
      </c>
      <c r="C260">
        <v>0</v>
      </c>
      <c r="D260">
        <v>3977</v>
      </c>
      <c r="E260">
        <v>8945</v>
      </c>
      <c r="F260">
        <v>1559</v>
      </c>
      <c r="G260">
        <v>5166</v>
      </c>
      <c r="H260">
        <v>2080</v>
      </c>
      <c r="I260">
        <v>5037</v>
      </c>
      <c r="J260">
        <v>4012</v>
      </c>
      <c r="K260">
        <v>0</v>
      </c>
      <c r="L260">
        <v>572</v>
      </c>
      <c r="M260">
        <v>1377</v>
      </c>
      <c r="N260">
        <f t="shared" ref="N260:N323" si="8">SUM(B260:M260)</f>
        <v>36071</v>
      </c>
      <c r="O260">
        <v>3</v>
      </c>
      <c r="P260">
        <v>4</v>
      </c>
      <c r="Q260">
        <v>2</v>
      </c>
      <c r="R260">
        <v>2</v>
      </c>
      <c r="S260">
        <v>14</v>
      </c>
      <c r="T260">
        <v>3</v>
      </c>
      <c r="U260">
        <v>2</v>
      </c>
      <c r="V260">
        <v>5</v>
      </c>
      <c r="W260">
        <v>1</v>
      </c>
      <c r="X260">
        <v>2</v>
      </c>
      <c r="Y260">
        <v>1</v>
      </c>
      <c r="Z260">
        <v>3</v>
      </c>
      <c r="AA260">
        <f t="shared" ref="AA260:AA323" si="9">SUM(O260:Z260)</f>
        <v>42</v>
      </c>
      <c r="AB260" t="s">
        <v>45</v>
      </c>
      <c r="AC260">
        <v>43.6</v>
      </c>
      <c r="AD260">
        <v>10.19</v>
      </c>
      <c r="AE260">
        <v>49.86</v>
      </c>
      <c r="AF260">
        <v>99.54</v>
      </c>
      <c r="AG260">
        <v>26.28</v>
      </c>
      <c r="AH260">
        <v>61.8</v>
      </c>
      <c r="AI260">
        <v>30.89</v>
      </c>
      <c r="AJ260">
        <v>60.61</v>
      </c>
      <c r="AK260">
        <v>50.16</v>
      </c>
      <c r="AL260">
        <v>10.09</v>
      </c>
      <c r="AM260">
        <v>15.76</v>
      </c>
      <c r="AN260">
        <v>23.91</v>
      </c>
      <c r="AO260">
        <v>482.68999999999994</v>
      </c>
    </row>
    <row r="261" spans="1:41" x14ac:dyDescent="0.25">
      <c r="A261" t="s">
        <v>416</v>
      </c>
      <c r="B261">
        <v>3301</v>
      </c>
      <c r="C261">
        <v>93</v>
      </c>
      <c r="D261">
        <v>7394</v>
      </c>
      <c r="E261">
        <v>0</v>
      </c>
      <c r="F261">
        <v>13273</v>
      </c>
      <c r="G261">
        <v>1905</v>
      </c>
      <c r="H261">
        <v>4185</v>
      </c>
      <c r="I261">
        <v>1107</v>
      </c>
      <c r="J261">
        <v>1630</v>
      </c>
      <c r="K261">
        <v>4902</v>
      </c>
      <c r="L261">
        <v>2057</v>
      </c>
      <c r="M261">
        <v>9240</v>
      </c>
      <c r="N261">
        <f t="shared" si="8"/>
        <v>49087</v>
      </c>
      <c r="O261">
        <v>4</v>
      </c>
      <c r="P261">
        <v>0</v>
      </c>
      <c r="Q261">
        <v>3</v>
      </c>
      <c r="R261">
        <v>3</v>
      </c>
      <c r="S261">
        <v>8</v>
      </c>
      <c r="T261">
        <v>1</v>
      </c>
      <c r="U261">
        <v>0</v>
      </c>
      <c r="V261">
        <v>10</v>
      </c>
      <c r="W261">
        <v>2</v>
      </c>
      <c r="X261">
        <v>0</v>
      </c>
      <c r="Y261">
        <v>14</v>
      </c>
      <c r="Z261">
        <v>4</v>
      </c>
      <c r="AA261">
        <f t="shared" si="9"/>
        <v>49</v>
      </c>
      <c r="AB261" t="s">
        <v>45</v>
      </c>
      <c r="AC261">
        <v>43.2</v>
      </c>
      <c r="AD261">
        <v>10.92</v>
      </c>
      <c r="AE261">
        <v>84.08</v>
      </c>
      <c r="AF261">
        <v>10.14</v>
      </c>
      <c r="AG261">
        <v>143.12</v>
      </c>
      <c r="AH261">
        <v>29.09</v>
      </c>
      <c r="AI261">
        <v>51.84</v>
      </c>
      <c r="AJ261">
        <v>21.56</v>
      </c>
      <c r="AK261">
        <v>26.39</v>
      </c>
      <c r="AL261">
        <v>59.01</v>
      </c>
      <c r="AM261">
        <v>31.26</v>
      </c>
      <c r="AN261">
        <v>102.59</v>
      </c>
      <c r="AO261">
        <v>613.19999999999993</v>
      </c>
    </row>
    <row r="262" spans="1:41" x14ac:dyDescent="0.25">
      <c r="A262" t="s">
        <v>417</v>
      </c>
      <c r="B262">
        <v>3295</v>
      </c>
      <c r="C262">
        <v>2258</v>
      </c>
      <c r="D262">
        <v>5083</v>
      </c>
      <c r="E262">
        <v>990</v>
      </c>
      <c r="F262">
        <v>12889</v>
      </c>
      <c r="G262">
        <v>4895</v>
      </c>
      <c r="H262">
        <v>4623</v>
      </c>
      <c r="I262">
        <v>8506</v>
      </c>
      <c r="J262">
        <v>19376</v>
      </c>
      <c r="K262">
        <v>522</v>
      </c>
      <c r="L262">
        <v>5901</v>
      </c>
      <c r="M262">
        <v>1340</v>
      </c>
      <c r="N262">
        <f t="shared" si="8"/>
        <v>69678</v>
      </c>
      <c r="O262">
        <v>1</v>
      </c>
      <c r="P262">
        <v>1</v>
      </c>
      <c r="Q262">
        <v>0</v>
      </c>
      <c r="R262">
        <v>2</v>
      </c>
      <c r="S262">
        <v>2</v>
      </c>
      <c r="T262">
        <v>5</v>
      </c>
      <c r="U262">
        <v>8</v>
      </c>
      <c r="V262">
        <v>6</v>
      </c>
      <c r="W262">
        <v>3</v>
      </c>
      <c r="X262">
        <v>4</v>
      </c>
      <c r="Y262">
        <v>3</v>
      </c>
      <c r="Z262">
        <v>4</v>
      </c>
      <c r="AA262">
        <f t="shared" si="9"/>
        <v>39</v>
      </c>
      <c r="AB262" t="s">
        <v>45</v>
      </c>
      <c r="AC262">
        <v>42.99</v>
      </c>
      <c r="AD262">
        <v>32.619999999999997</v>
      </c>
      <c r="AE262">
        <v>60.82</v>
      </c>
      <c r="AF262">
        <v>19.989999999999998</v>
      </c>
      <c r="AG262">
        <v>138.97999999999999</v>
      </c>
      <c r="AH262">
        <v>59.19</v>
      </c>
      <c r="AI262">
        <v>56.62</v>
      </c>
      <c r="AJ262">
        <v>95.35</v>
      </c>
      <c r="AK262">
        <v>203.9</v>
      </c>
      <c r="AL262">
        <v>15.41</v>
      </c>
      <c r="AM262">
        <v>69.150000000000006</v>
      </c>
      <c r="AN262">
        <v>23.59</v>
      </c>
      <c r="AO262">
        <v>818.6099999999999</v>
      </c>
    </row>
    <row r="263" spans="1:41" x14ac:dyDescent="0.25">
      <c r="A263" t="s">
        <v>418</v>
      </c>
      <c r="B263">
        <v>3288</v>
      </c>
      <c r="C263">
        <v>184</v>
      </c>
      <c r="D263">
        <v>2324</v>
      </c>
      <c r="E263">
        <v>1269</v>
      </c>
      <c r="F263">
        <v>2326</v>
      </c>
      <c r="G263">
        <v>1296</v>
      </c>
      <c r="H263">
        <v>1531</v>
      </c>
      <c r="I263">
        <v>3663</v>
      </c>
      <c r="J263">
        <v>4469</v>
      </c>
      <c r="K263">
        <v>1944</v>
      </c>
      <c r="L263">
        <v>9814</v>
      </c>
      <c r="M263">
        <v>10649</v>
      </c>
      <c r="N263">
        <f t="shared" si="8"/>
        <v>42757</v>
      </c>
      <c r="O263">
        <v>1</v>
      </c>
      <c r="P263">
        <v>8</v>
      </c>
      <c r="Q263">
        <v>0</v>
      </c>
      <c r="R263">
        <v>9</v>
      </c>
      <c r="S263">
        <v>3</v>
      </c>
      <c r="T263">
        <v>2</v>
      </c>
      <c r="U263">
        <v>2</v>
      </c>
      <c r="V263">
        <v>12</v>
      </c>
      <c r="W263">
        <v>0</v>
      </c>
      <c r="X263">
        <v>0</v>
      </c>
      <c r="Y263">
        <v>1</v>
      </c>
      <c r="Z263">
        <v>4</v>
      </c>
      <c r="AA263">
        <f t="shared" si="9"/>
        <v>42</v>
      </c>
      <c r="AB263" t="s">
        <v>45</v>
      </c>
      <c r="AC263">
        <v>42.92</v>
      </c>
      <c r="AD263">
        <v>12.23</v>
      </c>
      <c r="AE263">
        <v>33.229999999999997</v>
      </c>
      <c r="AF263">
        <v>23.13</v>
      </c>
      <c r="AG263">
        <v>33.4</v>
      </c>
      <c r="AH263">
        <v>23.05</v>
      </c>
      <c r="AI263">
        <v>25.4</v>
      </c>
      <c r="AJ263">
        <v>47.22</v>
      </c>
      <c r="AK263">
        <v>54.68</v>
      </c>
      <c r="AL263">
        <v>29.43</v>
      </c>
      <c r="AM263">
        <v>108.18</v>
      </c>
      <c r="AN263">
        <v>116.68</v>
      </c>
      <c r="AO263">
        <v>549.54999999999995</v>
      </c>
    </row>
    <row r="264" spans="1:41" x14ac:dyDescent="0.25">
      <c r="A264" t="s">
        <v>420</v>
      </c>
      <c r="B264">
        <v>3270</v>
      </c>
      <c r="C264">
        <v>1281</v>
      </c>
      <c r="D264">
        <v>2065</v>
      </c>
      <c r="E264">
        <v>8979</v>
      </c>
      <c r="F264">
        <v>0</v>
      </c>
      <c r="G264">
        <v>574</v>
      </c>
      <c r="H264">
        <v>10684</v>
      </c>
      <c r="I264">
        <v>3420</v>
      </c>
      <c r="J264">
        <v>2183</v>
      </c>
      <c r="K264">
        <v>1275</v>
      </c>
      <c r="L264">
        <v>6773</v>
      </c>
      <c r="M264">
        <v>783</v>
      </c>
      <c r="N264">
        <f t="shared" si="8"/>
        <v>41287</v>
      </c>
      <c r="O264">
        <v>4</v>
      </c>
      <c r="P264">
        <v>2</v>
      </c>
      <c r="Q264">
        <v>6</v>
      </c>
      <c r="R264">
        <v>2</v>
      </c>
      <c r="S264">
        <v>8</v>
      </c>
      <c r="T264">
        <v>3</v>
      </c>
      <c r="U264">
        <v>5</v>
      </c>
      <c r="V264">
        <v>5</v>
      </c>
      <c r="W264">
        <v>1</v>
      </c>
      <c r="X264">
        <v>15</v>
      </c>
      <c r="Y264">
        <v>4</v>
      </c>
      <c r="Z264">
        <v>6</v>
      </c>
      <c r="AA264">
        <f t="shared" si="9"/>
        <v>61</v>
      </c>
      <c r="AB264" t="s">
        <v>45</v>
      </c>
      <c r="AC264">
        <v>42.89</v>
      </c>
      <c r="AD264">
        <v>22.9</v>
      </c>
      <c r="AE264">
        <v>30.94</v>
      </c>
      <c r="AF264">
        <v>99.88</v>
      </c>
      <c r="AG264">
        <v>10.39</v>
      </c>
      <c r="AH264">
        <v>15.88</v>
      </c>
      <c r="AI264">
        <v>117.08</v>
      </c>
      <c r="AJ264">
        <v>44.44</v>
      </c>
      <c r="AK264">
        <v>31.87</v>
      </c>
      <c r="AL264">
        <v>23.49</v>
      </c>
      <c r="AM264">
        <v>77.92</v>
      </c>
      <c r="AN264">
        <v>18.12</v>
      </c>
      <c r="AO264">
        <v>535.79999999999995</v>
      </c>
    </row>
    <row r="265" spans="1:41" x14ac:dyDescent="0.25">
      <c r="A265" t="s">
        <v>421</v>
      </c>
      <c r="B265">
        <v>3269</v>
      </c>
      <c r="C265">
        <v>1511</v>
      </c>
      <c r="D265">
        <v>7955</v>
      </c>
      <c r="E265">
        <v>4922</v>
      </c>
      <c r="F265">
        <v>4850</v>
      </c>
      <c r="G265">
        <v>7117</v>
      </c>
      <c r="H265">
        <v>3313</v>
      </c>
      <c r="I265">
        <v>2583</v>
      </c>
      <c r="J265">
        <v>1863</v>
      </c>
      <c r="K265">
        <v>227</v>
      </c>
      <c r="L265">
        <v>2750</v>
      </c>
      <c r="M265">
        <v>6974</v>
      </c>
      <c r="N265">
        <f t="shared" si="8"/>
        <v>47334</v>
      </c>
      <c r="O265">
        <v>1</v>
      </c>
      <c r="P265">
        <v>3</v>
      </c>
      <c r="Q265">
        <v>1</v>
      </c>
      <c r="R265">
        <v>1</v>
      </c>
      <c r="S265">
        <v>0</v>
      </c>
      <c r="T265">
        <v>1</v>
      </c>
      <c r="U265">
        <v>2</v>
      </c>
      <c r="V265">
        <v>2</v>
      </c>
      <c r="W265">
        <v>3</v>
      </c>
      <c r="X265">
        <v>3</v>
      </c>
      <c r="Y265">
        <v>8</v>
      </c>
      <c r="Z265">
        <v>10</v>
      </c>
      <c r="AA265">
        <f t="shared" si="9"/>
        <v>35</v>
      </c>
      <c r="AB265" t="s">
        <v>45</v>
      </c>
      <c r="AC265">
        <v>42.73</v>
      </c>
      <c r="AD265">
        <v>25.25</v>
      </c>
      <c r="AE265">
        <v>89.59</v>
      </c>
      <c r="AF265">
        <v>59.26</v>
      </c>
      <c r="AG265">
        <v>58.49</v>
      </c>
      <c r="AH265">
        <v>81.209999999999994</v>
      </c>
      <c r="AI265">
        <v>43.22</v>
      </c>
      <c r="AJ265">
        <v>35.92</v>
      </c>
      <c r="AK265">
        <v>28.77</v>
      </c>
      <c r="AL265">
        <v>12.41</v>
      </c>
      <c r="AM265">
        <v>37.89</v>
      </c>
      <c r="AN265">
        <v>80.23</v>
      </c>
      <c r="AO265">
        <v>594.97</v>
      </c>
    </row>
    <row r="266" spans="1:41" x14ac:dyDescent="0.25">
      <c r="A266" t="s">
        <v>422</v>
      </c>
      <c r="B266">
        <v>3266</v>
      </c>
      <c r="C266">
        <v>363</v>
      </c>
      <c r="D266">
        <v>0</v>
      </c>
      <c r="E266">
        <v>3943</v>
      </c>
      <c r="F266">
        <v>8146</v>
      </c>
      <c r="G266">
        <v>1769</v>
      </c>
      <c r="H266">
        <v>5797</v>
      </c>
      <c r="I266">
        <v>5063</v>
      </c>
      <c r="J266">
        <v>1824</v>
      </c>
      <c r="K266">
        <v>4485</v>
      </c>
      <c r="L266">
        <v>10121</v>
      </c>
      <c r="M266">
        <v>8827</v>
      </c>
      <c r="N266">
        <f t="shared" si="8"/>
        <v>53604</v>
      </c>
      <c r="O266">
        <v>3</v>
      </c>
      <c r="P266">
        <v>3</v>
      </c>
      <c r="Q266">
        <v>0</v>
      </c>
      <c r="R266">
        <v>1</v>
      </c>
      <c r="S266">
        <v>5</v>
      </c>
      <c r="T266">
        <v>0</v>
      </c>
      <c r="U266">
        <v>4</v>
      </c>
      <c r="V266">
        <v>7</v>
      </c>
      <c r="W266">
        <v>1</v>
      </c>
      <c r="X266">
        <v>3</v>
      </c>
      <c r="Y266">
        <v>2</v>
      </c>
      <c r="Z266">
        <v>6</v>
      </c>
      <c r="AA266">
        <f t="shared" si="9"/>
        <v>35</v>
      </c>
      <c r="AB266" t="s">
        <v>45</v>
      </c>
      <c r="AC266">
        <v>42.8</v>
      </c>
      <c r="AD266">
        <v>13.77</v>
      </c>
      <c r="AE266">
        <v>9.99</v>
      </c>
      <c r="AF266">
        <v>49.47</v>
      </c>
      <c r="AG266">
        <v>91.7</v>
      </c>
      <c r="AH266">
        <v>27.68</v>
      </c>
      <c r="AI266">
        <v>68.16</v>
      </c>
      <c r="AJ266">
        <v>60.97</v>
      </c>
      <c r="AK266">
        <v>28.28</v>
      </c>
      <c r="AL266">
        <v>54.99</v>
      </c>
      <c r="AM266">
        <v>111.3</v>
      </c>
      <c r="AN266">
        <v>98.56</v>
      </c>
      <c r="AO266">
        <v>657.66999999999985</v>
      </c>
    </row>
    <row r="267" spans="1:41" x14ac:dyDescent="0.25">
      <c r="A267" t="s">
        <v>424</v>
      </c>
      <c r="B267">
        <v>3230</v>
      </c>
      <c r="C267">
        <v>11031</v>
      </c>
      <c r="D267">
        <v>5986</v>
      </c>
      <c r="E267">
        <v>9439</v>
      </c>
      <c r="F267">
        <v>6578</v>
      </c>
      <c r="G267">
        <v>657</v>
      </c>
      <c r="H267">
        <v>6898</v>
      </c>
      <c r="I267">
        <v>9026</v>
      </c>
      <c r="J267">
        <v>10037</v>
      </c>
      <c r="K267">
        <v>4350</v>
      </c>
      <c r="L267">
        <v>135</v>
      </c>
      <c r="M267">
        <v>0</v>
      </c>
      <c r="N267">
        <f t="shared" si="8"/>
        <v>67367</v>
      </c>
      <c r="O267">
        <v>2</v>
      </c>
      <c r="P267">
        <v>9</v>
      </c>
      <c r="Q267">
        <v>18</v>
      </c>
      <c r="R267">
        <v>1</v>
      </c>
      <c r="S267">
        <v>3</v>
      </c>
      <c r="T267">
        <v>4</v>
      </c>
      <c r="U267">
        <v>15</v>
      </c>
      <c r="V267">
        <v>8</v>
      </c>
      <c r="W267">
        <v>6</v>
      </c>
      <c r="X267">
        <v>3</v>
      </c>
      <c r="Y267">
        <v>1</v>
      </c>
      <c r="Z267">
        <v>0</v>
      </c>
      <c r="AA267">
        <f t="shared" si="9"/>
        <v>70</v>
      </c>
      <c r="AB267" t="s">
        <v>45</v>
      </c>
      <c r="AC267">
        <v>42.39</v>
      </c>
      <c r="AD267">
        <v>120.75</v>
      </c>
      <c r="AE267">
        <v>70.75</v>
      </c>
      <c r="AF267">
        <v>104.43</v>
      </c>
      <c r="AG267">
        <v>75.92</v>
      </c>
      <c r="AH267">
        <v>16.760000000000002</v>
      </c>
      <c r="AI267">
        <v>79.72</v>
      </c>
      <c r="AJ267">
        <v>100.65</v>
      </c>
      <c r="AK267">
        <v>110.66</v>
      </c>
      <c r="AL267">
        <v>53.64</v>
      </c>
      <c r="AM267">
        <v>11.39</v>
      </c>
      <c r="AN267">
        <v>9.99</v>
      </c>
      <c r="AO267">
        <v>797.05</v>
      </c>
    </row>
    <row r="268" spans="1:41" x14ac:dyDescent="0.25">
      <c r="A268" t="s">
        <v>426</v>
      </c>
      <c r="B268">
        <v>3214</v>
      </c>
      <c r="C268">
        <v>8492</v>
      </c>
      <c r="D268">
        <v>6552</v>
      </c>
      <c r="E268">
        <v>1256</v>
      </c>
      <c r="F268">
        <v>0</v>
      </c>
      <c r="G268">
        <v>3029</v>
      </c>
      <c r="H268">
        <v>6303</v>
      </c>
      <c r="I268">
        <v>4212</v>
      </c>
      <c r="J268">
        <v>2017</v>
      </c>
      <c r="K268">
        <v>231</v>
      </c>
      <c r="L268">
        <v>8783</v>
      </c>
      <c r="M268">
        <v>1820</v>
      </c>
      <c r="N268">
        <f t="shared" si="8"/>
        <v>45909</v>
      </c>
      <c r="O268">
        <v>3</v>
      </c>
      <c r="P268">
        <v>4</v>
      </c>
      <c r="Q268">
        <v>1</v>
      </c>
      <c r="R268">
        <v>8</v>
      </c>
      <c r="S268">
        <v>3</v>
      </c>
      <c r="T268">
        <v>1</v>
      </c>
      <c r="U268">
        <v>2</v>
      </c>
      <c r="V268">
        <v>2</v>
      </c>
      <c r="W268">
        <v>13</v>
      </c>
      <c r="X268">
        <v>2</v>
      </c>
      <c r="Y268">
        <v>10</v>
      </c>
      <c r="Z268">
        <v>5</v>
      </c>
      <c r="AA268">
        <f t="shared" si="9"/>
        <v>54</v>
      </c>
      <c r="AB268" t="s">
        <v>45</v>
      </c>
      <c r="AC268">
        <v>42.28</v>
      </c>
      <c r="AD268">
        <v>95.11</v>
      </c>
      <c r="AE268">
        <v>75.56</v>
      </c>
      <c r="AF268">
        <v>22.95</v>
      </c>
      <c r="AG268">
        <v>10.14</v>
      </c>
      <c r="AH268">
        <v>40.33</v>
      </c>
      <c r="AI268">
        <v>73.12</v>
      </c>
      <c r="AJ268">
        <v>52.21</v>
      </c>
      <c r="AK268">
        <v>30.81</v>
      </c>
      <c r="AL268">
        <v>12.4</v>
      </c>
      <c r="AM268">
        <v>98.32</v>
      </c>
      <c r="AN268">
        <v>28.44</v>
      </c>
      <c r="AO268">
        <v>581.66999999999996</v>
      </c>
    </row>
    <row r="269" spans="1:41" x14ac:dyDescent="0.25">
      <c r="A269" t="s">
        <v>427</v>
      </c>
      <c r="B269">
        <v>3201</v>
      </c>
      <c r="C269">
        <v>19293</v>
      </c>
      <c r="D269">
        <v>504</v>
      </c>
      <c r="E269">
        <v>6327</v>
      </c>
      <c r="F269">
        <v>1893</v>
      </c>
      <c r="G269">
        <v>698</v>
      </c>
      <c r="H269">
        <v>12805</v>
      </c>
      <c r="I269">
        <v>12924</v>
      </c>
      <c r="J269">
        <v>2709</v>
      </c>
      <c r="K269">
        <v>11634</v>
      </c>
      <c r="L269">
        <v>73</v>
      </c>
      <c r="M269">
        <v>3560</v>
      </c>
      <c r="N269">
        <f t="shared" si="8"/>
        <v>75621</v>
      </c>
      <c r="O269">
        <v>8</v>
      </c>
      <c r="P269">
        <v>3</v>
      </c>
      <c r="Q269">
        <v>8</v>
      </c>
      <c r="R269">
        <v>4</v>
      </c>
      <c r="S269">
        <v>10</v>
      </c>
      <c r="T269">
        <v>4</v>
      </c>
      <c r="U269">
        <v>2</v>
      </c>
      <c r="V269">
        <v>4</v>
      </c>
      <c r="W269">
        <v>7</v>
      </c>
      <c r="X269">
        <v>14</v>
      </c>
      <c r="Y269">
        <v>0</v>
      </c>
      <c r="Z269">
        <v>2</v>
      </c>
      <c r="AA269">
        <f t="shared" si="9"/>
        <v>66</v>
      </c>
      <c r="AB269" t="s">
        <v>45</v>
      </c>
      <c r="AC269">
        <v>42.4</v>
      </c>
      <c r="AD269">
        <v>203.07</v>
      </c>
      <c r="AE269">
        <v>15.43</v>
      </c>
      <c r="AF269">
        <v>73.459999999999994</v>
      </c>
      <c r="AG269">
        <v>29.42</v>
      </c>
      <c r="AH269">
        <v>17.170000000000002</v>
      </c>
      <c r="AI269">
        <v>138.13999999999999</v>
      </c>
      <c r="AJ269">
        <v>139.43</v>
      </c>
      <c r="AK269">
        <v>37.43</v>
      </c>
      <c r="AL269">
        <v>127.03</v>
      </c>
      <c r="AM269">
        <v>10.72</v>
      </c>
      <c r="AN269">
        <v>45.69</v>
      </c>
      <c r="AO269">
        <v>879.38999999999987</v>
      </c>
    </row>
    <row r="270" spans="1:41" x14ac:dyDescent="0.25">
      <c r="A270" t="s">
        <v>428</v>
      </c>
      <c r="B270">
        <v>3195</v>
      </c>
      <c r="C270">
        <v>2970</v>
      </c>
      <c r="D270">
        <v>3804</v>
      </c>
      <c r="E270">
        <v>17836</v>
      </c>
      <c r="F270">
        <v>530</v>
      </c>
      <c r="G270">
        <v>1842</v>
      </c>
      <c r="H270">
        <v>1806</v>
      </c>
      <c r="I270">
        <v>4047</v>
      </c>
      <c r="J270">
        <v>9031</v>
      </c>
      <c r="K270">
        <v>12792</v>
      </c>
      <c r="L270">
        <v>10951</v>
      </c>
      <c r="M270">
        <v>6681</v>
      </c>
      <c r="N270">
        <f t="shared" si="8"/>
        <v>75485</v>
      </c>
      <c r="O270">
        <v>16</v>
      </c>
      <c r="P270">
        <v>0</v>
      </c>
      <c r="Q270">
        <v>9</v>
      </c>
      <c r="R270">
        <v>8</v>
      </c>
      <c r="S270">
        <v>3</v>
      </c>
      <c r="T270">
        <v>14</v>
      </c>
      <c r="U270">
        <v>2</v>
      </c>
      <c r="V270">
        <v>8</v>
      </c>
      <c r="W270">
        <v>9</v>
      </c>
      <c r="X270">
        <v>8</v>
      </c>
      <c r="Y270">
        <v>3</v>
      </c>
      <c r="Z270">
        <v>3</v>
      </c>
      <c r="AA270">
        <f t="shared" si="9"/>
        <v>83</v>
      </c>
      <c r="AB270" t="s">
        <v>45</v>
      </c>
      <c r="AC270">
        <v>42.74</v>
      </c>
      <c r="AD270">
        <v>39.69</v>
      </c>
      <c r="AE270">
        <v>48.48</v>
      </c>
      <c r="AF270">
        <v>188.75</v>
      </c>
      <c r="AG270">
        <v>15.44</v>
      </c>
      <c r="AH270">
        <v>29.11</v>
      </c>
      <c r="AI270">
        <v>28.15</v>
      </c>
      <c r="AJ270">
        <v>50.86</v>
      </c>
      <c r="AK270">
        <v>100.75</v>
      </c>
      <c r="AL270">
        <v>138.31</v>
      </c>
      <c r="AM270">
        <v>119.65</v>
      </c>
      <c r="AN270">
        <v>76.95</v>
      </c>
      <c r="AO270">
        <v>878.88</v>
      </c>
    </row>
    <row r="271" spans="1:41" x14ac:dyDescent="0.25">
      <c r="A271" t="s">
        <v>429</v>
      </c>
      <c r="B271">
        <v>3184</v>
      </c>
      <c r="C271">
        <v>9887</v>
      </c>
      <c r="D271">
        <v>0</v>
      </c>
      <c r="E271">
        <v>427</v>
      </c>
      <c r="F271">
        <v>6728</v>
      </c>
      <c r="G271">
        <v>97</v>
      </c>
      <c r="H271">
        <v>1074</v>
      </c>
      <c r="I271">
        <v>1644</v>
      </c>
      <c r="J271">
        <v>3013</v>
      </c>
      <c r="K271">
        <v>3158</v>
      </c>
      <c r="L271">
        <v>1932</v>
      </c>
      <c r="M271">
        <v>9687</v>
      </c>
      <c r="N271">
        <f t="shared" si="8"/>
        <v>40831</v>
      </c>
      <c r="O271">
        <v>2</v>
      </c>
      <c r="P271">
        <v>23</v>
      </c>
      <c r="Q271">
        <v>3</v>
      </c>
      <c r="R271">
        <v>0</v>
      </c>
      <c r="S271">
        <v>19</v>
      </c>
      <c r="T271">
        <v>3</v>
      </c>
      <c r="U271">
        <v>0</v>
      </c>
      <c r="V271">
        <v>4</v>
      </c>
      <c r="W271">
        <v>1</v>
      </c>
      <c r="X271">
        <v>0</v>
      </c>
      <c r="Y271">
        <v>1</v>
      </c>
      <c r="Z271">
        <v>2</v>
      </c>
      <c r="AA271">
        <f t="shared" si="9"/>
        <v>58</v>
      </c>
      <c r="AB271" t="s">
        <v>45</v>
      </c>
      <c r="AC271">
        <v>41.93</v>
      </c>
      <c r="AD271">
        <v>110.01</v>
      </c>
      <c r="AE271">
        <v>10.14</v>
      </c>
      <c r="AF271">
        <v>14.26</v>
      </c>
      <c r="AG271">
        <v>78.22</v>
      </c>
      <c r="AH271">
        <v>11.11</v>
      </c>
      <c r="AI271">
        <v>20.73</v>
      </c>
      <c r="AJ271">
        <v>26.63</v>
      </c>
      <c r="AK271">
        <v>40.17</v>
      </c>
      <c r="AL271">
        <v>41.57</v>
      </c>
      <c r="AM271">
        <v>29.36</v>
      </c>
      <c r="AN271">
        <v>106.96</v>
      </c>
      <c r="AO271">
        <v>531.09</v>
      </c>
    </row>
    <row r="272" spans="1:41" x14ac:dyDescent="0.25">
      <c r="A272" t="s">
        <v>431</v>
      </c>
      <c r="B272">
        <v>3170</v>
      </c>
      <c r="C272">
        <v>8069</v>
      </c>
      <c r="D272">
        <v>4042</v>
      </c>
      <c r="E272">
        <v>1071</v>
      </c>
      <c r="F272">
        <v>2646</v>
      </c>
      <c r="G272">
        <v>4389</v>
      </c>
      <c r="H272">
        <v>8244</v>
      </c>
      <c r="I272">
        <v>821</v>
      </c>
      <c r="J272">
        <v>2392</v>
      </c>
      <c r="K272">
        <v>620</v>
      </c>
      <c r="L272">
        <v>1706</v>
      </c>
      <c r="M272">
        <v>3424</v>
      </c>
      <c r="N272">
        <f t="shared" si="8"/>
        <v>40594</v>
      </c>
      <c r="O272">
        <v>4</v>
      </c>
      <c r="P272">
        <v>5</v>
      </c>
      <c r="Q272">
        <v>1</v>
      </c>
      <c r="R272">
        <v>10</v>
      </c>
      <c r="S272">
        <v>5</v>
      </c>
      <c r="T272">
        <v>3</v>
      </c>
      <c r="U272">
        <v>2</v>
      </c>
      <c r="V272">
        <v>4</v>
      </c>
      <c r="W272">
        <v>8</v>
      </c>
      <c r="X272">
        <v>3</v>
      </c>
      <c r="Y272">
        <v>6</v>
      </c>
      <c r="Z272">
        <v>2</v>
      </c>
      <c r="AA272">
        <f t="shared" si="9"/>
        <v>53</v>
      </c>
      <c r="AB272" t="s">
        <v>45</v>
      </c>
      <c r="AC272">
        <v>41.89</v>
      </c>
      <c r="AD272">
        <v>90.93</v>
      </c>
      <c r="AE272">
        <v>50.46</v>
      </c>
      <c r="AF272">
        <v>21.2</v>
      </c>
      <c r="AG272">
        <v>36.700000000000003</v>
      </c>
      <c r="AH272">
        <v>54.03</v>
      </c>
      <c r="AI272">
        <v>92.53</v>
      </c>
      <c r="AJ272">
        <v>18.399999999999999</v>
      </c>
      <c r="AK272">
        <v>34.31</v>
      </c>
      <c r="AL272">
        <v>16.34</v>
      </c>
      <c r="AM272">
        <v>27.35</v>
      </c>
      <c r="AN272">
        <v>44.33</v>
      </c>
      <c r="AO272">
        <v>528.47</v>
      </c>
    </row>
    <row r="273" spans="1:41" x14ac:dyDescent="0.25">
      <c r="A273" t="s">
        <v>434</v>
      </c>
      <c r="B273">
        <v>3147</v>
      </c>
      <c r="C273">
        <v>10856</v>
      </c>
      <c r="D273">
        <v>4030</v>
      </c>
      <c r="E273">
        <v>2151</v>
      </c>
      <c r="F273">
        <v>4658</v>
      </c>
      <c r="G273">
        <v>7204</v>
      </c>
      <c r="H273">
        <v>2522</v>
      </c>
      <c r="I273">
        <v>7670</v>
      </c>
      <c r="J273">
        <v>2510</v>
      </c>
      <c r="K273">
        <v>5906</v>
      </c>
      <c r="L273">
        <v>11263</v>
      </c>
      <c r="M273">
        <v>2822</v>
      </c>
      <c r="N273">
        <f t="shared" si="8"/>
        <v>64739</v>
      </c>
      <c r="O273">
        <v>0</v>
      </c>
      <c r="P273">
        <v>15</v>
      </c>
      <c r="Q273">
        <v>3</v>
      </c>
      <c r="R273">
        <v>2</v>
      </c>
      <c r="S273">
        <v>2</v>
      </c>
      <c r="T273">
        <v>6</v>
      </c>
      <c r="U273">
        <v>3</v>
      </c>
      <c r="V273">
        <v>3</v>
      </c>
      <c r="W273">
        <v>0</v>
      </c>
      <c r="X273">
        <v>8</v>
      </c>
      <c r="Y273">
        <v>1</v>
      </c>
      <c r="Z273">
        <v>2</v>
      </c>
      <c r="AA273">
        <f t="shared" si="9"/>
        <v>45</v>
      </c>
      <c r="AB273" t="s">
        <v>45</v>
      </c>
      <c r="AC273">
        <v>41.46</v>
      </c>
      <c r="AD273">
        <v>119.3</v>
      </c>
      <c r="AE273">
        <v>50.44</v>
      </c>
      <c r="AF273">
        <v>31.6</v>
      </c>
      <c r="AG273">
        <v>56.67</v>
      </c>
      <c r="AH273">
        <v>82.33</v>
      </c>
      <c r="AI273">
        <v>35.36</v>
      </c>
      <c r="AJ273">
        <v>86.84</v>
      </c>
      <c r="AK273">
        <v>35.090000000000003</v>
      </c>
      <c r="AL273">
        <v>69.45</v>
      </c>
      <c r="AM273">
        <v>122.67</v>
      </c>
      <c r="AN273">
        <v>38.31</v>
      </c>
      <c r="AO273">
        <v>769.52</v>
      </c>
    </row>
    <row r="274" spans="1:41" x14ac:dyDescent="0.25">
      <c r="A274" t="s">
        <v>435</v>
      </c>
      <c r="B274">
        <v>3137</v>
      </c>
      <c r="C274">
        <v>3152</v>
      </c>
      <c r="D274">
        <v>9608</v>
      </c>
      <c r="E274">
        <v>1341</v>
      </c>
      <c r="F274">
        <v>1898</v>
      </c>
      <c r="G274">
        <v>1966</v>
      </c>
      <c r="H274">
        <v>5066</v>
      </c>
      <c r="I274">
        <v>2026</v>
      </c>
      <c r="J274">
        <v>4420</v>
      </c>
      <c r="K274">
        <v>1204</v>
      </c>
      <c r="L274">
        <v>4334</v>
      </c>
      <c r="M274">
        <v>6152</v>
      </c>
      <c r="N274">
        <f t="shared" si="8"/>
        <v>44304</v>
      </c>
      <c r="O274">
        <v>2</v>
      </c>
      <c r="P274">
        <v>9</v>
      </c>
      <c r="Q274">
        <v>4</v>
      </c>
      <c r="R274">
        <v>3</v>
      </c>
      <c r="S274">
        <v>15</v>
      </c>
      <c r="T274">
        <v>2</v>
      </c>
      <c r="U274">
        <v>4</v>
      </c>
      <c r="V274">
        <v>2</v>
      </c>
      <c r="W274">
        <v>7</v>
      </c>
      <c r="X274">
        <v>11</v>
      </c>
      <c r="Y274">
        <v>2</v>
      </c>
      <c r="Z274">
        <v>10</v>
      </c>
      <c r="AA274">
        <f t="shared" si="9"/>
        <v>71</v>
      </c>
      <c r="AB274" t="s">
        <v>45</v>
      </c>
      <c r="AC274">
        <v>41.46</v>
      </c>
      <c r="AD274">
        <v>41.96</v>
      </c>
      <c r="AE274">
        <v>106.27</v>
      </c>
      <c r="AF274">
        <v>23.55</v>
      </c>
      <c r="AG274">
        <v>29.72</v>
      </c>
      <c r="AH274">
        <v>29.75</v>
      </c>
      <c r="AI274">
        <v>60.85</v>
      </c>
      <c r="AJ274">
        <v>30.35</v>
      </c>
      <c r="AK274">
        <v>54.54</v>
      </c>
      <c r="AL274">
        <v>22.58</v>
      </c>
      <c r="AM274">
        <v>53.43</v>
      </c>
      <c r="AN274">
        <v>72.010000000000005</v>
      </c>
      <c r="AO274">
        <v>566.47000000000014</v>
      </c>
    </row>
    <row r="275" spans="1:41" x14ac:dyDescent="0.25">
      <c r="A275" t="s">
        <v>437</v>
      </c>
      <c r="B275">
        <v>3097</v>
      </c>
      <c r="C275">
        <v>5217</v>
      </c>
      <c r="D275">
        <v>0</v>
      </c>
      <c r="E275">
        <v>7975</v>
      </c>
      <c r="F275">
        <v>587</v>
      </c>
      <c r="G275">
        <v>1269</v>
      </c>
      <c r="H275">
        <v>732</v>
      </c>
      <c r="I275">
        <v>1358</v>
      </c>
      <c r="J275">
        <v>3234</v>
      </c>
      <c r="K275">
        <v>14921</v>
      </c>
      <c r="L275">
        <v>6192</v>
      </c>
      <c r="M275">
        <v>1153</v>
      </c>
      <c r="N275">
        <f t="shared" si="8"/>
        <v>45735</v>
      </c>
      <c r="O275">
        <v>2</v>
      </c>
      <c r="P275">
        <v>2</v>
      </c>
      <c r="Q275">
        <v>10</v>
      </c>
      <c r="R275">
        <v>1</v>
      </c>
      <c r="S275">
        <v>7</v>
      </c>
      <c r="T275">
        <v>2</v>
      </c>
      <c r="U275">
        <v>5</v>
      </c>
      <c r="V275">
        <v>1</v>
      </c>
      <c r="W275">
        <v>3</v>
      </c>
      <c r="X275">
        <v>1</v>
      </c>
      <c r="Y275">
        <v>2</v>
      </c>
      <c r="Z275">
        <v>3</v>
      </c>
      <c r="AA275">
        <f t="shared" si="9"/>
        <v>39</v>
      </c>
      <c r="AB275" t="s">
        <v>45</v>
      </c>
      <c r="AC275">
        <v>41.06</v>
      </c>
      <c r="AD275">
        <v>62.26</v>
      </c>
      <c r="AE275">
        <v>10.49</v>
      </c>
      <c r="AF275">
        <v>89.79</v>
      </c>
      <c r="AG275">
        <v>16.21</v>
      </c>
      <c r="AH275">
        <v>22.78</v>
      </c>
      <c r="AI275">
        <v>17.559999999999999</v>
      </c>
      <c r="AJ275">
        <v>23.62</v>
      </c>
      <c r="AK275">
        <v>42.48</v>
      </c>
      <c r="AL275">
        <v>159.25</v>
      </c>
      <c r="AM275">
        <v>72.010000000000005</v>
      </c>
      <c r="AN275">
        <v>21.67</v>
      </c>
      <c r="AO275">
        <v>579.17999999999995</v>
      </c>
    </row>
    <row r="276" spans="1:41" x14ac:dyDescent="0.25">
      <c r="A276" t="s">
        <v>438</v>
      </c>
      <c r="B276">
        <v>3091</v>
      </c>
      <c r="C276">
        <v>2177</v>
      </c>
      <c r="D276">
        <v>6035</v>
      </c>
      <c r="E276">
        <v>13881</v>
      </c>
      <c r="F276">
        <v>723</v>
      </c>
      <c r="G276">
        <v>3225</v>
      </c>
      <c r="H276">
        <v>0</v>
      </c>
      <c r="I276">
        <v>4391</v>
      </c>
      <c r="J276">
        <v>1013</v>
      </c>
      <c r="K276">
        <v>0</v>
      </c>
      <c r="L276">
        <v>5309</v>
      </c>
      <c r="M276">
        <v>6847</v>
      </c>
      <c r="N276">
        <f t="shared" si="8"/>
        <v>46692</v>
      </c>
      <c r="O276">
        <v>9</v>
      </c>
      <c r="P276">
        <v>2</v>
      </c>
      <c r="Q276">
        <v>0</v>
      </c>
      <c r="R276">
        <v>7</v>
      </c>
      <c r="S276">
        <v>5</v>
      </c>
      <c r="T276">
        <v>4</v>
      </c>
      <c r="U276">
        <v>8</v>
      </c>
      <c r="V276">
        <v>6</v>
      </c>
      <c r="W276">
        <v>14</v>
      </c>
      <c r="X276">
        <v>4</v>
      </c>
      <c r="Y276">
        <v>5</v>
      </c>
      <c r="Z276">
        <v>1</v>
      </c>
      <c r="AA276">
        <f t="shared" si="9"/>
        <v>65</v>
      </c>
      <c r="AB276" t="s">
        <v>45</v>
      </c>
      <c r="AC276">
        <v>41.35</v>
      </c>
      <c r="AD276">
        <v>31.86</v>
      </c>
      <c r="AE276">
        <v>70.34</v>
      </c>
      <c r="AF276">
        <v>149.15</v>
      </c>
      <c r="AG276">
        <v>17.47</v>
      </c>
      <c r="AH276">
        <v>42.44</v>
      </c>
      <c r="AI276">
        <v>10.39</v>
      </c>
      <c r="AJ276">
        <v>54.2</v>
      </c>
      <c r="AK276">
        <v>20.82</v>
      </c>
      <c r="AL276">
        <v>10.19</v>
      </c>
      <c r="AM276">
        <v>63.33</v>
      </c>
      <c r="AN276">
        <v>78.510000000000005</v>
      </c>
      <c r="AO276">
        <v>590.05000000000007</v>
      </c>
    </row>
    <row r="277" spans="1:41" x14ac:dyDescent="0.25">
      <c r="A277" t="s">
        <v>440</v>
      </c>
      <c r="B277">
        <v>3068</v>
      </c>
      <c r="C277">
        <v>9902</v>
      </c>
      <c r="D277">
        <v>14072</v>
      </c>
      <c r="E277">
        <v>1241</v>
      </c>
      <c r="F277">
        <v>3138</v>
      </c>
      <c r="G277">
        <v>7111</v>
      </c>
      <c r="H277">
        <v>1856</v>
      </c>
      <c r="I277">
        <v>7766</v>
      </c>
      <c r="J277">
        <v>3318</v>
      </c>
      <c r="K277">
        <v>4846</v>
      </c>
      <c r="L277">
        <v>932</v>
      </c>
      <c r="M277">
        <v>4271</v>
      </c>
      <c r="N277">
        <f t="shared" si="8"/>
        <v>61521</v>
      </c>
      <c r="O277">
        <v>2</v>
      </c>
      <c r="P277">
        <v>0</v>
      </c>
      <c r="Q277">
        <v>0</v>
      </c>
      <c r="R277">
        <v>0</v>
      </c>
      <c r="S277">
        <v>11</v>
      </c>
      <c r="T277">
        <v>3</v>
      </c>
      <c r="U277">
        <v>6</v>
      </c>
      <c r="V277">
        <v>10</v>
      </c>
      <c r="W277">
        <v>3</v>
      </c>
      <c r="X277">
        <v>1</v>
      </c>
      <c r="Y277">
        <v>3</v>
      </c>
      <c r="Z277">
        <v>10</v>
      </c>
      <c r="AA277">
        <f t="shared" si="9"/>
        <v>49</v>
      </c>
      <c r="AB277" t="s">
        <v>45</v>
      </c>
      <c r="AC277">
        <v>40.770000000000003</v>
      </c>
      <c r="AD277">
        <v>109.01</v>
      </c>
      <c r="AE277">
        <v>150.71</v>
      </c>
      <c r="AF277">
        <v>22.4</v>
      </c>
      <c r="AG277">
        <v>41.92</v>
      </c>
      <c r="AH277">
        <v>81.25</v>
      </c>
      <c r="AI277">
        <v>28.85</v>
      </c>
      <c r="AJ277">
        <v>88.15</v>
      </c>
      <c r="AK277">
        <v>43.32</v>
      </c>
      <c r="AL277">
        <v>58.5</v>
      </c>
      <c r="AM277">
        <v>19.46</v>
      </c>
      <c r="AN277">
        <v>53.2</v>
      </c>
      <c r="AO277">
        <v>737.54000000000019</v>
      </c>
    </row>
    <row r="278" spans="1:41" x14ac:dyDescent="0.25">
      <c r="A278" t="s">
        <v>442</v>
      </c>
      <c r="B278">
        <v>3055</v>
      </c>
      <c r="C278">
        <v>4402</v>
      </c>
      <c r="D278">
        <v>5127</v>
      </c>
      <c r="E278">
        <v>0</v>
      </c>
      <c r="F278">
        <v>4972</v>
      </c>
      <c r="G278">
        <v>25812</v>
      </c>
      <c r="H278">
        <v>7391</v>
      </c>
      <c r="I278">
        <v>4502</v>
      </c>
      <c r="J278">
        <v>3975</v>
      </c>
      <c r="K278">
        <v>1164</v>
      </c>
      <c r="L278">
        <v>4630</v>
      </c>
      <c r="M278">
        <v>3987</v>
      </c>
      <c r="N278">
        <f t="shared" si="8"/>
        <v>69017</v>
      </c>
      <c r="O278">
        <v>1</v>
      </c>
      <c r="P278">
        <v>5</v>
      </c>
      <c r="Q278">
        <v>3</v>
      </c>
      <c r="R278">
        <v>2</v>
      </c>
      <c r="S278">
        <v>4</v>
      </c>
      <c r="T278">
        <v>0</v>
      </c>
      <c r="U278">
        <v>3</v>
      </c>
      <c r="V278">
        <v>2</v>
      </c>
      <c r="W278">
        <v>0</v>
      </c>
      <c r="X278">
        <v>20</v>
      </c>
      <c r="Y278">
        <v>1</v>
      </c>
      <c r="Z278">
        <v>8</v>
      </c>
      <c r="AA278">
        <f t="shared" si="9"/>
        <v>49</v>
      </c>
      <c r="AB278" t="s">
        <v>45</v>
      </c>
      <c r="AC278">
        <v>40.590000000000003</v>
      </c>
      <c r="AD278">
        <v>54.26</v>
      </c>
      <c r="AE278">
        <v>61.41</v>
      </c>
      <c r="AF278">
        <v>10.09</v>
      </c>
      <c r="AG278">
        <v>59.91</v>
      </c>
      <c r="AH278">
        <v>268.11</v>
      </c>
      <c r="AI278">
        <v>84.05</v>
      </c>
      <c r="AJ278">
        <v>55.11</v>
      </c>
      <c r="AK278">
        <v>49.74</v>
      </c>
      <c r="AL278">
        <v>22.63</v>
      </c>
      <c r="AM278">
        <v>56.34</v>
      </c>
      <c r="AN278">
        <v>50.26</v>
      </c>
      <c r="AO278">
        <v>812.5</v>
      </c>
    </row>
    <row r="279" spans="1:41" x14ac:dyDescent="0.25">
      <c r="A279" t="s">
        <v>444</v>
      </c>
      <c r="B279">
        <v>3045</v>
      </c>
      <c r="C279">
        <v>5609</v>
      </c>
      <c r="D279">
        <v>1821</v>
      </c>
      <c r="E279">
        <v>6537</v>
      </c>
      <c r="F279">
        <v>11835</v>
      </c>
      <c r="G279">
        <v>3109</v>
      </c>
      <c r="H279">
        <v>5907</v>
      </c>
      <c r="I279">
        <v>3025</v>
      </c>
      <c r="J279">
        <v>957</v>
      </c>
      <c r="K279">
        <v>2180</v>
      </c>
      <c r="L279">
        <v>0</v>
      </c>
      <c r="M279">
        <v>17033</v>
      </c>
      <c r="N279">
        <f t="shared" si="8"/>
        <v>61058</v>
      </c>
      <c r="O279">
        <v>4</v>
      </c>
      <c r="P279">
        <v>7</v>
      </c>
      <c r="Q279">
        <v>1</v>
      </c>
      <c r="R279">
        <v>5</v>
      </c>
      <c r="S279">
        <v>6</v>
      </c>
      <c r="T279">
        <v>5</v>
      </c>
      <c r="U279">
        <v>6</v>
      </c>
      <c r="V279">
        <v>3</v>
      </c>
      <c r="W279">
        <v>2</v>
      </c>
      <c r="X279">
        <v>0</v>
      </c>
      <c r="Y279">
        <v>7</v>
      </c>
      <c r="Z279">
        <v>0</v>
      </c>
      <c r="AA279">
        <f t="shared" si="9"/>
        <v>46</v>
      </c>
      <c r="AB279" t="s">
        <v>45</v>
      </c>
      <c r="AC279">
        <v>40.64</v>
      </c>
      <c r="AD279">
        <v>66.430000000000007</v>
      </c>
      <c r="AE279">
        <v>28.25</v>
      </c>
      <c r="AF279">
        <v>75.61</v>
      </c>
      <c r="AG279">
        <v>128.63999999999999</v>
      </c>
      <c r="AH279">
        <v>41.33</v>
      </c>
      <c r="AI279">
        <v>69.36</v>
      </c>
      <c r="AJ279">
        <v>40.39</v>
      </c>
      <c r="AK279">
        <v>19.66</v>
      </c>
      <c r="AL279">
        <v>31.79</v>
      </c>
      <c r="AM279">
        <v>10.34</v>
      </c>
      <c r="AN279">
        <v>180.32</v>
      </c>
      <c r="AO279">
        <v>732.76</v>
      </c>
    </row>
    <row r="280" spans="1:41" x14ac:dyDescent="0.25">
      <c r="A280" t="s">
        <v>447</v>
      </c>
      <c r="B280">
        <v>3007</v>
      </c>
      <c r="C280">
        <v>1777</v>
      </c>
      <c r="D280">
        <v>5755</v>
      </c>
      <c r="E280">
        <v>0</v>
      </c>
      <c r="F280">
        <v>8453</v>
      </c>
      <c r="G280">
        <v>2213</v>
      </c>
      <c r="H280">
        <v>7631</v>
      </c>
      <c r="I280">
        <v>747</v>
      </c>
      <c r="J280">
        <v>7786</v>
      </c>
      <c r="K280">
        <v>1402</v>
      </c>
      <c r="L280">
        <v>3707</v>
      </c>
      <c r="M280">
        <v>2208</v>
      </c>
      <c r="N280">
        <f t="shared" si="8"/>
        <v>44686</v>
      </c>
      <c r="O280">
        <v>1</v>
      </c>
      <c r="P280">
        <v>3</v>
      </c>
      <c r="Q280">
        <v>5</v>
      </c>
      <c r="R280">
        <v>8</v>
      </c>
      <c r="S280">
        <v>3</v>
      </c>
      <c r="T280">
        <v>9</v>
      </c>
      <c r="U280">
        <v>1</v>
      </c>
      <c r="V280">
        <v>0</v>
      </c>
      <c r="W280">
        <v>1</v>
      </c>
      <c r="X280">
        <v>0</v>
      </c>
      <c r="Y280">
        <v>4</v>
      </c>
      <c r="Z280">
        <v>3</v>
      </c>
      <c r="AA280">
        <f t="shared" si="9"/>
        <v>38</v>
      </c>
      <c r="AB280" t="s">
        <v>45</v>
      </c>
      <c r="AC280">
        <v>40.11</v>
      </c>
      <c r="AD280">
        <v>27.91</v>
      </c>
      <c r="AE280">
        <v>67.790000000000006</v>
      </c>
      <c r="AF280">
        <v>10.39</v>
      </c>
      <c r="AG280">
        <v>94.67</v>
      </c>
      <c r="AH280">
        <v>32.57</v>
      </c>
      <c r="AI280">
        <v>86.35</v>
      </c>
      <c r="AJ280">
        <v>17.46</v>
      </c>
      <c r="AK280">
        <v>87.9</v>
      </c>
      <c r="AL280">
        <v>24.01</v>
      </c>
      <c r="AM280">
        <v>47.26</v>
      </c>
      <c r="AN280">
        <v>32.22</v>
      </c>
      <c r="AO280">
        <v>568.64</v>
      </c>
    </row>
    <row r="281" spans="1:41" x14ac:dyDescent="0.25">
      <c r="A281" t="s">
        <v>453</v>
      </c>
      <c r="B281">
        <v>2979</v>
      </c>
      <c r="C281">
        <v>4571</v>
      </c>
      <c r="D281">
        <v>3380</v>
      </c>
      <c r="E281">
        <v>566</v>
      </c>
      <c r="F281">
        <v>0</v>
      </c>
      <c r="G281">
        <v>12184</v>
      </c>
      <c r="H281">
        <v>538</v>
      </c>
      <c r="I281">
        <v>2154</v>
      </c>
      <c r="J281">
        <v>6016</v>
      </c>
      <c r="K281">
        <v>2471</v>
      </c>
      <c r="L281">
        <v>0</v>
      </c>
      <c r="M281">
        <v>2066</v>
      </c>
      <c r="N281">
        <f t="shared" si="8"/>
        <v>36925</v>
      </c>
      <c r="O281">
        <v>1</v>
      </c>
      <c r="P281">
        <v>2</v>
      </c>
      <c r="Q281">
        <v>4</v>
      </c>
      <c r="R281">
        <v>4</v>
      </c>
      <c r="S281">
        <v>1</v>
      </c>
      <c r="T281">
        <v>4</v>
      </c>
      <c r="U281">
        <v>2</v>
      </c>
      <c r="V281">
        <v>4</v>
      </c>
      <c r="W281">
        <v>1</v>
      </c>
      <c r="X281">
        <v>6</v>
      </c>
      <c r="Y281">
        <v>2</v>
      </c>
      <c r="Z281">
        <v>2</v>
      </c>
      <c r="AA281">
        <f t="shared" si="9"/>
        <v>33</v>
      </c>
      <c r="AB281" t="s">
        <v>45</v>
      </c>
      <c r="AC281">
        <v>39.83</v>
      </c>
      <c r="AD281">
        <v>55.8</v>
      </c>
      <c r="AE281">
        <v>43.99</v>
      </c>
      <c r="AF281">
        <v>15.85</v>
      </c>
      <c r="AG281">
        <v>10.039999999999999</v>
      </c>
      <c r="AH281">
        <v>132.03</v>
      </c>
      <c r="AI281">
        <v>15.47</v>
      </c>
      <c r="AJ281">
        <v>31.73</v>
      </c>
      <c r="AK281">
        <v>70.2</v>
      </c>
      <c r="AL281">
        <v>35</v>
      </c>
      <c r="AM281">
        <v>10.09</v>
      </c>
      <c r="AN281">
        <v>30.75</v>
      </c>
      <c r="AO281">
        <v>490.78</v>
      </c>
    </row>
    <row r="282" spans="1:41" x14ac:dyDescent="0.25">
      <c r="A282" t="s">
        <v>454</v>
      </c>
      <c r="B282">
        <v>2964</v>
      </c>
      <c r="C282">
        <v>4054</v>
      </c>
      <c r="D282">
        <v>1467</v>
      </c>
      <c r="E282">
        <v>1342</v>
      </c>
      <c r="F282">
        <v>5212</v>
      </c>
      <c r="G282">
        <v>12082</v>
      </c>
      <c r="H282">
        <v>1543</v>
      </c>
      <c r="I282">
        <v>2373</v>
      </c>
      <c r="J282">
        <v>59</v>
      </c>
      <c r="K282">
        <v>614</v>
      </c>
      <c r="L282">
        <v>1975</v>
      </c>
      <c r="M282">
        <v>2971</v>
      </c>
      <c r="N282">
        <f t="shared" si="8"/>
        <v>36656</v>
      </c>
      <c r="O282">
        <v>8</v>
      </c>
      <c r="P282">
        <v>4</v>
      </c>
      <c r="Q282">
        <v>16</v>
      </c>
      <c r="R282">
        <v>3</v>
      </c>
      <c r="S282">
        <v>8</v>
      </c>
      <c r="T282">
        <v>5</v>
      </c>
      <c r="U282">
        <v>5</v>
      </c>
      <c r="V282">
        <v>9</v>
      </c>
      <c r="W282">
        <v>7</v>
      </c>
      <c r="X282">
        <v>5</v>
      </c>
      <c r="Y282">
        <v>1</v>
      </c>
      <c r="Z282">
        <v>0</v>
      </c>
      <c r="AA282">
        <f t="shared" si="9"/>
        <v>71</v>
      </c>
      <c r="AB282" t="s">
        <v>45</v>
      </c>
      <c r="AC282">
        <v>40.03</v>
      </c>
      <c r="AD282">
        <v>50.73</v>
      </c>
      <c r="AE282">
        <v>25.46</v>
      </c>
      <c r="AF282">
        <v>23.56</v>
      </c>
      <c r="AG282">
        <v>62.51</v>
      </c>
      <c r="AH282">
        <v>131.06</v>
      </c>
      <c r="AI282">
        <v>25.67</v>
      </c>
      <c r="AJ282">
        <v>34.17</v>
      </c>
      <c r="AK282">
        <v>10.93</v>
      </c>
      <c r="AL282">
        <v>16.38</v>
      </c>
      <c r="AM282">
        <v>29.79</v>
      </c>
      <c r="AN282">
        <v>39.700000000000003</v>
      </c>
      <c r="AO282">
        <v>489.99000000000007</v>
      </c>
    </row>
    <row r="283" spans="1:41" x14ac:dyDescent="0.25">
      <c r="A283" t="s">
        <v>456</v>
      </c>
      <c r="B283">
        <v>2958</v>
      </c>
      <c r="C283">
        <v>3524</v>
      </c>
      <c r="D283">
        <v>2405</v>
      </c>
      <c r="E283">
        <v>1352</v>
      </c>
      <c r="F283">
        <v>8365</v>
      </c>
      <c r="G283">
        <v>3038</v>
      </c>
      <c r="H283">
        <v>3987</v>
      </c>
      <c r="I283">
        <v>2645</v>
      </c>
      <c r="J283">
        <v>616</v>
      </c>
      <c r="K283">
        <v>4210</v>
      </c>
      <c r="L283">
        <v>2525</v>
      </c>
      <c r="M283">
        <v>9051</v>
      </c>
      <c r="N283">
        <f t="shared" si="8"/>
        <v>44676</v>
      </c>
      <c r="O283">
        <v>9</v>
      </c>
      <c r="P283">
        <v>2</v>
      </c>
      <c r="Q283">
        <v>6</v>
      </c>
      <c r="R283">
        <v>4</v>
      </c>
      <c r="S283">
        <v>5</v>
      </c>
      <c r="T283">
        <v>6</v>
      </c>
      <c r="U283">
        <v>4</v>
      </c>
      <c r="V283">
        <v>0</v>
      </c>
      <c r="W283">
        <v>6</v>
      </c>
      <c r="X283">
        <v>4</v>
      </c>
      <c r="Y283">
        <v>4</v>
      </c>
      <c r="Z283">
        <v>2</v>
      </c>
      <c r="AA283">
        <f t="shared" si="9"/>
        <v>52</v>
      </c>
      <c r="AB283" t="s">
        <v>45</v>
      </c>
      <c r="AC283">
        <v>40.020000000000003</v>
      </c>
      <c r="AD283">
        <v>45.33</v>
      </c>
      <c r="AE283">
        <v>34.340000000000003</v>
      </c>
      <c r="AF283">
        <v>23.71</v>
      </c>
      <c r="AG283">
        <v>93.89</v>
      </c>
      <c r="AH283">
        <v>40.67</v>
      </c>
      <c r="AI283">
        <v>50.06</v>
      </c>
      <c r="AJ283">
        <v>36.44</v>
      </c>
      <c r="AK283">
        <v>16.45</v>
      </c>
      <c r="AL283">
        <v>52.29</v>
      </c>
      <c r="AM283">
        <v>35.44</v>
      </c>
      <c r="AN283">
        <v>100.6</v>
      </c>
      <c r="AO283">
        <v>569.24</v>
      </c>
    </row>
    <row r="284" spans="1:41" x14ac:dyDescent="0.25">
      <c r="A284" t="s">
        <v>460</v>
      </c>
      <c r="B284">
        <v>2932</v>
      </c>
      <c r="C284">
        <v>392</v>
      </c>
      <c r="D284">
        <v>3801</v>
      </c>
      <c r="E284">
        <v>5091</v>
      </c>
      <c r="F284">
        <v>2050</v>
      </c>
      <c r="G284">
        <v>1638</v>
      </c>
      <c r="H284">
        <v>6008</v>
      </c>
      <c r="I284">
        <v>4813</v>
      </c>
      <c r="J284">
        <v>14919</v>
      </c>
      <c r="K284">
        <v>1190</v>
      </c>
      <c r="L284">
        <v>8284</v>
      </c>
      <c r="M284">
        <v>288</v>
      </c>
      <c r="N284">
        <f t="shared" si="8"/>
        <v>51406</v>
      </c>
      <c r="O284">
        <v>4</v>
      </c>
      <c r="P284">
        <v>3</v>
      </c>
      <c r="Q284">
        <v>12</v>
      </c>
      <c r="R284">
        <v>1</v>
      </c>
      <c r="S284">
        <v>2</v>
      </c>
      <c r="T284">
        <v>2</v>
      </c>
      <c r="U284">
        <v>3</v>
      </c>
      <c r="V284">
        <v>2</v>
      </c>
      <c r="W284">
        <v>2</v>
      </c>
      <c r="X284">
        <v>10</v>
      </c>
      <c r="Y284">
        <v>7</v>
      </c>
      <c r="Z284">
        <v>3</v>
      </c>
      <c r="AA284">
        <f t="shared" si="9"/>
        <v>51</v>
      </c>
      <c r="AB284" t="s">
        <v>45</v>
      </c>
      <c r="AC284">
        <v>39.51</v>
      </c>
      <c r="AD284">
        <v>14.06</v>
      </c>
      <c r="AE284">
        <v>48.6</v>
      </c>
      <c r="AF284">
        <v>60.95</v>
      </c>
      <c r="AG284">
        <v>30.59</v>
      </c>
      <c r="AH284">
        <v>26.47</v>
      </c>
      <c r="AI284">
        <v>70.22</v>
      </c>
      <c r="AJ284">
        <v>58.22</v>
      </c>
      <c r="AK284">
        <v>159.28</v>
      </c>
      <c r="AL284">
        <v>22.39</v>
      </c>
      <c r="AM284">
        <v>93.18</v>
      </c>
      <c r="AN284">
        <v>13.02</v>
      </c>
      <c r="AO284">
        <v>636.49</v>
      </c>
    </row>
    <row r="285" spans="1:41" x14ac:dyDescent="0.25">
      <c r="A285" t="s">
        <v>461</v>
      </c>
      <c r="B285">
        <v>2932</v>
      </c>
      <c r="C285">
        <v>7273</v>
      </c>
      <c r="D285">
        <v>3879</v>
      </c>
      <c r="E285">
        <v>5464</v>
      </c>
      <c r="F285">
        <v>2292</v>
      </c>
      <c r="G285">
        <v>4137</v>
      </c>
      <c r="H285">
        <v>0</v>
      </c>
      <c r="I285">
        <v>15866</v>
      </c>
      <c r="J285">
        <v>5369</v>
      </c>
      <c r="K285">
        <v>7136</v>
      </c>
      <c r="L285">
        <v>3822</v>
      </c>
      <c r="M285">
        <v>633</v>
      </c>
      <c r="N285">
        <f t="shared" si="8"/>
        <v>58803</v>
      </c>
      <c r="O285">
        <v>2</v>
      </c>
      <c r="P285">
        <v>2</v>
      </c>
      <c r="Q285">
        <v>16</v>
      </c>
      <c r="R285">
        <v>0</v>
      </c>
      <c r="S285">
        <v>7</v>
      </c>
      <c r="T285">
        <v>4</v>
      </c>
      <c r="U285">
        <v>1</v>
      </c>
      <c r="V285">
        <v>9</v>
      </c>
      <c r="W285">
        <v>4</v>
      </c>
      <c r="X285">
        <v>5</v>
      </c>
      <c r="Y285">
        <v>3</v>
      </c>
      <c r="Z285">
        <v>5</v>
      </c>
      <c r="AA285">
        <f t="shared" si="9"/>
        <v>58</v>
      </c>
      <c r="AB285" t="s">
        <v>45</v>
      </c>
      <c r="AC285">
        <v>39.409999999999997</v>
      </c>
      <c r="AD285">
        <v>82.82</v>
      </c>
      <c r="AE285">
        <v>49.58</v>
      </c>
      <c r="AF285">
        <v>64.63</v>
      </c>
      <c r="AG285">
        <v>33.26</v>
      </c>
      <c r="AH285">
        <v>51.56</v>
      </c>
      <c r="AI285">
        <v>10.039999999999999</v>
      </c>
      <c r="AJ285">
        <v>169.1</v>
      </c>
      <c r="AK285">
        <v>63.88</v>
      </c>
      <c r="AL285">
        <v>81.599999999999994</v>
      </c>
      <c r="AM285">
        <v>48.36</v>
      </c>
      <c r="AN285">
        <v>16.57</v>
      </c>
      <c r="AO285">
        <v>710.81000000000006</v>
      </c>
    </row>
    <row r="286" spans="1:41" x14ac:dyDescent="0.25">
      <c r="A286" t="s">
        <v>462</v>
      </c>
      <c r="B286">
        <v>2916</v>
      </c>
      <c r="C286">
        <v>1101</v>
      </c>
      <c r="D286">
        <v>7427</v>
      </c>
      <c r="E286">
        <v>29343</v>
      </c>
      <c r="F286">
        <v>1082</v>
      </c>
      <c r="G286">
        <v>6288</v>
      </c>
      <c r="H286">
        <v>7351</v>
      </c>
      <c r="I286">
        <v>19386</v>
      </c>
      <c r="J286">
        <v>1263</v>
      </c>
      <c r="K286">
        <v>5725</v>
      </c>
      <c r="L286">
        <v>1634</v>
      </c>
      <c r="M286">
        <v>3763</v>
      </c>
      <c r="N286">
        <f t="shared" si="8"/>
        <v>87279</v>
      </c>
      <c r="O286">
        <v>3</v>
      </c>
      <c r="P286">
        <v>0</v>
      </c>
      <c r="Q286">
        <v>2</v>
      </c>
      <c r="R286">
        <v>9</v>
      </c>
      <c r="S286">
        <v>3</v>
      </c>
      <c r="T286">
        <v>1</v>
      </c>
      <c r="U286">
        <v>5</v>
      </c>
      <c r="V286">
        <v>4</v>
      </c>
      <c r="W286">
        <v>4</v>
      </c>
      <c r="X286">
        <v>2</v>
      </c>
      <c r="Y286">
        <v>1</v>
      </c>
      <c r="Z286">
        <v>5</v>
      </c>
      <c r="AA286">
        <f t="shared" si="9"/>
        <v>39</v>
      </c>
      <c r="AB286" t="s">
        <v>45</v>
      </c>
      <c r="AC286">
        <v>39.299999999999997</v>
      </c>
      <c r="AD286">
        <v>21</v>
      </c>
      <c r="AE286">
        <v>84.36</v>
      </c>
      <c r="AF286">
        <v>303.87</v>
      </c>
      <c r="AG286">
        <v>20.96</v>
      </c>
      <c r="AH286">
        <v>72.92</v>
      </c>
      <c r="AI286">
        <v>83.75</v>
      </c>
      <c r="AJ286">
        <v>204.05</v>
      </c>
      <c r="AK286">
        <v>22.82</v>
      </c>
      <c r="AL286">
        <v>67.34</v>
      </c>
      <c r="AM286">
        <v>26.38</v>
      </c>
      <c r="AN286">
        <v>47.87</v>
      </c>
      <c r="AO286">
        <v>994.62000000000012</v>
      </c>
    </row>
    <row r="287" spans="1:41" x14ac:dyDescent="0.25">
      <c r="A287" t="s">
        <v>463</v>
      </c>
      <c r="B287">
        <v>2908</v>
      </c>
      <c r="C287">
        <v>0</v>
      </c>
      <c r="D287">
        <v>2016</v>
      </c>
      <c r="E287">
        <v>1809</v>
      </c>
      <c r="F287">
        <v>0</v>
      </c>
      <c r="G287">
        <v>9306</v>
      </c>
      <c r="H287">
        <v>0</v>
      </c>
      <c r="I287">
        <v>1912</v>
      </c>
      <c r="J287">
        <v>1135</v>
      </c>
      <c r="K287">
        <v>17258</v>
      </c>
      <c r="L287">
        <v>6325</v>
      </c>
      <c r="M287">
        <v>2994</v>
      </c>
      <c r="N287">
        <f t="shared" si="8"/>
        <v>45663</v>
      </c>
      <c r="O287">
        <v>1</v>
      </c>
      <c r="P287">
        <v>1</v>
      </c>
      <c r="Q287">
        <v>4</v>
      </c>
      <c r="R287">
        <v>6</v>
      </c>
      <c r="S287">
        <v>0</v>
      </c>
      <c r="T287">
        <v>0</v>
      </c>
      <c r="U287">
        <v>2</v>
      </c>
      <c r="V287">
        <v>0</v>
      </c>
      <c r="W287">
        <v>2</v>
      </c>
      <c r="X287">
        <v>8</v>
      </c>
      <c r="Y287">
        <v>1</v>
      </c>
      <c r="Z287">
        <v>4</v>
      </c>
      <c r="AA287">
        <f t="shared" si="9"/>
        <v>29</v>
      </c>
      <c r="AB287" t="s">
        <v>45</v>
      </c>
      <c r="AC287">
        <v>39.119999999999997</v>
      </c>
      <c r="AD287">
        <v>10.039999999999999</v>
      </c>
      <c r="AE287">
        <v>30.35</v>
      </c>
      <c r="AF287">
        <v>28.38</v>
      </c>
      <c r="AG287">
        <v>9.99</v>
      </c>
      <c r="AH287">
        <v>103.05</v>
      </c>
      <c r="AI287">
        <v>10.09</v>
      </c>
      <c r="AJ287">
        <v>29.11</v>
      </c>
      <c r="AK287">
        <v>21.44</v>
      </c>
      <c r="AL287">
        <v>182.97</v>
      </c>
      <c r="AM287">
        <v>73.290000000000006</v>
      </c>
      <c r="AN287">
        <v>40.130000000000003</v>
      </c>
      <c r="AO287">
        <v>577.95999999999992</v>
      </c>
    </row>
    <row r="288" spans="1:41" x14ac:dyDescent="0.25">
      <c r="A288" t="s">
        <v>465</v>
      </c>
      <c r="B288">
        <v>2885</v>
      </c>
      <c r="C288">
        <v>0</v>
      </c>
      <c r="D288">
        <v>1493</v>
      </c>
      <c r="E288">
        <v>461</v>
      </c>
      <c r="F288">
        <v>0</v>
      </c>
      <c r="G288">
        <v>596</v>
      </c>
      <c r="H288">
        <v>14683</v>
      </c>
      <c r="I288">
        <v>1082</v>
      </c>
      <c r="J288">
        <v>2111</v>
      </c>
      <c r="K288">
        <v>4675</v>
      </c>
      <c r="L288">
        <v>3684</v>
      </c>
      <c r="M288">
        <v>9907</v>
      </c>
      <c r="N288">
        <f t="shared" si="8"/>
        <v>41577</v>
      </c>
      <c r="O288">
        <v>2</v>
      </c>
      <c r="P288">
        <v>12</v>
      </c>
      <c r="Q288">
        <v>7</v>
      </c>
      <c r="R288">
        <v>6</v>
      </c>
      <c r="S288">
        <v>3</v>
      </c>
      <c r="T288">
        <v>4</v>
      </c>
      <c r="U288">
        <v>4</v>
      </c>
      <c r="V288">
        <v>5</v>
      </c>
      <c r="W288">
        <v>2</v>
      </c>
      <c r="X288">
        <v>5</v>
      </c>
      <c r="Y288">
        <v>7</v>
      </c>
      <c r="Z288">
        <v>3</v>
      </c>
      <c r="AA288">
        <f t="shared" si="9"/>
        <v>60</v>
      </c>
      <c r="AB288" t="s">
        <v>45</v>
      </c>
      <c r="AC288">
        <v>38.94</v>
      </c>
      <c r="AD288">
        <v>10.59</v>
      </c>
      <c r="AE288">
        <v>25.27</v>
      </c>
      <c r="AF288">
        <v>14.9</v>
      </c>
      <c r="AG288">
        <v>10.14</v>
      </c>
      <c r="AH288">
        <v>16.149999999999999</v>
      </c>
      <c r="AI288">
        <v>157.02000000000001</v>
      </c>
      <c r="AJ288">
        <v>21.06</v>
      </c>
      <c r="AK288">
        <v>31.2</v>
      </c>
      <c r="AL288">
        <v>56.99</v>
      </c>
      <c r="AM288">
        <v>47.18</v>
      </c>
      <c r="AN288">
        <v>109.21</v>
      </c>
      <c r="AO288">
        <v>538.65</v>
      </c>
    </row>
    <row r="289" spans="1:41" x14ac:dyDescent="0.25">
      <c r="A289" t="s">
        <v>467</v>
      </c>
      <c r="B289">
        <v>2879</v>
      </c>
      <c r="C289">
        <v>4258</v>
      </c>
      <c r="D289">
        <v>7733</v>
      </c>
      <c r="E289">
        <v>2276</v>
      </c>
      <c r="F289">
        <v>1813</v>
      </c>
      <c r="G289">
        <v>3517</v>
      </c>
      <c r="H289">
        <v>73</v>
      </c>
      <c r="I289">
        <v>2562</v>
      </c>
      <c r="J289">
        <v>1282</v>
      </c>
      <c r="K289">
        <v>9069</v>
      </c>
      <c r="L289">
        <v>0</v>
      </c>
      <c r="M289">
        <v>1372</v>
      </c>
      <c r="N289">
        <f t="shared" si="8"/>
        <v>36834</v>
      </c>
      <c r="O289">
        <v>4</v>
      </c>
      <c r="P289">
        <v>0</v>
      </c>
      <c r="Q289">
        <v>2</v>
      </c>
      <c r="R289">
        <v>1</v>
      </c>
      <c r="S289">
        <v>12</v>
      </c>
      <c r="T289">
        <v>7</v>
      </c>
      <c r="U289">
        <v>6</v>
      </c>
      <c r="V289">
        <v>1</v>
      </c>
      <c r="W289">
        <v>2</v>
      </c>
      <c r="X289">
        <v>7</v>
      </c>
      <c r="Y289">
        <v>4</v>
      </c>
      <c r="Z289">
        <v>1</v>
      </c>
      <c r="AA289">
        <f t="shared" si="9"/>
        <v>47</v>
      </c>
      <c r="AB289" t="s">
        <v>45</v>
      </c>
      <c r="AC289">
        <v>38.979999999999997</v>
      </c>
      <c r="AD289">
        <v>52.57</v>
      </c>
      <c r="AE289">
        <v>87.42</v>
      </c>
      <c r="AF289">
        <v>32.799999999999997</v>
      </c>
      <c r="AG289">
        <v>28.72</v>
      </c>
      <c r="AH289">
        <v>45.51</v>
      </c>
      <c r="AI289">
        <v>11.02</v>
      </c>
      <c r="AJ289">
        <v>35.659999999999997</v>
      </c>
      <c r="AK289">
        <v>22.91</v>
      </c>
      <c r="AL289">
        <v>101.03</v>
      </c>
      <c r="AM289">
        <v>10.19</v>
      </c>
      <c r="AN289">
        <v>23.76</v>
      </c>
      <c r="AO289">
        <v>490.57</v>
      </c>
    </row>
    <row r="290" spans="1:41" x14ac:dyDescent="0.25">
      <c r="A290" t="s">
        <v>477</v>
      </c>
      <c r="B290">
        <v>2795</v>
      </c>
      <c r="C290">
        <v>7701</v>
      </c>
      <c r="D290">
        <v>13053</v>
      </c>
      <c r="E290">
        <v>0</v>
      </c>
      <c r="F290">
        <v>3695</v>
      </c>
      <c r="G290">
        <v>5849</v>
      </c>
      <c r="H290">
        <v>3185</v>
      </c>
      <c r="I290">
        <v>2820</v>
      </c>
      <c r="J290">
        <v>3220</v>
      </c>
      <c r="K290">
        <v>1138</v>
      </c>
      <c r="L290">
        <v>2034</v>
      </c>
      <c r="M290">
        <v>17302</v>
      </c>
      <c r="N290">
        <f t="shared" si="8"/>
        <v>62792</v>
      </c>
      <c r="O290">
        <v>3</v>
      </c>
      <c r="P290">
        <v>3</v>
      </c>
      <c r="Q290">
        <v>1</v>
      </c>
      <c r="R290">
        <v>0</v>
      </c>
      <c r="S290">
        <v>7</v>
      </c>
      <c r="T290">
        <v>5</v>
      </c>
      <c r="U290">
        <v>8</v>
      </c>
      <c r="V290">
        <v>1</v>
      </c>
      <c r="W290">
        <v>4</v>
      </c>
      <c r="X290">
        <v>3</v>
      </c>
      <c r="Y290">
        <v>2</v>
      </c>
      <c r="Z290">
        <v>1</v>
      </c>
      <c r="AA290">
        <f t="shared" si="9"/>
        <v>38</v>
      </c>
      <c r="AB290" t="s">
        <v>45</v>
      </c>
      <c r="AC290">
        <v>38.090000000000003</v>
      </c>
      <c r="AD290">
        <v>87.15</v>
      </c>
      <c r="AE290">
        <v>140.57</v>
      </c>
      <c r="AF290">
        <v>9.99</v>
      </c>
      <c r="AG290">
        <v>47.29</v>
      </c>
      <c r="AH290">
        <v>68.73</v>
      </c>
      <c r="AI290">
        <v>42.24</v>
      </c>
      <c r="AJ290">
        <v>38.24</v>
      </c>
      <c r="AK290">
        <v>42.39</v>
      </c>
      <c r="AL290">
        <v>21.52</v>
      </c>
      <c r="AM290">
        <v>30.43</v>
      </c>
      <c r="AN290">
        <v>183.06</v>
      </c>
      <c r="AO290">
        <v>749.7</v>
      </c>
    </row>
    <row r="291" spans="1:41" x14ac:dyDescent="0.25">
      <c r="A291" t="s">
        <v>480</v>
      </c>
      <c r="B291">
        <v>2785</v>
      </c>
      <c r="C291">
        <v>2535</v>
      </c>
      <c r="D291">
        <v>833</v>
      </c>
      <c r="E291">
        <v>4875</v>
      </c>
      <c r="F291">
        <v>1035</v>
      </c>
      <c r="G291">
        <v>3490</v>
      </c>
      <c r="H291">
        <v>3307</v>
      </c>
      <c r="I291">
        <v>1152</v>
      </c>
      <c r="J291">
        <v>6062</v>
      </c>
      <c r="K291">
        <v>3565</v>
      </c>
      <c r="L291">
        <v>4679</v>
      </c>
      <c r="M291">
        <v>2538</v>
      </c>
      <c r="N291">
        <f t="shared" si="8"/>
        <v>36856</v>
      </c>
      <c r="O291">
        <v>2</v>
      </c>
      <c r="P291">
        <v>2</v>
      </c>
      <c r="Q291">
        <v>3</v>
      </c>
      <c r="R291">
        <v>3</v>
      </c>
      <c r="S291">
        <v>12</v>
      </c>
      <c r="T291">
        <v>4</v>
      </c>
      <c r="U291">
        <v>6</v>
      </c>
      <c r="V291">
        <v>4</v>
      </c>
      <c r="W291">
        <v>5</v>
      </c>
      <c r="X291">
        <v>0</v>
      </c>
      <c r="Y291">
        <v>12</v>
      </c>
      <c r="Z291">
        <v>4</v>
      </c>
      <c r="AA291">
        <f t="shared" si="9"/>
        <v>57</v>
      </c>
      <c r="AB291" t="s">
        <v>45</v>
      </c>
      <c r="AC291">
        <v>37.94</v>
      </c>
      <c r="AD291">
        <v>35.44</v>
      </c>
      <c r="AE291">
        <v>18.47</v>
      </c>
      <c r="AF291">
        <v>58.89</v>
      </c>
      <c r="AG291">
        <v>20.94</v>
      </c>
      <c r="AH291">
        <v>45.09</v>
      </c>
      <c r="AI291">
        <v>43.36</v>
      </c>
      <c r="AJ291">
        <v>21.71</v>
      </c>
      <c r="AK291">
        <v>70.86</v>
      </c>
      <c r="AL291">
        <v>45.64</v>
      </c>
      <c r="AM291">
        <v>57.38</v>
      </c>
      <c r="AN291">
        <v>35.57</v>
      </c>
      <c r="AO291">
        <v>491.28999999999996</v>
      </c>
    </row>
    <row r="292" spans="1:41" x14ac:dyDescent="0.25">
      <c r="A292" t="s">
        <v>482</v>
      </c>
      <c r="B292">
        <v>2768</v>
      </c>
      <c r="C292">
        <v>7347</v>
      </c>
      <c r="D292">
        <v>4654</v>
      </c>
      <c r="E292">
        <v>1343</v>
      </c>
      <c r="F292">
        <v>6524</v>
      </c>
      <c r="G292">
        <v>6881</v>
      </c>
      <c r="H292">
        <v>5178</v>
      </c>
      <c r="I292">
        <v>2173</v>
      </c>
      <c r="J292">
        <v>6012</v>
      </c>
      <c r="K292">
        <v>3020</v>
      </c>
      <c r="L292">
        <v>5166</v>
      </c>
      <c r="M292">
        <v>7374</v>
      </c>
      <c r="N292">
        <f t="shared" si="8"/>
        <v>58440</v>
      </c>
      <c r="O292">
        <v>6</v>
      </c>
      <c r="P292">
        <v>9</v>
      </c>
      <c r="Q292">
        <v>1</v>
      </c>
      <c r="R292">
        <v>1</v>
      </c>
      <c r="S292">
        <v>9</v>
      </c>
      <c r="T292">
        <v>1</v>
      </c>
      <c r="U292">
        <v>2</v>
      </c>
      <c r="V292">
        <v>4</v>
      </c>
      <c r="W292">
        <v>3</v>
      </c>
      <c r="X292">
        <v>0</v>
      </c>
      <c r="Y292">
        <v>3</v>
      </c>
      <c r="Z292">
        <v>0</v>
      </c>
      <c r="AA292">
        <f t="shared" si="9"/>
        <v>39</v>
      </c>
      <c r="AB292" t="s">
        <v>45</v>
      </c>
      <c r="AC292">
        <v>37.97</v>
      </c>
      <c r="AD292">
        <v>83.91</v>
      </c>
      <c r="AE292">
        <v>56.58</v>
      </c>
      <c r="AF292">
        <v>23.47</v>
      </c>
      <c r="AG292">
        <v>75.680000000000007</v>
      </c>
      <c r="AH292">
        <v>78.849999999999994</v>
      </c>
      <c r="AI292">
        <v>61.87</v>
      </c>
      <c r="AJ292">
        <v>31.92</v>
      </c>
      <c r="AK292">
        <v>70.260000000000005</v>
      </c>
      <c r="AL292">
        <v>40.19</v>
      </c>
      <c r="AM292">
        <v>61.8</v>
      </c>
      <c r="AN292">
        <v>83.73</v>
      </c>
      <c r="AO292">
        <v>706.23</v>
      </c>
    </row>
    <row r="293" spans="1:41" x14ac:dyDescent="0.25">
      <c r="A293" t="s">
        <v>484</v>
      </c>
      <c r="B293">
        <v>2763</v>
      </c>
      <c r="C293">
        <v>2287</v>
      </c>
      <c r="D293">
        <v>7663</v>
      </c>
      <c r="E293">
        <v>104</v>
      </c>
      <c r="F293">
        <v>3794</v>
      </c>
      <c r="G293">
        <v>3888</v>
      </c>
      <c r="H293">
        <v>4699</v>
      </c>
      <c r="I293">
        <v>3198</v>
      </c>
      <c r="J293">
        <v>2430</v>
      </c>
      <c r="K293">
        <v>681</v>
      </c>
      <c r="L293">
        <v>9436</v>
      </c>
      <c r="M293">
        <v>2443</v>
      </c>
      <c r="N293">
        <f t="shared" si="8"/>
        <v>43386</v>
      </c>
      <c r="O293">
        <v>5</v>
      </c>
      <c r="P293">
        <v>2</v>
      </c>
      <c r="Q293">
        <v>3</v>
      </c>
      <c r="R293">
        <v>0</v>
      </c>
      <c r="S293">
        <v>3</v>
      </c>
      <c r="T293">
        <v>6</v>
      </c>
      <c r="U293">
        <v>1</v>
      </c>
      <c r="V293">
        <v>8</v>
      </c>
      <c r="W293">
        <v>3</v>
      </c>
      <c r="X293">
        <v>6</v>
      </c>
      <c r="Y293">
        <v>13</v>
      </c>
      <c r="Z293">
        <v>2</v>
      </c>
      <c r="AA293">
        <f t="shared" si="9"/>
        <v>52</v>
      </c>
      <c r="AB293" t="s">
        <v>45</v>
      </c>
      <c r="AC293">
        <v>37.869999999999997</v>
      </c>
      <c r="AD293">
        <v>32.96</v>
      </c>
      <c r="AE293">
        <v>86.77</v>
      </c>
      <c r="AF293">
        <v>11.03</v>
      </c>
      <c r="AG293">
        <v>48.08</v>
      </c>
      <c r="AH293">
        <v>49.17</v>
      </c>
      <c r="AI293">
        <v>57.03</v>
      </c>
      <c r="AJ293">
        <v>42.37</v>
      </c>
      <c r="AK293">
        <v>34.44</v>
      </c>
      <c r="AL293">
        <v>17.100000000000001</v>
      </c>
      <c r="AM293">
        <v>105</v>
      </c>
      <c r="AN293">
        <v>34.520000000000003</v>
      </c>
      <c r="AO293">
        <v>556.33999999999992</v>
      </c>
    </row>
    <row r="294" spans="1:41" x14ac:dyDescent="0.25">
      <c r="A294" t="s">
        <v>485</v>
      </c>
      <c r="B294">
        <v>2757</v>
      </c>
      <c r="C294">
        <v>6635</v>
      </c>
      <c r="D294">
        <v>6110</v>
      </c>
      <c r="E294">
        <v>3366</v>
      </c>
      <c r="F294">
        <v>5877</v>
      </c>
      <c r="G294">
        <v>901</v>
      </c>
      <c r="H294">
        <v>3049</v>
      </c>
      <c r="I294">
        <v>2271</v>
      </c>
      <c r="J294">
        <v>2811</v>
      </c>
      <c r="K294">
        <v>1411</v>
      </c>
      <c r="L294">
        <v>211</v>
      </c>
      <c r="M294">
        <v>1746</v>
      </c>
      <c r="N294">
        <f t="shared" si="8"/>
        <v>37145</v>
      </c>
      <c r="O294">
        <v>2</v>
      </c>
      <c r="P294">
        <v>2</v>
      </c>
      <c r="Q294">
        <v>1</v>
      </c>
      <c r="R294">
        <v>16</v>
      </c>
      <c r="S294">
        <v>1</v>
      </c>
      <c r="T294">
        <v>0</v>
      </c>
      <c r="U294">
        <v>3</v>
      </c>
      <c r="V294">
        <v>4</v>
      </c>
      <c r="W294">
        <v>1</v>
      </c>
      <c r="X294">
        <v>10</v>
      </c>
      <c r="Y294">
        <v>14</v>
      </c>
      <c r="Z294">
        <v>2</v>
      </c>
      <c r="AA294">
        <f t="shared" si="9"/>
        <v>56</v>
      </c>
      <c r="AB294" t="s">
        <v>45</v>
      </c>
      <c r="AC294">
        <v>37.659999999999997</v>
      </c>
      <c r="AD294">
        <v>76.44</v>
      </c>
      <c r="AE294">
        <v>71.14</v>
      </c>
      <c r="AF294">
        <v>44.45</v>
      </c>
      <c r="AG294">
        <v>68.81</v>
      </c>
      <c r="AH294">
        <v>19</v>
      </c>
      <c r="AI294">
        <v>40.630000000000003</v>
      </c>
      <c r="AJ294">
        <v>32.9</v>
      </c>
      <c r="AK294">
        <v>38.15</v>
      </c>
      <c r="AL294">
        <v>24.6</v>
      </c>
      <c r="AM294">
        <v>12.8</v>
      </c>
      <c r="AN294">
        <v>27.55</v>
      </c>
      <c r="AO294">
        <v>494.13</v>
      </c>
    </row>
    <row r="295" spans="1:41" x14ac:dyDescent="0.25">
      <c r="A295" t="s">
        <v>486</v>
      </c>
      <c r="B295">
        <v>2740</v>
      </c>
      <c r="C295">
        <v>2193</v>
      </c>
      <c r="D295">
        <v>2656</v>
      </c>
      <c r="E295">
        <v>2514</v>
      </c>
      <c r="F295">
        <v>1607</v>
      </c>
      <c r="G295">
        <v>9313</v>
      </c>
      <c r="H295">
        <v>5005</v>
      </c>
      <c r="I295">
        <v>4261</v>
      </c>
      <c r="J295">
        <v>11212</v>
      </c>
      <c r="K295">
        <v>846</v>
      </c>
      <c r="L295">
        <v>0</v>
      </c>
      <c r="M295">
        <v>7178</v>
      </c>
      <c r="N295">
        <f t="shared" si="8"/>
        <v>49525</v>
      </c>
      <c r="O295">
        <v>7</v>
      </c>
      <c r="P295">
        <v>4</v>
      </c>
      <c r="Q295">
        <v>4</v>
      </c>
      <c r="R295">
        <v>0</v>
      </c>
      <c r="S295">
        <v>2</v>
      </c>
      <c r="T295">
        <v>1</v>
      </c>
      <c r="U295">
        <v>2</v>
      </c>
      <c r="V295">
        <v>2</v>
      </c>
      <c r="W295">
        <v>4</v>
      </c>
      <c r="X295">
        <v>8</v>
      </c>
      <c r="Y295">
        <v>7</v>
      </c>
      <c r="Z295">
        <v>4</v>
      </c>
      <c r="AA295">
        <f t="shared" si="9"/>
        <v>45</v>
      </c>
      <c r="AB295" t="s">
        <v>45</v>
      </c>
      <c r="AC295">
        <v>37.74</v>
      </c>
      <c r="AD295">
        <v>32.119999999999997</v>
      </c>
      <c r="AE295">
        <v>36.75</v>
      </c>
      <c r="AF295">
        <v>35.130000000000003</v>
      </c>
      <c r="AG295">
        <v>26.16</v>
      </c>
      <c r="AH295">
        <v>103.17</v>
      </c>
      <c r="AI295">
        <v>60.14</v>
      </c>
      <c r="AJ295">
        <v>52.7</v>
      </c>
      <c r="AK295">
        <v>122.31</v>
      </c>
      <c r="AL295">
        <v>18.850000000000001</v>
      </c>
      <c r="AM295">
        <v>10.34</v>
      </c>
      <c r="AN295">
        <v>81.97</v>
      </c>
      <c r="AO295">
        <v>617.38</v>
      </c>
    </row>
    <row r="296" spans="1:41" x14ac:dyDescent="0.25">
      <c r="A296" t="s">
        <v>488</v>
      </c>
      <c r="B296">
        <v>2717</v>
      </c>
      <c r="C296">
        <v>9872</v>
      </c>
      <c r="D296">
        <v>914</v>
      </c>
      <c r="E296">
        <v>2743</v>
      </c>
      <c r="F296">
        <v>9665</v>
      </c>
      <c r="G296">
        <v>0</v>
      </c>
      <c r="H296">
        <v>4278</v>
      </c>
      <c r="I296">
        <v>1467</v>
      </c>
      <c r="J296">
        <v>1060</v>
      </c>
      <c r="K296">
        <v>4464</v>
      </c>
      <c r="L296">
        <v>0</v>
      </c>
      <c r="M296">
        <v>4296</v>
      </c>
      <c r="N296">
        <f t="shared" si="8"/>
        <v>41476</v>
      </c>
      <c r="O296">
        <v>22</v>
      </c>
      <c r="P296">
        <v>2</v>
      </c>
      <c r="Q296">
        <v>2</v>
      </c>
      <c r="R296">
        <v>8</v>
      </c>
      <c r="S296">
        <v>7</v>
      </c>
      <c r="T296">
        <v>0</v>
      </c>
      <c r="U296">
        <v>6</v>
      </c>
      <c r="V296">
        <v>2</v>
      </c>
      <c r="W296">
        <v>0</v>
      </c>
      <c r="X296">
        <v>3</v>
      </c>
      <c r="Y296">
        <v>4</v>
      </c>
      <c r="Z296">
        <v>4</v>
      </c>
      <c r="AA296">
        <f t="shared" si="9"/>
        <v>60</v>
      </c>
      <c r="AB296" t="s">
        <v>45</v>
      </c>
      <c r="AC296">
        <v>38.26</v>
      </c>
      <c r="AD296">
        <v>108.81</v>
      </c>
      <c r="AE296">
        <v>19.23</v>
      </c>
      <c r="AF296">
        <v>37.82</v>
      </c>
      <c r="AG296">
        <v>106.99</v>
      </c>
      <c r="AH296">
        <v>9.99</v>
      </c>
      <c r="AI296">
        <v>53.07</v>
      </c>
      <c r="AJ296">
        <v>24.76</v>
      </c>
      <c r="AK296">
        <v>20.59</v>
      </c>
      <c r="AL296">
        <v>54.78</v>
      </c>
      <c r="AM296">
        <v>10.19</v>
      </c>
      <c r="AN296">
        <v>53.15</v>
      </c>
      <c r="AO296">
        <v>537.64</v>
      </c>
    </row>
    <row r="297" spans="1:41" x14ac:dyDescent="0.25">
      <c r="A297" t="s">
        <v>490</v>
      </c>
      <c r="B297">
        <v>2716</v>
      </c>
      <c r="C297">
        <v>6641</v>
      </c>
      <c r="D297">
        <v>0</v>
      </c>
      <c r="E297">
        <v>2107</v>
      </c>
      <c r="F297">
        <v>5523</v>
      </c>
      <c r="G297">
        <v>15011</v>
      </c>
      <c r="H297">
        <v>6793</v>
      </c>
      <c r="I297">
        <v>7730</v>
      </c>
      <c r="J297">
        <v>371</v>
      </c>
      <c r="K297">
        <v>7342</v>
      </c>
      <c r="L297">
        <v>520</v>
      </c>
      <c r="M297">
        <v>1522</v>
      </c>
      <c r="N297">
        <f t="shared" si="8"/>
        <v>56276</v>
      </c>
      <c r="O297">
        <v>3</v>
      </c>
      <c r="P297">
        <v>0</v>
      </c>
      <c r="Q297">
        <v>16</v>
      </c>
      <c r="R297">
        <v>4</v>
      </c>
      <c r="S297">
        <v>3</v>
      </c>
      <c r="T297">
        <v>2</v>
      </c>
      <c r="U297">
        <v>4</v>
      </c>
      <c r="V297">
        <v>5</v>
      </c>
      <c r="W297">
        <v>0</v>
      </c>
      <c r="X297">
        <v>2</v>
      </c>
      <c r="Y297">
        <v>9</v>
      </c>
      <c r="Z297">
        <v>0</v>
      </c>
      <c r="AA297">
        <f t="shared" si="9"/>
        <v>48</v>
      </c>
      <c r="AB297" t="s">
        <v>45</v>
      </c>
      <c r="AC297">
        <v>37.299999999999997</v>
      </c>
      <c r="AD297">
        <v>76.400000000000006</v>
      </c>
      <c r="AE297">
        <v>10.79</v>
      </c>
      <c r="AF297">
        <v>31.26</v>
      </c>
      <c r="AG297">
        <v>65.37</v>
      </c>
      <c r="AH297">
        <v>160.19999999999999</v>
      </c>
      <c r="AI297">
        <v>78.12</v>
      </c>
      <c r="AJ297">
        <v>87.54</v>
      </c>
      <c r="AK297">
        <v>13.7</v>
      </c>
      <c r="AL297">
        <v>83.51</v>
      </c>
      <c r="AM297">
        <v>15.64</v>
      </c>
      <c r="AN297">
        <v>25.21</v>
      </c>
      <c r="AO297">
        <v>685.04000000000008</v>
      </c>
    </row>
    <row r="298" spans="1:41" x14ac:dyDescent="0.25">
      <c r="A298" t="s">
        <v>492</v>
      </c>
      <c r="B298">
        <v>2684</v>
      </c>
      <c r="C298">
        <v>9420</v>
      </c>
      <c r="D298">
        <v>1551</v>
      </c>
      <c r="E298">
        <v>8067</v>
      </c>
      <c r="F298">
        <v>1223</v>
      </c>
      <c r="G298">
        <v>7527</v>
      </c>
      <c r="H298">
        <v>3514</v>
      </c>
      <c r="I298">
        <v>422</v>
      </c>
      <c r="J298">
        <v>2940</v>
      </c>
      <c r="K298">
        <v>1747</v>
      </c>
      <c r="L298">
        <v>520</v>
      </c>
      <c r="M298">
        <v>449</v>
      </c>
      <c r="N298">
        <f t="shared" si="8"/>
        <v>40064</v>
      </c>
      <c r="O298">
        <v>3</v>
      </c>
      <c r="P298">
        <v>4</v>
      </c>
      <c r="Q298">
        <v>10</v>
      </c>
      <c r="R298">
        <v>7</v>
      </c>
      <c r="S298">
        <v>10</v>
      </c>
      <c r="T298">
        <v>2</v>
      </c>
      <c r="U298">
        <v>1</v>
      </c>
      <c r="V298">
        <v>4</v>
      </c>
      <c r="W298">
        <v>3</v>
      </c>
      <c r="X298">
        <v>0</v>
      </c>
      <c r="Y298">
        <v>4</v>
      </c>
      <c r="Z298">
        <v>2</v>
      </c>
      <c r="AA298">
        <f t="shared" si="9"/>
        <v>50</v>
      </c>
      <c r="AB298" t="s">
        <v>45</v>
      </c>
      <c r="AC298">
        <v>36.979999999999997</v>
      </c>
      <c r="AD298">
        <v>104.39</v>
      </c>
      <c r="AE298">
        <v>26</v>
      </c>
      <c r="AF298">
        <v>91.01</v>
      </c>
      <c r="AG298">
        <v>22.72</v>
      </c>
      <c r="AH298">
        <v>85.36</v>
      </c>
      <c r="AI298">
        <v>45.18</v>
      </c>
      <c r="AJ298">
        <v>14.41</v>
      </c>
      <c r="AK298">
        <v>39.54</v>
      </c>
      <c r="AL298">
        <v>27.46</v>
      </c>
      <c r="AM298">
        <v>15.39</v>
      </c>
      <c r="AN298">
        <v>14.58</v>
      </c>
      <c r="AO298">
        <v>523.0200000000001</v>
      </c>
    </row>
    <row r="299" spans="1:41" x14ac:dyDescent="0.25">
      <c r="A299" t="s">
        <v>493</v>
      </c>
      <c r="B299">
        <v>2682</v>
      </c>
      <c r="C299">
        <v>3471</v>
      </c>
      <c r="D299">
        <v>2018</v>
      </c>
      <c r="E299">
        <v>7509</v>
      </c>
      <c r="F299">
        <v>13398</v>
      </c>
      <c r="G299">
        <v>1348</v>
      </c>
      <c r="H299">
        <v>0</v>
      </c>
      <c r="I299">
        <v>6421</v>
      </c>
      <c r="J299">
        <v>850</v>
      </c>
      <c r="K299">
        <v>1627</v>
      </c>
      <c r="L299">
        <v>2214</v>
      </c>
      <c r="M299">
        <v>9644</v>
      </c>
      <c r="N299">
        <f t="shared" si="8"/>
        <v>51182</v>
      </c>
      <c r="O299">
        <v>4</v>
      </c>
      <c r="P299">
        <v>2</v>
      </c>
      <c r="Q299">
        <v>1</v>
      </c>
      <c r="R299">
        <v>4</v>
      </c>
      <c r="S299">
        <v>10</v>
      </c>
      <c r="T299">
        <v>3</v>
      </c>
      <c r="U299">
        <v>11</v>
      </c>
      <c r="V299">
        <v>7</v>
      </c>
      <c r="W299">
        <v>15</v>
      </c>
      <c r="X299">
        <v>8</v>
      </c>
      <c r="Y299">
        <v>0</v>
      </c>
      <c r="Z299">
        <v>0</v>
      </c>
      <c r="AA299">
        <f t="shared" si="9"/>
        <v>65</v>
      </c>
      <c r="AB299" t="s">
        <v>45</v>
      </c>
      <c r="AC299">
        <v>37.01</v>
      </c>
      <c r="AD299">
        <v>44.8</v>
      </c>
      <c r="AE299">
        <v>30.22</v>
      </c>
      <c r="AF299">
        <v>85.28</v>
      </c>
      <c r="AG299">
        <v>144.47</v>
      </c>
      <c r="AH299">
        <v>23.62</v>
      </c>
      <c r="AI299">
        <v>10.54</v>
      </c>
      <c r="AJ299">
        <v>74.55</v>
      </c>
      <c r="AK299">
        <v>19.239999999999998</v>
      </c>
      <c r="AL299">
        <v>26.66</v>
      </c>
      <c r="AM299">
        <v>32.130000000000003</v>
      </c>
      <c r="AN299">
        <v>106.43</v>
      </c>
      <c r="AO299">
        <v>634.95000000000005</v>
      </c>
    </row>
    <row r="300" spans="1:41" x14ac:dyDescent="0.25">
      <c r="A300" t="s">
        <v>494</v>
      </c>
      <c r="B300">
        <v>2672</v>
      </c>
      <c r="C300">
        <v>0</v>
      </c>
      <c r="D300">
        <v>760</v>
      </c>
      <c r="E300">
        <v>1018</v>
      </c>
      <c r="F300">
        <v>1095</v>
      </c>
      <c r="G300">
        <v>9406</v>
      </c>
      <c r="H300">
        <v>8222</v>
      </c>
      <c r="I300">
        <v>15046</v>
      </c>
      <c r="J300">
        <v>2069</v>
      </c>
      <c r="K300">
        <v>5347</v>
      </c>
      <c r="L300">
        <v>2250</v>
      </c>
      <c r="M300">
        <v>2129</v>
      </c>
      <c r="N300">
        <f t="shared" si="8"/>
        <v>50014</v>
      </c>
      <c r="O300">
        <v>15</v>
      </c>
      <c r="P300">
        <v>0</v>
      </c>
      <c r="Q300">
        <v>3</v>
      </c>
      <c r="R300">
        <v>2</v>
      </c>
      <c r="S300">
        <v>12</v>
      </c>
      <c r="T300">
        <v>2</v>
      </c>
      <c r="U300">
        <v>10</v>
      </c>
      <c r="V300">
        <v>10</v>
      </c>
      <c r="W300">
        <v>1</v>
      </c>
      <c r="X300">
        <v>2</v>
      </c>
      <c r="Y300">
        <v>4</v>
      </c>
      <c r="Z300">
        <v>3</v>
      </c>
      <c r="AA300">
        <f t="shared" si="9"/>
        <v>64</v>
      </c>
      <c r="AB300" t="s">
        <v>45</v>
      </c>
      <c r="AC300">
        <v>37.46</v>
      </c>
      <c r="AD300">
        <v>9.99</v>
      </c>
      <c r="AE300">
        <v>17.739999999999998</v>
      </c>
      <c r="AF300">
        <v>20.27</v>
      </c>
      <c r="AG300">
        <v>21.54</v>
      </c>
      <c r="AH300">
        <v>104.15</v>
      </c>
      <c r="AI300">
        <v>92.71</v>
      </c>
      <c r="AJ300">
        <v>160.94999999999999</v>
      </c>
      <c r="AK300">
        <v>30.73</v>
      </c>
      <c r="AL300">
        <v>63.56</v>
      </c>
      <c r="AM300">
        <v>32.69</v>
      </c>
      <c r="AN300">
        <v>31.43</v>
      </c>
      <c r="AO300">
        <v>623.21999999999991</v>
      </c>
    </row>
    <row r="301" spans="1:41" x14ac:dyDescent="0.25">
      <c r="A301" t="s">
        <v>495</v>
      </c>
      <c r="B301">
        <v>2665</v>
      </c>
      <c r="C301">
        <v>2753</v>
      </c>
      <c r="D301">
        <v>0</v>
      </c>
      <c r="E301">
        <v>2727</v>
      </c>
      <c r="F301">
        <v>0</v>
      </c>
      <c r="G301">
        <v>466</v>
      </c>
      <c r="H301">
        <v>21058</v>
      </c>
      <c r="I301">
        <v>1362</v>
      </c>
      <c r="J301">
        <v>626</v>
      </c>
      <c r="K301">
        <v>3674</v>
      </c>
      <c r="L301">
        <v>6846</v>
      </c>
      <c r="M301">
        <v>0</v>
      </c>
      <c r="N301">
        <f t="shared" si="8"/>
        <v>42177</v>
      </c>
      <c r="O301">
        <v>1</v>
      </c>
      <c r="P301">
        <v>3</v>
      </c>
      <c r="Q301">
        <v>3</v>
      </c>
      <c r="R301">
        <v>30</v>
      </c>
      <c r="S301">
        <v>3</v>
      </c>
      <c r="T301">
        <v>11</v>
      </c>
      <c r="U301">
        <v>6</v>
      </c>
      <c r="V301">
        <v>3</v>
      </c>
      <c r="W301">
        <v>2</v>
      </c>
      <c r="X301">
        <v>7</v>
      </c>
      <c r="Y301">
        <v>11</v>
      </c>
      <c r="Z301">
        <v>2</v>
      </c>
      <c r="AA301">
        <f t="shared" si="9"/>
        <v>82</v>
      </c>
      <c r="AB301" t="s">
        <v>45</v>
      </c>
      <c r="AC301">
        <v>36.69</v>
      </c>
      <c r="AD301">
        <v>37.67</v>
      </c>
      <c r="AE301">
        <v>10.14</v>
      </c>
      <c r="AF301">
        <v>38.76</v>
      </c>
      <c r="AG301">
        <v>10.14</v>
      </c>
      <c r="AH301">
        <v>15.2</v>
      </c>
      <c r="AI301">
        <v>220.87</v>
      </c>
      <c r="AJ301">
        <v>23.76</v>
      </c>
      <c r="AK301">
        <v>16.350000000000001</v>
      </c>
      <c r="AL301">
        <v>47.08</v>
      </c>
      <c r="AM301">
        <v>79</v>
      </c>
      <c r="AN301">
        <v>10.09</v>
      </c>
      <c r="AO301">
        <v>545.75</v>
      </c>
    </row>
    <row r="302" spans="1:41" x14ac:dyDescent="0.25">
      <c r="A302" t="s">
        <v>496</v>
      </c>
      <c r="B302">
        <v>2658</v>
      </c>
      <c r="C302">
        <v>2473</v>
      </c>
      <c r="D302">
        <v>2119</v>
      </c>
      <c r="E302">
        <v>2476</v>
      </c>
      <c r="F302">
        <v>10244</v>
      </c>
      <c r="G302">
        <v>2314</v>
      </c>
      <c r="H302">
        <v>676</v>
      </c>
      <c r="I302">
        <v>4339</v>
      </c>
      <c r="J302">
        <v>2109</v>
      </c>
      <c r="K302">
        <v>6069</v>
      </c>
      <c r="L302">
        <v>0</v>
      </c>
      <c r="M302">
        <v>1457</v>
      </c>
      <c r="N302">
        <f t="shared" si="8"/>
        <v>36934</v>
      </c>
      <c r="O302">
        <v>14</v>
      </c>
      <c r="P302">
        <v>3</v>
      </c>
      <c r="Q302">
        <v>3</v>
      </c>
      <c r="R302">
        <v>4</v>
      </c>
      <c r="S302">
        <v>2</v>
      </c>
      <c r="T302">
        <v>2</v>
      </c>
      <c r="U302">
        <v>1</v>
      </c>
      <c r="V302">
        <v>6</v>
      </c>
      <c r="W302">
        <v>3</v>
      </c>
      <c r="X302">
        <v>3</v>
      </c>
      <c r="Y302">
        <v>9</v>
      </c>
      <c r="Z302">
        <v>6</v>
      </c>
      <c r="AA302">
        <f t="shared" si="9"/>
        <v>56</v>
      </c>
      <c r="AB302" t="s">
        <v>45</v>
      </c>
      <c r="AC302">
        <v>37.270000000000003</v>
      </c>
      <c r="AD302">
        <v>34.869999999999997</v>
      </c>
      <c r="AE302">
        <v>31.33</v>
      </c>
      <c r="AF302">
        <v>34.950000000000003</v>
      </c>
      <c r="AG302">
        <v>112.53</v>
      </c>
      <c r="AH302">
        <v>33.229999999999997</v>
      </c>
      <c r="AI302">
        <v>16.8</v>
      </c>
      <c r="AJ302">
        <v>53.68</v>
      </c>
      <c r="AK302">
        <v>31.23</v>
      </c>
      <c r="AL302">
        <v>70.83</v>
      </c>
      <c r="AM302">
        <v>10.44</v>
      </c>
      <c r="AN302">
        <v>24.86</v>
      </c>
      <c r="AO302">
        <v>492.02000000000004</v>
      </c>
    </row>
    <row r="303" spans="1:41" x14ac:dyDescent="0.25">
      <c r="A303" t="s">
        <v>497</v>
      </c>
      <c r="B303">
        <v>2657</v>
      </c>
      <c r="C303">
        <v>5021</v>
      </c>
      <c r="D303">
        <v>6953</v>
      </c>
      <c r="E303">
        <v>782</v>
      </c>
      <c r="F303">
        <v>4024</v>
      </c>
      <c r="G303">
        <v>9599</v>
      </c>
      <c r="H303">
        <v>3073</v>
      </c>
      <c r="I303">
        <v>140</v>
      </c>
      <c r="J303">
        <v>970</v>
      </c>
      <c r="K303">
        <v>361</v>
      </c>
      <c r="L303">
        <v>0</v>
      </c>
      <c r="M303">
        <v>3087</v>
      </c>
      <c r="N303">
        <f t="shared" si="8"/>
        <v>36667</v>
      </c>
      <c r="O303">
        <v>4</v>
      </c>
      <c r="P303">
        <v>7</v>
      </c>
      <c r="Q303">
        <v>0</v>
      </c>
      <c r="R303">
        <v>9</v>
      </c>
      <c r="S303">
        <v>3</v>
      </c>
      <c r="T303">
        <v>8</v>
      </c>
      <c r="U303">
        <v>3</v>
      </c>
      <c r="V303">
        <v>3</v>
      </c>
      <c r="W303">
        <v>2</v>
      </c>
      <c r="X303">
        <v>6</v>
      </c>
      <c r="Y303">
        <v>2</v>
      </c>
      <c r="Z303">
        <v>1</v>
      </c>
      <c r="AA303">
        <f t="shared" si="9"/>
        <v>48</v>
      </c>
      <c r="AB303" t="s">
        <v>45</v>
      </c>
      <c r="AC303">
        <v>36.76</v>
      </c>
      <c r="AD303">
        <v>60.55</v>
      </c>
      <c r="AE303">
        <v>79.52</v>
      </c>
      <c r="AF303">
        <v>18.260000000000002</v>
      </c>
      <c r="AG303">
        <v>50.38</v>
      </c>
      <c r="AH303">
        <v>106.38</v>
      </c>
      <c r="AI303">
        <v>40.869999999999997</v>
      </c>
      <c r="AJ303">
        <v>11.54</v>
      </c>
      <c r="AK303">
        <v>19.79</v>
      </c>
      <c r="AL303">
        <v>13.9</v>
      </c>
      <c r="AM303">
        <v>10.09</v>
      </c>
      <c r="AN303">
        <v>40.909999999999997</v>
      </c>
      <c r="AO303">
        <v>488.94999999999993</v>
      </c>
    </row>
    <row r="304" spans="1:41" x14ac:dyDescent="0.25">
      <c r="A304" t="s">
        <v>498</v>
      </c>
      <c r="B304">
        <v>2653</v>
      </c>
      <c r="C304">
        <v>915</v>
      </c>
      <c r="D304">
        <v>2572</v>
      </c>
      <c r="E304">
        <v>1359</v>
      </c>
      <c r="F304">
        <v>9179</v>
      </c>
      <c r="G304">
        <v>0</v>
      </c>
      <c r="H304">
        <v>3969</v>
      </c>
      <c r="I304">
        <v>7055</v>
      </c>
      <c r="J304">
        <v>12033</v>
      </c>
      <c r="K304">
        <v>1308</v>
      </c>
      <c r="L304">
        <v>3678</v>
      </c>
      <c r="M304">
        <v>0</v>
      </c>
      <c r="N304">
        <f t="shared" si="8"/>
        <v>44721</v>
      </c>
      <c r="O304">
        <v>12</v>
      </c>
      <c r="P304">
        <v>0</v>
      </c>
      <c r="Q304">
        <v>2</v>
      </c>
      <c r="R304">
        <v>7</v>
      </c>
      <c r="S304">
        <v>5</v>
      </c>
      <c r="T304">
        <v>9</v>
      </c>
      <c r="U304">
        <v>2</v>
      </c>
      <c r="V304">
        <v>8</v>
      </c>
      <c r="W304">
        <v>2</v>
      </c>
      <c r="X304">
        <v>1</v>
      </c>
      <c r="Y304">
        <v>0</v>
      </c>
      <c r="Z304">
        <v>7</v>
      </c>
      <c r="AA304">
        <f t="shared" si="9"/>
        <v>55</v>
      </c>
      <c r="AB304" t="s">
        <v>45</v>
      </c>
      <c r="AC304">
        <v>37.119999999999997</v>
      </c>
      <c r="AD304">
        <v>19.14</v>
      </c>
      <c r="AE304">
        <v>35.81</v>
      </c>
      <c r="AF304">
        <v>23.93</v>
      </c>
      <c r="AG304">
        <v>102.03</v>
      </c>
      <c r="AH304">
        <v>10.44</v>
      </c>
      <c r="AI304">
        <v>49.78</v>
      </c>
      <c r="AJ304">
        <v>80.94</v>
      </c>
      <c r="AK304">
        <v>130.41999999999999</v>
      </c>
      <c r="AL304">
        <v>23.12</v>
      </c>
      <c r="AM304">
        <v>46.77</v>
      </c>
      <c r="AN304">
        <v>10.34</v>
      </c>
      <c r="AO304">
        <v>569.84</v>
      </c>
    </row>
    <row r="305" spans="1:41" x14ac:dyDescent="0.25">
      <c r="A305" t="s">
        <v>499</v>
      </c>
      <c r="B305">
        <v>2650</v>
      </c>
      <c r="C305">
        <v>0</v>
      </c>
      <c r="D305">
        <v>3141</v>
      </c>
      <c r="E305">
        <v>1855</v>
      </c>
      <c r="F305">
        <v>4099</v>
      </c>
      <c r="G305">
        <v>4042</v>
      </c>
      <c r="H305">
        <v>4343</v>
      </c>
      <c r="I305">
        <v>1867</v>
      </c>
      <c r="J305">
        <v>5937</v>
      </c>
      <c r="K305">
        <v>3434</v>
      </c>
      <c r="L305">
        <v>2425</v>
      </c>
      <c r="M305">
        <v>15102</v>
      </c>
      <c r="N305">
        <f t="shared" si="8"/>
        <v>48895</v>
      </c>
      <c r="O305">
        <v>9</v>
      </c>
      <c r="P305">
        <v>0</v>
      </c>
      <c r="Q305">
        <v>0</v>
      </c>
      <c r="R305">
        <v>4</v>
      </c>
      <c r="S305">
        <v>2</v>
      </c>
      <c r="T305">
        <v>9</v>
      </c>
      <c r="U305">
        <v>9</v>
      </c>
      <c r="V305">
        <v>1</v>
      </c>
      <c r="W305">
        <v>3</v>
      </c>
      <c r="X305">
        <v>5</v>
      </c>
      <c r="Y305">
        <v>4</v>
      </c>
      <c r="Z305">
        <v>3</v>
      </c>
      <c r="AA305">
        <f t="shared" si="9"/>
        <v>49</v>
      </c>
      <c r="AB305" t="s">
        <v>45</v>
      </c>
      <c r="AC305">
        <v>36.94</v>
      </c>
      <c r="AD305">
        <v>9.99</v>
      </c>
      <c r="AE305">
        <v>41.4</v>
      </c>
      <c r="AF305">
        <v>28.74</v>
      </c>
      <c r="AG305">
        <v>51.08</v>
      </c>
      <c r="AH305">
        <v>50.86</v>
      </c>
      <c r="AI305">
        <v>53.87</v>
      </c>
      <c r="AJ305">
        <v>28.71</v>
      </c>
      <c r="AK305">
        <v>69.510000000000005</v>
      </c>
      <c r="AL305">
        <v>44.58</v>
      </c>
      <c r="AM305">
        <v>34.44</v>
      </c>
      <c r="AN305">
        <v>161.16</v>
      </c>
      <c r="AO305">
        <v>611.28</v>
      </c>
    </row>
    <row r="306" spans="1:41" x14ac:dyDescent="0.25">
      <c r="A306" t="s">
        <v>500</v>
      </c>
      <c r="B306">
        <v>2645</v>
      </c>
      <c r="C306">
        <v>94</v>
      </c>
      <c r="D306">
        <v>1528</v>
      </c>
      <c r="E306">
        <v>7627</v>
      </c>
      <c r="F306">
        <v>5463</v>
      </c>
      <c r="G306">
        <v>5052</v>
      </c>
      <c r="H306">
        <v>4478</v>
      </c>
      <c r="I306">
        <v>1522</v>
      </c>
      <c r="J306">
        <v>3718</v>
      </c>
      <c r="K306">
        <v>1931</v>
      </c>
      <c r="L306">
        <v>1170</v>
      </c>
      <c r="M306">
        <v>1108</v>
      </c>
      <c r="N306">
        <f t="shared" si="8"/>
        <v>36336</v>
      </c>
      <c r="O306">
        <v>0</v>
      </c>
      <c r="P306">
        <v>3</v>
      </c>
      <c r="Q306">
        <v>10</v>
      </c>
      <c r="R306">
        <v>5</v>
      </c>
      <c r="S306">
        <v>5</v>
      </c>
      <c r="T306">
        <v>3</v>
      </c>
      <c r="U306">
        <v>3</v>
      </c>
      <c r="V306">
        <v>2</v>
      </c>
      <c r="W306">
        <v>8</v>
      </c>
      <c r="X306">
        <v>4</v>
      </c>
      <c r="Y306">
        <v>3</v>
      </c>
      <c r="Z306">
        <v>10</v>
      </c>
      <c r="AA306">
        <f t="shared" si="9"/>
        <v>56</v>
      </c>
      <c r="AB306" t="s">
        <v>45</v>
      </c>
      <c r="AC306">
        <v>36.44</v>
      </c>
      <c r="AD306">
        <v>11.08</v>
      </c>
      <c r="AE306">
        <v>25.77</v>
      </c>
      <c r="AF306">
        <v>86.51</v>
      </c>
      <c r="AG306">
        <v>64.87</v>
      </c>
      <c r="AH306">
        <v>60.66</v>
      </c>
      <c r="AI306">
        <v>54.92</v>
      </c>
      <c r="AJ306">
        <v>25.31</v>
      </c>
      <c r="AK306">
        <v>47.57</v>
      </c>
      <c r="AL306">
        <v>29.5</v>
      </c>
      <c r="AM306">
        <v>21.84</v>
      </c>
      <c r="AN306">
        <v>21.57</v>
      </c>
      <c r="AO306">
        <v>486.04</v>
      </c>
    </row>
    <row r="307" spans="1:41" x14ac:dyDescent="0.25">
      <c r="A307" t="s">
        <v>502</v>
      </c>
      <c r="B307">
        <v>2620</v>
      </c>
      <c r="C307">
        <v>3327</v>
      </c>
      <c r="D307">
        <v>327</v>
      </c>
      <c r="E307">
        <v>3717</v>
      </c>
      <c r="F307">
        <v>4892</v>
      </c>
      <c r="G307">
        <v>3836</v>
      </c>
      <c r="H307">
        <v>2031</v>
      </c>
      <c r="I307">
        <v>16811</v>
      </c>
      <c r="J307">
        <v>1062</v>
      </c>
      <c r="K307">
        <v>1152</v>
      </c>
      <c r="L307">
        <v>6553</v>
      </c>
      <c r="M307">
        <v>1096</v>
      </c>
      <c r="N307">
        <f t="shared" si="8"/>
        <v>47424</v>
      </c>
      <c r="O307">
        <v>6</v>
      </c>
      <c r="P307">
        <v>5</v>
      </c>
      <c r="Q307">
        <v>0</v>
      </c>
      <c r="R307">
        <v>5</v>
      </c>
      <c r="S307">
        <v>2</v>
      </c>
      <c r="T307">
        <v>5</v>
      </c>
      <c r="U307">
        <v>9</v>
      </c>
      <c r="V307">
        <v>15</v>
      </c>
      <c r="W307">
        <v>2</v>
      </c>
      <c r="X307">
        <v>3</v>
      </c>
      <c r="Y307">
        <v>11</v>
      </c>
      <c r="Z307">
        <v>4</v>
      </c>
      <c r="AA307">
        <f t="shared" si="9"/>
        <v>67</v>
      </c>
      <c r="AB307" t="s">
        <v>45</v>
      </c>
      <c r="AC307">
        <v>36.49</v>
      </c>
      <c r="AD307">
        <v>43.51</v>
      </c>
      <c r="AE307">
        <v>13.26</v>
      </c>
      <c r="AF307">
        <v>47.41</v>
      </c>
      <c r="AG307">
        <v>59.01</v>
      </c>
      <c r="AH307">
        <v>48.6</v>
      </c>
      <c r="AI307">
        <v>30.75</v>
      </c>
      <c r="AJ307">
        <v>178.85</v>
      </c>
      <c r="AK307">
        <v>20.71</v>
      </c>
      <c r="AL307">
        <v>21.66</v>
      </c>
      <c r="AM307">
        <v>76.069999999999993</v>
      </c>
      <c r="AN307">
        <v>21.15</v>
      </c>
      <c r="AO307">
        <v>597.46999999999991</v>
      </c>
    </row>
    <row r="308" spans="1:41" x14ac:dyDescent="0.25">
      <c r="A308" t="s">
        <v>504</v>
      </c>
      <c r="B308">
        <v>2586</v>
      </c>
      <c r="C308">
        <v>2581</v>
      </c>
      <c r="D308">
        <v>11938</v>
      </c>
      <c r="E308">
        <v>594</v>
      </c>
      <c r="F308">
        <v>129</v>
      </c>
      <c r="G308">
        <v>11861</v>
      </c>
      <c r="H308">
        <v>12269</v>
      </c>
      <c r="I308">
        <v>827</v>
      </c>
      <c r="J308">
        <v>0</v>
      </c>
      <c r="K308">
        <v>2805</v>
      </c>
      <c r="L308">
        <v>0</v>
      </c>
      <c r="M308">
        <v>4182</v>
      </c>
      <c r="N308">
        <f t="shared" si="8"/>
        <v>49772</v>
      </c>
      <c r="O308">
        <v>3</v>
      </c>
      <c r="P308">
        <v>5</v>
      </c>
      <c r="Q308">
        <v>2</v>
      </c>
      <c r="R308">
        <v>4</v>
      </c>
      <c r="S308">
        <v>4</v>
      </c>
      <c r="T308">
        <v>0</v>
      </c>
      <c r="U308">
        <v>4</v>
      </c>
      <c r="V308">
        <v>1</v>
      </c>
      <c r="W308">
        <v>2</v>
      </c>
      <c r="X308">
        <v>13</v>
      </c>
      <c r="Y308">
        <v>15</v>
      </c>
      <c r="Z308">
        <v>7</v>
      </c>
      <c r="AA308">
        <f t="shared" si="9"/>
        <v>60</v>
      </c>
      <c r="AB308" t="s">
        <v>45</v>
      </c>
      <c r="AC308">
        <v>36</v>
      </c>
      <c r="AD308">
        <v>36.049999999999997</v>
      </c>
      <c r="AE308">
        <v>129.47</v>
      </c>
      <c r="AF308">
        <v>16.13</v>
      </c>
      <c r="AG308">
        <v>11.48</v>
      </c>
      <c r="AH308">
        <v>128.6</v>
      </c>
      <c r="AI308">
        <v>132.88</v>
      </c>
      <c r="AJ308">
        <v>18.309999999999999</v>
      </c>
      <c r="AK308">
        <v>10.09</v>
      </c>
      <c r="AL308">
        <v>38.69</v>
      </c>
      <c r="AM308">
        <v>10.74</v>
      </c>
      <c r="AN308">
        <v>52.16</v>
      </c>
      <c r="AO308">
        <v>620.6</v>
      </c>
    </row>
    <row r="309" spans="1:41" x14ac:dyDescent="0.25">
      <c r="A309" t="s">
        <v>505</v>
      </c>
      <c r="B309">
        <v>2580</v>
      </c>
      <c r="C309">
        <v>2739</v>
      </c>
      <c r="D309">
        <v>3235</v>
      </c>
      <c r="E309">
        <v>0</v>
      </c>
      <c r="F309">
        <v>5024</v>
      </c>
      <c r="G309">
        <v>2494</v>
      </c>
      <c r="H309">
        <v>5902</v>
      </c>
      <c r="I309">
        <v>5146</v>
      </c>
      <c r="J309">
        <v>1840</v>
      </c>
      <c r="K309">
        <v>301</v>
      </c>
      <c r="L309">
        <v>4478</v>
      </c>
      <c r="M309">
        <v>14507</v>
      </c>
      <c r="N309">
        <f t="shared" si="8"/>
        <v>48246</v>
      </c>
      <c r="O309">
        <v>2</v>
      </c>
      <c r="P309">
        <v>9</v>
      </c>
      <c r="Q309">
        <v>1</v>
      </c>
      <c r="R309">
        <v>7</v>
      </c>
      <c r="S309">
        <v>7</v>
      </c>
      <c r="T309">
        <v>6</v>
      </c>
      <c r="U309">
        <v>8</v>
      </c>
      <c r="V309">
        <v>2</v>
      </c>
      <c r="W309">
        <v>0</v>
      </c>
      <c r="X309">
        <v>4</v>
      </c>
      <c r="Y309">
        <v>1</v>
      </c>
      <c r="Z309">
        <v>5</v>
      </c>
      <c r="AA309">
        <f t="shared" si="9"/>
        <v>52</v>
      </c>
      <c r="AB309" t="s">
        <v>45</v>
      </c>
      <c r="AC309">
        <v>35.89</v>
      </c>
      <c r="AD309">
        <v>37.83</v>
      </c>
      <c r="AE309">
        <v>42.39</v>
      </c>
      <c r="AF309">
        <v>10.34</v>
      </c>
      <c r="AG309">
        <v>60.58</v>
      </c>
      <c r="AH309">
        <v>35.229999999999997</v>
      </c>
      <c r="AI309">
        <v>69.41</v>
      </c>
      <c r="AJ309">
        <v>61.55</v>
      </c>
      <c r="AK309">
        <v>28.39</v>
      </c>
      <c r="AL309">
        <v>13.2</v>
      </c>
      <c r="AM309">
        <v>54.82</v>
      </c>
      <c r="AN309">
        <v>155.31</v>
      </c>
      <c r="AO309">
        <v>604.93999999999994</v>
      </c>
    </row>
    <row r="310" spans="1:41" x14ac:dyDescent="0.25">
      <c r="A310" t="s">
        <v>507</v>
      </c>
      <c r="B310">
        <v>2572</v>
      </c>
      <c r="C310">
        <v>3426</v>
      </c>
      <c r="D310">
        <v>68</v>
      </c>
      <c r="E310">
        <v>2540</v>
      </c>
      <c r="F310">
        <v>4147</v>
      </c>
      <c r="G310">
        <v>4350</v>
      </c>
      <c r="H310">
        <v>1408</v>
      </c>
      <c r="I310">
        <v>16751</v>
      </c>
      <c r="J310">
        <v>4141</v>
      </c>
      <c r="K310">
        <v>2531</v>
      </c>
      <c r="L310">
        <v>1187</v>
      </c>
      <c r="M310">
        <v>2275</v>
      </c>
      <c r="N310">
        <f t="shared" si="8"/>
        <v>45396</v>
      </c>
      <c r="O310">
        <v>2</v>
      </c>
      <c r="P310">
        <v>14</v>
      </c>
      <c r="Q310">
        <v>2</v>
      </c>
      <c r="R310">
        <v>4</v>
      </c>
      <c r="S310">
        <v>1</v>
      </c>
      <c r="T310">
        <v>0</v>
      </c>
      <c r="U310">
        <v>3</v>
      </c>
      <c r="V310">
        <v>26</v>
      </c>
      <c r="W310">
        <v>1</v>
      </c>
      <c r="X310">
        <v>5</v>
      </c>
      <c r="Y310">
        <v>1</v>
      </c>
      <c r="Z310">
        <v>0</v>
      </c>
      <c r="AA310">
        <f t="shared" si="9"/>
        <v>59</v>
      </c>
      <c r="AB310" t="s">
        <v>45</v>
      </c>
      <c r="AC310">
        <v>35.81</v>
      </c>
      <c r="AD310">
        <v>44.95</v>
      </c>
      <c r="AE310">
        <v>10.77</v>
      </c>
      <c r="AF310">
        <v>35.590000000000003</v>
      </c>
      <c r="AG310">
        <v>51.51</v>
      </c>
      <c r="AH310">
        <v>53.49</v>
      </c>
      <c r="AI310">
        <v>24.22</v>
      </c>
      <c r="AJ310">
        <v>178.8</v>
      </c>
      <c r="AK310">
        <v>51.45</v>
      </c>
      <c r="AL310">
        <v>35.549999999999997</v>
      </c>
      <c r="AM310">
        <v>21.91</v>
      </c>
      <c r="AN310">
        <v>32.74</v>
      </c>
      <c r="AO310">
        <v>576.79</v>
      </c>
    </row>
    <row r="311" spans="1:41" x14ac:dyDescent="0.25">
      <c r="A311" t="s">
        <v>508</v>
      </c>
      <c r="B311">
        <v>2557</v>
      </c>
      <c r="C311">
        <v>402</v>
      </c>
      <c r="D311">
        <v>9772</v>
      </c>
      <c r="E311">
        <v>904</v>
      </c>
      <c r="F311">
        <v>22436</v>
      </c>
      <c r="G311">
        <v>14491</v>
      </c>
      <c r="H311">
        <v>6165</v>
      </c>
      <c r="I311">
        <v>436</v>
      </c>
      <c r="J311">
        <v>2146</v>
      </c>
      <c r="K311">
        <v>459</v>
      </c>
      <c r="L311">
        <v>8711</v>
      </c>
      <c r="M311">
        <v>4687</v>
      </c>
      <c r="N311">
        <f t="shared" si="8"/>
        <v>73166</v>
      </c>
      <c r="O311">
        <v>3</v>
      </c>
      <c r="P311">
        <v>5</v>
      </c>
      <c r="Q311">
        <v>1</v>
      </c>
      <c r="R311">
        <v>5</v>
      </c>
      <c r="S311">
        <v>2</v>
      </c>
      <c r="T311">
        <v>5</v>
      </c>
      <c r="U311">
        <v>5</v>
      </c>
      <c r="V311">
        <v>3</v>
      </c>
      <c r="W311">
        <v>0</v>
      </c>
      <c r="X311">
        <v>8</v>
      </c>
      <c r="Y311">
        <v>3</v>
      </c>
      <c r="Z311">
        <v>2</v>
      </c>
      <c r="AA311">
        <f t="shared" si="9"/>
        <v>42</v>
      </c>
      <c r="AB311" t="s">
        <v>45</v>
      </c>
      <c r="AC311">
        <v>35.71</v>
      </c>
      <c r="AD311">
        <v>14.26</v>
      </c>
      <c r="AE311">
        <v>107.76</v>
      </c>
      <c r="AF311">
        <v>19.28</v>
      </c>
      <c r="AG311">
        <v>234.45</v>
      </c>
      <c r="AH311">
        <v>155.15</v>
      </c>
      <c r="AI311">
        <v>71.89</v>
      </c>
      <c r="AJ311">
        <v>14.5</v>
      </c>
      <c r="AK311">
        <v>31.45</v>
      </c>
      <c r="AL311">
        <v>14.98</v>
      </c>
      <c r="AM311">
        <v>97.25</v>
      </c>
      <c r="AN311">
        <v>56.96</v>
      </c>
      <c r="AO311">
        <v>853.6400000000001</v>
      </c>
    </row>
    <row r="312" spans="1:41" x14ac:dyDescent="0.25">
      <c r="A312" t="s">
        <v>509</v>
      </c>
      <c r="B312">
        <v>2547</v>
      </c>
      <c r="C312">
        <v>9059</v>
      </c>
      <c r="D312">
        <v>1726</v>
      </c>
      <c r="E312">
        <v>3567</v>
      </c>
      <c r="F312">
        <v>4249</v>
      </c>
      <c r="G312">
        <v>3731</v>
      </c>
      <c r="H312">
        <v>4534</v>
      </c>
      <c r="I312">
        <v>679</v>
      </c>
      <c r="J312">
        <v>0</v>
      </c>
      <c r="K312">
        <v>14287</v>
      </c>
      <c r="L312">
        <v>299</v>
      </c>
      <c r="M312">
        <v>2039</v>
      </c>
      <c r="N312">
        <f t="shared" si="8"/>
        <v>46717</v>
      </c>
      <c r="O312">
        <v>4</v>
      </c>
      <c r="P312">
        <v>4</v>
      </c>
      <c r="Q312">
        <v>1</v>
      </c>
      <c r="R312">
        <v>11</v>
      </c>
      <c r="S312">
        <v>2</v>
      </c>
      <c r="T312">
        <v>3</v>
      </c>
      <c r="U312">
        <v>1</v>
      </c>
      <c r="V312">
        <v>1</v>
      </c>
      <c r="W312">
        <v>0</v>
      </c>
      <c r="X312">
        <v>6</v>
      </c>
      <c r="Y312">
        <v>0</v>
      </c>
      <c r="Z312">
        <v>6</v>
      </c>
      <c r="AA312">
        <f t="shared" si="9"/>
        <v>39</v>
      </c>
      <c r="AB312" t="s">
        <v>45</v>
      </c>
      <c r="AC312">
        <v>35.659999999999997</v>
      </c>
      <c r="AD312">
        <v>100.78</v>
      </c>
      <c r="AE312">
        <v>27.3</v>
      </c>
      <c r="AF312">
        <v>46.21</v>
      </c>
      <c r="AG312">
        <v>52.58</v>
      </c>
      <c r="AH312">
        <v>47.45</v>
      </c>
      <c r="AI312">
        <v>55.38</v>
      </c>
      <c r="AJ312">
        <v>16.829999999999998</v>
      </c>
      <c r="AK312">
        <v>9.99</v>
      </c>
      <c r="AL312">
        <v>153.16</v>
      </c>
      <c r="AM312">
        <v>12.98</v>
      </c>
      <c r="AN312">
        <v>30.68</v>
      </c>
      <c r="AO312">
        <v>589</v>
      </c>
    </row>
    <row r="313" spans="1:41" x14ac:dyDescent="0.25">
      <c r="A313" t="s">
        <v>510</v>
      </c>
      <c r="B313">
        <v>2542</v>
      </c>
      <c r="C313">
        <v>4335</v>
      </c>
      <c r="D313">
        <v>3301</v>
      </c>
      <c r="E313">
        <v>1711</v>
      </c>
      <c r="F313">
        <v>6030</v>
      </c>
      <c r="G313">
        <v>1105</v>
      </c>
      <c r="H313">
        <v>0</v>
      </c>
      <c r="I313">
        <v>8342</v>
      </c>
      <c r="J313">
        <v>5739</v>
      </c>
      <c r="K313">
        <v>1733</v>
      </c>
      <c r="L313">
        <v>0</v>
      </c>
      <c r="M313">
        <v>4139</v>
      </c>
      <c r="N313">
        <f t="shared" si="8"/>
        <v>38977</v>
      </c>
      <c r="O313">
        <v>10</v>
      </c>
      <c r="P313">
        <v>3</v>
      </c>
      <c r="Q313">
        <v>0</v>
      </c>
      <c r="R313">
        <v>9</v>
      </c>
      <c r="S313">
        <v>9</v>
      </c>
      <c r="T313">
        <v>8</v>
      </c>
      <c r="U313">
        <v>1</v>
      </c>
      <c r="V313">
        <v>26</v>
      </c>
      <c r="W313">
        <v>1</v>
      </c>
      <c r="X313">
        <v>5</v>
      </c>
      <c r="Y313">
        <v>11</v>
      </c>
      <c r="Z313">
        <v>0</v>
      </c>
      <c r="AA313">
        <f t="shared" si="9"/>
        <v>83</v>
      </c>
      <c r="AB313" t="s">
        <v>45</v>
      </c>
      <c r="AC313">
        <v>35.909999999999997</v>
      </c>
      <c r="AD313">
        <v>53.49</v>
      </c>
      <c r="AE313">
        <v>43</v>
      </c>
      <c r="AF313">
        <v>27.55</v>
      </c>
      <c r="AG313">
        <v>70.739999999999995</v>
      </c>
      <c r="AH313">
        <v>21.44</v>
      </c>
      <c r="AI313">
        <v>10.039999999999999</v>
      </c>
      <c r="AJ313">
        <v>94.71</v>
      </c>
      <c r="AK313">
        <v>67.430000000000007</v>
      </c>
      <c r="AL313">
        <v>27.57</v>
      </c>
      <c r="AM313">
        <v>10.54</v>
      </c>
      <c r="AN313">
        <v>51.38</v>
      </c>
      <c r="AO313">
        <v>513.80000000000007</v>
      </c>
    </row>
    <row r="314" spans="1:41" x14ac:dyDescent="0.25">
      <c r="A314" t="s">
        <v>511</v>
      </c>
      <c r="B314">
        <v>2542</v>
      </c>
      <c r="C314">
        <v>207</v>
      </c>
      <c r="D314">
        <v>12939</v>
      </c>
      <c r="E314">
        <v>1097</v>
      </c>
      <c r="F314">
        <v>5168</v>
      </c>
      <c r="G314">
        <v>5907</v>
      </c>
      <c r="H314">
        <v>394</v>
      </c>
      <c r="I314">
        <v>4082</v>
      </c>
      <c r="J314">
        <v>6088</v>
      </c>
      <c r="K314">
        <v>519</v>
      </c>
      <c r="L314">
        <v>18205</v>
      </c>
      <c r="M314">
        <v>540</v>
      </c>
      <c r="N314">
        <f t="shared" si="8"/>
        <v>57688</v>
      </c>
      <c r="O314">
        <v>2</v>
      </c>
      <c r="P314">
        <v>13</v>
      </c>
      <c r="Q314">
        <v>5</v>
      </c>
      <c r="R314">
        <v>1</v>
      </c>
      <c r="S314">
        <v>2</v>
      </c>
      <c r="T314">
        <v>4</v>
      </c>
      <c r="U314">
        <v>5</v>
      </c>
      <c r="V314">
        <v>3</v>
      </c>
      <c r="W314">
        <v>13</v>
      </c>
      <c r="X314">
        <v>1</v>
      </c>
      <c r="Y314">
        <v>3</v>
      </c>
      <c r="Z314">
        <v>10</v>
      </c>
      <c r="AA314">
        <f t="shared" si="9"/>
        <v>62</v>
      </c>
      <c r="AB314" t="s">
        <v>45</v>
      </c>
      <c r="AC314">
        <v>35.51</v>
      </c>
      <c r="AD314">
        <v>12.71</v>
      </c>
      <c r="AE314">
        <v>139.63</v>
      </c>
      <c r="AF314">
        <v>21.01</v>
      </c>
      <c r="AG314">
        <v>61.77</v>
      </c>
      <c r="AH314">
        <v>69.260000000000005</v>
      </c>
      <c r="AI314">
        <v>14.18</v>
      </c>
      <c r="AJ314">
        <v>50.96</v>
      </c>
      <c r="AK314">
        <v>71.52</v>
      </c>
      <c r="AL314">
        <v>15.23</v>
      </c>
      <c r="AM314">
        <v>192.19</v>
      </c>
      <c r="AN314">
        <v>15.89</v>
      </c>
      <c r="AO314">
        <v>699.86</v>
      </c>
    </row>
    <row r="315" spans="1:41" x14ac:dyDescent="0.25">
      <c r="A315" t="s">
        <v>513</v>
      </c>
      <c r="B315">
        <v>2536</v>
      </c>
      <c r="C315">
        <v>1806</v>
      </c>
      <c r="D315">
        <v>1246</v>
      </c>
      <c r="E315">
        <v>4923</v>
      </c>
      <c r="F315">
        <v>1430</v>
      </c>
      <c r="G315">
        <v>7034</v>
      </c>
      <c r="H315">
        <v>2748</v>
      </c>
      <c r="I315">
        <v>1510</v>
      </c>
      <c r="J315">
        <v>297</v>
      </c>
      <c r="K315">
        <v>852</v>
      </c>
      <c r="L315">
        <v>8116</v>
      </c>
      <c r="M315">
        <v>5919</v>
      </c>
      <c r="N315">
        <f t="shared" si="8"/>
        <v>38417</v>
      </c>
      <c r="O315">
        <v>3</v>
      </c>
      <c r="P315">
        <v>7</v>
      </c>
      <c r="Q315">
        <v>5</v>
      </c>
      <c r="R315">
        <v>4</v>
      </c>
      <c r="S315">
        <v>3</v>
      </c>
      <c r="T315">
        <v>3</v>
      </c>
      <c r="U315">
        <v>14</v>
      </c>
      <c r="V315">
        <v>5</v>
      </c>
      <c r="W315">
        <v>12</v>
      </c>
      <c r="X315">
        <v>2</v>
      </c>
      <c r="Y315">
        <v>7</v>
      </c>
      <c r="Z315">
        <v>7</v>
      </c>
      <c r="AA315">
        <f t="shared" si="9"/>
        <v>72</v>
      </c>
      <c r="AB315" t="s">
        <v>45</v>
      </c>
      <c r="AC315">
        <v>35.5</v>
      </c>
      <c r="AD315">
        <v>28.4</v>
      </c>
      <c r="AE315">
        <v>22.7</v>
      </c>
      <c r="AF315">
        <v>59.42</v>
      </c>
      <c r="AG315">
        <v>24.44</v>
      </c>
      <c r="AH315">
        <v>80.48</v>
      </c>
      <c r="AI315">
        <v>38.17</v>
      </c>
      <c r="AJ315">
        <v>25.34</v>
      </c>
      <c r="AK315">
        <v>13.56</v>
      </c>
      <c r="AL315">
        <v>18.61</v>
      </c>
      <c r="AM315">
        <v>91.5</v>
      </c>
      <c r="AN315">
        <v>69.53</v>
      </c>
      <c r="AO315">
        <v>507.65</v>
      </c>
    </row>
    <row r="316" spans="1:41" x14ac:dyDescent="0.25">
      <c r="A316" t="s">
        <v>515</v>
      </c>
      <c r="B316">
        <v>2521</v>
      </c>
      <c r="C316">
        <v>2185</v>
      </c>
      <c r="D316">
        <v>1117</v>
      </c>
      <c r="E316">
        <v>4172</v>
      </c>
      <c r="F316">
        <v>529</v>
      </c>
      <c r="G316">
        <v>12456</v>
      </c>
      <c r="H316">
        <v>6038</v>
      </c>
      <c r="I316">
        <v>1063</v>
      </c>
      <c r="J316">
        <v>501</v>
      </c>
      <c r="K316">
        <v>5107</v>
      </c>
      <c r="L316">
        <v>5423</v>
      </c>
      <c r="M316">
        <v>11397</v>
      </c>
      <c r="N316">
        <f t="shared" si="8"/>
        <v>52509</v>
      </c>
      <c r="O316">
        <v>4</v>
      </c>
      <c r="P316">
        <v>0</v>
      </c>
      <c r="Q316">
        <v>5</v>
      </c>
      <c r="R316">
        <v>1</v>
      </c>
      <c r="S316">
        <v>2</v>
      </c>
      <c r="T316">
        <v>5</v>
      </c>
      <c r="U316">
        <v>3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f t="shared" si="9"/>
        <v>22</v>
      </c>
      <c r="AB316" t="s">
        <v>45</v>
      </c>
      <c r="AC316">
        <v>35.4</v>
      </c>
      <c r="AD316">
        <v>31.84</v>
      </c>
      <c r="AE316">
        <v>21.41</v>
      </c>
      <c r="AF316">
        <v>51.76</v>
      </c>
      <c r="AG316">
        <v>15.38</v>
      </c>
      <c r="AH316">
        <v>134.80000000000001</v>
      </c>
      <c r="AI316">
        <v>70.52</v>
      </c>
      <c r="AJ316">
        <v>20.62</v>
      </c>
      <c r="AK316">
        <v>15.1</v>
      </c>
      <c r="AL316">
        <v>61.06</v>
      </c>
      <c r="AM316">
        <v>64.22</v>
      </c>
      <c r="AN316">
        <v>123.96</v>
      </c>
      <c r="AO316">
        <v>646.07000000000005</v>
      </c>
    </row>
    <row r="317" spans="1:41" x14ac:dyDescent="0.25">
      <c r="A317" t="s">
        <v>516</v>
      </c>
      <c r="B317">
        <v>2511</v>
      </c>
      <c r="C317">
        <v>7198</v>
      </c>
      <c r="D317">
        <v>3801</v>
      </c>
      <c r="E317">
        <v>2394</v>
      </c>
      <c r="F317">
        <v>550</v>
      </c>
      <c r="G317">
        <v>0</v>
      </c>
      <c r="H317">
        <v>0</v>
      </c>
      <c r="I317">
        <v>8000</v>
      </c>
      <c r="J317">
        <v>1158</v>
      </c>
      <c r="K317">
        <v>30304</v>
      </c>
      <c r="L317">
        <v>1178</v>
      </c>
      <c r="M317">
        <v>4824</v>
      </c>
      <c r="N317">
        <f t="shared" si="8"/>
        <v>61918</v>
      </c>
      <c r="O317">
        <v>3</v>
      </c>
      <c r="P317">
        <v>8</v>
      </c>
      <c r="Q317">
        <v>6</v>
      </c>
      <c r="R317">
        <v>4</v>
      </c>
      <c r="S317">
        <v>5</v>
      </c>
      <c r="T317">
        <v>1</v>
      </c>
      <c r="U317">
        <v>1</v>
      </c>
      <c r="V317">
        <v>3</v>
      </c>
      <c r="W317">
        <v>0</v>
      </c>
      <c r="X317">
        <v>0</v>
      </c>
      <c r="Y317">
        <v>8</v>
      </c>
      <c r="Z317">
        <v>5</v>
      </c>
      <c r="AA317">
        <f t="shared" si="9"/>
        <v>44</v>
      </c>
      <c r="AB317" t="s">
        <v>45</v>
      </c>
      <c r="AC317">
        <v>35.25</v>
      </c>
      <c r="AD317">
        <v>82.37</v>
      </c>
      <c r="AE317">
        <v>48.3</v>
      </c>
      <c r="AF317">
        <v>34.130000000000003</v>
      </c>
      <c r="AG317">
        <v>15.74</v>
      </c>
      <c r="AH317">
        <v>10.039999999999999</v>
      </c>
      <c r="AI317">
        <v>10.039999999999999</v>
      </c>
      <c r="AJ317">
        <v>90.14</v>
      </c>
      <c r="AK317">
        <v>21.57</v>
      </c>
      <c r="AL317">
        <v>313.02999999999997</v>
      </c>
      <c r="AM317">
        <v>22.17</v>
      </c>
      <c r="AN317">
        <v>58.48</v>
      </c>
      <c r="AO317">
        <v>741.25999999999988</v>
      </c>
    </row>
    <row r="318" spans="1:41" x14ac:dyDescent="0.25">
      <c r="A318" t="s">
        <v>517</v>
      </c>
      <c r="B318">
        <v>2492</v>
      </c>
      <c r="C318">
        <v>1726</v>
      </c>
      <c r="D318">
        <v>9377</v>
      </c>
      <c r="E318">
        <v>1120</v>
      </c>
      <c r="F318">
        <v>1486</v>
      </c>
      <c r="G318">
        <v>5636</v>
      </c>
      <c r="H318">
        <v>6658</v>
      </c>
      <c r="I318">
        <v>106</v>
      </c>
      <c r="J318">
        <v>13967</v>
      </c>
      <c r="K318">
        <v>5019</v>
      </c>
      <c r="L318">
        <v>1273</v>
      </c>
      <c r="M318">
        <v>2732</v>
      </c>
      <c r="N318">
        <f t="shared" si="8"/>
        <v>51592</v>
      </c>
      <c r="O318">
        <v>20</v>
      </c>
      <c r="P318">
        <v>6</v>
      </c>
      <c r="Q318">
        <v>12</v>
      </c>
      <c r="R318">
        <v>0</v>
      </c>
      <c r="S318">
        <v>2</v>
      </c>
      <c r="T318">
        <v>5</v>
      </c>
      <c r="U318">
        <v>0</v>
      </c>
      <c r="V318">
        <v>1</v>
      </c>
      <c r="W318">
        <v>6</v>
      </c>
      <c r="X318">
        <v>6</v>
      </c>
      <c r="Y318">
        <v>3</v>
      </c>
      <c r="Z318">
        <v>3</v>
      </c>
      <c r="AA318">
        <f t="shared" si="9"/>
        <v>64</v>
      </c>
      <c r="AB318" t="s">
        <v>45</v>
      </c>
      <c r="AC318">
        <v>35.909999999999997</v>
      </c>
      <c r="AD318">
        <v>27.55</v>
      </c>
      <c r="AE318">
        <v>104.36</v>
      </c>
      <c r="AF318">
        <v>21.19</v>
      </c>
      <c r="AG318">
        <v>24.95</v>
      </c>
      <c r="AH318">
        <v>66.599999999999994</v>
      </c>
      <c r="AI318">
        <v>76.569999999999993</v>
      </c>
      <c r="AJ318">
        <v>11.1</v>
      </c>
      <c r="AK318">
        <v>149.96</v>
      </c>
      <c r="AL318">
        <v>60.48</v>
      </c>
      <c r="AM318">
        <v>22.87</v>
      </c>
      <c r="AN318">
        <v>37.46</v>
      </c>
      <c r="AO318">
        <v>639</v>
      </c>
    </row>
    <row r="319" spans="1:41" x14ac:dyDescent="0.25">
      <c r="A319" t="s">
        <v>518</v>
      </c>
      <c r="B319">
        <v>2488</v>
      </c>
      <c r="C319">
        <v>1452</v>
      </c>
      <c r="D319">
        <v>3150</v>
      </c>
      <c r="E319">
        <v>5707</v>
      </c>
      <c r="F319">
        <v>2330</v>
      </c>
      <c r="G319">
        <v>2315</v>
      </c>
      <c r="H319">
        <v>4845</v>
      </c>
      <c r="I319">
        <v>6877</v>
      </c>
      <c r="J319">
        <v>5517</v>
      </c>
      <c r="K319">
        <v>493</v>
      </c>
      <c r="L319">
        <v>0</v>
      </c>
      <c r="M319">
        <v>6618</v>
      </c>
      <c r="N319">
        <f t="shared" si="8"/>
        <v>41792</v>
      </c>
      <c r="O319">
        <v>3</v>
      </c>
      <c r="P319">
        <v>2</v>
      </c>
      <c r="Q319">
        <v>2</v>
      </c>
      <c r="R319">
        <v>10</v>
      </c>
      <c r="S319">
        <v>11</v>
      </c>
      <c r="T319">
        <v>3</v>
      </c>
      <c r="U319">
        <v>3</v>
      </c>
      <c r="V319">
        <v>10</v>
      </c>
      <c r="W319">
        <v>8</v>
      </c>
      <c r="X319">
        <v>1</v>
      </c>
      <c r="Y319">
        <v>1</v>
      </c>
      <c r="Z319">
        <v>3</v>
      </c>
      <c r="AA319">
        <f t="shared" si="9"/>
        <v>57</v>
      </c>
      <c r="AB319" t="s">
        <v>45</v>
      </c>
      <c r="AC319">
        <v>35.020000000000003</v>
      </c>
      <c r="AD319">
        <v>24.61</v>
      </c>
      <c r="AE319">
        <v>41.59</v>
      </c>
      <c r="AF319">
        <v>67.56</v>
      </c>
      <c r="AG319">
        <v>33.840000000000003</v>
      </c>
      <c r="AH319">
        <v>33.29</v>
      </c>
      <c r="AI319">
        <v>58.59</v>
      </c>
      <c r="AJ319">
        <v>79.260000000000005</v>
      </c>
      <c r="AK319">
        <v>65.56</v>
      </c>
      <c r="AL319">
        <v>14.97</v>
      </c>
      <c r="AM319">
        <v>10.039999999999999</v>
      </c>
      <c r="AN319">
        <v>76.319999999999993</v>
      </c>
      <c r="AO319">
        <v>540.65000000000009</v>
      </c>
    </row>
    <row r="320" spans="1:41" x14ac:dyDescent="0.25">
      <c r="A320" t="s">
        <v>521</v>
      </c>
      <c r="B320">
        <v>2478</v>
      </c>
      <c r="C320">
        <v>1224</v>
      </c>
      <c r="D320">
        <v>2802</v>
      </c>
      <c r="E320">
        <v>2488</v>
      </c>
      <c r="F320">
        <v>3064</v>
      </c>
      <c r="G320">
        <v>3932</v>
      </c>
      <c r="H320">
        <v>2204</v>
      </c>
      <c r="I320">
        <v>0</v>
      </c>
      <c r="J320">
        <v>3619</v>
      </c>
      <c r="K320">
        <v>7492</v>
      </c>
      <c r="L320">
        <v>5885</v>
      </c>
      <c r="M320">
        <v>14019</v>
      </c>
      <c r="N320">
        <f t="shared" si="8"/>
        <v>49207</v>
      </c>
      <c r="O320">
        <v>1</v>
      </c>
      <c r="P320">
        <v>5</v>
      </c>
      <c r="Q320">
        <v>1</v>
      </c>
      <c r="R320">
        <v>3</v>
      </c>
      <c r="S320">
        <v>7</v>
      </c>
      <c r="T320">
        <v>13</v>
      </c>
      <c r="U320">
        <v>2</v>
      </c>
      <c r="V320">
        <v>2</v>
      </c>
      <c r="W320">
        <v>4</v>
      </c>
      <c r="X320">
        <v>12</v>
      </c>
      <c r="Y320">
        <v>11</v>
      </c>
      <c r="Z320">
        <v>0</v>
      </c>
      <c r="AA320">
        <f t="shared" si="9"/>
        <v>61</v>
      </c>
      <c r="AB320" t="s">
        <v>45</v>
      </c>
      <c r="AC320">
        <v>34.82</v>
      </c>
      <c r="AD320">
        <v>22.48</v>
      </c>
      <c r="AE320">
        <v>38.06</v>
      </c>
      <c r="AF320">
        <v>35.020000000000003</v>
      </c>
      <c r="AG320">
        <v>40.98</v>
      </c>
      <c r="AH320">
        <v>49.96</v>
      </c>
      <c r="AI320">
        <v>32.130000000000003</v>
      </c>
      <c r="AJ320">
        <v>10.09</v>
      </c>
      <c r="AK320">
        <v>46.38</v>
      </c>
      <c r="AL320">
        <v>85.51</v>
      </c>
      <c r="AM320">
        <v>69.39</v>
      </c>
      <c r="AN320">
        <v>150.18</v>
      </c>
      <c r="AO320">
        <v>615</v>
      </c>
    </row>
    <row r="321" spans="1:41" x14ac:dyDescent="0.25">
      <c r="A321" t="s">
        <v>526</v>
      </c>
      <c r="B321">
        <v>2454</v>
      </c>
      <c r="C321">
        <v>5810</v>
      </c>
      <c r="D321">
        <v>1124</v>
      </c>
      <c r="E321">
        <v>4928</v>
      </c>
      <c r="F321">
        <v>1484</v>
      </c>
      <c r="G321">
        <v>1374</v>
      </c>
      <c r="H321">
        <v>2452</v>
      </c>
      <c r="I321">
        <v>8155</v>
      </c>
      <c r="J321">
        <v>3756</v>
      </c>
      <c r="K321">
        <v>3392</v>
      </c>
      <c r="L321">
        <v>5337</v>
      </c>
      <c r="M321">
        <v>0</v>
      </c>
      <c r="N321">
        <f t="shared" si="8"/>
        <v>40266</v>
      </c>
      <c r="O321">
        <v>5</v>
      </c>
      <c r="P321">
        <v>2</v>
      </c>
      <c r="Q321">
        <v>2</v>
      </c>
      <c r="R321">
        <v>2</v>
      </c>
      <c r="S321">
        <v>9</v>
      </c>
      <c r="T321">
        <v>3</v>
      </c>
      <c r="U321">
        <v>13</v>
      </c>
      <c r="V321">
        <v>3</v>
      </c>
      <c r="W321">
        <v>3</v>
      </c>
      <c r="X321">
        <v>3</v>
      </c>
      <c r="Y321">
        <v>2</v>
      </c>
      <c r="Z321">
        <v>0</v>
      </c>
      <c r="AA321">
        <f t="shared" si="9"/>
        <v>47</v>
      </c>
      <c r="AB321" t="s">
        <v>45</v>
      </c>
      <c r="AC321">
        <v>34.78</v>
      </c>
      <c r="AD321">
        <v>68.19</v>
      </c>
      <c r="AE321">
        <v>21.33</v>
      </c>
      <c r="AF321">
        <v>59.37</v>
      </c>
      <c r="AG321">
        <v>25.28</v>
      </c>
      <c r="AH321">
        <v>23.88</v>
      </c>
      <c r="AI321">
        <v>35.159999999999997</v>
      </c>
      <c r="AJ321">
        <v>91.69</v>
      </c>
      <c r="AK321">
        <v>47.7</v>
      </c>
      <c r="AL321">
        <v>44.06</v>
      </c>
      <c r="AM321">
        <v>63.46</v>
      </c>
      <c r="AN321">
        <v>9.99</v>
      </c>
      <c r="AO321">
        <v>524.89</v>
      </c>
    </row>
    <row r="322" spans="1:41" x14ac:dyDescent="0.25">
      <c r="A322" t="s">
        <v>527</v>
      </c>
      <c r="B322">
        <v>2450</v>
      </c>
      <c r="C322">
        <v>8249</v>
      </c>
      <c r="D322">
        <v>2326</v>
      </c>
      <c r="E322">
        <v>464</v>
      </c>
      <c r="F322">
        <v>2345</v>
      </c>
      <c r="G322">
        <v>0</v>
      </c>
      <c r="H322">
        <v>2038</v>
      </c>
      <c r="I322">
        <v>5178</v>
      </c>
      <c r="J322">
        <v>11501</v>
      </c>
      <c r="K322">
        <v>2030</v>
      </c>
      <c r="L322">
        <v>0</v>
      </c>
      <c r="M322">
        <v>3911</v>
      </c>
      <c r="N322">
        <f t="shared" si="8"/>
        <v>40492</v>
      </c>
      <c r="O322">
        <v>11</v>
      </c>
      <c r="P322">
        <v>5</v>
      </c>
      <c r="Q322">
        <v>5</v>
      </c>
      <c r="R322">
        <v>9</v>
      </c>
      <c r="S322">
        <v>4</v>
      </c>
      <c r="T322">
        <v>14</v>
      </c>
      <c r="U322">
        <v>7</v>
      </c>
      <c r="V322">
        <v>11</v>
      </c>
      <c r="W322">
        <v>4</v>
      </c>
      <c r="X322">
        <v>0</v>
      </c>
      <c r="Y322">
        <v>4</v>
      </c>
      <c r="Z322">
        <v>1</v>
      </c>
      <c r="AA322">
        <f t="shared" si="9"/>
        <v>75</v>
      </c>
      <c r="AB322" t="s">
        <v>45</v>
      </c>
      <c r="AC322">
        <v>35.04</v>
      </c>
      <c r="AD322">
        <v>92.73</v>
      </c>
      <c r="AE322">
        <v>33.5</v>
      </c>
      <c r="AF322">
        <v>15.08</v>
      </c>
      <c r="AG322">
        <v>33.64</v>
      </c>
      <c r="AH322">
        <v>10.69</v>
      </c>
      <c r="AI322">
        <v>30.72</v>
      </c>
      <c r="AJ322">
        <v>62.32</v>
      </c>
      <c r="AK322">
        <v>125.2</v>
      </c>
      <c r="AL322">
        <v>30.29</v>
      </c>
      <c r="AM322">
        <v>10.19</v>
      </c>
      <c r="AN322">
        <v>49.15</v>
      </c>
      <c r="AO322">
        <v>528.55000000000007</v>
      </c>
    </row>
    <row r="323" spans="1:41" x14ac:dyDescent="0.25">
      <c r="A323" t="s">
        <v>529</v>
      </c>
      <c r="B323">
        <v>2421</v>
      </c>
      <c r="C323">
        <v>3018</v>
      </c>
      <c r="D323">
        <v>4546</v>
      </c>
      <c r="E323">
        <v>2047</v>
      </c>
      <c r="F323">
        <v>4835</v>
      </c>
      <c r="G323">
        <v>1121</v>
      </c>
      <c r="H323">
        <v>1531</v>
      </c>
      <c r="I323">
        <v>0</v>
      </c>
      <c r="J323">
        <v>11168</v>
      </c>
      <c r="K323">
        <v>4617</v>
      </c>
      <c r="L323">
        <v>1038</v>
      </c>
      <c r="M323">
        <v>12038</v>
      </c>
      <c r="N323">
        <f t="shared" si="8"/>
        <v>48380</v>
      </c>
      <c r="O323">
        <v>3</v>
      </c>
      <c r="P323">
        <v>2</v>
      </c>
      <c r="Q323">
        <v>14</v>
      </c>
      <c r="R323">
        <v>2</v>
      </c>
      <c r="S323">
        <v>4</v>
      </c>
      <c r="T323">
        <v>0</v>
      </c>
      <c r="U323">
        <v>0</v>
      </c>
      <c r="V323">
        <v>0</v>
      </c>
      <c r="W323">
        <v>2</v>
      </c>
      <c r="X323">
        <v>0</v>
      </c>
      <c r="Y323">
        <v>4</v>
      </c>
      <c r="Z323">
        <v>0</v>
      </c>
      <c r="AA323">
        <f t="shared" si="9"/>
        <v>31</v>
      </c>
      <c r="AB323" t="s">
        <v>45</v>
      </c>
      <c r="AC323">
        <v>34.35</v>
      </c>
      <c r="AD323">
        <v>40.270000000000003</v>
      </c>
      <c r="AE323">
        <v>56.15</v>
      </c>
      <c r="AF323">
        <v>30.56</v>
      </c>
      <c r="AG323">
        <v>58.54</v>
      </c>
      <c r="AH323">
        <v>21.2</v>
      </c>
      <c r="AI323">
        <v>25.3</v>
      </c>
      <c r="AJ323">
        <v>9.99</v>
      </c>
      <c r="AK323">
        <v>121.77</v>
      </c>
      <c r="AL323">
        <v>56.16</v>
      </c>
      <c r="AM323">
        <v>20.57</v>
      </c>
      <c r="AN323">
        <v>130.37</v>
      </c>
      <c r="AO323">
        <v>605.23</v>
      </c>
    </row>
    <row r="324" spans="1:41" x14ac:dyDescent="0.25">
      <c r="A324" t="s">
        <v>532</v>
      </c>
      <c r="B324">
        <v>2417</v>
      </c>
      <c r="C324">
        <v>2487</v>
      </c>
      <c r="D324">
        <v>10395</v>
      </c>
      <c r="E324">
        <v>5206</v>
      </c>
      <c r="F324">
        <v>3224</v>
      </c>
      <c r="G324">
        <v>1010</v>
      </c>
      <c r="H324">
        <v>0</v>
      </c>
      <c r="I324">
        <v>2386</v>
      </c>
      <c r="J324">
        <v>5234</v>
      </c>
      <c r="K324">
        <v>4933</v>
      </c>
      <c r="L324">
        <v>1648</v>
      </c>
      <c r="M324">
        <v>1030</v>
      </c>
      <c r="N324">
        <f t="shared" ref="N324:N387" si="10">SUM(B324:M324)</f>
        <v>39970</v>
      </c>
      <c r="O324">
        <v>3</v>
      </c>
      <c r="P324">
        <v>3</v>
      </c>
      <c r="Q324">
        <v>1</v>
      </c>
      <c r="R324">
        <v>2</v>
      </c>
      <c r="S324">
        <v>0</v>
      </c>
      <c r="T324">
        <v>6</v>
      </c>
      <c r="U324">
        <v>13</v>
      </c>
      <c r="V324">
        <v>1</v>
      </c>
      <c r="W324">
        <v>7</v>
      </c>
      <c r="X324">
        <v>2</v>
      </c>
      <c r="Y324">
        <v>4</v>
      </c>
      <c r="Z324">
        <v>0</v>
      </c>
      <c r="AA324">
        <f t="shared" ref="AA324:AA387" si="11">SUM(O324:Z324)</f>
        <v>42</v>
      </c>
      <c r="AB324" t="s">
        <v>45</v>
      </c>
      <c r="AC324">
        <v>34.31</v>
      </c>
      <c r="AD324">
        <v>35.01</v>
      </c>
      <c r="AE324">
        <v>113.99</v>
      </c>
      <c r="AF324">
        <v>62.15</v>
      </c>
      <c r="AG324">
        <v>42.23</v>
      </c>
      <c r="AH324">
        <v>20.39</v>
      </c>
      <c r="AI324">
        <v>10.64</v>
      </c>
      <c r="AJ324">
        <v>33.9</v>
      </c>
      <c r="AK324">
        <v>62.68</v>
      </c>
      <c r="AL324">
        <v>59.42</v>
      </c>
      <c r="AM324">
        <v>26.67</v>
      </c>
      <c r="AN324">
        <v>20.29</v>
      </c>
      <c r="AO324">
        <v>521.67999999999995</v>
      </c>
    </row>
    <row r="325" spans="1:41" x14ac:dyDescent="0.25">
      <c r="A325" t="s">
        <v>535</v>
      </c>
      <c r="B325">
        <v>2396</v>
      </c>
      <c r="C325">
        <v>5558</v>
      </c>
      <c r="D325">
        <v>3449</v>
      </c>
      <c r="E325">
        <v>5991</v>
      </c>
      <c r="F325">
        <v>3195</v>
      </c>
      <c r="G325">
        <v>930</v>
      </c>
      <c r="H325">
        <v>1541</v>
      </c>
      <c r="I325">
        <v>797</v>
      </c>
      <c r="J325">
        <v>5620</v>
      </c>
      <c r="K325">
        <v>6117</v>
      </c>
      <c r="L325">
        <v>5175</v>
      </c>
      <c r="M325">
        <v>286</v>
      </c>
      <c r="N325">
        <f t="shared" si="10"/>
        <v>41055</v>
      </c>
      <c r="O325">
        <v>1</v>
      </c>
      <c r="P325">
        <v>8</v>
      </c>
      <c r="Q325">
        <v>6</v>
      </c>
      <c r="R325">
        <v>3</v>
      </c>
      <c r="S325">
        <v>6</v>
      </c>
      <c r="T325">
        <v>3</v>
      </c>
      <c r="U325">
        <v>13</v>
      </c>
      <c r="V325">
        <v>2</v>
      </c>
      <c r="W325">
        <v>3</v>
      </c>
      <c r="X325">
        <v>3</v>
      </c>
      <c r="Y325">
        <v>13</v>
      </c>
      <c r="Z325">
        <v>2</v>
      </c>
      <c r="AA325">
        <f t="shared" si="11"/>
        <v>63</v>
      </c>
      <c r="AB325" t="s">
        <v>45</v>
      </c>
      <c r="AC325">
        <v>34</v>
      </c>
      <c r="AD325">
        <v>65.97</v>
      </c>
      <c r="AE325">
        <v>44.78</v>
      </c>
      <c r="AF325">
        <v>70.05</v>
      </c>
      <c r="AG325">
        <v>42.24</v>
      </c>
      <c r="AH325">
        <v>19.440000000000001</v>
      </c>
      <c r="AI325">
        <v>26.05</v>
      </c>
      <c r="AJ325">
        <v>18.059999999999999</v>
      </c>
      <c r="AK325">
        <v>66.34</v>
      </c>
      <c r="AL325">
        <v>71.31</v>
      </c>
      <c r="AM325">
        <v>62.39</v>
      </c>
      <c r="AN325">
        <v>12.95</v>
      </c>
      <c r="AO325">
        <v>533.58000000000015</v>
      </c>
    </row>
    <row r="326" spans="1:41" x14ac:dyDescent="0.25">
      <c r="A326" t="s">
        <v>539</v>
      </c>
      <c r="B326">
        <v>2366</v>
      </c>
      <c r="C326">
        <v>974</v>
      </c>
      <c r="D326">
        <v>5834</v>
      </c>
      <c r="E326">
        <v>5352</v>
      </c>
      <c r="F326">
        <v>1038</v>
      </c>
      <c r="G326">
        <v>5384</v>
      </c>
      <c r="H326">
        <v>2575</v>
      </c>
      <c r="I326">
        <v>751</v>
      </c>
      <c r="J326">
        <v>1920</v>
      </c>
      <c r="K326">
        <v>9570</v>
      </c>
      <c r="L326">
        <v>2062</v>
      </c>
      <c r="M326">
        <v>5206</v>
      </c>
      <c r="N326">
        <f t="shared" si="10"/>
        <v>43032</v>
      </c>
      <c r="O326">
        <v>2</v>
      </c>
      <c r="P326">
        <v>8</v>
      </c>
      <c r="Q326">
        <v>3</v>
      </c>
      <c r="R326">
        <v>2</v>
      </c>
      <c r="S326">
        <v>2</v>
      </c>
      <c r="T326">
        <v>0</v>
      </c>
      <c r="U326">
        <v>3</v>
      </c>
      <c r="V326">
        <v>2</v>
      </c>
      <c r="W326">
        <v>2</v>
      </c>
      <c r="X326">
        <v>4</v>
      </c>
      <c r="Y326">
        <v>6</v>
      </c>
      <c r="Z326">
        <v>7</v>
      </c>
      <c r="AA326">
        <f t="shared" si="11"/>
        <v>41</v>
      </c>
      <c r="AB326" t="s">
        <v>45</v>
      </c>
      <c r="AC326">
        <v>33.75</v>
      </c>
      <c r="AD326">
        <v>20.13</v>
      </c>
      <c r="AE326">
        <v>68.48</v>
      </c>
      <c r="AF326">
        <v>63.61</v>
      </c>
      <c r="AG326">
        <v>20.47</v>
      </c>
      <c r="AH326">
        <v>63.83</v>
      </c>
      <c r="AI326">
        <v>35.89</v>
      </c>
      <c r="AJ326">
        <v>17.600000000000001</v>
      </c>
      <c r="AK326">
        <v>29.29</v>
      </c>
      <c r="AL326">
        <v>105.89</v>
      </c>
      <c r="AM326">
        <v>30.91</v>
      </c>
      <c r="AN326">
        <v>62.4</v>
      </c>
      <c r="AO326">
        <v>552.25</v>
      </c>
    </row>
    <row r="327" spans="1:41" x14ac:dyDescent="0.25">
      <c r="A327" t="s">
        <v>542</v>
      </c>
      <c r="B327">
        <v>2358</v>
      </c>
      <c r="C327">
        <v>8888</v>
      </c>
      <c r="D327">
        <v>82</v>
      </c>
      <c r="E327">
        <v>0</v>
      </c>
      <c r="F327">
        <v>0</v>
      </c>
      <c r="G327">
        <v>797</v>
      </c>
      <c r="H327">
        <v>1103</v>
      </c>
      <c r="I327">
        <v>4379</v>
      </c>
      <c r="J327">
        <v>3946</v>
      </c>
      <c r="K327">
        <v>4288</v>
      </c>
      <c r="L327">
        <v>5115</v>
      </c>
      <c r="M327">
        <v>5573</v>
      </c>
      <c r="N327">
        <f t="shared" si="10"/>
        <v>36529</v>
      </c>
      <c r="O327">
        <v>8</v>
      </c>
      <c r="P327">
        <v>13</v>
      </c>
      <c r="Q327">
        <v>2</v>
      </c>
      <c r="R327">
        <v>0</v>
      </c>
      <c r="S327">
        <v>13</v>
      </c>
      <c r="T327">
        <v>4</v>
      </c>
      <c r="U327">
        <v>0</v>
      </c>
      <c r="V327">
        <v>2</v>
      </c>
      <c r="W327">
        <v>3</v>
      </c>
      <c r="X327">
        <v>4</v>
      </c>
      <c r="Y327">
        <v>7</v>
      </c>
      <c r="Z327">
        <v>23</v>
      </c>
      <c r="AA327">
        <f t="shared" si="11"/>
        <v>79</v>
      </c>
      <c r="AB327" t="s">
        <v>45</v>
      </c>
      <c r="AC327">
        <v>33.97</v>
      </c>
      <c r="AD327">
        <v>99.52</v>
      </c>
      <c r="AE327">
        <v>10.91</v>
      </c>
      <c r="AF327">
        <v>9.99</v>
      </c>
      <c r="AG327">
        <v>10.64</v>
      </c>
      <c r="AH327">
        <v>18.16</v>
      </c>
      <c r="AI327">
        <v>21.02</v>
      </c>
      <c r="AJ327">
        <v>53.88</v>
      </c>
      <c r="AK327">
        <v>49.6</v>
      </c>
      <c r="AL327">
        <v>53.07</v>
      </c>
      <c r="AM327">
        <v>61.49</v>
      </c>
      <c r="AN327">
        <v>66.87</v>
      </c>
      <c r="AO327">
        <v>489.12000000000006</v>
      </c>
    </row>
    <row r="328" spans="1:41" x14ac:dyDescent="0.25">
      <c r="A328" t="s">
        <v>543</v>
      </c>
      <c r="B328">
        <v>2357</v>
      </c>
      <c r="C328">
        <v>445</v>
      </c>
      <c r="D328">
        <v>1274</v>
      </c>
      <c r="E328">
        <v>2453</v>
      </c>
      <c r="F328">
        <v>474</v>
      </c>
      <c r="G328">
        <v>2455</v>
      </c>
      <c r="H328">
        <v>11893</v>
      </c>
      <c r="I328">
        <v>0</v>
      </c>
      <c r="J328">
        <v>2232</v>
      </c>
      <c r="K328">
        <v>12514</v>
      </c>
      <c r="L328">
        <v>7349</v>
      </c>
      <c r="M328">
        <v>6470</v>
      </c>
      <c r="N328">
        <f t="shared" si="10"/>
        <v>49916</v>
      </c>
      <c r="O328">
        <v>7</v>
      </c>
      <c r="P328">
        <v>4</v>
      </c>
      <c r="Q328">
        <v>0</v>
      </c>
      <c r="R328">
        <v>9</v>
      </c>
      <c r="S328">
        <v>2</v>
      </c>
      <c r="T328">
        <v>3</v>
      </c>
      <c r="U328">
        <v>3</v>
      </c>
      <c r="V328">
        <v>3</v>
      </c>
      <c r="W328">
        <v>2</v>
      </c>
      <c r="X328">
        <v>3</v>
      </c>
      <c r="Y328">
        <v>4</v>
      </c>
      <c r="Z328">
        <v>18</v>
      </c>
      <c r="AA328">
        <f t="shared" si="11"/>
        <v>58</v>
      </c>
      <c r="AB328" t="s">
        <v>45</v>
      </c>
      <c r="AC328">
        <v>33.909999999999997</v>
      </c>
      <c r="AD328">
        <v>14.64</v>
      </c>
      <c r="AE328">
        <v>22.73</v>
      </c>
      <c r="AF328">
        <v>34.97</v>
      </c>
      <c r="AG328">
        <v>14.83</v>
      </c>
      <c r="AH328">
        <v>34.69</v>
      </c>
      <c r="AI328">
        <v>129.07</v>
      </c>
      <c r="AJ328">
        <v>10.14</v>
      </c>
      <c r="AK328">
        <v>32.409999999999997</v>
      </c>
      <c r="AL328">
        <v>135.28</v>
      </c>
      <c r="AM328">
        <v>83.68</v>
      </c>
      <c r="AN328">
        <v>75.59</v>
      </c>
      <c r="AO328">
        <v>621.93999999999994</v>
      </c>
    </row>
    <row r="329" spans="1:41" x14ac:dyDescent="0.25">
      <c r="A329" t="s">
        <v>544</v>
      </c>
      <c r="B329">
        <v>2343</v>
      </c>
      <c r="C329">
        <v>3643</v>
      </c>
      <c r="D329">
        <v>5304</v>
      </c>
      <c r="E329">
        <v>1510</v>
      </c>
      <c r="F329">
        <v>11943</v>
      </c>
      <c r="G329">
        <v>6879</v>
      </c>
      <c r="H329">
        <v>608</v>
      </c>
      <c r="I329">
        <v>3546</v>
      </c>
      <c r="J329">
        <v>4959</v>
      </c>
      <c r="K329">
        <v>1782</v>
      </c>
      <c r="L329">
        <v>7510</v>
      </c>
      <c r="M329">
        <v>4228</v>
      </c>
      <c r="N329">
        <f t="shared" si="10"/>
        <v>54255</v>
      </c>
      <c r="O329">
        <v>3</v>
      </c>
      <c r="P329">
        <v>8</v>
      </c>
      <c r="Q329">
        <v>3</v>
      </c>
      <c r="R329">
        <v>3</v>
      </c>
      <c r="S329">
        <v>9</v>
      </c>
      <c r="T329">
        <v>2</v>
      </c>
      <c r="U329">
        <v>0</v>
      </c>
      <c r="V329">
        <v>0</v>
      </c>
      <c r="W329">
        <v>4</v>
      </c>
      <c r="X329">
        <v>5</v>
      </c>
      <c r="Y329">
        <v>1</v>
      </c>
      <c r="Z329">
        <v>3</v>
      </c>
      <c r="AA329">
        <f t="shared" si="11"/>
        <v>41</v>
      </c>
      <c r="AB329" t="s">
        <v>45</v>
      </c>
      <c r="AC329">
        <v>33.57</v>
      </c>
      <c r="AD329">
        <v>46.82</v>
      </c>
      <c r="AE329">
        <v>63.18</v>
      </c>
      <c r="AF329">
        <v>25.24</v>
      </c>
      <c r="AG329">
        <v>129.87</v>
      </c>
      <c r="AH329">
        <v>78.88</v>
      </c>
      <c r="AI329">
        <v>16.07</v>
      </c>
      <c r="AJ329">
        <v>45.45</v>
      </c>
      <c r="AK329">
        <v>59.78</v>
      </c>
      <c r="AL329">
        <v>28.06</v>
      </c>
      <c r="AM329">
        <v>85.14</v>
      </c>
      <c r="AN329">
        <v>52.42</v>
      </c>
      <c r="AO329">
        <v>664.4799999999999</v>
      </c>
    </row>
    <row r="330" spans="1:41" x14ac:dyDescent="0.25">
      <c r="A330" t="s">
        <v>545</v>
      </c>
      <c r="B330">
        <v>2342</v>
      </c>
      <c r="C330">
        <v>55</v>
      </c>
      <c r="D330">
        <v>1782</v>
      </c>
      <c r="E330">
        <v>12764</v>
      </c>
      <c r="F330">
        <v>1170</v>
      </c>
      <c r="G330">
        <v>1751</v>
      </c>
      <c r="H330">
        <v>2909</v>
      </c>
      <c r="I330">
        <v>4366</v>
      </c>
      <c r="J330">
        <v>5457</v>
      </c>
      <c r="K330">
        <v>5355</v>
      </c>
      <c r="L330">
        <v>2</v>
      </c>
      <c r="M330">
        <v>866</v>
      </c>
      <c r="N330">
        <f t="shared" si="10"/>
        <v>38819</v>
      </c>
      <c r="O330">
        <v>2</v>
      </c>
      <c r="P330">
        <v>16</v>
      </c>
      <c r="Q330">
        <v>2</v>
      </c>
      <c r="R330">
        <v>3</v>
      </c>
      <c r="S330">
        <v>1</v>
      </c>
      <c r="T330">
        <v>13</v>
      </c>
      <c r="U330">
        <v>0</v>
      </c>
      <c r="V330">
        <v>3</v>
      </c>
      <c r="W330">
        <v>7</v>
      </c>
      <c r="X330">
        <v>6</v>
      </c>
      <c r="Y330">
        <v>2</v>
      </c>
      <c r="Z330">
        <v>2</v>
      </c>
      <c r="AA330">
        <f t="shared" si="11"/>
        <v>57</v>
      </c>
      <c r="AB330" t="s">
        <v>45</v>
      </c>
      <c r="AC330">
        <v>33.51</v>
      </c>
      <c r="AD330">
        <v>11.34</v>
      </c>
      <c r="AE330">
        <v>27.91</v>
      </c>
      <c r="AF330">
        <v>137.78</v>
      </c>
      <c r="AG330">
        <v>21.74</v>
      </c>
      <c r="AH330">
        <v>28.15</v>
      </c>
      <c r="AI330">
        <v>39.08</v>
      </c>
      <c r="AJ330">
        <v>53.8</v>
      </c>
      <c r="AK330">
        <v>64.91</v>
      </c>
      <c r="AL330">
        <v>63.84</v>
      </c>
      <c r="AM330">
        <v>10.11</v>
      </c>
      <c r="AN330">
        <v>18.75</v>
      </c>
      <c r="AO330">
        <v>510.92000000000007</v>
      </c>
    </row>
    <row r="331" spans="1:41" x14ac:dyDescent="0.25">
      <c r="A331" t="s">
        <v>547</v>
      </c>
      <c r="B331">
        <v>2333</v>
      </c>
      <c r="C331">
        <v>2656</v>
      </c>
      <c r="D331">
        <v>908</v>
      </c>
      <c r="E331">
        <v>5761</v>
      </c>
      <c r="F331">
        <v>1122</v>
      </c>
      <c r="G331">
        <v>5241</v>
      </c>
      <c r="H331">
        <v>422</v>
      </c>
      <c r="I331">
        <v>722</v>
      </c>
      <c r="J331">
        <v>1562</v>
      </c>
      <c r="K331">
        <v>15054</v>
      </c>
      <c r="L331">
        <v>1987</v>
      </c>
      <c r="M331">
        <v>663</v>
      </c>
      <c r="N331">
        <f t="shared" si="10"/>
        <v>38431</v>
      </c>
      <c r="O331">
        <v>9</v>
      </c>
      <c r="P331">
        <v>2</v>
      </c>
      <c r="Q331">
        <v>0</v>
      </c>
      <c r="R331">
        <v>15</v>
      </c>
      <c r="S331">
        <v>3</v>
      </c>
      <c r="T331">
        <v>2</v>
      </c>
      <c r="U331">
        <v>5</v>
      </c>
      <c r="V331">
        <v>3</v>
      </c>
      <c r="W331">
        <v>1</v>
      </c>
      <c r="X331">
        <v>0</v>
      </c>
      <c r="Y331">
        <v>3</v>
      </c>
      <c r="Z331">
        <v>3</v>
      </c>
      <c r="AA331">
        <f t="shared" si="11"/>
        <v>46</v>
      </c>
      <c r="AB331" t="s">
        <v>45</v>
      </c>
      <c r="AC331">
        <v>33.770000000000003</v>
      </c>
      <c r="AD331">
        <v>36.65</v>
      </c>
      <c r="AE331">
        <v>19.07</v>
      </c>
      <c r="AF331">
        <v>68.349999999999994</v>
      </c>
      <c r="AG331">
        <v>21.36</v>
      </c>
      <c r="AH331">
        <v>62.5</v>
      </c>
      <c r="AI331">
        <v>14.46</v>
      </c>
      <c r="AJ331">
        <v>17.36</v>
      </c>
      <c r="AK331">
        <v>25.66</v>
      </c>
      <c r="AL331">
        <v>160.53</v>
      </c>
      <c r="AM331">
        <v>30.01</v>
      </c>
      <c r="AN331">
        <v>16.77</v>
      </c>
      <c r="AO331">
        <v>506.49</v>
      </c>
    </row>
    <row r="332" spans="1:41" x14ac:dyDescent="0.25">
      <c r="A332" t="s">
        <v>548</v>
      </c>
      <c r="B332">
        <v>2327</v>
      </c>
      <c r="C332">
        <v>2518</v>
      </c>
      <c r="D332">
        <v>3116</v>
      </c>
      <c r="E332">
        <v>7944</v>
      </c>
      <c r="F332">
        <v>1491</v>
      </c>
      <c r="G332">
        <v>604</v>
      </c>
      <c r="H332">
        <v>2743</v>
      </c>
      <c r="I332">
        <v>482</v>
      </c>
      <c r="J332">
        <v>4774</v>
      </c>
      <c r="K332">
        <v>4401</v>
      </c>
      <c r="L332">
        <v>7271</v>
      </c>
      <c r="M332">
        <v>5724</v>
      </c>
      <c r="N332">
        <f t="shared" si="10"/>
        <v>43395</v>
      </c>
      <c r="O332">
        <v>7</v>
      </c>
      <c r="P332">
        <v>1</v>
      </c>
      <c r="Q332">
        <v>1</v>
      </c>
      <c r="R332">
        <v>3</v>
      </c>
      <c r="S332">
        <v>3</v>
      </c>
      <c r="T332">
        <v>2</v>
      </c>
      <c r="U332">
        <v>2</v>
      </c>
      <c r="V332">
        <v>2</v>
      </c>
      <c r="W332">
        <v>5</v>
      </c>
      <c r="X332">
        <v>3</v>
      </c>
      <c r="Y332">
        <v>6</v>
      </c>
      <c r="Z332">
        <v>1</v>
      </c>
      <c r="AA332">
        <f t="shared" si="11"/>
        <v>36</v>
      </c>
      <c r="AB332" t="s">
        <v>45</v>
      </c>
      <c r="AC332">
        <v>33.61</v>
      </c>
      <c r="AD332">
        <v>35.22</v>
      </c>
      <c r="AE332">
        <v>41.2</v>
      </c>
      <c r="AF332">
        <v>89.58</v>
      </c>
      <c r="AG332">
        <v>25.05</v>
      </c>
      <c r="AH332">
        <v>16.13</v>
      </c>
      <c r="AI332">
        <v>37.520000000000003</v>
      </c>
      <c r="AJ332">
        <v>14.91</v>
      </c>
      <c r="AK332">
        <v>57.98</v>
      </c>
      <c r="AL332">
        <v>54.15</v>
      </c>
      <c r="AM332">
        <v>83</v>
      </c>
      <c r="AN332">
        <v>67.28</v>
      </c>
      <c r="AO332">
        <v>555.63</v>
      </c>
    </row>
    <row r="333" spans="1:41" x14ac:dyDescent="0.25">
      <c r="A333" t="s">
        <v>549</v>
      </c>
      <c r="B333">
        <v>2307</v>
      </c>
      <c r="C333">
        <v>1649</v>
      </c>
      <c r="D333">
        <v>5048</v>
      </c>
      <c r="E333">
        <v>652</v>
      </c>
      <c r="F333">
        <v>5438</v>
      </c>
      <c r="G333">
        <v>2579</v>
      </c>
      <c r="H333">
        <v>5397</v>
      </c>
      <c r="I333">
        <v>862</v>
      </c>
      <c r="J333">
        <v>1824</v>
      </c>
      <c r="K333">
        <v>3783</v>
      </c>
      <c r="L333">
        <v>9356</v>
      </c>
      <c r="M333">
        <v>995</v>
      </c>
      <c r="N333">
        <f t="shared" si="10"/>
        <v>39890</v>
      </c>
      <c r="O333">
        <v>12</v>
      </c>
      <c r="P333">
        <v>2</v>
      </c>
      <c r="Q333">
        <v>3</v>
      </c>
      <c r="R333">
        <v>14</v>
      </c>
      <c r="S333">
        <v>12</v>
      </c>
      <c r="T333">
        <v>5</v>
      </c>
      <c r="U333">
        <v>3</v>
      </c>
      <c r="V333">
        <v>2</v>
      </c>
      <c r="W333">
        <v>1</v>
      </c>
      <c r="X333">
        <v>2</v>
      </c>
      <c r="Y333">
        <v>6</v>
      </c>
      <c r="Z333">
        <v>6</v>
      </c>
      <c r="AA333">
        <f t="shared" si="11"/>
        <v>68</v>
      </c>
      <c r="AB333" t="s">
        <v>45</v>
      </c>
      <c r="AC333">
        <v>33.659999999999997</v>
      </c>
      <c r="AD333">
        <v>26.58</v>
      </c>
      <c r="AE333">
        <v>60.62</v>
      </c>
      <c r="AF333">
        <v>17.21</v>
      </c>
      <c r="AG333">
        <v>64.97</v>
      </c>
      <c r="AH333">
        <v>36.03</v>
      </c>
      <c r="AI333">
        <v>64.11</v>
      </c>
      <c r="AJ333">
        <v>18.71</v>
      </c>
      <c r="AK333">
        <v>28.28</v>
      </c>
      <c r="AL333">
        <v>47.92</v>
      </c>
      <c r="AM333">
        <v>103.85</v>
      </c>
      <c r="AN333">
        <v>20.239999999999998</v>
      </c>
      <c r="AO333">
        <v>522.17999999999995</v>
      </c>
    </row>
    <row r="334" spans="1:41" x14ac:dyDescent="0.25">
      <c r="A334" t="s">
        <v>554</v>
      </c>
      <c r="B334">
        <v>2257</v>
      </c>
      <c r="C334">
        <v>6071</v>
      </c>
      <c r="D334">
        <v>1593</v>
      </c>
      <c r="E334">
        <v>9879</v>
      </c>
      <c r="F334">
        <v>21335</v>
      </c>
      <c r="G334">
        <v>5985</v>
      </c>
      <c r="H334">
        <v>4611</v>
      </c>
      <c r="I334">
        <v>2642</v>
      </c>
      <c r="J334">
        <v>839</v>
      </c>
      <c r="K334">
        <v>3990</v>
      </c>
      <c r="L334">
        <v>2093</v>
      </c>
      <c r="M334">
        <v>1865</v>
      </c>
      <c r="N334">
        <f t="shared" si="10"/>
        <v>63160</v>
      </c>
      <c r="O334">
        <v>3</v>
      </c>
      <c r="P334">
        <v>1</v>
      </c>
      <c r="Q334">
        <v>2</v>
      </c>
      <c r="R334">
        <v>6</v>
      </c>
      <c r="S334">
        <v>3</v>
      </c>
      <c r="T334">
        <v>2</v>
      </c>
      <c r="U334">
        <v>4</v>
      </c>
      <c r="V334">
        <v>4</v>
      </c>
      <c r="W334">
        <v>13</v>
      </c>
      <c r="X334">
        <v>5</v>
      </c>
      <c r="Y334">
        <v>5</v>
      </c>
      <c r="Z334">
        <v>4</v>
      </c>
      <c r="AA334">
        <f t="shared" si="11"/>
        <v>52</v>
      </c>
      <c r="AB334" t="s">
        <v>45</v>
      </c>
      <c r="AC334">
        <v>32.71</v>
      </c>
      <c r="AD334">
        <v>70.75</v>
      </c>
      <c r="AE334">
        <v>26.02</v>
      </c>
      <c r="AF334">
        <v>109.08</v>
      </c>
      <c r="AG334">
        <v>223.49</v>
      </c>
      <c r="AH334">
        <v>69.94</v>
      </c>
      <c r="AI334">
        <v>56.3</v>
      </c>
      <c r="AJ334">
        <v>36.61</v>
      </c>
      <c r="AK334">
        <v>19.03</v>
      </c>
      <c r="AL334">
        <v>50.14</v>
      </c>
      <c r="AM334">
        <v>31.17</v>
      </c>
      <c r="AN334">
        <v>28.84</v>
      </c>
      <c r="AO334">
        <v>754.07999999999993</v>
      </c>
    </row>
    <row r="335" spans="1:41" x14ac:dyDescent="0.25">
      <c r="A335" t="s">
        <v>557</v>
      </c>
      <c r="B335">
        <v>2224</v>
      </c>
      <c r="C335">
        <v>3245</v>
      </c>
      <c r="D335">
        <v>1110</v>
      </c>
      <c r="E335">
        <v>2327</v>
      </c>
      <c r="F335">
        <v>1110</v>
      </c>
      <c r="G335">
        <v>3093</v>
      </c>
      <c r="H335">
        <v>2398</v>
      </c>
      <c r="I335">
        <v>921</v>
      </c>
      <c r="J335">
        <v>3644</v>
      </c>
      <c r="K335">
        <v>12083</v>
      </c>
      <c r="L335">
        <v>4037</v>
      </c>
      <c r="M335">
        <v>1931</v>
      </c>
      <c r="N335">
        <f t="shared" si="10"/>
        <v>38123</v>
      </c>
      <c r="O335">
        <v>1</v>
      </c>
      <c r="P335">
        <v>0</v>
      </c>
      <c r="Q335">
        <v>1</v>
      </c>
      <c r="R335">
        <v>3</v>
      </c>
      <c r="S335">
        <v>4</v>
      </c>
      <c r="T335">
        <v>1</v>
      </c>
      <c r="U335">
        <v>3</v>
      </c>
      <c r="V335">
        <v>2</v>
      </c>
      <c r="W335">
        <v>5</v>
      </c>
      <c r="X335">
        <v>3</v>
      </c>
      <c r="Y335">
        <v>2</v>
      </c>
      <c r="Z335">
        <v>7</v>
      </c>
      <c r="AA335">
        <f t="shared" si="11"/>
        <v>32</v>
      </c>
      <c r="AB335" t="s">
        <v>45</v>
      </c>
      <c r="AC335">
        <v>32.28</v>
      </c>
      <c r="AD335">
        <v>42.44</v>
      </c>
      <c r="AE335">
        <v>21.14</v>
      </c>
      <c r="AF335">
        <v>33.409999999999997</v>
      </c>
      <c r="AG335">
        <v>21.29</v>
      </c>
      <c r="AH335">
        <v>40.97</v>
      </c>
      <c r="AI335">
        <v>34.119999999999997</v>
      </c>
      <c r="AJ335">
        <v>19.3</v>
      </c>
      <c r="AK335">
        <v>46.68</v>
      </c>
      <c r="AL335">
        <v>130.97</v>
      </c>
      <c r="AM335">
        <v>50.46</v>
      </c>
      <c r="AN335">
        <v>29.65</v>
      </c>
      <c r="AO335">
        <v>502.71</v>
      </c>
    </row>
    <row r="336" spans="1:41" x14ac:dyDescent="0.25">
      <c r="A336" t="s">
        <v>560</v>
      </c>
      <c r="B336">
        <v>2218</v>
      </c>
      <c r="C336">
        <v>1929</v>
      </c>
      <c r="D336">
        <v>10584</v>
      </c>
      <c r="E336">
        <v>1595</v>
      </c>
      <c r="F336">
        <v>1652</v>
      </c>
      <c r="G336">
        <v>11904</v>
      </c>
      <c r="H336">
        <v>1442</v>
      </c>
      <c r="I336">
        <v>4268</v>
      </c>
      <c r="J336">
        <v>688</v>
      </c>
      <c r="K336">
        <v>691</v>
      </c>
      <c r="L336">
        <v>4075</v>
      </c>
      <c r="M336">
        <v>9389</v>
      </c>
      <c r="N336">
        <f t="shared" si="10"/>
        <v>50435</v>
      </c>
      <c r="O336">
        <v>11</v>
      </c>
      <c r="P336">
        <v>3</v>
      </c>
      <c r="Q336">
        <v>7</v>
      </c>
      <c r="R336">
        <v>1</v>
      </c>
      <c r="S336">
        <v>3</v>
      </c>
      <c r="T336">
        <v>2</v>
      </c>
      <c r="U336">
        <v>3</v>
      </c>
      <c r="V336">
        <v>3</v>
      </c>
      <c r="W336">
        <v>2</v>
      </c>
      <c r="X336">
        <v>3</v>
      </c>
      <c r="Y336">
        <v>2</v>
      </c>
      <c r="Z336">
        <v>2</v>
      </c>
      <c r="AA336">
        <f t="shared" si="11"/>
        <v>42</v>
      </c>
      <c r="AB336" t="s">
        <v>45</v>
      </c>
      <c r="AC336">
        <v>32.72</v>
      </c>
      <c r="AD336">
        <v>29.43</v>
      </c>
      <c r="AE336">
        <v>116.18</v>
      </c>
      <c r="AF336">
        <v>25.99</v>
      </c>
      <c r="AG336">
        <v>26.66</v>
      </c>
      <c r="AH336">
        <v>129.13</v>
      </c>
      <c r="AI336">
        <v>24.56</v>
      </c>
      <c r="AJ336">
        <v>52.82</v>
      </c>
      <c r="AK336">
        <v>16.97</v>
      </c>
      <c r="AL336">
        <v>17.05</v>
      </c>
      <c r="AM336">
        <v>50.84</v>
      </c>
      <c r="AN336">
        <v>103.98</v>
      </c>
      <c r="AO336">
        <v>626.33000000000004</v>
      </c>
    </row>
    <row r="337" spans="1:41" x14ac:dyDescent="0.25">
      <c r="A337" t="s">
        <v>561</v>
      </c>
      <c r="B337">
        <v>2217</v>
      </c>
      <c r="C337">
        <v>5925</v>
      </c>
      <c r="D337">
        <v>3434</v>
      </c>
      <c r="E337">
        <v>1668</v>
      </c>
      <c r="F337">
        <v>10262</v>
      </c>
      <c r="G337">
        <v>4538</v>
      </c>
      <c r="H337">
        <v>14934</v>
      </c>
      <c r="I337">
        <v>1164</v>
      </c>
      <c r="J337">
        <v>3637</v>
      </c>
      <c r="K337">
        <v>3593</v>
      </c>
      <c r="L337">
        <v>4046</v>
      </c>
      <c r="M337">
        <v>0</v>
      </c>
      <c r="N337">
        <f t="shared" si="10"/>
        <v>55418</v>
      </c>
      <c r="O337">
        <v>6</v>
      </c>
      <c r="P337">
        <v>0</v>
      </c>
      <c r="Q337">
        <v>5</v>
      </c>
      <c r="R337">
        <v>5</v>
      </c>
      <c r="S337">
        <v>9</v>
      </c>
      <c r="T337">
        <v>0</v>
      </c>
      <c r="U337">
        <v>3</v>
      </c>
      <c r="V337">
        <v>11</v>
      </c>
      <c r="W337">
        <v>4</v>
      </c>
      <c r="X337">
        <v>3</v>
      </c>
      <c r="Y337">
        <v>2</v>
      </c>
      <c r="Z337">
        <v>2</v>
      </c>
      <c r="AA337">
        <f t="shared" si="11"/>
        <v>50</v>
      </c>
      <c r="AB337" t="s">
        <v>45</v>
      </c>
      <c r="AC337">
        <v>32.46</v>
      </c>
      <c r="AD337">
        <v>69.239999999999995</v>
      </c>
      <c r="AE337">
        <v>44.58</v>
      </c>
      <c r="AF337">
        <v>26.92</v>
      </c>
      <c r="AG337">
        <v>113.06</v>
      </c>
      <c r="AH337">
        <v>55.37</v>
      </c>
      <c r="AI337">
        <v>159.47999999999999</v>
      </c>
      <c r="AJ337">
        <v>22.18</v>
      </c>
      <c r="AK337">
        <v>46.56</v>
      </c>
      <c r="AL337">
        <v>46.07</v>
      </c>
      <c r="AM337">
        <v>50.55</v>
      </c>
      <c r="AN337">
        <v>10.09</v>
      </c>
      <c r="AO337">
        <v>676.56</v>
      </c>
    </row>
    <row r="338" spans="1:41" x14ac:dyDescent="0.25">
      <c r="A338" t="s">
        <v>563</v>
      </c>
      <c r="B338">
        <v>2209</v>
      </c>
      <c r="C338">
        <v>9370</v>
      </c>
      <c r="D338">
        <v>892</v>
      </c>
      <c r="E338">
        <v>1436</v>
      </c>
      <c r="F338">
        <v>3039</v>
      </c>
      <c r="G338">
        <v>3550</v>
      </c>
      <c r="H338">
        <v>1139</v>
      </c>
      <c r="I338">
        <v>3246</v>
      </c>
      <c r="J338">
        <v>1782</v>
      </c>
      <c r="K338">
        <v>4937</v>
      </c>
      <c r="L338">
        <v>6509</v>
      </c>
      <c r="M338">
        <v>2424</v>
      </c>
      <c r="N338">
        <f t="shared" si="10"/>
        <v>40533</v>
      </c>
      <c r="O338">
        <v>2</v>
      </c>
      <c r="P338">
        <v>4</v>
      </c>
      <c r="Q338">
        <v>1</v>
      </c>
      <c r="R338">
        <v>1</v>
      </c>
      <c r="S338">
        <v>0</v>
      </c>
      <c r="T338">
        <v>4</v>
      </c>
      <c r="U338">
        <v>4</v>
      </c>
      <c r="V338">
        <v>4</v>
      </c>
      <c r="W338">
        <v>9</v>
      </c>
      <c r="X338">
        <v>3</v>
      </c>
      <c r="Y338">
        <v>3</v>
      </c>
      <c r="Z338">
        <v>5</v>
      </c>
      <c r="AA338">
        <f t="shared" si="11"/>
        <v>40</v>
      </c>
      <c r="AB338" t="s">
        <v>45</v>
      </c>
      <c r="AC338">
        <v>32.18</v>
      </c>
      <c r="AD338">
        <v>103.89</v>
      </c>
      <c r="AE338">
        <v>18.96</v>
      </c>
      <c r="AF338">
        <v>24.4</v>
      </c>
      <c r="AG338">
        <v>40.380000000000003</v>
      </c>
      <c r="AH338">
        <v>45.69</v>
      </c>
      <c r="AI338">
        <v>21.58</v>
      </c>
      <c r="AJ338">
        <v>42.65</v>
      </c>
      <c r="AK338">
        <v>28.26</v>
      </c>
      <c r="AL338">
        <v>59.51</v>
      </c>
      <c r="AM338">
        <v>75.23</v>
      </c>
      <c r="AN338">
        <v>34.479999999999997</v>
      </c>
      <c r="AO338">
        <v>527.20999999999992</v>
      </c>
    </row>
    <row r="339" spans="1:41" x14ac:dyDescent="0.25">
      <c r="A339" t="s">
        <v>564</v>
      </c>
      <c r="B339">
        <v>2200</v>
      </c>
      <c r="C339">
        <v>1728</v>
      </c>
      <c r="D339">
        <v>5166</v>
      </c>
      <c r="E339">
        <v>5183</v>
      </c>
      <c r="F339">
        <v>134</v>
      </c>
      <c r="G339">
        <v>3983</v>
      </c>
      <c r="H339">
        <v>210</v>
      </c>
      <c r="I339">
        <v>2309</v>
      </c>
      <c r="J339">
        <v>4289</v>
      </c>
      <c r="K339">
        <v>1035</v>
      </c>
      <c r="L339">
        <v>6707</v>
      </c>
      <c r="M339">
        <v>14052</v>
      </c>
      <c r="N339">
        <f t="shared" si="10"/>
        <v>46996</v>
      </c>
      <c r="O339">
        <v>20</v>
      </c>
      <c r="P339">
        <v>5</v>
      </c>
      <c r="Q339">
        <v>2</v>
      </c>
      <c r="R339">
        <v>3</v>
      </c>
      <c r="S339">
        <v>3</v>
      </c>
      <c r="T339">
        <v>2</v>
      </c>
      <c r="U339">
        <v>8</v>
      </c>
      <c r="V339">
        <v>8</v>
      </c>
      <c r="W339">
        <v>3</v>
      </c>
      <c r="X339">
        <v>12</v>
      </c>
      <c r="Y339">
        <v>5</v>
      </c>
      <c r="Z339">
        <v>3</v>
      </c>
      <c r="AA339">
        <f t="shared" si="11"/>
        <v>74</v>
      </c>
      <c r="AB339" t="s">
        <v>45</v>
      </c>
      <c r="AC339">
        <v>32.99</v>
      </c>
      <c r="AD339">
        <v>27.52</v>
      </c>
      <c r="AE339">
        <v>61.75</v>
      </c>
      <c r="AF339">
        <v>61.97</v>
      </c>
      <c r="AG339">
        <v>11.48</v>
      </c>
      <c r="AH339">
        <v>49.92</v>
      </c>
      <c r="AI339">
        <v>12.49</v>
      </c>
      <c r="AJ339">
        <v>33.479999999999997</v>
      </c>
      <c r="AK339">
        <v>53.03</v>
      </c>
      <c r="AL339">
        <v>20.94</v>
      </c>
      <c r="AM339">
        <v>77.31</v>
      </c>
      <c r="AN339">
        <v>150.66</v>
      </c>
      <c r="AO339">
        <v>593.54</v>
      </c>
    </row>
    <row r="340" spans="1:41" x14ac:dyDescent="0.25">
      <c r="A340" t="s">
        <v>566</v>
      </c>
      <c r="B340">
        <v>2176</v>
      </c>
      <c r="C340">
        <v>10319</v>
      </c>
      <c r="D340">
        <v>519</v>
      </c>
      <c r="E340">
        <v>4575</v>
      </c>
      <c r="F340">
        <v>3664</v>
      </c>
      <c r="G340">
        <v>6776</v>
      </c>
      <c r="H340">
        <v>908</v>
      </c>
      <c r="I340">
        <v>93</v>
      </c>
      <c r="J340">
        <v>868</v>
      </c>
      <c r="K340">
        <v>2793</v>
      </c>
      <c r="L340">
        <v>2347</v>
      </c>
      <c r="M340">
        <v>9173</v>
      </c>
      <c r="N340">
        <f t="shared" si="10"/>
        <v>44211</v>
      </c>
      <c r="O340">
        <v>14</v>
      </c>
      <c r="P340">
        <v>3</v>
      </c>
      <c r="Q340">
        <v>2</v>
      </c>
      <c r="R340">
        <v>11</v>
      </c>
      <c r="S340">
        <v>4</v>
      </c>
      <c r="T340">
        <v>7</v>
      </c>
      <c r="U340">
        <v>1</v>
      </c>
      <c r="V340">
        <v>3</v>
      </c>
      <c r="W340">
        <v>0</v>
      </c>
      <c r="X340">
        <v>3</v>
      </c>
      <c r="Y340">
        <v>0</v>
      </c>
      <c r="Z340">
        <v>1</v>
      </c>
      <c r="AA340">
        <f t="shared" si="11"/>
        <v>49</v>
      </c>
      <c r="AB340" t="s">
        <v>45</v>
      </c>
      <c r="AC340">
        <v>32.450000000000003</v>
      </c>
      <c r="AD340">
        <v>113.33</v>
      </c>
      <c r="AE340">
        <v>15.28</v>
      </c>
      <c r="AF340">
        <v>56.29</v>
      </c>
      <c r="AG340">
        <v>46.83</v>
      </c>
      <c r="AH340">
        <v>78.099999999999994</v>
      </c>
      <c r="AI340">
        <v>19.12</v>
      </c>
      <c r="AJ340">
        <v>11.07</v>
      </c>
      <c r="AK340">
        <v>18.670000000000002</v>
      </c>
      <c r="AL340">
        <v>38.07</v>
      </c>
      <c r="AM340">
        <v>33.46</v>
      </c>
      <c r="AN340">
        <v>101.77</v>
      </c>
      <c r="AO340">
        <v>564.43999999999994</v>
      </c>
    </row>
    <row r="341" spans="1:41" x14ac:dyDescent="0.25">
      <c r="A341" t="s">
        <v>567</v>
      </c>
      <c r="B341">
        <v>2166</v>
      </c>
      <c r="C341">
        <v>8458</v>
      </c>
      <c r="D341">
        <v>2662</v>
      </c>
      <c r="E341">
        <v>10763</v>
      </c>
      <c r="F341">
        <v>1467</v>
      </c>
      <c r="G341">
        <v>20729</v>
      </c>
      <c r="H341">
        <v>4637</v>
      </c>
      <c r="I341">
        <v>5685</v>
      </c>
      <c r="J341">
        <v>2613</v>
      </c>
      <c r="K341">
        <v>8163</v>
      </c>
      <c r="L341">
        <v>2063</v>
      </c>
      <c r="M341">
        <v>4807</v>
      </c>
      <c r="N341">
        <f t="shared" si="10"/>
        <v>74213</v>
      </c>
      <c r="O341">
        <v>4</v>
      </c>
      <c r="P341">
        <v>11</v>
      </c>
      <c r="Q341">
        <v>1</v>
      </c>
      <c r="R341">
        <v>3</v>
      </c>
      <c r="S341">
        <v>5</v>
      </c>
      <c r="T341">
        <v>2</v>
      </c>
      <c r="U341">
        <v>3</v>
      </c>
      <c r="V341">
        <v>6</v>
      </c>
      <c r="W341">
        <v>8</v>
      </c>
      <c r="X341">
        <v>3</v>
      </c>
      <c r="Y341">
        <v>6</v>
      </c>
      <c r="Z341">
        <v>2</v>
      </c>
      <c r="AA341">
        <f t="shared" si="11"/>
        <v>54</v>
      </c>
      <c r="AB341" t="s">
        <v>45</v>
      </c>
      <c r="AC341">
        <v>31.85</v>
      </c>
      <c r="AD341">
        <v>95.12</v>
      </c>
      <c r="AE341">
        <v>36.659999999999997</v>
      </c>
      <c r="AF341">
        <v>117.77</v>
      </c>
      <c r="AG341">
        <v>24.91</v>
      </c>
      <c r="AH341">
        <v>217.38</v>
      </c>
      <c r="AI341">
        <v>56.51</v>
      </c>
      <c r="AJ341">
        <v>67.14</v>
      </c>
      <c r="AK341">
        <v>36.520000000000003</v>
      </c>
      <c r="AL341">
        <v>91.77</v>
      </c>
      <c r="AM341">
        <v>30.92</v>
      </c>
      <c r="AN341">
        <v>58.16</v>
      </c>
      <c r="AO341">
        <v>864.70999999999992</v>
      </c>
    </row>
    <row r="342" spans="1:41" x14ac:dyDescent="0.25">
      <c r="A342" t="s">
        <v>569</v>
      </c>
      <c r="B342">
        <v>2137</v>
      </c>
      <c r="C342">
        <v>270</v>
      </c>
      <c r="D342">
        <v>12435</v>
      </c>
      <c r="E342">
        <v>1106</v>
      </c>
      <c r="F342">
        <v>3356</v>
      </c>
      <c r="G342">
        <v>3462</v>
      </c>
      <c r="H342">
        <v>0</v>
      </c>
      <c r="I342">
        <v>10406</v>
      </c>
      <c r="J342">
        <v>5347</v>
      </c>
      <c r="K342">
        <v>1069</v>
      </c>
      <c r="L342">
        <v>14447</v>
      </c>
      <c r="M342">
        <v>5674</v>
      </c>
      <c r="N342">
        <f t="shared" si="10"/>
        <v>59709</v>
      </c>
      <c r="O342">
        <v>11</v>
      </c>
      <c r="P342">
        <v>5</v>
      </c>
      <c r="Q342">
        <v>2</v>
      </c>
      <c r="R342">
        <v>2</v>
      </c>
      <c r="S342">
        <v>7</v>
      </c>
      <c r="T342">
        <v>8</v>
      </c>
      <c r="U342">
        <v>9</v>
      </c>
      <c r="V342">
        <v>7</v>
      </c>
      <c r="W342">
        <v>4</v>
      </c>
      <c r="X342">
        <v>2</v>
      </c>
      <c r="Y342">
        <v>0</v>
      </c>
      <c r="Z342">
        <v>11</v>
      </c>
      <c r="AA342">
        <f t="shared" si="11"/>
        <v>68</v>
      </c>
      <c r="AB342" t="s">
        <v>45</v>
      </c>
      <c r="AC342">
        <v>31.91</v>
      </c>
      <c r="AD342">
        <v>12.94</v>
      </c>
      <c r="AE342">
        <v>134.44</v>
      </c>
      <c r="AF342">
        <v>21.15</v>
      </c>
      <c r="AG342">
        <v>43.9</v>
      </c>
      <c r="AH342">
        <v>45.01</v>
      </c>
      <c r="AI342">
        <v>10.44</v>
      </c>
      <c r="AJ342">
        <v>114.4</v>
      </c>
      <c r="AK342">
        <v>63.66</v>
      </c>
      <c r="AL342">
        <v>20.78</v>
      </c>
      <c r="AM342">
        <v>154.46</v>
      </c>
      <c r="AN342">
        <v>67.28</v>
      </c>
      <c r="AO342">
        <v>720.37</v>
      </c>
    </row>
    <row r="343" spans="1:41" x14ac:dyDescent="0.25">
      <c r="A343" t="s">
        <v>570</v>
      </c>
      <c r="B343">
        <v>2132</v>
      </c>
      <c r="C343">
        <v>444</v>
      </c>
      <c r="D343">
        <v>7606</v>
      </c>
      <c r="E343">
        <v>7112</v>
      </c>
      <c r="F343">
        <v>1585</v>
      </c>
      <c r="G343">
        <v>0</v>
      </c>
      <c r="H343">
        <v>1524</v>
      </c>
      <c r="I343">
        <v>901</v>
      </c>
      <c r="J343">
        <v>1157</v>
      </c>
      <c r="K343">
        <v>1731</v>
      </c>
      <c r="L343">
        <v>0</v>
      </c>
      <c r="M343">
        <v>11978</v>
      </c>
      <c r="N343">
        <f t="shared" si="10"/>
        <v>36170</v>
      </c>
      <c r="O343">
        <v>4</v>
      </c>
      <c r="P343">
        <v>4</v>
      </c>
      <c r="Q343">
        <v>9</v>
      </c>
      <c r="R343">
        <v>1</v>
      </c>
      <c r="S343">
        <v>4</v>
      </c>
      <c r="T343">
        <v>0</v>
      </c>
      <c r="U343">
        <v>0</v>
      </c>
      <c r="V343">
        <v>3</v>
      </c>
      <c r="W343">
        <v>5</v>
      </c>
      <c r="X343">
        <v>0</v>
      </c>
      <c r="Y343">
        <v>2</v>
      </c>
      <c r="Z343">
        <v>4</v>
      </c>
      <c r="AA343">
        <f t="shared" si="11"/>
        <v>36</v>
      </c>
      <c r="AB343" t="s">
        <v>45</v>
      </c>
      <c r="AC343">
        <v>31.51</v>
      </c>
      <c r="AD343">
        <v>14.63</v>
      </c>
      <c r="AE343">
        <v>86.5</v>
      </c>
      <c r="AF343">
        <v>81.16</v>
      </c>
      <c r="AG343">
        <v>26.04</v>
      </c>
      <c r="AH343">
        <v>9.99</v>
      </c>
      <c r="AI343">
        <v>25.23</v>
      </c>
      <c r="AJ343">
        <v>19.149999999999999</v>
      </c>
      <c r="AK343">
        <v>21.81</v>
      </c>
      <c r="AL343">
        <v>27.3</v>
      </c>
      <c r="AM343">
        <v>10.09</v>
      </c>
      <c r="AN343">
        <v>129.97</v>
      </c>
      <c r="AO343">
        <v>483.38</v>
      </c>
    </row>
    <row r="344" spans="1:41" x14ac:dyDescent="0.25">
      <c r="A344" t="s">
        <v>572</v>
      </c>
      <c r="B344">
        <v>2123</v>
      </c>
      <c r="C344">
        <v>0</v>
      </c>
      <c r="D344">
        <v>13548</v>
      </c>
      <c r="E344">
        <v>2408</v>
      </c>
      <c r="F344">
        <v>0</v>
      </c>
      <c r="G344">
        <v>1486</v>
      </c>
      <c r="H344">
        <v>704</v>
      </c>
      <c r="I344">
        <v>25336</v>
      </c>
      <c r="J344">
        <v>2156</v>
      </c>
      <c r="K344">
        <v>2071</v>
      </c>
      <c r="L344">
        <v>7996</v>
      </c>
      <c r="M344">
        <v>3709</v>
      </c>
      <c r="N344">
        <f t="shared" si="10"/>
        <v>61537</v>
      </c>
      <c r="O344">
        <v>22</v>
      </c>
      <c r="P344">
        <v>10</v>
      </c>
      <c r="Q344">
        <v>4</v>
      </c>
      <c r="R344">
        <v>2</v>
      </c>
      <c r="S344">
        <v>0</v>
      </c>
      <c r="T344">
        <v>1</v>
      </c>
      <c r="U344">
        <v>2</v>
      </c>
      <c r="V344">
        <v>2</v>
      </c>
      <c r="W344">
        <v>3</v>
      </c>
      <c r="X344">
        <v>3</v>
      </c>
      <c r="Y344">
        <v>3</v>
      </c>
      <c r="Z344">
        <v>15</v>
      </c>
      <c r="AA344">
        <f t="shared" si="11"/>
        <v>67</v>
      </c>
      <c r="AB344" t="s">
        <v>45</v>
      </c>
      <c r="AC344">
        <v>32.32</v>
      </c>
      <c r="AD344">
        <v>10.49</v>
      </c>
      <c r="AE344">
        <v>145.66999999999999</v>
      </c>
      <c r="AF344">
        <v>34.17</v>
      </c>
      <c r="AG344">
        <v>9.99</v>
      </c>
      <c r="AH344">
        <v>24.9</v>
      </c>
      <c r="AI344">
        <v>17.13</v>
      </c>
      <c r="AJ344">
        <v>263.45</v>
      </c>
      <c r="AK344">
        <v>31.7</v>
      </c>
      <c r="AL344">
        <v>30.85</v>
      </c>
      <c r="AM344">
        <v>90.1</v>
      </c>
      <c r="AN344">
        <v>47.83</v>
      </c>
      <c r="AO344">
        <v>738.6</v>
      </c>
    </row>
    <row r="345" spans="1:41" x14ac:dyDescent="0.25">
      <c r="A345" t="s">
        <v>574</v>
      </c>
      <c r="B345">
        <v>2120</v>
      </c>
      <c r="C345">
        <v>17689</v>
      </c>
      <c r="D345">
        <v>4768</v>
      </c>
      <c r="E345">
        <v>2946</v>
      </c>
      <c r="F345">
        <v>3024</v>
      </c>
      <c r="G345">
        <v>461</v>
      </c>
      <c r="H345">
        <v>10825</v>
      </c>
      <c r="I345">
        <v>8944</v>
      </c>
      <c r="J345">
        <v>3858</v>
      </c>
      <c r="K345">
        <v>0</v>
      </c>
      <c r="L345">
        <v>1193</v>
      </c>
      <c r="M345">
        <v>930</v>
      </c>
      <c r="N345">
        <f t="shared" si="10"/>
        <v>56758</v>
      </c>
      <c r="O345">
        <v>3</v>
      </c>
      <c r="P345">
        <v>6</v>
      </c>
      <c r="Q345">
        <v>3</v>
      </c>
      <c r="R345">
        <v>3</v>
      </c>
      <c r="S345">
        <v>0</v>
      </c>
      <c r="T345">
        <v>9</v>
      </c>
      <c r="U345">
        <v>1</v>
      </c>
      <c r="V345">
        <v>10</v>
      </c>
      <c r="W345">
        <v>4</v>
      </c>
      <c r="X345">
        <v>4</v>
      </c>
      <c r="Y345">
        <v>9</v>
      </c>
      <c r="Z345">
        <v>3</v>
      </c>
      <c r="AA345">
        <f t="shared" si="11"/>
        <v>55</v>
      </c>
      <c r="AB345" t="s">
        <v>45</v>
      </c>
      <c r="AC345">
        <v>31.34</v>
      </c>
      <c r="AD345">
        <v>187.18</v>
      </c>
      <c r="AE345">
        <v>57.82</v>
      </c>
      <c r="AF345">
        <v>39.6</v>
      </c>
      <c r="AG345">
        <v>40.229999999999997</v>
      </c>
      <c r="AH345">
        <v>15.05</v>
      </c>
      <c r="AI345">
        <v>118.29</v>
      </c>
      <c r="AJ345">
        <v>99.93</v>
      </c>
      <c r="AK345">
        <v>48.77</v>
      </c>
      <c r="AL345">
        <v>10.19</v>
      </c>
      <c r="AM345">
        <v>22.37</v>
      </c>
      <c r="AN345">
        <v>19.440000000000001</v>
      </c>
      <c r="AO345">
        <v>690.21000000000015</v>
      </c>
    </row>
    <row r="346" spans="1:41" x14ac:dyDescent="0.25">
      <c r="A346" t="s">
        <v>576</v>
      </c>
      <c r="B346">
        <v>2111</v>
      </c>
      <c r="C346">
        <v>12264</v>
      </c>
      <c r="D346">
        <v>3122</v>
      </c>
      <c r="E346">
        <v>9613</v>
      </c>
      <c r="F346">
        <v>4824</v>
      </c>
      <c r="G346">
        <v>0</v>
      </c>
      <c r="H346">
        <v>738</v>
      </c>
      <c r="I346">
        <v>4888</v>
      </c>
      <c r="J346">
        <v>3191</v>
      </c>
      <c r="K346">
        <v>320</v>
      </c>
      <c r="L346">
        <v>2467</v>
      </c>
      <c r="M346">
        <v>6328</v>
      </c>
      <c r="N346">
        <f t="shared" si="10"/>
        <v>49866</v>
      </c>
      <c r="O346">
        <v>4</v>
      </c>
      <c r="P346">
        <v>7</v>
      </c>
      <c r="Q346">
        <v>2</v>
      </c>
      <c r="R346">
        <v>1</v>
      </c>
      <c r="S346">
        <v>2</v>
      </c>
      <c r="T346">
        <v>3</v>
      </c>
      <c r="U346">
        <v>4</v>
      </c>
      <c r="V346">
        <v>8</v>
      </c>
      <c r="W346">
        <v>7</v>
      </c>
      <c r="X346">
        <v>3</v>
      </c>
      <c r="Y346">
        <v>7</v>
      </c>
      <c r="Z346">
        <v>2</v>
      </c>
      <c r="AA346">
        <f t="shared" si="11"/>
        <v>50</v>
      </c>
      <c r="AB346" t="s">
        <v>45</v>
      </c>
      <c r="AC346">
        <v>31.3</v>
      </c>
      <c r="AD346">
        <v>132.97999999999999</v>
      </c>
      <c r="AE346">
        <v>41.31</v>
      </c>
      <c r="AF346">
        <v>106.17</v>
      </c>
      <c r="AG346">
        <v>58.33</v>
      </c>
      <c r="AH346">
        <v>10.14</v>
      </c>
      <c r="AI346">
        <v>17.57</v>
      </c>
      <c r="AJ346">
        <v>59.27</v>
      </c>
      <c r="AK346">
        <v>42.25</v>
      </c>
      <c r="AL346">
        <v>13.34</v>
      </c>
      <c r="AM346">
        <v>35.01</v>
      </c>
      <c r="AN346">
        <v>73.37</v>
      </c>
      <c r="AO346">
        <v>621.04</v>
      </c>
    </row>
    <row r="347" spans="1:41" x14ac:dyDescent="0.25">
      <c r="A347" t="s">
        <v>578</v>
      </c>
      <c r="B347">
        <v>2102</v>
      </c>
      <c r="C347">
        <v>4642</v>
      </c>
      <c r="D347">
        <v>1627</v>
      </c>
      <c r="E347">
        <v>4118</v>
      </c>
      <c r="F347">
        <v>0</v>
      </c>
      <c r="G347">
        <v>3018</v>
      </c>
      <c r="H347">
        <v>895</v>
      </c>
      <c r="I347">
        <v>701</v>
      </c>
      <c r="J347">
        <v>1628</v>
      </c>
      <c r="K347">
        <v>3091</v>
      </c>
      <c r="L347">
        <v>11998</v>
      </c>
      <c r="M347">
        <v>6208</v>
      </c>
      <c r="N347">
        <f t="shared" si="10"/>
        <v>40028</v>
      </c>
      <c r="O347">
        <v>0</v>
      </c>
      <c r="P347">
        <v>1</v>
      </c>
      <c r="Q347">
        <v>2</v>
      </c>
      <c r="R347">
        <v>11</v>
      </c>
      <c r="S347">
        <v>0</v>
      </c>
      <c r="T347">
        <v>2</v>
      </c>
      <c r="U347">
        <v>1</v>
      </c>
      <c r="V347">
        <v>1</v>
      </c>
      <c r="W347">
        <v>12</v>
      </c>
      <c r="X347">
        <v>3</v>
      </c>
      <c r="Y347">
        <v>14</v>
      </c>
      <c r="Z347">
        <v>0</v>
      </c>
      <c r="AA347">
        <f t="shared" si="11"/>
        <v>47</v>
      </c>
      <c r="AB347" t="s">
        <v>45</v>
      </c>
      <c r="AC347">
        <v>31.01</v>
      </c>
      <c r="AD347">
        <v>56.46</v>
      </c>
      <c r="AE347">
        <v>26.36</v>
      </c>
      <c r="AF347">
        <v>51.72</v>
      </c>
      <c r="AG347">
        <v>9.99</v>
      </c>
      <c r="AH347">
        <v>40.270000000000003</v>
      </c>
      <c r="AI347">
        <v>18.989999999999998</v>
      </c>
      <c r="AJ347">
        <v>17.05</v>
      </c>
      <c r="AK347">
        <v>26.87</v>
      </c>
      <c r="AL347">
        <v>41.05</v>
      </c>
      <c r="AM347">
        <v>130.66999999999999</v>
      </c>
      <c r="AN347">
        <v>72.069999999999993</v>
      </c>
      <c r="AO347">
        <v>522.51</v>
      </c>
    </row>
    <row r="348" spans="1:41" x14ac:dyDescent="0.25">
      <c r="A348" t="s">
        <v>580</v>
      </c>
      <c r="B348">
        <v>2099</v>
      </c>
      <c r="C348">
        <v>6845</v>
      </c>
      <c r="D348">
        <v>1385</v>
      </c>
      <c r="E348">
        <v>879</v>
      </c>
      <c r="F348">
        <v>3304</v>
      </c>
      <c r="G348">
        <v>636</v>
      </c>
      <c r="H348">
        <v>2452</v>
      </c>
      <c r="I348">
        <v>531</v>
      </c>
      <c r="J348">
        <v>5239</v>
      </c>
      <c r="K348">
        <v>8822</v>
      </c>
      <c r="L348">
        <v>5940</v>
      </c>
      <c r="M348">
        <v>2651</v>
      </c>
      <c r="N348">
        <f t="shared" si="10"/>
        <v>40783</v>
      </c>
      <c r="O348">
        <v>2</v>
      </c>
      <c r="P348">
        <v>4</v>
      </c>
      <c r="Q348">
        <v>1</v>
      </c>
      <c r="R348">
        <v>2</v>
      </c>
      <c r="S348">
        <v>2</v>
      </c>
      <c r="T348">
        <v>3</v>
      </c>
      <c r="U348">
        <v>2</v>
      </c>
      <c r="V348">
        <v>3</v>
      </c>
      <c r="W348">
        <v>2</v>
      </c>
      <c r="X348">
        <v>14</v>
      </c>
      <c r="Y348">
        <v>3</v>
      </c>
      <c r="Z348">
        <v>3</v>
      </c>
      <c r="AA348">
        <f t="shared" si="11"/>
        <v>41</v>
      </c>
      <c r="AB348" t="s">
        <v>45</v>
      </c>
      <c r="AC348">
        <v>31.08</v>
      </c>
      <c r="AD348">
        <v>78.64</v>
      </c>
      <c r="AE348">
        <v>23.89</v>
      </c>
      <c r="AF348">
        <v>18.88</v>
      </c>
      <c r="AG348">
        <v>43.13</v>
      </c>
      <c r="AH348">
        <v>16.5</v>
      </c>
      <c r="AI348">
        <v>34.61</v>
      </c>
      <c r="AJ348">
        <v>15.45</v>
      </c>
      <c r="AK348">
        <v>62.48</v>
      </c>
      <c r="AL348">
        <v>98.91</v>
      </c>
      <c r="AM348">
        <v>69.540000000000006</v>
      </c>
      <c r="AN348">
        <v>36.65</v>
      </c>
      <c r="AO348">
        <v>529.7600000000001</v>
      </c>
    </row>
    <row r="349" spans="1:41" x14ac:dyDescent="0.25">
      <c r="A349" t="s">
        <v>586</v>
      </c>
      <c r="B349">
        <v>2042</v>
      </c>
      <c r="C349">
        <v>1823</v>
      </c>
      <c r="D349">
        <v>15218</v>
      </c>
      <c r="E349">
        <v>1105</v>
      </c>
      <c r="F349">
        <v>4132</v>
      </c>
      <c r="G349">
        <v>192</v>
      </c>
      <c r="H349">
        <v>2255</v>
      </c>
      <c r="I349">
        <v>5938</v>
      </c>
      <c r="J349">
        <v>960</v>
      </c>
      <c r="K349">
        <v>1884</v>
      </c>
      <c r="L349">
        <v>11006</v>
      </c>
      <c r="M349">
        <v>4363</v>
      </c>
      <c r="N349">
        <f t="shared" si="10"/>
        <v>50918</v>
      </c>
      <c r="O349">
        <v>6</v>
      </c>
      <c r="P349">
        <v>10</v>
      </c>
      <c r="Q349">
        <v>2</v>
      </c>
      <c r="R349">
        <v>2</v>
      </c>
      <c r="S349">
        <v>7</v>
      </c>
      <c r="T349">
        <v>8</v>
      </c>
      <c r="U349">
        <v>7</v>
      </c>
      <c r="V349">
        <v>3</v>
      </c>
      <c r="W349">
        <v>1</v>
      </c>
      <c r="X349">
        <v>1</v>
      </c>
      <c r="Y349">
        <v>1</v>
      </c>
      <c r="Z349">
        <v>3</v>
      </c>
      <c r="AA349">
        <f t="shared" si="11"/>
        <v>51</v>
      </c>
      <c r="AB349" t="s">
        <v>45</v>
      </c>
      <c r="AC349">
        <v>30.71</v>
      </c>
      <c r="AD349">
        <v>28.72</v>
      </c>
      <c r="AE349">
        <v>162.27000000000001</v>
      </c>
      <c r="AF349">
        <v>21.14</v>
      </c>
      <c r="AG349">
        <v>51.66</v>
      </c>
      <c r="AH349">
        <v>12.31</v>
      </c>
      <c r="AI349">
        <v>32.89</v>
      </c>
      <c r="AJ349">
        <v>69.52</v>
      </c>
      <c r="AK349">
        <v>19.64</v>
      </c>
      <c r="AL349">
        <v>28.88</v>
      </c>
      <c r="AM349">
        <v>120.1</v>
      </c>
      <c r="AN349">
        <v>53.77</v>
      </c>
      <c r="AO349">
        <v>631.6099999999999</v>
      </c>
    </row>
    <row r="350" spans="1:41" x14ac:dyDescent="0.25">
      <c r="A350" t="s">
        <v>587</v>
      </c>
      <c r="B350">
        <v>2042</v>
      </c>
      <c r="C350">
        <v>4196</v>
      </c>
      <c r="D350">
        <v>1658</v>
      </c>
      <c r="E350">
        <v>1557</v>
      </c>
      <c r="F350">
        <v>1411</v>
      </c>
      <c r="G350">
        <v>4747</v>
      </c>
      <c r="H350">
        <v>5175</v>
      </c>
      <c r="I350">
        <v>5077</v>
      </c>
      <c r="J350">
        <v>1082</v>
      </c>
      <c r="K350">
        <v>26206</v>
      </c>
      <c r="L350">
        <v>7110</v>
      </c>
      <c r="M350">
        <v>983</v>
      </c>
      <c r="N350">
        <f t="shared" si="10"/>
        <v>61244</v>
      </c>
      <c r="O350">
        <v>1</v>
      </c>
      <c r="P350">
        <v>2</v>
      </c>
      <c r="Q350">
        <v>2</v>
      </c>
      <c r="R350">
        <v>17</v>
      </c>
      <c r="S350">
        <v>0</v>
      </c>
      <c r="T350">
        <v>3</v>
      </c>
      <c r="U350">
        <v>15</v>
      </c>
      <c r="V350">
        <v>8</v>
      </c>
      <c r="W350">
        <v>8</v>
      </c>
      <c r="X350">
        <v>3</v>
      </c>
      <c r="Y350">
        <v>1</v>
      </c>
      <c r="Z350">
        <v>4</v>
      </c>
      <c r="AA350">
        <f t="shared" si="11"/>
        <v>64</v>
      </c>
      <c r="AB350" t="s">
        <v>45</v>
      </c>
      <c r="AC350">
        <v>30.46</v>
      </c>
      <c r="AD350">
        <v>52.05</v>
      </c>
      <c r="AE350">
        <v>26.67</v>
      </c>
      <c r="AF350">
        <v>26.41</v>
      </c>
      <c r="AG350">
        <v>24.1</v>
      </c>
      <c r="AH350">
        <v>57.61</v>
      </c>
      <c r="AI350">
        <v>62.49</v>
      </c>
      <c r="AJ350">
        <v>61.16</v>
      </c>
      <c r="AK350">
        <v>21.21</v>
      </c>
      <c r="AL350">
        <v>272.2</v>
      </c>
      <c r="AM350">
        <v>81.14</v>
      </c>
      <c r="AN350">
        <v>20.02</v>
      </c>
      <c r="AO350">
        <v>735.52</v>
      </c>
    </row>
    <row r="351" spans="1:41" x14ac:dyDescent="0.25">
      <c r="A351" t="s">
        <v>589</v>
      </c>
      <c r="B351">
        <v>2028</v>
      </c>
      <c r="C351">
        <v>7769</v>
      </c>
      <c r="D351">
        <v>956</v>
      </c>
      <c r="E351">
        <v>1324</v>
      </c>
      <c r="F351">
        <v>165</v>
      </c>
      <c r="G351">
        <v>223</v>
      </c>
      <c r="H351">
        <v>587</v>
      </c>
      <c r="I351">
        <v>13480</v>
      </c>
      <c r="J351">
        <v>974</v>
      </c>
      <c r="K351">
        <v>10677</v>
      </c>
      <c r="L351">
        <v>0</v>
      </c>
      <c r="M351">
        <v>10107</v>
      </c>
      <c r="N351">
        <f t="shared" si="10"/>
        <v>48290</v>
      </c>
      <c r="O351">
        <v>2</v>
      </c>
      <c r="P351">
        <v>2</v>
      </c>
      <c r="Q351">
        <v>16</v>
      </c>
      <c r="R351">
        <v>0</v>
      </c>
      <c r="S351">
        <v>7</v>
      </c>
      <c r="T351">
        <v>5</v>
      </c>
      <c r="U351">
        <v>6</v>
      </c>
      <c r="V351">
        <v>3</v>
      </c>
      <c r="W351">
        <v>5</v>
      </c>
      <c r="X351">
        <v>0</v>
      </c>
      <c r="Y351">
        <v>3</v>
      </c>
      <c r="Z351">
        <v>6</v>
      </c>
      <c r="AA351">
        <f t="shared" si="11"/>
        <v>55</v>
      </c>
      <c r="AB351" t="s">
        <v>45</v>
      </c>
      <c r="AC351">
        <v>30.37</v>
      </c>
      <c r="AD351">
        <v>87.78</v>
      </c>
      <c r="AE351">
        <v>20.350000000000001</v>
      </c>
      <c r="AF351">
        <v>23.23</v>
      </c>
      <c r="AG351">
        <v>11.99</v>
      </c>
      <c r="AH351">
        <v>12.47</v>
      </c>
      <c r="AI351">
        <v>16.16</v>
      </c>
      <c r="AJ351">
        <v>144.94</v>
      </c>
      <c r="AK351">
        <v>19.98</v>
      </c>
      <c r="AL351">
        <v>116.76</v>
      </c>
      <c r="AM351">
        <v>10.14</v>
      </c>
      <c r="AN351">
        <v>111.36</v>
      </c>
      <c r="AO351">
        <v>605.53</v>
      </c>
    </row>
    <row r="352" spans="1:41" x14ac:dyDescent="0.25">
      <c r="A352" t="s">
        <v>591</v>
      </c>
      <c r="B352">
        <v>2019</v>
      </c>
      <c r="C352">
        <v>479</v>
      </c>
      <c r="D352">
        <v>3457</v>
      </c>
      <c r="E352">
        <v>2952</v>
      </c>
      <c r="F352">
        <v>6608</v>
      </c>
      <c r="G352">
        <v>2564</v>
      </c>
      <c r="H352">
        <v>213</v>
      </c>
      <c r="I352">
        <v>6851</v>
      </c>
      <c r="J352">
        <v>2604</v>
      </c>
      <c r="K352">
        <v>6703</v>
      </c>
      <c r="L352">
        <v>4917</v>
      </c>
      <c r="M352">
        <v>347</v>
      </c>
      <c r="N352">
        <f t="shared" si="10"/>
        <v>39714</v>
      </c>
      <c r="O352">
        <v>3</v>
      </c>
      <c r="P352">
        <v>9</v>
      </c>
      <c r="Q352">
        <v>6</v>
      </c>
      <c r="R352">
        <v>2</v>
      </c>
      <c r="S352">
        <v>1</v>
      </c>
      <c r="T352">
        <v>4</v>
      </c>
      <c r="U352">
        <v>8</v>
      </c>
      <c r="V352">
        <v>2</v>
      </c>
      <c r="W352">
        <v>0</v>
      </c>
      <c r="X352">
        <v>0</v>
      </c>
      <c r="Y352">
        <v>2</v>
      </c>
      <c r="Z352">
        <v>3</v>
      </c>
      <c r="AA352">
        <f t="shared" si="11"/>
        <v>40</v>
      </c>
      <c r="AB352" t="s">
        <v>45</v>
      </c>
      <c r="AC352">
        <v>30.33</v>
      </c>
      <c r="AD352">
        <v>15.23</v>
      </c>
      <c r="AE352">
        <v>44.86</v>
      </c>
      <c r="AF352">
        <v>39.61</v>
      </c>
      <c r="AG352">
        <v>76.12</v>
      </c>
      <c r="AH352">
        <v>35.83</v>
      </c>
      <c r="AI352">
        <v>12.52</v>
      </c>
      <c r="AJ352">
        <v>78.599999999999994</v>
      </c>
      <c r="AK352">
        <v>36.03</v>
      </c>
      <c r="AL352">
        <v>77.02</v>
      </c>
      <c r="AM352">
        <v>59.26</v>
      </c>
      <c r="AN352">
        <v>13.61</v>
      </c>
      <c r="AO352">
        <v>519.02</v>
      </c>
    </row>
    <row r="353" spans="1:41" x14ac:dyDescent="0.25">
      <c r="A353" t="s">
        <v>593</v>
      </c>
      <c r="B353">
        <v>2009</v>
      </c>
      <c r="C353">
        <v>719</v>
      </c>
      <c r="D353">
        <v>1851</v>
      </c>
      <c r="E353">
        <v>2708</v>
      </c>
      <c r="F353">
        <v>2699</v>
      </c>
      <c r="G353">
        <v>2240</v>
      </c>
      <c r="H353">
        <v>12709</v>
      </c>
      <c r="I353">
        <v>8306</v>
      </c>
      <c r="J353">
        <v>3631</v>
      </c>
      <c r="K353">
        <v>0</v>
      </c>
      <c r="L353">
        <v>4052</v>
      </c>
      <c r="M353">
        <v>0</v>
      </c>
      <c r="N353">
        <f t="shared" si="10"/>
        <v>40924</v>
      </c>
      <c r="O353">
        <v>6</v>
      </c>
      <c r="P353">
        <v>2</v>
      </c>
      <c r="Q353">
        <v>8</v>
      </c>
      <c r="R353">
        <v>1</v>
      </c>
      <c r="S353">
        <v>12</v>
      </c>
      <c r="T353">
        <v>7</v>
      </c>
      <c r="U353">
        <v>3</v>
      </c>
      <c r="V353">
        <v>3</v>
      </c>
      <c r="W353">
        <v>4</v>
      </c>
      <c r="X353">
        <v>0</v>
      </c>
      <c r="Y353">
        <v>3</v>
      </c>
      <c r="Z353">
        <v>2</v>
      </c>
      <c r="AA353">
        <f t="shared" si="11"/>
        <v>51</v>
      </c>
      <c r="AB353" t="s">
        <v>45</v>
      </c>
      <c r="AC353">
        <v>30.38</v>
      </c>
      <c r="AD353">
        <v>17.28</v>
      </c>
      <c r="AE353">
        <v>28.9</v>
      </c>
      <c r="AF353">
        <v>37.119999999999997</v>
      </c>
      <c r="AG353">
        <v>37.58</v>
      </c>
      <c r="AH353">
        <v>32.74</v>
      </c>
      <c r="AI353">
        <v>137.22999999999999</v>
      </c>
      <c r="AJ353">
        <v>93.2</v>
      </c>
      <c r="AK353">
        <v>46.5</v>
      </c>
      <c r="AL353">
        <v>9.99</v>
      </c>
      <c r="AM353">
        <v>50.66</v>
      </c>
      <c r="AN353">
        <v>10.09</v>
      </c>
      <c r="AO353">
        <v>531.67000000000007</v>
      </c>
    </row>
    <row r="354" spans="1:41" x14ac:dyDescent="0.25">
      <c r="A354" t="s">
        <v>594</v>
      </c>
      <c r="B354">
        <v>2007</v>
      </c>
      <c r="C354">
        <v>1772</v>
      </c>
      <c r="D354">
        <v>8488</v>
      </c>
      <c r="E354">
        <v>670</v>
      </c>
      <c r="F354">
        <v>3687</v>
      </c>
      <c r="G354">
        <v>8877</v>
      </c>
      <c r="H354">
        <v>2281</v>
      </c>
      <c r="I354">
        <v>0</v>
      </c>
      <c r="J354">
        <v>416</v>
      </c>
      <c r="K354">
        <v>9285</v>
      </c>
      <c r="L354">
        <v>0</v>
      </c>
      <c r="M354">
        <v>1165</v>
      </c>
      <c r="N354">
        <f t="shared" si="10"/>
        <v>38648</v>
      </c>
      <c r="O354">
        <v>1</v>
      </c>
      <c r="P354">
        <v>1</v>
      </c>
      <c r="Q354">
        <v>10</v>
      </c>
      <c r="R354">
        <v>2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1</v>
      </c>
      <c r="Y354">
        <v>7</v>
      </c>
      <c r="Z354">
        <v>5</v>
      </c>
      <c r="AA354">
        <f t="shared" si="11"/>
        <v>35</v>
      </c>
      <c r="AB354" t="s">
        <v>45</v>
      </c>
      <c r="AC354">
        <v>30.11</v>
      </c>
      <c r="AD354">
        <v>27.76</v>
      </c>
      <c r="AE354">
        <v>95.37</v>
      </c>
      <c r="AF354">
        <v>16.79</v>
      </c>
      <c r="AG354">
        <v>47.11</v>
      </c>
      <c r="AH354">
        <v>98.91</v>
      </c>
      <c r="AI354">
        <v>32.799999999999997</v>
      </c>
      <c r="AJ354">
        <v>9.99</v>
      </c>
      <c r="AK354">
        <v>14.15</v>
      </c>
      <c r="AL354">
        <v>102.89</v>
      </c>
      <c r="AM354">
        <v>10.34</v>
      </c>
      <c r="AN354">
        <v>21.89</v>
      </c>
      <c r="AO354">
        <v>508.1099999999999</v>
      </c>
    </row>
    <row r="355" spans="1:41" x14ac:dyDescent="0.25">
      <c r="A355" t="s">
        <v>596</v>
      </c>
      <c r="B355">
        <v>1991</v>
      </c>
      <c r="C355">
        <v>3818</v>
      </c>
      <c r="D355">
        <v>197</v>
      </c>
      <c r="E355">
        <v>1699</v>
      </c>
      <c r="F355">
        <v>17844</v>
      </c>
      <c r="G355">
        <v>844</v>
      </c>
      <c r="H355">
        <v>3594</v>
      </c>
      <c r="I355">
        <v>1805</v>
      </c>
      <c r="J355">
        <v>2090</v>
      </c>
      <c r="K355">
        <v>2711</v>
      </c>
      <c r="L355">
        <v>2994</v>
      </c>
      <c r="M355">
        <v>6124</v>
      </c>
      <c r="N355">
        <f t="shared" si="10"/>
        <v>45711</v>
      </c>
      <c r="O355">
        <v>6</v>
      </c>
      <c r="P355">
        <v>6</v>
      </c>
      <c r="Q355">
        <v>6</v>
      </c>
      <c r="R355">
        <v>7</v>
      </c>
      <c r="S355">
        <v>5</v>
      </c>
      <c r="T355">
        <v>6</v>
      </c>
      <c r="U355">
        <v>6</v>
      </c>
      <c r="V355">
        <v>1</v>
      </c>
      <c r="W355">
        <v>1</v>
      </c>
      <c r="X355">
        <v>0</v>
      </c>
      <c r="Y355">
        <v>3</v>
      </c>
      <c r="Z355">
        <v>5</v>
      </c>
      <c r="AA355">
        <f t="shared" si="11"/>
        <v>52</v>
      </c>
      <c r="AB355" t="s">
        <v>45</v>
      </c>
      <c r="AC355">
        <v>30.2</v>
      </c>
      <c r="AD355">
        <v>48.47</v>
      </c>
      <c r="AE355">
        <v>12.26</v>
      </c>
      <c r="AF355">
        <v>27.33</v>
      </c>
      <c r="AG355">
        <v>188.68</v>
      </c>
      <c r="AH355">
        <v>18.73</v>
      </c>
      <c r="AI355">
        <v>46.23</v>
      </c>
      <c r="AJ355">
        <v>28.09</v>
      </c>
      <c r="AK355">
        <v>30.94</v>
      </c>
      <c r="AL355">
        <v>37.1</v>
      </c>
      <c r="AM355">
        <v>40.08</v>
      </c>
      <c r="AN355">
        <v>71.48</v>
      </c>
      <c r="AO355">
        <v>579.59</v>
      </c>
    </row>
    <row r="356" spans="1:41" x14ac:dyDescent="0.25">
      <c r="A356" t="s">
        <v>597</v>
      </c>
      <c r="B356">
        <v>1987</v>
      </c>
      <c r="C356">
        <v>1278</v>
      </c>
      <c r="D356">
        <v>1947</v>
      </c>
      <c r="E356">
        <v>10539</v>
      </c>
      <c r="F356">
        <v>3208</v>
      </c>
      <c r="G356">
        <v>3291</v>
      </c>
      <c r="H356">
        <v>0</v>
      </c>
      <c r="I356">
        <v>1274</v>
      </c>
      <c r="J356">
        <v>2308</v>
      </c>
      <c r="K356">
        <v>10967</v>
      </c>
      <c r="L356">
        <v>1712</v>
      </c>
      <c r="M356">
        <v>8023</v>
      </c>
      <c r="N356">
        <f t="shared" si="10"/>
        <v>46534</v>
      </c>
      <c r="O356">
        <v>3</v>
      </c>
      <c r="P356">
        <v>1</v>
      </c>
      <c r="Q356">
        <v>6</v>
      </c>
      <c r="R356">
        <v>2</v>
      </c>
      <c r="S356">
        <v>1</v>
      </c>
      <c r="T356">
        <v>1</v>
      </c>
      <c r="U356">
        <v>6</v>
      </c>
      <c r="V356">
        <v>2</v>
      </c>
      <c r="W356">
        <v>10</v>
      </c>
      <c r="X356">
        <v>2</v>
      </c>
      <c r="Y356">
        <v>4</v>
      </c>
      <c r="Z356">
        <v>3</v>
      </c>
      <c r="AA356">
        <f t="shared" si="11"/>
        <v>41</v>
      </c>
      <c r="AB356" t="s">
        <v>45</v>
      </c>
      <c r="AC356">
        <v>30.01</v>
      </c>
      <c r="AD356">
        <v>22.82</v>
      </c>
      <c r="AE356">
        <v>29.76</v>
      </c>
      <c r="AF356">
        <v>115.48</v>
      </c>
      <c r="AG356">
        <v>42.12</v>
      </c>
      <c r="AH356">
        <v>42.95</v>
      </c>
      <c r="AI356">
        <v>10.29</v>
      </c>
      <c r="AJ356">
        <v>22.83</v>
      </c>
      <c r="AK356">
        <v>33.57</v>
      </c>
      <c r="AL356">
        <v>119.76</v>
      </c>
      <c r="AM356">
        <v>27.31</v>
      </c>
      <c r="AN356">
        <v>90.37</v>
      </c>
      <c r="AO356">
        <v>587.27</v>
      </c>
    </row>
    <row r="357" spans="1:41" x14ac:dyDescent="0.25">
      <c r="A357" t="s">
        <v>598</v>
      </c>
      <c r="B357">
        <v>1986</v>
      </c>
      <c r="C357">
        <v>3567</v>
      </c>
      <c r="D357">
        <v>2164</v>
      </c>
      <c r="E357">
        <v>686</v>
      </c>
      <c r="F357">
        <v>2311</v>
      </c>
      <c r="G357">
        <v>18691</v>
      </c>
      <c r="H357">
        <v>1111</v>
      </c>
      <c r="I357">
        <v>4901</v>
      </c>
      <c r="J357">
        <v>7137</v>
      </c>
      <c r="K357">
        <v>4424</v>
      </c>
      <c r="L357">
        <v>2596</v>
      </c>
      <c r="M357">
        <v>4274</v>
      </c>
      <c r="N357">
        <f t="shared" si="10"/>
        <v>53848</v>
      </c>
      <c r="O357">
        <v>1</v>
      </c>
      <c r="P357">
        <v>2</v>
      </c>
      <c r="Q357">
        <v>11</v>
      </c>
      <c r="R357">
        <v>9</v>
      </c>
      <c r="S357">
        <v>0</v>
      </c>
      <c r="T357">
        <v>6</v>
      </c>
      <c r="U357">
        <v>8</v>
      </c>
      <c r="V357">
        <v>4</v>
      </c>
      <c r="W357">
        <v>4</v>
      </c>
      <c r="X357">
        <v>1</v>
      </c>
      <c r="Y357">
        <v>1</v>
      </c>
      <c r="Z357">
        <v>9</v>
      </c>
      <c r="AA357">
        <f t="shared" si="11"/>
        <v>56</v>
      </c>
      <c r="AB357" t="s">
        <v>45</v>
      </c>
      <c r="AC357">
        <v>29.9</v>
      </c>
      <c r="AD357">
        <v>45.76</v>
      </c>
      <c r="AE357">
        <v>32.18</v>
      </c>
      <c r="AF357">
        <v>17.3</v>
      </c>
      <c r="AG357">
        <v>33.1</v>
      </c>
      <c r="AH357">
        <v>197.2</v>
      </c>
      <c r="AI357">
        <v>21.5</v>
      </c>
      <c r="AJ357">
        <v>59.2</v>
      </c>
      <c r="AK357">
        <v>81.56</v>
      </c>
      <c r="AL357">
        <v>54.28</v>
      </c>
      <c r="AM357">
        <v>36</v>
      </c>
      <c r="AN357">
        <v>53.18</v>
      </c>
      <c r="AO357">
        <v>661.16</v>
      </c>
    </row>
    <row r="358" spans="1:41" x14ac:dyDescent="0.25">
      <c r="A358" t="s">
        <v>603</v>
      </c>
      <c r="B358">
        <v>1962</v>
      </c>
      <c r="C358">
        <v>333</v>
      </c>
      <c r="D358">
        <v>7917</v>
      </c>
      <c r="E358">
        <v>2927</v>
      </c>
      <c r="F358">
        <v>0</v>
      </c>
      <c r="G358">
        <v>1596</v>
      </c>
      <c r="H358">
        <v>6638</v>
      </c>
      <c r="I358">
        <v>0</v>
      </c>
      <c r="J358">
        <v>950</v>
      </c>
      <c r="K358">
        <v>1509</v>
      </c>
      <c r="L358">
        <v>9578</v>
      </c>
      <c r="M358">
        <v>9281</v>
      </c>
      <c r="N358">
        <f t="shared" si="10"/>
        <v>42691</v>
      </c>
      <c r="O358">
        <v>2</v>
      </c>
      <c r="P358">
        <v>5</v>
      </c>
      <c r="Q358">
        <v>1</v>
      </c>
      <c r="R358">
        <v>12</v>
      </c>
      <c r="S358">
        <v>1</v>
      </c>
      <c r="T358">
        <v>2</v>
      </c>
      <c r="U358">
        <v>2</v>
      </c>
      <c r="V358">
        <v>25</v>
      </c>
      <c r="W358">
        <v>2</v>
      </c>
      <c r="X358">
        <v>4</v>
      </c>
      <c r="Y358">
        <v>0</v>
      </c>
      <c r="Z358">
        <v>6</v>
      </c>
      <c r="AA358">
        <f t="shared" si="11"/>
        <v>62</v>
      </c>
      <c r="AB358" t="s">
        <v>45</v>
      </c>
      <c r="AC358">
        <v>29.71</v>
      </c>
      <c r="AD358">
        <v>13.57</v>
      </c>
      <c r="AE358">
        <v>89.21</v>
      </c>
      <c r="AF358">
        <v>39.86</v>
      </c>
      <c r="AG358">
        <v>10.039999999999999</v>
      </c>
      <c r="AH358">
        <v>26.05</v>
      </c>
      <c r="AI358">
        <v>76.47</v>
      </c>
      <c r="AJ358">
        <v>11.24</v>
      </c>
      <c r="AK358">
        <v>19.59</v>
      </c>
      <c r="AL358">
        <v>25.28</v>
      </c>
      <c r="AM358">
        <v>105.77</v>
      </c>
      <c r="AN358">
        <v>103.1</v>
      </c>
      <c r="AO358">
        <v>549.89</v>
      </c>
    </row>
    <row r="359" spans="1:41" x14ac:dyDescent="0.25">
      <c r="A359" t="s">
        <v>606</v>
      </c>
      <c r="B359">
        <v>1915</v>
      </c>
      <c r="C359">
        <v>12429</v>
      </c>
      <c r="D359">
        <v>9402</v>
      </c>
      <c r="E359">
        <v>2859</v>
      </c>
      <c r="F359">
        <v>0</v>
      </c>
      <c r="G359">
        <v>4461</v>
      </c>
      <c r="H359">
        <v>879</v>
      </c>
      <c r="I359">
        <v>1203</v>
      </c>
      <c r="J359">
        <v>94</v>
      </c>
      <c r="K359">
        <v>2268</v>
      </c>
      <c r="L359">
        <v>4160</v>
      </c>
      <c r="M359">
        <v>709</v>
      </c>
      <c r="N359">
        <f t="shared" si="10"/>
        <v>40379</v>
      </c>
      <c r="O359">
        <v>4</v>
      </c>
      <c r="P359">
        <v>0</v>
      </c>
      <c r="Q359">
        <v>3</v>
      </c>
      <c r="R359">
        <v>1</v>
      </c>
      <c r="S359">
        <v>4</v>
      </c>
      <c r="T359">
        <v>0</v>
      </c>
      <c r="U359">
        <v>7</v>
      </c>
      <c r="V359">
        <v>2</v>
      </c>
      <c r="W359">
        <v>6</v>
      </c>
      <c r="X359">
        <v>7</v>
      </c>
      <c r="Y359">
        <v>4</v>
      </c>
      <c r="Z359">
        <v>6</v>
      </c>
      <c r="AA359">
        <f t="shared" si="11"/>
        <v>44</v>
      </c>
      <c r="AB359" t="s">
        <v>45</v>
      </c>
      <c r="AC359">
        <v>29.34</v>
      </c>
      <c r="AD359">
        <v>134.28</v>
      </c>
      <c r="AE359">
        <v>104.16</v>
      </c>
      <c r="AF359">
        <v>38.630000000000003</v>
      </c>
      <c r="AG359">
        <v>10.19</v>
      </c>
      <c r="AH359">
        <v>54.6</v>
      </c>
      <c r="AI359">
        <v>19.13</v>
      </c>
      <c r="AJ359">
        <v>22.12</v>
      </c>
      <c r="AK359">
        <v>11.23</v>
      </c>
      <c r="AL359">
        <v>33.020000000000003</v>
      </c>
      <c r="AM359">
        <v>51.79</v>
      </c>
      <c r="AN359">
        <v>17.38</v>
      </c>
      <c r="AO359">
        <v>525.87</v>
      </c>
    </row>
    <row r="360" spans="1:41" x14ac:dyDescent="0.25">
      <c r="A360" t="s">
        <v>607</v>
      </c>
      <c r="B360">
        <v>1915</v>
      </c>
      <c r="C360">
        <v>0</v>
      </c>
      <c r="D360">
        <v>8563</v>
      </c>
      <c r="E360">
        <v>579</v>
      </c>
      <c r="F360">
        <v>108</v>
      </c>
      <c r="G360">
        <v>1086</v>
      </c>
      <c r="H360">
        <v>1354</v>
      </c>
      <c r="I360">
        <v>6616</v>
      </c>
      <c r="J360">
        <v>3195</v>
      </c>
      <c r="K360">
        <v>11111</v>
      </c>
      <c r="L360">
        <v>1679</v>
      </c>
      <c r="M360">
        <v>2185</v>
      </c>
      <c r="N360">
        <f t="shared" si="10"/>
        <v>38391</v>
      </c>
      <c r="O360">
        <v>6</v>
      </c>
      <c r="P360">
        <v>4</v>
      </c>
      <c r="Q360">
        <v>1</v>
      </c>
      <c r="R360">
        <v>5</v>
      </c>
      <c r="S360">
        <v>18</v>
      </c>
      <c r="T360">
        <v>12</v>
      </c>
      <c r="U360">
        <v>2</v>
      </c>
      <c r="V360">
        <v>0</v>
      </c>
      <c r="W360">
        <v>1</v>
      </c>
      <c r="X360">
        <v>6</v>
      </c>
      <c r="Y360">
        <v>8</v>
      </c>
      <c r="Z360">
        <v>1</v>
      </c>
      <c r="AA360">
        <f t="shared" si="11"/>
        <v>64</v>
      </c>
      <c r="AB360" t="s">
        <v>45</v>
      </c>
      <c r="AC360">
        <v>29.44</v>
      </c>
      <c r="AD360">
        <v>10.19</v>
      </c>
      <c r="AE360">
        <v>95.67</v>
      </c>
      <c r="AF360">
        <v>16.03</v>
      </c>
      <c r="AG360">
        <v>11.97</v>
      </c>
      <c r="AH360">
        <v>21.45</v>
      </c>
      <c r="AI360">
        <v>23.63</v>
      </c>
      <c r="AJ360">
        <v>76.150000000000006</v>
      </c>
      <c r="AK360">
        <v>41.99</v>
      </c>
      <c r="AL360">
        <v>121.4</v>
      </c>
      <c r="AM360">
        <v>27.18</v>
      </c>
      <c r="AN360">
        <v>31.89</v>
      </c>
      <c r="AO360">
        <v>506.98999999999995</v>
      </c>
    </row>
    <row r="361" spans="1:41" x14ac:dyDescent="0.25">
      <c r="A361" t="s">
        <v>608</v>
      </c>
      <c r="B361">
        <v>1911</v>
      </c>
      <c r="C361">
        <v>1419</v>
      </c>
      <c r="D361">
        <v>4644</v>
      </c>
      <c r="E361">
        <v>1788</v>
      </c>
      <c r="F361">
        <v>1637</v>
      </c>
      <c r="G361">
        <v>1419</v>
      </c>
      <c r="H361">
        <v>3806</v>
      </c>
      <c r="I361">
        <v>7857</v>
      </c>
      <c r="J361">
        <v>4692</v>
      </c>
      <c r="K361">
        <v>6996</v>
      </c>
      <c r="L361">
        <v>3487</v>
      </c>
      <c r="M361">
        <v>446</v>
      </c>
      <c r="N361">
        <f t="shared" si="10"/>
        <v>40102</v>
      </c>
      <c r="O361">
        <v>6</v>
      </c>
      <c r="P361">
        <v>3</v>
      </c>
      <c r="Q361">
        <v>2</v>
      </c>
      <c r="R361">
        <v>1</v>
      </c>
      <c r="S361">
        <v>18</v>
      </c>
      <c r="T361">
        <v>1</v>
      </c>
      <c r="U361">
        <v>10</v>
      </c>
      <c r="V361">
        <v>3</v>
      </c>
      <c r="W361">
        <v>4</v>
      </c>
      <c r="X361">
        <v>6</v>
      </c>
      <c r="Y361">
        <v>2</v>
      </c>
      <c r="Z361">
        <v>10</v>
      </c>
      <c r="AA361">
        <f t="shared" si="11"/>
        <v>66</v>
      </c>
      <c r="AB361" t="s">
        <v>45</v>
      </c>
      <c r="AC361">
        <v>29.4</v>
      </c>
      <c r="AD361">
        <v>24.33</v>
      </c>
      <c r="AE361">
        <v>56.53</v>
      </c>
      <c r="AF361">
        <v>27.92</v>
      </c>
      <c r="AG361">
        <v>27.26</v>
      </c>
      <c r="AH361">
        <v>24.23</v>
      </c>
      <c r="AI361">
        <v>48.55</v>
      </c>
      <c r="AJ361">
        <v>88.71</v>
      </c>
      <c r="AK361">
        <v>57.11</v>
      </c>
      <c r="AL361">
        <v>80.25</v>
      </c>
      <c r="AM361">
        <v>44.96</v>
      </c>
      <c r="AN361">
        <v>14.95</v>
      </c>
      <c r="AO361">
        <v>524.19999999999993</v>
      </c>
    </row>
    <row r="362" spans="1:41" x14ac:dyDescent="0.25">
      <c r="A362" t="s">
        <v>610</v>
      </c>
      <c r="B362">
        <v>1899</v>
      </c>
      <c r="C362">
        <v>9102</v>
      </c>
      <c r="D362">
        <v>6914</v>
      </c>
      <c r="E362">
        <v>4474</v>
      </c>
      <c r="F362">
        <v>3266</v>
      </c>
      <c r="G362">
        <v>742</v>
      </c>
      <c r="H362">
        <v>10967</v>
      </c>
      <c r="I362">
        <v>863</v>
      </c>
      <c r="J362">
        <v>2507</v>
      </c>
      <c r="K362">
        <v>1817</v>
      </c>
      <c r="L362">
        <v>1838</v>
      </c>
      <c r="M362">
        <v>4029</v>
      </c>
      <c r="N362">
        <f t="shared" si="10"/>
        <v>48418</v>
      </c>
      <c r="O362">
        <v>9</v>
      </c>
      <c r="P362">
        <v>2</v>
      </c>
      <c r="Q362">
        <v>2</v>
      </c>
      <c r="R362">
        <v>4</v>
      </c>
      <c r="S362">
        <v>11</v>
      </c>
      <c r="T362">
        <v>5</v>
      </c>
      <c r="U362">
        <v>4</v>
      </c>
      <c r="V362">
        <v>2</v>
      </c>
      <c r="W362">
        <v>6</v>
      </c>
      <c r="X362">
        <v>19</v>
      </c>
      <c r="Y362">
        <v>2</v>
      </c>
      <c r="Z362">
        <v>2</v>
      </c>
      <c r="AA362">
        <f t="shared" si="11"/>
        <v>68</v>
      </c>
      <c r="AB362" t="s">
        <v>45</v>
      </c>
      <c r="AC362">
        <v>29.43</v>
      </c>
      <c r="AD362">
        <v>101.11</v>
      </c>
      <c r="AE362">
        <v>79.23</v>
      </c>
      <c r="AF362">
        <v>54.93</v>
      </c>
      <c r="AG362">
        <v>43.2</v>
      </c>
      <c r="AH362">
        <v>17.66</v>
      </c>
      <c r="AI362">
        <v>119.86</v>
      </c>
      <c r="AJ362">
        <v>18.72</v>
      </c>
      <c r="AK362">
        <v>35.36</v>
      </c>
      <c r="AL362">
        <v>29.11</v>
      </c>
      <c r="AM362">
        <v>28.47</v>
      </c>
      <c r="AN362">
        <v>50.38</v>
      </c>
      <c r="AO362">
        <v>607.46</v>
      </c>
    </row>
    <row r="363" spans="1:41" x14ac:dyDescent="0.25">
      <c r="A363" t="s">
        <v>611</v>
      </c>
      <c r="B363">
        <v>1889</v>
      </c>
      <c r="C363">
        <v>2548</v>
      </c>
      <c r="D363">
        <v>2649</v>
      </c>
      <c r="E363">
        <v>1066</v>
      </c>
      <c r="F363">
        <v>2119</v>
      </c>
      <c r="G363">
        <v>3003</v>
      </c>
      <c r="H363">
        <v>2791</v>
      </c>
      <c r="I363">
        <v>4772</v>
      </c>
      <c r="J363">
        <v>1355</v>
      </c>
      <c r="K363">
        <v>4162</v>
      </c>
      <c r="L363">
        <v>3909</v>
      </c>
      <c r="M363">
        <v>12344</v>
      </c>
      <c r="N363">
        <f t="shared" si="10"/>
        <v>42607</v>
      </c>
      <c r="O363">
        <v>10</v>
      </c>
      <c r="P363">
        <v>11</v>
      </c>
      <c r="Q363">
        <v>12</v>
      </c>
      <c r="R363">
        <v>4</v>
      </c>
      <c r="S363">
        <v>0</v>
      </c>
      <c r="T363">
        <v>10</v>
      </c>
      <c r="U363">
        <v>1</v>
      </c>
      <c r="V363">
        <v>13</v>
      </c>
      <c r="W363">
        <v>13</v>
      </c>
      <c r="X363">
        <v>10</v>
      </c>
      <c r="Y363">
        <v>2</v>
      </c>
      <c r="Z363">
        <v>3</v>
      </c>
      <c r="AA363">
        <f t="shared" si="11"/>
        <v>89</v>
      </c>
      <c r="AB363" t="s">
        <v>45</v>
      </c>
      <c r="AC363">
        <v>29.38</v>
      </c>
      <c r="AD363">
        <v>36.020000000000003</v>
      </c>
      <c r="AE363">
        <v>37.08</v>
      </c>
      <c r="AF363">
        <v>20.85</v>
      </c>
      <c r="AG363">
        <v>31.18</v>
      </c>
      <c r="AH363">
        <v>40.520000000000003</v>
      </c>
      <c r="AI363">
        <v>37.950000000000003</v>
      </c>
      <c r="AJ363">
        <v>58.36</v>
      </c>
      <c r="AK363">
        <v>24.19</v>
      </c>
      <c r="AL363">
        <v>52.11</v>
      </c>
      <c r="AM363">
        <v>49.18</v>
      </c>
      <c r="AN363">
        <v>133.58000000000001</v>
      </c>
      <c r="AO363">
        <v>550.40000000000009</v>
      </c>
    </row>
    <row r="364" spans="1:41" x14ac:dyDescent="0.25">
      <c r="A364" t="s">
        <v>612</v>
      </c>
      <c r="B364">
        <v>1888</v>
      </c>
      <c r="C364">
        <v>1115</v>
      </c>
      <c r="D364">
        <v>1386</v>
      </c>
      <c r="E364">
        <v>10378</v>
      </c>
      <c r="F364">
        <v>2906</v>
      </c>
      <c r="G364">
        <v>2868</v>
      </c>
      <c r="H364">
        <v>10680</v>
      </c>
      <c r="I364">
        <v>1861</v>
      </c>
      <c r="J364">
        <v>926</v>
      </c>
      <c r="K364">
        <v>3783</v>
      </c>
      <c r="L364">
        <v>2583</v>
      </c>
      <c r="M364">
        <v>2876</v>
      </c>
      <c r="N364">
        <f t="shared" si="10"/>
        <v>43250</v>
      </c>
      <c r="O364">
        <v>0</v>
      </c>
      <c r="P364">
        <v>5</v>
      </c>
      <c r="Q364">
        <v>3</v>
      </c>
      <c r="R364">
        <v>2</v>
      </c>
      <c r="S364">
        <v>0</v>
      </c>
      <c r="T364">
        <v>3</v>
      </c>
      <c r="U364">
        <v>7</v>
      </c>
      <c r="V364">
        <v>3</v>
      </c>
      <c r="W364">
        <v>0</v>
      </c>
      <c r="X364">
        <v>5</v>
      </c>
      <c r="Y364">
        <v>1</v>
      </c>
      <c r="Z364">
        <v>2</v>
      </c>
      <c r="AA364">
        <f t="shared" si="11"/>
        <v>31</v>
      </c>
      <c r="AB364" t="s">
        <v>45</v>
      </c>
      <c r="AC364">
        <v>28.87</v>
      </c>
      <c r="AD364">
        <v>21.39</v>
      </c>
      <c r="AE364">
        <v>24</v>
      </c>
      <c r="AF364">
        <v>113.87</v>
      </c>
      <c r="AG364">
        <v>39.049999999999997</v>
      </c>
      <c r="AH364">
        <v>38.82</v>
      </c>
      <c r="AI364">
        <v>117.14</v>
      </c>
      <c r="AJ364">
        <v>28.75</v>
      </c>
      <c r="AK364">
        <v>19.25</v>
      </c>
      <c r="AL364">
        <v>48.07</v>
      </c>
      <c r="AM364">
        <v>35.869999999999997</v>
      </c>
      <c r="AN364">
        <v>38.85</v>
      </c>
      <c r="AO364">
        <v>553.92999999999995</v>
      </c>
    </row>
    <row r="365" spans="1:41" x14ac:dyDescent="0.25">
      <c r="A365" t="s">
        <v>614</v>
      </c>
      <c r="B365">
        <v>1872</v>
      </c>
      <c r="C365">
        <v>7485</v>
      </c>
      <c r="D365">
        <v>13505</v>
      </c>
      <c r="E365">
        <v>85</v>
      </c>
      <c r="F365">
        <v>927</v>
      </c>
      <c r="G365">
        <v>3913</v>
      </c>
      <c r="H365">
        <v>2238</v>
      </c>
      <c r="I365">
        <v>263</v>
      </c>
      <c r="J365">
        <v>5184</v>
      </c>
      <c r="K365">
        <v>14275</v>
      </c>
      <c r="L365">
        <v>4839</v>
      </c>
      <c r="M365">
        <v>2483</v>
      </c>
      <c r="N365">
        <f t="shared" si="10"/>
        <v>57069</v>
      </c>
      <c r="O365">
        <v>11</v>
      </c>
      <c r="P365">
        <v>1</v>
      </c>
      <c r="Q365">
        <v>7</v>
      </c>
      <c r="R365">
        <v>1</v>
      </c>
      <c r="S365">
        <v>3</v>
      </c>
      <c r="T365">
        <v>1</v>
      </c>
      <c r="U365">
        <v>2</v>
      </c>
      <c r="V365">
        <v>3</v>
      </c>
      <c r="W365">
        <v>0</v>
      </c>
      <c r="X365">
        <v>2</v>
      </c>
      <c r="Y365">
        <v>9</v>
      </c>
      <c r="Z365">
        <v>0</v>
      </c>
      <c r="AA365">
        <f t="shared" si="11"/>
        <v>40</v>
      </c>
      <c r="AB365" t="s">
        <v>45</v>
      </c>
      <c r="AC365">
        <v>29.26</v>
      </c>
      <c r="AD365">
        <v>84.89</v>
      </c>
      <c r="AE365">
        <v>145.38999999999999</v>
      </c>
      <c r="AF365">
        <v>10.89</v>
      </c>
      <c r="AG365">
        <v>19.41</v>
      </c>
      <c r="AH365">
        <v>49.17</v>
      </c>
      <c r="AI365">
        <v>32.47</v>
      </c>
      <c r="AJ365">
        <v>12.77</v>
      </c>
      <c r="AK365">
        <v>61.83</v>
      </c>
      <c r="AL365">
        <v>152.84</v>
      </c>
      <c r="AM365">
        <v>58.83</v>
      </c>
      <c r="AN365">
        <v>34.82</v>
      </c>
      <c r="AO365">
        <v>692.57</v>
      </c>
    </row>
    <row r="366" spans="1:41" x14ac:dyDescent="0.25">
      <c r="A366" t="s">
        <v>615</v>
      </c>
      <c r="B366">
        <v>1871</v>
      </c>
      <c r="C366">
        <v>2124</v>
      </c>
      <c r="D366">
        <v>8736</v>
      </c>
      <c r="E366">
        <v>8682</v>
      </c>
      <c r="F366">
        <v>16864</v>
      </c>
      <c r="G366">
        <v>2445</v>
      </c>
      <c r="H366">
        <v>1017</v>
      </c>
      <c r="I366">
        <v>1135</v>
      </c>
      <c r="J366">
        <v>0</v>
      </c>
      <c r="K366">
        <v>4686</v>
      </c>
      <c r="L366">
        <v>148</v>
      </c>
      <c r="M366">
        <v>3026</v>
      </c>
      <c r="N366">
        <f t="shared" si="10"/>
        <v>50734</v>
      </c>
      <c r="O366">
        <v>6</v>
      </c>
      <c r="P366">
        <v>12</v>
      </c>
      <c r="Q366">
        <v>0</v>
      </c>
      <c r="R366">
        <v>1</v>
      </c>
      <c r="S366">
        <v>12</v>
      </c>
      <c r="T366">
        <v>2</v>
      </c>
      <c r="U366">
        <v>15</v>
      </c>
      <c r="V366">
        <v>2</v>
      </c>
      <c r="W366">
        <v>9</v>
      </c>
      <c r="X366">
        <v>2</v>
      </c>
      <c r="Y366">
        <v>11</v>
      </c>
      <c r="Z366">
        <v>2</v>
      </c>
      <c r="AA366">
        <f t="shared" si="11"/>
        <v>74</v>
      </c>
      <c r="AB366" t="s">
        <v>45</v>
      </c>
      <c r="AC366">
        <v>29</v>
      </c>
      <c r="AD366">
        <v>31.83</v>
      </c>
      <c r="AE366">
        <v>97.35</v>
      </c>
      <c r="AF366">
        <v>96.86</v>
      </c>
      <c r="AG366">
        <v>179.23</v>
      </c>
      <c r="AH366">
        <v>34.54</v>
      </c>
      <c r="AI366">
        <v>20.91</v>
      </c>
      <c r="AJ366">
        <v>21.44</v>
      </c>
      <c r="AK366">
        <v>10.44</v>
      </c>
      <c r="AL366">
        <v>56.95</v>
      </c>
      <c r="AM366">
        <v>12.02</v>
      </c>
      <c r="AN366">
        <v>40.35</v>
      </c>
      <c r="AO366">
        <v>630.92000000000007</v>
      </c>
    </row>
    <row r="367" spans="1:41" x14ac:dyDescent="0.25">
      <c r="A367" t="s">
        <v>616</v>
      </c>
      <c r="B367">
        <v>1870</v>
      </c>
      <c r="C367">
        <v>1987</v>
      </c>
      <c r="D367">
        <v>582</v>
      </c>
      <c r="E367">
        <v>11220</v>
      </c>
      <c r="F367">
        <v>10715</v>
      </c>
      <c r="G367">
        <v>5756</v>
      </c>
      <c r="H367">
        <v>331</v>
      </c>
      <c r="I367">
        <v>0</v>
      </c>
      <c r="J367">
        <v>15932</v>
      </c>
      <c r="K367">
        <v>0</v>
      </c>
      <c r="L367">
        <v>6465</v>
      </c>
      <c r="M367">
        <v>827</v>
      </c>
      <c r="N367">
        <f t="shared" si="10"/>
        <v>55685</v>
      </c>
      <c r="O367">
        <v>0</v>
      </c>
      <c r="P367">
        <v>8</v>
      </c>
      <c r="Q367">
        <v>2</v>
      </c>
      <c r="R367">
        <v>2</v>
      </c>
      <c r="S367">
        <v>3</v>
      </c>
      <c r="T367">
        <v>0</v>
      </c>
      <c r="U367">
        <v>4</v>
      </c>
      <c r="V367">
        <v>0</v>
      </c>
      <c r="W367">
        <v>2</v>
      </c>
      <c r="X367">
        <v>4</v>
      </c>
      <c r="Y367">
        <v>5</v>
      </c>
      <c r="Z367">
        <v>2</v>
      </c>
      <c r="AA367">
        <f t="shared" si="11"/>
        <v>32</v>
      </c>
      <c r="AB367" t="s">
        <v>45</v>
      </c>
      <c r="AC367">
        <v>28.69</v>
      </c>
      <c r="AD367">
        <v>30.26</v>
      </c>
      <c r="AE367">
        <v>15.91</v>
      </c>
      <c r="AF367">
        <v>122.29</v>
      </c>
      <c r="AG367">
        <v>117.29</v>
      </c>
      <c r="AH367">
        <v>67.55</v>
      </c>
      <c r="AI367">
        <v>13.5</v>
      </c>
      <c r="AJ367">
        <v>9.99</v>
      </c>
      <c r="AK367">
        <v>169.41</v>
      </c>
      <c r="AL367">
        <v>10.19</v>
      </c>
      <c r="AM367">
        <v>74.89</v>
      </c>
      <c r="AN367">
        <v>18.36</v>
      </c>
      <c r="AO367">
        <v>678.33</v>
      </c>
    </row>
    <row r="368" spans="1:41" x14ac:dyDescent="0.25">
      <c r="A368" t="s">
        <v>618</v>
      </c>
      <c r="B368">
        <v>1857</v>
      </c>
      <c r="C368">
        <v>2956</v>
      </c>
      <c r="D368">
        <v>8575</v>
      </c>
      <c r="E368">
        <v>1632</v>
      </c>
      <c r="F368">
        <v>4571</v>
      </c>
      <c r="G368">
        <v>12469</v>
      </c>
      <c r="H368">
        <v>1060</v>
      </c>
      <c r="I368">
        <v>7553</v>
      </c>
      <c r="J368">
        <v>1582</v>
      </c>
      <c r="K368">
        <v>5484</v>
      </c>
      <c r="L368">
        <v>2119</v>
      </c>
      <c r="M368">
        <v>2301</v>
      </c>
      <c r="N368">
        <f t="shared" si="10"/>
        <v>52159</v>
      </c>
      <c r="O368">
        <v>4</v>
      </c>
      <c r="P368">
        <v>2</v>
      </c>
      <c r="Q368">
        <v>6</v>
      </c>
      <c r="R368">
        <v>3</v>
      </c>
      <c r="S368">
        <v>6</v>
      </c>
      <c r="T368">
        <v>3</v>
      </c>
      <c r="U368">
        <v>0</v>
      </c>
      <c r="V368">
        <v>7</v>
      </c>
      <c r="W368">
        <v>1</v>
      </c>
      <c r="X368">
        <v>4</v>
      </c>
      <c r="Y368">
        <v>4</v>
      </c>
      <c r="Z368">
        <v>3</v>
      </c>
      <c r="AA368">
        <f t="shared" si="11"/>
        <v>43</v>
      </c>
      <c r="AB368" t="s">
        <v>45</v>
      </c>
      <c r="AC368">
        <v>28.76</v>
      </c>
      <c r="AD368">
        <v>39.65</v>
      </c>
      <c r="AE368">
        <v>96.04</v>
      </c>
      <c r="AF368">
        <v>26.46</v>
      </c>
      <c r="AG368">
        <v>56</v>
      </c>
      <c r="AH368">
        <v>134.83000000000001</v>
      </c>
      <c r="AI368">
        <v>20.59</v>
      </c>
      <c r="AJ368">
        <v>85.87</v>
      </c>
      <c r="AK368">
        <v>25.86</v>
      </c>
      <c r="AL368">
        <v>65.03</v>
      </c>
      <c r="AM368">
        <v>31.38</v>
      </c>
      <c r="AN368">
        <v>33.15</v>
      </c>
      <c r="AO368">
        <v>643.61999999999989</v>
      </c>
    </row>
    <row r="369" spans="1:41" x14ac:dyDescent="0.25">
      <c r="A369" t="s">
        <v>619</v>
      </c>
      <c r="B369">
        <v>1850</v>
      </c>
      <c r="C369">
        <v>4715</v>
      </c>
      <c r="D369">
        <v>8228</v>
      </c>
      <c r="E369">
        <v>2837</v>
      </c>
      <c r="F369">
        <v>4776</v>
      </c>
      <c r="G369">
        <v>5305</v>
      </c>
      <c r="H369">
        <v>2012</v>
      </c>
      <c r="I369">
        <v>3082</v>
      </c>
      <c r="J369">
        <v>6215</v>
      </c>
      <c r="K369">
        <v>1786</v>
      </c>
      <c r="L369">
        <v>7529</v>
      </c>
      <c r="M369">
        <v>2971</v>
      </c>
      <c r="N369">
        <f t="shared" si="10"/>
        <v>51306</v>
      </c>
      <c r="O369">
        <v>2</v>
      </c>
      <c r="P369">
        <v>6</v>
      </c>
      <c r="Q369">
        <v>1</v>
      </c>
      <c r="R369">
        <v>0</v>
      </c>
      <c r="S369">
        <v>6</v>
      </c>
      <c r="T369">
        <v>4</v>
      </c>
      <c r="U369">
        <v>5</v>
      </c>
      <c r="V369">
        <v>2</v>
      </c>
      <c r="W369">
        <v>2</v>
      </c>
      <c r="X369">
        <v>4</v>
      </c>
      <c r="Y369">
        <v>18</v>
      </c>
      <c r="Z369">
        <v>3</v>
      </c>
      <c r="AA369">
        <f t="shared" si="11"/>
        <v>53</v>
      </c>
      <c r="AB369" t="s">
        <v>45</v>
      </c>
      <c r="AC369">
        <v>28.59</v>
      </c>
      <c r="AD369">
        <v>57.44</v>
      </c>
      <c r="AE369">
        <v>92.32</v>
      </c>
      <c r="AF369">
        <v>38.36</v>
      </c>
      <c r="AG369">
        <v>58.05</v>
      </c>
      <c r="AH369">
        <v>63.24</v>
      </c>
      <c r="AI369">
        <v>30.36</v>
      </c>
      <c r="AJ369">
        <v>40.909999999999997</v>
      </c>
      <c r="AK369">
        <v>72.239999999999995</v>
      </c>
      <c r="AL369">
        <v>28.05</v>
      </c>
      <c r="AM369">
        <v>86.18</v>
      </c>
      <c r="AN369">
        <v>39.85</v>
      </c>
      <c r="AO369">
        <v>635.59</v>
      </c>
    </row>
    <row r="370" spans="1:41" x14ac:dyDescent="0.25">
      <c r="A370" t="s">
        <v>620</v>
      </c>
      <c r="B370">
        <v>1833</v>
      </c>
      <c r="C370">
        <v>4853</v>
      </c>
      <c r="D370">
        <v>0</v>
      </c>
      <c r="E370">
        <v>1283</v>
      </c>
      <c r="F370">
        <v>2181</v>
      </c>
      <c r="G370">
        <v>7203</v>
      </c>
      <c r="H370">
        <v>2866</v>
      </c>
      <c r="I370">
        <v>12555</v>
      </c>
      <c r="J370">
        <v>0</v>
      </c>
      <c r="K370">
        <v>1521</v>
      </c>
      <c r="L370">
        <v>2916</v>
      </c>
      <c r="M370">
        <v>3742</v>
      </c>
      <c r="N370">
        <f t="shared" si="10"/>
        <v>40953</v>
      </c>
      <c r="O370">
        <v>1</v>
      </c>
      <c r="P370">
        <v>7</v>
      </c>
      <c r="Q370">
        <v>4</v>
      </c>
      <c r="R370">
        <v>4</v>
      </c>
      <c r="S370">
        <v>4</v>
      </c>
      <c r="T370">
        <v>10</v>
      </c>
      <c r="U370">
        <v>0</v>
      </c>
      <c r="V370">
        <v>2</v>
      </c>
      <c r="W370">
        <v>3</v>
      </c>
      <c r="X370">
        <v>7</v>
      </c>
      <c r="Y370">
        <v>21</v>
      </c>
      <c r="Z370">
        <v>1</v>
      </c>
      <c r="AA370">
        <f t="shared" si="11"/>
        <v>64</v>
      </c>
      <c r="AB370" t="s">
        <v>45</v>
      </c>
      <c r="AC370">
        <v>28.37</v>
      </c>
      <c r="AD370">
        <v>58.87</v>
      </c>
      <c r="AE370">
        <v>10.19</v>
      </c>
      <c r="AF370">
        <v>23.02</v>
      </c>
      <c r="AG370">
        <v>32</v>
      </c>
      <c r="AH370">
        <v>82.52</v>
      </c>
      <c r="AI370">
        <v>38.65</v>
      </c>
      <c r="AJ370">
        <v>135.63999999999999</v>
      </c>
      <c r="AK370">
        <v>10.14</v>
      </c>
      <c r="AL370">
        <v>25.55</v>
      </c>
      <c r="AM370">
        <v>40.200000000000003</v>
      </c>
      <c r="AN370">
        <v>47.46</v>
      </c>
      <c r="AO370">
        <v>532.6099999999999</v>
      </c>
    </row>
    <row r="371" spans="1:41" x14ac:dyDescent="0.25">
      <c r="A371" t="s">
        <v>621</v>
      </c>
      <c r="B371">
        <v>1830</v>
      </c>
      <c r="C371">
        <v>1450</v>
      </c>
      <c r="D371">
        <v>9913</v>
      </c>
      <c r="E371">
        <v>1060</v>
      </c>
      <c r="F371">
        <v>4607</v>
      </c>
      <c r="G371">
        <v>882</v>
      </c>
      <c r="H371">
        <v>6907</v>
      </c>
      <c r="I371">
        <v>3474</v>
      </c>
      <c r="J371">
        <v>0</v>
      </c>
      <c r="K371">
        <v>9597</v>
      </c>
      <c r="L371">
        <v>542</v>
      </c>
      <c r="M371">
        <v>2860</v>
      </c>
      <c r="N371">
        <f t="shared" si="10"/>
        <v>43122</v>
      </c>
      <c r="O371">
        <v>8</v>
      </c>
      <c r="P371">
        <v>4</v>
      </c>
      <c r="Q371">
        <v>2</v>
      </c>
      <c r="R371">
        <v>8</v>
      </c>
      <c r="S371">
        <v>4</v>
      </c>
      <c r="T371">
        <v>2</v>
      </c>
      <c r="U371">
        <v>10</v>
      </c>
      <c r="V371">
        <v>9</v>
      </c>
      <c r="W371">
        <v>3</v>
      </c>
      <c r="X371">
        <v>2</v>
      </c>
      <c r="Y371">
        <v>3</v>
      </c>
      <c r="Z371">
        <v>8</v>
      </c>
      <c r="AA371">
        <f t="shared" si="11"/>
        <v>63</v>
      </c>
      <c r="AB371" t="s">
        <v>45</v>
      </c>
      <c r="AC371">
        <v>28.69</v>
      </c>
      <c r="AD371">
        <v>24.69</v>
      </c>
      <c r="AE371">
        <v>109.22</v>
      </c>
      <c r="AF371">
        <v>20.99</v>
      </c>
      <c r="AG371">
        <v>56.26</v>
      </c>
      <c r="AH371">
        <v>18.91</v>
      </c>
      <c r="AI371">
        <v>79.56</v>
      </c>
      <c r="AJ371">
        <v>45.18</v>
      </c>
      <c r="AK371">
        <v>10.14</v>
      </c>
      <c r="AL371">
        <v>106.06</v>
      </c>
      <c r="AM371">
        <v>15.56</v>
      </c>
      <c r="AN371">
        <v>38.99</v>
      </c>
      <c r="AO371">
        <v>554.25</v>
      </c>
    </row>
    <row r="372" spans="1:41" x14ac:dyDescent="0.25">
      <c r="A372" t="s">
        <v>622</v>
      </c>
      <c r="B372">
        <v>1826</v>
      </c>
      <c r="C372">
        <v>2910</v>
      </c>
      <c r="D372">
        <v>9931</v>
      </c>
      <c r="E372">
        <v>5616</v>
      </c>
      <c r="F372">
        <v>7185</v>
      </c>
      <c r="G372">
        <v>491</v>
      </c>
      <c r="H372">
        <v>4899</v>
      </c>
      <c r="I372">
        <v>1177</v>
      </c>
      <c r="J372">
        <v>0</v>
      </c>
      <c r="K372">
        <v>0</v>
      </c>
      <c r="L372">
        <v>4130</v>
      </c>
      <c r="M372">
        <v>720</v>
      </c>
      <c r="N372">
        <f t="shared" si="10"/>
        <v>38885</v>
      </c>
      <c r="O372">
        <v>1</v>
      </c>
      <c r="P372">
        <v>3</v>
      </c>
      <c r="Q372">
        <v>1</v>
      </c>
      <c r="R372">
        <v>3</v>
      </c>
      <c r="S372">
        <v>3</v>
      </c>
      <c r="T372">
        <v>1</v>
      </c>
      <c r="U372">
        <v>2</v>
      </c>
      <c r="V372">
        <v>0</v>
      </c>
      <c r="W372">
        <v>8</v>
      </c>
      <c r="X372">
        <v>13</v>
      </c>
      <c r="Y372">
        <v>0</v>
      </c>
      <c r="Z372">
        <v>13</v>
      </c>
      <c r="AA372">
        <f t="shared" si="11"/>
        <v>48</v>
      </c>
      <c r="AB372" t="s">
        <v>45</v>
      </c>
      <c r="AC372">
        <v>28.3</v>
      </c>
      <c r="AD372">
        <v>39.24</v>
      </c>
      <c r="AE372">
        <v>109.35</v>
      </c>
      <c r="AF372">
        <v>66.3</v>
      </c>
      <c r="AG372">
        <v>81.99</v>
      </c>
      <c r="AH372">
        <v>14.95</v>
      </c>
      <c r="AI372">
        <v>59.08</v>
      </c>
      <c r="AJ372">
        <v>21.76</v>
      </c>
      <c r="AK372">
        <v>10.39</v>
      </c>
      <c r="AL372">
        <v>10.64</v>
      </c>
      <c r="AM372">
        <v>51.29</v>
      </c>
      <c r="AN372">
        <v>17.84</v>
      </c>
      <c r="AO372">
        <v>511.12999999999994</v>
      </c>
    </row>
    <row r="373" spans="1:41" x14ac:dyDescent="0.25">
      <c r="A373" t="s">
        <v>623</v>
      </c>
      <c r="B373">
        <v>1820</v>
      </c>
      <c r="C373">
        <v>419</v>
      </c>
      <c r="D373">
        <v>8775</v>
      </c>
      <c r="E373">
        <v>4245</v>
      </c>
      <c r="F373">
        <v>3196</v>
      </c>
      <c r="G373">
        <v>12323</v>
      </c>
      <c r="H373">
        <v>2721</v>
      </c>
      <c r="I373">
        <v>1099</v>
      </c>
      <c r="J373">
        <v>0</v>
      </c>
      <c r="K373">
        <v>3636</v>
      </c>
      <c r="L373">
        <v>7472</v>
      </c>
      <c r="M373">
        <v>6904</v>
      </c>
      <c r="N373">
        <f t="shared" si="10"/>
        <v>52610</v>
      </c>
      <c r="O373">
        <v>0</v>
      </c>
      <c r="P373">
        <v>3</v>
      </c>
      <c r="Q373">
        <v>6</v>
      </c>
      <c r="R373">
        <v>0</v>
      </c>
      <c r="S373">
        <v>5</v>
      </c>
      <c r="T373">
        <v>1</v>
      </c>
      <c r="U373">
        <v>2</v>
      </c>
      <c r="V373">
        <v>2</v>
      </c>
      <c r="W373">
        <v>13</v>
      </c>
      <c r="X373">
        <v>12</v>
      </c>
      <c r="Y373">
        <v>1</v>
      </c>
      <c r="Z373">
        <v>3</v>
      </c>
      <c r="AA373">
        <f t="shared" si="11"/>
        <v>48</v>
      </c>
      <c r="AB373" t="s">
        <v>45</v>
      </c>
      <c r="AC373">
        <v>28.19</v>
      </c>
      <c r="AD373">
        <v>14.33</v>
      </c>
      <c r="AE373">
        <v>98.04</v>
      </c>
      <c r="AF373">
        <v>52.44</v>
      </c>
      <c r="AG373">
        <v>42.2</v>
      </c>
      <c r="AH373">
        <v>133.27000000000001</v>
      </c>
      <c r="AI373">
        <v>37.299999999999997</v>
      </c>
      <c r="AJ373">
        <v>21.08</v>
      </c>
      <c r="AK373">
        <v>10.64</v>
      </c>
      <c r="AL373">
        <v>46.95</v>
      </c>
      <c r="AM373">
        <v>84.76</v>
      </c>
      <c r="AN373">
        <v>79.180000000000007</v>
      </c>
      <c r="AO373">
        <v>648.38000000000011</v>
      </c>
    </row>
    <row r="374" spans="1:41" x14ac:dyDescent="0.25">
      <c r="A374" t="s">
        <v>627</v>
      </c>
      <c r="B374">
        <v>1793</v>
      </c>
      <c r="C374">
        <v>4164</v>
      </c>
      <c r="D374">
        <v>1077</v>
      </c>
      <c r="E374">
        <v>856</v>
      </c>
      <c r="F374">
        <v>3403</v>
      </c>
      <c r="G374">
        <v>165</v>
      </c>
      <c r="H374">
        <v>1606</v>
      </c>
      <c r="I374">
        <v>4001</v>
      </c>
      <c r="J374">
        <v>11606</v>
      </c>
      <c r="K374">
        <v>7031</v>
      </c>
      <c r="L374">
        <v>512</v>
      </c>
      <c r="M374">
        <v>1788</v>
      </c>
      <c r="N374">
        <f t="shared" si="10"/>
        <v>38002</v>
      </c>
      <c r="O374">
        <v>2</v>
      </c>
      <c r="P374">
        <v>0</v>
      </c>
      <c r="Q374">
        <v>6</v>
      </c>
      <c r="R374">
        <v>9</v>
      </c>
      <c r="S374">
        <v>11</v>
      </c>
      <c r="T374">
        <v>0</v>
      </c>
      <c r="U374">
        <v>0</v>
      </c>
      <c r="V374">
        <v>12</v>
      </c>
      <c r="W374">
        <v>6</v>
      </c>
      <c r="X374">
        <v>9</v>
      </c>
      <c r="Y374">
        <v>1</v>
      </c>
      <c r="Z374">
        <v>3</v>
      </c>
      <c r="AA374">
        <f t="shared" si="11"/>
        <v>59</v>
      </c>
      <c r="AB374" t="s">
        <v>45</v>
      </c>
      <c r="AC374">
        <v>28.02</v>
      </c>
      <c r="AD374">
        <v>51.63</v>
      </c>
      <c r="AE374">
        <v>21.06</v>
      </c>
      <c r="AF374">
        <v>19</v>
      </c>
      <c r="AG374">
        <v>44.57</v>
      </c>
      <c r="AH374">
        <v>11.64</v>
      </c>
      <c r="AI374">
        <v>26.05</v>
      </c>
      <c r="AJ374">
        <v>50.6</v>
      </c>
      <c r="AK374">
        <v>126.35</v>
      </c>
      <c r="AL374">
        <v>80.75</v>
      </c>
      <c r="AM374">
        <v>15.16</v>
      </c>
      <c r="AN374">
        <v>28.02</v>
      </c>
      <c r="AO374">
        <v>502.85</v>
      </c>
    </row>
    <row r="375" spans="1:41" x14ac:dyDescent="0.25">
      <c r="A375" t="s">
        <v>630</v>
      </c>
      <c r="B375">
        <v>1789</v>
      </c>
      <c r="C375">
        <v>571</v>
      </c>
      <c r="D375">
        <v>5461</v>
      </c>
      <c r="E375">
        <v>6960</v>
      </c>
      <c r="F375">
        <v>4662</v>
      </c>
      <c r="G375">
        <v>2936</v>
      </c>
      <c r="H375">
        <v>1293</v>
      </c>
      <c r="I375">
        <v>5926</v>
      </c>
      <c r="J375">
        <v>5559</v>
      </c>
      <c r="K375">
        <v>2228</v>
      </c>
      <c r="L375">
        <v>1821</v>
      </c>
      <c r="M375">
        <v>2363</v>
      </c>
      <c r="N375">
        <f t="shared" si="10"/>
        <v>41569</v>
      </c>
      <c r="O375">
        <v>10</v>
      </c>
      <c r="P375">
        <v>9</v>
      </c>
      <c r="Q375">
        <v>2</v>
      </c>
      <c r="R375">
        <v>4</v>
      </c>
      <c r="S375">
        <v>2</v>
      </c>
      <c r="T375">
        <v>2</v>
      </c>
      <c r="U375">
        <v>8</v>
      </c>
      <c r="V375">
        <v>3</v>
      </c>
      <c r="W375">
        <v>12</v>
      </c>
      <c r="X375">
        <v>1</v>
      </c>
      <c r="Y375">
        <v>4</v>
      </c>
      <c r="Z375">
        <v>4</v>
      </c>
      <c r="AA375">
        <f t="shared" si="11"/>
        <v>61</v>
      </c>
      <c r="AB375" t="s">
        <v>45</v>
      </c>
      <c r="AC375">
        <v>28.38</v>
      </c>
      <c r="AD375">
        <v>16.149999999999999</v>
      </c>
      <c r="AE375">
        <v>64.7</v>
      </c>
      <c r="AF375">
        <v>79.790000000000006</v>
      </c>
      <c r="AG375">
        <v>56.71</v>
      </c>
      <c r="AH375">
        <v>39.450000000000003</v>
      </c>
      <c r="AI375">
        <v>23.32</v>
      </c>
      <c r="AJ375">
        <v>69.400000000000006</v>
      </c>
      <c r="AK375">
        <v>66.180000000000007</v>
      </c>
      <c r="AL375">
        <v>32.32</v>
      </c>
      <c r="AM375">
        <v>28.4</v>
      </c>
      <c r="AN375">
        <v>33.82</v>
      </c>
      <c r="AO375">
        <v>538.62</v>
      </c>
    </row>
    <row r="376" spans="1:41" x14ac:dyDescent="0.25">
      <c r="A376" t="s">
        <v>632</v>
      </c>
      <c r="B376">
        <v>1784</v>
      </c>
      <c r="C376">
        <v>1651</v>
      </c>
      <c r="D376">
        <v>2070</v>
      </c>
      <c r="E376">
        <v>3632</v>
      </c>
      <c r="F376">
        <v>982</v>
      </c>
      <c r="G376">
        <v>7359</v>
      </c>
      <c r="H376">
        <v>0</v>
      </c>
      <c r="I376">
        <v>2781</v>
      </c>
      <c r="J376">
        <v>16209</v>
      </c>
      <c r="K376">
        <v>2870</v>
      </c>
      <c r="L376">
        <v>9808</v>
      </c>
      <c r="M376">
        <v>869</v>
      </c>
      <c r="N376">
        <f t="shared" si="10"/>
        <v>50015</v>
      </c>
      <c r="O376">
        <v>2</v>
      </c>
      <c r="P376">
        <v>7</v>
      </c>
      <c r="Q376">
        <v>4</v>
      </c>
      <c r="R376">
        <v>7</v>
      </c>
      <c r="S376">
        <v>3</v>
      </c>
      <c r="T376">
        <v>1</v>
      </c>
      <c r="U376">
        <v>0</v>
      </c>
      <c r="V376">
        <v>3</v>
      </c>
      <c r="W376">
        <v>3</v>
      </c>
      <c r="X376">
        <v>6</v>
      </c>
      <c r="Y376">
        <v>4</v>
      </c>
      <c r="Z376">
        <v>3</v>
      </c>
      <c r="AA376">
        <f t="shared" si="11"/>
        <v>43</v>
      </c>
      <c r="AB376" t="s">
        <v>45</v>
      </c>
      <c r="AC376">
        <v>27.93</v>
      </c>
      <c r="AD376">
        <v>26.85</v>
      </c>
      <c r="AE376">
        <v>30.89</v>
      </c>
      <c r="AF376">
        <v>46.66</v>
      </c>
      <c r="AG376">
        <v>19.96</v>
      </c>
      <c r="AH376">
        <v>83.63</v>
      </c>
      <c r="AI376">
        <v>9.99</v>
      </c>
      <c r="AJ376">
        <v>37.950000000000003</v>
      </c>
      <c r="AK376">
        <v>172.23</v>
      </c>
      <c r="AL376">
        <v>38.99</v>
      </c>
      <c r="AM376">
        <v>108.27</v>
      </c>
      <c r="AN376">
        <v>18.829999999999998</v>
      </c>
      <c r="AO376">
        <v>622.18000000000006</v>
      </c>
    </row>
    <row r="377" spans="1:41" x14ac:dyDescent="0.25">
      <c r="A377" t="s">
        <v>633</v>
      </c>
      <c r="B377">
        <v>1775</v>
      </c>
      <c r="C377">
        <v>3435</v>
      </c>
      <c r="D377">
        <v>3680</v>
      </c>
      <c r="E377">
        <v>485</v>
      </c>
      <c r="F377">
        <v>262</v>
      </c>
      <c r="G377">
        <v>8349</v>
      </c>
      <c r="H377">
        <v>3628</v>
      </c>
      <c r="I377">
        <v>5258</v>
      </c>
      <c r="J377">
        <v>2592</v>
      </c>
      <c r="K377">
        <v>5298</v>
      </c>
      <c r="L377">
        <v>4105</v>
      </c>
      <c r="M377">
        <v>0</v>
      </c>
      <c r="N377">
        <f t="shared" si="10"/>
        <v>38867</v>
      </c>
      <c r="O377">
        <v>6</v>
      </c>
      <c r="P377">
        <v>11</v>
      </c>
      <c r="Q377">
        <v>6</v>
      </c>
      <c r="R377">
        <v>7</v>
      </c>
      <c r="S377">
        <v>6</v>
      </c>
      <c r="T377">
        <v>7</v>
      </c>
      <c r="U377">
        <v>4</v>
      </c>
      <c r="V377">
        <v>0</v>
      </c>
      <c r="W377">
        <v>3</v>
      </c>
      <c r="X377">
        <v>7</v>
      </c>
      <c r="Y377">
        <v>4</v>
      </c>
      <c r="Z377">
        <v>6</v>
      </c>
      <c r="AA377">
        <f t="shared" si="11"/>
        <v>67</v>
      </c>
      <c r="AB377" t="s">
        <v>45</v>
      </c>
      <c r="AC377">
        <v>28.04</v>
      </c>
      <c r="AD377">
        <v>44.89</v>
      </c>
      <c r="AE377">
        <v>47.09</v>
      </c>
      <c r="AF377">
        <v>15.19</v>
      </c>
      <c r="AG377">
        <v>12.91</v>
      </c>
      <c r="AH377">
        <v>93.83</v>
      </c>
      <c r="AI377">
        <v>46.47</v>
      </c>
      <c r="AJ377">
        <v>62.57</v>
      </c>
      <c r="AK377">
        <v>36.06</v>
      </c>
      <c r="AL377">
        <v>63.32</v>
      </c>
      <c r="AM377">
        <v>51.24</v>
      </c>
      <c r="AN377">
        <v>10.29</v>
      </c>
      <c r="AO377">
        <v>511.9</v>
      </c>
    </row>
    <row r="378" spans="1:41" x14ac:dyDescent="0.25">
      <c r="A378" t="s">
        <v>635</v>
      </c>
      <c r="B378">
        <v>1774</v>
      </c>
      <c r="C378">
        <v>1788</v>
      </c>
      <c r="D378">
        <v>5748</v>
      </c>
      <c r="E378">
        <v>1086</v>
      </c>
      <c r="F378">
        <v>5469</v>
      </c>
      <c r="G378">
        <v>1137</v>
      </c>
      <c r="H378">
        <v>2825</v>
      </c>
      <c r="I378">
        <v>5223</v>
      </c>
      <c r="J378">
        <v>8917</v>
      </c>
      <c r="K378">
        <v>1559</v>
      </c>
      <c r="L378">
        <v>4033</v>
      </c>
      <c r="M378">
        <v>1215</v>
      </c>
      <c r="N378">
        <f t="shared" si="10"/>
        <v>40774</v>
      </c>
      <c r="O378">
        <v>9</v>
      </c>
      <c r="P378">
        <v>7</v>
      </c>
      <c r="Q378">
        <v>1</v>
      </c>
      <c r="R378">
        <v>7</v>
      </c>
      <c r="S378">
        <v>12</v>
      </c>
      <c r="T378">
        <v>5</v>
      </c>
      <c r="U378">
        <v>2</v>
      </c>
      <c r="V378">
        <v>4</v>
      </c>
      <c r="W378">
        <v>5</v>
      </c>
      <c r="X378">
        <v>3</v>
      </c>
      <c r="Y378">
        <v>0</v>
      </c>
      <c r="Z378">
        <v>2</v>
      </c>
      <c r="AA378">
        <f t="shared" si="11"/>
        <v>57</v>
      </c>
      <c r="AB378" t="s">
        <v>45</v>
      </c>
      <c r="AC378">
        <v>28.18</v>
      </c>
      <c r="AD378">
        <v>28.22</v>
      </c>
      <c r="AE378">
        <v>67.52</v>
      </c>
      <c r="AF378">
        <v>21.2</v>
      </c>
      <c r="AG378">
        <v>65.28</v>
      </c>
      <c r="AH378">
        <v>21.61</v>
      </c>
      <c r="AI378">
        <v>38.340000000000003</v>
      </c>
      <c r="AJ378">
        <v>62.42</v>
      </c>
      <c r="AK378">
        <v>99.41</v>
      </c>
      <c r="AL378">
        <v>25.73</v>
      </c>
      <c r="AM378">
        <v>50.32</v>
      </c>
      <c r="AN378">
        <v>22.24</v>
      </c>
      <c r="AO378">
        <v>530.47</v>
      </c>
    </row>
    <row r="379" spans="1:41" x14ac:dyDescent="0.25">
      <c r="A379" t="s">
        <v>638</v>
      </c>
      <c r="B379">
        <v>1760</v>
      </c>
      <c r="C379">
        <v>4115</v>
      </c>
      <c r="D379">
        <v>0</v>
      </c>
      <c r="E379">
        <v>2449</v>
      </c>
      <c r="F379">
        <v>272</v>
      </c>
      <c r="G379">
        <v>1984</v>
      </c>
      <c r="H379">
        <v>2658</v>
      </c>
      <c r="I379">
        <v>7155</v>
      </c>
      <c r="J379">
        <v>3964</v>
      </c>
      <c r="K379">
        <v>1734</v>
      </c>
      <c r="L379">
        <v>7638</v>
      </c>
      <c r="M379">
        <v>3994</v>
      </c>
      <c r="N379">
        <f t="shared" si="10"/>
        <v>37723</v>
      </c>
      <c r="O379">
        <v>3</v>
      </c>
      <c r="P379">
        <v>0</v>
      </c>
      <c r="Q379">
        <v>2</v>
      </c>
      <c r="R379">
        <v>5</v>
      </c>
      <c r="S379">
        <v>0</v>
      </c>
      <c r="T379">
        <v>0</v>
      </c>
      <c r="U379">
        <v>4</v>
      </c>
      <c r="V379">
        <v>5</v>
      </c>
      <c r="W379">
        <v>6</v>
      </c>
      <c r="X379">
        <v>3</v>
      </c>
      <c r="Y379">
        <v>6</v>
      </c>
      <c r="Z379">
        <v>1</v>
      </c>
      <c r="AA379">
        <f t="shared" si="11"/>
        <v>35</v>
      </c>
      <c r="AB379" t="s">
        <v>45</v>
      </c>
      <c r="AC379">
        <v>27.74</v>
      </c>
      <c r="AD379">
        <v>51.14</v>
      </c>
      <c r="AE379">
        <v>10.09</v>
      </c>
      <c r="AF379">
        <v>34.729999999999997</v>
      </c>
      <c r="AG379">
        <v>12.71</v>
      </c>
      <c r="AH379">
        <v>29.83</v>
      </c>
      <c r="AI379">
        <v>36.770000000000003</v>
      </c>
      <c r="AJ379">
        <v>81.790000000000006</v>
      </c>
      <c r="AK379">
        <v>49.93</v>
      </c>
      <c r="AL379">
        <v>27.48</v>
      </c>
      <c r="AM379">
        <v>86.67</v>
      </c>
      <c r="AN379">
        <v>49.98</v>
      </c>
      <c r="AO379">
        <v>498.86000000000007</v>
      </c>
    </row>
    <row r="380" spans="1:41" x14ac:dyDescent="0.25">
      <c r="A380" t="s">
        <v>639</v>
      </c>
      <c r="B380">
        <v>1758</v>
      </c>
      <c r="C380">
        <v>1446</v>
      </c>
      <c r="D380">
        <v>5471</v>
      </c>
      <c r="E380">
        <v>12617</v>
      </c>
      <c r="F380">
        <v>1583</v>
      </c>
      <c r="G380">
        <v>4858</v>
      </c>
      <c r="H380">
        <v>1736</v>
      </c>
      <c r="I380">
        <v>10247</v>
      </c>
      <c r="J380">
        <v>3161</v>
      </c>
      <c r="K380">
        <v>5981</v>
      </c>
      <c r="L380">
        <v>120</v>
      </c>
      <c r="M380">
        <v>3253</v>
      </c>
      <c r="N380">
        <f t="shared" si="10"/>
        <v>52231</v>
      </c>
      <c r="O380">
        <v>11</v>
      </c>
      <c r="P380">
        <v>4</v>
      </c>
      <c r="Q380">
        <v>8</v>
      </c>
      <c r="R380">
        <v>3</v>
      </c>
      <c r="S380">
        <v>0</v>
      </c>
      <c r="T380">
        <v>0</v>
      </c>
      <c r="U380">
        <v>4</v>
      </c>
      <c r="V380">
        <v>2</v>
      </c>
      <c r="W380">
        <v>0</v>
      </c>
      <c r="X380">
        <v>3</v>
      </c>
      <c r="Y380">
        <v>0</v>
      </c>
      <c r="Z380">
        <v>3</v>
      </c>
      <c r="AA380">
        <f t="shared" si="11"/>
        <v>38</v>
      </c>
      <c r="AB380" t="s">
        <v>45</v>
      </c>
      <c r="AC380">
        <v>28.12</v>
      </c>
      <c r="AD380">
        <v>24.65</v>
      </c>
      <c r="AE380">
        <v>65.099999999999994</v>
      </c>
      <c r="AF380">
        <v>136.31</v>
      </c>
      <c r="AG380">
        <v>25.82</v>
      </c>
      <c r="AH380">
        <v>58.57</v>
      </c>
      <c r="AI380">
        <v>27.55</v>
      </c>
      <c r="AJ380">
        <v>112.56</v>
      </c>
      <c r="AK380">
        <v>41.6</v>
      </c>
      <c r="AL380">
        <v>69.95</v>
      </c>
      <c r="AM380">
        <v>11.19</v>
      </c>
      <c r="AN380">
        <v>42.67</v>
      </c>
      <c r="AO380">
        <v>644.09</v>
      </c>
    </row>
    <row r="381" spans="1:41" x14ac:dyDescent="0.25">
      <c r="A381" t="s">
        <v>641</v>
      </c>
      <c r="B381">
        <v>1720</v>
      </c>
      <c r="C381">
        <v>11549</v>
      </c>
      <c r="D381">
        <v>1363</v>
      </c>
      <c r="E381">
        <v>5778</v>
      </c>
      <c r="F381">
        <v>1741</v>
      </c>
      <c r="G381">
        <v>1828</v>
      </c>
      <c r="H381">
        <v>3698</v>
      </c>
      <c r="I381">
        <v>22945</v>
      </c>
      <c r="J381">
        <v>3009</v>
      </c>
      <c r="K381">
        <v>10136</v>
      </c>
      <c r="L381">
        <v>5450</v>
      </c>
      <c r="M381">
        <v>5631</v>
      </c>
      <c r="N381">
        <f t="shared" si="10"/>
        <v>74848</v>
      </c>
      <c r="O381">
        <v>3</v>
      </c>
      <c r="P381">
        <v>1</v>
      </c>
      <c r="Q381">
        <v>0</v>
      </c>
      <c r="R381">
        <v>8</v>
      </c>
      <c r="S381">
        <v>3</v>
      </c>
      <c r="T381">
        <v>5</v>
      </c>
      <c r="U381">
        <v>3</v>
      </c>
      <c r="V381">
        <v>11</v>
      </c>
      <c r="W381">
        <v>2</v>
      </c>
      <c r="X381">
        <v>2</v>
      </c>
      <c r="Y381">
        <v>7</v>
      </c>
      <c r="Z381">
        <v>7</v>
      </c>
      <c r="AA381">
        <f t="shared" si="11"/>
        <v>52</v>
      </c>
      <c r="AB381" t="s">
        <v>45</v>
      </c>
      <c r="AC381">
        <v>27.34</v>
      </c>
      <c r="AD381">
        <v>125.53</v>
      </c>
      <c r="AE381">
        <v>23.62</v>
      </c>
      <c r="AF381">
        <v>68.17</v>
      </c>
      <c r="AG381">
        <v>27.55</v>
      </c>
      <c r="AH381">
        <v>28.52</v>
      </c>
      <c r="AI381">
        <v>47.12</v>
      </c>
      <c r="AJ381">
        <v>239.99</v>
      </c>
      <c r="AK381">
        <v>40.18</v>
      </c>
      <c r="AL381">
        <v>111.45</v>
      </c>
      <c r="AM381">
        <v>64.84</v>
      </c>
      <c r="AN381">
        <v>66.650000000000006</v>
      </c>
      <c r="AO381">
        <v>870.96</v>
      </c>
    </row>
    <row r="382" spans="1:41" x14ac:dyDescent="0.25">
      <c r="A382" t="s">
        <v>643</v>
      </c>
      <c r="B382">
        <v>1718</v>
      </c>
      <c r="C382">
        <v>971</v>
      </c>
      <c r="D382">
        <v>18810</v>
      </c>
      <c r="E382">
        <v>841</v>
      </c>
      <c r="F382">
        <v>6284</v>
      </c>
      <c r="G382">
        <v>6900</v>
      </c>
      <c r="H382">
        <v>18811</v>
      </c>
      <c r="I382">
        <v>2800</v>
      </c>
      <c r="J382">
        <v>7623</v>
      </c>
      <c r="K382">
        <v>11364</v>
      </c>
      <c r="L382">
        <v>400</v>
      </c>
      <c r="M382">
        <v>3088</v>
      </c>
      <c r="N382">
        <f t="shared" si="10"/>
        <v>79610</v>
      </c>
      <c r="O382">
        <v>0</v>
      </c>
      <c r="P382">
        <v>3</v>
      </c>
      <c r="Q382">
        <v>16</v>
      </c>
      <c r="R382">
        <v>2</v>
      </c>
      <c r="S382">
        <v>8</v>
      </c>
      <c r="T382">
        <v>11</v>
      </c>
      <c r="U382">
        <v>13</v>
      </c>
      <c r="V382">
        <v>12</v>
      </c>
      <c r="W382">
        <v>2</v>
      </c>
      <c r="X382">
        <v>16</v>
      </c>
      <c r="Y382">
        <v>5</v>
      </c>
      <c r="Z382">
        <v>2</v>
      </c>
      <c r="AA382">
        <f t="shared" si="11"/>
        <v>90</v>
      </c>
      <c r="AB382" t="s">
        <v>45</v>
      </c>
      <c r="AC382">
        <v>27.17</v>
      </c>
      <c r="AD382">
        <v>19.850000000000001</v>
      </c>
      <c r="AE382">
        <v>198.89</v>
      </c>
      <c r="AF382">
        <v>18.5</v>
      </c>
      <c r="AG382">
        <v>73.23</v>
      </c>
      <c r="AH382">
        <v>79.540000000000006</v>
      </c>
      <c r="AI382">
        <v>198.75</v>
      </c>
      <c r="AJ382">
        <v>38.590000000000003</v>
      </c>
      <c r="AK382">
        <v>86.32</v>
      </c>
      <c r="AL382">
        <v>124.43</v>
      </c>
      <c r="AM382">
        <v>14.24</v>
      </c>
      <c r="AN382">
        <v>40.97</v>
      </c>
      <c r="AO382">
        <v>920.48000000000025</v>
      </c>
    </row>
    <row r="383" spans="1:41" x14ac:dyDescent="0.25">
      <c r="A383" t="s">
        <v>644</v>
      </c>
      <c r="B383">
        <v>1718</v>
      </c>
      <c r="C383">
        <v>5892</v>
      </c>
      <c r="D383">
        <v>7218</v>
      </c>
      <c r="E383">
        <v>1054</v>
      </c>
      <c r="F383">
        <v>1231</v>
      </c>
      <c r="G383">
        <v>4247</v>
      </c>
      <c r="H383">
        <v>5262</v>
      </c>
      <c r="I383">
        <v>11379</v>
      </c>
      <c r="J383">
        <v>0</v>
      </c>
      <c r="K383">
        <v>1367</v>
      </c>
      <c r="L383">
        <v>4441</v>
      </c>
      <c r="M383">
        <v>5401</v>
      </c>
      <c r="N383">
        <f t="shared" si="10"/>
        <v>49210</v>
      </c>
      <c r="O383">
        <v>14</v>
      </c>
      <c r="P383">
        <v>3</v>
      </c>
      <c r="Q383">
        <v>10</v>
      </c>
      <c r="R383">
        <v>8</v>
      </c>
      <c r="S383">
        <v>13</v>
      </c>
      <c r="T383">
        <v>5</v>
      </c>
      <c r="U383">
        <v>5</v>
      </c>
      <c r="V383">
        <v>4</v>
      </c>
      <c r="W383">
        <v>0</v>
      </c>
      <c r="X383">
        <v>4</v>
      </c>
      <c r="Y383">
        <v>2</v>
      </c>
      <c r="Z383">
        <v>18</v>
      </c>
      <c r="AA383">
        <f t="shared" si="11"/>
        <v>86</v>
      </c>
      <c r="AB383" t="s">
        <v>45</v>
      </c>
      <c r="AC383">
        <v>27.87</v>
      </c>
      <c r="AD383">
        <v>69.06</v>
      </c>
      <c r="AE383">
        <v>82.67</v>
      </c>
      <c r="AF383">
        <v>20.93</v>
      </c>
      <c r="AG383">
        <v>22.95</v>
      </c>
      <c r="AH383">
        <v>52.71</v>
      </c>
      <c r="AI383">
        <v>62.86</v>
      </c>
      <c r="AJ383">
        <v>123.98</v>
      </c>
      <c r="AK383">
        <v>9.99</v>
      </c>
      <c r="AL383">
        <v>23.86</v>
      </c>
      <c r="AM383">
        <v>54.5</v>
      </c>
      <c r="AN383">
        <v>64.900000000000006</v>
      </c>
      <c r="AO383">
        <v>616.28000000000009</v>
      </c>
    </row>
    <row r="384" spans="1:41" x14ac:dyDescent="0.25">
      <c r="A384" t="s">
        <v>646</v>
      </c>
      <c r="B384">
        <v>1707</v>
      </c>
      <c r="C384">
        <v>4598</v>
      </c>
      <c r="D384">
        <v>150</v>
      </c>
      <c r="E384">
        <v>708</v>
      </c>
      <c r="F384">
        <v>4052</v>
      </c>
      <c r="G384">
        <v>15119</v>
      </c>
      <c r="H384">
        <v>3375</v>
      </c>
      <c r="I384">
        <v>4691</v>
      </c>
      <c r="J384">
        <v>2046</v>
      </c>
      <c r="K384">
        <v>6359</v>
      </c>
      <c r="L384">
        <v>12796</v>
      </c>
      <c r="M384">
        <v>2077</v>
      </c>
      <c r="N384">
        <f t="shared" si="10"/>
        <v>57678</v>
      </c>
      <c r="O384">
        <v>4</v>
      </c>
      <c r="P384">
        <v>11</v>
      </c>
      <c r="Q384">
        <v>5</v>
      </c>
      <c r="R384">
        <v>4</v>
      </c>
      <c r="S384">
        <v>3</v>
      </c>
      <c r="T384">
        <v>1</v>
      </c>
      <c r="U384">
        <v>2</v>
      </c>
      <c r="V384">
        <v>2</v>
      </c>
      <c r="W384">
        <v>4</v>
      </c>
      <c r="X384">
        <v>2</v>
      </c>
      <c r="Y384">
        <v>2</v>
      </c>
      <c r="Z384">
        <v>17</v>
      </c>
      <c r="AA384">
        <f t="shared" si="11"/>
        <v>57</v>
      </c>
      <c r="AB384" t="s">
        <v>45</v>
      </c>
      <c r="AC384">
        <v>27.26</v>
      </c>
      <c r="AD384">
        <v>56.52</v>
      </c>
      <c r="AE384">
        <v>11.74</v>
      </c>
      <c r="AF384">
        <v>17.27</v>
      </c>
      <c r="AG384">
        <v>50.66</v>
      </c>
      <c r="AH384">
        <v>161.22999999999999</v>
      </c>
      <c r="AI384">
        <v>43.84</v>
      </c>
      <c r="AJ384">
        <v>57</v>
      </c>
      <c r="AK384">
        <v>30.65</v>
      </c>
      <c r="AL384">
        <v>73.680000000000007</v>
      </c>
      <c r="AM384">
        <v>138.05000000000001</v>
      </c>
      <c r="AN384">
        <v>31.61</v>
      </c>
      <c r="AO384">
        <v>699.50999999999988</v>
      </c>
    </row>
    <row r="385" spans="1:41" x14ac:dyDescent="0.25">
      <c r="A385" t="s">
        <v>647</v>
      </c>
      <c r="B385">
        <v>1703</v>
      </c>
      <c r="C385">
        <v>918</v>
      </c>
      <c r="D385">
        <v>5149</v>
      </c>
      <c r="E385">
        <v>3984</v>
      </c>
      <c r="F385">
        <v>8450</v>
      </c>
      <c r="G385">
        <v>2579</v>
      </c>
      <c r="H385">
        <v>3554</v>
      </c>
      <c r="I385">
        <v>7066</v>
      </c>
      <c r="J385">
        <v>18991</v>
      </c>
      <c r="K385">
        <v>12392</v>
      </c>
      <c r="L385">
        <v>3932</v>
      </c>
      <c r="M385">
        <v>1048</v>
      </c>
      <c r="N385">
        <f t="shared" si="10"/>
        <v>69766</v>
      </c>
      <c r="O385">
        <v>1</v>
      </c>
      <c r="P385">
        <v>1</v>
      </c>
      <c r="Q385">
        <v>11</v>
      </c>
      <c r="R385">
        <v>2</v>
      </c>
      <c r="S385">
        <v>9</v>
      </c>
      <c r="T385">
        <v>5</v>
      </c>
      <c r="U385">
        <v>1</v>
      </c>
      <c r="V385">
        <v>14</v>
      </c>
      <c r="W385">
        <v>2</v>
      </c>
      <c r="X385">
        <v>7</v>
      </c>
      <c r="Y385">
        <v>2</v>
      </c>
      <c r="Z385">
        <v>9</v>
      </c>
      <c r="AA385">
        <f t="shared" si="11"/>
        <v>64</v>
      </c>
      <c r="AB385" t="s">
        <v>45</v>
      </c>
      <c r="AC385">
        <v>27.07</v>
      </c>
      <c r="AD385">
        <v>19.22</v>
      </c>
      <c r="AE385">
        <v>62.03</v>
      </c>
      <c r="AF385">
        <v>49.93</v>
      </c>
      <c r="AG385">
        <v>94.94</v>
      </c>
      <c r="AH385">
        <v>36.03</v>
      </c>
      <c r="AI385">
        <v>45.58</v>
      </c>
      <c r="AJ385">
        <v>81.349999999999994</v>
      </c>
      <c r="AK385">
        <v>200</v>
      </c>
      <c r="AL385">
        <v>134.26</v>
      </c>
      <c r="AM385">
        <v>49.41</v>
      </c>
      <c r="AN385">
        <v>20.92</v>
      </c>
      <c r="AO385">
        <v>820.7399999999999</v>
      </c>
    </row>
    <row r="386" spans="1:41" x14ac:dyDescent="0.25">
      <c r="A386" t="s">
        <v>649</v>
      </c>
      <c r="B386">
        <v>1698</v>
      </c>
      <c r="C386">
        <v>6570</v>
      </c>
      <c r="D386">
        <v>1825</v>
      </c>
      <c r="E386">
        <v>1030</v>
      </c>
      <c r="F386">
        <v>1853</v>
      </c>
      <c r="G386">
        <v>852</v>
      </c>
      <c r="H386">
        <v>629</v>
      </c>
      <c r="I386">
        <v>729</v>
      </c>
      <c r="J386">
        <v>2532</v>
      </c>
      <c r="K386">
        <v>4137</v>
      </c>
      <c r="L386">
        <v>5874</v>
      </c>
      <c r="M386">
        <v>9268</v>
      </c>
      <c r="N386">
        <f t="shared" si="10"/>
        <v>36997</v>
      </c>
      <c r="O386">
        <v>11</v>
      </c>
      <c r="P386">
        <v>4</v>
      </c>
      <c r="Q386">
        <v>0</v>
      </c>
      <c r="R386">
        <v>5</v>
      </c>
      <c r="S386">
        <v>8</v>
      </c>
      <c r="T386">
        <v>1</v>
      </c>
      <c r="U386">
        <v>8</v>
      </c>
      <c r="V386">
        <v>9</v>
      </c>
      <c r="W386">
        <v>3</v>
      </c>
      <c r="X386">
        <v>16</v>
      </c>
      <c r="Y386">
        <v>2</v>
      </c>
      <c r="Z386">
        <v>2</v>
      </c>
      <c r="AA386">
        <f t="shared" si="11"/>
        <v>69</v>
      </c>
      <c r="AB386" t="s">
        <v>45</v>
      </c>
      <c r="AC386">
        <v>27.52</v>
      </c>
      <c r="AD386">
        <v>75.89</v>
      </c>
      <c r="AE386">
        <v>28.24</v>
      </c>
      <c r="AF386">
        <v>20.54</v>
      </c>
      <c r="AG386">
        <v>28.92</v>
      </c>
      <c r="AH386">
        <v>18.559999999999999</v>
      </c>
      <c r="AI386">
        <v>16.68</v>
      </c>
      <c r="AJ386">
        <v>17.73</v>
      </c>
      <c r="AK386">
        <v>35.46</v>
      </c>
      <c r="AL386">
        <v>52.16</v>
      </c>
      <c r="AM386">
        <v>68.83</v>
      </c>
      <c r="AN386">
        <v>102.77</v>
      </c>
      <c r="AO386">
        <v>493.3</v>
      </c>
    </row>
    <row r="387" spans="1:41" x14ac:dyDescent="0.25">
      <c r="A387" t="s">
        <v>651</v>
      </c>
      <c r="B387">
        <v>1672</v>
      </c>
      <c r="C387">
        <v>4613</v>
      </c>
      <c r="D387">
        <v>0</v>
      </c>
      <c r="E387">
        <v>7070</v>
      </c>
      <c r="F387">
        <v>4869</v>
      </c>
      <c r="G387">
        <v>307</v>
      </c>
      <c r="H387">
        <v>15052</v>
      </c>
      <c r="I387">
        <v>129</v>
      </c>
      <c r="J387">
        <v>8101</v>
      </c>
      <c r="K387">
        <v>1653</v>
      </c>
      <c r="L387">
        <v>5205</v>
      </c>
      <c r="M387">
        <v>2333</v>
      </c>
      <c r="N387">
        <f t="shared" si="10"/>
        <v>51004</v>
      </c>
      <c r="O387">
        <v>8</v>
      </c>
      <c r="P387">
        <v>11</v>
      </c>
      <c r="Q387">
        <v>2</v>
      </c>
      <c r="R387">
        <v>11</v>
      </c>
      <c r="S387">
        <v>2</v>
      </c>
      <c r="T387">
        <v>4</v>
      </c>
      <c r="U387">
        <v>1</v>
      </c>
      <c r="V387">
        <v>4</v>
      </c>
      <c r="W387">
        <v>18</v>
      </c>
      <c r="X387">
        <v>4</v>
      </c>
      <c r="Y387">
        <v>1</v>
      </c>
      <c r="Z387">
        <v>4</v>
      </c>
      <c r="AA387">
        <f t="shared" si="11"/>
        <v>70</v>
      </c>
      <c r="AB387" t="s">
        <v>45</v>
      </c>
      <c r="AC387">
        <v>27.11</v>
      </c>
      <c r="AD387">
        <v>56.67</v>
      </c>
      <c r="AE387">
        <v>10.09</v>
      </c>
      <c r="AF387">
        <v>81.239999999999995</v>
      </c>
      <c r="AG387">
        <v>58.78</v>
      </c>
      <c r="AH387">
        <v>13.26</v>
      </c>
      <c r="AI387">
        <v>160.56</v>
      </c>
      <c r="AJ387">
        <v>11.48</v>
      </c>
      <c r="AK387">
        <v>91.9</v>
      </c>
      <c r="AL387">
        <v>26.72</v>
      </c>
      <c r="AM387">
        <v>62.09</v>
      </c>
      <c r="AN387">
        <v>33.520000000000003</v>
      </c>
      <c r="AO387">
        <v>633.42000000000007</v>
      </c>
    </row>
    <row r="388" spans="1:41" x14ac:dyDescent="0.25">
      <c r="A388" t="s">
        <v>652</v>
      </c>
      <c r="B388">
        <v>1666</v>
      </c>
      <c r="C388">
        <v>682</v>
      </c>
      <c r="D388">
        <v>5719</v>
      </c>
      <c r="E388">
        <v>1740</v>
      </c>
      <c r="F388">
        <v>2418</v>
      </c>
      <c r="G388">
        <v>158</v>
      </c>
      <c r="H388">
        <v>9185</v>
      </c>
      <c r="I388">
        <v>2510</v>
      </c>
      <c r="J388">
        <v>526</v>
      </c>
      <c r="K388">
        <v>4332</v>
      </c>
      <c r="L388">
        <v>603</v>
      </c>
      <c r="M388">
        <v>9479</v>
      </c>
      <c r="N388">
        <f t="shared" ref="N388:N451" si="12">SUM(B388:M388)</f>
        <v>39018</v>
      </c>
      <c r="O388">
        <v>2</v>
      </c>
      <c r="P388">
        <v>0</v>
      </c>
      <c r="Q388">
        <v>0</v>
      </c>
      <c r="R388">
        <v>3</v>
      </c>
      <c r="S388">
        <v>5</v>
      </c>
      <c r="T388">
        <v>3</v>
      </c>
      <c r="U388">
        <v>4</v>
      </c>
      <c r="V388">
        <v>2</v>
      </c>
      <c r="W388">
        <v>4</v>
      </c>
      <c r="X388">
        <v>5</v>
      </c>
      <c r="Y388">
        <v>1</v>
      </c>
      <c r="Z388">
        <v>0</v>
      </c>
      <c r="AA388">
        <f t="shared" ref="AA388:AA451" si="13">SUM(O388:Z388)</f>
        <v>29</v>
      </c>
      <c r="AB388" t="s">
        <v>45</v>
      </c>
      <c r="AC388">
        <v>26.75</v>
      </c>
      <c r="AD388">
        <v>16.809999999999999</v>
      </c>
      <c r="AE388">
        <v>67.180000000000007</v>
      </c>
      <c r="AF388">
        <v>27.54</v>
      </c>
      <c r="AG388">
        <v>34.42</v>
      </c>
      <c r="AH388">
        <v>11.72</v>
      </c>
      <c r="AI388">
        <v>102.04</v>
      </c>
      <c r="AJ388">
        <v>35.19</v>
      </c>
      <c r="AK388">
        <v>15.45</v>
      </c>
      <c r="AL388">
        <v>53.56</v>
      </c>
      <c r="AM388">
        <v>16.07</v>
      </c>
      <c r="AN388">
        <v>104.78</v>
      </c>
      <c r="AO388">
        <v>511.51</v>
      </c>
    </row>
    <row r="389" spans="1:41" x14ac:dyDescent="0.25">
      <c r="A389" t="s">
        <v>653</v>
      </c>
      <c r="B389">
        <v>1665</v>
      </c>
      <c r="C389">
        <v>3468</v>
      </c>
      <c r="D389">
        <v>1700</v>
      </c>
      <c r="E389">
        <v>1850</v>
      </c>
      <c r="F389">
        <v>6481</v>
      </c>
      <c r="G389">
        <v>7417</v>
      </c>
      <c r="H389">
        <v>6680</v>
      </c>
      <c r="I389">
        <v>7027</v>
      </c>
      <c r="J389">
        <v>2840</v>
      </c>
      <c r="K389">
        <v>4231</v>
      </c>
      <c r="L389">
        <v>1954</v>
      </c>
      <c r="M389">
        <v>5869</v>
      </c>
      <c r="N389">
        <f t="shared" si="12"/>
        <v>51182</v>
      </c>
      <c r="O389">
        <v>4</v>
      </c>
      <c r="P389">
        <v>2</v>
      </c>
      <c r="Q389">
        <v>15</v>
      </c>
      <c r="R389">
        <v>2</v>
      </c>
      <c r="S389">
        <v>0</v>
      </c>
      <c r="T389">
        <v>1</v>
      </c>
      <c r="U389">
        <v>1</v>
      </c>
      <c r="V389">
        <v>1</v>
      </c>
      <c r="W389">
        <v>7</v>
      </c>
      <c r="X389">
        <v>14</v>
      </c>
      <c r="Y389">
        <v>1</v>
      </c>
      <c r="Z389">
        <v>4</v>
      </c>
      <c r="AA389">
        <f t="shared" si="13"/>
        <v>52</v>
      </c>
      <c r="AB389" t="s">
        <v>45</v>
      </c>
      <c r="AC389">
        <v>26.84</v>
      </c>
      <c r="AD389">
        <v>44.77</v>
      </c>
      <c r="AE389">
        <v>27.74</v>
      </c>
      <c r="AF389">
        <v>28.59</v>
      </c>
      <c r="AG389">
        <v>74.8</v>
      </c>
      <c r="AH389">
        <v>84.21</v>
      </c>
      <c r="AI389">
        <v>76.84</v>
      </c>
      <c r="AJ389">
        <v>80.31</v>
      </c>
      <c r="AK389">
        <v>38.74</v>
      </c>
      <c r="AL389">
        <v>53</v>
      </c>
      <c r="AM389">
        <v>29.58</v>
      </c>
      <c r="AN389">
        <v>68.88</v>
      </c>
      <c r="AO389">
        <v>634.29999999999995</v>
      </c>
    </row>
    <row r="390" spans="1:41" x14ac:dyDescent="0.25">
      <c r="A390" t="s">
        <v>655</v>
      </c>
      <c r="B390">
        <v>1636</v>
      </c>
      <c r="C390">
        <v>2405</v>
      </c>
      <c r="D390">
        <v>2032</v>
      </c>
      <c r="E390">
        <v>7140</v>
      </c>
      <c r="F390">
        <v>15958</v>
      </c>
      <c r="G390">
        <v>1650</v>
      </c>
      <c r="H390">
        <v>3416</v>
      </c>
      <c r="I390">
        <v>0</v>
      </c>
      <c r="J390">
        <v>826</v>
      </c>
      <c r="K390">
        <v>8327</v>
      </c>
      <c r="L390">
        <v>887</v>
      </c>
      <c r="M390">
        <v>4502</v>
      </c>
      <c r="N390">
        <f t="shared" si="12"/>
        <v>48779</v>
      </c>
      <c r="O390">
        <v>0</v>
      </c>
      <c r="P390">
        <v>2</v>
      </c>
      <c r="Q390">
        <v>6</v>
      </c>
      <c r="R390">
        <v>1</v>
      </c>
      <c r="S390">
        <v>1</v>
      </c>
      <c r="T390">
        <v>0</v>
      </c>
      <c r="U390">
        <v>7</v>
      </c>
      <c r="V390">
        <v>0</v>
      </c>
      <c r="W390">
        <v>2</v>
      </c>
      <c r="X390">
        <v>3</v>
      </c>
      <c r="Y390">
        <v>7</v>
      </c>
      <c r="Z390">
        <v>6</v>
      </c>
      <c r="AA390">
        <f t="shared" si="13"/>
        <v>35</v>
      </c>
      <c r="AB390" t="s">
        <v>45</v>
      </c>
      <c r="AC390">
        <v>26.35</v>
      </c>
      <c r="AD390">
        <v>34.14</v>
      </c>
      <c r="AE390">
        <v>30.61</v>
      </c>
      <c r="AF390">
        <v>81.44</v>
      </c>
      <c r="AG390">
        <v>169.62</v>
      </c>
      <c r="AH390">
        <v>26.49</v>
      </c>
      <c r="AI390">
        <v>44.5</v>
      </c>
      <c r="AJ390">
        <v>9.99</v>
      </c>
      <c r="AK390">
        <v>18.350000000000001</v>
      </c>
      <c r="AL390">
        <v>93.41</v>
      </c>
      <c r="AM390">
        <v>19.21</v>
      </c>
      <c r="AN390">
        <v>55.31</v>
      </c>
      <c r="AO390">
        <v>609.42000000000007</v>
      </c>
    </row>
    <row r="391" spans="1:41" x14ac:dyDescent="0.25">
      <c r="A391" t="s">
        <v>656</v>
      </c>
      <c r="B391">
        <v>1634</v>
      </c>
      <c r="C391">
        <v>2599</v>
      </c>
      <c r="D391">
        <v>1187</v>
      </c>
      <c r="E391">
        <v>8443</v>
      </c>
      <c r="F391">
        <v>865</v>
      </c>
      <c r="G391">
        <v>3281</v>
      </c>
      <c r="H391">
        <v>2113</v>
      </c>
      <c r="I391">
        <v>4863</v>
      </c>
      <c r="J391">
        <v>3262</v>
      </c>
      <c r="K391">
        <v>1418</v>
      </c>
      <c r="L391">
        <v>937</v>
      </c>
      <c r="M391">
        <v>9709</v>
      </c>
      <c r="N391">
        <f t="shared" si="12"/>
        <v>40311</v>
      </c>
      <c r="O391">
        <v>11</v>
      </c>
      <c r="P391">
        <v>5</v>
      </c>
      <c r="Q391">
        <v>6</v>
      </c>
      <c r="R391">
        <v>1</v>
      </c>
      <c r="S391">
        <v>9</v>
      </c>
      <c r="T391">
        <v>3</v>
      </c>
      <c r="U391">
        <v>7</v>
      </c>
      <c r="V391">
        <v>1</v>
      </c>
      <c r="W391">
        <v>14</v>
      </c>
      <c r="X391">
        <v>7</v>
      </c>
      <c r="Y391">
        <v>8</v>
      </c>
      <c r="Z391">
        <v>0</v>
      </c>
      <c r="AA391">
        <f t="shared" si="13"/>
        <v>72</v>
      </c>
      <c r="AB391" t="s">
        <v>45</v>
      </c>
      <c r="AC391">
        <v>26.88</v>
      </c>
      <c r="AD391">
        <v>36.229999999999997</v>
      </c>
      <c r="AE391">
        <v>22.16</v>
      </c>
      <c r="AF391">
        <v>94.47</v>
      </c>
      <c r="AG391">
        <v>19.09</v>
      </c>
      <c r="AH391">
        <v>42.95</v>
      </c>
      <c r="AI391">
        <v>31.47</v>
      </c>
      <c r="AJ391">
        <v>58.67</v>
      </c>
      <c r="AK391">
        <v>43.31</v>
      </c>
      <c r="AL391">
        <v>24.52</v>
      </c>
      <c r="AM391">
        <v>19.760000000000002</v>
      </c>
      <c r="AN391">
        <v>107.08</v>
      </c>
      <c r="AO391">
        <v>526.59</v>
      </c>
    </row>
    <row r="392" spans="1:41" x14ac:dyDescent="0.25">
      <c r="A392" t="s">
        <v>657</v>
      </c>
      <c r="B392">
        <v>1628</v>
      </c>
      <c r="C392">
        <v>5602</v>
      </c>
      <c r="D392">
        <v>648</v>
      </c>
      <c r="E392">
        <v>3847</v>
      </c>
      <c r="F392">
        <v>7097</v>
      </c>
      <c r="G392">
        <v>11698</v>
      </c>
      <c r="H392">
        <v>2096</v>
      </c>
      <c r="I392">
        <v>13556</v>
      </c>
      <c r="J392">
        <v>2175</v>
      </c>
      <c r="K392">
        <v>1542</v>
      </c>
      <c r="L392">
        <v>2821</v>
      </c>
      <c r="M392">
        <v>3403</v>
      </c>
      <c r="N392">
        <f t="shared" si="12"/>
        <v>56113</v>
      </c>
      <c r="O392">
        <v>2</v>
      </c>
      <c r="P392">
        <v>3</v>
      </c>
      <c r="Q392">
        <v>2</v>
      </c>
      <c r="R392">
        <v>6</v>
      </c>
      <c r="S392">
        <v>0</v>
      </c>
      <c r="T392">
        <v>12</v>
      </c>
      <c r="U392">
        <v>6</v>
      </c>
      <c r="V392">
        <v>0</v>
      </c>
      <c r="W392">
        <v>5</v>
      </c>
      <c r="X392">
        <v>3</v>
      </c>
      <c r="Y392">
        <v>2</v>
      </c>
      <c r="Z392">
        <v>6</v>
      </c>
      <c r="AA392">
        <f t="shared" si="13"/>
        <v>47</v>
      </c>
      <c r="AB392" t="s">
        <v>45</v>
      </c>
      <c r="AC392">
        <v>26.37</v>
      </c>
      <c r="AD392">
        <v>66.16</v>
      </c>
      <c r="AE392">
        <v>16.57</v>
      </c>
      <c r="AF392">
        <v>48.76</v>
      </c>
      <c r="AG392">
        <v>80.959999999999994</v>
      </c>
      <c r="AH392">
        <v>127.57</v>
      </c>
      <c r="AI392">
        <v>31.25</v>
      </c>
      <c r="AJ392">
        <v>145.55000000000001</v>
      </c>
      <c r="AK392">
        <v>31.99</v>
      </c>
      <c r="AL392">
        <v>25.56</v>
      </c>
      <c r="AM392">
        <v>38.299999999999997</v>
      </c>
      <c r="AN392">
        <v>44.32</v>
      </c>
      <c r="AO392">
        <v>683.36</v>
      </c>
    </row>
    <row r="393" spans="1:41" x14ac:dyDescent="0.25">
      <c r="A393" t="s">
        <v>658</v>
      </c>
      <c r="B393">
        <v>1626</v>
      </c>
      <c r="C393">
        <v>503</v>
      </c>
      <c r="D393">
        <v>2668</v>
      </c>
      <c r="E393">
        <v>126</v>
      </c>
      <c r="F393">
        <v>8488</v>
      </c>
      <c r="G393">
        <v>5388</v>
      </c>
      <c r="H393">
        <v>1434</v>
      </c>
      <c r="I393">
        <v>4259</v>
      </c>
      <c r="J393">
        <v>891</v>
      </c>
      <c r="K393">
        <v>4916</v>
      </c>
      <c r="L393">
        <v>6476</v>
      </c>
      <c r="M393">
        <v>5946</v>
      </c>
      <c r="N393">
        <f t="shared" si="12"/>
        <v>42721</v>
      </c>
      <c r="O393">
        <v>2</v>
      </c>
      <c r="P393">
        <v>3</v>
      </c>
      <c r="Q393">
        <v>0</v>
      </c>
      <c r="R393">
        <v>2</v>
      </c>
      <c r="S393">
        <v>4</v>
      </c>
      <c r="T393">
        <v>10</v>
      </c>
      <c r="U393">
        <v>12</v>
      </c>
      <c r="V393">
        <v>6</v>
      </c>
      <c r="W393">
        <v>1</v>
      </c>
      <c r="X393">
        <v>1</v>
      </c>
      <c r="Y393">
        <v>9</v>
      </c>
      <c r="Z393">
        <v>6</v>
      </c>
      <c r="AA393">
        <f t="shared" si="13"/>
        <v>56</v>
      </c>
      <c r="AB393" t="s">
        <v>45</v>
      </c>
      <c r="AC393">
        <v>26.35</v>
      </c>
      <c r="AD393">
        <v>15.17</v>
      </c>
      <c r="AE393">
        <v>36.67</v>
      </c>
      <c r="AF393">
        <v>11.35</v>
      </c>
      <c r="AG393">
        <v>95.07</v>
      </c>
      <c r="AH393">
        <v>64.37</v>
      </c>
      <c r="AI393">
        <v>24.93</v>
      </c>
      <c r="AJ393">
        <v>52.88</v>
      </c>
      <c r="AK393">
        <v>18.95</v>
      </c>
      <c r="AL393">
        <v>59.2</v>
      </c>
      <c r="AM393">
        <v>75.2</v>
      </c>
      <c r="AN393">
        <v>69.75</v>
      </c>
      <c r="AO393">
        <v>549.88999999999987</v>
      </c>
    </row>
    <row r="394" spans="1:41" x14ac:dyDescent="0.25">
      <c r="A394" t="s">
        <v>659</v>
      </c>
      <c r="B394">
        <v>1622</v>
      </c>
      <c r="C394">
        <v>2563</v>
      </c>
      <c r="D394">
        <v>3249</v>
      </c>
      <c r="E394">
        <v>11901</v>
      </c>
      <c r="F394">
        <v>2281</v>
      </c>
      <c r="G394">
        <v>4321</v>
      </c>
      <c r="H394">
        <v>3303</v>
      </c>
      <c r="I394">
        <v>166</v>
      </c>
      <c r="J394">
        <v>2605</v>
      </c>
      <c r="K394">
        <v>13136</v>
      </c>
      <c r="L394">
        <v>455</v>
      </c>
      <c r="M394">
        <v>1859</v>
      </c>
      <c r="N394">
        <f t="shared" si="12"/>
        <v>47461</v>
      </c>
      <c r="O394">
        <v>1</v>
      </c>
      <c r="P394">
        <v>5</v>
      </c>
      <c r="Q394">
        <v>2</v>
      </c>
      <c r="R394">
        <v>3</v>
      </c>
      <c r="S394">
        <v>6</v>
      </c>
      <c r="T394">
        <v>0</v>
      </c>
      <c r="U394">
        <v>7</v>
      </c>
      <c r="V394">
        <v>2</v>
      </c>
      <c r="W394">
        <v>3</v>
      </c>
      <c r="X394">
        <v>3</v>
      </c>
      <c r="Y394">
        <v>4</v>
      </c>
      <c r="Z394">
        <v>0</v>
      </c>
      <c r="AA394">
        <f t="shared" si="13"/>
        <v>36</v>
      </c>
      <c r="AB394" t="s">
        <v>45</v>
      </c>
      <c r="AC394">
        <v>26.26</v>
      </c>
      <c r="AD394">
        <v>35.869999999999997</v>
      </c>
      <c r="AE394">
        <v>42.58</v>
      </c>
      <c r="AF394">
        <v>129.15</v>
      </c>
      <c r="AG394">
        <v>33.1</v>
      </c>
      <c r="AH394">
        <v>53.2</v>
      </c>
      <c r="AI394">
        <v>43.37</v>
      </c>
      <c r="AJ394">
        <v>11.75</v>
      </c>
      <c r="AK394">
        <v>36.19</v>
      </c>
      <c r="AL394">
        <v>141.5</v>
      </c>
      <c r="AM394">
        <v>14.74</v>
      </c>
      <c r="AN394">
        <v>28.58</v>
      </c>
      <c r="AO394">
        <v>596.29000000000008</v>
      </c>
    </row>
    <row r="395" spans="1:41" x14ac:dyDescent="0.25">
      <c r="A395" t="s">
        <v>660</v>
      </c>
      <c r="B395">
        <v>1620</v>
      </c>
      <c r="C395">
        <v>7827</v>
      </c>
      <c r="D395">
        <v>733</v>
      </c>
      <c r="E395">
        <v>2068</v>
      </c>
      <c r="F395">
        <v>7411</v>
      </c>
      <c r="G395">
        <v>15782</v>
      </c>
      <c r="H395">
        <v>4186</v>
      </c>
      <c r="I395">
        <v>2044</v>
      </c>
      <c r="J395">
        <v>2187</v>
      </c>
      <c r="K395">
        <v>1097</v>
      </c>
      <c r="L395">
        <v>4183</v>
      </c>
      <c r="M395">
        <v>5770</v>
      </c>
      <c r="N395">
        <f t="shared" si="12"/>
        <v>54908</v>
      </c>
      <c r="O395">
        <v>3</v>
      </c>
      <c r="P395">
        <v>4</v>
      </c>
      <c r="Q395">
        <v>3</v>
      </c>
      <c r="R395">
        <v>3</v>
      </c>
      <c r="S395">
        <v>3</v>
      </c>
      <c r="T395">
        <v>1</v>
      </c>
      <c r="U395">
        <v>1</v>
      </c>
      <c r="V395">
        <v>2</v>
      </c>
      <c r="W395">
        <v>4</v>
      </c>
      <c r="X395">
        <v>5</v>
      </c>
      <c r="Y395">
        <v>12</v>
      </c>
      <c r="Z395">
        <v>4</v>
      </c>
      <c r="AA395">
        <f t="shared" si="13"/>
        <v>45</v>
      </c>
      <c r="AB395" t="s">
        <v>45</v>
      </c>
      <c r="AC395">
        <v>26.34</v>
      </c>
      <c r="AD395">
        <v>88.46</v>
      </c>
      <c r="AE395">
        <v>17.47</v>
      </c>
      <c r="AF395">
        <v>30.82</v>
      </c>
      <c r="AG395">
        <v>84.25</v>
      </c>
      <c r="AH395">
        <v>167.86</v>
      </c>
      <c r="AI395">
        <v>51.9</v>
      </c>
      <c r="AJ395">
        <v>30.53</v>
      </c>
      <c r="AK395">
        <v>32.06</v>
      </c>
      <c r="AL395">
        <v>21.21</v>
      </c>
      <c r="AM395">
        <v>52.42</v>
      </c>
      <c r="AN395">
        <v>67.89</v>
      </c>
      <c r="AO395">
        <v>671.21</v>
      </c>
    </row>
    <row r="396" spans="1:41" x14ac:dyDescent="0.25">
      <c r="A396" t="s">
        <v>662</v>
      </c>
      <c r="B396">
        <v>1615</v>
      </c>
      <c r="C396">
        <v>4268</v>
      </c>
      <c r="D396">
        <v>8458</v>
      </c>
      <c r="E396">
        <v>3801</v>
      </c>
      <c r="F396">
        <v>12199</v>
      </c>
      <c r="G396">
        <v>1945</v>
      </c>
      <c r="H396">
        <v>2742</v>
      </c>
      <c r="I396">
        <v>1416</v>
      </c>
      <c r="J396">
        <v>15006</v>
      </c>
      <c r="K396">
        <v>0</v>
      </c>
      <c r="L396">
        <v>1109</v>
      </c>
      <c r="M396">
        <v>670</v>
      </c>
      <c r="N396">
        <f t="shared" si="12"/>
        <v>53229</v>
      </c>
      <c r="O396">
        <v>4</v>
      </c>
      <c r="P396">
        <v>0</v>
      </c>
      <c r="Q396">
        <v>1</v>
      </c>
      <c r="R396">
        <v>32</v>
      </c>
      <c r="S396">
        <v>8</v>
      </c>
      <c r="T396">
        <v>9</v>
      </c>
      <c r="U396">
        <v>8</v>
      </c>
      <c r="V396">
        <v>2</v>
      </c>
      <c r="W396">
        <v>0</v>
      </c>
      <c r="X396">
        <v>1</v>
      </c>
      <c r="Y396">
        <v>3</v>
      </c>
      <c r="Z396">
        <v>0</v>
      </c>
      <c r="AA396">
        <f t="shared" si="13"/>
        <v>68</v>
      </c>
      <c r="AB396" t="s">
        <v>45</v>
      </c>
      <c r="AC396">
        <v>26.34</v>
      </c>
      <c r="AD396">
        <v>52.67</v>
      </c>
      <c r="AE396">
        <v>94.62</v>
      </c>
      <c r="AF396">
        <v>49.6</v>
      </c>
      <c r="AG396">
        <v>132.38</v>
      </c>
      <c r="AH396">
        <v>29.89</v>
      </c>
      <c r="AI396">
        <v>37.81</v>
      </c>
      <c r="AJ396">
        <v>24.25</v>
      </c>
      <c r="AK396">
        <v>160.05000000000001</v>
      </c>
      <c r="AL396">
        <v>10.039999999999999</v>
      </c>
      <c r="AM396">
        <v>21.23</v>
      </c>
      <c r="AN396">
        <v>16.690000000000001</v>
      </c>
      <c r="AO396">
        <v>655.57</v>
      </c>
    </row>
    <row r="397" spans="1:41" x14ac:dyDescent="0.25">
      <c r="A397" t="s">
        <v>665</v>
      </c>
      <c r="B397">
        <v>1598</v>
      </c>
      <c r="C397">
        <v>2338</v>
      </c>
      <c r="D397">
        <v>9456</v>
      </c>
      <c r="E397">
        <v>0</v>
      </c>
      <c r="F397">
        <v>6158</v>
      </c>
      <c r="G397">
        <v>464</v>
      </c>
      <c r="H397">
        <v>553</v>
      </c>
      <c r="I397">
        <v>710</v>
      </c>
      <c r="J397">
        <v>17748</v>
      </c>
      <c r="K397">
        <v>1073</v>
      </c>
      <c r="L397">
        <v>7818</v>
      </c>
      <c r="M397">
        <v>16762</v>
      </c>
      <c r="N397">
        <f t="shared" si="12"/>
        <v>64678</v>
      </c>
      <c r="O397">
        <v>10</v>
      </c>
      <c r="P397">
        <v>0</v>
      </c>
      <c r="Q397">
        <v>4</v>
      </c>
      <c r="R397">
        <v>1</v>
      </c>
      <c r="S397">
        <v>2</v>
      </c>
      <c r="T397">
        <v>7</v>
      </c>
      <c r="U397">
        <v>6</v>
      </c>
      <c r="V397">
        <v>2</v>
      </c>
      <c r="W397">
        <v>3</v>
      </c>
      <c r="X397">
        <v>2</v>
      </c>
      <c r="Y397">
        <v>3</v>
      </c>
      <c r="Z397">
        <v>5</v>
      </c>
      <c r="AA397">
        <f t="shared" si="13"/>
        <v>45</v>
      </c>
      <c r="AB397" t="s">
        <v>45</v>
      </c>
      <c r="AC397">
        <v>26.47</v>
      </c>
      <c r="AD397">
        <v>33.369999999999997</v>
      </c>
      <c r="AE397">
        <v>104.75</v>
      </c>
      <c r="AF397">
        <v>10.039999999999999</v>
      </c>
      <c r="AG397">
        <v>71.67</v>
      </c>
      <c r="AH397">
        <v>14.98</v>
      </c>
      <c r="AI397">
        <v>15.82</v>
      </c>
      <c r="AJ397">
        <v>17.190000000000001</v>
      </c>
      <c r="AK397">
        <v>187.62</v>
      </c>
      <c r="AL397">
        <v>20.82</v>
      </c>
      <c r="AM397">
        <v>88.32</v>
      </c>
      <c r="AN397">
        <v>177.86</v>
      </c>
      <c r="AO397">
        <v>768.91</v>
      </c>
    </row>
    <row r="398" spans="1:41" x14ac:dyDescent="0.25">
      <c r="A398" t="s">
        <v>667</v>
      </c>
      <c r="B398">
        <v>1584</v>
      </c>
      <c r="C398">
        <v>4894</v>
      </c>
      <c r="D398">
        <v>414</v>
      </c>
      <c r="E398">
        <v>1112</v>
      </c>
      <c r="F398">
        <v>2491</v>
      </c>
      <c r="G398">
        <v>2571</v>
      </c>
      <c r="H398">
        <v>308</v>
      </c>
      <c r="I398">
        <v>1663</v>
      </c>
      <c r="J398">
        <v>10560</v>
      </c>
      <c r="K398">
        <v>258</v>
      </c>
      <c r="L398">
        <v>907</v>
      </c>
      <c r="M398">
        <v>18129</v>
      </c>
      <c r="N398">
        <f t="shared" si="12"/>
        <v>44891</v>
      </c>
      <c r="O398">
        <v>11</v>
      </c>
      <c r="P398">
        <v>1</v>
      </c>
      <c r="Q398">
        <v>5</v>
      </c>
      <c r="R398">
        <v>0</v>
      </c>
      <c r="S398">
        <v>1</v>
      </c>
      <c r="T398">
        <v>3</v>
      </c>
      <c r="U398">
        <v>8</v>
      </c>
      <c r="V398">
        <v>2</v>
      </c>
      <c r="W398">
        <v>13</v>
      </c>
      <c r="X398">
        <v>5</v>
      </c>
      <c r="Y398">
        <v>3</v>
      </c>
      <c r="Z398">
        <v>3</v>
      </c>
      <c r="AA398">
        <f t="shared" si="13"/>
        <v>55</v>
      </c>
      <c r="AB398" t="s">
        <v>45</v>
      </c>
      <c r="AC398">
        <v>26.38</v>
      </c>
      <c r="AD398">
        <v>58.98</v>
      </c>
      <c r="AE398">
        <v>14.38</v>
      </c>
      <c r="AF398">
        <v>21.11</v>
      </c>
      <c r="AG398">
        <v>34.950000000000003</v>
      </c>
      <c r="AH398">
        <v>35.85</v>
      </c>
      <c r="AI398">
        <v>13.47</v>
      </c>
      <c r="AJ398">
        <v>26.72</v>
      </c>
      <c r="AK398">
        <v>116.24</v>
      </c>
      <c r="AL398">
        <v>12.82</v>
      </c>
      <c r="AM398">
        <v>19.21</v>
      </c>
      <c r="AN398">
        <v>191.43</v>
      </c>
      <c r="AO398">
        <v>571.54</v>
      </c>
    </row>
    <row r="399" spans="1:41" x14ac:dyDescent="0.25">
      <c r="A399" t="s">
        <v>670</v>
      </c>
      <c r="B399">
        <v>1569</v>
      </c>
      <c r="C399">
        <v>222</v>
      </c>
      <c r="D399">
        <v>4438</v>
      </c>
      <c r="E399">
        <v>1622</v>
      </c>
      <c r="F399">
        <v>4237</v>
      </c>
      <c r="G399">
        <v>4210</v>
      </c>
      <c r="H399">
        <v>2282</v>
      </c>
      <c r="I399">
        <v>10270</v>
      </c>
      <c r="J399">
        <v>88</v>
      </c>
      <c r="K399">
        <v>4899</v>
      </c>
      <c r="L399">
        <v>2219</v>
      </c>
      <c r="M399">
        <v>3943</v>
      </c>
      <c r="N399">
        <f t="shared" si="12"/>
        <v>39999</v>
      </c>
      <c r="O399">
        <v>2</v>
      </c>
      <c r="P399">
        <v>20</v>
      </c>
      <c r="Q399">
        <v>2</v>
      </c>
      <c r="R399">
        <v>18</v>
      </c>
      <c r="S399">
        <v>15</v>
      </c>
      <c r="T399">
        <v>8</v>
      </c>
      <c r="U399">
        <v>5</v>
      </c>
      <c r="V399">
        <v>4</v>
      </c>
      <c r="W399">
        <v>7</v>
      </c>
      <c r="X399">
        <v>3</v>
      </c>
      <c r="Y399">
        <v>1</v>
      </c>
      <c r="Z399">
        <v>6</v>
      </c>
      <c r="AA399">
        <f t="shared" si="13"/>
        <v>91</v>
      </c>
      <c r="AB399" t="s">
        <v>45</v>
      </c>
      <c r="AC399">
        <v>25.78</v>
      </c>
      <c r="AD399">
        <v>13.21</v>
      </c>
      <c r="AE399">
        <v>54.47</v>
      </c>
      <c r="AF399">
        <v>27.11</v>
      </c>
      <c r="AG399">
        <v>53.11</v>
      </c>
      <c r="AH399">
        <v>52.49</v>
      </c>
      <c r="AI399">
        <v>33.06</v>
      </c>
      <c r="AJ399">
        <v>112.89</v>
      </c>
      <c r="AK399">
        <v>11.22</v>
      </c>
      <c r="AL399">
        <v>59.13</v>
      </c>
      <c r="AM399">
        <v>32.229999999999997</v>
      </c>
      <c r="AN399">
        <v>49.72</v>
      </c>
      <c r="AO399">
        <v>524.42000000000007</v>
      </c>
    </row>
    <row r="400" spans="1:41" x14ac:dyDescent="0.25">
      <c r="A400" t="s">
        <v>671</v>
      </c>
      <c r="B400">
        <v>1569</v>
      </c>
      <c r="C400">
        <v>881</v>
      </c>
      <c r="D400">
        <v>981</v>
      </c>
      <c r="E400">
        <v>2039</v>
      </c>
      <c r="F400">
        <v>12924</v>
      </c>
      <c r="G400">
        <v>814</v>
      </c>
      <c r="H400">
        <v>6691</v>
      </c>
      <c r="I400">
        <v>4075</v>
      </c>
      <c r="J400">
        <v>154</v>
      </c>
      <c r="K400">
        <v>17044</v>
      </c>
      <c r="L400">
        <v>5540</v>
      </c>
      <c r="M400">
        <v>4493</v>
      </c>
      <c r="N400">
        <f t="shared" si="12"/>
        <v>57205</v>
      </c>
      <c r="O400">
        <v>14</v>
      </c>
      <c r="P400">
        <v>2</v>
      </c>
      <c r="Q400">
        <v>6</v>
      </c>
      <c r="R400">
        <v>4</v>
      </c>
      <c r="S400">
        <v>8</v>
      </c>
      <c r="T400">
        <v>3</v>
      </c>
      <c r="U400">
        <v>5</v>
      </c>
      <c r="V400">
        <v>8</v>
      </c>
      <c r="W400">
        <v>13</v>
      </c>
      <c r="X400">
        <v>4</v>
      </c>
      <c r="Y400">
        <v>4</v>
      </c>
      <c r="Z400">
        <v>5</v>
      </c>
      <c r="AA400">
        <f t="shared" si="13"/>
        <v>76</v>
      </c>
      <c r="AB400" t="s">
        <v>45</v>
      </c>
      <c r="AC400">
        <v>26.38</v>
      </c>
      <c r="AD400">
        <v>18.899999999999999</v>
      </c>
      <c r="AE400">
        <v>20.100000000000001</v>
      </c>
      <c r="AF400">
        <v>30.58</v>
      </c>
      <c r="AG400">
        <v>139.63</v>
      </c>
      <c r="AH400">
        <v>18.28</v>
      </c>
      <c r="AI400">
        <v>77.150000000000006</v>
      </c>
      <c r="AJ400">
        <v>51.14</v>
      </c>
      <c r="AK400">
        <v>12.18</v>
      </c>
      <c r="AL400">
        <v>180.63</v>
      </c>
      <c r="AM400">
        <v>65.59</v>
      </c>
      <c r="AN400">
        <v>55.17</v>
      </c>
      <c r="AO400">
        <v>695.73</v>
      </c>
    </row>
    <row r="401" spans="1:41" x14ac:dyDescent="0.25">
      <c r="A401" t="s">
        <v>673</v>
      </c>
      <c r="B401">
        <v>1552</v>
      </c>
      <c r="C401">
        <v>0</v>
      </c>
      <c r="D401">
        <v>1714</v>
      </c>
      <c r="E401">
        <v>2646</v>
      </c>
      <c r="F401">
        <v>0</v>
      </c>
      <c r="G401">
        <v>17</v>
      </c>
      <c r="H401">
        <v>1857</v>
      </c>
      <c r="I401">
        <v>12203</v>
      </c>
      <c r="J401">
        <v>4949</v>
      </c>
      <c r="K401">
        <v>671</v>
      </c>
      <c r="L401">
        <v>10875</v>
      </c>
      <c r="M401">
        <v>3402</v>
      </c>
      <c r="N401">
        <f t="shared" si="12"/>
        <v>39886</v>
      </c>
      <c r="O401">
        <v>10</v>
      </c>
      <c r="P401">
        <v>4</v>
      </c>
      <c r="Q401">
        <v>7</v>
      </c>
      <c r="R401">
        <v>5</v>
      </c>
      <c r="S401">
        <v>3</v>
      </c>
      <c r="T401">
        <v>2</v>
      </c>
      <c r="U401">
        <v>1</v>
      </c>
      <c r="V401">
        <v>7</v>
      </c>
      <c r="W401">
        <v>3</v>
      </c>
      <c r="X401">
        <v>2</v>
      </c>
      <c r="Y401">
        <v>4</v>
      </c>
      <c r="Z401">
        <v>3</v>
      </c>
      <c r="AA401">
        <f t="shared" si="13"/>
        <v>51</v>
      </c>
      <c r="AB401" t="s">
        <v>45</v>
      </c>
      <c r="AC401">
        <v>26.01</v>
      </c>
      <c r="AD401">
        <v>10.19</v>
      </c>
      <c r="AE401">
        <v>27.48</v>
      </c>
      <c r="AF401">
        <v>36.700000000000003</v>
      </c>
      <c r="AG401">
        <v>10.14</v>
      </c>
      <c r="AH401">
        <v>10.26</v>
      </c>
      <c r="AI401">
        <v>28.61</v>
      </c>
      <c r="AJ401">
        <v>132.37</v>
      </c>
      <c r="AK401">
        <v>59.63</v>
      </c>
      <c r="AL401">
        <v>16.8</v>
      </c>
      <c r="AM401">
        <v>118.94</v>
      </c>
      <c r="AN401">
        <v>44.16</v>
      </c>
      <c r="AO401">
        <v>521.29</v>
      </c>
    </row>
    <row r="402" spans="1:41" x14ac:dyDescent="0.25">
      <c r="A402" t="s">
        <v>679</v>
      </c>
      <c r="B402">
        <v>1513</v>
      </c>
      <c r="C402">
        <v>0</v>
      </c>
      <c r="D402">
        <v>9014</v>
      </c>
      <c r="E402">
        <v>2293</v>
      </c>
      <c r="F402">
        <v>3457</v>
      </c>
      <c r="G402">
        <v>0</v>
      </c>
      <c r="H402">
        <v>82</v>
      </c>
      <c r="I402">
        <v>2607</v>
      </c>
      <c r="J402">
        <v>8034</v>
      </c>
      <c r="K402">
        <v>3445</v>
      </c>
      <c r="L402">
        <v>7721</v>
      </c>
      <c r="M402">
        <v>5867</v>
      </c>
      <c r="N402">
        <f t="shared" si="12"/>
        <v>44033</v>
      </c>
      <c r="O402">
        <v>1</v>
      </c>
      <c r="P402">
        <v>2</v>
      </c>
      <c r="Q402">
        <v>2</v>
      </c>
      <c r="R402">
        <v>19</v>
      </c>
      <c r="S402">
        <v>13</v>
      </c>
      <c r="T402">
        <v>0</v>
      </c>
      <c r="U402">
        <v>7</v>
      </c>
      <c r="V402">
        <v>11</v>
      </c>
      <c r="W402">
        <v>2</v>
      </c>
      <c r="X402">
        <v>4</v>
      </c>
      <c r="Y402">
        <v>10</v>
      </c>
      <c r="Z402">
        <v>2</v>
      </c>
      <c r="AA402">
        <f t="shared" si="13"/>
        <v>73</v>
      </c>
      <c r="AB402" t="s">
        <v>45</v>
      </c>
      <c r="AC402">
        <v>25.17</v>
      </c>
      <c r="AD402">
        <v>10.09</v>
      </c>
      <c r="AE402">
        <v>100.23</v>
      </c>
      <c r="AF402">
        <v>33.869999999999997</v>
      </c>
      <c r="AG402">
        <v>45.21</v>
      </c>
      <c r="AH402">
        <v>9.99</v>
      </c>
      <c r="AI402">
        <v>11.16</v>
      </c>
      <c r="AJ402">
        <v>36.61</v>
      </c>
      <c r="AK402">
        <v>90.43</v>
      </c>
      <c r="AL402">
        <v>44.64</v>
      </c>
      <c r="AM402">
        <v>87.7</v>
      </c>
      <c r="AN402">
        <v>68.760000000000005</v>
      </c>
      <c r="AO402">
        <v>563.86</v>
      </c>
    </row>
    <row r="403" spans="1:41" x14ac:dyDescent="0.25">
      <c r="A403" t="s">
        <v>680</v>
      </c>
      <c r="B403">
        <v>1510</v>
      </c>
      <c r="C403">
        <v>1755</v>
      </c>
      <c r="D403">
        <v>13965</v>
      </c>
      <c r="E403">
        <v>5843</v>
      </c>
      <c r="F403">
        <v>5910</v>
      </c>
      <c r="G403">
        <v>2684</v>
      </c>
      <c r="H403">
        <v>2178</v>
      </c>
      <c r="I403">
        <v>884</v>
      </c>
      <c r="J403">
        <v>4145</v>
      </c>
      <c r="K403">
        <v>1603</v>
      </c>
      <c r="L403">
        <v>5061</v>
      </c>
      <c r="M403">
        <v>1962</v>
      </c>
      <c r="N403">
        <f t="shared" si="12"/>
        <v>47500</v>
      </c>
      <c r="O403">
        <v>3</v>
      </c>
      <c r="P403">
        <v>0</v>
      </c>
      <c r="Q403">
        <v>3</v>
      </c>
      <c r="R403">
        <v>1</v>
      </c>
      <c r="S403">
        <v>4</v>
      </c>
      <c r="T403">
        <v>0</v>
      </c>
      <c r="U403">
        <v>2</v>
      </c>
      <c r="V403">
        <v>5</v>
      </c>
      <c r="W403">
        <v>3</v>
      </c>
      <c r="X403">
        <v>7</v>
      </c>
      <c r="Y403">
        <v>1</v>
      </c>
      <c r="Z403">
        <v>2</v>
      </c>
      <c r="AA403">
        <f t="shared" si="13"/>
        <v>31</v>
      </c>
      <c r="AB403" t="s">
        <v>45</v>
      </c>
      <c r="AC403">
        <v>25.24</v>
      </c>
      <c r="AD403">
        <v>27.54</v>
      </c>
      <c r="AE403">
        <v>149.79</v>
      </c>
      <c r="AF403">
        <v>68.47</v>
      </c>
      <c r="AG403">
        <v>69.290000000000006</v>
      </c>
      <c r="AH403">
        <v>36.83</v>
      </c>
      <c r="AI403">
        <v>31.87</v>
      </c>
      <c r="AJ403">
        <v>19.079999999999998</v>
      </c>
      <c r="AK403">
        <v>51.59</v>
      </c>
      <c r="AL403">
        <v>26.37</v>
      </c>
      <c r="AM403">
        <v>60.65</v>
      </c>
      <c r="AN403">
        <v>29.71</v>
      </c>
      <c r="AO403">
        <v>596.42999999999995</v>
      </c>
    </row>
    <row r="404" spans="1:41" x14ac:dyDescent="0.25">
      <c r="A404" t="s">
        <v>681</v>
      </c>
      <c r="B404">
        <v>1505</v>
      </c>
      <c r="C404">
        <v>201</v>
      </c>
      <c r="D404">
        <v>575</v>
      </c>
      <c r="E404">
        <v>5152</v>
      </c>
      <c r="F404">
        <v>1470</v>
      </c>
      <c r="G404">
        <v>1399</v>
      </c>
      <c r="H404">
        <v>2230</v>
      </c>
      <c r="I404">
        <v>3749</v>
      </c>
      <c r="J404">
        <v>10020</v>
      </c>
      <c r="K404">
        <v>4303</v>
      </c>
      <c r="L404">
        <v>5004</v>
      </c>
      <c r="M404">
        <v>3719</v>
      </c>
      <c r="N404">
        <f t="shared" si="12"/>
        <v>39327</v>
      </c>
      <c r="O404">
        <v>2</v>
      </c>
      <c r="P404">
        <v>0</v>
      </c>
      <c r="Q404">
        <v>1</v>
      </c>
      <c r="R404">
        <v>3</v>
      </c>
      <c r="S404">
        <v>5</v>
      </c>
      <c r="T404">
        <v>3</v>
      </c>
      <c r="U404">
        <v>5</v>
      </c>
      <c r="V404">
        <v>1</v>
      </c>
      <c r="W404">
        <v>14</v>
      </c>
      <c r="X404">
        <v>7</v>
      </c>
      <c r="Y404">
        <v>6</v>
      </c>
      <c r="Z404">
        <v>9</v>
      </c>
      <c r="AA404">
        <f t="shared" si="13"/>
        <v>56</v>
      </c>
      <c r="AB404" t="s">
        <v>45</v>
      </c>
      <c r="AC404">
        <v>25.14</v>
      </c>
      <c r="AD404">
        <v>12</v>
      </c>
      <c r="AE404">
        <v>15.79</v>
      </c>
      <c r="AF404">
        <v>61.66</v>
      </c>
      <c r="AG404">
        <v>24.94</v>
      </c>
      <c r="AH404">
        <v>24.13</v>
      </c>
      <c r="AI404">
        <v>32.54</v>
      </c>
      <c r="AJ404">
        <v>47.53</v>
      </c>
      <c r="AK404">
        <v>110.89</v>
      </c>
      <c r="AL404">
        <v>53.37</v>
      </c>
      <c r="AM404">
        <v>60.33</v>
      </c>
      <c r="AN404">
        <v>47.63</v>
      </c>
      <c r="AO404">
        <v>515.95000000000005</v>
      </c>
    </row>
    <row r="405" spans="1:41" x14ac:dyDescent="0.25">
      <c r="A405" t="s">
        <v>682</v>
      </c>
      <c r="B405">
        <v>1502</v>
      </c>
      <c r="C405">
        <v>916</v>
      </c>
      <c r="D405">
        <v>6662</v>
      </c>
      <c r="E405">
        <v>10684</v>
      </c>
      <c r="F405">
        <v>2107</v>
      </c>
      <c r="G405">
        <v>3791</v>
      </c>
      <c r="H405">
        <v>2208</v>
      </c>
      <c r="I405">
        <v>2459</v>
      </c>
      <c r="J405">
        <v>7392</v>
      </c>
      <c r="K405">
        <v>522</v>
      </c>
      <c r="L405">
        <v>2920</v>
      </c>
      <c r="M405">
        <v>1831</v>
      </c>
      <c r="N405">
        <f t="shared" si="12"/>
        <v>42994</v>
      </c>
      <c r="O405">
        <v>5</v>
      </c>
      <c r="P405">
        <v>8</v>
      </c>
      <c r="Q405">
        <v>16</v>
      </c>
      <c r="R405">
        <v>2</v>
      </c>
      <c r="S405">
        <v>8</v>
      </c>
      <c r="T405">
        <v>8</v>
      </c>
      <c r="U405">
        <v>2</v>
      </c>
      <c r="V405">
        <v>13</v>
      </c>
      <c r="W405">
        <v>0</v>
      </c>
      <c r="X405">
        <v>1</v>
      </c>
      <c r="Y405">
        <v>9</v>
      </c>
      <c r="Z405">
        <v>2</v>
      </c>
      <c r="AA405">
        <f t="shared" si="13"/>
        <v>74</v>
      </c>
      <c r="AB405" t="s">
        <v>45</v>
      </c>
      <c r="AC405">
        <v>25.26</v>
      </c>
      <c r="AD405">
        <v>19.55</v>
      </c>
      <c r="AE405">
        <v>77.41</v>
      </c>
      <c r="AF405">
        <v>116.93</v>
      </c>
      <c r="AG405">
        <v>31.46</v>
      </c>
      <c r="AH405">
        <v>48.3</v>
      </c>
      <c r="AI405">
        <v>32.17</v>
      </c>
      <c r="AJ405">
        <v>35.229999999999997</v>
      </c>
      <c r="AK405">
        <v>83.91</v>
      </c>
      <c r="AL405">
        <v>15.26</v>
      </c>
      <c r="AM405">
        <v>39.64</v>
      </c>
      <c r="AN405">
        <v>28.4</v>
      </c>
      <c r="AO405">
        <v>553.52</v>
      </c>
    </row>
    <row r="406" spans="1:41" x14ac:dyDescent="0.25">
      <c r="A406" t="s">
        <v>683</v>
      </c>
      <c r="B406">
        <v>1495</v>
      </c>
      <c r="C406">
        <v>4381</v>
      </c>
      <c r="D406">
        <v>2291</v>
      </c>
      <c r="E406">
        <v>5809</v>
      </c>
      <c r="F406">
        <v>1565</v>
      </c>
      <c r="G406">
        <v>8966</v>
      </c>
      <c r="H406">
        <v>3146</v>
      </c>
      <c r="I406">
        <v>4205</v>
      </c>
      <c r="J406">
        <v>21249</v>
      </c>
      <c r="K406">
        <v>532</v>
      </c>
      <c r="L406">
        <v>4984</v>
      </c>
      <c r="M406">
        <v>1380</v>
      </c>
      <c r="N406">
        <f t="shared" si="12"/>
        <v>60003</v>
      </c>
      <c r="O406">
        <v>3</v>
      </c>
      <c r="P406">
        <v>1</v>
      </c>
      <c r="Q406">
        <v>3</v>
      </c>
      <c r="R406">
        <v>3</v>
      </c>
      <c r="S406">
        <v>10</v>
      </c>
      <c r="T406">
        <v>3</v>
      </c>
      <c r="U406">
        <v>10</v>
      </c>
      <c r="V406">
        <v>0</v>
      </c>
      <c r="W406">
        <v>6</v>
      </c>
      <c r="X406">
        <v>9</v>
      </c>
      <c r="Y406">
        <v>0</v>
      </c>
      <c r="Z406">
        <v>15</v>
      </c>
      <c r="AA406">
        <f t="shared" si="13"/>
        <v>63</v>
      </c>
      <c r="AB406" t="s">
        <v>45</v>
      </c>
      <c r="AC406">
        <v>25.09</v>
      </c>
      <c r="AD406">
        <v>53.85</v>
      </c>
      <c r="AE406">
        <v>33.049999999999997</v>
      </c>
      <c r="AF406">
        <v>68.23</v>
      </c>
      <c r="AG406">
        <v>26.14</v>
      </c>
      <c r="AH406">
        <v>99.8</v>
      </c>
      <c r="AI406">
        <v>41.95</v>
      </c>
      <c r="AJ406">
        <v>52.04</v>
      </c>
      <c r="AK406">
        <v>222.78</v>
      </c>
      <c r="AL406">
        <v>15.76</v>
      </c>
      <c r="AM406">
        <v>59.83</v>
      </c>
      <c r="AN406">
        <v>24.54</v>
      </c>
      <c r="AO406">
        <v>723.06000000000006</v>
      </c>
    </row>
    <row r="407" spans="1:41" x14ac:dyDescent="0.25">
      <c r="A407" t="s">
        <v>687</v>
      </c>
      <c r="B407">
        <v>1463</v>
      </c>
      <c r="C407">
        <v>3111</v>
      </c>
      <c r="D407">
        <v>13483</v>
      </c>
      <c r="E407">
        <v>867</v>
      </c>
      <c r="F407">
        <v>115</v>
      </c>
      <c r="G407">
        <v>844</v>
      </c>
      <c r="H407">
        <v>0</v>
      </c>
      <c r="I407">
        <v>1566</v>
      </c>
      <c r="J407">
        <v>5129</v>
      </c>
      <c r="K407">
        <v>0</v>
      </c>
      <c r="L407">
        <v>21130</v>
      </c>
      <c r="M407">
        <v>3336</v>
      </c>
      <c r="N407">
        <f t="shared" si="12"/>
        <v>51044</v>
      </c>
      <c r="O407">
        <v>2</v>
      </c>
      <c r="P407">
        <v>6</v>
      </c>
      <c r="Q407">
        <v>3</v>
      </c>
      <c r="R407">
        <v>3</v>
      </c>
      <c r="S407">
        <v>5</v>
      </c>
      <c r="T407">
        <v>6</v>
      </c>
      <c r="U407">
        <v>2</v>
      </c>
      <c r="V407">
        <v>3</v>
      </c>
      <c r="W407">
        <v>2</v>
      </c>
      <c r="X407">
        <v>3</v>
      </c>
      <c r="Y407">
        <v>4</v>
      </c>
      <c r="Z407">
        <v>4</v>
      </c>
      <c r="AA407">
        <f t="shared" si="13"/>
        <v>43</v>
      </c>
      <c r="AB407" t="s">
        <v>45</v>
      </c>
      <c r="AC407">
        <v>24.72</v>
      </c>
      <c r="AD407">
        <v>41.4</v>
      </c>
      <c r="AE407">
        <v>144.97</v>
      </c>
      <c r="AF407">
        <v>18.809999999999999</v>
      </c>
      <c r="AG407">
        <v>11.39</v>
      </c>
      <c r="AH407">
        <v>18.73</v>
      </c>
      <c r="AI407">
        <v>10.09</v>
      </c>
      <c r="AJ407">
        <v>25.8</v>
      </c>
      <c r="AK407">
        <v>61.38</v>
      </c>
      <c r="AL407">
        <v>10.14</v>
      </c>
      <c r="AM407">
        <v>221.49</v>
      </c>
      <c r="AN407">
        <v>43.55</v>
      </c>
      <c r="AO407">
        <v>632.47</v>
      </c>
    </row>
    <row r="408" spans="1:41" x14ac:dyDescent="0.25">
      <c r="A408" t="s">
        <v>688</v>
      </c>
      <c r="B408">
        <v>1459</v>
      </c>
      <c r="C408">
        <v>3288</v>
      </c>
      <c r="D408">
        <v>5988</v>
      </c>
      <c r="E408">
        <v>2320</v>
      </c>
      <c r="F408">
        <v>48</v>
      </c>
      <c r="G408">
        <v>1894</v>
      </c>
      <c r="H408">
        <v>2390</v>
      </c>
      <c r="I408">
        <v>2486</v>
      </c>
      <c r="J408">
        <v>2462</v>
      </c>
      <c r="K408">
        <v>737</v>
      </c>
      <c r="L408">
        <v>5780</v>
      </c>
      <c r="M408">
        <v>8400</v>
      </c>
      <c r="N408">
        <f t="shared" si="12"/>
        <v>37252</v>
      </c>
      <c r="O408">
        <v>5</v>
      </c>
      <c r="P408">
        <v>0</v>
      </c>
      <c r="Q408">
        <v>6</v>
      </c>
      <c r="R408">
        <v>1</v>
      </c>
      <c r="S408">
        <v>2</v>
      </c>
      <c r="T408">
        <v>4</v>
      </c>
      <c r="U408">
        <v>11</v>
      </c>
      <c r="V408">
        <v>0</v>
      </c>
      <c r="W408">
        <v>1</v>
      </c>
      <c r="X408">
        <v>8</v>
      </c>
      <c r="Y408">
        <v>2</v>
      </c>
      <c r="Z408">
        <v>11</v>
      </c>
      <c r="AA408">
        <f t="shared" si="13"/>
        <v>51</v>
      </c>
      <c r="AB408" t="s">
        <v>45</v>
      </c>
      <c r="AC408">
        <v>24.83</v>
      </c>
      <c r="AD408">
        <v>42.87</v>
      </c>
      <c r="AE408">
        <v>70.17</v>
      </c>
      <c r="AF408">
        <v>33.24</v>
      </c>
      <c r="AG408">
        <v>10.57</v>
      </c>
      <c r="AH408">
        <v>29.13</v>
      </c>
      <c r="AI408">
        <v>34.44</v>
      </c>
      <c r="AJ408">
        <v>34.85</v>
      </c>
      <c r="AK408">
        <v>34.659999999999997</v>
      </c>
      <c r="AL408">
        <v>17.760000000000002</v>
      </c>
      <c r="AM408">
        <v>67.89</v>
      </c>
      <c r="AN408">
        <v>94.54</v>
      </c>
      <c r="AO408">
        <v>494.95</v>
      </c>
    </row>
    <row r="409" spans="1:41" x14ac:dyDescent="0.25">
      <c r="A409" t="s">
        <v>689</v>
      </c>
      <c r="B409">
        <v>1450</v>
      </c>
      <c r="C409">
        <v>4285</v>
      </c>
      <c r="D409">
        <v>934</v>
      </c>
      <c r="E409">
        <v>108</v>
      </c>
      <c r="F409">
        <v>3106</v>
      </c>
      <c r="G409">
        <v>1620</v>
      </c>
      <c r="H409">
        <v>981</v>
      </c>
      <c r="I409">
        <v>14827</v>
      </c>
      <c r="J409">
        <v>1071</v>
      </c>
      <c r="K409">
        <v>9243</v>
      </c>
      <c r="L409">
        <v>401</v>
      </c>
      <c r="M409">
        <v>6187</v>
      </c>
      <c r="N409">
        <f t="shared" si="12"/>
        <v>44213</v>
      </c>
      <c r="O409">
        <v>2</v>
      </c>
      <c r="P409">
        <v>2</v>
      </c>
      <c r="Q409">
        <v>2</v>
      </c>
      <c r="R409">
        <v>3</v>
      </c>
      <c r="S409">
        <v>7</v>
      </c>
      <c r="T409">
        <v>9</v>
      </c>
      <c r="U409">
        <v>10</v>
      </c>
      <c r="V409">
        <v>8</v>
      </c>
      <c r="W409">
        <v>10</v>
      </c>
      <c r="X409">
        <v>3</v>
      </c>
      <c r="Y409">
        <v>8</v>
      </c>
      <c r="Z409">
        <v>3</v>
      </c>
      <c r="AA409">
        <f t="shared" si="13"/>
        <v>67</v>
      </c>
      <c r="AB409" t="s">
        <v>45</v>
      </c>
      <c r="AC409">
        <v>24.59</v>
      </c>
      <c r="AD409">
        <v>52.94</v>
      </c>
      <c r="AE409">
        <v>19.43</v>
      </c>
      <c r="AF409">
        <v>11.22</v>
      </c>
      <c r="AG409">
        <v>41.4</v>
      </c>
      <c r="AH409">
        <v>26.64</v>
      </c>
      <c r="AI409">
        <v>20.3</v>
      </c>
      <c r="AJ409">
        <v>158.66</v>
      </c>
      <c r="AK409">
        <v>21.2</v>
      </c>
      <c r="AL409">
        <v>102.57</v>
      </c>
      <c r="AM409">
        <v>14.4</v>
      </c>
      <c r="AN409">
        <v>72.010000000000005</v>
      </c>
      <c r="AO409">
        <v>565.36</v>
      </c>
    </row>
    <row r="410" spans="1:41" x14ac:dyDescent="0.25">
      <c r="A410" t="s">
        <v>690</v>
      </c>
      <c r="B410">
        <v>1447</v>
      </c>
      <c r="C410">
        <v>4407</v>
      </c>
      <c r="D410">
        <v>1438</v>
      </c>
      <c r="E410">
        <v>5716</v>
      </c>
      <c r="F410">
        <v>7883</v>
      </c>
      <c r="G410">
        <v>5478</v>
      </c>
      <c r="H410">
        <v>6409</v>
      </c>
      <c r="I410">
        <v>605</v>
      </c>
      <c r="J410">
        <v>8387</v>
      </c>
      <c r="K410">
        <v>4109</v>
      </c>
      <c r="L410">
        <v>6653</v>
      </c>
      <c r="M410">
        <v>4395</v>
      </c>
      <c r="N410">
        <f t="shared" si="12"/>
        <v>56927</v>
      </c>
      <c r="O410">
        <v>1</v>
      </c>
      <c r="P410">
        <v>1</v>
      </c>
      <c r="Q410">
        <v>6</v>
      </c>
      <c r="R410">
        <v>2</v>
      </c>
      <c r="S410">
        <v>1</v>
      </c>
      <c r="T410">
        <v>2</v>
      </c>
      <c r="U410">
        <v>13</v>
      </c>
      <c r="V410">
        <v>7</v>
      </c>
      <c r="W410">
        <v>2</v>
      </c>
      <c r="X410">
        <v>3</v>
      </c>
      <c r="Y410">
        <v>3</v>
      </c>
      <c r="Z410">
        <v>3</v>
      </c>
      <c r="AA410">
        <f t="shared" si="13"/>
        <v>44</v>
      </c>
      <c r="AB410" t="s">
        <v>45</v>
      </c>
      <c r="AC410">
        <v>24.51</v>
      </c>
      <c r="AD410">
        <v>54.11</v>
      </c>
      <c r="AE410">
        <v>24.67</v>
      </c>
      <c r="AF410">
        <v>67.25</v>
      </c>
      <c r="AG410">
        <v>88.87</v>
      </c>
      <c r="AH410">
        <v>64.87</v>
      </c>
      <c r="AI410">
        <v>74.73</v>
      </c>
      <c r="AJ410">
        <v>16.39</v>
      </c>
      <c r="AK410">
        <v>93.96</v>
      </c>
      <c r="AL410">
        <v>51.23</v>
      </c>
      <c r="AM410">
        <v>76.67</v>
      </c>
      <c r="AN410">
        <v>54.09</v>
      </c>
      <c r="AO410">
        <v>691.35</v>
      </c>
    </row>
    <row r="411" spans="1:41" x14ac:dyDescent="0.25">
      <c r="A411" t="s">
        <v>692</v>
      </c>
      <c r="B411">
        <v>1435</v>
      </c>
      <c r="C411">
        <v>3617</v>
      </c>
      <c r="D411">
        <v>2877</v>
      </c>
      <c r="E411">
        <v>4827</v>
      </c>
      <c r="F411">
        <v>4787</v>
      </c>
      <c r="G411">
        <v>5847</v>
      </c>
      <c r="H411">
        <v>2588</v>
      </c>
      <c r="I411">
        <v>1140</v>
      </c>
      <c r="J411">
        <v>10549</v>
      </c>
      <c r="K411">
        <v>0</v>
      </c>
      <c r="L411">
        <v>111</v>
      </c>
      <c r="M411">
        <v>1666</v>
      </c>
      <c r="N411">
        <f t="shared" si="12"/>
        <v>39444</v>
      </c>
      <c r="O411">
        <v>13</v>
      </c>
      <c r="P411">
        <v>5</v>
      </c>
      <c r="Q411">
        <v>5</v>
      </c>
      <c r="R411">
        <v>10</v>
      </c>
      <c r="S411">
        <v>0</v>
      </c>
      <c r="T411">
        <v>3</v>
      </c>
      <c r="U411">
        <v>2</v>
      </c>
      <c r="V411">
        <v>1</v>
      </c>
      <c r="W411">
        <v>4</v>
      </c>
      <c r="X411">
        <v>12</v>
      </c>
      <c r="Y411">
        <v>3</v>
      </c>
      <c r="Z411">
        <v>2</v>
      </c>
      <c r="AA411">
        <f t="shared" si="13"/>
        <v>60</v>
      </c>
      <c r="AB411" t="s">
        <v>45</v>
      </c>
      <c r="AC411">
        <v>24.99</v>
      </c>
      <c r="AD411">
        <v>46.41</v>
      </c>
      <c r="AE411">
        <v>39.01</v>
      </c>
      <c r="AF411">
        <v>58.76</v>
      </c>
      <c r="AG411">
        <v>57.86</v>
      </c>
      <c r="AH411">
        <v>68.61</v>
      </c>
      <c r="AI411">
        <v>35.97</v>
      </c>
      <c r="AJ411">
        <v>21.44</v>
      </c>
      <c r="AK411">
        <v>115.68</v>
      </c>
      <c r="AL411">
        <v>10.59</v>
      </c>
      <c r="AM411">
        <v>11.25</v>
      </c>
      <c r="AN411">
        <v>26.75</v>
      </c>
      <c r="AO411">
        <v>517.31999999999994</v>
      </c>
    </row>
    <row r="412" spans="1:41" x14ac:dyDescent="0.25">
      <c r="A412" t="s">
        <v>693</v>
      </c>
      <c r="B412">
        <v>1430</v>
      </c>
      <c r="C412">
        <v>1531</v>
      </c>
      <c r="D412">
        <v>0</v>
      </c>
      <c r="E412">
        <v>147</v>
      </c>
      <c r="F412">
        <v>11036</v>
      </c>
      <c r="G412">
        <v>4838</v>
      </c>
      <c r="H412">
        <v>3492</v>
      </c>
      <c r="I412">
        <v>10739</v>
      </c>
      <c r="J412">
        <v>4128</v>
      </c>
      <c r="K412">
        <v>5337</v>
      </c>
      <c r="L412">
        <v>2012</v>
      </c>
      <c r="M412">
        <v>2670</v>
      </c>
      <c r="N412">
        <f t="shared" si="12"/>
        <v>47360</v>
      </c>
      <c r="O412">
        <v>8</v>
      </c>
      <c r="P412">
        <v>0</v>
      </c>
      <c r="Q412">
        <v>4</v>
      </c>
      <c r="R412">
        <v>0</v>
      </c>
      <c r="S412">
        <v>13</v>
      </c>
      <c r="T412">
        <v>3</v>
      </c>
      <c r="U412">
        <v>3</v>
      </c>
      <c r="V412">
        <v>2</v>
      </c>
      <c r="W412">
        <v>0</v>
      </c>
      <c r="X412">
        <v>5</v>
      </c>
      <c r="Y412">
        <v>0</v>
      </c>
      <c r="Z412">
        <v>5</v>
      </c>
      <c r="AA412">
        <f t="shared" si="13"/>
        <v>43</v>
      </c>
      <c r="AB412" t="s">
        <v>45</v>
      </c>
      <c r="AC412">
        <v>24.69</v>
      </c>
      <c r="AD412">
        <v>25.3</v>
      </c>
      <c r="AE412">
        <v>10.19</v>
      </c>
      <c r="AF412">
        <v>11.46</v>
      </c>
      <c r="AG412">
        <v>121</v>
      </c>
      <c r="AH412">
        <v>58.52</v>
      </c>
      <c r="AI412">
        <v>45.06</v>
      </c>
      <c r="AJ412">
        <v>117.48</v>
      </c>
      <c r="AK412">
        <v>51.27</v>
      </c>
      <c r="AL412">
        <v>63.61</v>
      </c>
      <c r="AM412">
        <v>30.11</v>
      </c>
      <c r="AN412">
        <v>36.94</v>
      </c>
      <c r="AO412">
        <v>595.63000000000011</v>
      </c>
    </row>
    <row r="413" spans="1:41" x14ac:dyDescent="0.25">
      <c r="A413" t="s">
        <v>694</v>
      </c>
      <c r="B413">
        <v>1423</v>
      </c>
      <c r="C413">
        <v>10614</v>
      </c>
      <c r="D413">
        <v>1677</v>
      </c>
      <c r="E413">
        <v>0</v>
      </c>
      <c r="F413">
        <v>13100</v>
      </c>
      <c r="G413">
        <v>6271</v>
      </c>
      <c r="H413">
        <v>205</v>
      </c>
      <c r="I413">
        <v>1284</v>
      </c>
      <c r="J413">
        <v>7873</v>
      </c>
      <c r="K413">
        <v>1421</v>
      </c>
      <c r="L413">
        <v>2958</v>
      </c>
      <c r="M413">
        <v>2095</v>
      </c>
      <c r="N413">
        <f t="shared" si="12"/>
        <v>48921</v>
      </c>
      <c r="O413">
        <v>3</v>
      </c>
      <c r="P413">
        <v>7</v>
      </c>
      <c r="Q413">
        <v>1</v>
      </c>
      <c r="R413">
        <v>1</v>
      </c>
      <c r="S413">
        <v>3</v>
      </c>
      <c r="T413">
        <v>11</v>
      </c>
      <c r="U413">
        <v>4</v>
      </c>
      <c r="V413">
        <v>3</v>
      </c>
      <c r="W413">
        <v>6</v>
      </c>
      <c r="X413">
        <v>12</v>
      </c>
      <c r="Y413">
        <v>8</v>
      </c>
      <c r="Z413">
        <v>21</v>
      </c>
      <c r="AA413">
        <f t="shared" si="13"/>
        <v>80</v>
      </c>
      <c r="AB413" t="s">
        <v>45</v>
      </c>
      <c r="AC413">
        <v>24.37</v>
      </c>
      <c r="AD413">
        <v>116.48</v>
      </c>
      <c r="AE413">
        <v>26.81</v>
      </c>
      <c r="AF413">
        <v>10.039999999999999</v>
      </c>
      <c r="AG413">
        <v>141.13999999999999</v>
      </c>
      <c r="AH413">
        <v>73.25</v>
      </c>
      <c r="AI413">
        <v>12.24</v>
      </c>
      <c r="AJ413">
        <v>22.98</v>
      </c>
      <c r="AK413">
        <v>89.02</v>
      </c>
      <c r="AL413">
        <v>24.8</v>
      </c>
      <c r="AM413">
        <v>39.97</v>
      </c>
      <c r="AN413">
        <v>31.99</v>
      </c>
      <c r="AO413">
        <v>613.09</v>
      </c>
    </row>
    <row r="414" spans="1:41" x14ac:dyDescent="0.25">
      <c r="A414" t="s">
        <v>696</v>
      </c>
      <c r="B414">
        <v>1419</v>
      </c>
      <c r="C414">
        <v>1380</v>
      </c>
      <c r="D414">
        <v>5007</v>
      </c>
      <c r="E414">
        <v>2048</v>
      </c>
      <c r="F414">
        <v>4293</v>
      </c>
      <c r="G414">
        <v>6258</v>
      </c>
      <c r="H414">
        <v>1608</v>
      </c>
      <c r="I414">
        <v>2751</v>
      </c>
      <c r="J414">
        <v>5193</v>
      </c>
      <c r="K414">
        <v>5347</v>
      </c>
      <c r="L414">
        <v>2242</v>
      </c>
      <c r="M414">
        <v>994</v>
      </c>
      <c r="N414">
        <f t="shared" si="12"/>
        <v>38540</v>
      </c>
      <c r="O414">
        <v>3</v>
      </c>
      <c r="P414">
        <v>1</v>
      </c>
      <c r="Q414">
        <v>5</v>
      </c>
      <c r="R414">
        <v>7</v>
      </c>
      <c r="S414">
        <v>7</v>
      </c>
      <c r="T414">
        <v>1</v>
      </c>
      <c r="U414">
        <v>1</v>
      </c>
      <c r="V414">
        <v>2</v>
      </c>
      <c r="W414">
        <v>7</v>
      </c>
      <c r="X414">
        <v>6</v>
      </c>
      <c r="Y414">
        <v>9</v>
      </c>
      <c r="Z414">
        <v>2</v>
      </c>
      <c r="AA414">
        <f t="shared" si="13"/>
        <v>51</v>
      </c>
      <c r="AB414" t="s">
        <v>45</v>
      </c>
      <c r="AC414">
        <v>24.33</v>
      </c>
      <c r="AD414">
        <v>23.84</v>
      </c>
      <c r="AE414">
        <v>60.31</v>
      </c>
      <c r="AF414">
        <v>30.82</v>
      </c>
      <c r="AG414">
        <v>53.27</v>
      </c>
      <c r="AH414">
        <v>72.62</v>
      </c>
      <c r="AI414">
        <v>26.12</v>
      </c>
      <c r="AJ414">
        <v>37.6</v>
      </c>
      <c r="AK414">
        <v>62.27</v>
      </c>
      <c r="AL414">
        <v>63.76</v>
      </c>
      <c r="AM414">
        <v>32.86</v>
      </c>
      <c r="AN414">
        <v>20.03</v>
      </c>
      <c r="AO414">
        <v>507.83000000000004</v>
      </c>
    </row>
    <row r="415" spans="1:41" x14ac:dyDescent="0.25">
      <c r="A415" t="s">
        <v>697</v>
      </c>
      <c r="B415">
        <v>1415</v>
      </c>
      <c r="C415">
        <v>7349</v>
      </c>
      <c r="D415">
        <v>17888</v>
      </c>
      <c r="E415">
        <v>1367</v>
      </c>
      <c r="F415">
        <v>1075</v>
      </c>
      <c r="G415">
        <v>1523</v>
      </c>
      <c r="H415">
        <v>5520</v>
      </c>
      <c r="I415">
        <v>1008</v>
      </c>
      <c r="J415">
        <v>1882</v>
      </c>
      <c r="K415">
        <v>504</v>
      </c>
      <c r="L415">
        <v>621</v>
      </c>
      <c r="M415">
        <v>1229</v>
      </c>
      <c r="N415">
        <f t="shared" si="12"/>
        <v>41381</v>
      </c>
      <c r="O415">
        <v>0</v>
      </c>
      <c r="P415">
        <v>14</v>
      </c>
      <c r="Q415">
        <v>3</v>
      </c>
      <c r="R415">
        <v>4</v>
      </c>
      <c r="S415">
        <v>1</v>
      </c>
      <c r="T415">
        <v>4</v>
      </c>
      <c r="U415">
        <v>6</v>
      </c>
      <c r="V415">
        <v>6</v>
      </c>
      <c r="W415">
        <v>1</v>
      </c>
      <c r="X415">
        <v>3</v>
      </c>
      <c r="Y415">
        <v>0</v>
      </c>
      <c r="Z415">
        <v>5</v>
      </c>
      <c r="AA415">
        <f t="shared" si="13"/>
        <v>47</v>
      </c>
      <c r="AB415" t="s">
        <v>45</v>
      </c>
      <c r="AC415">
        <v>24.14</v>
      </c>
      <c r="AD415">
        <v>84.18</v>
      </c>
      <c r="AE415">
        <v>189.02</v>
      </c>
      <c r="AF415">
        <v>23.86</v>
      </c>
      <c r="AG415">
        <v>20.79</v>
      </c>
      <c r="AH415">
        <v>25.42</v>
      </c>
      <c r="AI415">
        <v>65.489999999999995</v>
      </c>
      <c r="AJ415">
        <v>20.37</v>
      </c>
      <c r="AK415">
        <v>28.86</v>
      </c>
      <c r="AL415">
        <v>15.18</v>
      </c>
      <c r="AM415">
        <v>16.2</v>
      </c>
      <c r="AN415">
        <v>22.53</v>
      </c>
      <c r="AO415">
        <v>536.04000000000008</v>
      </c>
    </row>
    <row r="416" spans="1:41" x14ac:dyDescent="0.25">
      <c r="A416" t="s">
        <v>698</v>
      </c>
      <c r="B416">
        <v>1410</v>
      </c>
      <c r="C416">
        <v>2117</v>
      </c>
      <c r="D416">
        <v>1109</v>
      </c>
      <c r="E416">
        <v>3163</v>
      </c>
      <c r="F416">
        <v>10020</v>
      </c>
      <c r="G416">
        <v>0</v>
      </c>
      <c r="H416">
        <v>2231</v>
      </c>
      <c r="I416">
        <v>564</v>
      </c>
      <c r="J416">
        <v>6145</v>
      </c>
      <c r="K416">
        <v>3812</v>
      </c>
      <c r="L416">
        <v>4887</v>
      </c>
      <c r="M416">
        <v>2692</v>
      </c>
      <c r="N416">
        <f t="shared" si="12"/>
        <v>38150</v>
      </c>
      <c r="O416">
        <v>3</v>
      </c>
      <c r="P416">
        <v>3</v>
      </c>
      <c r="Q416">
        <v>5</v>
      </c>
      <c r="R416">
        <v>4</v>
      </c>
      <c r="S416">
        <v>2</v>
      </c>
      <c r="T416">
        <v>4</v>
      </c>
      <c r="U416">
        <v>12</v>
      </c>
      <c r="V416">
        <v>3</v>
      </c>
      <c r="W416">
        <v>3</v>
      </c>
      <c r="X416">
        <v>5</v>
      </c>
      <c r="Y416">
        <v>5</v>
      </c>
      <c r="Z416">
        <v>9</v>
      </c>
      <c r="AA416">
        <f t="shared" si="13"/>
        <v>58</v>
      </c>
      <c r="AB416" t="s">
        <v>45</v>
      </c>
      <c r="AC416">
        <v>24.24</v>
      </c>
      <c r="AD416">
        <v>31.31</v>
      </c>
      <c r="AE416">
        <v>21.33</v>
      </c>
      <c r="AF416">
        <v>41.82</v>
      </c>
      <c r="AG416">
        <v>110.29</v>
      </c>
      <c r="AH416">
        <v>10.19</v>
      </c>
      <c r="AI416">
        <v>32.9</v>
      </c>
      <c r="AJ416">
        <v>15.78</v>
      </c>
      <c r="AK416">
        <v>71.59</v>
      </c>
      <c r="AL416">
        <v>48.36</v>
      </c>
      <c r="AM416">
        <v>59.11</v>
      </c>
      <c r="AN416">
        <v>37.36</v>
      </c>
      <c r="AO416">
        <v>504.28</v>
      </c>
    </row>
    <row r="417" spans="1:41" x14ac:dyDescent="0.25">
      <c r="A417" t="s">
        <v>700</v>
      </c>
      <c r="B417">
        <v>1410</v>
      </c>
      <c r="C417">
        <v>3523</v>
      </c>
      <c r="D417">
        <v>5650</v>
      </c>
      <c r="E417">
        <v>2448</v>
      </c>
      <c r="F417">
        <v>601</v>
      </c>
      <c r="G417">
        <v>1694</v>
      </c>
      <c r="H417">
        <v>5274</v>
      </c>
      <c r="I417">
        <v>5808</v>
      </c>
      <c r="J417">
        <v>640</v>
      </c>
      <c r="K417">
        <v>522</v>
      </c>
      <c r="L417">
        <v>9201</v>
      </c>
      <c r="M417">
        <v>0</v>
      </c>
      <c r="N417">
        <f t="shared" si="12"/>
        <v>36771</v>
      </c>
      <c r="O417">
        <v>2</v>
      </c>
      <c r="P417">
        <v>2</v>
      </c>
      <c r="Q417">
        <v>3</v>
      </c>
      <c r="R417">
        <v>10</v>
      </c>
      <c r="S417">
        <v>20</v>
      </c>
      <c r="T417">
        <v>2</v>
      </c>
      <c r="U417">
        <v>5</v>
      </c>
      <c r="V417">
        <v>2</v>
      </c>
      <c r="W417">
        <v>2</v>
      </c>
      <c r="X417">
        <v>6</v>
      </c>
      <c r="Y417">
        <v>10</v>
      </c>
      <c r="Z417">
        <v>0</v>
      </c>
      <c r="AA417">
        <f t="shared" si="13"/>
        <v>64</v>
      </c>
      <c r="AB417" t="s">
        <v>45</v>
      </c>
      <c r="AC417">
        <v>24.19</v>
      </c>
      <c r="AD417">
        <v>45.32</v>
      </c>
      <c r="AE417">
        <v>66.64</v>
      </c>
      <c r="AF417">
        <v>34.97</v>
      </c>
      <c r="AG417">
        <v>17</v>
      </c>
      <c r="AH417">
        <v>27.03</v>
      </c>
      <c r="AI417">
        <v>62.98</v>
      </c>
      <c r="AJ417">
        <v>68.17</v>
      </c>
      <c r="AK417">
        <v>16.489999999999998</v>
      </c>
      <c r="AL417">
        <v>15.51</v>
      </c>
      <c r="AM417">
        <v>102.5</v>
      </c>
      <c r="AN417">
        <v>9.99</v>
      </c>
      <c r="AO417">
        <v>490.79</v>
      </c>
    </row>
    <row r="418" spans="1:41" x14ac:dyDescent="0.25">
      <c r="A418" t="s">
        <v>701</v>
      </c>
      <c r="B418">
        <v>1401</v>
      </c>
      <c r="C418">
        <v>353</v>
      </c>
      <c r="D418">
        <v>2427</v>
      </c>
      <c r="E418">
        <v>4072</v>
      </c>
      <c r="F418">
        <v>4846</v>
      </c>
      <c r="G418">
        <v>10068</v>
      </c>
      <c r="H418">
        <v>6994</v>
      </c>
      <c r="I418">
        <v>1079</v>
      </c>
      <c r="J418">
        <v>2047</v>
      </c>
      <c r="K418">
        <v>4646</v>
      </c>
      <c r="L418">
        <v>7942</v>
      </c>
      <c r="M418">
        <v>2091</v>
      </c>
      <c r="N418">
        <f t="shared" si="12"/>
        <v>47966</v>
      </c>
      <c r="O418">
        <v>5</v>
      </c>
      <c r="P418">
        <v>0</v>
      </c>
      <c r="Q418">
        <v>0</v>
      </c>
      <c r="R418">
        <v>2</v>
      </c>
      <c r="S418">
        <v>5</v>
      </c>
      <c r="T418">
        <v>3</v>
      </c>
      <c r="U418">
        <v>4</v>
      </c>
      <c r="V418">
        <v>2</v>
      </c>
      <c r="W418">
        <v>11</v>
      </c>
      <c r="X418">
        <v>11</v>
      </c>
      <c r="Y418">
        <v>4</v>
      </c>
      <c r="Z418">
        <v>3</v>
      </c>
      <c r="AA418">
        <f t="shared" si="13"/>
        <v>50</v>
      </c>
      <c r="AB418" t="s">
        <v>45</v>
      </c>
      <c r="AC418">
        <v>24.25</v>
      </c>
      <c r="AD418">
        <v>13.52</v>
      </c>
      <c r="AE418">
        <v>34.26</v>
      </c>
      <c r="AF418">
        <v>50.81</v>
      </c>
      <c r="AG418">
        <v>58.7</v>
      </c>
      <c r="AH418">
        <v>110.82</v>
      </c>
      <c r="AI418">
        <v>80.13</v>
      </c>
      <c r="AJ418">
        <v>20.88</v>
      </c>
      <c r="AK418">
        <v>31.01</v>
      </c>
      <c r="AL418">
        <v>57</v>
      </c>
      <c r="AM418">
        <v>89.61</v>
      </c>
      <c r="AN418">
        <v>31.05</v>
      </c>
      <c r="AO418">
        <v>602.04</v>
      </c>
    </row>
    <row r="419" spans="1:41" x14ac:dyDescent="0.25">
      <c r="A419" t="s">
        <v>702</v>
      </c>
      <c r="B419">
        <v>1393</v>
      </c>
      <c r="C419">
        <v>3154</v>
      </c>
      <c r="D419">
        <v>905</v>
      </c>
      <c r="E419">
        <v>395</v>
      </c>
      <c r="F419">
        <v>0</v>
      </c>
      <c r="G419">
        <v>2506</v>
      </c>
      <c r="H419">
        <v>15000</v>
      </c>
      <c r="I419">
        <v>444</v>
      </c>
      <c r="J419">
        <v>3595</v>
      </c>
      <c r="K419">
        <v>5113</v>
      </c>
      <c r="L419">
        <v>0</v>
      </c>
      <c r="M419">
        <v>7414</v>
      </c>
      <c r="N419">
        <f t="shared" si="12"/>
        <v>39919</v>
      </c>
      <c r="O419">
        <v>0</v>
      </c>
      <c r="P419">
        <v>4</v>
      </c>
      <c r="Q419">
        <v>1</v>
      </c>
      <c r="R419">
        <v>0</v>
      </c>
      <c r="S419">
        <v>5</v>
      </c>
      <c r="T419">
        <v>20</v>
      </c>
      <c r="U419">
        <v>2</v>
      </c>
      <c r="V419">
        <v>4</v>
      </c>
      <c r="W419">
        <v>6</v>
      </c>
      <c r="X419">
        <v>3</v>
      </c>
      <c r="Y419">
        <v>4</v>
      </c>
      <c r="Z419">
        <v>6</v>
      </c>
      <c r="AA419">
        <f t="shared" si="13"/>
        <v>55</v>
      </c>
      <c r="AB419" t="s">
        <v>45</v>
      </c>
      <c r="AC419">
        <v>23.92</v>
      </c>
      <c r="AD419">
        <v>41.73</v>
      </c>
      <c r="AE419">
        <v>19.09</v>
      </c>
      <c r="AF419">
        <v>13.94</v>
      </c>
      <c r="AG419">
        <v>10.24</v>
      </c>
      <c r="AH419">
        <v>36.049999999999997</v>
      </c>
      <c r="AI419">
        <v>160.09</v>
      </c>
      <c r="AJ419">
        <v>14.63</v>
      </c>
      <c r="AK419">
        <v>46.24</v>
      </c>
      <c r="AL419">
        <v>61.27</v>
      </c>
      <c r="AM419">
        <v>10.19</v>
      </c>
      <c r="AN419">
        <v>84.43</v>
      </c>
      <c r="AO419">
        <v>521.81999999999994</v>
      </c>
    </row>
    <row r="420" spans="1:41" x14ac:dyDescent="0.25">
      <c r="A420" t="s">
        <v>704</v>
      </c>
      <c r="B420">
        <v>1389</v>
      </c>
      <c r="C420">
        <v>2151</v>
      </c>
      <c r="D420">
        <v>1247</v>
      </c>
      <c r="E420">
        <v>10413</v>
      </c>
      <c r="F420">
        <v>2686</v>
      </c>
      <c r="G420">
        <v>7526</v>
      </c>
      <c r="H420">
        <v>6093</v>
      </c>
      <c r="I420">
        <v>3521</v>
      </c>
      <c r="J420">
        <v>2480</v>
      </c>
      <c r="K420">
        <v>121</v>
      </c>
      <c r="L420">
        <v>3562</v>
      </c>
      <c r="M420">
        <v>1332</v>
      </c>
      <c r="N420">
        <f t="shared" si="12"/>
        <v>42521</v>
      </c>
      <c r="O420">
        <v>7</v>
      </c>
      <c r="P420">
        <v>1</v>
      </c>
      <c r="Q420">
        <v>3</v>
      </c>
      <c r="R420">
        <v>4</v>
      </c>
      <c r="S420">
        <v>11</v>
      </c>
      <c r="T420">
        <v>2</v>
      </c>
      <c r="U420">
        <v>3</v>
      </c>
      <c r="V420">
        <v>6</v>
      </c>
      <c r="W420">
        <v>4</v>
      </c>
      <c r="X420">
        <v>0</v>
      </c>
      <c r="Y420">
        <v>15</v>
      </c>
      <c r="Z420">
        <v>3</v>
      </c>
      <c r="AA420">
        <f t="shared" si="13"/>
        <v>59</v>
      </c>
      <c r="AB420" t="s">
        <v>45</v>
      </c>
      <c r="AC420">
        <v>24.23</v>
      </c>
      <c r="AD420">
        <v>31.55</v>
      </c>
      <c r="AE420">
        <v>22.61</v>
      </c>
      <c r="AF420">
        <v>114.32</v>
      </c>
      <c r="AG420">
        <v>37.4</v>
      </c>
      <c r="AH420">
        <v>85.35</v>
      </c>
      <c r="AI420">
        <v>71.069999999999993</v>
      </c>
      <c r="AJ420">
        <v>45.5</v>
      </c>
      <c r="AK420">
        <v>34.99</v>
      </c>
      <c r="AL420">
        <v>11.2</v>
      </c>
      <c r="AM420">
        <v>46.36</v>
      </c>
      <c r="AN420">
        <v>23.46</v>
      </c>
      <c r="AO420">
        <v>548.04</v>
      </c>
    </row>
    <row r="421" spans="1:41" x14ac:dyDescent="0.25">
      <c r="A421" t="s">
        <v>705</v>
      </c>
      <c r="B421">
        <v>1384</v>
      </c>
      <c r="C421">
        <v>3477</v>
      </c>
      <c r="D421">
        <v>938</v>
      </c>
      <c r="E421">
        <v>1148</v>
      </c>
      <c r="F421">
        <v>3123</v>
      </c>
      <c r="G421">
        <v>21307</v>
      </c>
      <c r="H421">
        <v>2804</v>
      </c>
      <c r="I421">
        <v>1490</v>
      </c>
      <c r="J421">
        <v>2852</v>
      </c>
      <c r="K421">
        <v>1474</v>
      </c>
      <c r="L421">
        <v>0</v>
      </c>
      <c r="M421">
        <v>806</v>
      </c>
      <c r="N421">
        <f t="shared" si="12"/>
        <v>40803</v>
      </c>
      <c r="O421">
        <v>3</v>
      </c>
      <c r="P421">
        <v>0</v>
      </c>
      <c r="Q421">
        <v>3</v>
      </c>
      <c r="R421">
        <v>3</v>
      </c>
      <c r="S421">
        <v>6</v>
      </c>
      <c r="T421">
        <v>3</v>
      </c>
      <c r="U421">
        <v>3</v>
      </c>
      <c r="V421">
        <v>0</v>
      </c>
      <c r="W421">
        <v>5</v>
      </c>
      <c r="X421">
        <v>3</v>
      </c>
      <c r="Y421">
        <v>6</v>
      </c>
      <c r="Z421">
        <v>2</v>
      </c>
      <c r="AA421">
        <f t="shared" si="13"/>
        <v>37</v>
      </c>
      <c r="AB421" t="s">
        <v>45</v>
      </c>
      <c r="AC421">
        <v>23.98</v>
      </c>
      <c r="AD421">
        <v>44.76</v>
      </c>
      <c r="AE421">
        <v>19.52</v>
      </c>
      <c r="AF421">
        <v>21.62</v>
      </c>
      <c r="AG421">
        <v>41.52</v>
      </c>
      <c r="AH421">
        <v>223.21</v>
      </c>
      <c r="AI421">
        <v>38.18</v>
      </c>
      <c r="AJ421">
        <v>24.89</v>
      </c>
      <c r="AK421">
        <v>38.76</v>
      </c>
      <c r="AL421">
        <v>24.88</v>
      </c>
      <c r="AM421">
        <v>10.29</v>
      </c>
      <c r="AN421">
        <v>18.149999999999999</v>
      </c>
      <c r="AO421">
        <v>529.76</v>
      </c>
    </row>
    <row r="422" spans="1:41" x14ac:dyDescent="0.25">
      <c r="A422" t="s">
        <v>706</v>
      </c>
      <c r="B422">
        <v>1380</v>
      </c>
      <c r="C422">
        <v>365</v>
      </c>
      <c r="D422">
        <v>1606</v>
      </c>
      <c r="E422">
        <v>9614</v>
      </c>
      <c r="F422">
        <v>1635</v>
      </c>
      <c r="G422">
        <v>7552</v>
      </c>
      <c r="H422">
        <v>1459</v>
      </c>
      <c r="I422">
        <v>1055</v>
      </c>
      <c r="J422">
        <v>7615</v>
      </c>
      <c r="K422">
        <v>13317</v>
      </c>
      <c r="L422">
        <v>1985</v>
      </c>
      <c r="M422">
        <v>1856</v>
      </c>
      <c r="N422">
        <f t="shared" si="12"/>
        <v>49439</v>
      </c>
      <c r="O422">
        <v>4</v>
      </c>
      <c r="P422">
        <v>1</v>
      </c>
      <c r="Q422">
        <v>6</v>
      </c>
      <c r="R422">
        <v>2</v>
      </c>
      <c r="S422">
        <v>4</v>
      </c>
      <c r="T422">
        <v>5</v>
      </c>
      <c r="U422">
        <v>3</v>
      </c>
      <c r="V422">
        <v>7</v>
      </c>
      <c r="W422">
        <v>4</v>
      </c>
      <c r="X422">
        <v>5</v>
      </c>
      <c r="Y422">
        <v>3</v>
      </c>
      <c r="Z422">
        <v>4</v>
      </c>
      <c r="AA422">
        <f t="shared" si="13"/>
        <v>48</v>
      </c>
      <c r="AB422" t="s">
        <v>45</v>
      </c>
      <c r="AC422">
        <v>23.99</v>
      </c>
      <c r="AD422">
        <v>13.69</v>
      </c>
      <c r="AE422">
        <v>26.35</v>
      </c>
      <c r="AF422">
        <v>106.23</v>
      </c>
      <c r="AG422">
        <v>26.54</v>
      </c>
      <c r="AH422">
        <v>85.76</v>
      </c>
      <c r="AI422">
        <v>24.73</v>
      </c>
      <c r="AJ422">
        <v>20.89</v>
      </c>
      <c r="AK422">
        <v>86.34</v>
      </c>
      <c r="AL422">
        <v>143.41</v>
      </c>
      <c r="AM422">
        <v>29.99</v>
      </c>
      <c r="AN422">
        <v>28.75</v>
      </c>
      <c r="AO422">
        <v>616.66999999999996</v>
      </c>
    </row>
    <row r="423" spans="1:41" x14ac:dyDescent="0.25">
      <c r="A423" t="s">
        <v>707</v>
      </c>
      <c r="B423">
        <v>1380</v>
      </c>
      <c r="C423">
        <v>9300</v>
      </c>
      <c r="D423">
        <v>2294</v>
      </c>
      <c r="E423">
        <v>10803</v>
      </c>
      <c r="F423">
        <v>9513</v>
      </c>
      <c r="G423">
        <v>3727</v>
      </c>
      <c r="H423">
        <v>0</v>
      </c>
      <c r="I423">
        <v>2301</v>
      </c>
      <c r="J423">
        <v>9306</v>
      </c>
      <c r="K423">
        <v>6860</v>
      </c>
      <c r="L423">
        <v>501</v>
      </c>
      <c r="M423">
        <v>1938</v>
      </c>
      <c r="N423">
        <f t="shared" si="12"/>
        <v>57923</v>
      </c>
      <c r="O423">
        <v>4</v>
      </c>
      <c r="P423">
        <v>11</v>
      </c>
      <c r="Q423">
        <v>2</v>
      </c>
      <c r="R423">
        <v>2</v>
      </c>
      <c r="S423">
        <v>2</v>
      </c>
      <c r="T423">
        <v>17</v>
      </c>
      <c r="U423">
        <v>4</v>
      </c>
      <c r="V423">
        <v>7</v>
      </c>
      <c r="W423">
        <v>6</v>
      </c>
      <c r="X423">
        <v>1</v>
      </c>
      <c r="Y423">
        <v>3</v>
      </c>
      <c r="Z423">
        <v>3</v>
      </c>
      <c r="AA423">
        <f t="shared" si="13"/>
        <v>62</v>
      </c>
      <c r="AB423" t="s">
        <v>45</v>
      </c>
      <c r="AC423">
        <v>23.99</v>
      </c>
      <c r="AD423">
        <v>103.54</v>
      </c>
      <c r="AE423">
        <v>33.03</v>
      </c>
      <c r="AF423">
        <v>118.12</v>
      </c>
      <c r="AG423">
        <v>105.22</v>
      </c>
      <c r="AH423">
        <v>48.11</v>
      </c>
      <c r="AI423">
        <v>10.19</v>
      </c>
      <c r="AJ423">
        <v>33.35</v>
      </c>
      <c r="AK423">
        <v>103.35</v>
      </c>
      <c r="AL423">
        <v>78.64</v>
      </c>
      <c r="AM423">
        <v>15.15</v>
      </c>
      <c r="AN423">
        <v>29.52</v>
      </c>
      <c r="AO423">
        <v>702.20999999999992</v>
      </c>
    </row>
    <row r="424" spans="1:41" x14ac:dyDescent="0.25">
      <c r="A424" t="s">
        <v>708</v>
      </c>
      <c r="B424">
        <v>1377</v>
      </c>
      <c r="C424">
        <v>3370</v>
      </c>
      <c r="D424">
        <v>5189</v>
      </c>
      <c r="E424">
        <v>3286</v>
      </c>
      <c r="F424">
        <v>1922</v>
      </c>
      <c r="G424">
        <v>11647</v>
      </c>
      <c r="H424">
        <v>2706</v>
      </c>
      <c r="I424">
        <v>1986</v>
      </c>
      <c r="J424">
        <v>203</v>
      </c>
      <c r="K424">
        <v>520</v>
      </c>
      <c r="L424">
        <v>2640</v>
      </c>
      <c r="M424">
        <v>1324</v>
      </c>
      <c r="N424">
        <f t="shared" si="12"/>
        <v>36170</v>
      </c>
      <c r="O424">
        <v>1</v>
      </c>
      <c r="P424">
        <v>3</v>
      </c>
      <c r="Q424">
        <v>4</v>
      </c>
      <c r="R424">
        <v>0</v>
      </c>
      <c r="S424">
        <v>8</v>
      </c>
      <c r="T424">
        <v>2</v>
      </c>
      <c r="U424">
        <v>0</v>
      </c>
      <c r="V424">
        <v>3</v>
      </c>
      <c r="W424">
        <v>4</v>
      </c>
      <c r="X424">
        <v>3</v>
      </c>
      <c r="Y424">
        <v>2</v>
      </c>
      <c r="Z424">
        <v>15</v>
      </c>
      <c r="AA424">
        <f t="shared" si="13"/>
        <v>45</v>
      </c>
      <c r="AB424" t="s">
        <v>45</v>
      </c>
      <c r="AC424">
        <v>23.81</v>
      </c>
      <c r="AD424">
        <v>43.84</v>
      </c>
      <c r="AE424">
        <v>62.08</v>
      </c>
      <c r="AF424">
        <v>42.85</v>
      </c>
      <c r="AG424">
        <v>29.61</v>
      </c>
      <c r="AH424">
        <v>126.56</v>
      </c>
      <c r="AI424">
        <v>37.049999999999997</v>
      </c>
      <c r="AJ424">
        <v>30</v>
      </c>
      <c r="AK424">
        <v>12.22</v>
      </c>
      <c r="AL424">
        <v>15.34</v>
      </c>
      <c r="AM424">
        <v>36.49</v>
      </c>
      <c r="AN424">
        <v>23.98</v>
      </c>
      <c r="AO424">
        <v>483.83000000000004</v>
      </c>
    </row>
    <row r="425" spans="1:41" x14ac:dyDescent="0.25">
      <c r="A425" t="s">
        <v>709</v>
      </c>
      <c r="B425">
        <v>1377</v>
      </c>
      <c r="C425">
        <v>2641</v>
      </c>
      <c r="D425">
        <v>1618</v>
      </c>
      <c r="E425">
        <v>2704</v>
      </c>
      <c r="F425">
        <v>3541</v>
      </c>
      <c r="G425">
        <v>8405</v>
      </c>
      <c r="H425">
        <v>4218</v>
      </c>
      <c r="I425">
        <v>4717</v>
      </c>
      <c r="J425">
        <v>2803</v>
      </c>
      <c r="K425">
        <v>3972</v>
      </c>
      <c r="L425">
        <v>2977</v>
      </c>
      <c r="M425">
        <v>0</v>
      </c>
      <c r="N425">
        <f t="shared" si="12"/>
        <v>38973</v>
      </c>
      <c r="O425">
        <v>1</v>
      </c>
      <c r="P425">
        <v>1</v>
      </c>
      <c r="Q425">
        <v>1</v>
      </c>
      <c r="R425">
        <v>3</v>
      </c>
      <c r="S425">
        <v>5</v>
      </c>
      <c r="T425">
        <v>3</v>
      </c>
      <c r="U425">
        <v>1</v>
      </c>
      <c r="V425">
        <v>2</v>
      </c>
      <c r="W425">
        <v>19</v>
      </c>
      <c r="X425">
        <v>3</v>
      </c>
      <c r="Y425">
        <v>5</v>
      </c>
      <c r="Z425">
        <v>2</v>
      </c>
      <c r="AA425">
        <f t="shared" si="13"/>
        <v>46</v>
      </c>
      <c r="AB425" t="s">
        <v>45</v>
      </c>
      <c r="AC425">
        <v>23.81</v>
      </c>
      <c r="AD425">
        <v>36.450000000000003</v>
      </c>
      <c r="AE425">
        <v>26.22</v>
      </c>
      <c r="AF425">
        <v>37.18</v>
      </c>
      <c r="AG425">
        <v>45.65</v>
      </c>
      <c r="AH425">
        <v>94.19</v>
      </c>
      <c r="AI425">
        <v>52.22</v>
      </c>
      <c r="AJ425">
        <v>57.26</v>
      </c>
      <c r="AK425">
        <v>38.97</v>
      </c>
      <c r="AL425">
        <v>49.86</v>
      </c>
      <c r="AM425">
        <v>40.01</v>
      </c>
      <c r="AN425">
        <v>10.09</v>
      </c>
      <c r="AO425">
        <v>511.91</v>
      </c>
    </row>
    <row r="426" spans="1:41" x14ac:dyDescent="0.25">
      <c r="A426" t="s">
        <v>711</v>
      </c>
      <c r="B426">
        <v>1371</v>
      </c>
      <c r="C426">
        <v>5218</v>
      </c>
      <c r="D426">
        <v>14</v>
      </c>
      <c r="E426">
        <v>40</v>
      </c>
      <c r="F426">
        <v>5360</v>
      </c>
      <c r="G426">
        <v>1588</v>
      </c>
      <c r="H426">
        <v>2333</v>
      </c>
      <c r="I426">
        <v>7910</v>
      </c>
      <c r="J426">
        <v>8762</v>
      </c>
      <c r="K426">
        <v>9850</v>
      </c>
      <c r="L426">
        <v>628</v>
      </c>
      <c r="M426">
        <v>9070</v>
      </c>
      <c r="N426">
        <f t="shared" si="12"/>
        <v>52144</v>
      </c>
      <c r="O426">
        <v>0</v>
      </c>
      <c r="P426">
        <v>3</v>
      </c>
      <c r="Q426">
        <v>3</v>
      </c>
      <c r="R426">
        <v>6</v>
      </c>
      <c r="S426">
        <v>1</v>
      </c>
      <c r="T426">
        <v>9</v>
      </c>
      <c r="U426">
        <v>10</v>
      </c>
      <c r="V426">
        <v>1</v>
      </c>
      <c r="W426">
        <v>5</v>
      </c>
      <c r="X426">
        <v>2</v>
      </c>
      <c r="Y426">
        <v>4</v>
      </c>
      <c r="Z426">
        <v>5</v>
      </c>
      <c r="AA426">
        <f t="shared" si="13"/>
        <v>49</v>
      </c>
      <c r="AB426" t="s">
        <v>45</v>
      </c>
      <c r="AC426">
        <v>23.7</v>
      </c>
      <c r="AD426">
        <v>62.32</v>
      </c>
      <c r="AE426">
        <v>10.28</v>
      </c>
      <c r="AF426">
        <v>10.69</v>
      </c>
      <c r="AG426">
        <v>63.64</v>
      </c>
      <c r="AH426">
        <v>26.32</v>
      </c>
      <c r="AI426">
        <v>33.82</v>
      </c>
      <c r="AJ426">
        <v>89.14</v>
      </c>
      <c r="AK426">
        <v>97.86</v>
      </c>
      <c r="AL426">
        <v>108.59</v>
      </c>
      <c r="AM426">
        <v>16.47</v>
      </c>
      <c r="AN426">
        <v>100.94</v>
      </c>
      <c r="AO426">
        <v>643.77</v>
      </c>
    </row>
    <row r="427" spans="1:41" x14ac:dyDescent="0.25">
      <c r="A427" t="s">
        <v>712</v>
      </c>
      <c r="B427">
        <v>1365</v>
      </c>
      <c r="C427">
        <v>10136</v>
      </c>
      <c r="D427">
        <v>2505</v>
      </c>
      <c r="E427">
        <v>1861</v>
      </c>
      <c r="F427">
        <v>4687</v>
      </c>
      <c r="G427">
        <v>3923</v>
      </c>
      <c r="H427">
        <v>3876</v>
      </c>
      <c r="I427">
        <v>9359</v>
      </c>
      <c r="J427">
        <v>995</v>
      </c>
      <c r="K427">
        <v>6896</v>
      </c>
      <c r="L427">
        <v>1149</v>
      </c>
      <c r="M427">
        <v>6835</v>
      </c>
      <c r="N427">
        <f t="shared" si="12"/>
        <v>53587</v>
      </c>
      <c r="O427">
        <v>2</v>
      </c>
      <c r="P427">
        <v>24</v>
      </c>
      <c r="Q427">
        <v>15</v>
      </c>
      <c r="R427">
        <v>6</v>
      </c>
      <c r="S427">
        <v>3</v>
      </c>
      <c r="T427">
        <v>4</v>
      </c>
      <c r="U427">
        <v>0</v>
      </c>
      <c r="V427">
        <v>0</v>
      </c>
      <c r="W427">
        <v>3</v>
      </c>
      <c r="X427">
        <v>1</v>
      </c>
      <c r="Y427">
        <v>8</v>
      </c>
      <c r="Z427">
        <v>6</v>
      </c>
      <c r="AA427">
        <f t="shared" si="13"/>
        <v>72</v>
      </c>
      <c r="AB427" t="s">
        <v>45</v>
      </c>
      <c r="AC427">
        <v>23.74</v>
      </c>
      <c r="AD427">
        <v>112.55</v>
      </c>
      <c r="AE427">
        <v>35.79</v>
      </c>
      <c r="AF427">
        <v>28.9</v>
      </c>
      <c r="AG427">
        <v>57.01</v>
      </c>
      <c r="AH427">
        <v>49.42</v>
      </c>
      <c r="AI427">
        <v>48.75</v>
      </c>
      <c r="AJ427">
        <v>103.58</v>
      </c>
      <c r="AK427">
        <v>20.09</v>
      </c>
      <c r="AL427">
        <v>79</v>
      </c>
      <c r="AM427">
        <v>21.88</v>
      </c>
      <c r="AN427">
        <v>78.64</v>
      </c>
      <c r="AO427">
        <v>659.34999999999991</v>
      </c>
    </row>
    <row r="428" spans="1:41" x14ac:dyDescent="0.25">
      <c r="A428" t="s">
        <v>714</v>
      </c>
      <c r="B428">
        <v>1354</v>
      </c>
      <c r="C428">
        <v>2114</v>
      </c>
      <c r="D428">
        <v>6823</v>
      </c>
      <c r="E428">
        <v>10414</v>
      </c>
      <c r="F428">
        <v>1565</v>
      </c>
      <c r="G428">
        <v>9501</v>
      </c>
      <c r="H428">
        <v>1203</v>
      </c>
      <c r="I428">
        <v>1437</v>
      </c>
      <c r="J428">
        <v>11448</v>
      </c>
      <c r="K428">
        <v>2511</v>
      </c>
      <c r="L428">
        <v>778</v>
      </c>
      <c r="M428">
        <v>2457</v>
      </c>
      <c r="N428">
        <f t="shared" si="12"/>
        <v>51605</v>
      </c>
      <c r="O428">
        <v>4</v>
      </c>
      <c r="P428">
        <v>3</v>
      </c>
      <c r="Q428">
        <v>0</v>
      </c>
      <c r="R428">
        <v>1</v>
      </c>
      <c r="S428">
        <v>9</v>
      </c>
      <c r="T428">
        <v>0</v>
      </c>
      <c r="U428">
        <v>2</v>
      </c>
      <c r="V428">
        <v>4</v>
      </c>
      <c r="W428">
        <v>9</v>
      </c>
      <c r="X428">
        <v>1</v>
      </c>
      <c r="Y428">
        <v>2</v>
      </c>
      <c r="Z428">
        <v>0</v>
      </c>
      <c r="AA428">
        <f t="shared" si="13"/>
        <v>35</v>
      </c>
      <c r="AB428" t="s">
        <v>45</v>
      </c>
      <c r="AC428">
        <v>23.73</v>
      </c>
      <c r="AD428">
        <v>31.28</v>
      </c>
      <c r="AE428">
        <v>78.22</v>
      </c>
      <c r="AF428">
        <v>114.18</v>
      </c>
      <c r="AG428">
        <v>26.09</v>
      </c>
      <c r="AH428">
        <v>105</v>
      </c>
      <c r="AI428">
        <v>22.12</v>
      </c>
      <c r="AJ428">
        <v>24.56</v>
      </c>
      <c r="AK428">
        <v>124.92</v>
      </c>
      <c r="AL428">
        <v>35.15</v>
      </c>
      <c r="AM428">
        <v>17.87</v>
      </c>
      <c r="AN428">
        <v>34.56</v>
      </c>
      <c r="AO428">
        <v>637.68000000000006</v>
      </c>
    </row>
    <row r="429" spans="1:41" x14ac:dyDescent="0.25">
      <c r="A429" t="s">
        <v>715</v>
      </c>
      <c r="B429">
        <v>1349</v>
      </c>
      <c r="C429">
        <v>114</v>
      </c>
      <c r="D429">
        <v>0</v>
      </c>
      <c r="E429">
        <v>4631</v>
      </c>
      <c r="F429">
        <v>3313</v>
      </c>
      <c r="G429">
        <v>4330</v>
      </c>
      <c r="H429">
        <v>2347</v>
      </c>
      <c r="I429">
        <v>6853</v>
      </c>
      <c r="J429">
        <v>3652</v>
      </c>
      <c r="K429">
        <v>8874</v>
      </c>
      <c r="L429">
        <v>1877</v>
      </c>
      <c r="M429">
        <v>5894</v>
      </c>
      <c r="N429">
        <f t="shared" si="12"/>
        <v>43234</v>
      </c>
      <c r="O429">
        <v>2</v>
      </c>
      <c r="P429">
        <v>2</v>
      </c>
      <c r="Q429">
        <v>0</v>
      </c>
      <c r="R429">
        <v>4</v>
      </c>
      <c r="S429">
        <v>8</v>
      </c>
      <c r="T429">
        <v>1</v>
      </c>
      <c r="U429">
        <v>5</v>
      </c>
      <c r="V429">
        <v>4</v>
      </c>
      <c r="W429">
        <v>3</v>
      </c>
      <c r="X429">
        <v>0</v>
      </c>
      <c r="Y429">
        <v>6</v>
      </c>
      <c r="Z429">
        <v>10</v>
      </c>
      <c r="AA429">
        <f t="shared" si="13"/>
        <v>45</v>
      </c>
      <c r="AB429" t="s">
        <v>45</v>
      </c>
      <c r="AC429">
        <v>23.58</v>
      </c>
      <c r="AD429">
        <v>11.23</v>
      </c>
      <c r="AE429">
        <v>9.99</v>
      </c>
      <c r="AF429">
        <v>56.5</v>
      </c>
      <c r="AG429">
        <v>43.52</v>
      </c>
      <c r="AH429">
        <v>53.34</v>
      </c>
      <c r="AI429">
        <v>33.71</v>
      </c>
      <c r="AJ429">
        <v>78.72</v>
      </c>
      <c r="AK429">
        <v>46.66</v>
      </c>
      <c r="AL429">
        <v>98.73</v>
      </c>
      <c r="AM429">
        <v>29.06</v>
      </c>
      <c r="AN429">
        <v>69.430000000000007</v>
      </c>
      <c r="AO429">
        <v>554.47</v>
      </c>
    </row>
    <row r="430" spans="1:41" x14ac:dyDescent="0.25">
      <c r="A430" t="s">
        <v>716</v>
      </c>
      <c r="B430">
        <v>1348</v>
      </c>
      <c r="C430">
        <v>9202</v>
      </c>
      <c r="D430">
        <v>2125</v>
      </c>
      <c r="E430">
        <v>2504</v>
      </c>
      <c r="F430">
        <v>7744</v>
      </c>
      <c r="G430">
        <v>5839</v>
      </c>
      <c r="H430">
        <v>534</v>
      </c>
      <c r="I430">
        <v>924</v>
      </c>
      <c r="J430">
        <v>2204</v>
      </c>
      <c r="K430">
        <v>8508</v>
      </c>
      <c r="L430">
        <v>24432</v>
      </c>
      <c r="M430">
        <v>6001</v>
      </c>
      <c r="N430">
        <f t="shared" si="12"/>
        <v>71365</v>
      </c>
      <c r="O430">
        <v>3</v>
      </c>
      <c r="P430">
        <v>2</v>
      </c>
      <c r="Q430">
        <v>4</v>
      </c>
      <c r="R430">
        <v>7</v>
      </c>
      <c r="S430">
        <v>6</v>
      </c>
      <c r="T430">
        <v>7</v>
      </c>
      <c r="U430">
        <v>3</v>
      </c>
      <c r="V430">
        <v>2</v>
      </c>
      <c r="W430">
        <v>5</v>
      </c>
      <c r="X430">
        <v>4</v>
      </c>
      <c r="Y430">
        <v>5</v>
      </c>
      <c r="Z430">
        <v>1</v>
      </c>
      <c r="AA430">
        <f t="shared" si="13"/>
        <v>49</v>
      </c>
      <c r="AB430" t="s">
        <v>45</v>
      </c>
      <c r="AC430">
        <v>23.62</v>
      </c>
      <c r="AD430">
        <v>102.11</v>
      </c>
      <c r="AE430">
        <v>31.44</v>
      </c>
      <c r="AF430">
        <v>35.380000000000003</v>
      </c>
      <c r="AG430">
        <v>87.73</v>
      </c>
      <c r="AH430">
        <v>68.73</v>
      </c>
      <c r="AI430">
        <v>15.48</v>
      </c>
      <c r="AJ430">
        <v>19.329999999999998</v>
      </c>
      <c r="AK430">
        <v>32.28</v>
      </c>
      <c r="AL430">
        <v>95.27</v>
      </c>
      <c r="AM430">
        <v>254.56</v>
      </c>
      <c r="AN430">
        <v>70.05</v>
      </c>
      <c r="AO430">
        <v>835.98</v>
      </c>
    </row>
    <row r="431" spans="1:41" x14ac:dyDescent="0.25">
      <c r="A431" t="s">
        <v>717</v>
      </c>
      <c r="B431">
        <v>1346</v>
      </c>
      <c r="C431">
        <v>2650</v>
      </c>
      <c r="D431">
        <v>11851</v>
      </c>
      <c r="E431">
        <v>3070</v>
      </c>
      <c r="F431">
        <v>8527</v>
      </c>
      <c r="G431">
        <v>1266</v>
      </c>
      <c r="H431">
        <v>1493</v>
      </c>
      <c r="I431">
        <v>2778</v>
      </c>
      <c r="J431">
        <v>3788</v>
      </c>
      <c r="K431">
        <v>2629</v>
      </c>
      <c r="L431">
        <v>568</v>
      </c>
      <c r="M431">
        <v>6143</v>
      </c>
      <c r="N431">
        <f t="shared" si="12"/>
        <v>46109</v>
      </c>
      <c r="O431">
        <v>4</v>
      </c>
      <c r="P431">
        <v>2</v>
      </c>
      <c r="Q431">
        <v>4</v>
      </c>
      <c r="R431">
        <v>14</v>
      </c>
      <c r="S431">
        <v>5</v>
      </c>
      <c r="T431">
        <v>13</v>
      </c>
      <c r="U431">
        <v>2</v>
      </c>
      <c r="V431">
        <v>5</v>
      </c>
      <c r="W431">
        <v>7</v>
      </c>
      <c r="X431">
        <v>4</v>
      </c>
      <c r="Y431">
        <v>3</v>
      </c>
      <c r="Z431">
        <v>4</v>
      </c>
      <c r="AA431">
        <f t="shared" si="13"/>
        <v>67</v>
      </c>
      <c r="AB431" t="s">
        <v>45</v>
      </c>
      <c r="AC431">
        <v>23.65</v>
      </c>
      <c r="AD431">
        <v>36.590000000000003</v>
      </c>
      <c r="AE431">
        <v>128.69999999999999</v>
      </c>
      <c r="AF431">
        <v>41.39</v>
      </c>
      <c r="AG431">
        <v>95.51</v>
      </c>
      <c r="AH431">
        <v>23.3</v>
      </c>
      <c r="AI431">
        <v>25.02</v>
      </c>
      <c r="AJ431">
        <v>38.020000000000003</v>
      </c>
      <c r="AK431">
        <v>48.22</v>
      </c>
      <c r="AL431">
        <v>36.479999999999997</v>
      </c>
      <c r="AM431">
        <v>15.82</v>
      </c>
      <c r="AN431">
        <v>71.62</v>
      </c>
      <c r="AO431">
        <v>584.32000000000005</v>
      </c>
    </row>
    <row r="432" spans="1:41" x14ac:dyDescent="0.25">
      <c r="A432" t="s">
        <v>718</v>
      </c>
      <c r="B432">
        <v>1343</v>
      </c>
      <c r="C432">
        <v>2268</v>
      </c>
      <c r="D432">
        <v>638</v>
      </c>
      <c r="E432">
        <v>2516</v>
      </c>
      <c r="F432">
        <v>2783</v>
      </c>
      <c r="G432">
        <v>7434</v>
      </c>
      <c r="H432">
        <v>6095</v>
      </c>
      <c r="I432">
        <v>1534</v>
      </c>
      <c r="J432">
        <v>0</v>
      </c>
      <c r="K432">
        <v>0</v>
      </c>
      <c r="L432">
        <v>12179</v>
      </c>
      <c r="M432">
        <v>3538</v>
      </c>
      <c r="N432">
        <f t="shared" si="12"/>
        <v>40328</v>
      </c>
      <c r="O432">
        <v>1</v>
      </c>
      <c r="P432">
        <v>2</v>
      </c>
      <c r="Q432">
        <v>1</v>
      </c>
      <c r="R432">
        <v>3</v>
      </c>
      <c r="S432">
        <v>6</v>
      </c>
      <c r="T432">
        <v>2</v>
      </c>
      <c r="U432">
        <v>4</v>
      </c>
      <c r="V432">
        <v>6</v>
      </c>
      <c r="W432">
        <v>4</v>
      </c>
      <c r="X432">
        <v>2</v>
      </c>
      <c r="Y432">
        <v>4</v>
      </c>
      <c r="Z432">
        <v>1</v>
      </c>
      <c r="AA432">
        <f t="shared" si="13"/>
        <v>36</v>
      </c>
      <c r="AB432" t="s">
        <v>45</v>
      </c>
      <c r="AC432">
        <v>23.47</v>
      </c>
      <c r="AD432">
        <v>32.770000000000003</v>
      </c>
      <c r="AE432">
        <v>16.420000000000002</v>
      </c>
      <c r="AF432">
        <v>35.299999999999997</v>
      </c>
      <c r="AG432">
        <v>38.119999999999997</v>
      </c>
      <c r="AH432">
        <v>84.43</v>
      </c>
      <c r="AI432">
        <v>71.14</v>
      </c>
      <c r="AJ432">
        <v>25.63</v>
      </c>
      <c r="AK432">
        <v>10.19</v>
      </c>
      <c r="AL432">
        <v>10.09</v>
      </c>
      <c r="AM432">
        <v>131.97999999999999</v>
      </c>
      <c r="AN432">
        <v>45.42</v>
      </c>
      <c r="AO432">
        <v>524.95999999999992</v>
      </c>
    </row>
    <row r="433" spans="1:41" x14ac:dyDescent="0.25">
      <c r="A433" t="s">
        <v>720</v>
      </c>
      <c r="B433">
        <v>1318</v>
      </c>
      <c r="C433">
        <v>3297</v>
      </c>
      <c r="D433">
        <v>5244</v>
      </c>
      <c r="E433">
        <v>2251</v>
      </c>
      <c r="F433">
        <v>1137</v>
      </c>
      <c r="G433">
        <v>3125</v>
      </c>
      <c r="H433">
        <v>2112</v>
      </c>
      <c r="I433">
        <v>1155</v>
      </c>
      <c r="J433">
        <v>892</v>
      </c>
      <c r="K433">
        <v>2203</v>
      </c>
      <c r="L433">
        <v>15236</v>
      </c>
      <c r="M433">
        <v>6238</v>
      </c>
      <c r="N433">
        <f t="shared" si="12"/>
        <v>44208</v>
      </c>
      <c r="O433">
        <v>2</v>
      </c>
      <c r="P433">
        <v>6</v>
      </c>
      <c r="Q433">
        <v>5</v>
      </c>
      <c r="R433">
        <v>6</v>
      </c>
      <c r="S433">
        <v>2</v>
      </c>
      <c r="T433">
        <v>8</v>
      </c>
      <c r="U433">
        <v>3</v>
      </c>
      <c r="V433">
        <v>2</v>
      </c>
      <c r="W433">
        <v>0</v>
      </c>
      <c r="X433">
        <v>1</v>
      </c>
      <c r="Y433">
        <v>5</v>
      </c>
      <c r="Z433">
        <v>4</v>
      </c>
      <c r="AA433">
        <f t="shared" si="13"/>
        <v>44</v>
      </c>
      <c r="AB433" t="s">
        <v>45</v>
      </c>
      <c r="AC433">
        <v>23.27</v>
      </c>
      <c r="AD433">
        <v>43.26</v>
      </c>
      <c r="AE433">
        <v>62.68</v>
      </c>
      <c r="AF433">
        <v>32.799999999999997</v>
      </c>
      <c r="AG433">
        <v>21.46</v>
      </c>
      <c r="AH433">
        <v>41.64</v>
      </c>
      <c r="AI433">
        <v>31.26</v>
      </c>
      <c r="AJ433">
        <v>21.64</v>
      </c>
      <c r="AK433">
        <v>18.91</v>
      </c>
      <c r="AL433">
        <v>32.07</v>
      </c>
      <c r="AM433">
        <v>162.6</v>
      </c>
      <c r="AN433">
        <v>72.569999999999993</v>
      </c>
      <c r="AO433">
        <v>564.16000000000008</v>
      </c>
    </row>
    <row r="434" spans="1:41" x14ac:dyDescent="0.25">
      <c r="A434" t="s">
        <v>724</v>
      </c>
      <c r="B434">
        <v>1290</v>
      </c>
      <c r="C434">
        <v>980</v>
      </c>
      <c r="D434">
        <v>1957</v>
      </c>
      <c r="E434">
        <v>17647</v>
      </c>
      <c r="F434">
        <v>2328</v>
      </c>
      <c r="G434">
        <v>3427</v>
      </c>
      <c r="H434">
        <v>1894</v>
      </c>
      <c r="I434">
        <v>3759</v>
      </c>
      <c r="J434">
        <v>11567</v>
      </c>
      <c r="K434">
        <v>2499</v>
      </c>
      <c r="L434">
        <v>0</v>
      </c>
      <c r="M434">
        <v>2233</v>
      </c>
      <c r="N434">
        <f t="shared" si="12"/>
        <v>49581</v>
      </c>
      <c r="O434">
        <v>9</v>
      </c>
      <c r="P434">
        <v>16</v>
      </c>
      <c r="Q434">
        <v>17</v>
      </c>
      <c r="R434">
        <v>2</v>
      </c>
      <c r="S434">
        <v>8</v>
      </c>
      <c r="T434">
        <v>3</v>
      </c>
      <c r="U434">
        <v>5</v>
      </c>
      <c r="V434">
        <v>2</v>
      </c>
      <c r="W434">
        <v>3</v>
      </c>
      <c r="X434">
        <v>15</v>
      </c>
      <c r="Y434">
        <v>9</v>
      </c>
      <c r="Z434">
        <v>4</v>
      </c>
      <c r="AA434">
        <f t="shared" si="13"/>
        <v>93</v>
      </c>
      <c r="AB434" t="s">
        <v>45</v>
      </c>
      <c r="AC434">
        <v>23.34</v>
      </c>
      <c r="AD434">
        <v>20.59</v>
      </c>
      <c r="AE434">
        <v>30.41</v>
      </c>
      <c r="AF434">
        <v>186.56</v>
      </c>
      <c r="AG434">
        <v>33.67</v>
      </c>
      <c r="AH434">
        <v>44.41</v>
      </c>
      <c r="AI434">
        <v>29.18</v>
      </c>
      <c r="AJ434">
        <v>47.68</v>
      </c>
      <c r="AK434">
        <v>125.81</v>
      </c>
      <c r="AL434">
        <v>35.729999999999997</v>
      </c>
      <c r="AM434">
        <v>10.44</v>
      </c>
      <c r="AN434">
        <v>32.520000000000003</v>
      </c>
      <c r="AO434">
        <v>620.34000000000015</v>
      </c>
    </row>
    <row r="435" spans="1:41" x14ac:dyDescent="0.25">
      <c r="A435" t="s">
        <v>725</v>
      </c>
      <c r="B435">
        <v>1288</v>
      </c>
      <c r="C435">
        <v>9415</v>
      </c>
      <c r="D435">
        <v>3597</v>
      </c>
      <c r="E435">
        <v>7497</v>
      </c>
      <c r="F435">
        <v>5034</v>
      </c>
      <c r="G435">
        <v>761</v>
      </c>
      <c r="H435">
        <v>4626</v>
      </c>
      <c r="I435">
        <v>1611</v>
      </c>
      <c r="J435">
        <v>957</v>
      </c>
      <c r="K435">
        <v>6232</v>
      </c>
      <c r="L435">
        <v>3637</v>
      </c>
      <c r="M435">
        <v>7085</v>
      </c>
      <c r="N435">
        <f t="shared" si="12"/>
        <v>51740</v>
      </c>
      <c r="O435">
        <v>2</v>
      </c>
      <c r="P435">
        <v>8</v>
      </c>
      <c r="Q435">
        <v>5</v>
      </c>
      <c r="R435">
        <v>2</v>
      </c>
      <c r="S435">
        <v>10</v>
      </c>
      <c r="T435">
        <v>4</v>
      </c>
      <c r="U435">
        <v>9</v>
      </c>
      <c r="V435">
        <v>3</v>
      </c>
      <c r="W435">
        <v>2</v>
      </c>
      <c r="X435">
        <v>7</v>
      </c>
      <c r="Y435">
        <v>5</v>
      </c>
      <c r="Z435">
        <v>8</v>
      </c>
      <c r="AA435">
        <f t="shared" si="13"/>
        <v>65</v>
      </c>
      <c r="AB435" t="s">
        <v>45</v>
      </c>
      <c r="AC435">
        <v>22.97</v>
      </c>
      <c r="AD435">
        <v>104.54</v>
      </c>
      <c r="AE435">
        <v>46.21</v>
      </c>
      <c r="AF435">
        <v>85.06</v>
      </c>
      <c r="AG435">
        <v>60.83</v>
      </c>
      <c r="AH435">
        <v>17.8</v>
      </c>
      <c r="AI435">
        <v>56.7</v>
      </c>
      <c r="AJ435">
        <v>26.25</v>
      </c>
      <c r="AK435">
        <v>19.66</v>
      </c>
      <c r="AL435">
        <v>72.66</v>
      </c>
      <c r="AM435">
        <v>46.61</v>
      </c>
      <c r="AN435">
        <v>81.239999999999995</v>
      </c>
      <c r="AO435">
        <v>640.53</v>
      </c>
    </row>
    <row r="436" spans="1:41" x14ac:dyDescent="0.25">
      <c r="A436" t="s">
        <v>726</v>
      </c>
      <c r="B436">
        <v>1281</v>
      </c>
      <c r="C436">
        <v>945</v>
      </c>
      <c r="D436">
        <v>1545</v>
      </c>
      <c r="E436">
        <v>3332</v>
      </c>
      <c r="F436">
        <v>12023</v>
      </c>
      <c r="G436">
        <v>852</v>
      </c>
      <c r="H436">
        <v>7524</v>
      </c>
      <c r="I436">
        <v>249</v>
      </c>
      <c r="J436">
        <v>9891</v>
      </c>
      <c r="K436">
        <v>1808</v>
      </c>
      <c r="L436">
        <v>2028</v>
      </c>
      <c r="M436">
        <v>1254</v>
      </c>
      <c r="N436">
        <f t="shared" si="12"/>
        <v>42732</v>
      </c>
      <c r="O436">
        <v>14</v>
      </c>
      <c r="P436">
        <v>3</v>
      </c>
      <c r="Q436">
        <v>0</v>
      </c>
      <c r="R436">
        <v>7</v>
      </c>
      <c r="S436">
        <v>3</v>
      </c>
      <c r="T436">
        <v>1</v>
      </c>
      <c r="U436">
        <v>1</v>
      </c>
      <c r="V436">
        <v>2</v>
      </c>
      <c r="W436">
        <v>1</v>
      </c>
      <c r="X436">
        <v>3</v>
      </c>
      <c r="Y436">
        <v>5</v>
      </c>
      <c r="Z436">
        <v>1</v>
      </c>
      <c r="AA436">
        <f t="shared" si="13"/>
        <v>41</v>
      </c>
      <c r="AB436" t="s">
        <v>45</v>
      </c>
      <c r="AC436">
        <v>23.5</v>
      </c>
      <c r="AD436">
        <v>19.59</v>
      </c>
      <c r="AE436">
        <v>25.44</v>
      </c>
      <c r="AF436">
        <v>43.66</v>
      </c>
      <c r="AG436">
        <v>130.37</v>
      </c>
      <c r="AH436">
        <v>18.559999999999999</v>
      </c>
      <c r="AI436">
        <v>85.28</v>
      </c>
      <c r="AJ436">
        <v>12.58</v>
      </c>
      <c r="AK436">
        <v>108.95</v>
      </c>
      <c r="AL436">
        <v>28.22</v>
      </c>
      <c r="AM436">
        <v>30.52</v>
      </c>
      <c r="AN436">
        <v>22.58</v>
      </c>
      <c r="AO436">
        <v>549.25</v>
      </c>
    </row>
    <row r="437" spans="1:41" x14ac:dyDescent="0.25">
      <c r="A437" t="s">
        <v>727</v>
      </c>
      <c r="B437">
        <v>1271</v>
      </c>
      <c r="C437">
        <v>1407</v>
      </c>
      <c r="D437">
        <v>4159</v>
      </c>
      <c r="E437">
        <v>1217</v>
      </c>
      <c r="F437">
        <v>4815</v>
      </c>
      <c r="G437">
        <v>14813</v>
      </c>
      <c r="H437">
        <v>896</v>
      </c>
      <c r="I437">
        <v>1510</v>
      </c>
      <c r="J437">
        <v>1246</v>
      </c>
      <c r="K437">
        <v>2089</v>
      </c>
      <c r="L437">
        <v>3999</v>
      </c>
      <c r="M437">
        <v>654</v>
      </c>
      <c r="N437">
        <f t="shared" si="12"/>
        <v>38076</v>
      </c>
      <c r="O437">
        <v>4</v>
      </c>
      <c r="P437">
        <v>3</v>
      </c>
      <c r="Q437">
        <v>4</v>
      </c>
      <c r="R437">
        <v>6</v>
      </c>
      <c r="S437">
        <v>3</v>
      </c>
      <c r="T437">
        <v>3</v>
      </c>
      <c r="U437">
        <v>2</v>
      </c>
      <c r="V437">
        <v>1</v>
      </c>
      <c r="W437">
        <v>7</v>
      </c>
      <c r="X437">
        <v>7</v>
      </c>
      <c r="Y437">
        <v>6</v>
      </c>
      <c r="Z437">
        <v>3</v>
      </c>
      <c r="AA437">
        <f t="shared" si="13"/>
        <v>49</v>
      </c>
      <c r="AB437" t="s">
        <v>45</v>
      </c>
      <c r="AC437">
        <v>22.9</v>
      </c>
      <c r="AD437">
        <v>24.21</v>
      </c>
      <c r="AE437">
        <v>51.78</v>
      </c>
      <c r="AF437">
        <v>22.46</v>
      </c>
      <c r="AG437">
        <v>58.29</v>
      </c>
      <c r="AH437">
        <v>158.27000000000001</v>
      </c>
      <c r="AI437">
        <v>19.05</v>
      </c>
      <c r="AJ437">
        <v>25.14</v>
      </c>
      <c r="AK437">
        <v>22.8</v>
      </c>
      <c r="AL437">
        <v>31.23</v>
      </c>
      <c r="AM437">
        <v>50.28</v>
      </c>
      <c r="AN437">
        <v>16.68</v>
      </c>
      <c r="AO437">
        <v>503.09</v>
      </c>
    </row>
    <row r="438" spans="1:41" x14ac:dyDescent="0.25">
      <c r="A438" t="s">
        <v>728</v>
      </c>
      <c r="B438">
        <v>1256</v>
      </c>
      <c r="C438">
        <v>0</v>
      </c>
      <c r="D438">
        <v>1388</v>
      </c>
      <c r="E438">
        <v>1166</v>
      </c>
      <c r="F438">
        <v>1753</v>
      </c>
      <c r="G438">
        <v>7917</v>
      </c>
      <c r="H438">
        <v>1516</v>
      </c>
      <c r="I438">
        <v>13063</v>
      </c>
      <c r="J438">
        <v>5858</v>
      </c>
      <c r="K438">
        <v>7810</v>
      </c>
      <c r="L438">
        <v>9269</v>
      </c>
      <c r="M438">
        <v>4949</v>
      </c>
      <c r="N438">
        <f t="shared" si="12"/>
        <v>55945</v>
      </c>
      <c r="O438">
        <v>8</v>
      </c>
      <c r="P438">
        <v>2</v>
      </c>
      <c r="Q438">
        <v>4</v>
      </c>
      <c r="R438">
        <v>2</v>
      </c>
      <c r="S438">
        <v>1</v>
      </c>
      <c r="T438">
        <v>0</v>
      </c>
      <c r="U438">
        <v>12</v>
      </c>
      <c r="V438">
        <v>0</v>
      </c>
      <c r="W438">
        <v>3</v>
      </c>
      <c r="X438">
        <v>1</v>
      </c>
      <c r="Y438">
        <v>12</v>
      </c>
      <c r="Z438">
        <v>3</v>
      </c>
      <c r="AA438">
        <f t="shared" si="13"/>
        <v>48</v>
      </c>
      <c r="AB438" t="s">
        <v>45</v>
      </c>
      <c r="AC438">
        <v>22.95</v>
      </c>
      <c r="AD438">
        <v>10.09</v>
      </c>
      <c r="AE438">
        <v>24.07</v>
      </c>
      <c r="AF438">
        <v>21.75</v>
      </c>
      <c r="AG438">
        <v>27.57</v>
      </c>
      <c r="AH438">
        <v>89.16</v>
      </c>
      <c r="AI438">
        <v>25.75</v>
      </c>
      <c r="AJ438">
        <v>140.62</v>
      </c>
      <c r="AK438">
        <v>68.72</v>
      </c>
      <c r="AL438">
        <v>88.14</v>
      </c>
      <c r="AM438">
        <v>103.28</v>
      </c>
      <c r="AN438">
        <v>59.63</v>
      </c>
      <c r="AO438">
        <v>681.73</v>
      </c>
    </row>
    <row r="439" spans="1:41" x14ac:dyDescent="0.25">
      <c r="A439" t="s">
        <v>731</v>
      </c>
      <c r="B439">
        <v>1233</v>
      </c>
      <c r="C439">
        <v>2541</v>
      </c>
      <c r="D439">
        <v>5090</v>
      </c>
      <c r="E439">
        <v>1382</v>
      </c>
      <c r="F439">
        <v>2721</v>
      </c>
      <c r="G439">
        <v>1879</v>
      </c>
      <c r="H439">
        <v>1261</v>
      </c>
      <c r="I439">
        <v>5530</v>
      </c>
      <c r="J439">
        <v>2539</v>
      </c>
      <c r="K439">
        <v>2635</v>
      </c>
      <c r="L439">
        <v>4122</v>
      </c>
      <c r="M439">
        <v>5126</v>
      </c>
      <c r="N439">
        <f t="shared" si="12"/>
        <v>36059</v>
      </c>
      <c r="O439">
        <v>0</v>
      </c>
      <c r="P439">
        <v>2</v>
      </c>
      <c r="Q439">
        <v>0</v>
      </c>
      <c r="R439">
        <v>0</v>
      </c>
      <c r="S439">
        <v>9</v>
      </c>
      <c r="T439">
        <v>2</v>
      </c>
      <c r="U439">
        <v>0</v>
      </c>
      <c r="V439">
        <v>5</v>
      </c>
      <c r="W439">
        <v>6</v>
      </c>
      <c r="X439">
        <v>2</v>
      </c>
      <c r="Y439">
        <v>3</v>
      </c>
      <c r="Z439">
        <v>0</v>
      </c>
      <c r="AA439">
        <f t="shared" si="13"/>
        <v>29</v>
      </c>
      <c r="AB439" t="s">
        <v>45</v>
      </c>
      <c r="AC439">
        <v>22.32</v>
      </c>
      <c r="AD439">
        <v>35.5</v>
      </c>
      <c r="AE439">
        <v>60.89</v>
      </c>
      <c r="AF439">
        <v>23.81</v>
      </c>
      <c r="AG439">
        <v>37.65</v>
      </c>
      <c r="AH439">
        <v>28.88</v>
      </c>
      <c r="AI439">
        <v>22.6</v>
      </c>
      <c r="AJ439">
        <v>65.540000000000006</v>
      </c>
      <c r="AK439">
        <v>35.68</v>
      </c>
      <c r="AL439">
        <v>36.44</v>
      </c>
      <c r="AM439">
        <v>51.36</v>
      </c>
      <c r="AN439">
        <v>61.25</v>
      </c>
      <c r="AO439">
        <v>481.92</v>
      </c>
    </row>
    <row r="440" spans="1:41" x14ac:dyDescent="0.25">
      <c r="A440" t="s">
        <v>732</v>
      </c>
      <c r="B440">
        <v>1229</v>
      </c>
      <c r="C440">
        <v>1100</v>
      </c>
      <c r="D440">
        <v>3731</v>
      </c>
      <c r="E440">
        <v>4134</v>
      </c>
      <c r="F440">
        <v>2153</v>
      </c>
      <c r="G440">
        <v>4809</v>
      </c>
      <c r="H440">
        <v>841</v>
      </c>
      <c r="I440">
        <v>4698</v>
      </c>
      <c r="J440">
        <v>4837</v>
      </c>
      <c r="K440">
        <v>12517</v>
      </c>
      <c r="L440">
        <v>279</v>
      </c>
      <c r="M440">
        <v>0</v>
      </c>
      <c r="N440">
        <f t="shared" si="12"/>
        <v>40328</v>
      </c>
      <c r="O440">
        <v>1</v>
      </c>
      <c r="P440">
        <v>3</v>
      </c>
      <c r="Q440">
        <v>3</v>
      </c>
      <c r="R440">
        <v>4</v>
      </c>
      <c r="S440">
        <v>7</v>
      </c>
      <c r="T440">
        <v>8</v>
      </c>
      <c r="U440">
        <v>6</v>
      </c>
      <c r="V440">
        <v>0</v>
      </c>
      <c r="W440">
        <v>3</v>
      </c>
      <c r="X440">
        <v>5</v>
      </c>
      <c r="Y440">
        <v>10</v>
      </c>
      <c r="Z440">
        <v>7</v>
      </c>
      <c r="AA440">
        <f t="shared" si="13"/>
        <v>57</v>
      </c>
      <c r="AB440" t="s">
        <v>45</v>
      </c>
      <c r="AC440">
        <v>22.33</v>
      </c>
      <c r="AD440">
        <v>21.14</v>
      </c>
      <c r="AE440">
        <v>47.45</v>
      </c>
      <c r="AF440">
        <v>51.53</v>
      </c>
      <c r="AG440">
        <v>31.87</v>
      </c>
      <c r="AH440">
        <v>58.48</v>
      </c>
      <c r="AI440">
        <v>18.7</v>
      </c>
      <c r="AJ440">
        <v>56.97</v>
      </c>
      <c r="AK440">
        <v>58.51</v>
      </c>
      <c r="AL440">
        <v>135.41</v>
      </c>
      <c r="AM440">
        <v>13.28</v>
      </c>
      <c r="AN440">
        <v>10.34</v>
      </c>
      <c r="AO440">
        <v>526.01</v>
      </c>
    </row>
    <row r="441" spans="1:41" x14ac:dyDescent="0.25">
      <c r="A441" t="s">
        <v>733</v>
      </c>
      <c r="B441">
        <v>1225</v>
      </c>
      <c r="C441">
        <v>6980</v>
      </c>
      <c r="D441">
        <v>847</v>
      </c>
      <c r="E441">
        <v>795</v>
      </c>
      <c r="F441">
        <v>11213</v>
      </c>
      <c r="G441">
        <v>4518</v>
      </c>
      <c r="H441">
        <v>5457</v>
      </c>
      <c r="I441">
        <v>5028</v>
      </c>
      <c r="J441">
        <v>0</v>
      </c>
      <c r="K441">
        <v>1134</v>
      </c>
      <c r="L441">
        <v>2171</v>
      </c>
      <c r="M441">
        <v>1097</v>
      </c>
      <c r="N441">
        <f t="shared" si="12"/>
        <v>40465</v>
      </c>
      <c r="O441">
        <v>3</v>
      </c>
      <c r="P441">
        <v>1</v>
      </c>
      <c r="Q441">
        <v>7</v>
      </c>
      <c r="R441">
        <v>5</v>
      </c>
      <c r="S441">
        <v>14</v>
      </c>
      <c r="T441">
        <v>1</v>
      </c>
      <c r="U441">
        <v>0</v>
      </c>
      <c r="V441">
        <v>3</v>
      </c>
      <c r="W441">
        <v>0</v>
      </c>
      <c r="X441">
        <v>0</v>
      </c>
      <c r="Y441">
        <v>10</v>
      </c>
      <c r="Z441">
        <v>2</v>
      </c>
      <c r="AA441">
        <f t="shared" si="13"/>
        <v>46</v>
      </c>
      <c r="AB441" t="s">
        <v>45</v>
      </c>
      <c r="AC441">
        <v>22.39</v>
      </c>
      <c r="AD441">
        <v>79.84</v>
      </c>
      <c r="AE441">
        <v>18.809999999999999</v>
      </c>
      <c r="AF441">
        <v>18.190000000000001</v>
      </c>
      <c r="AG441">
        <v>122.82</v>
      </c>
      <c r="AH441">
        <v>55.22</v>
      </c>
      <c r="AI441">
        <v>64.56</v>
      </c>
      <c r="AJ441">
        <v>60.42</v>
      </c>
      <c r="AK441">
        <v>9.99</v>
      </c>
      <c r="AL441">
        <v>21.33</v>
      </c>
      <c r="AM441">
        <v>32.200000000000003</v>
      </c>
      <c r="AN441">
        <v>21.06</v>
      </c>
      <c r="AO441">
        <v>526.82999999999993</v>
      </c>
    </row>
    <row r="442" spans="1:41" x14ac:dyDescent="0.25">
      <c r="A442" t="s">
        <v>734</v>
      </c>
      <c r="B442">
        <v>1222</v>
      </c>
      <c r="C442">
        <v>7812</v>
      </c>
      <c r="D442">
        <v>7715</v>
      </c>
      <c r="E442">
        <v>4765</v>
      </c>
      <c r="F442">
        <v>9076</v>
      </c>
      <c r="G442">
        <v>3028</v>
      </c>
      <c r="H442">
        <v>2243</v>
      </c>
      <c r="I442">
        <v>12056</v>
      </c>
      <c r="J442">
        <v>2921</v>
      </c>
      <c r="K442">
        <v>2803</v>
      </c>
      <c r="L442">
        <v>864</v>
      </c>
      <c r="M442">
        <v>4584</v>
      </c>
      <c r="N442">
        <f t="shared" si="12"/>
        <v>59089</v>
      </c>
      <c r="O442">
        <v>4</v>
      </c>
      <c r="P442">
        <v>1</v>
      </c>
      <c r="Q442">
        <v>13</v>
      </c>
      <c r="R442">
        <v>3</v>
      </c>
      <c r="S442">
        <v>15</v>
      </c>
      <c r="T442">
        <v>1</v>
      </c>
      <c r="U442">
        <v>7</v>
      </c>
      <c r="V442">
        <v>4</v>
      </c>
      <c r="W442">
        <v>2</v>
      </c>
      <c r="X442">
        <v>7</v>
      </c>
      <c r="Y442">
        <v>1</v>
      </c>
      <c r="Z442">
        <v>6</v>
      </c>
      <c r="AA442">
        <f t="shared" si="13"/>
        <v>64</v>
      </c>
      <c r="AB442" t="s">
        <v>45</v>
      </c>
      <c r="AC442">
        <v>22.41</v>
      </c>
      <c r="AD442">
        <v>88.16</v>
      </c>
      <c r="AE442">
        <v>87.79</v>
      </c>
      <c r="AF442">
        <v>57.79</v>
      </c>
      <c r="AG442">
        <v>101.5</v>
      </c>
      <c r="AH442">
        <v>40.32</v>
      </c>
      <c r="AI442">
        <v>32.770000000000003</v>
      </c>
      <c r="AJ442">
        <v>130.75</v>
      </c>
      <c r="AK442">
        <v>39.299999999999997</v>
      </c>
      <c r="AL442">
        <v>38.369999999999997</v>
      </c>
      <c r="AM442">
        <v>18.68</v>
      </c>
      <c r="AN442">
        <v>56.13</v>
      </c>
      <c r="AO442">
        <v>713.96999999999991</v>
      </c>
    </row>
    <row r="443" spans="1:41" x14ac:dyDescent="0.25">
      <c r="A443" t="s">
        <v>736</v>
      </c>
      <c r="B443">
        <v>1211</v>
      </c>
      <c r="C443">
        <v>11925</v>
      </c>
      <c r="D443">
        <v>2259</v>
      </c>
      <c r="E443">
        <v>6289</v>
      </c>
      <c r="F443">
        <v>1386</v>
      </c>
      <c r="G443">
        <v>3617</v>
      </c>
      <c r="H443">
        <v>100</v>
      </c>
      <c r="I443">
        <v>1549</v>
      </c>
      <c r="J443">
        <v>2057</v>
      </c>
      <c r="K443">
        <v>4122</v>
      </c>
      <c r="L443">
        <v>0</v>
      </c>
      <c r="M443">
        <v>4332</v>
      </c>
      <c r="N443">
        <f t="shared" si="12"/>
        <v>38847</v>
      </c>
      <c r="O443">
        <v>1</v>
      </c>
      <c r="P443">
        <v>7</v>
      </c>
      <c r="Q443">
        <v>6</v>
      </c>
      <c r="R443">
        <v>34</v>
      </c>
      <c r="S443">
        <v>22</v>
      </c>
      <c r="T443">
        <v>3</v>
      </c>
      <c r="U443">
        <v>5</v>
      </c>
      <c r="V443">
        <v>12</v>
      </c>
      <c r="W443">
        <v>9</v>
      </c>
      <c r="X443">
        <v>2</v>
      </c>
      <c r="Y443">
        <v>2</v>
      </c>
      <c r="Z443">
        <v>0</v>
      </c>
      <c r="AA443">
        <f t="shared" si="13"/>
        <v>103</v>
      </c>
      <c r="AB443" t="s">
        <v>45</v>
      </c>
      <c r="AC443">
        <v>22.15</v>
      </c>
      <c r="AD443">
        <v>129.59</v>
      </c>
      <c r="AE443">
        <v>32.880000000000003</v>
      </c>
      <c r="AF443">
        <v>74.58</v>
      </c>
      <c r="AG443">
        <v>24.95</v>
      </c>
      <c r="AH443">
        <v>46.31</v>
      </c>
      <c r="AI443">
        <v>11.24</v>
      </c>
      <c r="AJ443">
        <v>26.08</v>
      </c>
      <c r="AK443">
        <v>31.01</v>
      </c>
      <c r="AL443">
        <v>51.31</v>
      </c>
      <c r="AM443">
        <v>10.09</v>
      </c>
      <c r="AN443">
        <v>53.31</v>
      </c>
      <c r="AO443">
        <v>513.5</v>
      </c>
    </row>
    <row r="444" spans="1:41" x14ac:dyDescent="0.25">
      <c r="A444" t="s">
        <v>737</v>
      </c>
      <c r="B444">
        <v>1208</v>
      </c>
      <c r="C444">
        <v>3383</v>
      </c>
      <c r="D444">
        <v>8180</v>
      </c>
      <c r="E444">
        <v>11561</v>
      </c>
      <c r="F444">
        <v>974</v>
      </c>
      <c r="G444">
        <v>4722</v>
      </c>
      <c r="H444">
        <v>8861</v>
      </c>
      <c r="I444">
        <v>1292</v>
      </c>
      <c r="J444">
        <v>1776</v>
      </c>
      <c r="K444">
        <v>8859</v>
      </c>
      <c r="L444">
        <v>741</v>
      </c>
      <c r="M444">
        <v>8980</v>
      </c>
      <c r="N444">
        <f t="shared" si="12"/>
        <v>60537</v>
      </c>
      <c r="O444">
        <v>0</v>
      </c>
      <c r="P444">
        <v>0</v>
      </c>
      <c r="Q444">
        <v>2</v>
      </c>
      <c r="R444">
        <v>4</v>
      </c>
      <c r="S444">
        <v>5</v>
      </c>
      <c r="T444">
        <v>2</v>
      </c>
      <c r="U444">
        <v>2</v>
      </c>
      <c r="V444">
        <v>4</v>
      </c>
      <c r="W444">
        <v>1</v>
      </c>
      <c r="X444">
        <v>3</v>
      </c>
      <c r="Y444">
        <v>3</v>
      </c>
      <c r="Z444">
        <v>2</v>
      </c>
      <c r="AA444">
        <f t="shared" si="13"/>
        <v>28</v>
      </c>
      <c r="AB444" t="s">
        <v>45</v>
      </c>
      <c r="AC444">
        <v>22.07</v>
      </c>
      <c r="AD444">
        <v>43.82</v>
      </c>
      <c r="AE444">
        <v>91.89</v>
      </c>
      <c r="AF444">
        <v>125.8</v>
      </c>
      <c r="AG444">
        <v>19.98</v>
      </c>
      <c r="AH444">
        <v>57.31</v>
      </c>
      <c r="AI444">
        <v>98.7</v>
      </c>
      <c r="AJ444">
        <v>23.11</v>
      </c>
      <c r="AK444">
        <v>27.8</v>
      </c>
      <c r="AL444">
        <v>98.73</v>
      </c>
      <c r="AM444">
        <v>17.55</v>
      </c>
      <c r="AN444">
        <v>99.89</v>
      </c>
      <c r="AO444">
        <v>726.65</v>
      </c>
    </row>
    <row r="445" spans="1:41" x14ac:dyDescent="0.25">
      <c r="A445" t="s">
        <v>739</v>
      </c>
      <c r="B445">
        <v>1199</v>
      </c>
      <c r="C445">
        <v>8488</v>
      </c>
      <c r="D445">
        <v>1525</v>
      </c>
      <c r="E445">
        <v>0</v>
      </c>
      <c r="F445">
        <v>4455</v>
      </c>
      <c r="G445">
        <v>1120</v>
      </c>
      <c r="H445">
        <v>1508</v>
      </c>
      <c r="I445">
        <v>1010</v>
      </c>
      <c r="J445">
        <v>3409</v>
      </c>
      <c r="K445">
        <v>17900</v>
      </c>
      <c r="L445">
        <v>260</v>
      </c>
      <c r="M445">
        <v>2502</v>
      </c>
      <c r="N445">
        <f t="shared" si="12"/>
        <v>43376</v>
      </c>
      <c r="O445">
        <v>4</v>
      </c>
      <c r="P445">
        <v>0</v>
      </c>
      <c r="Q445">
        <v>4</v>
      </c>
      <c r="R445">
        <v>1</v>
      </c>
      <c r="S445">
        <v>7</v>
      </c>
      <c r="T445">
        <v>0</v>
      </c>
      <c r="U445">
        <v>3</v>
      </c>
      <c r="V445">
        <v>2</v>
      </c>
      <c r="W445">
        <v>6</v>
      </c>
      <c r="X445">
        <v>1</v>
      </c>
      <c r="Y445">
        <v>3</v>
      </c>
      <c r="Z445">
        <v>5</v>
      </c>
      <c r="AA445">
        <f t="shared" si="13"/>
        <v>36</v>
      </c>
      <c r="AB445" t="s">
        <v>45</v>
      </c>
      <c r="AC445">
        <v>22.18</v>
      </c>
      <c r="AD445">
        <v>94.87</v>
      </c>
      <c r="AE445">
        <v>25.44</v>
      </c>
      <c r="AF445">
        <v>10.039999999999999</v>
      </c>
      <c r="AG445">
        <v>54.89</v>
      </c>
      <c r="AH445">
        <v>21.19</v>
      </c>
      <c r="AI445">
        <v>25.22</v>
      </c>
      <c r="AJ445">
        <v>20.190000000000001</v>
      </c>
      <c r="AK445">
        <v>44.38</v>
      </c>
      <c r="AL445">
        <v>189.04</v>
      </c>
      <c r="AM445">
        <v>12.74</v>
      </c>
      <c r="AN445">
        <v>35.26</v>
      </c>
      <c r="AO445">
        <v>555.44000000000005</v>
      </c>
    </row>
    <row r="446" spans="1:41" x14ac:dyDescent="0.25">
      <c r="A446" t="s">
        <v>742</v>
      </c>
      <c r="B446">
        <v>1192</v>
      </c>
      <c r="C446">
        <v>7139</v>
      </c>
      <c r="D446">
        <v>8396</v>
      </c>
      <c r="E446">
        <v>3798</v>
      </c>
      <c r="F446">
        <v>4694</v>
      </c>
      <c r="G446">
        <v>4008</v>
      </c>
      <c r="H446">
        <v>2616</v>
      </c>
      <c r="I446">
        <v>11514</v>
      </c>
      <c r="J446">
        <v>540</v>
      </c>
      <c r="K446">
        <v>1181</v>
      </c>
      <c r="L446">
        <v>1612</v>
      </c>
      <c r="M446">
        <v>3431</v>
      </c>
      <c r="N446">
        <f t="shared" si="12"/>
        <v>50121</v>
      </c>
      <c r="O446">
        <v>4</v>
      </c>
      <c r="P446">
        <v>2</v>
      </c>
      <c r="Q446">
        <v>7</v>
      </c>
      <c r="R446">
        <v>4</v>
      </c>
      <c r="S446">
        <v>1</v>
      </c>
      <c r="T446">
        <v>2</v>
      </c>
      <c r="U446">
        <v>1</v>
      </c>
      <c r="V446">
        <v>1</v>
      </c>
      <c r="W446">
        <v>2</v>
      </c>
      <c r="X446">
        <v>7</v>
      </c>
      <c r="Y446">
        <v>1</v>
      </c>
      <c r="Z446">
        <v>2</v>
      </c>
      <c r="AA446">
        <f t="shared" si="13"/>
        <v>34</v>
      </c>
      <c r="AB446" t="s">
        <v>45</v>
      </c>
      <c r="AC446">
        <v>22.11</v>
      </c>
      <c r="AD446">
        <v>81.48</v>
      </c>
      <c r="AE446">
        <v>94.3</v>
      </c>
      <c r="AF446">
        <v>48.17</v>
      </c>
      <c r="AG446">
        <v>56.98</v>
      </c>
      <c r="AH446">
        <v>50.17</v>
      </c>
      <c r="AI446">
        <v>36.200000000000003</v>
      </c>
      <c r="AJ446">
        <v>125.18</v>
      </c>
      <c r="AK446">
        <v>15.49</v>
      </c>
      <c r="AL446">
        <v>22.15</v>
      </c>
      <c r="AM446">
        <v>26.16</v>
      </c>
      <c r="AN446">
        <v>44.4</v>
      </c>
      <c r="AO446">
        <v>622.79</v>
      </c>
    </row>
    <row r="447" spans="1:41" x14ac:dyDescent="0.25">
      <c r="A447" t="s">
        <v>744</v>
      </c>
      <c r="B447">
        <v>1168</v>
      </c>
      <c r="C447">
        <v>3660</v>
      </c>
      <c r="D447">
        <v>16161</v>
      </c>
      <c r="E447">
        <v>2411</v>
      </c>
      <c r="F447">
        <v>4716</v>
      </c>
      <c r="G447">
        <v>1382</v>
      </c>
      <c r="H447">
        <v>1802</v>
      </c>
      <c r="I447">
        <v>9068</v>
      </c>
      <c r="J447">
        <v>0</v>
      </c>
      <c r="K447">
        <v>1156</v>
      </c>
      <c r="L447">
        <v>2004</v>
      </c>
      <c r="M447">
        <v>1796</v>
      </c>
      <c r="N447">
        <f t="shared" si="12"/>
        <v>45324</v>
      </c>
      <c r="O447">
        <v>17</v>
      </c>
      <c r="P447">
        <v>13</v>
      </c>
      <c r="Q447">
        <v>0</v>
      </c>
      <c r="R447">
        <v>10</v>
      </c>
      <c r="S447">
        <v>1</v>
      </c>
      <c r="T447">
        <v>9</v>
      </c>
      <c r="U447">
        <v>1</v>
      </c>
      <c r="V447">
        <v>4</v>
      </c>
      <c r="W447">
        <v>5</v>
      </c>
      <c r="X447">
        <v>5</v>
      </c>
      <c r="Y447">
        <v>1</v>
      </c>
      <c r="Z447">
        <v>5</v>
      </c>
      <c r="AA447">
        <f t="shared" si="13"/>
        <v>71</v>
      </c>
      <c r="AB447" t="s">
        <v>45</v>
      </c>
      <c r="AC447">
        <v>22.52</v>
      </c>
      <c r="AD447">
        <v>47.24</v>
      </c>
      <c r="AE447">
        <v>171.6</v>
      </c>
      <c r="AF447">
        <v>34.6</v>
      </c>
      <c r="AG447">
        <v>57.2</v>
      </c>
      <c r="AH447">
        <v>24.26</v>
      </c>
      <c r="AI447">
        <v>28.06</v>
      </c>
      <c r="AJ447">
        <v>100.87</v>
      </c>
      <c r="AK447">
        <v>10.24</v>
      </c>
      <c r="AL447">
        <v>21.8</v>
      </c>
      <c r="AM447">
        <v>30.08</v>
      </c>
      <c r="AN447">
        <v>28.2</v>
      </c>
      <c r="AO447">
        <v>576.67000000000007</v>
      </c>
    </row>
    <row r="448" spans="1:41" x14ac:dyDescent="0.25">
      <c r="A448" t="s">
        <v>745</v>
      </c>
      <c r="B448">
        <v>1160</v>
      </c>
      <c r="C448">
        <v>8573</v>
      </c>
      <c r="D448">
        <v>5792</v>
      </c>
      <c r="E448">
        <v>1594</v>
      </c>
      <c r="F448">
        <v>3110</v>
      </c>
      <c r="G448">
        <v>8804</v>
      </c>
      <c r="H448">
        <v>2492</v>
      </c>
      <c r="I448">
        <v>4881</v>
      </c>
      <c r="J448">
        <v>12104</v>
      </c>
      <c r="K448">
        <v>3675</v>
      </c>
      <c r="L448">
        <v>893</v>
      </c>
      <c r="M448">
        <v>1455</v>
      </c>
      <c r="N448">
        <f t="shared" si="12"/>
        <v>54533</v>
      </c>
      <c r="O448">
        <v>9</v>
      </c>
      <c r="P448">
        <v>7</v>
      </c>
      <c r="Q448">
        <v>3</v>
      </c>
      <c r="R448">
        <v>9</v>
      </c>
      <c r="S448">
        <v>2</v>
      </c>
      <c r="T448">
        <v>8</v>
      </c>
      <c r="U448">
        <v>0</v>
      </c>
      <c r="V448">
        <v>6</v>
      </c>
      <c r="W448">
        <v>0</v>
      </c>
      <c r="X448">
        <v>9</v>
      </c>
      <c r="Y448">
        <v>10</v>
      </c>
      <c r="Z448">
        <v>1</v>
      </c>
      <c r="AA448">
        <f t="shared" si="13"/>
        <v>64</v>
      </c>
      <c r="AB448" t="s">
        <v>45</v>
      </c>
      <c r="AC448">
        <v>22.04</v>
      </c>
      <c r="AD448">
        <v>96.07</v>
      </c>
      <c r="AE448">
        <v>68.06</v>
      </c>
      <c r="AF448">
        <v>26.38</v>
      </c>
      <c r="AG448">
        <v>41.19</v>
      </c>
      <c r="AH448">
        <v>98.43</v>
      </c>
      <c r="AI448">
        <v>34.909999999999997</v>
      </c>
      <c r="AJ448">
        <v>59.1</v>
      </c>
      <c r="AK448">
        <v>131.03</v>
      </c>
      <c r="AL448">
        <v>47.19</v>
      </c>
      <c r="AM448">
        <v>19.420000000000002</v>
      </c>
      <c r="AN448">
        <v>24.59</v>
      </c>
      <c r="AO448">
        <v>668.40999999999985</v>
      </c>
    </row>
    <row r="449" spans="1:41" x14ac:dyDescent="0.25">
      <c r="A449" t="s">
        <v>750</v>
      </c>
      <c r="B449">
        <v>1126</v>
      </c>
      <c r="C449">
        <v>5190</v>
      </c>
      <c r="D449">
        <v>2799</v>
      </c>
      <c r="E449">
        <v>828</v>
      </c>
      <c r="F449">
        <v>8516</v>
      </c>
      <c r="G449">
        <v>2225</v>
      </c>
      <c r="H449">
        <v>0</v>
      </c>
      <c r="I449">
        <v>2818</v>
      </c>
      <c r="J449">
        <v>3301</v>
      </c>
      <c r="K449">
        <v>901</v>
      </c>
      <c r="L449">
        <v>5696</v>
      </c>
      <c r="M449">
        <v>4508</v>
      </c>
      <c r="N449">
        <f t="shared" si="12"/>
        <v>37908</v>
      </c>
      <c r="O449">
        <v>2</v>
      </c>
      <c r="P449">
        <v>3</v>
      </c>
      <c r="Q449">
        <v>3</v>
      </c>
      <c r="R449">
        <v>1</v>
      </c>
      <c r="S449">
        <v>1</v>
      </c>
      <c r="T449">
        <v>1</v>
      </c>
      <c r="U449">
        <v>5</v>
      </c>
      <c r="V449">
        <v>4</v>
      </c>
      <c r="W449">
        <v>6</v>
      </c>
      <c r="X449">
        <v>2</v>
      </c>
      <c r="Y449">
        <v>2</v>
      </c>
      <c r="Z449">
        <v>9</v>
      </c>
      <c r="AA449">
        <f t="shared" si="13"/>
        <v>39</v>
      </c>
      <c r="AB449" t="s">
        <v>45</v>
      </c>
      <c r="AC449">
        <v>21.35</v>
      </c>
      <c r="AD449">
        <v>62.04</v>
      </c>
      <c r="AE449">
        <v>38.130000000000003</v>
      </c>
      <c r="AF449">
        <v>18.32</v>
      </c>
      <c r="AG449">
        <v>95.2</v>
      </c>
      <c r="AH449">
        <v>32.29</v>
      </c>
      <c r="AI449">
        <v>10.24</v>
      </c>
      <c r="AJ449">
        <v>38.369999999999997</v>
      </c>
      <c r="AK449">
        <v>43.3</v>
      </c>
      <c r="AL449">
        <v>19.100000000000001</v>
      </c>
      <c r="AM449">
        <v>67.05</v>
      </c>
      <c r="AN449">
        <v>55.52</v>
      </c>
      <c r="AO449">
        <v>500.91000000000008</v>
      </c>
    </row>
    <row r="450" spans="1:41" x14ac:dyDescent="0.25">
      <c r="A450" t="s">
        <v>752</v>
      </c>
      <c r="B450">
        <v>1120</v>
      </c>
      <c r="C450">
        <v>5215</v>
      </c>
      <c r="D450">
        <v>9775</v>
      </c>
      <c r="E450">
        <v>5232</v>
      </c>
      <c r="F450">
        <v>3280</v>
      </c>
      <c r="G450">
        <v>681</v>
      </c>
      <c r="H450">
        <v>0</v>
      </c>
      <c r="I450">
        <v>4551</v>
      </c>
      <c r="J450">
        <v>343</v>
      </c>
      <c r="K450">
        <v>6839</v>
      </c>
      <c r="L450">
        <v>2888</v>
      </c>
      <c r="M450">
        <v>1987</v>
      </c>
      <c r="N450">
        <f t="shared" si="12"/>
        <v>41911</v>
      </c>
      <c r="O450">
        <v>0</v>
      </c>
      <c r="P450">
        <v>4</v>
      </c>
      <c r="Q450">
        <v>2</v>
      </c>
      <c r="R450">
        <v>3</v>
      </c>
      <c r="S450">
        <v>7</v>
      </c>
      <c r="T450">
        <v>1</v>
      </c>
      <c r="U450">
        <v>7</v>
      </c>
      <c r="V450">
        <v>3</v>
      </c>
      <c r="W450">
        <v>0</v>
      </c>
      <c r="X450">
        <v>6</v>
      </c>
      <c r="Y450">
        <v>4</v>
      </c>
      <c r="Z450">
        <v>9</v>
      </c>
      <c r="AA450">
        <f t="shared" si="13"/>
        <v>46</v>
      </c>
      <c r="AB450" t="s">
        <v>45</v>
      </c>
      <c r="AC450">
        <v>21.19</v>
      </c>
      <c r="AD450">
        <v>62.34</v>
      </c>
      <c r="AE450">
        <v>107.84</v>
      </c>
      <c r="AF450">
        <v>62.46</v>
      </c>
      <c r="AG450">
        <v>43.14</v>
      </c>
      <c r="AH450">
        <v>16.850000000000001</v>
      </c>
      <c r="AI450">
        <v>10.34</v>
      </c>
      <c r="AJ450">
        <v>55.65</v>
      </c>
      <c r="AK450">
        <v>13.42</v>
      </c>
      <c r="AL450">
        <v>78.680000000000007</v>
      </c>
      <c r="AM450">
        <v>39.07</v>
      </c>
      <c r="AN450">
        <v>30.31</v>
      </c>
      <c r="AO450">
        <v>541.29</v>
      </c>
    </row>
    <row r="451" spans="1:41" x14ac:dyDescent="0.25">
      <c r="A451" t="s">
        <v>753</v>
      </c>
      <c r="B451">
        <v>1111</v>
      </c>
      <c r="C451">
        <v>1921</v>
      </c>
      <c r="D451">
        <v>2125</v>
      </c>
      <c r="E451">
        <v>3859</v>
      </c>
      <c r="F451">
        <v>2298</v>
      </c>
      <c r="G451">
        <v>4655</v>
      </c>
      <c r="H451">
        <v>3181</v>
      </c>
      <c r="I451">
        <v>8739</v>
      </c>
      <c r="J451">
        <v>0</v>
      </c>
      <c r="K451">
        <v>4977</v>
      </c>
      <c r="L451">
        <v>4458</v>
      </c>
      <c r="M451">
        <v>9983</v>
      </c>
      <c r="N451">
        <f t="shared" si="12"/>
        <v>47307</v>
      </c>
      <c r="O451">
        <v>2</v>
      </c>
      <c r="P451">
        <v>0</v>
      </c>
      <c r="Q451">
        <v>9</v>
      </c>
      <c r="R451">
        <v>7</v>
      </c>
      <c r="S451">
        <v>2</v>
      </c>
      <c r="T451">
        <v>0</v>
      </c>
      <c r="U451">
        <v>0</v>
      </c>
      <c r="V451">
        <v>4</v>
      </c>
      <c r="W451">
        <v>3</v>
      </c>
      <c r="X451">
        <v>7</v>
      </c>
      <c r="Y451">
        <v>12</v>
      </c>
      <c r="Z451">
        <v>8</v>
      </c>
      <c r="AA451">
        <f t="shared" si="13"/>
        <v>54</v>
      </c>
      <c r="AB451" t="s">
        <v>45</v>
      </c>
      <c r="AC451">
        <v>21.2</v>
      </c>
      <c r="AD451">
        <v>29.2</v>
      </c>
      <c r="AE451">
        <v>31.69</v>
      </c>
      <c r="AF451">
        <v>48.93</v>
      </c>
      <c r="AG451">
        <v>33.07</v>
      </c>
      <c r="AH451">
        <v>56.54</v>
      </c>
      <c r="AI451">
        <v>41.8</v>
      </c>
      <c r="AJ451">
        <v>97.58</v>
      </c>
      <c r="AK451">
        <v>10.14</v>
      </c>
      <c r="AL451">
        <v>60.11</v>
      </c>
      <c r="AM451">
        <v>55.17</v>
      </c>
      <c r="AN451">
        <v>110.22</v>
      </c>
      <c r="AO451">
        <v>595.65</v>
      </c>
    </row>
    <row r="452" spans="1:41" x14ac:dyDescent="0.25">
      <c r="A452" t="s">
        <v>754</v>
      </c>
      <c r="B452">
        <v>1109</v>
      </c>
      <c r="C452">
        <v>8547</v>
      </c>
      <c r="D452">
        <v>3790</v>
      </c>
      <c r="E452">
        <v>8018</v>
      </c>
      <c r="F452">
        <v>1948</v>
      </c>
      <c r="G452">
        <v>0</v>
      </c>
      <c r="H452">
        <v>2378</v>
      </c>
      <c r="I452">
        <v>6885</v>
      </c>
      <c r="J452">
        <v>1540</v>
      </c>
      <c r="K452">
        <v>992</v>
      </c>
      <c r="L452">
        <v>541</v>
      </c>
      <c r="M452">
        <v>2392</v>
      </c>
      <c r="N452">
        <f t="shared" ref="N452:N515" si="14">SUM(B452:M452)</f>
        <v>38140</v>
      </c>
      <c r="O452">
        <v>0</v>
      </c>
      <c r="P452">
        <v>3</v>
      </c>
      <c r="Q452">
        <v>1</v>
      </c>
      <c r="R452">
        <v>5</v>
      </c>
      <c r="S452">
        <v>4</v>
      </c>
      <c r="T452">
        <v>0</v>
      </c>
      <c r="U452">
        <v>4</v>
      </c>
      <c r="V452">
        <v>3</v>
      </c>
      <c r="W452">
        <v>0</v>
      </c>
      <c r="X452">
        <v>1</v>
      </c>
      <c r="Y452">
        <v>2</v>
      </c>
      <c r="Z452">
        <v>0</v>
      </c>
      <c r="AA452">
        <f t="shared" ref="AA452:AA515" si="15">SUM(O452:Z452)</f>
        <v>23</v>
      </c>
      <c r="AB452" t="s">
        <v>45</v>
      </c>
      <c r="AC452">
        <v>21.08</v>
      </c>
      <c r="AD452">
        <v>95.61</v>
      </c>
      <c r="AE452">
        <v>47.94</v>
      </c>
      <c r="AF452">
        <v>90.42</v>
      </c>
      <c r="AG452">
        <v>29.67</v>
      </c>
      <c r="AH452">
        <v>9.99</v>
      </c>
      <c r="AI452">
        <v>33.97</v>
      </c>
      <c r="AJ452">
        <v>78.989999999999995</v>
      </c>
      <c r="AK452">
        <v>25.39</v>
      </c>
      <c r="AL452">
        <v>19.96</v>
      </c>
      <c r="AM452">
        <v>15.5</v>
      </c>
      <c r="AN452">
        <v>33.909999999999997</v>
      </c>
      <c r="AO452">
        <v>502.43000000000006</v>
      </c>
    </row>
    <row r="453" spans="1:41" x14ac:dyDescent="0.25">
      <c r="A453" t="s">
        <v>755</v>
      </c>
      <c r="B453">
        <v>1109</v>
      </c>
      <c r="C453">
        <v>2668</v>
      </c>
      <c r="D453">
        <v>7696</v>
      </c>
      <c r="E453">
        <v>4438</v>
      </c>
      <c r="F453">
        <v>3011</v>
      </c>
      <c r="G453">
        <v>0</v>
      </c>
      <c r="H453">
        <v>226</v>
      </c>
      <c r="I453">
        <v>854</v>
      </c>
      <c r="J453">
        <v>11344</v>
      </c>
      <c r="K453">
        <v>5204</v>
      </c>
      <c r="L453">
        <v>11708</v>
      </c>
      <c r="M453">
        <v>0</v>
      </c>
      <c r="N453">
        <f t="shared" si="14"/>
        <v>48258</v>
      </c>
      <c r="O453">
        <v>3</v>
      </c>
      <c r="P453">
        <v>2</v>
      </c>
      <c r="Q453">
        <v>0</v>
      </c>
      <c r="R453">
        <v>5</v>
      </c>
      <c r="S453">
        <v>6</v>
      </c>
      <c r="T453">
        <v>2</v>
      </c>
      <c r="U453">
        <v>5</v>
      </c>
      <c r="V453">
        <v>4</v>
      </c>
      <c r="W453">
        <v>4</v>
      </c>
      <c r="X453">
        <v>2</v>
      </c>
      <c r="Y453">
        <v>8</v>
      </c>
      <c r="Z453">
        <v>0</v>
      </c>
      <c r="AA453">
        <f t="shared" si="15"/>
        <v>41</v>
      </c>
      <c r="AB453" t="s">
        <v>45</v>
      </c>
      <c r="AC453">
        <v>21.23</v>
      </c>
      <c r="AD453">
        <v>36.770000000000003</v>
      </c>
      <c r="AE453">
        <v>86.95</v>
      </c>
      <c r="AF453">
        <v>54.62</v>
      </c>
      <c r="AG453">
        <v>40.4</v>
      </c>
      <c r="AH453">
        <v>10.09</v>
      </c>
      <c r="AI453">
        <v>12.5</v>
      </c>
      <c r="AJ453">
        <v>18.73</v>
      </c>
      <c r="AK453">
        <v>123.63</v>
      </c>
      <c r="AL453">
        <v>62.13</v>
      </c>
      <c r="AM453">
        <v>127.47</v>
      </c>
      <c r="AN453">
        <v>9.99</v>
      </c>
      <c r="AO453">
        <v>604.51</v>
      </c>
    </row>
    <row r="454" spans="1:41" x14ac:dyDescent="0.25">
      <c r="A454" t="s">
        <v>756</v>
      </c>
      <c r="B454">
        <v>1106</v>
      </c>
      <c r="C454">
        <v>11289</v>
      </c>
      <c r="D454">
        <v>2265</v>
      </c>
      <c r="E454">
        <v>1734</v>
      </c>
      <c r="F454">
        <v>3620</v>
      </c>
      <c r="G454">
        <v>2789</v>
      </c>
      <c r="H454">
        <v>10024</v>
      </c>
      <c r="I454">
        <v>8286</v>
      </c>
      <c r="J454">
        <v>2274</v>
      </c>
      <c r="K454">
        <v>2872</v>
      </c>
      <c r="L454">
        <v>0</v>
      </c>
      <c r="M454">
        <v>4515</v>
      </c>
      <c r="N454">
        <f t="shared" si="14"/>
        <v>50774</v>
      </c>
      <c r="O454">
        <v>0</v>
      </c>
      <c r="P454">
        <v>5</v>
      </c>
      <c r="Q454">
        <v>1</v>
      </c>
      <c r="R454">
        <v>6</v>
      </c>
      <c r="S454">
        <v>3</v>
      </c>
      <c r="T454">
        <v>2</v>
      </c>
      <c r="U454">
        <v>3</v>
      </c>
      <c r="V454">
        <v>4</v>
      </c>
      <c r="W454">
        <v>3</v>
      </c>
      <c r="X454">
        <v>2</v>
      </c>
      <c r="Y454">
        <v>0</v>
      </c>
      <c r="Z454">
        <v>6</v>
      </c>
      <c r="AA454">
        <f t="shared" si="15"/>
        <v>35</v>
      </c>
      <c r="AB454" t="s">
        <v>45</v>
      </c>
      <c r="AC454">
        <v>21.05</v>
      </c>
      <c r="AD454">
        <v>123.13</v>
      </c>
      <c r="AE454">
        <v>32.69</v>
      </c>
      <c r="AF454">
        <v>27.63</v>
      </c>
      <c r="AG454">
        <v>46.34</v>
      </c>
      <c r="AH454">
        <v>37.979999999999997</v>
      </c>
      <c r="AI454">
        <v>110.38</v>
      </c>
      <c r="AJ454">
        <v>93.05</v>
      </c>
      <c r="AK454">
        <v>32.880000000000003</v>
      </c>
      <c r="AL454">
        <v>38.81</v>
      </c>
      <c r="AM454">
        <v>9.99</v>
      </c>
      <c r="AN454">
        <v>55.44</v>
      </c>
      <c r="AO454">
        <v>629.37000000000012</v>
      </c>
    </row>
    <row r="455" spans="1:41" x14ac:dyDescent="0.25">
      <c r="A455" t="s">
        <v>758</v>
      </c>
      <c r="B455">
        <v>1095</v>
      </c>
      <c r="C455">
        <v>2761</v>
      </c>
      <c r="D455">
        <v>8197</v>
      </c>
      <c r="E455">
        <v>11610</v>
      </c>
      <c r="F455">
        <v>6495</v>
      </c>
      <c r="G455">
        <v>7185</v>
      </c>
      <c r="H455">
        <v>3889</v>
      </c>
      <c r="I455">
        <v>333</v>
      </c>
      <c r="J455">
        <v>5033</v>
      </c>
      <c r="K455">
        <v>12856</v>
      </c>
      <c r="L455">
        <v>2096</v>
      </c>
      <c r="M455">
        <v>1952</v>
      </c>
      <c r="N455">
        <f t="shared" si="14"/>
        <v>63502</v>
      </c>
      <c r="O455">
        <v>2</v>
      </c>
      <c r="P455">
        <v>11</v>
      </c>
      <c r="Q455">
        <v>8</v>
      </c>
      <c r="R455">
        <v>7</v>
      </c>
      <c r="S455">
        <v>3</v>
      </c>
      <c r="T455">
        <v>5</v>
      </c>
      <c r="U455">
        <v>3</v>
      </c>
      <c r="V455">
        <v>4</v>
      </c>
      <c r="W455">
        <v>4</v>
      </c>
      <c r="X455">
        <v>8</v>
      </c>
      <c r="Y455">
        <v>10</v>
      </c>
      <c r="Z455">
        <v>2</v>
      </c>
      <c r="AA455">
        <f t="shared" si="15"/>
        <v>67</v>
      </c>
      <c r="AB455" t="s">
        <v>45</v>
      </c>
      <c r="AC455">
        <v>21.04</v>
      </c>
      <c r="AD455">
        <v>38.15</v>
      </c>
      <c r="AE455">
        <v>92.36</v>
      </c>
      <c r="AF455">
        <v>126.44</v>
      </c>
      <c r="AG455">
        <v>75.09</v>
      </c>
      <c r="AH455">
        <v>82.09</v>
      </c>
      <c r="AI455">
        <v>49.03</v>
      </c>
      <c r="AJ455">
        <v>13.52</v>
      </c>
      <c r="AK455">
        <v>60.52</v>
      </c>
      <c r="AL455">
        <v>138.94999999999999</v>
      </c>
      <c r="AM455">
        <v>31.45</v>
      </c>
      <c r="AN455">
        <v>29.61</v>
      </c>
      <c r="AO455">
        <v>758.25000000000011</v>
      </c>
    </row>
    <row r="456" spans="1:41" x14ac:dyDescent="0.25">
      <c r="A456" t="s">
        <v>759</v>
      </c>
      <c r="B456">
        <v>1094</v>
      </c>
      <c r="C456">
        <v>3599</v>
      </c>
      <c r="D456">
        <v>2208</v>
      </c>
      <c r="E456">
        <v>2940</v>
      </c>
      <c r="F456">
        <v>2837</v>
      </c>
      <c r="G456">
        <v>8730</v>
      </c>
      <c r="H456">
        <v>3791</v>
      </c>
      <c r="I456">
        <v>9339</v>
      </c>
      <c r="J456">
        <v>2911</v>
      </c>
      <c r="K456">
        <v>437</v>
      </c>
      <c r="L456">
        <v>1551</v>
      </c>
      <c r="M456">
        <v>3424</v>
      </c>
      <c r="N456">
        <f t="shared" si="14"/>
        <v>42861</v>
      </c>
      <c r="O456">
        <v>2</v>
      </c>
      <c r="P456">
        <v>0</v>
      </c>
      <c r="Q456">
        <v>3</v>
      </c>
      <c r="R456">
        <v>2</v>
      </c>
      <c r="S456">
        <v>2</v>
      </c>
      <c r="T456">
        <v>5</v>
      </c>
      <c r="U456">
        <v>6</v>
      </c>
      <c r="V456">
        <v>8</v>
      </c>
      <c r="W456">
        <v>3</v>
      </c>
      <c r="X456">
        <v>2</v>
      </c>
      <c r="Y456">
        <v>3</v>
      </c>
      <c r="Z456">
        <v>17</v>
      </c>
      <c r="AA456">
        <f t="shared" si="15"/>
        <v>53</v>
      </c>
      <c r="AB456" t="s">
        <v>45</v>
      </c>
      <c r="AC456">
        <v>21.03</v>
      </c>
      <c r="AD456">
        <v>45.98</v>
      </c>
      <c r="AE456">
        <v>32.22</v>
      </c>
      <c r="AF456">
        <v>39.49</v>
      </c>
      <c r="AG456">
        <v>38.46</v>
      </c>
      <c r="AH456">
        <v>97.54</v>
      </c>
      <c r="AI456">
        <v>48.2</v>
      </c>
      <c r="AJ456">
        <v>103.78</v>
      </c>
      <c r="AK456">
        <v>39.25</v>
      </c>
      <c r="AL456">
        <v>14.46</v>
      </c>
      <c r="AM456">
        <v>25.65</v>
      </c>
      <c r="AN456">
        <v>45.08</v>
      </c>
      <c r="AO456">
        <v>551.14</v>
      </c>
    </row>
    <row r="457" spans="1:41" x14ac:dyDescent="0.25">
      <c r="A457" t="s">
        <v>760</v>
      </c>
      <c r="B457">
        <v>1082</v>
      </c>
      <c r="C457">
        <v>19023</v>
      </c>
      <c r="D457">
        <v>8541</v>
      </c>
      <c r="E457">
        <v>4380</v>
      </c>
      <c r="F457">
        <v>7441</v>
      </c>
      <c r="G457">
        <v>9566</v>
      </c>
      <c r="H457">
        <v>3227</v>
      </c>
      <c r="I457">
        <v>3063</v>
      </c>
      <c r="J457">
        <v>8331</v>
      </c>
      <c r="K457">
        <v>2823</v>
      </c>
      <c r="L457">
        <v>207</v>
      </c>
      <c r="M457">
        <v>1948</v>
      </c>
      <c r="N457">
        <f t="shared" si="14"/>
        <v>69632</v>
      </c>
      <c r="O457">
        <v>4</v>
      </c>
      <c r="P457">
        <v>5</v>
      </c>
      <c r="Q457">
        <v>1</v>
      </c>
      <c r="R457">
        <v>12</v>
      </c>
      <c r="S457">
        <v>7</v>
      </c>
      <c r="T457">
        <v>4</v>
      </c>
      <c r="U457">
        <v>2</v>
      </c>
      <c r="V457">
        <v>1</v>
      </c>
      <c r="W457">
        <v>2</v>
      </c>
      <c r="X457">
        <v>2</v>
      </c>
      <c r="Y457">
        <v>2</v>
      </c>
      <c r="Z457">
        <v>15</v>
      </c>
      <c r="AA457">
        <f t="shared" si="15"/>
        <v>57</v>
      </c>
      <c r="AB457" t="s">
        <v>45</v>
      </c>
      <c r="AC457">
        <v>21.01</v>
      </c>
      <c r="AD457">
        <v>200.47</v>
      </c>
      <c r="AE457">
        <v>95.45</v>
      </c>
      <c r="AF457">
        <v>54.39</v>
      </c>
      <c r="AG457">
        <v>84.75</v>
      </c>
      <c r="AH457">
        <v>105.85</v>
      </c>
      <c r="AI457">
        <v>42.36</v>
      </c>
      <c r="AJ457">
        <v>40.67</v>
      </c>
      <c r="AK457">
        <v>93.4</v>
      </c>
      <c r="AL457">
        <v>38.32</v>
      </c>
      <c r="AM457">
        <v>12.16</v>
      </c>
      <c r="AN457">
        <v>30.22</v>
      </c>
      <c r="AO457">
        <v>819.05</v>
      </c>
    </row>
    <row r="458" spans="1:41" x14ac:dyDescent="0.25">
      <c r="A458" t="s">
        <v>761</v>
      </c>
      <c r="B458">
        <v>1082</v>
      </c>
      <c r="C458">
        <v>5832</v>
      </c>
      <c r="D458">
        <v>2728</v>
      </c>
      <c r="E458">
        <v>316</v>
      </c>
      <c r="F458">
        <v>1364</v>
      </c>
      <c r="G458">
        <v>2744</v>
      </c>
      <c r="H458">
        <v>1420</v>
      </c>
      <c r="I458">
        <v>5701</v>
      </c>
      <c r="J458">
        <v>3641</v>
      </c>
      <c r="K458">
        <v>1647</v>
      </c>
      <c r="L458">
        <v>9383</v>
      </c>
      <c r="M458">
        <v>1946</v>
      </c>
      <c r="N458">
        <f t="shared" si="14"/>
        <v>37804</v>
      </c>
      <c r="O458">
        <v>3</v>
      </c>
      <c r="P458">
        <v>3</v>
      </c>
      <c r="Q458">
        <v>0</v>
      </c>
      <c r="R458">
        <v>3</v>
      </c>
      <c r="S458">
        <v>14</v>
      </c>
      <c r="T458">
        <v>14</v>
      </c>
      <c r="U458">
        <v>3</v>
      </c>
      <c r="V458">
        <v>1</v>
      </c>
      <c r="W458">
        <v>2</v>
      </c>
      <c r="X458">
        <v>3</v>
      </c>
      <c r="Y458">
        <v>13</v>
      </c>
      <c r="Z458">
        <v>2</v>
      </c>
      <c r="AA458">
        <f t="shared" si="15"/>
        <v>61</v>
      </c>
      <c r="AB458" t="s">
        <v>45</v>
      </c>
      <c r="AC458">
        <v>20.96</v>
      </c>
      <c r="AD458">
        <v>68.459999999999994</v>
      </c>
      <c r="AE458">
        <v>37.270000000000003</v>
      </c>
      <c r="AF458">
        <v>13.3</v>
      </c>
      <c r="AG458">
        <v>24.33</v>
      </c>
      <c r="AH458">
        <v>38.130000000000003</v>
      </c>
      <c r="AI458">
        <v>24.34</v>
      </c>
      <c r="AJ458">
        <v>67.05</v>
      </c>
      <c r="AK458">
        <v>46.5</v>
      </c>
      <c r="AL458">
        <v>26.61</v>
      </c>
      <c r="AM458">
        <v>104.47</v>
      </c>
      <c r="AN458">
        <v>29.55</v>
      </c>
      <c r="AO458">
        <v>500.96999999999997</v>
      </c>
    </row>
    <row r="459" spans="1:41" x14ac:dyDescent="0.25">
      <c r="A459" t="s">
        <v>764</v>
      </c>
      <c r="B459">
        <v>1072</v>
      </c>
      <c r="C459">
        <v>3326</v>
      </c>
      <c r="D459">
        <v>7740</v>
      </c>
      <c r="E459">
        <v>12771</v>
      </c>
      <c r="F459">
        <v>745</v>
      </c>
      <c r="G459">
        <v>486</v>
      </c>
      <c r="H459">
        <v>3749</v>
      </c>
      <c r="I459">
        <v>1156</v>
      </c>
      <c r="J459">
        <v>0</v>
      </c>
      <c r="K459">
        <v>2109</v>
      </c>
      <c r="L459">
        <v>5723</v>
      </c>
      <c r="M459">
        <v>5891</v>
      </c>
      <c r="N459">
        <f t="shared" si="14"/>
        <v>44768</v>
      </c>
      <c r="O459">
        <v>3</v>
      </c>
      <c r="P459">
        <v>7</v>
      </c>
      <c r="Q459">
        <v>2</v>
      </c>
      <c r="R459">
        <v>4</v>
      </c>
      <c r="S459">
        <v>1</v>
      </c>
      <c r="T459">
        <v>5</v>
      </c>
      <c r="U459">
        <v>1</v>
      </c>
      <c r="V459">
        <v>10</v>
      </c>
      <c r="W459">
        <v>17</v>
      </c>
      <c r="X459">
        <v>14</v>
      </c>
      <c r="Y459">
        <v>6</v>
      </c>
      <c r="Z459">
        <v>0</v>
      </c>
      <c r="AA459">
        <f t="shared" si="15"/>
        <v>70</v>
      </c>
      <c r="AB459" t="s">
        <v>45</v>
      </c>
      <c r="AC459">
        <v>20.86</v>
      </c>
      <c r="AD459">
        <v>43.6</v>
      </c>
      <c r="AE459">
        <v>87.49</v>
      </c>
      <c r="AF459">
        <v>137.9</v>
      </c>
      <c r="AG459">
        <v>17.489999999999998</v>
      </c>
      <c r="AH459">
        <v>15.1</v>
      </c>
      <c r="AI459">
        <v>47.53</v>
      </c>
      <c r="AJ459">
        <v>22.05</v>
      </c>
      <c r="AK459">
        <v>10.84</v>
      </c>
      <c r="AL459">
        <v>31.78</v>
      </c>
      <c r="AM459">
        <v>67.52</v>
      </c>
      <c r="AN459">
        <v>68.900000000000006</v>
      </c>
      <c r="AO459">
        <v>571.05999999999995</v>
      </c>
    </row>
    <row r="460" spans="1:41" x14ac:dyDescent="0.25">
      <c r="A460" t="s">
        <v>765</v>
      </c>
      <c r="B460">
        <v>1061</v>
      </c>
      <c r="C460">
        <v>4316</v>
      </c>
      <c r="D460">
        <v>4313</v>
      </c>
      <c r="E460">
        <v>2490</v>
      </c>
      <c r="F460">
        <v>0</v>
      </c>
      <c r="G460">
        <v>9562</v>
      </c>
      <c r="H460">
        <v>1302</v>
      </c>
      <c r="I460">
        <v>5450</v>
      </c>
      <c r="J460">
        <v>3431</v>
      </c>
      <c r="K460">
        <v>4177</v>
      </c>
      <c r="L460">
        <v>9166</v>
      </c>
      <c r="M460">
        <v>4865</v>
      </c>
      <c r="N460">
        <f t="shared" si="14"/>
        <v>50133</v>
      </c>
      <c r="O460">
        <v>5</v>
      </c>
      <c r="P460">
        <v>3</v>
      </c>
      <c r="Q460">
        <v>3</v>
      </c>
      <c r="R460">
        <v>1</v>
      </c>
      <c r="S460">
        <v>0</v>
      </c>
      <c r="T460">
        <v>3</v>
      </c>
      <c r="U460">
        <v>2</v>
      </c>
      <c r="V460">
        <v>7</v>
      </c>
      <c r="W460">
        <v>1</v>
      </c>
      <c r="X460">
        <v>6</v>
      </c>
      <c r="Y460">
        <v>2</v>
      </c>
      <c r="Z460">
        <v>5</v>
      </c>
      <c r="AA460">
        <f t="shared" si="15"/>
        <v>38</v>
      </c>
      <c r="AB460" t="s">
        <v>45</v>
      </c>
      <c r="AC460">
        <v>20.85</v>
      </c>
      <c r="AD460">
        <v>53.3</v>
      </c>
      <c r="AE460">
        <v>53.27</v>
      </c>
      <c r="AF460">
        <v>34.94</v>
      </c>
      <c r="AG460">
        <v>9.99</v>
      </c>
      <c r="AH460">
        <v>105.76</v>
      </c>
      <c r="AI460">
        <v>23.11</v>
      </c>
      <c r="AJ460">
        <v>64.84</v>
      </c>
      <c r="AK460">
        <v>44.35</v>
      </c>
      <c r="AL460">
        <v>52.06</v>
      </c>
      <c r="AM460">
        <v>101.75</v>
      </c>
      <c r="AN460">
        <v>58.89</v>
      </c>
      <c r="AO460">
        <v>623.11</v>
      </c>
    </row>
    <row r="461" spans="1:41" x14ac:dyDescent="0.25">
      <c r="A461" t="s">
        <v>766</v>
      </c>
      <c r="B461">
        <v>1049</v>
      </c>
      <c r="C461">
        <v>0</v>
      </c>
      <c r="D461">
        <v>0</v>
      </c>
      <c r="E461">
        <v>6165</v>
      </c>
      <c r="F461">
        <v>5610</v>
      </c>
      <c r="G461">
        <v>1243</v>
      </c>
      <c r="H461">
        <v>5820</v>
      </c>
      <c r="I461">
        <v>646</v>
      </c>
      <c r="J461">
        <v>2726</v>
      </c>
      <c r="K461">
        <v>6990</v>
      </c>
      <c r="L461">
        <v>6144</v>
      </c>
      <c r="M461">
        <v>2351</v>
      </c>
      <c r="N461">
        <f t="shared" si="14"/>
        <v>38744</v>
      </c>
      <c r="O461">
        <v>7</v>
      </c>
      <c r="P461">
        <v>7</v>
      </c>
      <c r="Q461">
        <v>1</v>
      </c>
      <c r="R461">
        <v>13</v>
      </c>
      <c r="S461">
        <v>3</v>
      </c>
      <c r="T461">
        <v>3</v>
      </c>
      <c r="U461">
        <v>6</v>
      </c>
      <c r="V461">
        <v>8</v>
      </c>
      <c r="W461">
        <v>13</v>
      </c>
      <c r="X461">
        <v>1</v>
      </c>
      <c r="Y461">
        <v>9</v>
      </c>
      <c r="Z461">
        <v>1</v>
      </c>
      <c r="AA461">
        <f t="shared" si="15"/>
        <v>72</v>
      </c>
      <c r="AB461" t="s">
        <v>45</v>
      </c>
      <c r="AC461">
        <v>20.83</v>
      </c>
      <c r="AD461">
        <v>10.34</v>
      </c>
      <c r="AE461">
        <v>10.039999999999999</v>
      </c>
      <c r="AF461">
        <v>72.290000000000006</v>
      </c>
      <c r="AG461">
        <v>66.239999999999995</v>
      </c>
      <c r="AH461">
        <v>22.57</v>
      </c>
      <c r="AI461">
        <v>68.489999999999995</v>
      </c>
      <c r="AJ461">
        <v>16.850000000000001</v>
      </c>
      <c r="AK461">
        <v>37.9</v>
      </c>
      <c r="AL461">
        <v>79.94</v>
      </c>
      <c r="AM461">
        <v>71.88</v>
      </c>
      <c r="AN461">
        <v>33.549999999999997</v>
      </c>
      <c r="AO461">
        <v>510.92</v>
      </c>
    </row>
    <row r="462" spans="1:41" x14ac:dyDescent="0.25">
      <c r="A462" t="s">
        <v>767</v>
      </c>
      <c r="B462">
        <v>1047</v>
      </c>
      <c r="C462">
        <v>3141</v>
      </c>
      <c r="D462">
        <v>1254</v>
      </c>
      <c r="E462">
        <v>5509</v>
      </c>
      <c r="F462">
        <v>2398</v>
      </c>
      <c r="G462">
        <v>847</v>
      </c>
      <c r="H462">
        <v>14699</v>
      </c>
      <c r="I462">
        <v>1111</v>
      </c>
      <c r="J462">
        <v>3906</v>
      </c>
      <c r="K462">
        <v>16959</v>
      </c>
      <c r="L462">
        <v>4460</v>
      </c>
      <c r="M462">
        <v>5521</v>
      </c>
      <c r="N462">
        <f t="shared" si="14"/>
        <v>60852</v>
      </c>
      <c r="O462">
        <v>2</v>
      </c>
      <c r="P462">
        <v>2</v>
      </c>
      <c r="Q462">
        <v>5</v>
      </c>
      <c r="R462">
        <v>1</v>
      </c>
      <c r="S462">
        <v>2</v>
      </c>
      <c r="T462">
        <v>3</v>
      </c>
      <c r="U462">
        <v>6</v>
      </c>
      <c r="V462">
        <v>8</v>
      </c>
      <c r="W462">
        <v>11</v>
      </c>
      <c r="X462">
        <v>4</v>
      </c>
      <c r="Y462">
        <v>14</v>
      </c>
      <c r="Z462">
        <v>8</v>
      </c>
      <c r="AA462">
        <f t="shared" si="15"/>
        <v>66</v>
      </c>
      <c r="AB462" t="s">
        <v>45</v>
      </c>
      <c r="AC462">
        <v>20.56</v>
      </c>
      <c r="AD462">
        <v>41.5</v>
      </c>
      <c r="AE462">
        <v>22.78</v>
      </c>
      <c r="AF462">
        <v>65.13</v>
      </c>
      <c r="AG462">
        <v>34.07</v>
      </c>
      <c r="AH462">
        <v>18.61</v>
      </c>
      <c r="AI462">
        <v>157.28</v>
      </c>
      <c r="AJ462">
        <v>21.5</v>
      </c>
      <c r="AK462">
        <v>49.6</v>
      </c>
      <c r="AL462">
        <v>179.78</v>
      </c>
      <c r="AM462">
        <v>55.29</v>
      </c>
      <c r="AN462">
        <v>65.599999999999994</v>
      </c>
      <c r="AO462">
        <v>731.69999999999993</v>
      </c>
    </row>
    <row r="463" spans="1:41" x14ac:dyDescent="0.25">
      <c r="A463" t="s">
        <v>768</v>
      </c>
      <c r="B463">
        <v>1044</v>
      </c>
      <c r="C463">
        <v>10528</v>
      </c>
      <c r="D463">
        <v>8503</v>
      </c>
      <c r="E463">
        <v>339</v>
      </c>
      <c r="F463">
        <v>669</v>
      </c>
      <c r="G463">
        <v>1652</v>
      </c>
      <c r="H463">
        <v>1008</v>
      </c>
      <c r="I463">
        <v>8392</v>
      </c>
      <c r="J463">
        <v>9590</v>
      </c>
      <c r="K463">
        <v>0</v>
      </c>
      <c r="L463">
        <v>2398</v>
      </c>
      <c r="M463">
        <v>3159</v>
      </c>
      <c r="N463">
        <f t="shared" si="14"/>
        <v>47282</v>
      </c>
      <c r="O463">
        <v>5</v>
      </c>
      <c r="P463">
        <v>0</v>
      </c>
      <c r="Q463">
        <v>0</v>
      </c>
      <c r="R463">
        <v>4</v>
      </c>
      <c r="S463">
        <v>13</v>
      </c>
      <c r="T463">
        <v>3</v>
      </c>
      <c r="U463">
        <v>4</v>
      </c>
      <c r="V463">
        <v>2</v>
      </c>
      <c r="W463">
        <v>3</v>
      </c>
      <c r="X463">
        <v>0</v>
      </c>
      <c r="Y463">
        <v>3</v>
      </c>
      <c r="Z463">
        <v>10</v>
      </c>
      <c r="AA463">
        <f t="shared" si="15"/>
        <v>47</v>
      </c>
      <c r="AB463" t="s">
        <v>45</v>
      </c>
      <c r="AC463">
        <v>20.68</v>
      </c>
      <c r="AD463">
        <v>115.27</v>
      </c>
      <c r="AE463">
        <v>95.02</v>
      </c>
      <c r="AF463">
        <v>13.58</v>
      </c>
      <c r="AG463">
        <v>17.329999999999998</v>
      </c>
      <c r="AH463">
        <v>26.66</v>
      </c>
      <c r="AI463">
        <v>20.27</v>
      </c>
      <c r="AJ463">
        <v>94.01</v>
      </c>
      <c r="AK463">
        <v>106.04</v>
      </c>
      <c r="AL463">
        <v>9.99</v>
      </c>
      <c r="AM463">
        <v>34.119999999999997</v>
      </c>
      <c r="AN463">
        <v>42.08</v>
      </c>
      <c r="AO463">
        <v>595.05000000000007</v>
      </c>
    </row>
    <row r="464" spans="1:41" x14ac:dyDescent="0.25">
      <c r="A464" t="s">
        <v>770</v>
      </c>
      <c r="B464">
        <v>1002</v>
      </c>
      <c r="C464">
        <v>523</v>
      </c>
      <c r="D464">
        <v>1706</v>
      </c>
      <c r="E464">
        <v>2087</v>
      </c>
      <c r="F464">
        <v>7918</v>
      </c>
      <c r="G464">
        <v>1720</v>
      </c>
      <c r="H464">
        <v>1726</v>
      </c>
      <c r="I464">
        <v>1928</v>
      </c>
      <c r="J464">
        <v>344</v>
      </c>
      <c r="K464">
        <v>9208</v>
      </c>
      <c r="L464">
        <v>2205</v>
      </c>
      <c r="M464">
        <v>13375</v>
      </c>
      <c r="N464">
        <f t="shared" si="14"/>
        <v>43742</v>
      </c>
      <c r="O464">
        <v>8</v>
      </c>
      <c r="P464">
        <v>4</v>
      </c>
      <c r="Q464">
        <v>17</v>
      </c>
      <c r="R464">
        <v>1</v>
      </c>
      <c r="S464">
        <v>1</v>
      </c>
      <c r="T464">
        <v>5</v>
      </c>
      <c r="U464">
        <v>1</v>
      </c>
      <c r="V464">
        <v>11</v>
      </c>
      <c r="W464">
        <v>1</v>
      </c>
      <c r="X464">
        <v>5</v>
      </c>
      <c r="Y464">
        <v>5</v>
      </c>
      <c r="Z464">
        <v>5</v>
      </c>
      <c r="AA464">
        <f t="shared" si="15"/>
        <v>64</v>
      </c>
      <c r="AB464" t="s">
        <v>45</v>
      </c>
      <c r="AC464">
        <v>20.41</v>
      </c>
      <c r="AD464">
        <v>15.42</v>
      </c>
      <c r="AE464">
        <v>27.9</v>
      </c>
      <c r="AF464">
        <v>30.91</v>
      </c>
      <c r="AG464">
        <v>89.22</v>
      </c>
      <c r="AH464">
        <v>27.44</v>
      </c>
      <c r="AI464">
        <v>27.3</v>
      </c>
      <c r="AJ464">
        <v>29.82</v>
      </c>
      <c r="AK464">
        <v>13.48</v>
      </c>
      <c r="AL464">
        <v>102.32</v>
      </c>
      <c r="AM464">
        <v>32.29</v>
      </c>
      <c r="AN464">
        <v>143.99</v>
      </c>
      <c r="AO464">
        <v>560.5</v>
      </c>
    </row>
    <row r="465" spans="1:41" x14ac:dyDescent="0.25">
      <c r="A465" t="s">
        <v>774</v>
      </c>
      <c r="B465">
        <v>985</v>
      </c>
      <c r="C465">
        <v>1157</v>
      </c>
      <c r="D465">
        <v>2832</v>
      </c>
      <c r="E465">
        <v>2370</v>
      </c>
      <c r="F465">
        <v>9058</v>
      </c>
      <c r="G465">
        <v>4651</v>
      </c>
      <c r="H465">
        <v>6881</v>
      </c>
      <c r="I465">
        <v>8391</v>
      </c>
      <c r="J465">
        <v>6692</v>
      </c>
      <c r="K465">
        <v>628</v>
      </c>
      <c r="L465">
        <v>441</v>
      </c>
      <c r="M465">
        <v>3029</v>
      </c>
      <c r="N465">
        <f t="shared" si="14"/>
        <v>47115</v>
      </c>
      <c r="O465">
        <v>0</v>
      </c>
      <c r="P465">
        <v>0</v>
      </c>
      <c r="Q465">
        <v>5</v>
      </c>
      <c r="R465">
        <v>3</v>
      </c>
      <c r="S465">
        <v>6</v>
      </c>
      <c r="T465">
        <v>3</v>
      </c>
      <c r="U465">
        <v>3</v>
      </c>
      <c r="V465">
        <v>4</v>
      </c>
      <c r="W465">
        <v>4</v>
      </c>
      <c r="X465">
        <v>1</v>
      </c>
      <c r="Y465">
        <v>1</v>
      </c>
      <c r="Z465">
        <v>3</v>
      </c>
      <c r="AA465">
        <f t="shared" si="15"/>
        <v>33</v>
      </c>
      <c r="AB465" t="s">
        <v>45</v>
      </c>
      <c r="AC465">
        <v>19.84</v>
      </c>
      <c r="AD465">
        <v>21.56</v>
      </c>
      <c r="AE465">
        <v>38.56</v>
      </c>
      <c r="AF465">
        <v>33.840000000000003</v>
      </c>
      <c r="AG465">
        <v>100.87</v>
      </c>
      <c r="AH465">
        <v>56.65</v>
      </c>
      <c r="AI465">
        <v>78.95</v>
      </c>
      <c r="AJ465">
        <v>94.1</v>
      </c>
      <c r="AK465">
        <v>77.11</v>
      </c>
      <c r="AL465">
        <v>16.32</v>
      </c>
      <c r="AM465">
        <v>14.45</v>
      </c>
      <c r="AN465">
        <v>40.43</v>
      </c>
      <c r="AO465">
        <v>592.68000000000006</v>
      </c>
    </row>
    <row r="466" spans="1:41" x14ac:dyDescent="0.25">
      <c r="A466" t="s">
        <v>776</v>
      </c>
      <c r="B466">
        <v>978</v>
      </c>
      <c r="C466">
        <v>3471</v>
      </c>
      <c r="D466">
        <v>2008</v>
      </c>
      <c r="E466">
        <v>5632</v>
      </c>
      <c r="F466">
        <v>5213</v>
      </c>
      <c r="G466">
        <v>1012</v>
      </c>
      <c r="H466">
        <v>3915</v>
      </c>
      <c r="I466">
        <v>3953</v>
      </c>
      <c r="J466">
        <v>3992</v>
      </c>
      <c r="K466">
        <v>2360</v>
      </c>
      <c r="L466">
        <v>5271</v>
      </c>
      <c r="M466">
        <v>0</v>
      </c>
      <c r="N466">
        <f t="shared" si="14"/>
        <v>37805</v>
      </c>
      <c r="O466">
        <v>2</v>
      </c>
      <c r="P466">
        <v>9</v>
      </c>
      <c r="Q466">
        <v>3</v>
      </c>
      <c r="R466">
        <v>9</v>
      </c>
      <c r="S466">
        <v>1</v>
      </c>
      <c r="T466">
        <v>5</v>
      </c>
      <c r="U466">
        <v>4</v>
      </c>
      <c r="V466">
        <v>3</v>
      </c>
      <c r="W466">
        <v>1</v>
      </c>
      <c r="X466">
        <v>1</v>
      </c>
      <c r="Y466">
        <v>2</v>
      </c>
      <c r="Z466">
        <v>1</v>
      </c>
      <c r="AA466">
        <f t="shared" si="15"/>
        <v>41</v>
      </c>
      <c r="AB466" t="s">
        <v>45</v>
      </c>
      <c r="AC466">
        <v>19.87</v>
      </c>
      <c r="AD466">
        <v>45.15</v>
      </c>
      <c r="AE466">
        <v>30.22</v>
      </c>
      <c r="AF466">
        <v>66.760000000000005</v>
      </c>
      <c r="AG466">
        <v>62.17</v>
      </c>
      <c r="AH466">
        <v>20.36</v>
      </c>
      <c r="AI466">
        <v>49.34</v>
      </c>
      <c r="AJ466">
        <v>49.67</v>
      </c>
      <c r="AK466">
        <v>49.96</v>
      </c>
      <c r="AL466">
        <v>33.64</v>
      </c>
      <c r="AM466">
        <v>62.8</v>
      </c>
      <c r="AN466">
        <v>10.039999999999999</v>
      </c>
      <c r="AO466">
        <v>499.98</v>
      </c>
    </row>
    <row r="467" spans="1:41" x14ac:dyDescent="0.25">
      <c r="A467" t="s">
        <v>778</v>
      </c>
      <c r="B467">
        <v>965</v>
      </c>
      <c r="C467">
        <v>90</v>
      </c>
      <c r="D467">
        <v>590</v>
      </c>
      <c r="E467">
        <v>2637</v>
      </c>
      <c r="F467">
        <v>4985</v>
      </c>
      <c r="G467">
        <v>3760</v>
      </c>
      <c r="H467">
        <v>2918</v>
      </c>
      <c r="I467">
        <v>6437</v>
      </c>
      <c r="J467">
        <v>3098</v>
      </c>
      <c r="K467">
        <v>3592</v>
      </c>
      <c r="L467">
        <v>3478</v>
      </c>
      <c r="M467">
        <v>7087</v>
      </c>
      <c r="N467">
        <f t="shared" si="14"/>
        <v>39637</v>
      </c>
      <c r="O467">
        <v>2</v>
      </c>
      <c r="P467">
        <v>3</v>
      </c>
      <c r="Q467">
        <v>2</v>
      </c>
      <c r="R467">
        <v>11</v>
      </c>
      <c r="S467">
        <v>5</v>
      </c>
      <c r="T467">
        <v>5</v>
      </c>
      <c r="U467">
        <v>3</v>
      </c>
      <c r="V467">
        <v>0</v>
      </c>
      <c r="W467">
        <v>0</v>
      </c>
      <c r="X467">
        <v>3</v>
      </c>
      <c r="Y467">
        <v>1</v>
      </c>
      <c r="Z467">
        <v>3</v>
      </c>
      <c r="AA467">
        <f t="shared" si="15"/>
        <v>38</v>
      </c>
      <c r="AB467" t="s">
        <v>45</v>
      </c>
      <c r="AC467">
        <v>19.739999999999998</v>
      </c>
      <c r="AD467">
        <v>11.04</v>
      </c>
      <c r="AE467">
        <v>15.99</v>
      </c>
      <c r="AF467">
        <v>36.909999999999997</v>
      </c>
      <c r="AG467">
        <v>60.09</v>
      </c>
      <c r="AH467">
        <v>47.84</v>
      </c>
      <c r="AI467">
        <v>39.32</v>
      </c>
      <c r="AJ467">
        <v>74.36</v>
      </c>
      <c r="AK467">
        <v>40.97</v>
      </c>
      <c r="AL467">
        <v>46.06</v>
      </c>
      <c r="AM467">
        <v>44.82</v>
      </c>
      <c r="AN467">
        <v>81.010000000000005</v>
      </c>
      <c r="AO467">
        <v>518.15</v>
      </c>
    </row>
    <row r="468" spans="1:41" x14ac:dyDescent="0.25">
      <c r="A468" t="s">
        <v>779</v>
      </c>
      <c r="B468">
        <v>958</v>
      </c>
      <c r="C468">
        <v>6627</v>
      </c>
      <c r="D468">
        <v>877</v>
      </c>
      <c r="E468">
        <v>3381</v>
      </c>
      <c r="F468">
        <v>329</v>
      </c>
      <c r="G468">
        <v>6049</v>
      </c>
      <c r="H468">
        <v>2538</v>
      </c>
      <c r="I468">
        <v>4420</v>
      </c>
      <c r="J468">
        <v>9178</v>
      </c>
      <c r="K468">
        <v>239</v>
      </c>
      <c r="L468">
        <v>543</v>
      </c>
      <c r="M468">
        <v>4795</v>
      </c>
      <c r="N468">
        <f t="shared" si="14"/>
        <v>39934</v>
      </c>
      <c r="O468">
        <v>11</v>
      </c>
      <c r="P468">
        <v>4</v>
      </c>
      <c r="Q468">
        <v>3</v>
      </c>
      <c r="R468">
        <v>4</v>
      </c>
      <c r="S468">
        <v>4</v>
      </c>
      <c r="T468">
        <v>1</v>
      </c>
      <c r="U468">
        <v>1</v>
      </c>
      <c r="V468">
        <v>6</v>
      </c>
      <c r="W468">
        <v>4</v>
      </c>
      <c r="X468">
        <v>8</v>
      </c>
      <c r="Y468">
        <v>3</v>
      </c>
      <c r="Z468">
        <v>7</v>
      </c>
      <c r="AA468">
        <f t="shared" si="15"/>
        <v>56</v>
      </c>
      <c r="AB468" t="s">
        <v>45</v>
      </c>
      <c r="AC468">
        <v>20.12</v>
      </c>
      <c r="AD468">
        <v>76.459999999999994</v>
      </c>
      <c r="AE468">
        <v>18.91</v>
      </c>
      <c r="AF468">
        <v>44</v>
      </c>
      <c r="AG468">
        <v>13.48</v>
      </c>
      <c r="AH468">
        <v>70.53</v>
      </c>
      <c r="AI468">
        <v>35.42</v>
      </c>
      <c r="AJ468">
        <v>54.49</v>
      </c>
      <c r="AK468">
        <v>101.97</v>
      </c>
      <c r="AL468">
        <v>12.78</v>
      </c>
      <c r="AM468">
        <v>15.57</v>
      </c>
      <c r="AN468">
        <v>58.29</v>
      </c>
      <c r="AO468">
        <v>522.02</v>
      </c>
    </row>
    <row r="469" spans="1:41" x14ac:dyDescent="0.25">
      <c r="A469" t="s">
        <v>780</v>
      </c>
      <c r="B469">
        <v>949</v>
      </c>
      <c r="C469">
        <v>554</v>
      </c>
      <c r="D469">
        <v>5779</v>
      </c>
      <c r="E469">
        <v>332</v>
      </c>
      <c r="F469">
        <v>1334</v>
      </c>
      <c r="G469">
        <v>11170</v>
      </c>
      <c r="H469">
        <v>6897</v>
      </c>
      <c r="I469">
        <v>4615</v>
      </c>
      <c r="J469">
        <v>7840</v>
      </c>
      <c r="K469">
        <v>4869</v>
      </c>
      <c r="L469">
        <v>168</v>
      </c>
      <c r="M469">
        <v>2942</v>
      </c>
      <c r="N469">
        <f t="shared" si="14"/>
        <v>47449</v>
      </c>
      <c r="O469">
        <v>4</v>
      </c>
      <c r="P469">
        <v>4</v>
      </c>
      <c r="Q469">
        <v>4</v>
      </c>
      <c r="R469">
        <v>0</v>
      </c>
      <c r="S469">
        <v>4</v>
      </c>
      <c r="T469">
        <v>1</v>
      </c>
      <c r="U469">
        <v>2</v>
      </c>
      <c r="V469">
        <v>14</v>
      </c>
      <c r="W469">
        <v>2</v>
      </c>
      <c r="X469">
        <v>7</v>
      </c>
      <c r="Y469">
        <v>2</v>
      </c>
      <c r="Z469">
        <v>5</v>
      </c>
      <c r="AA469">
        <f t="shared" si="15"/>
        <v>49</v>
      </c>
      <c r="AB469" t="s">
        <v>45</v>
      </c>
      <c r="AC469">
        <v>19.68</v>
      </c>
      <c r="AD469">
        <v>15.73</v>
      </c>
      <c r="AE469">
        <v>67.98</v>
      </c>
      <c r="AF469">
        <v>13.31</v>
      </c>
      <c r="AG469">
        <v>23.53</v>
      </c>
      <c r="AH469">
        <v>121.74</v>
      </c>
      <c r="AI469">
        <v>79.06</v>
      </c>
      <c r="AJ469">
        <v>56.84</v>
      </c>
      <c r="AK469">
        <v>88.49</v>
      </c>
      <c r="AL469">
        <v>59.03</v>
      </c>
      <c r="AM469">
        <v>11.77</v>
      </c>
      <c r="AN469">
        <v>39.659999999999997</v>
      </c>
      <c r="AO469">
        <v>596.81999999999994</v>
      </c>
    </row>
    <row r="470" spans="1:41" x14ac:dyDescent="0.25">
      <c r="A470" t="s">
        <v>781</v>
      </c>
      <c r="B470">
        <v>948</v>
      </c>
      <c r="C470">
        <v>2969</v>
      </c>
      <c r="D470">
        <v>4466</v>
      </c>
      <c r="E470">
        <v>3738</v>
      </c>
      <c r="F470">
        <v>457</v>
      </c>
      <c r="G470">
        <v>4460</v>
      </c>
      <c r="H470">
        <v>1218</v>
      </c>
      <c r="I470">
        <v>0</v>
      </c>
      <c r="J470">
        <v>3138</v>
      </c>
      <c r="K470">
        <v>15623</v>
      </c>
      <c r="L470">
        <v>2358</v>
      </c>
      <c r="M470">
        <v>12738</v>
      </c>
      <c r="N470">
        <f t="shared" si="14"/>
        <v>52113</v>
      </c>
      <c r="O470">
        <v>7</v>
      </c>
      <c r="P470">
        <v>9</v>
      </c>
      <c r="Q470">
        <v>2</v>
      </c>
      <c r="R470">
        <v>3</v>
      </c>
      <c r="S470">
        <v>1</v>
      </c>
      <c r="T470">
        <v>4</v>
      </c>
      <c r="U470">
        <v>7</v>
      </c>
      <c r="V470">
        <v>10</v>
      </c>
      <c r="W470">
        <v>1</v>
      </c>
      <c r="X470">
        <v>3</v>
      </c>
      <c r="Y470">
        <v>3</v>
      </c>
      <c r="Z470">
        <v>1</v>
      </c>
      <c r="AA470">
        <f t="shared" si="15"/>
        <v>51</v>
      </c>
      <c r="AB470" t="s">
        <v>45</v>
      </c>
      <c r="AC470">
        <v>19.82</v>
      </c>
      <c r="AD470">
        <v>40.130000000000003</v>
      </c>
      <c r="AE470">
        <v>54.75</v>
      </c>
      <c r="AF470">
        <v>47.52</v>
      </c>
      <c r="AG470">
        <v>14.61</v>
      </c>
      <c r="AH470">
        <v>54.79</v>
      </c>
      <c r="AI470">
        <v>22.52</v>
      </c>
      <c r="AJ470">
        <v>10.49</v>
      </c>
      <c r="AK470">
        <v>41.42</v>
      </c>
      <c r="AL470">
        <v>166.37</v>
      </c>
      <c r="AM470">
        <v>33.72</v>
      </c>
      <c r="AN470">
        <v>137.41999999999999</v>
      </c>
      <c r="AO470">
        <v>643.55999999999995</v>
      </c>
    </row>
    <row r="471" spans="1:41" x14ac:dyDescent="0.25">
      <c r="A471" t="s">
        <v>782</v>
      </c>
      <c r="B471">
        <v>946</v>
      </c>
      <c r="C471">
        <v>4319</v>
      </c>
      <c r="D471">
        <v>4003</v>
      </c>
      <c r="E471">
        <v>7081</v>
      </c>
      <c r="F471">
        <v>812</v>
      </c>
      <c r="G471">
        <v>247</v>
      </c>
      <c r="H471">
        <v>0</v>
      </c>
      <c r="I471">
        <v>10115</v>
      </c>
      <c r="J471">
        <v>2835</v>
      </c>
      <c r="K471">
        <v>8891</v>
      </c>
      <c r="L471">
        <v>1693</v>
      </c>
      <c r="M471">
        <v>1117</v>
      </c>
      <c r="N471">
        <f t="shared" si="14"/>
        <v>42059</v>
      </c>
      <c r="O471">
        <v>3</v>
      </c>
      <c r="P471">
        <v>2</v>
      </c>
      <c r="Q471">
        <v>4</v>
      </c>
      <c r="R471">
        <v>1</v>
      </c>
      <c r="S471">
        <v>0</v>
      </c>
      <c r="T471">
        <v>8</v>
      </c>
      <c r="U471">
        <v>1</v>
      </c>
      <c r="V471">
        <v>12</v>
      </c>
      <c r="W471">
        <v>4</v>
      </c>
      <c r="X471">
        <v>6</v>
      </c>
      <c r="Y471">
        <v>2</v>
      </c>
      <c r="Z471">
        <v>1</v>
      </c>
      <c r="AA471">
        <f t="shared" si="15"/>
        <v>44</v>
      </c>
      <c r="AB471" t="s">
        <v>45</v>
      </c>
      <c r="AC471">
        <v>19.600000000000001</v>
      </c>
      <c r="AD471">
        <v>53.28</v>
      </c>
      <c r="AE471">
        <v>50.22</v>
      </c>
      <c r="AF471">
        <v>80.849999999999994</v>
      </c>
      <c r="AG471">
        <v>18.11</v>
      </c>
      <c r="AH471">
        <v>12.86</v>
      </c>
      <c r="AI471">
        <v>10.039999999999999</v>
      </c>
      <c r="AJ471">
        <v>111.74</v>
      </c>
      <c r="AK471">
        <v>38.54</v>
      </c>
      <c r="AL471">
        <v>99.2</v>
      </c>
      <c r="AM471">
        <v>27.02</v>
      </c>
      <c r="AN471">
        <v>21.21</v>
      </c>
      <c r="AO471">
        <v>542.67000000000007</v>
      </c>
    </row>
    <row r="472" spans="1:41" x14ac:dyDescent="0.25">
      <c r="A472" t="s">
        <v>783</v>
      </c>
      <c r="B472">
        <v>935</v>
      </c>
      <c r="C472">
        <v>2958</v>
      </c>
      <c r="D472">
        <v>10880</v>
      </c>
      <c r="E472">
        <v>14254</v>
      </c>
      <c r="F472">
        <v>3127</v>
      </c>
      <c r="G472">
        <v>3567</v>
      </c>
      <c r="H472">
        <v>994</v>
      </c>
      <c r="I472">
        <v>21674</v>
      </c>
      <c r="J472">
        <v>1045</v>
      </c>
      <c r="K472">
        <v>2939</v>
      </c>
      <c r="L472">
        <v>0</v>
      </c>
      <c r="M472">
        <v>906</v>
      </c>
      <c r="N472">
        <f t="shared" si="14"/>
        <v>63279</v>
      </c>
      <c r="O472">
        <v>2</v>
      </c>
      <c r="P472">
        <v>15</v>
      </c>
      <c r="Q472">
        <v>12</v>
      </c>
      <c r="R472">
        <v>3</v>
      </c>
      <c r="S472">
        <v>3</v>
      </c>
      <c r="T472">
        <v>10</v>
      </c>
      <c r="U472">
        <v>13</v>
      </c>
      <c r="V472">
        <v>3</v>
      </c>
      <c r="W472">
        <v>1</v>
      </c>
      <c r="X472">
        <v>3</v>
      </c>
      <c r="Y472">
        <v>4</v>
      </c>
      <c r="Z472">
        <v>1</v>
      </c>
      <c r="AA472">
        <f t="shared" si="15"/>
        <v>70</v>
      </c>
      <c r="AB472" t="s">
        <v>45</v>
      </c>
      <c r="AC472">
        <v>19.440000000000001</v>
      </c>
      <c r="AD472">
        <v>40.32</v>
      </c>
      <c r="AE472">
        <v>119.39</v>
      </c>
      <c r="AF472">
        <v>152.68</v>
      </c>
      <c r="AG472">
        <v>41.41</v>
      </c>
      <c r="AH472">
        <v>46.16</v>
      </c>
      <c r="AI472">
        <v>20.58</v>
      </c>
      <c r="AJ472">
        <v>226.88</v>
      </c>
      <c r="AK472">
        <v>20.49</v>
      </c>
      <c r="AL472">
        <v>39.53</v>
      </c>
      <c r="AM472">
        <v>10.19</v>
      </c>
      <c r="AN472">
        <v>19.100000000000001</v>
      </c>
      <c r="AO472">
        <v>756.17</v>
      </c>
    </row>
    <row r="473" spans="1:41" x14ac:dyDescent="0.25">
      <c r="A473" t="s">
        <v>785</v>
      </c>
      <c r="B473">
        <v>928</v>
      </c>
      <c r="C473">
        <v>3614</v>
      </c>
      <c r="D473">
        <v>4079</v>
      </c>
      <c r="E473">
        <v>909</v>
      </c>
      <c r="F473">
        <v>1523</v>
      </c>
      <c r="G473">
        <v>5548</v>
      </c>
      <c r="H473">
        <v>1548</v>
      </c>
      <c r="I473">
        <v>3117</v>
      </c>
      <c r="J473">
        <v>2734</v>
      </c>
      <c r="K473">
        <v>3555</v>
      </c>
      <c r="L473">
        <v>4686</v>
      </c>
      <c r="M473">
        <v>6845</v>
      </c>
      <c r="N473">
        <f t="shared" si="14"/>
        <v>39086</v>
      </c>
      <c r="O473">
        <v>7</v>
      </c>
      <c r="P473">
        <v>5</v>
      </c>
      <c r="Q473">
        <v>1</v>
      </c>
      <c r="R473">
        <v>0</v>
      </c>
      <c r="S473">
        <v>5</v>
      </c>
      <c r="T473">
        <v>1</v>
      </c>
      <c r="U473">
        <v>7</v>
      </c>
      <c r="V473">
        <v>3</v>
      </c>
      <c r="W473">
        <v>4</v>
      </c>
      <c r="X473">
        <v>9</v>
      </c>
      <c r="Y473">
        <v>9</v>
      </c>
      <c r="Z473">
        <v>1</v>
      </c>
      <c r="AA473">
        <f t="shared" si="15"/>
        <v>52</v>
      </c>
      <c r="AB473" t="s">
        <v>45</v>
      </c>
      <c r="AC473">
        <v>19.62</v>
      </c>
      <c r="AD473">
        <v>46.38</v>
      </c>
      <c r="AE473">
        <v>50.83</v>
      </c>
      <c r="AF473">
        <v>19.079999999999998</v>
      </c>
      <c r="AG473">
        <v>25.47</v>
      </c>
      <c r="AH473">
        <v>65.52</v>
      </c>
      <c r="AI473">
        <v>25.82</v>
      </c>
      <c r="AJ473">
        <v>41.31</v>
      </c>
      <c r="AK473">
        <v>37.53</v>
      </c>
      <c r="AL473">
        <v>45.99</v>
      </c>
      <c r="AM473">
        <v>57.3</v>
      </c>
      <c r="AN473">
        <v>78.489999999999995</v>
      </c>
      <c r="AO473">
        <v>513.33999999999992</v>
      </c>
    </row>
    <row r="474" spans="1:41" x14ac:dyDescent="0.25">
      <c r="A474" t="s">
        <v>787</v>
      </c>
      <c r="B474">
        <v>913</v>
      </c>
      <c r="C474">
        <v>5557</v>
      </c>
      <c r="D474">
        <v>2262</v>
      </c>
      <c r="E474">
        <v>16052</v>
      </c>
      <c r="F474">
        <v>457</v>
      </c>
      <c r="G474">
        <v>0</v>
      </c>
      <c r="H474">
        <v>3735</v>
      </c>
      <c r="I474">
        <v>11228</v>
      </c>
      <c r="J474">
        <v>3160</v>
      </c>
      <c r="K474">
        <v>897</v>
      </c>
      <c r="L474">
        <v>3534</v>
      </c>
      <c r="M474">
        <v>7749</v>
      </c>
      <c r="N474">
        <f t="shared" si="14"/>
        <v>55544</v>
      </c>
      <c r="O474">
        <v>11</v>
      </c>
      <c r="P474">
        <v>7</v>
      </c>
      <c r="Q474">
        <v>9</v>
      </c>
      <c r="R474">
        <v>0</v>
      </c>
      <c r="S474">
        <v>7</v>
      </c>
      <c r="T474">
        <v>14</v>
      </c>
      <c r="U474">
        <v>6</v>
      </c>
      <c r="V474">
        <v>3</v>
      </c>
      <c r="W474">
        <v>11</v>
      </c>
      <c r="X474">
        <v>3</v>
      </c>
      <c r="Y474">
        <v>5</v>
      </c>
      <c r="Z474">
        <v>3</v>
      </c>
      <c r="AA474">
        <f t="shared" si="15"/>
        <v>79</v>
      </c>
      <c r="AB474" t="s">
        <v>45</v>
      </c>
      <c r="AC474">
        <v>19.670000000000002</v>
      </c>
      <c r="AD474">
        <v>65.91</v>
      </c>
      <c r="AE474">
        <v>33.06</v>
      </c>
      <c r="AF474">
        <v>170.51</v>
      </c>
      <c r="AG474">
        <v>14.91</v>
      </c>
      <c r="AH474">
        <v>10.69</v>
      </c>
      <c r="AI474">
        <v>47.64</v>
      </c>
      <c r="AJ474">
        <v>122.42</v>
      </c>
      <c r="AK474">
        <v>42.14</v>
      </c>
      <c r="AL474">
        <v>19.11</v>
      </c>
      <c r="AM474">
        <v>45.58</v>
      </c>
      <c r="AN474">
        <v>87.63</v>
      </c>
      <c r="AO474">
        <v>679.2700000000001</v>
      </c>
    </row>
    <row r="475" spans="1:41" x14ac:dyDescent="0.25">
      <c r="A475" t="s">
        <v>789</v>
      </c>
      <c r="B475">
        <v>905</v>
      </c>
      <c r="C475">
        <v>2442</v>
      </c>
      <c r="D475">
        <v>6637</v>
      </c>
      <c r="E475">
        <v>5176</v>
      </c>
      <c r="F475">
        <v>773</v>
      </c>
      <c r="G475">
        <v>1845</v>
      </c>
      <c r="H475">
        <v>0</v>
      </c>
      <c r="I475">
        <v>4824</v>
      </c>
      <c r="J475">
        <v>12662</v>
      </c>
      <c r="K475">
        <v>3416</v>
      </c>
      <c r="L475">
        <v>1037</v>
      </c>
      <c r="M475">
        <v>2535</v>
      </c>
      <c r="N475">
        <f t="shared" si="14"/>
        <v>42252</v>
      </c>
      <c r="O475">
        <v>9</v>
      </c>
      <c r="P475">
        <v>2</v>
      </c>
      <c r="Q475">
        <v>0</v>
      </c>
      <c r="R475">
        <v>8</v>
      </c>
      <c r="S475">
        <v>4</v>
      </c>
      <c r="T475">
        <v>3</v>
      </c>
      <c r="U475">
        <v>0</v>
      </c>
      <c r="V475">
        <v>11</v>
      </c>
      <c r="W475">
        <v>5</v>
      </c>
      <c r="X475">
        <v>9</v>
      </c>
      <c r="Y475">
        <v>10</v>
      </c>
      <c r="Z475">
        <v>5</v>
      </c>
      <c r="AA475">
        <f t="shared" si="15"/>
        <v>66</v>
      </c>
      <c r="AB475" t="s">
        <v>45</v>
      </c>
      <c r="AC475">
        <v>19.489999999999998</v>
      </c>
      <c r="AD475">
        <v>34.51</v>
      </c>
      <c r="AE475">
        <v>76.36</v>
      </c>
      <c r="AF475">
        <v>62.15</v>
      </c>
      <c r="AG475">
        <v>17.920000000000002</v>
      </c>
      <c r="AH475">
        <v>28.59</v>
      </c>
      <c r="AI475">
        <v>9.99</v>
      </c>
      <c r="AJ475">
        <v>58.78</v>
      </c>
      <c r="AK475">
        <v>136.86000000000001</v>
      </c>
      <c r="AL475">
        <v>44.6</v>
      </c>
      <c r="AM475">
        <v>20.86</v>
      </c>
      <c r="AN475">
        <v>35.590000000000003</v>
      </c>
      <c r="AO475">
        <v>545.70000000000005</v>
      </c>
    </row>
    <row r="476" spans="1:41" x14ac:dyDescent="0.25">
      <c r="A476" t="s">
        <v>791</v>
      </c>
      <c r="B476">
        <v>902</v>
      </c>
      <c r="C476">
        <v>3951</v>
      </c>
      <c r="D476">
        <v>4604</v>
      </c>
      <c r="E476">
        <v>8560</v>
      </c>
      <c r="F476">
        <v>1576</v>
      </c>
      <c r="G476">
        <v>1985</v>
      </c>
      <c r="H476">
        <v>2943</v>
      </c>
      <c r="I476">
        <v>1992</v>
      </c>
      <c r="J476">
        <v>4036</v>
      </c>
      <c r="K476">
        <v>9805</v>
      </c>
      <c r="L476">
        <v>463</v>
      </c>
      <c r="M476">
        <v>2374</v>
      </c>
      <c r="N476">
        <f t="shared" si="14"/>
        <v>43191</v>
      </c>
      <c r="O476">
        <v>3</v>
      </c>
      <c r="P476">
        <v>1</v>
      </c>
      <c r="Q476">
        <v>1</v>
      </c>
      <c r="R476">
        <v>2</v>
      </c>
      <c r="S476">
        <v>0</v>
      </c>
      <c r="T476">
        <v>7</v>
      </c>
      <c r="U476">
        <v>2</v>
      </c>
      <c r="V476">
        <v>2</v>
      </c>
      <c r="W476">
        <v>4</v>
      </c>
      <c r="X476">
        <v>6</v>
      </c>
      <c r="Y476">
        <v>3</v>
      </c>
      <c r="Z476">
        <v>6</v>
      </c>
      <c r="AA476">
        <f t="shared" si="15"/>
        <v>37</v>
      </c>
      <c r="AB476" t="s">
        <v>45</v>
      </c>
      <c r="AC476">
        <v>19.16</v>
      </c>
      <c r="AD476">
        <v>49.55</v>
      </c>
      <c r="AE476">
        <v>56.08</v>
      </c>
      <c r="AF476">
        <v>95.69</v>
      </c>
      <c r="AG476">
        <v>25.75</v>
      </c>
      <c r="AH476">
        <v>30.19</v>
      </c>
      <c r="AI476">
        <v>39.520000000000003</v>
      </c>
      <c r="AJ476">
        <v>30.01</v>
      </c>
      <c r="AK476">
        <v>50.55</v>
      </c>
      <c r="AL476">
        <v>108.34</v>
      </c>
      <c r="AM476">
        <v>14.77</v>
      </c>
      <c r="AN476">
        <v>34.03</v>
      </c>
      <c r="AO476">
        <v>553.64</v>
      </c>
    </row>
    <row r="477" spans="1:41" x14ac:dyDescent="0.25">
      <c r="A477" t="s">
        <v>792</v>
      </c>
      <c r="B477">
        <v>901</v>
      </c>
      <c r="C477">
        <v>3648</v>
      </c>
      <c r="D477">
        <v>1794</v>
      </c>
      <c r="E477">
        <v>1366</v>
      </c>
      <c r="F477">
        <v>1735</v>
      </c>
      <c r="G477">
        <v>1029</v>
      </c>
      <c r="H477">
        <v>6467</v>
      </c>
      <c r="I477">
        <v>659</v>
      </c>
      <c r="J477">
        <v>3555</v>
      </c>
      <c r="K477">
        <v>10902</v>
      </c>
      <c r="L477">
        <v>2345</v>
      </c>
      <c r="M477">
        <v>2361</v>
      </c>
      <c r="N477">
        <f t="shared" si="14"/>
        <v>36762</v>
      </c>
      <c r="O477">
        <v>3</v>
      </c>
      <c r="P477">
        <v>4</v>
      </c>
      <c r="Q477">
        <v>14</v>
      </c>
      <c r="R477">
        <v>2</v>
      </c>
      <c r="S477">
        <v>8</v>
      </c>
      <c r="T477">
        <v>3</v>
      </c>
      <c r="U477">
        <v>3</v>
      </c>
      <c r="V477">
        <v>2</v>
      </c>
      <c r="W477">
        <v>0</v>
      </c>
      <c r="X477">
        <v>3</v>
      </c>
      <c r="Y477">
        <v>5</v>
      </c>
      <c r="Z477">
        <v>3</v>
      </c>
      <c r="AA477">
        <f t="shared" si="15"/>
        <v>50</v>
      </c>
      <c r="AB477" t="s">
        <v>45</v>
      </c>
      <c r="AC477">
        <v>19.149999999999999</v>
      </c>
      <c r="AD477">
        <v>46.67</v>
      </c>
      <c r="AE477">
        <v>28.63</v>
      </c>
      <c r="AF477">
        <v>23.75</v>
      </c>
      <c r="AG477">
        <v>27.74</v>
      </c>
      <c r="AH477">
        <v>20.43</v>
      </c>
      <c r="AI477">
        <v>74.81</v>
      </c>
      <c r="AJ477">
        <v>16.68</v>
      </c>
      <c r="AK477">
        <v>45.54</v>
      </c>
      <c r="AL477">
        <v>119.16</v>
      </c>
      <c r="AM477">
        <v>33.69</v>
      </c>
      <c r="AN477">
        <v>33.75</v>
      </c>
      <c r="AO477">
        <v>490.00000000000006</v>
      </c>
    </row>
    <row r="478" spans="1:41" x14ac:dyDescent="0.25">
      <c r="A478" t="s">
        <v>793</v>
      </c>
      <c r="B478">
        <v>897</v>
      </c>
      <c r="C478">
        <v>419</v>
      </c>
      <c r="D478">
        <v>863</v>
      </c>
      <c r="E478">
        <v>4700</v>
      </c>
      <c r="F478">
        <v>732</v>
      </c>
      <c r="G478">
        <v>12148</v>
      </c>
      <c r="H478">
        <v>3927</v>
      </c>
      <c r="I478">
        <v>5174</v>
      </c>
      <c r="J478">
        <v>1493</v>
      </c>
      <c r="K478">
        <v>7399</v>
      </c>
      <c r="L478">
        <v>4102</v>
      </c>
      <c r="M478">
        <v>6315</v>
      </c>
      <c r="N478">
        <f t="shared" si="14"/>
        <v>48169</v>
      </c>
      <c r="O478">
        <v>1</v>
      </c>
      <c r="P478">
        <v>0</v>
      </c>
      <c r="Q478">
        <v>2</v>
      </c>
      <c r="R478">
        <v>4</v>
      </c>
      <c r="S478">
        <v>5</v>
      </c>
      <c r="T478">
        <v>1</v>
      </c>
      <c r="U478">
        <v>16</v>
      </c>
      <c r="V478">
        <v>19</v>
      </c>
      <c r="W478">
        <v>6</v>
      </c>
      <c r="X478">
        <v>2</v>
      </c>
      <c r="Y478">
        <v>1</v>
      </c>
      <c r="Z478">
        <v>8</v>
      </c>
      <c r="AA478">
        <f t="shared" si="15"/>
        <v>65</v>
      </c>
      <c r="AB478" t="s">
        <v>45</v>
      </c>
      <c r="AC478">
        <v>19.010000000000002</v>
      </c>
      <c r="AD478">
        <v>14.18</v>
      </c>
      <c r="AE478">
        <v>18.72</v>
      </c>
      <c r="AF478">
        <v>57.19</v>
      </c>
      <c r="AG478">
        <v>17.559999999999999</v>
      </c>
      <c r="AH478">
        <v>131.52000000000001</v>
      </c>
      <c r="AI478">
        <v>50.06</v>
      </c>
      <c r="AJ478">
        <v>62.68</v>
      </c>
      <c r="AK478">
        <v>25.22</v>
      </c>
      <c r="AL478">
        <v>84.08</v>
      </c>
      <c r="AM478">
        <v>51.06</v>
      </c>
      <c r="AN478">
        <v>73.540000000000006</v>
      </c>
      <c r="AO478">
        <v>604.81999999999994</v>
      </c>
    </row>
    <row r="479" spans="1:41" x14ac:dyDescent="0.25">
      <c r="A479" t="s">
        <v>794</v>
      </c>
      <c r="B479">
        <v>896</v>
      </c>
      <c r="C479">
        <v>13150</v>
      </c>
      <c r="D479">
        <v>1190</v>
      </c>
      <c r="E479">
        <v>6323</v>
      </c>
      <c r="F479">
        <v>5038</v>
      </c>
      <c r="G479">
        <v>2295</v>
      </c>
      <c r="H479">
        <v>0</v>
      </c>
      <c r="I479">
        <v>0</v>
      </c>
      <c r="J479">
        <v>677</v>
      </c>
      <c r="K479">
        <v>2214</v>
      </c>
      <c r="L479">
        <v>3133</v>
      </c>
      <c r="M479">
        <v>3070</v>
      </c>
      <c r="N479">
        <f t="shared" si="14"/>
        <v>37986</v>
      </c>
      <c r="O479">
        <v>2</v>
      </c>
      <c r="P479">
        <v>1</v>
      </c>
      <c r="Q479">
        <v>3</v>
      </c>
      <c r="R479">
        <v>1</v>
      </c>
      <c r="S479">
        <v>0</v>
      </c>
      <c r="T479">
        <v>2</v>
      </c>
      <c r="U479">
        <v>10</v>
      </c>
      <c r="V479">
        <v>1</v>
      </c>
      <c r="W479">
        <v>6</v>
      </c>
      <c r="X479">
        <v>2</v>
      </c>
      <c r="Y479">
        <v>2</v>
      </c>
      <c r="Z479">
        <v>1</v>
      </c>
      <c r="AA479">
        <f t="shared" si="15"/>
        <v>31</v>
      </c>
      <c r="AB479" t="s">
        <v>45</v>
      </c>
      <c r="AC479">
        <v>19.05</v>
      </c>
      <c r="AD479">
        <v>141.54</v>
      </c>
      <c r="AE479">
        <v>22.04</v>
      </c>
      <c r="AF479">
        <v>73.27</v>
      </c>
      <c r="AG479">
        <v>60.37</v>
      </c>
      <c r="AH479">
        <v>33.04</v>
      </c>
      <c r="AI479">
        <v>10.49</v>
      </c>
      <c r="AJ479">
        <v>10.039999999999999</v>
      </c>
      <c r="AK479">
        <v>17.059999999999999</v>
      </c>
      <c r="AL479">
        <v>32.229999999999997</v>
      </c>
      <c r="AM479">
        <v>41.42</v>
      </c>
      <c r="AN479">
        <v>40.74</v>
      </c>
      <c r="AO479">
        <v>501.29000000000008</v>
      </c>
    </row>
    <row r="480" spans="1:41" x14ac:dyDescent="0.25">
      <c r="A480" t="s">
        <v>795</v>
      </c>
      <c r="B480">
        <v>892</v>
      </c>
      <c r="C480">
        <v>9674</v>
      </c>
      <c r="D480">
        <v>0</v>
      </c>
      <c r="E480">
        <v>3098</v>
      </c>
      <c r="F480">
        <v>3762</v>
      </c>
      <c r="G480">
        <v>1879</v>
      </c>
      <c r="H480">
        <v>3283</v>
      </c>
      <c r="I480">
        <v>1757</v>
      </c>
      <c r="J480">
        <v>7709</v>
      </c>
      <c r="K480">
        <v>1785</v>
      </c>
      <c r="L480">
        <v>3449</v>
      </c>
      <c r="M480">
        <v>4018</v>
      </c>
      <c r="N480">
        <f t="shared" si="14"/>
        <v>41306</v>
      </c>
      <c r="O480">
        <v>2</v>
      </c>
      <c r="P480">
        <v>5</v>
      </c>
      <c r="Q480">
        <v>0</v>
      </c>
      <c r="R480">
        <v>4</v>
      </c>
      <c r="S480">
        <v>3</v>
      </c>
      <c r="T480">
        <v>4</v>
      </c>
      <c r="U480">
        <v>10</v>
      </c>
      <c r="V480">
        <v>8</v>
      </c>
      <c r="W480">
        <v>3</v>
      </c>
      <c r="X480">
        <v>0</v>
      </c>
      <c r="Y480">
        <v>4</v>
      </c>
      <c r="Z480">
        <v>6</v>
      </c>
      <c r="AA480">
        <f t="shared" si="15"/>
        <v>49</v>
      </c>
      <c r="AB480" t="s">
        <v>45</v>
      </c>
      <c r="AC480">
        <v>19.010000000000002</v>
      </c>
      <c r="AD480">
        <v>106.98</v>
      </c>
      <c r="AE480">
        <v>9.99</v>
      </c>
      <c r="AF480">
        <v>41.17</v>
      </c>
      <c r="AG480">
        <v>47.76</v>
      </c>
      <c r="AH480">
        <v>28.98</v>
      </c>
      <c r="AI480">
        <v>43.32</v>
      </c>
      <c r="AJ480">
        <v>27.96</v>
      </c>
      <c r="AK480">
        <v>87.23</v>
      </c>
      <c r="AL480">
        <v>27.84</v>
      </c>
      <c r="AM480">
        <v>44.68</v>
      </c>
      <c r="AN480">
        <v>50.47</v>
      </c>
      <c r="AO480">
        <v>535.39</v>
      </c>
    </row>
    <row r="481" spans="1:41" x14ac:dyDescent="0.25">
      <c r="A481" t="s">
        <v>796</v>
      </c>
      <c r="B481">
        <v>890</v>
      </c>
      <c r="C481">
        <v>7916</v>
      </c>
      <c r="D481">
        <v>0</v>
      </c>
      <c r="E481">
        <v>3908</v>
      </c>
      <c r="F481">
        <v>7168</v>
      </c>
      <c r="G481">
        <v>1916</v>
      </c>
      <c r="H481">
        <v>6144</v>
      </c>
      <c r="I481">
        <v>566</v>
      </c>
      <c r="J481">
        <v>5933</v>
      </c>
      <c r="K481">
        <v>594</v>
      </c>
      <c r="L481">
        <v>4431</v>
      </c>
      <c r="M481">
        <v>3855</v>
      </c>
      <c r="N481">
        <f t="shared" si="14"/>
        <v>43321</v>
      </c>
      <c r="O481">
        <v>2</v>
      </c>
      <c r="P481">
        <v>3</v>
      </c>
      <c r="Q481">
        <v>4</v>
      </c>
      <c r="R481">
        <v>11</v>
      </c>
      <c r="S481">
        <v>2</v>
      </c>
      <c r="T481">
        <v>3</v>
      </c>
      <c r="U481">
        <v>1</v>
      </c>
      <c r="V481">
        <v>3</v>
      </c>
      <c r="W481">
        <v>1</v>
      </c>
      <c r="X481">
        <v>10</v>
      </c>
      <c r="Y481">
        <v>4</v>
      </c>
      <c r="Z481">
        <v>3</v>
      </c>
      <c r="AA481">
        <f t="shared" si="15"/>
        <v>47</v>
      </c>
      <c r="AB481" t="s">
        <v>45</v>
      </c>
      <c r="AC481">
        <v>18.989999999999998</v>
      </c>
      <c r="AD481">
        <v>89.3</v>
      </c>
      <c r="AE481">
        <v>10.19</v>
      </c>
      <c r="AF481">
        <v>49.62</v>
      </c>
      <c r="AG481">
        <v>81.77</v>
      </c>
      <c r="AH481">
        <v>29.3</v>
      </c>
      <c r="AI481">
        <v>71.48</v>
      </c>
      <c r="AJ481">
        <v>15.8</v>
      </c>
      <c r="AK481">
        <v>69.37</v>
      </c>
      <c r="AL481">
        <v>16.43</v>
      </c>
      <c r="AM481">
        <v>54.5</v>
      </c>
      <c r="AN481">
        <v>48.69</v>
      </c>
      <c r="AO481">
        <v>555.44000000000005</v>
      </c>
    </row>
    <row r="482" spans="1:41" x14ac:dyDescent="0.25">
      <c r="A482" t="s">
        <v>799</v>
      </c>
      <c r="B482">
        <v>875</v>
      </c>
      <c r="C482">
        <v>1811</v>
      </c>
      <c r="D482">
        <v>592</v>
      </c>
      <c r="E482">
        <v>5641</v>
      </c>
      <c r="F482">
        <v>1334</v>
      </c>
      <c r="G482">
        <v>2027</v>
      </c>
      <c r="H482">
        <v>13320</v>
      </c>
      <c r="I482">
        <v>10180</v>
      </c>
      <c r="J482">
        <v>11873</v>
      </c>
      <c r="K482">
        <v>806</v>
      </c>
      <c r="L482">
        <v>8157</v>
      </c>
      <c r="M482">
        <v>1582</v>
      </c>
      <c r="N482">
        <f t="shared" si="14"/>
        <v>58198</v>
      </c>
      <c r="O482">
        <v>9</v>
      </c>
      <c r="P482">
        <v>9</v>
      </c>
      <c r="Q482">
        <v>4</v>
      </c>
      <c r="R482">
        <v>2</v>
      </c>
      <c r="S482">
        <v>8</v>
      </c>
      <c r="T482">
        <v>8</v>
      </c>
      <c r="U482">
        <v>0</v>
      </c>
      <c r="V482">
        <v>7</v>
      </c>
      <c r="W482">
        <v>3</v>
      </c>
      <c r="X482">
        <v>8</v>
      </c>
      <c r="Y482">
        <v>24</v>
      </c>
      <c r="Z482">
        <v>2</v>
      </c>
      <c r="AA482">
        <f t="shared" si="15"/>
        <v>84</v>
      </c>
      <c r="AB482" t="s">
        <v>45</v>
      </c>
      <c r="AC482">
        <v>19.190000000000001</v>
      </c>
      <c r="AD482">
        <v>28.55</v>
      </c>
      <c r="AE482">
        <v>16.11</v>
      </c>
      <c r="AF482">
        <v>66.5</v>
      </c>
      <c r="AG482">
        <v>23.73</v>
      </c>
      <c r="AH482">
        <v>30.66</v>
      </c>
      <c r="AI482">
        <v>143.19</v>
      </c>
      <c r="AJ482">
        <v>112.14</v>
      </c>
      <c r="AK482">
        <v>128.87</v>
      </c>
      <c r="AL482">
        <v>18.45</v>
      </c>
      <c r="AM482">
        <v>92.76</v>
      </c>
      <c r="AN482">
        <v>25.91</v>
      </c>
      <c r="AO482">
        <v>706.06</v>
      </c>
    </row>
    <row r="483" spans="1:41" x14ac:dyDescent="0.25">
      <c r="A483" t="s">
        <v>804</v>
      </c>
      <c r="B483">
        <v>848</v>
      </c>
      <c r="C483">
        <v>969</v>
      </c>
      <c r="D483">
        <v>814</v>
      </c>
      <c r="E483">
        <v>952</v>
      </c>
      <c r="F483">
        <v>1764</v>
      </c>
      <c r="G483">
        <v>0</v>
      </c>
      <c r="H483">
        <v>2946</v>
      </c>
      <c r="I483">
        <v>22368</v>
      </c>
      <c r="J483">
        <v>1042</v>
      </c>
      <c r="K483">
        <v>6938</v>
      </c>
      <c r="L483">
        <v>34</v>
      </c>
      <c r="M483">
        <v>4337</v>
      </c>
      <c r="N483">
        <f t="shared" si="14"/>
        <v>43012</v>
      </c>
      <c r="O483">
        <v>7</v>
      </c>
      <c r="P483">
        <v>9</v>
      </c>
      <c r="Q483">
        <v>2</v>
      </c>
      <c r="R483">
        <v>2</v>
      </c>
      <c r="S483">
        <v>0</v>
      </c>
      <c r="T483">
        <v>5</v>
      </c>
      <c r="U483">
        <v>6</v>
      </c>
      <c r="V483">
        <v>4</v>
      </c>
      <c r="W483">
        <v>0</v>
      </c>
      <c r="X483">
        <v>1</v>
      </c>
      <c r="Y483">
        <v>3</v>
      </c>
      <c r="Z483">
        <v>4</v>
      </c>
      <c r="AA483">
        <f t="shared" si="15"/>
        <v>43</v>
      </c>
      <c r="AB483" t="s">
        <v>45</v>
      </c>
      <c r="AC483">
        <v>18.82</v>
      </c>
      <c r="AD483">
        <v>20.13</v>
      </c>
      <c r="AE483">
        <v>18.23</v>
      </c>
      <c r="AF483">
        <v>19.61</v>
      </c>
      <c r="AG483">
        <v>27.63</v>
      </c>
      <c r="AH483">
        <v>10.24</v>
      </c>
      <c r="AI483">
        <v>39.75</v>
      </c>
      <c r="AJ483">
        <v>233.87</v>
      </c>
      <c r="AK483">
        <v>20.41</v>
      </c>
      <c r="AL483">
        <v>79.42</v>
      </c>
      <c r="AM483">
        <v>10.48</v>
      </c>
      <c r="AN483">
        <v>53.56</v>
      </c>
      <c r="AO483">
        <v>552.15000000000009</v>
      </c>
    </row>
    <row r="484" spans="1:41" x14ac:dyDescent="0.25">
      <c r="A484" t="s">
        <v>806</v>
      </c>
      <c r="B484">
        <v>842</v>
      </c>
      <c r="C484">
        <v>8796</v>
      </c>
      <c r="D484">
        <v>1213</v>
      </c>
      <c r="E484">
        <v>2724</v>
      </c>
      <c r="F484">
        <v>2494</v>
      </c>
      <c r="G484">
        <v>8227</v>
      </c>
      <c r="H484">
        <v>1678</v>
      </c>
      <c r="I484">
        <v>4129</v>
      </c>
      <c r="J484">
        <v>1404</v>
      </c>
      <c r="K484">
        <v>10106</v>
      </c>
      <c r="L484">
        <v>4046</v>
      </c>
      <c r="M484">
        <v>3637</v>
      </c>
      <c r="N484">
        <f t="shared" si="14"/>
        <v>49296</v>
      </c>
      <c r="O484">
        <v>0</v>
      </c>
      <c r="P484">
        <v>2</v>
      </c>
      <c r="Q484">
        <v>1</v>
      </c>
      <c r="R484">
        <v>2</v>
      </c>
      <c r="S484">
        <v>0</v>
      </c>
      <c r="T484">
        <v>5</v>
      </c>
      <c r="U484">
        <v>1</v>
      </c>
      <c r="V484">
        <v>2</v>
      </c>
      <c r="W484">
        <v>1</v>
      </c>
      <c r="X484">
        <v>0</v>
      </c>
      <c r="Y484">
        <v>16</v>
      </c>
      <c r="Z484">
        <v>7</v>
      </c>
      <c r="AA484">
        <f t="shared" si="15"/>
        <v>37</v>
      </c>
      <c r="AB484" t="s">
        <v>45</v>
      </c>
      <c r="AC484">
        <v>18.41</v>
      </c>
      <c r="AD484">
        <v>98.05</v>
      </c>
      <c r="AE484">
        <v>22.17</v>
      </c>
      <c r="AF484">
        <v>37.33</v>
      </c>
      <c r="AG484">
        <v>34.93</v>
      </c>
      <c r="AH484">
        <v>92.51</v>
      </c>
      <c r="AI484">
        <v>26.82</v>
      </c>
      <c r="AJ484">
        <v>51.38</v>
      </c>
      <c r="AK484">
        <v>24.08</v>
      </c>
      <c r="AL484">
        <v>111.05</v>
      </c>
      <c r="AM484">
        <v>51.25</v>
      </c>
      <c r="AN484">
        <v>46.71</v>
      </c>
      <c r="AO484">
        <v>614.68999999999994</v>
      </c>
    </row>
    <row r="485" spans="1:41" x14ac:dyDescent="0.25">
      <c r="A485" t="s">
        <v>810</v>
      </c>
      <c r="B485">
        <v>825</v>
      </c>
      <c r="C485">
        <v>7482</v>
      </c>
      <c r="D485">
        <v>2886</v>
      </c>
      <c r="E485">
        <v>1260</v>
      </c>
      <c r="F485">
        <v>1133</v>
      </c>
      <c r="G485">
        <v>3415</v>
      </c>
      <c r="H485">
        <v>1088</v>
      </c>
      <c r="I485">
        <v>9405</v>
      </c>
      <c r="J485">
        <v>0</v>
      </c>
      <c r="K485">
        <v>516</v>
      </c>
      <c r="L485">
        <v>11250</v>
      </c>
      <c r="M485">
        <v>12673</v>
      </c>
      <c r="N485">
        <f t="shared" si="14"/>
        <v>51933</v>
      </c>
      <c r="O485">
        <v>6</v>
      </c>
      <c r="P485">
        <v>4</v>
      </c>
      <c r="Q485">
        <v>5</v>
      </c>
      <c r="R485">
        <v>9</v>
      </c>
      <c r="S485">
        <v>4</v>
      </c>
      <c r="T485">
        <v>5</v>
      </c>
      <c r="U485">
        <v>1</v>
      </c>
      <c r="V485">
        <v>14</v>
      </c>
      <c r="W485">
        <v>5</v>
      </c>
      <c r="X485">
        <v>0</v>
      </c>
      <c r="Y485">
        <v>9</v>
      </c>
      <c r="Z485">
        <v>4</v>
      </c>
      <c r="AA485">
        <f t="shared" si="15"/>
        <v>66</v>
      </c>
      <c r="AB485" t="s">
        <v>45</v>
      </c>
      <c r="AC485">
        <v>18.54</v>
      </c>
      <c r="AD485">
        <v>85.01</v>
      </c>
      <c r="AE485">
        <v>39.1</v>
      </c>
      <c r="AF485">
        <v>23.04</v>
      </c>
      <c r="AG485">
        <v>21.52</v>
      </c>
      <c r="AH485">
        <v>44.39</v>
      </c>
      <c r="AI485">
        <v>20.92</v>
      </c>
      <c r="AJ485">
        <v>104.74</v>
      </c>
      <c r="AK485">
        <v>10.24</v>
      </c>
      <c r="AL485">
        <v>15.15</v>
      </c>
      <c r="AM485">
        <v>122.94</v>
      </c>
      <c r="AN485">
        <v>136.91999999999999</v>
      </c>
      <c r="AO485">
        <v>642.51</v>
      </c>
    </row>
    <row r="486" spans="1:41" x14ac:dyDescent="0.25">
      <c r="A486" t="s">
        <v>811</v>
      </c>
      <c r="B486">
        <v>813</v>
      </c>
      <c r="C486">
        <v>8893</v>
      </c>
      <c r="D486">
        <v>698</v>
      </c>
      <c r="E486">
        <v>11541</v>
      </c>
      <c r="F486">
        <v>1037</v>
      </c>
      <c r="G486">
        <v>534</v>
      </c>
      <c r="H486">
        <v>1617</v>
      </c>
      <c r="I486">
        <v>2260</v>
      </c>
      <c r="J486">
        <v>4241</v>
      </c>
      <c r="K486">
        <v>12534</v>
      </c>
      <c r="L486">
        <v>2861</v>
      </c>
      <c r="M486">
        <v>5071</v>
      </c>
      <c r="N486">
        <f t="shared" si="14"/>
        <v>52100</v>
      </c>
      <c r="O486">
        <v>10</v>
      </c>
      <c r="P486">
        <v>3</v>
      </c>
      <c r="Q486">
        <v>4</v>
      </c>
      <c r="R486">
        <v>6</v>
      </c>
      <c r="S486">
        <v>2</v>
      </c>
      <c r="T486">
        <v>10</v>
      </c>
      <c r="U486">
        <v>2</v>
      </c>
      <c r="V486">
        <v>3</v>
      </c>
      <c r="W486">
        <v>5</v>
      </c>
      <c r="X486">
        <v>2</v>
      </c>
      <c r="Y486">
        <v>1</v>
      </c>
      <c r="Z486">
        <v>8</v>
      </c>
      <c r="AA486">
        <f t="shared" si="15"/>
        <v>56</v>
      </c>
      <c r="AB486" t="s">
        <v>45</v>
      </c>
      <c r="AC486">
        <v>18.62</v>
      </c>
      <c r="AD486">
        <v>99.07</v>
      </c>
      <c r="AE486">
        <v>17.170000000000002</v>
      </c>
      <c r="AF486">
        <v>125.7</v>
      </c>
      <c r="AG486">
        <v>20.46</v>
      </c>
      <c r="AH486">
        <v>15.83</v>
      </c>
      <c r="AI486">
        <v>26.26</v>
      </c>
      <c r="AJ486">
        <v>32.74</v>
      </c>
      <c r="AK486">
        <v>52.65</v>
      </c>
      <c r="AL486">
        <v>135.43</v>
      </c>
      <c r="AM486">
        <v>38.65</v>
      </c>
      <c r="AN486">
        <v>61.1</v>
      </c>
      <c r="AO486">
        <v>643.67999999999995</v>
      </c>
    </row>
    <row r="487" spans="1:41" x14ac:dyDescent="0.25">
      <c r="A487" t="s">
        <v>812</v>
      </c>
      <c r="B487">
        <v>813</v>
      </c>
      <c r="C487">
        <v>2011</v>
      </c>
      <c r="D487">
        <v>505</v>
      </c>
      <c r="E487">
        <v>2349</v>
      </c>
      <c r="F487">
        <v>1746</v>
      </c>
      <c r="G487">
        <v>17514</v>
      </c>
      <c r="H487">
        <v>2702</v>
      </c>
      <c r="I487">
        <v>3534</v>
      </c>
      <c r="J487">
        <v>170</v>
      </c>
      <c r="K487">
        <v>2514</v>
      </c>
      <c r="L487">
        <v>719</v>
      </c>
      <c r="M487">
        <v>5230</v>
      </c>
      <c r="N487">
        <f t="shared" si="14"/>
        <v>39807</v>
      </c>
      <c r="O487">
        <v>2</v>
      </c>
      <c r="P487">
        <v>4</v>
      </c>
      <c r="Q487">
        <v>0</v>
      </c>
      <c r="R487">
        <v>4</v>
      </c>
      <c r="S487">
        <v>5</v>
      </c>
      <c r="T487">
        <v>4</v>
      </c>
      <c r="U487">
        <v>6</v>
      </c>
      <c r="V487">
        <v>0</v>
      </c>
      <c r="W487">
        <v>12</v>
      </c>
      <c r="X487">
        <v>9</v>
      </c>
      <c r="Y487">
        <v>9</v>
      </c>
      <c r="Z487">
        <v>0</v>
      </c>
      <c r="AA487">
        <f t="shared" si="15"/>
        <v>55</v>
      </c>
      <c r="AB487" t="s">
        <v>45</v>
      </c>
      <c r="AC487">
        <v>18.22</v>
      </c>
      <c r="AD487">
        <v>30.3</v>
      </c>
      <c r="AE487">
        <v>15.04</v>
      </c>
      <c r="AF487">
        <v>33.68</v>
      </c>
      <c r="AG487">
        <v>27.7</v>
      </c>
      <c r="AH487">
        <v>185.33</v>
      </c>
      <c r="AI487">
        <v>37.31</v>
      </c>
      <c r="AJ487">
        <v>45.33</v>
      </c>
      <c r="AK487">
        <v>12.29</v>
      </c>
      <c r="AL487">
        <v>35.58</v>
      </c>
      <c r="AM487">
        <v>17.63</v>
      </c>
      <c r="AN487">
        <v>62.29</v>
      </c>
      <c r="AO487">
        <v>520.69999999999993</v>
      </c>
    </row>
    <row r="488" spans="1:41" x14ac:dyDescent="0.25">
      <c r="A488" t="s">
        <v>813</v>
      </c>
      <c r="B488">
        <v>809</v>
      </c>
      <c r="C488">
        <v>2477</v>
      </c>
      <c r="D488">
        <v>12046</v>
      </c>
      <c r="E488">
        <v>1037</v>
      </c>
      <c r="F488">
        <v>2839</v>
      </c>
      <c r="G488">
        <v>5732</v>
      </c>
      <c r="H488">
        <v>5349</v>
      </c>
      <c r="I488">
        <v>4502</v>
      </c>
      <c r="J488">
        <v>4974</v>
      </c>
      <c r="K488">
        <v>615</v>
      </c>
      <c r="L488">
        <v>2097</v>
      </c>
      <c r="M488">
        <v>5967</v>
      </c>
      <c r="N488">
        <f t="shared" si="14"/>
        <v>48444</v>
      </c>
      <c r="O488">
        <v>0</v>
      </c>
      <c r="P488">
        <v>4</v>
      </c>
      <c r="Q488">
        <v>6</v>
      </c>
      <c r="R488">
        <v>5</v>
      </c>
      <c r="S488">
        <v>3</v>
      </c>
      <c r="T488">
        <v>3</v>
      </c>
      <c r="U488">
        <v>3</v>
      </c>
      <c r="V488">
        <v>0</v>
      </c>
      <c r="W488">
        <v>0</v>
      </c>
      <c r="X488">
        <v>10</v>
      </c>
      <c r="Y488">
        <v>0</v>
      </c>
      <c r="Z488">
        <v>6</v>
      </c>
      <c r="AA488">
        <f t="shared" si="15"/>
        <v>40</v>
      </c>
      <c r="AB488" t="s">
        <v>45</v>
      </c>
      <c r="AC488">
        <v>18.079999999999998</v>
      </c>
      <c r="AD488">
        <v>34.96</v>
      </c>
      <c r="AE488">
        <v>130.75</v>
      </c>
      <c r="AF488">
        <v>20.61</v>
      </c>
      <c r="AG488">
        <v>38.53</v>
      </c>
      <c r="AH488">
        <v>67.459999999999994</v>
      </c>
      <c r="AI488">
        <v>63.63</v>
      </c>
      <c r="AJ488">
        <v>55.01</v>
      </c>
      <c r="AK488">
        <v>59.73</v>
      </c>
      <c r="AL488">
        <v>16.64</v>
      </c>
      <c r="AM488">
        <v>30.96</v>
      </c>
      <c r="AN488">
        <v>69.959999999999994</v>
      </c>
      <c r="AO488">
        <v>606.32000000000005</v>
      </c>
    </row>
    <row r="489" spans="1:41" x14ac:dyDescent="0.25">
      <c r="A489" t="s">
        <v>814</v>
      </c>
      <c r="B489">
        <v>807</v>
      </c>
      <c r="C489">
        <v>1288</v>
      </c>
      <c r="D489">
        <v>2548</v>
      </c>
      <c r="E489">
        <v>2017</v>
      </c>
      <c r="F489">
        <v>13647</v>
      </c>
      <c r="G489">
        <v>5555</v>
      </c>
      <c r="H489">
        <v>1390</v>
      </c>
      <c r="I489">
        <v>5961</v>
      </c>
      <c r="J489">
        <v>2632</v>
      </c>
      <c r="K489">
        <v>713</v>
      </c>
      <c r="L489">
        <v>2486</v>
      </c>
      <c r="M489">
        <v>3534</v>
      </c>
      <c r="N489">
        <f t="shared" si="14"/>
        <v>42578</v>
      </c>
      <c r="O489">
        <v>4</v>
      </c>
      <c r="P489">
        <v>2</v>
      </c>
      <c r="Q489">
        <v>1</v>
      </c>
      <c r="R489">
        <v>2</v>
      </c>
      <c r="S489">
        <v>4</v>
      </c>
      <c r="T489">
        <v>2</v>
      </c>
      <c r="U489">
        <v>1</v>
      </c>
      <c r="V489">
        <v>1</v>
      </c>
      <c r="W489">
        <v>4</v>
      </c>
      <c r="X489">
        <v>2</v>
      </c>
      <c r="Y489">
        <v>6</v>
      </c>
      <c r="Z489">
        <v>0</v>
      </c>
      <c r="AA489">
        <f t="shared" si="15"/>
        <v>29</v>
      </c>
      <c r="AB489" t="s">
        <v>45</v>
      </c>
      <c r="AC489">
        <v>18.260000000000002</v>
      </c>
      <c r="AD489">
        <v>22.97</v>
      </c>
      <c r="AE489">
        <v>35.520000000000003</v>
      </c>
      <c r="AF489">
        <v>30.26</v>
      </c>
      <c r="AG489">
        <v>146.66</v>
      </c>
      <c r="AH489">
        <v>65.64</v>
      </c>
      <c r="AI489">
        <v>23.94</v>
      </c>
      <c r="AJ489">
        <v>69.650000000000006</v>
      </c>
      <c r="AK489">
        <v>36.51</v>
      </c>
      <c r="AL489">
        <v>17.22</v>
      </c>
      <c r="AM489">
        <v>35.15</v>
      </c>
      <c r="AN489">
        <v>45.33</v>
      </c>
      <c r="AO489">
        <v>547.11</v>
      </c>
    </row>
    <row r="490" spans="1:41" x14ac:dyDescent="0.25">
      <c r="A490" t="s">
        <v>816</v>
      </c>
      <c r="B490">
        <v>794</v>
      </c>
      <c r="C490">
        <v>1016</v>
      </c>
      <c r="D490">
        <v>6844</v>
      </c>
      <c r="E490">
        <v>4826</v>
      </c>
      <c r="F490">
        <v>2320</v>
      </c>
      <c r="G490">
        <v>10979</v>
      </c>
      <c r="H490">
        <v>6128</v>
      </c>
      <c r="I490">
        <v>12960</v>
      </c>
      <c r="J490">
        <v>10019</v>
      </c>
      <c r="K490">
        <v>1594</v>
      </c>
      <c r="L490">
        <v>5682</v>
      </c>
      <c r="M490">
        <v>3483</v>
      </c>
      <c r="N490">
        <f t="shared" si="14"/>
        <v>66645</v>
      </c>
      <c r="O490">
        <v>11</v>
      </c>
      <c r="P490">
        <v>2</v>
      </c>
      <c r="Q490">
        <v>1</v>
      </c>
      <c r="R490">
        <v>3</v>
      </c>
      <c r="S490">
        <v>8</v>
      </c>
      <c r="T490">
        <v>13</v>
      </c>
      <c r="U490">
        <v>5</v>
      </c>
      <c r="V490">
        <v>2</v>
      </c>
      <c r="W490">
        <v>6</v>
      </c>
      <c r="X490">
        <v>2</v>
      </c>
      <c r="Y490">
        <v>4</v>
      </c>
      <c r="Z490">
        <v>1</v>
      </c>
      <c r="AA490">
        <f t="shared" si="15"/>
        <v>58</v>
      </c>
      <c r="AB490" t="s">
        <v>45</v>
      </c>
      <c r="AC490">
        <v>18.48</v>
      </c>
      <c r="AD490">
        <v>20.25</v>
      </c>
      <c r="AE490">
        <v>78.48</v>
      </c>
      <c r="AF490">
        <v>58.4</v>
      </c>
      <c r="AG490">
        <v>33.590000000000003</v>
      </c>
      <c r="AH490">
        <v>120.43</v>
      </c>
      <c r="AI490">
        <v>71.52</v>
      </c>
      <c r="AJ490">
        <v>139.69</v>
      </c>
      <c r="AK490">
        <v>110.48</v>
      </c>
      <c r="AL490">
        <v>26.03</v>
      </c>
      <c r="AM490">
        <v>67.010000000000005</v>
      </c>
      <c r="AN490">
        <v>44.87</v>
      </c>
      <c r="AO490">
        <v>789.2299999999999</v>
      </c>
    </row>
    <row r="491" spans="1:41" x14ac:dyDescent="0.25">
      <c r="A491" t="s">
        <v>822</v>
      </c>
      <c r="B491">
        <v>765</v>
      </c>
      <c r="C491">
        <v>2092</v>
      </c>
      <c r="D491">
        <v>2060</v>
      </c>
      <c r="E491">
        <v>253</v>
      </c>
      <c r="F491">
        <v>9408</v>
      </c>
      <c r="G491">
        <v>275</v>
      </c>
      <c r="H491">
        <v>3864</v>
      </c>
      <c r="I491">
        <v>4931</v>
      </c>
      <c r="J491">
        <v>7545</v>
      </c>
      <c r="K491">
        <v>3087</v>
      </c>
      <c r="L491">
        <v>4884</v>
      </c>
      <c r="M491">
        <v>2142</v>
      </c>
      <c r="N491">
        <f t="shared" si="14"/>
        <v>41306</v>
      </c>
      <c r="O491">
        <v>1</v>
      </c>
      <c r="P491">
        <v>7</v>
      </c>
      <c r="Q491">
        <v>7</v>
      </c>
      <c r="R491">
        <v>1</v>
      </c>
      <c r="S491">
        <v>2</v>
      </c>
      <c r="T491">
        <v>2</v>
      </c>
      <c r="U491">
        <v>17</v>
      </c>
      <c r="V491">
        <v>3</v>
      </c>
      <c r="W491">
        <v>4</v>
      </c>
      <c r="X491">
        <v>1</v>
      </c>
      <c r="Y491">
        <v>2</v>
      </c>
      <c r="Z491">
        <v>5</v>
      </c>
      <c r="AA491">
        <f t="shared" si="15"/>
        <v>52</v>
      </c>
      <c r="AB491" t="s">
        <v>45</v>
      </c>
      <c r="AC491">
        <v>17.690000000000001</v>
      </c>
      <c r="AD491">
        <v>31.26</v>
      </c>
      <c r="AE491">
        <v>30.94</v>
      </c>
      <c r="AF491">
        <v>12.57</v>
      </c>
      <c r="AG491">
        <v>104.17</v>
      </c>
      <c r="AH491">
        <v>12.84</v>
      </c>
      <c r="AI491">
        <v>49.48</v>
      </c>
      <c r="AJ491">
        <v>59.45</v>
      </c>
      <c r="AK491">
        <v>85.64</v>
      </c>
      <c r="AL491">
        <v>40.909999999999997</v>
      </c>
      <c r="AM491">
        <v>58.93</v>
      </c>
      <c r="AN491">
        <v>31.66</v>
      </c>
      <c r="AO491">
        <v>535.54</v>
      </c>
    </row>
    <row r="492" spans="1:41" x14ac:dyDescent="0.25">
      <c r="A492" t="s">
        <v>823</v>
      </c>
      <c r="B492">
        <v>757</v>
      </c>
      <c r="C492">
        <v>495</v>
      </c>
      <c r="D492">
        <v>9595</v>
      </c>
      <c r="E492">
        <v>1640</v>
      </c>
      <c r="F492">
        <v>4746</v>
      </c>
      <c r="G492">
        <v>1170</v>
      </c>
      <c r="H492">
        <v>5005</v>
      </c>
      <c r="I492">
        <v>1156</v>
      </c>
      <c r="J492">
        <v>4885</v>
      </c>
      <c r="K492">
        <v>3521</v>
      </c>
      <c r="L492">
        <v>12106</v>
      </c>
      <c r="M492">
        <v>127</v>
      </c>
      <c r="N492">
        <f t="shared" si="14"/>
        <v>45203</v>
      </c>
      <c r="O492">
        <v>2</v>
      </c>
      <c r="P492">
        <v>1</v>
      </c>
      <c r="Q492">
        <v>18</v>
      </c>
      <c r="R492">
        <v>1</v>
      </c>
      <c r="S492">
        <v>2</v>
      </c>
      <c r="T492">
        <v>3</v>
      </c>
      <c r="U492">
        <v>8</v>
      </c>
      <c r="V492">
        <v>5</v>
      </c>
      <c r="W492">
        <v>3</v>
      </c>
      <c r="X492">
        <v>3</v>
      </c>
      <c r="Y492">
        <v>7</v>
      </c>
      <c r="Z492">
        <v>6</v>
      </c>
      <c r="AA492">
        <f t="shared" si="15"/>
        <v>59</v>
      </c>
      <c r="AB492" t="s">
        <v>45</v>
      </c>
      <c r="AC492">
        <v>17.66</v>
      </c>
      <c r="AD492">
        <v>14.99</v>
      </c>
      <c r="AE492">
        <v>106.84</v>
      </c>
      <c r="AF492">
        <v>26.44</v>
      </c>
      <c r="AG492">
        <v>57.55</v>
      </c>
      <c r="AH492">
        <v>21.84</v>
      </c>
      <c r="AI492">
        <v>60.44</v>
      </c>
      <c r="AJ492">
        <v>21.8</v>
      </c>
      <c r="AK492">
        <v>58.99</v>
      </c>
      <c r="AL492">
        <v>45.35</v>
      </c>
      <c r="AM492">
        <v>131.4</v>
      </c>
      <c r="AN492">
        <v>11.56</v>
      </c>
      <c r="AO492">
        <v>574.86</v>
      </c>
    </row>
    <row r="493" spans="1:41" x14ac:dyDescent="0.25">
      <c r="A493" t="s">
        <v>824</v>
      </c>
      <c r="B493">
        <v>753</v>
      </c>
      <c r="C493">
        <v>2429</v>
      </c>
      <c r="D493">
        <v>2159</v>
      </c>
      <c r="E493">
        <v>0</v>
      </c>
      <c r="F493">
        <v>2672</v>
      </c>
      <c r="G493">
        <v>18590</v>
      </c>
      <c r="H493">
        <v>11479</v>
      </c>
      <c r="I493">
        <v>6226</v>
      </c>
      <c r="J493">
        <v>1881</v>
      </c>
      <c r="K493">
        <v>185</v>
      </c>
      <c r="L493">
        <v>7272</v>
      </c>
      <c r="M493">
        <v>1039</v>
      </c>
      <c r="N493">
        <f t="shared" si="14"/>
        <v>54685</v>
      </c>
      <c r="O493">
        <v>3</v>
      </c>
      <c r="P493">
        <v>2</v>
      </c>
      <c r="Q493">
        <v>4</v>
      </c>
      <c r="R493">
        <v>10</v>
      </c>
      <c r="S493">
        <v>4</v>
      </c>
      <c r="T493">
        <v>3</v>
      </c>
      <c r="U493">
        <v>2</v>
      </c>
      <c r="V493">
        <v>15</v>
      </c>
      <c r="W493">
        <v>3</v>
      </c>
      <c r="X493">
        <v>0</v>
      </c>
      <c r="Y493">
        <v>4</v>
      </c>
      <c r="Z493">
        <v>4</v>
      </c>
      <c r="AA493">
        <f t="shared" si="15"/>
        <v>54</v>
      </c>
      <c r="AB493" t="s">
        <v>45</v>
      </c>
      <c r="AC493">
        <v>17.670000000000002</v>
      </c>
      <c r="AD493">
        <v>34.380000000000003</v>
      </c>
      <c r="AE493">
        <v>31.78</v>
      </c>
      <c r="AF493">
        <v>10.49</v>
      </c>
      <c r="AG493">
        <v>36.909999999999997</v>
      </c>
      <c r="AH493">
        <v>196.04</v>
      </c>
      <c r="AI493">
        <v>124.88</v>
      </c>
      <c r="AJ493">
        <v>73</v>
      </c>
      <c r="AK493">
        <v>28.95</v>
      </c>
      <c r="AL493">
        <v>11.84</v>
      </c>
      <c r="AM493">
        <v>82.91</v>
      </c>
      <c r="AN493">
        <v>20.58</v>
      </c>
      <c r="AO493">
        <v>669.43000000000006</v>
      </c>
    </row>
    <row r="494" spans="1:41" x14ac:dyDescent="0.25">
      <c r="A494" t="s">
        <v>826</v>
      </c>
      <c r="B494">
        <v>751</v>
      </c>
      <c r="C494">
        <v>2979</v>
      </c>
      <c r="D494">
        <v>178</v>
      </c>
      <c r="E494">
        <v>7390</v>
      </c>
      <c r="F494">
        <v>4948</v>
      </c>
      <c r="G494">
        <v>5606</v>
      </c>
      <c r="H494">
        <v>5705</v>
      </c>
      <c r="I494">
        <v>524</v>
      </c>
      <c r="J494">
        <v>3905</v>
      </c>
      <c r="K494">
        <v>1691</v>
      </c>
      <c r="L494">
        <v>3441</v>
      </c>
      <c r="M494">
        <v>0</v>
      </c>
      <c r="N494">
        <f t="shared" si="14"/>
        <v>37118</v>
      </c>
      <c r="O494">
        <v>3</v>
      </c>
      <c r="P494">
        <v>1</v>
      </c>
      <c r="Q494">
        <v>8</v>
      </c>
      <c r="R494">
        <v>3</v>
      </c>
      <c r="S494">
        <v>8</v>
      </c>
      <c r="T494">
        <v>5</v>
      </c>
      <c r="U494">
        <v>3</v>
      </c>
      <c r="V494">
        <v>2</v>
      </c>
      <c r="W494">
        <v>2</v>
      </c>
      <c r="X494">
        <v>7</v>
      </c>
      <c r="Y494">
        <v>5</v>
      </c>
      <c r="Z494">
        <v>3</v>
      </c>
      <c r="AA494">
        <f t="shared" si="15"/>
        <v>50</v>
      </c>
      <c r="AB494" t="s">
        <v>45</v>
      </c>
      <c r="AC494">
        <v>17.649999999999999</v>
      </c>
      <c r="AD494">
        <v>39.83</v>
      </c>
      <c r="AE494">
        <v>12.17</v>
      </c>
      <c r="AF494">
        <v>84.04</v>
      </c>
      <c r="AG494">
        <v>59.87</v>
      </c>
      <c r="AH494">
        <v>66.3</v>
      </c>
      <c r="AI494">
        <v>67.19</v>
      </c>
      <c r="AJ494">
        <v>15.33</v>
      </c>
      <c r="AK494">
        <v>49.14</v>
      </c>
      <c r="AL494">
        <v>27.25</v>
      </c>
      <c r="AM494">
        <v>44.65</v>
      </c>
      <c r="AN494">
        <v>10.14</v>
      </c>
      <c r="AO494">
        <v>493.55999999999995</v>
      </c>
    </row>
    <row r="495" spans="1:41" x14ac:dyDescent="0.25">
      <c r="A495" t="s">
        <v>829</v>
      </c>
      <c r="B495">
        <v>727</v>
      </c>
      <c r="C495">
        <v>464</v>
      </c>
      <c r="D495">
        <v>3558</v>
      </c>
      <c r="E495">
        <v>14265</v>
      </c>
      <c r="F495">
        <v>124</v>
      </c>
      <c r="G495">
        <v>15336</v>
      </c>
      <c r="H495">
        <v>5304</v>
      </c>
      <c r="I495">
        <v>7068</v>
      </c>
      <c r="J495">
        <v>0</v>
      </c>
      <c r="K495">
        <v>1710</v>
      </c>
      <c r="L495">
        <v>0</v>
      </c>
      <c r="M495">
        <v>946</v>
      </c>
      <c r="N495">
        <f t="shared" si="14"/>
        <v>49502</v>
      </c>
      <c r="O495">
        <v>3</v>
      </c>
      <c r="P495">
        <v>5</v>
      </c>
      <c r="Q495">
        <v>1</v>
      </c>
      <c r="R495">
        <v>0</v>
      </c>
      <c r="S495">
        <v>9</v>
      </c>
      <c r="T495">
        <v>13</v>
      </c>
      <c r="U495">
        <v>3</v>
      </c>
      <c r="V495">
        <v>3</v>
      </c>
      <c r="W495">
        <v>4</v>
      </c>
      <c r="X495">
        <v>1</v>
      </c>
      <c r="Y495">
        <v>2</v>
      </c>
      <c r="Z495">
        <v>1</v>
      </c>
      <c r="AA495">
        <f t="shared" si="15"/>
        <v>45</v>
      </c>
      <c r="AB495" t="s">
        <v>45</v>
      </c>
      <c r="AC495">
        <v>17.41</v>
      </c>
      <c r="AD495">
        <v>14.88</v>
      </c>
      <c r="AE495">
        <v>45.62</v>
      </c>
      <c r="AF495">
        <v>152.63999999999999</v>
      </c>
      <c r="AG495">
        <v>11.68</v>
      </c>
      <c r="AH495">
        <v>164</v>
      </c>
      <c r="AI495">
        <v>63.18</v>
      </c>
      <c r="AJ495">
        <v>80.819999999999993</v>
      </c>
      <c r="AK495">
        <v>10.19</v>
      </c>
      <c r="AL495">
        <v>27.14</v>
      </c>
      <c r="AM495">
        <v>10.09</v>
      </c>
      <c r="AN495">
        <v>19.5</v>
      </c>
      <c r="AO495">
        <v>617.15000000000009</v>
      </c>
    </row>
    <row r="496" spans="1:41" x14ac:dyDescent="0.25">
      <c r="A496" t="s">
        <v>831</v>
      </c>
      <c r="B496">
        <v>719</v>
      </c>
      <c r="C496">
        <v>0</v>
      </c>
      <c r="D496">
        <v>4679</v>
      </c>
      <c r="E496">
        <v>2054</v>
      </c>
      <c r="F496">
        <v>3002</v>
      </c>
      <c r="G496">
        <v>7367</v>
      </c>
      <c r="H496">
        <v>3880</v>
      </c>
      <c r="I496">
        <v>0</v>
      </c>
      <c r="J496">
        <v>14965</v>
      </c>
      <c r="K496">
        <v>2718</v>
      </c>
      <c r="L496">
        <v>0</v>
      </c>
      <c r="M496">
        <v>18093</v>
      </c>
      <c r="N496">
        <f t="shared" si="14"/>
        <v>57477</v>
      </c>
      <c r="O496">
        <v>6</v>
      </c>
      <c r="P496">
        <v>1</v>
      </c>
      <c r="Q496">
        <v>5</v>
      </c>
      <c r="R496">
        <v>3</v>
      </c>
      <c r="S496">
        <v>2</v>
      </c>
      <c r="T496">
        <v>13</v>
      </c>
      <c r="U496">
        <v>5</v>
      </c>
      <c r="V496">
        <v>0</v>
      </c>
      <c r="W496">
        <v>10</v>
      </c>
      <c r="X496">
        <v>2</v>
      </c>
      <c r="Y496">
        <v>9</v>
      </c>
      <c r="Z496">
        <v>8</v>
      </c>
      <c r="AA496">
        <f t="shared" si="15"/>
        <v>64</v>
      </c>
      <c r="AB496" t="s">
        <v>45</v>
      </c>
      <c r="AC496">
        <v>17.48</v>
      </c>
      <c r="AD496">
        <v>10.039999999999999</v>
      </c>
      <c r="AE496">
        <v>57.03</v>
      </c>
      <c r="AF496">
        <v>30.68</v>
      </c>
      <c r="AG496">
        <v>40.11</v>
      </c>
      <c r="AH496">
        <v>84.31</v>
      </c>
      <c r="AI496">
        <v>49.04</v>
      </c>
      <c r="AJ496">
        <v>9.99</v>
      </c>
      <c r="AK496">
        <v>160.13999999999999</v>
      </c>
      <c r="AL496">
        <v>37.270000000000003</v>
      </c>
      <c r="AM496">
        <v>10.44</v>
      </c>
      <c r="AN496">
        <v>191.32</v>
      </c>
      <c r="AO496">
        <v>697.84999999999991</v>
      </c>
    </row>
    <row r="497" spans="1:41" x14ac:dyDescent="0.25">
      <c r="A497" t="s">
        <v>833</v>
      </c>
      <c r="B497">
        <v>711</v>
      </c>
      <c r="C497">
        <v>3905</v>
      </c>
      <c r="D497">
        <v>979</v>
      </c>
      <c r="E497">
        <v>3687</v>
      </c>
      <c r="F497">
        <v>2232</v>
      </c>
      <c r="G497">
        <v>0</v>
      </c>
      <c r="H497">
        <v>13151</v>
      </c>
      <c r="I497">
        <v>9132</v>
      </c>
      <c r="J497">
        <v>7373</v>
      </c>
      <c r="K497">
        <v>5043</v>
      </c>
      <c r="L497">
        <v>3499</v>
      </c>
      <c r="M497">
        <v>3757</v>
      </c>
      <c r="N497">
        <f t="shared" si="14"/>
        <v>53469</v>
      </c>
      <c r="O497">
        <v>0</v>
      </c>
      <c r="P497">
        <v>4</v>
      </c>
      <c r="Q497">
        <v>3</v>
      </c>
      <c r="R497">
        <v>10</v>
      </c>
      <c r="S497">
        <v>1</v>
      </c>
      <c r="T497">
        <v>6</v>
      </c>
      <c r="U497">
        <v>8</v>
      </c>
      <c r="V497">
        <v>2</v>
      </c>
      <c r="W497">
        <v>3</v>
      </c>
      <c r="X497">
        <v>0</v>
      </c>
      <c r="Y497">
        <v>0</v>
      </c>
      <c r="Z497">
        <v>0</v>
      </c>
      <c r="AA497">
        <f t="shared" si="15"/>
        <v>37</v>
      </c>
      <c r="AB497" t="s">
        <v>45</v>
      </c>
      <c r="AC497">
        <v>17.100000000000001</v>
      </c>
      <c r="AD497">
        <v>49.24</v>
      </c>
      <c r="AE497">
        <v>19.93</v>
      </c>
      <c r="AF497">
        <v>47.36</v>
      </c>
      <c r="AG497">
        <v>32.36</v>
      </c>
      <c r="AH497">
        <v>10.29</v>
      </c>
      <c r="AI497">
        <v>141.9</v>
      </c>
      <c r="AJ497">
        <v>101.41</v>
      </c>
      <c r="AK497">
        <v>83.87</v>
      </c>
      <c r="AL497">
        <v>60.42</v>
      </c>
      <c r="AM497">
        <v>44.98</v>
      </c>
      <c r="AN497">
        <v>47.56</v>
      </c>
      <c r="AO497">
        <v>656.42000000000007</v>
      </c>
    </row>
    <row r="498" spans="1:41" x14ac:dyDescent="0.25">
      <c r="A498" t="s">
        <v>834</v>
      </c>
      <c r="B498">
        <v>708</v>
      </c>
      <c r="C498">
        <v>1183</v>
      </c>
      <c r="D498">
        <v>725</v>
      </c>
      <c r="E498">
        <v>6034</v>
      </c>
      <c r="F498">
        <v>37</v>
      </c>
      <c r="G498">
        <v>3049</v>
      </c>
      <c r="H498">
        <v>3658</v>
      </c>
      <c r="I498">
        <v>11917</v>
      </c>
      <c r="J498">
        <v>26583</v>
      </c>
      <c r="K498">
        <v>11463</v>
      </c>
      <c r="L498">
        <v>3709</v>
      </c>
      <c r="M498">
        <v>5071</v>
      </c>
      <c r="N498">
        <f t="shared" si="14"/>
        <v>74137</v>
      </c>
      <c r="O498">
        <v>2</v>
      </c>
      <c r="P498">
        <v>5</v>
      </c>
      <c r="Q498">
        <v>2</v>
      </c>
      <c r="R498">
        <v>8</v>
      </c>
      <c r="S498">
        <v>1</v>
      </c>
      <c r="T498">
        <v>5</v>
      </c>
      <c r="U498">
        <v>3</v>
      </c>
      <c r="V498">
        <v>3</v>
      </c>
      <c r="W498">
        <v>8</v>
      </c>
      <c r="X498">
        <v>0</v>
      </c>
      <c r="Y498">
        <v>2</v>
      </c>
      <c r="Z498">
        <v>4</v>
      </c>
      <c r="AA498">
        <f t="shared" si="15"/>
        <v>43</v>
      </c>
      <c r="AB498" t="s">
        <v>45</v>
      </c>
      <c r="AC498">
        <v>17.170000000000002</v>
      </c>
      <c r="AD498">
        <v>22.07</v>
      </c>
      <c r="AE498">
        <v>17.34</v>
      </c>
      <c r="AF498">
        <v>70.73</v>
      </c>
      <c r="AG498">
        <v>10.41</v>
      </c>
      <c r="AH498">
        <v>40.729999999999997</v>
      </c>
      <c r="AI498">
        <v>46.72</v>
      </c>
      <c r="AJ498">
        <v>129.31</v>
      </c>
      <c r="AK498">
        <v>276.22000000000003</v>
      </c>
      <c r="AL498">
        <v>124.62</v>
      </c>
      <c r="AM498">
        <v>47.18</v>
      </c>
      <c r="AN498">
        <v>60.9</v>
      </c>
      <c r="AO498">
        <v>863.4</v>
      </c>
    </row>
    <row r="499" spans="1:41" x14ac:dyDescent="0.25">
      <c r="A499" t="s">
        <v>835</v>
      </c>
      <c r="B499">
        <v>702</v>
      </c>
      <c r="C499">
        <v>9455</v>
      </c>
      <c r="D499">
        <v>2958</v>
      </c>
      <c r="E499">
        <v>2178</v>
      </c>
      <c r="F499">
        <v>2573</v>
      </c>
      <c r="G499">
        <v>0</v>
      </c>
      <c r="H499">
        <v>7141</v>
      </c>
      <c r="I499">
        <v>1711</v>
      </c>
      <c r="J499">
        <v>3095</v>
      </c>
      <c r="K499">
        <v>3701</v>
      </c>
      <c r="L499">
        <v>4080</v>
      </c>
      <c r="M499">
        <v>3321</v>
      </c>
      <c r="N499">
        <f t="shared" si="14"/>
        <v>40915</v>
      </c>
      <c r="O499">
        <v>1</v>
      </c>
      <c r="P499">
        <v>7</v>
      </c>
      <c r="Q499">
        <v>4</v>
      </c>
      <c r="R499">
        <v>1</v>
      </c>
      <c r="S499">
        <v>8</v>
      </c>
      <c r="T499">
        <v>6</v>
      </c>
      <c r="U499">
        <v>3</v>
      </c>
      <c r="V499">
        <v>5</v>
      </c>
      <c r="W499">
        <v>2</v>
      </c>
      <c r="X499">
        <v>4</v>
      </c>
      <c r="Y499">
        <v>3</v>
      </c>
      <c r="Z499">
        <v>12</v>
      </c>
      <c r="AA499">
        <f t="shared" si="15"/>
        <v>56</v>
      </c>
      <c r="AB499" t="s">
        <v>45</v>
      </c>
      <c r="AC499">
        <v>17.059999999999999</v>
      </c>
      <c r="AD499">
        <v>104.89</v>
      </c>
      <c r="AE499">
        <v>39.770000000000003</v>
      </c>
      <c r="AF499">
        <v>31.82</v>
      </c>
      <c r="AG499">
        <v>36.119999999999997</v>
      </c>
      <c r="AH499">
        <v>10.29</v>
      </c>
      <c r="AI499">
        <v>81.55</v>
      </c>
      <c r="AJ499">
        <v>27.35</v>
      </c>
      <c r="AK499">
        <v>41.04</v>
      </c>
      <c r="AL499">
        <v>47.2</v>
      </c>
      <c r="AM499">
        <v>50.94</v>
      </c>
      <c r="AN499">
        <v>43.8</v>
      </c>
      <c r="AO499">
        <v>531.83000000000004</v>
      </c>
    </row>
    <row r="500" spans="1:41" x14ac:dyDescent="0.25">
      <c r="A500" t="s">
        <v>836</v>
      </c>
      <c r="B500">
        <v>699</v>
      </c>
      <c r="C500">
        <v>3412</v>
      </c>
      <c r="D500">
        <v>2133</v>
      </c>
      <c r="E500">
        <v>1619</v>
      </c>
      <c r="F500">
        <v>716</v>
      </c>
      <c r="G500">
        <v>2349</v>
      </c>
      <c r="H500">
        <v>2583</v>
      </c>
      <c r="I500">
        <v>13484</v>
      </c>
      <c r="J500">
        <v>2786</v>
      </c>
      <c r="K500">
        <v>2640</v>
      </c>
      <c r="L500">
        <v>0</v>
      </c>
      <c r="M500">
        <v>5659</v>
      </c>
      <c r="N500">
        <f t="shared" si="14"/>
        <v>38080</v>
      </c>
      <c r="O500">
        <v>3</v>
      </c>
      <c r="P500">
        <v>0</v>
      </c>
      <c r="Q500">
        <v>11</v>
      </c>
      <c r="R500">
        <v>3</v>
      </c>
      <c r="S500">
        <v>5</v>
      </c>
      <c r="T500">
        <v>5</v>
      </c>
      <c r="U500">
        <v>2</v>
      </c>
      <c r="V500">
        <v>6</v>
      </c>
      <c r="W500">
        <v>0</v>
      </c>
      <c r="X500">
        <v>1</v>
      </c>
      <c r="Y500">
        <v>2</v>
      </c>
      <c r="Z500">
        <v>7</v>
      </c>
      <c r="AA500">
        <f t="shared" si="15"/>
        <v>45</v>
      </c>
      <c r="AB500" t="s">
        <v>45</v>
      </c>
      <c r="AC500">
        <v>17.13</v>
      </c>
      <c r="AD500">
        <v>44.11</v>
      </c>
      <c r="AE500">
        <v>31.87</v>
      </c>
      <c r="AF500">
        <v>26.33</v>
      </c>
      <c r="AG500">
        <v>17.399999999999999</v>
      </c>
      <c r="AH500">
        <v>33.729999999999997</v>
      </c>
      <c r="AI500">
        <v>35.92</v>
      </c>
      <c r="AJ500">
        <v>145.13</v>
      </c>
      <c r="AK500">
        <v>37.85</v>
      </c>
      <c r="AL500">
        <v>36.44</v>
      </c>
      <c r="AM500">
        <v>10.09</v>
      </c>
      <c r="AN500">
        <v>66.930000000000007</v>
      </c>
      <c r="AO500">
        <v>502.93</v>
      </c>
    </row>
    <row r="501" spans="1:41" x14ac:dyDescent="0.25">
      <c r="A501" t="s">
        <v>839</v>
      </c>
      <c r="B501">
        <v>690</v>
      </c>
      <c r="C501">
        <v>0</v>
      </c>
      <c r="D501">
        <v>265</v>
      </c>
      <c r="E501">
        <v>1423</v>
      </c>
      <c r="F501">
        <v>3090</v>
      </c>
      <c r="G501">
        <v>4553</v>
      </c>
      <c r="H501">
        <v>10820</v>
      </c>
      <c r="I501">
        <v>10227</v>
      </c>
      <c r="J501">
        <v>3805</v>
      </c>
      <c r="K501">
        <v>0</v>
      </c>
      <c r="L501">
        <v>1310</v>
      </c>
      <c r="M501">
        <v>3031</v>
      </c>
      <c r="N501">
        <f t="shared" si="14"/>
        <v>39214</v>
      </c>
      <c r="O501">
        <v>4</v>
      </c>
      <c r="P501">
        <v>1</v>
      </c>
      <c r="Q501">
        <v>6</v>
      </c>
      <c r="R501">
        <v>6</v>
      </c>
      <c r="S501">
        <v>0</v>
      </c>
      <c r="T501">
        <v>2</v>
      </c>
      <c r="U501">
        <v>6</v>
      </c>
      <c r="V501">
        <v>4</v>
      </c>
      <c r="W501">
        <v>13</v>
      </c>
      <c r="X501">
        <v>6</v>
      </c>
      <c r="Y501">
        <v>13</v>
      </c>
      <c r="Z501">
        <v>6</v>
      </c>
      <c r="AA501">
        <f t="shared" si="15"/>
        <v>67</v>
      </c>
      <c r="AB501" t="s">
        <v>45</v>
      </c>
      <c r="AC501">
        <v>17.09</v>
      </c>
      <c r="AD501">
        <v>10.039999999999999</v>
      </c>
      <c r="AE501">
        <v>12.94</v>
      </c>
      <c r="AF501">
        <v>24.52</v>
      </c>
      <c r="AG501">
        <v>40.89</v>
      </c>
      <c r="AH501">
        <v>55.62</v>
      </c>
      <c r="AI501">
        <v>118.49</v>
      </c>
      <c r="AJ501">
        <v>112.46</v>
      </c>
      <c r="AK501">
        <v>48.69</v>
      </c>
      <c r="AL501">
        <v>10.29</v>
      </c>
      <c r="AM501">
        <v>23.74</v>
      </c>
      <c r="AN501">
        <v>40.6</v>
      </c>
      <c r="AO501">
        <v>515.37</v>
      </c>
    </row>
    <row r="502" spans="1:41" x14ac:dyDescent="0.25">
      <c r="A502" t="s">
        <v>841</v>
      </c>
      <c r="B502">
        <v>674</v>
      </c>
      <c r="C502">
        <v>6640</v>
      </c>
      <c r="D502">
        <v>1146</v>
      </c>
      <c r="E502">
        <v>2643</v>
      </c>
      <c r="F502">
        <v>5242</v>
      </c>
      <c r="G502">
        <v>5670</v>
      </c>
      <c r="H502">
        <v>4432</v>
      </c>
      <c r="I502">
        <v>1471</v>
      </c>
      <c r="J502">
        <v>5399</v>
      </c>
      <c r="K502">
        <v>4620</v>
      </c>
      <c r="L502">
        <v>5158</v>
      </c>
      <c r="M502">
        <v>157</v>
      </c>
      <c r="N502">
        <f t="shared" si="14"/>
        <v>43252</v>
      </c>
      <c r="O502">
        <v>3</v>
      </c>
      <c r="P502">
        <v>1</v>
      </c>
      <c r="Q502">
        <v>7</v>
      </c>
      <c r="R502">
        <v>0</v>
      </c>
      <c r="S502">
        <v>9</v>
      </c>
      <c r="T502">
        <v>7</v>
      </c>
      <c r="U502">
        <v>6</v>
      </c>
      <c r="V502">
        <v>2</v>
      </c>
      <c r="W502">
        <v>4</v>
      </c>
      <c r="X502">
        <v>4</v>
      </c>
      <c r="Y502">
        <v>6</v>
      </c>
      <c r="Z502">
        <v>0</v>
      </c>
      <c r="AA502">
        <f t="shared" si="15"/>
        <v>49</v>
      </c>
      <c r="AB502" t="s">
        <v>45</v>
      </c>
      <c r="AC502">
        <v>16.88</v>
      </c>
      <c r="AD502">
        <v>76.44</v>
      </c>
      <c r="AE502">
        <v>21.8</v>
      </c>
      <c r="AF502">
        <v>36.42</v>
      </c>
      <c r="AG502">
        <v>62.86</v>
      </c>
      <c r="AH502">
        <v>67.040000000000006</v>
      </c>
      <c r="AI502">
        <v>54.61</v>
      </c>
      <c r="AJ502">
        <v>24.8</v>
      </c>
      <c r="AK502">
        <v>64.180000000000007</v>
      </c>
      <c r="AL502">
        <v>56.39</v>
      </c>
      <c r="AM502">
        <v>61.87</v>
      </c>
      <c r="AN502">
        <v>11.56</v>
      </c>
      <c r="AO502">
        <v>554.84999999999991</v>
      </c>
    </row>
    <row r="503" spans="1:41" x14ac:dyDescent="0.25">
      <c r="A503" t="s">
        <v>842</v>
      </c>
      <c r="B503">
        <v>674</v>
      </c>
      <c r="C503">
        <v>0</v>
      </c>
      <c r="D503">
        <v>1520</v>
      </c>
      <c r="E503">
        <v>3601</v>
      </c>
      <c r="F503">
        <v>8315</v>
      </c>
      <c r="G503">
        <v>564</v>
      </c>
      <c r="H503">
        <v>2732</v>
      </c>
      <c r="I503">
        <v>5123</v>
      </c>
      <c r="J503">
        <v>2055</v>
      </c>
      <c r="K503">
        <v>3029</v>
      </c>
      <c r="L503">
        <v>4579</v>
      </c>
      <c r="M503">
        <v>6956</v>
      </c>
      <c r="N503">
        <f t="shared" si="14"/>
        <v>39148</v>
      </c>
      <c r="O503">
        <v>1</v>
      </c>
      <c r="P503">
        <v>5</v>
      </c>
      <c r="Q503">
        <v>2</v>
      </c>
      <c r="R503">
        <v>3</v>
      </c>
      <c r="S503">
        <v>1</v>
      </c>
      <c r="T503">
        <v>0</v>
      </c>
      <c r="U503">
        <v>8</v>
      </c>
      <c r="V503">
        <v>2</v>
      </c>
      <c r="W503">
        <v>12</v>
      </c>
      <c r="X503">
        <v>15</v>
      </c>
      <c r="Y503">
        <v>4</v>
      </c>
      <c r="Z503">
        <v>2</v>
      </c>
      <c r="AA503">
        <f t="shared" si="15"/>
        <v>55</v>
      </c>
      <c r="AB503" t="s">
        <v>45</v>
      </c>
      <c r="AC503">
        <v>16.78</v>
      </c>
      <c r="AD503">
        <v>10.24</v>
      </c>
      <c r="AE503">
        <v>25.29</v>
      </c>
      <c r="AF503">
        <v>46.15</v>
      </c>
      <c r="AG503">
        <v>93.19</v>
      </c>
      <c r="AH503">
        <v>15.63</v>
      </c>
      <c r="AI503">
        <v>37.71</v>
      </c>
      <c r="AJ503">
        <v>61.32</v>
      </c>
      <c r="AK503">
        <v>31.14</v>
      </c>
      <c r="AL503">
        <v>41.03</v>
      </c>
      <c r="AM503">
        <v>55.98</v>
      </c>
      <c r="AN503">
        <v>79.650000000000006</v>
      </c>
      <c r="AO503">
        <v>514.11</v>
      </c>
    </row>
    <row r="504" spans="1:41" x14ac:dyDescent="0.25">
      <c r="A504" t="s">
        <v>843</v>
      </c>
      <c r="B504">
        <v>668</v>
      </c>
      <c r="C504">
        <v>3571</v>
      </c>
      <c r="D504">
        <v>7787</v>
      </c>
      <c r="E504">
        <v>839</v>
      </c>
      <c r="F504">
        <v>2180</v>
      </c>
      <c r="G504">
        <v>277</v>
      </c>
      <c r="H504">
        <v>1219</v>
      </c>
      <c r="I504">
        <v>4859</v>
      </c>
      <c r="J504">
        <v>4752</v>
      </c>
      <c r="K504">
        <v>5523</v>
      </c>
      <c r="L504">
        <v>1873</v>
      </c>
      <c r="M504">
        <v>7504</v>
      </c>
      <c r="N504">
        <f t="shared" si="14"/>
        <v>41052</v>
      </c>
      <c r="O504">
        <v>5</v>
      </c>
      <c r="P504">
        <v>2</v>
      </c>
      <c r="Q504">
        <v>3</v>
      </c>
      <c r="R504">
        <v>5</v>
      </c>
      <c r="S504">
        <v>1</v>
      </c>
      <c r="T504">
        <v>3</v>
      </c>
      <c r="U504">
        <v>4</v>
      </c>
      <c r="V504">
        <v>3</v>
      </c>
      <c r="W504">
        <v>7</v>
      </c>
      <c r="X504">
        <v>5</v>
      </c>
      <c r="Y504">
        <v>12</v>
      </c>
      <c r="Z504">
        <v>2</v>
      </c>
      <c r="AA504">
        <f t="shared" si="15"/>
        <v>52</v>
      </c>
      <c r="AB504" t="s">
        <v>45</v>
      </c>
      <c r="AC504">
        <v>16.920000000000002</v>
      </c>
      <c r="AD504">
        <v>45.8</v>
      </c>
      <c r="AE504">
        <v>88.01</v>
      </c>
      <c r="AF504">
        <v>18.63</v>
      </c>
      <c r="AG504">
        <v>31.84</v>
      </c>
      <c r="AH504">
        <v>12.91</v>
      </c>
      <c r="AI504">
        <v>22.38</v>
      </c>
      <c r="AJ504">
        <v>58.73</v>
      </c>
      <c r="AK504">
        <v>57.86</v>
      </c>
      <c r="AL504">
        <v>65.47</v>
      </c>
      <c r="AM504">
        <v>29.32</v>
      </c>
      <c r="AN504">
        <v>85.13</v>
      </c>
      <c r="AO504">
        <v>533</v>
      </c>
    </row>
    <row r="505" spans="1:41" x14ac:dyDescent="0.25">
      <c r="A505" t="s">
        <v>844</v>
      </c>
      <c r="B505">
        <v>661</v>
      </c>
      <c r="C505">
        <v>3423</v>
      </c>
      <c r="D505">
        <v>16960</v>
      </c>
      <c r="E505">
        <v>3878</v>
      </c>
      <c r="F505">
        <v>1207</v>
      </c>
      <c r="G505">
        <v>3282</v>
      </c>
      <c r="H505">
        <v>0</v>
      </c>
      <c r="I505">
        <v>95</v>
      </c>
      <c r="J505">
        <v>1888</v>
      </c>
      <c r="K505">
        <v>184</v>
      </c>
      <c r="L505">
        <v>5404</v>
      </c>
      <c r="M505">
        <v>1005</v>
      </c>
      <c r="N505">
        <f t="shared" si="14"/>
        <v>37987</v>
      </c>
      <c r="O505">
        <v>1</v>
      </c>
      <c r="P505">
        <v>0</v>
      </c>
      <c r="Q505">
        <v>14</v>
      </c>
      <c r="R505">
        <v>0</v>
      </c>
      <c r="S505">
        <v>5</v>
      </c>
      <c r="T505">
        <v>1</v>
      </c>
      <c r="U505">
        <v>0</v>
      </c>
      <c r="V505">
        <v>4</v>
      </c>
      <c r="W505">
        <v>2</v>
      </c>
      <c r="X505">
        <v>11</v>
      </c>
      <c r="Y505">
        <v>11</v>
      </c>
      <c r="Z505">
        <v>8</v>
      </c>
      <c r="AA505">
        <f t="shared" si="15"/>
        <v>57</v>
      </c>
      <c r="AB505" t="s">
        <v>45</v>
      </c>
      <c r="AC505">
        <v>16.649999999999999</v>
      </c>
      <c r="AD505">
        <v>44.22</v>
      </c>
      <c r="AE505">
        <v>180.29</v>
      </c>
      <c r="AF505">
        <v>48.77</v>
      </c>
      <c r="AG505">
        <v>22.31</v>
      </c>
      <c r="AH505">
        <v>42.86</v>
      </c>
      <c r="AI505">
        <v>9.99</v>
      </c>
      <c r="AJ505">
        <v>11.14</v>
      </c>
      <c r="AK505">
        <v>28.97</v>
      </c>
      <c r="AL505">
        <v>12.38</v>
      </c>
      <c r="AM505">
        <v>64.58</v>
      </c>
      <c r="AN505">
        <v>20.440000000000001</v>
      </c>
      <c r="AO505">
        <v>502.6</v>
      </c>
    </row>
    <row r="506" spans="1:41" x14ac:dyDescent="0.25">
      <c r="A506" t="s">
        <v>845</v>
      </c>
      <c r="B506">
        <v>660</v>
      </c>
      <c r="C506">
        <v>2205</v>
      </c>
      <c r="D506">
        <v>4706</v>
      </c>
      <c r="E506">
        <v>3977</v>
      </c>
      <c r="F506">
        <v>1355</v>
      </c>
      <c r="G506">
        <v>1450</v>
      </c>
      <c r="H506">
        <v>1612</v>
      </c>
      <c r="I506">
        <v>8796</v>
      </c>
      <c r="J506">
        <v>1602</v>
      </c>
      <c r="K506">
        <v>541</v>
      </c>
      <c r="L506">
        <v>189</v>
      </c>
      <c r="M506">
        <v>10778</v>
      </c>
      <c r="N506">
        <f t="shared" si="14"/>
        <v>37871</v>
      </c>
      <c r="O506">
        <v>5</v>
      </c>
      <c r="P506">
        <v>1</v>
      </c>
      <c r="Q506">
        <v>0</v>
      </c>
      <c r="R506">
        <v>4</v>
      </c>
      <c r="S506">
        <v>1</v>
      </c>
      <c r="T506">
        <v>5</v>
      </c>
      <c r="U506">
        <v>5</v>
      </c>
      <c r="V506">
        <v>2</v>
      </c>
      <c r="W506">
        <v>4</v>
      </c>
      <c r="X506">
        <v>0</v>
      </c>
      <c r="Y506">
        <v>3</v>
      </c>
      <c r="Z506">
        <v>3</v>
      </c>
      <c r="AA506">
        <f t="shared" si="15"/>
        <v>33</v>
      </c>
      <c r="AB506" t="s">
        <v>45</v>
      </c>
      <c r="AC506">
        <v>16.84</v>
      </c>
      <c r="AD506">
        <v>32.090000000000003</v>
      </c>
      <c r="AE506">
        <v>57.05</v>
      </c>
      <c r="AF506">
        <v>49.96</v>
      </c>
      <c r="AG506">
        <v>23.59</v>
      </c>
      <c r="AH506">
        <v>24.74</v>
      </c>
      <c r="AI506">
        <v>26.36</v>
      </c>
      <c r="AJ506">
        <v>98.05</v>
      </c>
      <c r="AK506">
        <v>26.21</v>
      </c>
      <c r="AL506">
        <v>15.4</v>
      </c>
      <c r="AM506">
        <v>12.03</v>
      </c>
      <c r="AN506">
        <v>117.92</v>
      </c>
      <c r="AO506">
        <v>500.23999999999995</v>
      </c>
    </row>
    <row r="507" spans="1:41" x14ac:dyDescent="0.25">
      <c r="A507" t="s">
        <v>848</v>
      </c>
      <c r="B507">
        <v>643</v>
      </c>
      <c r="C507">
        <v>249</v>
      </c>
      <c r="D507">
        <v>5081</v>
      </c>
      <c r="E507">
        <v>630</v>
      </c>
      <c r="F507">
        <v>1214</v>
      </c>
      <c r="G507">
        <v>4175</v>
      </c>
      <c r="H507">
        <v>2028</v>
      </c>
      <c r="I507">
        <v>14468</v>
      </c>
      <c r="J507">
        <v>4959</v>
      </c>
      <c r="K507">
        <v>5310</v>
      </c>
      <c r="L507">
        <v>740</v>
      </c>
      <c r="M507">
        <v>151</v>
      </c>
      <c r="N507">
        <f t="shared" si="14"/>
        <v>39648</v>
      </c>
      <c r="O507">
        <v>7</v>
      </c>
      <c r="P507">
        <v>4</v>
      </c>
      <c r="Q507">
        <v>0</v>
      </c>
      <c r="R507">
        <v>3</v>
      </c>
      <c r="S507">
        <v>6</v>
      </c>
      <c r="T507">
        <v>7</v>
      </c>
      <c r="U507">
        <v>3</v>
      </c>
      <c r="V507">
        <v>2</v>
      </c>
      <c r="W507">
        <v>8</v>
      </c>
      <c r="X507">
        <v>4</v>
      </c>
      <c r="Y507">
        <v>3</v>
      </c>
      <c r="Z507">
        <v>3</v>
      </c>
      <c r="AA507">
        <f t="shared" si="15"/>
        <v>50</v>
      </c>
      <c r="AB507" t="s">
        <v>45</v>
      </c>
      <c r="AC507">
        <v>16.77</v>
      </c>
      <c r="AD507">
        <v>12.68</v>
      </c>
      <c r="AE507">
        <v>60.8</v>
      </c>
      <c r="AF507">
        <v>16.440000000000001</v>
      </c>
      <c r="AG507">
        <v>22.43</v>
      </c>
      <c r="AH507">
        <v>52.09</v>
      </c>
      <c r="AI507">
        <v>30.42</v>
      </c>
      <c r="AJ507">
        <v>154.77000000000001</v>
      </c>
      <c r="AK507">
        <v>59.98</v>
      </c>
      <c r="AL507">
        <v>63.29</v>
      </c>
      <c r="AM507">
        <v>17.54</v>
      </c>
      <c r="AN507">
        <v>11.65</v>
      </c>
      <c r="AO507">
        <v>518.86</v>
      </c>
    </row>
    <row r="508" spans="1:41" x14ac:dyDescent="0.25">
      <c r="A508" t="s">
        <v>849</v>
      </c>
      <c r="B508">
        <v>626</v>
      </c>
      <c r="C508">
        <v>2286</v>
      </c>
      <c r="D508">
        <v>981</v>
      </c>
      <c r="E508">
        <v>1933</v>
      </c>
      <c r="F508">
        <v>1336</v>
      </c>
      <c r="G508">
        <v>5801</v>
      </c>
      <c r="H508">
        <v>608</v>
      </c>
      <c r="I508">
        <v>3547</v>
      </c>
      <c r="J508">
        <v>794</v>
      </c>
      <c r="K508">
        <v>13468</v>
      </c>
      <c r="L508">
        <v>1476</v>
      </c>
      <c r="M508">
        <v>6292</v>
      </c>
      <c r="N508">
        <f t="shared" si="14"/>
        <v>39148</v>
      </c>
      <c r="O508">
        <v>4</v>
      </c>
      <c r="P508">
        <v>2</v>
      </c>
      <c r="Q508">
        <v>2</v>
      </c>
      <c r="R508">
        <v>1</v>
      </c>
      <c r="S508">
        <v>3</v>
      </c>
      <c r="T508">
        <v>1</v>
      </c>
      <c r="U508">
        <v>1</v>
      </c>
      <c r="V508">
        <v>1</v>
      </c>
      <c r="W508">
        <v>12</v>
      </c>
      <c r="X508">
        <v>5</v>
      </c>
      <c r="Y508">
        <v>9</v>
      </c>
      <c r="Z508">
        <v>5</v>
      </c>
      <c r="AA508">
        <f t="shared" si="15"/>
        <v>46</v>
      </c>
      <c r="AB508" t="s">
        <v>45</v>
      </c>
      <c r="AC508">
        <v>16.45</v>
      </c>
      <c r="AD508">
        <v>32.950000000000003</v>
      </c>
      <c r="AE508">
        <v>19.899999999999999</v>
      </c>
      <c r="AF508">
        <v>29.37</v>
      </c>
      <c r="AG508">
        <v>23.5</v>
      </c>
      <c r="AH508">
        <v>68.05</v>
      </c>
      <c r="AI508">
        <v>16.12</v>
      </c>
      <c r="AJ508">
        <v>45.51</v>
      </c>
      <c r="AK508">
        <v>18.53</v>
      </c>
      <c r="AL508">
        <v>144.91999999999999</v>
      </c>
      <c r="AM508">
        <v>25.2</v>
      </c>
      <c r="AN508">
        <v>73.16</v>
      </c>
      <c r="AO508">
        <v>513.66</v>
      </c>
    </row>
    <row r="509" spans="1:41" x14ac:dyDescent="0.25">
      <c r="A509" t="s">
        <v>851</v>
      </c>
      <c r="B509">
        <v>608</v>
      </c>
      <c r="C509">
        <v>3504</v>
      </c>
      <c r="D509">
        <v>1770</v>
      </c>
      <c r="E509">
        <v>4119</v>
      </c>
      <c r="F509">
        <v>1615</v>
      </c>
      <c r="G509">
        <v>5320</v>
      </c>
      <c r="H509">
        <v>174</v>
      </c>
      <c r="I509">
        <v>7169</v>
      </c>
      <c r="J509">
        <v>6505</v>
      </c>
      <c r="K509">
        <v>4509</v>
      </c>
      <c r="L509">
        <v>0</v>
      </c>
      <c r="M509">
        <v>766</v>
      </c>
      <c r="N509">
        <f t="shared" si="14"/>
        <v>36059</v>
      </c>
      <c r="O509">
        <v>5</v>
      </c>
      <c r="P509">
        <v>1</v>
      </c>
      <c r="Q509">
        <v>4</v>
      </c>
      <c r="R509">
        <v>8</v>
      </c>
      <c r="S509">
        <v>2</v>
      </c>
      <c r="T509">
        <v>2</v>
      </c>
      <c r="U509">
        <v>1</v>
      </c>
      <c r="V509">
        <v>5</v>
      </c>
      <c r="W509">
        <v>9</v>
      </c>
      <c r="X509">
        <v>2</v>
      </c>
      <c r="Y509">
        <v>5</v>
      </c>
      <c r="Z509">
        <v>2</v>
      </c>
      <c r="AA509">
        <f t="shared" si="15"/>
        <v>46</v>
      </c>
      <c r="AB509" t="s">
        <v>45</v>
      </c>
      <c r="AC509">
        <v>16.32</v>
      </c>
      <c r="AD509">
        <v>45.08</v>
      </c>
      <c r="AE509">
        <v>27.89</v>
      </c>
      <c r="AF509">
        <v>51.58</v>
      </c>
      <c r="AG509">
        <v>26.24</v>
      </c>
      <c r="AH509">
        <v>63.29</v>
      </c>
      <c r="AI509">
        <v>11.78</v>
      </c>
      <c r="AJ509">
        <v>81.93</v>
      </c>
      <c r="AK509">
        <v>75.489999999999995</v>
      </c>
      <c r="AL509">
        <v>55.18</v>
      </c>
      <c r="AM509">
        <v>10.24</v>
      </c>
      <c r="AN509">
        <v>17.75</v>
      </c>
      <c r="AO509">
        <v>482.77000000000004</v>
      </c>
    </row>
    <row r="510" spans="1:41" x14ac:dyDescent="0.25">
      <c r="A510" t="s">
        <v>852</v>
      </c>
      <c r="B510">
        <v>608</v>
      </c>
      <c r="C510">
        <v>1749</v>
      </c>
      <c r="D510">
        <v>3562</v>
      </c>
      <c r="E510">
        <v>2665</v>
      </c>
      <c r="F510">
        <v>2226</v>
      </c>
      <c r="G510">
        <v>920</v>
      </c>
      <c r="H510">
        <v>3036</v>
      </c>
      <c r="I510">
        <v>5677</v>
      </c>
      <c r="J510">
        <v>7718</v>
      </c>
      <c r="K510">
        <v>1698</v>
      </c>
      <c r="L510">
        <v>2775</v>
      </c>
      <c r="M510">
        <v>6922</v>
      </c>
      <c r="N510">
        <f t="shared" si="14"/>
        <v>39556</v>
      </c>
      <c r="O510">
        <v>4</v>
      </c>
      <c r="P510">
        <v>0</v>
      </c>
      <c r="Q510">
        <v>0</v>
      </c>
      <c r="R510">
        <v>0</v>
      </c>
      <c r="S510">
        <v>3</v>
      </c>
      <c r="T510">
        <v>4</v>
      </c>
      <c r="U510">
        <v>0</v>
      </c>
      <c r="V510">
        <v>4</v>
      </c>
      <c r="W510">
        <v>3</v>
      </c>
      <c r="X510">
        <v>4</v>
      </c>
      <c r="Y510">
        <v>1</v>
      </c>
      <c r="Z510">
        <v>3</v>
      </c>
      <c r="AA510">
        <f t="shared" si="15"/>
        <v>26</v>
      </c>
      <c r="AB510" t="s">
        <v>45</v>
      </c>
      <c r="AC510">
        <v>16.27</v>
      </c>
      <c r="AD510">
        <v>27.48</v>
      </c>
      <c r="AE510">
        <v>45.61</v>
      </c>
      <c r="AF510">
        <v>36.64</v>
      </c>
      <c r="AG510">
        <v>32.4</v>
      </c>
      <c r="AH510">
        <v>19.39</v>
      </c>
      <c r="AI510">
        <v>40.35</v>
      </c>
      <c r="AJ510">
        <v>66.959999999999994</v>
      </c>
      <c r="AK510">
        <v>87.32</v>
      </c>
      <c r="AL510">
        <v>27.17</v>
      </c>
      <c r="AM510">
        <v>37.79</v>
      </c>
      <c r="AN510">
        <v>79.36</v>
      </c>
      <c r="AO510">
        <v>516.74</v>
      </c>
    </row>
    <row r="511" spans="1:41" x14ac:dyDescent="0.25">
      <c r="A511" t="s">
        <v>855</v>
      </c>
      <c r="B511">
        <v>596</v>
      </c>
      <c r="C511">
        <v>397</v>
      </c>
      <c r="D511">
        <v>5052</v>
      </c>
      <c r="E511">
        <v>757</v>
      </c>
      <c r="F511">
        <v>9511</v>
      </c>
      <c r="G511">
        <v>2449</v>
      </c>
      <c r="H511">
        <v>1105</v>
      </c>
      <c r="I511">
        <v>0</v>
      </c>
      <c r="J511">
        <v>1921</v>
      </c>
      <c r="K511">
        <v>11391</v>
      </c>
      <c r="L511">
        <v>15464</v>
      </c>
      <c r="M511">
        <v>4017</v>
      </c>
      <c r="N511">
        <f t="shared" si="14"/>
        <v>52660</v>
      </c>
      <c r="O511">
        <v>18</v>
      </c>
      <c r="P511">
        <v>13</v>
      </c>
      <c r="Q511">
        <v>1</v>
      </c>
      <c r="R511">
        <v>7</v>
      </c>
      <c r="S511">
        <v>4</v>
      </c>
      <c r="T511">
        <v>4</v>
      </c>
      <c r="U511">
        <v>4</v>
      </c>
      <c r="V511">
        <v>0</v>
      </c>
      <c r="W511">
        <v>3</v>
      </c>
      <c r="X511">
        <v>2</v>
      </c>
      <c r="Y511">
        <v>5</v>
      </c>
      <c r="Z511">
        <v>3</v>
      </c>
      <c r="AA511">
        <f t="shared" si="15"/>
        <v>64</v>
      </c>
      <c r="AB511" t="s">
        <v>45</v>
      </c>
      <c r="AC511">
        <v>16.850000000000001</v>
      </c>
      <c r="AD511">
        <v>14.61</v>
      </c>
      <c r="AE511">
        <v>60.56</v>
      </c>
      <c r="AF511">
        <v>17.91</v>
      </c>
      <c r="AG511">
        <v>105.3</v>
      </c>
      <c r="AH511">
        <v>34.68</v>
      </c>
      <c r="AI511">
        <v>21.24</v>
      </c>
      <c r="AJ511">
        <v>9.99</v>
      </c>
      <c r="AK511">
        <v>29.35</v>
      </c>
      <c r="AL511">
        <v>124</v>
      </c>
      <c r="AM511">
        <v>164.88</v>
      </c>
      <c r="AN511">
        <v>50.31</v>
      </c>
      <c r="AO511">
        <v>649.68000000000006</v>
      </c>
    </row>
    <row r="512" spans="1:41" x14ac:dyDescent="0.25">
      <c r="A512" t="s">
        <v>856</v>
      </c>
      <c r="B512">
        <v>592</v>
      </c>
      <c r="C512">
        <v>3925</v>
      </c>
      <c r="D512">
        <v>131</v>
      </c>
      <c r="E512">
        <v>2965</v>
      </c>
      <c r="F512">
        <v>426</v>
      </c>
      <c r="G512">
        <v>1055</v>
      </c>
      <c r="H512">
        <v>1596</v>
      </c>
      <c r="I512">
        <v>9166</v>
      </c>
      <c r="J512">
        <v>4568</v>
      </c>
      <c r="K512">
        <v>9788</v>
      </c>
      <c r="L512">
        <v>4049</v>
      </c>
      <c r="M512">
        <v>30</v>
      </c>
      <c r="N512">
        <f t="shared" si="14"/>
        <v>38291</v>
      </c>
      <c r="O512">
        <v>5</v>
      </c>
      <c r="P512">
        <v>1</v>
      </c>
      <c r="Q512">
        <v>3</v>
      </c>
      <c r="R512">
        <v>12</v>
      </c>
      <c r="S512">
        <v>4</v>
      </c>
      <c r="T512">
        <v>6</v>
      </c>
      <c r="U512">
        <v>5</v>
      </c>
      <c r="V512">
        <v>0</v>
      </c>
      <c r="W512">
        <v>3</v>
      </c>
      <c r="X512">
        <v>4</v>
      </c>
      <c r="Y512">
        <v>5</v>
      </c>
      <c r="Z512">
        <v>1</v>
      </c>
      <c r="AA512">
        <f t="shared" si="15"/>
        <v>49</v>
      </c>
      <c r="AB512" t="s">
        <v>45</v>
      </c>
      <c r="AC512">
        <v>16.16</v>
      </c>
      <c r="AD512">
        <v>49.29</v>
      </c>
      <c r="AE512">
        <v>11.45</v>
      </c>
      <c r="AF512">
        <v>40.24</v>
      </c>
      <c r="AG512">
        <v>14.45</v>
      </c>
      <c r="AH512">
        <v>20.84</v>
      </c>
      <c r="AI512">
        <v>26.2</v>
      </c>
      <c r="AJ512">
        <v>101.65</v>
      </c>
      <c r="AK512">
        <v>55.82</v>
      </c>
      <c r="AL512">
        <v>108.07</v>
      </c>
      <c r="AM512">
        <v>50.73</v>
      </c>
      <c r="AN512">
        <v>10.34</v>
      </c>
      <c r="AO512">
        <v>505.23999999999995</v>
      </c>
    </row>
    <row r="513" spans="1:41" x14ac:dyDescent="0.25">
      <c r="A513" t="s">
        <v>858</v>
      </c>
      <c r="B513">
        <v>576</v>
      </c>
      <c r="C513">
        <v>8905</v>
      </c>
      <c r="D513">
        <v>153</v>
      </c>
      <c r="E513">
        <v>1973</v>
      </c>
      <c r="F513">
        <v>2963</v>
      </c>
      <c r="G513">
        <v>3742</v>
      </c>
      <c r="H513">
        <v>276</v>
      </c>
      <c r="I513">
        <v>6343</v>
      </c>
      <c r="J513">
        <v>12489</v>
      </c>
      <c r="K513">
        <v>1095</v>
      </c>
      <c r="L513">
        <v>7897</v>
      </c>
      <c r="M513">
        <v>2002</v>
      </c>
      <c r="N513">
        <f t="shared" si="14"/>
        <v>48414</v>
      </c>
      <c r="O513">
        <v>7</v>
      </c>
      <c r="P513">
        <v>4</v>
      </c>
      <c r="Q513">
        <v>7</v>
      </c>
      <c r="R513">
        <v>1</v>
      </c>
      <c r="S513">
        <v>1</v>
      </c>
      <c r="T513">
        <v>3</v>
      </c>
      <c r="U513">
        <v>2</v>
      </c>
      <c r="V513">
        <v>2</v>
      </c>
      <c r="W513">
        <v>7</v>
      </c>
      <c r="X513">
        <v>0</v>
      </c>
      <c r="Y513">
        <v>2</v>
      </c>
      <c r="Z513">
        <v>1</v>
      </c>
      <c r="AA513">
        <f t="shared" si="15"/>
        <v>37</v>
      </c>
      <c r="AB513" t="s">
        <v>45</v>
      </c>
      <c r="AC513">
        <v>16.100000000000001</v>
      </c>
      <c r="AD513">
        <v>99.24</v>
      </c>
      <c r="AE513">
        <v>11.87</v>
      </c>
      <c r="AF513">
        <v>29.77</v>
      </c>
      <c r="AG513">
        <v>39.67</v>
      </c>
      <c r="AH513">
        <v>47.56</v>
      </c>
      <c r="AI513">
        <v>12.85</v>
      </c>
      <c r="AJ513">
        <v>73.52</v>
      </c>
      <c r="AK513">
        <v>135.22999999999999</v>
      </c>
      <c r="AL513">
        <v>20.94</v>
      </c>
      <c r="AM513">
        <v>89.06</v>
      </c>
      <c r="AN513">
        <v>30.06</v>
      </c>
      <c r="AO513">
        <v>605.87</v>
      </c>
    </row>
    <row r="514" spans="1:41" x14ac:dyDescent="0.25">
      <c r="A514" t="s">
        <v>864</v>
      </c>
      <c r="B514">
        <v>557</v>
      </c>
      <c r="C514">
        <v>3387</v>
      </c>
      <c r="D514">
        <v>2514</v>
      </c>
      <c r="E514">
        <v>2563</v>
      </c>
      <c r="F514">
        <v>21516</v>
      </c>
      <c r="G514">
        <v>15282</v>
      </c>
      <c r="H514">
        <v>1489</v>
      </c>
      <c r="I514">
        <v>2584</v>
      </c>
      <c r="J514">
        <v>8493</v>
      </c>
      <c r="K514">
        <v>0</v>
      </c>
      <c r="L514">
        <v>2509</v>
      </c>
      <c r="M514">
        <v>761</v>
      </c>
      <c r="N514">
        <f t="shared" si="14"/>
        <v>61655</v>
      </c>
      <c r="O514">
        <v>1</v>
      </c>
      <c r="P514">
        <v>9</v>
      </c>
      <c r="Q514">
        <v>1</v>
      </c>
      <c r="R514">
        <v>13</v>
      </c>
      <c r="S514">
        <v>19</v>
      </c>
      <c r="T514">
        <v>1</v>
      </c>
      <c r="U514">
        <v>2</v>
      </c>
      <c r="V514">
        <v>2</v>
      </c>
      <c r="W514">
        <v>6</v>
      </c>
      <c r="X514">
        <v>5</v>
      </c>
      <c r="Y514">
        <v>4</v>
      </c>
      <c r="Z514">
        <v>5</v>
      </c>
      <c r="AA514">
        <f t="shared" si="15"/>
        <v>68</v>
      </c>
      <c r="AB514" t="s">
        <v>45</v>
      </c>
      <c r="AC514">
        <v>15.61</v>
      </c>
      <c r="AD514">
        <v>44.31</v>
      </c>
      <c r="AE514">
        <v>35.18</v>
      </c>
      <c r="AF514">
        <v>36.270000000000003</v>
      </c>
      <c r="AG514">
        <v>226.1</v>
      </c>
      <c r="AH514">
        <v>162.86000000000001</v>
      </c>
      <c r="AI514">
        <v>24.98</v>
      </c>
      <c r="AJ514">
        <v>35.93</v>
      </c>
      <c r="AK514">
        <v>95.22</v>
      </c>
      <c r="AL514">
        <v>10.24</v>
      </c>
      <c r="AM514">
        <v>35.28</v>
      </c>
      <c r="AN514">
        <v>17.850000000000001</v>
      </c>
      <c r="AO514">
        <v>739.83</v>
      </c>
    </row>
    <row r="515" spans="1:41" x14ac:dyDescent="0.25">
      <c r="A515" t="s">
        <v>865</v>
      </c>
      <c r="B515">
        <v>556</v>
      </c>
      <c r="C515">
        <v>1344</v>
      </c>
      <c r="D515">
        <v>7000</v>
      </c>
      <c r="E515">
        <v>7528</v>
      </c>
      <c r="F515">
        <v>4150</v>
      </c>
      <c r="G515">
        <v>18024</v>
      </c>
      <c r="H515">
        <v>0</v>
      </c>
      <c r="I515">
        <v>2874</v>
      </c>
      <c r="J515">
        <v>4154</v>
      </c>
      <c r="K515">
        <v>4555</v>
      </c>
      <c r="L515">
        <v>5323</v>
      </c>
      <c r="M515">
        <v>9780</v>
      </c>
      <c r="N515">
        <f t="shared" si="14"/>
        <v>65288</v>
      </c>
      <c r="O515">
        <v>10</v>
      </c>
      <c r="P515">
        <v>0</v>
      </c>
      <c r="Q515">
        <v>4</v>
      </c>
      <c r="R515">
        <v>6</v>
      </c>
      <c r="S515">
        <v>6</v>
      </c>
      <c r="T515">
        <v>2</v>
      </c>
      <c r="U515">
        <v>10</v>
      </c>
      <c r="V515">
        <v>12</v>
      </c>
      <c r="W515">
        <v>1</v>
      </c>
      <c r="X515">
        <v>4</v>
      </c>
      <c r="Y515">
        <v>1</v>
      </c>
      <c r="Z515">
        <v>1</v>
      </c>
      <c r="AA515">
        <f t="shared" si="15"/>
        <v>57</v>
      </c>
      <c r="AB515" t="s">
        <v>45</v>
      </c>
      <c r="AC515">
        <v>16.05</v>
      </c>
      <c r="AD515">
        <v>23.43</v>
      </c>
      <c r="AE515">
        <v>80.19</v>
      </c>
      <c r="AF515">
        <v>85.57</v>
      </c>
      <c r="AG515">
        <v>51.79</v>
      </c>
      <c r="AH515">
        <v>190.33</v>
      </c>
      <c r="AI515">
        <v>10.49</v>
      </c>
      <c r="AJ515">
        <v>39.33</v>
      </c>
      <c r="AK515">
        <v>51.58</v>
      </c>
      <c r="AL515">
        <v>55.74</v>
      </c>
      <c r="AM515">
        <v>63.27</v>
      </c>
      <c r="AN515">
        <v>107.84</v>
      </c>
      <c r="AO515">
        <v>775.61</v>
      </c>
    </row>
    <row r="516" spans="1:41" x14ac:dyDescent="0.25">
      <c r="A516" t="s">
        <v>866</v>
      </c>
      <c r="B516">
        <v>549</v>
      </c>
      <c r="C516">
        <v>805</v>
      </c>
      <c r="D516">
        <v>5327</v>
      </c>
      <c r="E516">
        <v>6498</v>
      </c>
      <c r="F516">
        <v>0</v>
      </c>
      <c r="G516">
        <v>1432</v>
      </c>
      <c r="H516">
        <v>0</v>
      </c>
      <c r="I516">
        <v>1133</v>
      </c>
      <c r="J516">
        <v>0</v>
      </c>
      <c r="K516">
        <v>12546</v>
      </c>
      <c r="L516">
        <v>4580</v>
      </c>
      <c r="M516">
        <v>15338</v>
      </c>
      <c r="N516">
        <f t="shared" ref="N516:N579" si="16">SUM(B516:M516)</f>
        <v>48208</v>
      </c>
      <c r="O516">
        <v>8</v>
      </c>
      <c r="P516">
        <v>21</v>
      </c>
      <c r="Q516">
        <v>2</v>
      </c>
      <c r="R516">
        <v>5</v>
      </c>
      <c r="S516">
        <v>2</v>
      </c>
      <c r="T516">
        <v>4</v>
      </c>
      <c r="U516">
        <v>8</v>
      </c>
      <c r="V516">
        <v>3</v>
      </c>
      <c r="W516">
        <v>0</v>
      </c>
      <c r="X516">
        <v>3</v>
      </c>
      <c r="Y516">
        <v>3</v>
      </c>
      <c r="Z516">
        <v>13</v>
      </c>
      <c r="AA516">
        <f t="shared" ref="AA516:AA579" si="17">SUM(O516:Z516)</f>
        <v>72</v>
      </c>
      <c r="AB516" t="s">
        <v>45</v>
      </c>
      <c r="AC516">
        <v>15.88</v>
      </c>
      <c r="AD516">
        <v>19.09</v>
      </c>
      <c r="AE516">
        <v>63.36</v>
      </c>
      <c r="AF516">
        <v>75.22</v>
      </c>
      <c r="AG516">
        <v>10.09</v>
      </c>
      <c r="AH516">
        <v>24.51</v>
      </c>
      <c r="AI516">
        <v>10.39</v>
      </c>
      <c r="AJ516">
        <v>21.47</v>
      </c>
      <c r="AK516">
        <v>9.99</v>
      </c>
      <c r="AL516">
        <v>135.6</v>
      </c>
      <c r="AM516">
        <v>55.94</v>
      </c>
      <c r="AN516">
        <v>164.02</v>
      </c>
      <c r="AO516">
        <v>605.56000000000006</v>
      </c>
    </row>
    <row r="517" spans="1:41" x14ac:dyDescent="0.25">
      <c r="A517" t="s">
        <v>867</v>
      </c>
      <c r="B517">
        <v>545</v>
      </c>
      <c r="C517">
        <v>3965</v>
      </c>
      <c r="D517">
        <v>1457</v>
      </c>
      <c r="E517">
        <v>6169</v>
      </c>
      <c r="F517">
        <v>3271</v>
      </c>
      <c r="G517">
        <v>3819</v>
      </c>
      <c r="H517">
        <v>9713</v>
      </c>
      <c r="I517">
        <v>9333</v>
      </c>
      <c r="J517">
        <v>2832</v>
      </c>
      <c r="K517">
        <v>3290</v>
      </c>
      <c r="L517">
        <v>511</v>
      </c>
      <c r="M517">
        <v>4243</v>
      </c>
      <c r="N517">
        <f t="shared" si="16"/>
        <v>49148</v>
      </c>
      <c r="O517">
        <v>3</v>
      </c>
      <c r="P517">
        <v>2</v>
      </c>
      <c r="Q517">
        <v>9</v>
      </c>
      <c r="R517">
        <v>1</v>
      </c>
      <c r="S517">
        <v>2</v>
      </c>
      <c r="T517">
        <v>4</v>
      </c>
      <c r="U517">
        <v>1</v>
      </c>
      <c r="V517">
        <v>1</v>
      </c>
      <c r="W517">
        <v>4</v>
      </c>
      <c r="X517">
        <v>4</v>
      </c>
      <c r="Y517">
        <v>3</v>
      </c>
      <c r="Z517">
        <v>14</v>
      </c>
      <c r="AA517">
        <f t="shared" si="17"/>
        <v>48</v>
      </c>
      <c r="AB517" t="s">
        <v>45</v>
      </c>
      <c r="AC517">
        <v>15.59</v>
      </c>
      <c r="AD517">
        <v>49.74</v>
      </c>
      <c r="AE517">
        <v>25.01</v>
      </c>
      <c r="AF517">
        <v>71.73</v>
      </c>
      <c r="AG517">
        <v>42.8</v>
      </c>
      <c r="AH517">
        <v>48.38</v>
      </c>
      <c r="AI517">
        <v>107.17</v>
      </c>
      <c r="AJ517">
        <v>103.37</v>
      </c>
      <c r="AK517">
        <v>38.51</v>
      </c>
      <c r="AL517">
        <v>43.09</v>
      </c>
      <c r="AM517">
        <v>15.25</v>
      </c>
      <c r="AN517">
        <v>53.12</v>
      </c>
      <c r="AO517">
        <v>613.76</v>
      </c>
    </row>
    <row r="518" spans="1:41" x14ac:dyDescent="0.25">
      <c r="A518" t="s">
        <v>868</v>
      </c>
      <c r="B518">
        <v>538</v>
      </c>
      <c r="C518">
        <v>2029</v>
      </c>
      <c r="D518">
        <v>4051</v>
      </c>
      <c r="E518">
        <v>1951</v>
      </c>
      <c r="F518">
        <v>3808</v>
      </c>
      <c r="G518">
        <v>414</v>
      </c>
      <c r="H518">
        <v>0</v>
      </c>
      <c r="I518">
        <v>3559</v>
      </c>
      <c r="J518">
        <v>3213</v>
      </c>
      <c r="K518">
        <v>4291</v>
      </c>
      <c r="L518">
        <v>4535</v>
      </c>
      <c r="M518">
        <v>9077</v>
      </c>
      <c r="N518">
        <f t="shared" si="16"/>
        <v>37466</v>
      </c>
      <c r="O518">
        <v>3</v>
      </c>
      <c r="P518">
        <v>7</v>
      </c>
      <c r="Q518">
        <v>6</v>
      </c>
      <c r="R518">
        <v>2</v>
      </c>
      <c r="S518">
        <v>2</v>
      </c>
      <c r="T518">
        <v>3</v>
      </c>
      <c r="U518">
        <v>1</v>
      </c>
      <c r="V518">
        <v>7</v>
      </c>
      <c r="W518">
        <v>9</v>
      </c>
      <c r="X518">
        <v>2</v>
      </c>
      <c r="Y518">
        <v>5</v>
      </c>
      <c r="Z518">
        <v>3</v>
      </c>
      <c r="AA518">
        <f t="shared" si="17"/>
        <v>50</v>
      </c>
      <c r="AB518" t="s">
        <v>45</v>
      </c>
      <c r="AC518">
        <v>15.52</v>
      </c>
      <c r="AD518">
        <v>30.63</v>
      </c>
      <c r="AE518">
        <v>50.8</v>
      </c>
      <c r="AF518">
        <v>29.6</v>
      </c>
      <c r="AG518">
        <v>48.17</v>
      </c>
      <c r="AH518">
        <v>14.28</v>
      </c>
      <c r="AI518">
        <v>10.039999999999999</v>
      </c>
      <c r="AJ518">
        <v>45.93</v>
      </c>
      <c r="AK518">
        <v>42.57</v>
      </c>
      <c r="AL518">
        <v>53</v>
      </c>
      <c r="AM518">
        <v>55.59</v>
      </c>
      <c r="AN518">
        <v>100.91</v>
      </c>
      <c r="AO518">
        <v>497.03999999999996</v>
      </c>
    </row>
    <row r="519" spans="1:41" x14ac:dyDescent="0.25">
      <c r="A519" t="s">
        <v>870</v>
      </c>
      <c r="B519">
        <v>527</v>
      </c>
      <c r="C519">
        <v>4190</v>
      </c>
      <c r="D519">
        <v>93</v>
      </c>
      <c r="E519">
        <v>768</v>
      </c>
      <c r="F519">
        <v>3080</v>
      </c>
      <c r="G519">
        <v>5128</v>
      </c>
      <c r="H519">
        <v>662</v>
      </c>
      <c r="I519">
        <v>2482</v>
      </c>
      <c r="J519">
        <v>9941</v>
      </c>
      <c r="K519">
        <v>10338</v>
      </c>
      <c r="L519">
        <v>1646</v>
      </c>
      <c r="M519">
        <v>6689</v>
      </c>
      <c r="N519">
        <f t="shared" si="16"/>
        <v>45544</v>
      </c>
      <c r="O519">
        <v>0</v>
      </c>
      <c r="P519">
        <v>8</v>
      </c>
      <c r="Q519">
        <v>4</v>
      </c>
      <c r="R519">
        <v>1</v>
      </c>
      <c r="S519">
        <v>0</v>
      </c>
      <c r="T519">
        <v>6</v>
      </c>
      <c r="U519">
        <v>6</v>
      </c>
      <c r="V519">
        <v>1</v>
      </c>
      <c r="W519">
        <v>12</v>
      </c>
      <c r="X519">
        <v>3</v>
      </c>
      <c r="Y519">
        <v>4</v>
      </c>
      <c r="Z519">
        <v>13</v>
      </c>
      <c r="AA519">
        <f t="shared" si="17"/>
        <v>58</v>
      </c>
      <c r="AB519" t="s">
        <v>45</v>
      </c>
      <c r="AC519">
        <v>15.26</v>
      </c>
      <c r="AD519">
        <v>52.29</v>
      </c>
      <c r="AE519">
        <v>11.12</v>
      </c>
      <c r="AF519">
        <v>17.72</v>
      </c>
      <c r="AG519">
        <v>40.79</v>
      </c>
      <c r="AH519">
        <v>61.57</v>
      </c>
      <c r="AI519">
        <v>16.91</v>
      </c>
      <c r="AJ519">
        <v>34.86</v>
      </c>
      <c r="AK519">
        <v>110</v>
      </c>
      <c r="AL519">
        <v>113.52</v>
      </c>
      <c r="AM519">
        <v>26.65</v>
      </c>
      <c r="AN519">
        <v>77.53</v>
      </c>
      <c r="AO519">
        <v>578.21999999999991</v>
      </c>
    </row>
    <row r="520" spans="1:41" x14ac:dyDescent="0.25">
      <c r="A520" t="s">
        <v>871</v>
      </c>
      <c r="B520">
        <v>520</v>
      </c>
      <c r="C520">
        <v>4462</v>
      </c>
      <c r="D520">
        <v>367</v>
      </c>
      <c r="E520">
        <v>4475</v>
      </c>
      <c r="F520">
        <v>2750</v>
      </c>
      <c r="G520">
        <v>14521</v>
      </c>
      <c r="H520">
        <v>6356</v>
      </c>
      <c r="I520">
        <v>1093</v>
      </c>
      <c r="J520">
        <v>3620</v>
      </c>
      <c r="K520">
        <v>289</v>
      </c>
      <c r="L520">
        <v>944</v>
      </c>
      <c r="M520">
        <v>4932</v>
      </c>
      <c r="N520">
        <f t="shared" si="16"/>
        <v>44329</v>
      </c>
      <c r="O520">
        <v>4</v>
      </c>
      <c r="P520">
        <v>3</v>
      </c>
      <c r="Q520">
        <v>10</v>
      </c>
      <c r="R520">
        <v>1</v>
      </c>
      <c r="S520">
        <v>3</v>
      </c>
      <c r="T520">
        <v>11</v>
      </c>
      <c r="U520">
        <v>2</v>
      </c>
      <c r="V520">
        <v>2</v>
      </c>
      <c r="W520">
        <v>3</v>
      </c>
      <c r="X520">
        <v>8</v>
      </c>
      <c r="Y520">
        <v>3</v>
      </c>
      <c r="Z520">
        <v>4</v>
      </c>
      <c r="AA520">
        <f t="shared" si="17"/>
        <v>54</v>
      </c>
      <c r="AB520" t="s">
        <v>45</v>
      </c>
      <c r="AC520">
        <v>15.39</v>
      </c>
      <c r="AD520">
        <v>54.76</v>
      </c>
      <c r="AE520">
        <v>14.16</v>
      </c>
      <c r="AF520">
        <v>54.79</v>
      </c>
      <c r="AG520">
        <v>37.64</v>
      </c>
      <c r="AH520">
        <v>155.75</v>
      </c>
      <c r="AI520">
        <v>73.650000000000006</v>
      </c>
      <c r="AJ520">
        <v>21.02</v>
      </c>
      <c r="AK520">
        <v>46.34</v>
      </c>
      <c r="AL520">
        <v>13.28</v>
      </c>
      <c r="AM520">
        <v>19.579999999999998</v>
      </c>
      <c r="AN520">
        <v>59.51</v>
      </c>
      <c r="AO520">
        <v>565.87</v>
      </c>
    </row>
    <row r="521" spans="1:41" x14ac:dyDescent="0.25">
      <c r="A521" t="s">
        <v>872</v>
      </c>
      <c r="B521">
        <v>512</v>
      </c>
      <c r="C521">
        <v>1564</v>
      </c>
      <c r="D521">
        <v>589</v>
      </c>
      <c r="E521">
        <v>8667</v>
      </c>
      <c r="F521">
        <v>5794</v>
      </c>
      <c r="G521">
        <v>0</v>
      </c>
      <c r="H521">
        <v>85</v>
      </c>
      <c r="I521">
        <v>5792</v>
      </c>
      <c r="J521">
        <v>5141</v>
      </c>
      <c r="K521">
        <v>11218</v>
      </c>
      <c r="L521">
        <v>20910</v>
      </c>
      <c r="M521">
        <v>13202</v>
      </c>
      <c r="N521">
        <f t="shared" si="16"/>
        <v>73474</v>
      </c>
      <c r="O521">
        <v>9</v>
      </c>
      <c r="P521">
        <v>2</v>
      </c>
      <c r="Q521">
        <v>6</v>
      </c>
      <c r="R521">
        <v>5</v>
      </c>
      <c r="S521">
        <v>2</v>
      </c>
      <c r="T521">
        <v>10</v>
      </c>
      <c r="U521">
        <v>3</v>
      </c>
      <c r="V521">
        <v>7</v>
      </c>
      <c r="W521">
        <v>4</v>
      </c>
      <c r="X521">
        <v>8</v>
      </c>
      <c r="Y521">
        <v>1</v>
      </c>
      <c r="Z521">
        <v>0</v>
      </c>
      <c r="AA521">
        <f t="shared" si="17"/>
        <v>57</v>
      </c>
      <c r="AB521" t="s">
        <v>45</v>
      </c>
      <c r="AC521">
        <v>15.56</v>
      </c>
      <c r="AD521">
        <v>25.73</v>
      </c>
      <c r="AE521">
        <v>16.18</v>
      </c>
      <c r="AF521">
        <v>96.91</v>
      </c>
      <c r="AG521">
        <v>68.03</v>
      </c>
      <c r="AH521">
        <v>10.49</v>
      </c>
      <c r="AI521">
        <v>10.99</v>
      </c>
      <c r="AJ521">
        <v>68.260000000000005</v>
      </c>
      <c r="AK521">
        <v>61.6</v>
      </c>
      <c r="AL521">
        <v>122.57</v>
      </c>
      <c r="AM521">
        <v>219.14</v>
      </c>
      <c r="AN521">
        <v>142.01</v>
      </c>
      <c r="AO521">
        <v>857.47</v>
      </c>
    </row>
    <row r="522" spans="1:41" x14ac:dyDescent="0.25">
      <c r="A522" t="s">
        <v>874</v>
      </c>
      <c r="B522">
        <v>476</v>
      </c>
      <c r="C522">
        <v>10953</v>
      </c>
      <c r="D522">
        <v>4682</v>
      </c>
      <c r="E522">
        <v>453</v>
      </c>
      <c r="F522">
        <v>6375</v>
      </c>
      <c r="G522">
        <v>2267</v>
      </c>
      <c r="H522">
        <v>3772</v>
      </c>
      <c r="I522">
        <v>1043</v>
      </c>
      <c r="J522">
        <v>4693</v>
      </c>
      <c r="K522">
        <v>4890</v>
      </c>
      <c r="L522">
        <v>2293</v>
      </c>
      <c r="M522">
        <v>185</v>
      </c>
      <c r="N522">
        <f t="shared" si="16"/>
        <v>42082</v>
      </c>
      <c r="O522">
        <v>3</v>
      </c>
      <c r="P522">
        <v>5</v>
      </c>
      <c r="Q522">
        <v>10</v>
      </c>
      <c r="R522">
        <v>4</v>
      </c>
      <c r="S522">
        <v>1</v>
      </c>
      <c r="T522">
        <v>5</v>
      </c>
      <c r="U522">
        <v>3</v>
      </c>
      <c r="V522">
        <v>0</v>
      </c>
      <c r="W522">
        <v>5</v>
      </c>
      <c r="X522">
        <v>11</v>
      </c>
      <c r="Y522">
        <v>2</v>
      </c>
      <c r="Z522">
        <v>1</v>
      </c>
      <c r="AA522">
        <f t="shared" si="17"/>
        <v>50</v>
      </c>
      <c r="AB522" t="s">
        <v>45</v>
      </c>
      <c r="AC522">
        <v>14.9</v>
      </c>
      <c r="AD522">
        <v>119.77</v>
      </c>
      <c r="AE522">
        <v>57.31</v>
      </c>
      <c r="AF522">
        <v>14.72</v>
      </c>
      <c r="AG522">
        <v>73.790000000000006</v>
      </c>
      <c r="AH522">
        <v>32.909999999999997</v>
      </c>
      <c r="AI522">
        <v>47.86</v>
      </c>
      <c r="AJ522">
        <v>20.420000000000002</v>
      </c>
      <c r="AK522">
        <v>57.17</v>
      </c>
      <c r="AL522">
        <v>59.44</v>
      </c>
      <c r="AM522">
        <v>33.020000000000003</v>
      </c>
      <c r="AN522">
        <v>11.89</v>
      </c>
      <c r="AO522">
        <v>543.20000000000005</v>
      </c>
    </row>
    <row r="523" spans="1:41" x14ac:dyDescent="0.25">
      <c r="A523" t="s">
        <v>882</v>
      </c>
      <c r="B523">
        <v>428</v>
      </c>
      <c r="C523">
        <v>1564</v>
      </c>
      <c r="D523">
        <v>9870</v>
      </c>
      <c r="E523">
        <v>3773</v>
      </c>
      <c r="F523">
        <v>552</v>
      </c>
      <c r="G523">
        <v>1046</v>
      </c>
      <c r="H523">
        <v>602</v>
      </c>
      <c r="I523">
        <v>4886</v>
      </c>
      <c r="J523">
        <v>2965</v>
      </c>
      <c r="K523">
        <v>17385</v>
      </c>
      <c r="L523">
        <v>4275</v>
      </c>
      <c r="M523">
        <v>2711</v>
      </c>
      <c r="N523">
        <f t="shared" si="16"/>
        <v>50057</v>
      </c>
      <c r="O523">
        <v>1</v>
      </c>
      <c r="P523">
        <v>17</v>
      </c>
      <c r="Q523">
        <v>9</v>
      </c>
      <c r="R523">
        <v>1</v>
      </c>
      <c r="S523">
        <v>3</v>
      </c>
      <c r="T523">
        <v>9</v>
      </c>
      <c r="U523">
        <v>4</v>
      </c>
      <c r="V523">
        <v>0</v>
      </c>
      <c r="W523">
        <v>1</v>
      </c>
      <c r="X523">
        <v>4</v>
      </c>
      <c r="Y523">
        <v>15</v>
      </c>
      <c r="Z523">
        <v>6</v>
      </c>
      <c r="AA523">
        <f t="shared" si="17"/>
        <v>70</v>
      </c>
      <c r="AB523" t="s">
        <v>45</v>
      </c>
      <c r="AC523">
        <v>14.32</v>
      </c>
      <c r="AD523">
        <v>26.48</v>
      </c>
      <c r="AE523">
        <v>109.14</v>
      </c>
      <c r="AF523">
        <v>47.77</v>
      </c>
      <c r="AG523">
        <v>15.66</v>
      </c>
      <c r="AH523">
        <v>20.9</v>
      </c>
      <c r="AI523">
        <v>16.21</v>
      </c>
      <c r="AJ523">
        <v>58.85</v>
      </c>
      <c r="AK523">
        <v>39.69</v>
      </c>
      <c r="AL523">
        <v>184.04</v>
      </c>
      <c r="AM523">
        <v>53.49</v>
      </c>
      <c r="AN523">
        <v>37.4</v>
      </c>
      <c r="AO523">
        <v>623.95000000000005</v>
      </c>
    </row>
    <row r="524" spans="1:41" x14ac:dyDescent="0.25">
      <c r="A524" t="s">
        <v>883</v>
      </c>
      <c r="B524">
        <v>428</v>
      </c>
      <c r="C524">
        <v>2706</v>
      </c>
      <c r="D524">
        <v>6539</v>
      </c>
      <c r="E524">
        <v>10522</v>
      </c>
      <c r="F524">
        <v>6515</v>
      </c>
      <c r="G524">
        <v>4000</v>
      </c>
      <c r="H524">
        <v>1569</v>
      </c>
      <c r="I524">
        <v>0</v>
      </c>
      <c r="J524">
        <v>0</v>
      </c>
      <c r="K524">
        <v>4084</v>
      </c>
      <c r="L524">
        <v>0</v>
      </c>
      <c r="M524">
        <v>5721</v>
      </c>
      <c r="N524">
        <f t="shared" si="16"/>
        <v>42084</v>
      </c>
      <c r="O524">
        <v>1</v>
      </c>
      <c r="P524">
        <v>1</v>
      </c>
      <c r="Q524">
        <v>16</v>
      </c>
      <c r="R524">
        <v>0</v>
      </c>
      <c r="S524">
        <v>10</v>
      </c>
      <c r="T524">
        <v>2</v>
      </c>
      <c r="U524">
        <v>11</v>
      </c>
      <c r="V524">
        <v>2</v>
      </c>
      <c r="W524">
        <v>4</v>
      </c>
      <c r="X524">
        <v>5</v>
      </c>
      <c r="Y524">
        <v>5</v>
      </c>
      <c r="Z524">
        <v>1</v>
      </c>
      <c r="AA524">
        <f t="shared" si="17"/>
        <v>58</v>
      </c>
      <c r="AB524" t="s">
        <v>45</v>
      </c>
      <c r="AC524">
        <v>14.32</v>
      </c>
      <c r="AD524">
        <v>37.1</v>
      </c>
      <c r="AE524">
        <v>76.180000000000007</v>
      </c>
      <c r="AF524">
        <v>115.21</v>
      </c>
      <c r="AG524">
        <v>75.64</v>
      </c>
      <c r="AH524">
        <v>50.09</v>
      </c>
      <c r="AI524">
        <v>26.23</v>
      </c>
      <c r="AJ524">
        <v>10.09</v>
      </c>
      <c r="AK524">
        <v>10.19</v>
      </c>
      <c r="AL524">
        <v>51.08</v>
      </c>
      <c r="AM524">
        <v>10.24</v>
      </c>
      <c r="AN524">
        <v>67.25</v>
      </c>
      <c r="AO524">
        <v>543.61999999999989</v>
      </c>
    </row>
    <row r="525" spans="1:41" x14ac:dyDescent="0.25">
      <c r="A525" t="s">
        <v>885</v>
      </c>
      <c r="B525">
        <v>417</v>
      </c>
      <c r="C525">
        <v>6749</v>
      </c>
      <c r="D525">
        <v>871</v>
      </c>
      <c r="E525">
        <v>0</v>
      </c>
      <c r="F525">
        <v>11866</v>
      </c>
      <c r="G525">
        <v>0</v>
      </c>
      <c r="H525">
        <v>6913</v>
      </c>
      <c r="I525">
        <v>3573</v>
      </c>
      <c r="J525">
        <v>0</v>
      </c>
      <c r="K525">
        <v>1575</v>
      </c>
      <c r="L525">
        <v>3339</v>
      </c>
      <c r="M525">
        <v>8795</v>
      </c>
      <c r="N525">
        <f t="shared" si="16"/>
        <v>44098</v>
      </c>
      <c r="O525">
        <v>1</v>
      </c>
      <c r="P525">
        <v>2</v>
      </c>
      <c r="Q525">
        <v>2</v>
      </c>
      <c r="R525">
        <v>2</v>
      </c>
      <c r="S525">
        <v>7</v>
      </c>
      <c r="T525">
        <v>4</v>
      </c>
      <c r="U525">
        <v>13</v>
      </c>
      <c r="V525">
        <v>3</v>
      </c>
      <c r="W525">
        <v>4</v>
      </c>
      <c r="X525">
        <v>6</v>
      </c>
      <c r="Y525">
        <v>5</v>
      </c>
      <c r="Z525">
        <v>3</v>
      </c>
      <c r="AA525">
        <f t="shared" si="17"/>
        <v>52</v>
      </c>
      <c r="AB525" t="s">
        <v>45</v>
      </c>
      <c r="AC525">
        <v>14.21</v>
      </c>
      <c r="AD525">
        <v>77.58</v>
      </c>
      <c r="AE525">
        <v>18.8</v>
      </c>
      <c r="AF525">
        <v>10.09</v>
      </c>
      <c r="AG525">
        <v>129</v>
      </c>
      <c r="AH525">
        <v>10.19</v>
      </c>
      <c r="AI525">
        <v>79.77</v>
      </c>
      <c r="AJ525">
        <v>45.87</v>
      </c>
      <c r="AK525">
        <v>10.19</v>
      </c>
      <c r="AL525">
        <v>26.04</v>
      </c>
      <c r="AM525">
        <v>43.63</v>
      </c>
      <c r="AN525">
        <v>98.09</v>
      </c>
      <c r="AO525">
        <v>563.46</v>
      </c>
    </row>
    <row r="526" spans="1:41" x14ac:dyDescent="0.25">
      <c r="A526" t="s">
        <v>886</v>
      </c>
      <c r="B526">
        <v>403</v>
      </c>
      <c r="C526">
        <v>3645</v>
      </c>
      <c r="D526">
        <v>0</v>
      </c>
      <c r="E526">
        <v>493</v>
      </c>
      <c r="F526">
        <v>7629</v>
      </c>
      <c r="G526">
        <v>5368</v>
      </c>
      <c r="H526">
        <v>3851</v>
      </c>
      <c r="I526">
        <v>7650</v>
      </c>
      <c r="J526">
        <v>5009</v>
      </c>
      <c r="K526">
        <v>2837</v>
      </c>
      <c r="L526">
        <v>14483</v>
      </c>
      <c r="M526">
        <v>4154</v>
      </c>
      <c r="N526">
        <f t="shared" si="16"/>
        <v>55522</v>
      </c>
      <c r="O526">
        <v>6</v>
      </c>
      <c r="P526">
        <v>4</v>
      </c>
      <c r="Q526">
        <v>5</v>
      </c>
      <c r="R526">
        <v>1</v>
      </c>
      <c r="S526">
        <v>3</v>
      </c>
      <c r="T526">
        <v>3</v>
      </c>
      <c r="U526">
        <v>12</v>
      </c>
      <c r="V526">
        <v>9</v>
      </c>
      <c r="W526">
        <v>3</v>
      </c>
      <c r="X526">
        <v>2</v>
      </c>
      <c r="Y526">
        <v>1</v>
      </c>
      <c r="Z526">
        <v>23</v>
      </c>
      <c r="AA526">
        <f t="shared" si="17"/>
        <v>72</v>
      </c>
      <c r="AB526" t="s">
        <v>45</v>
      </c>
      <c r="AC526">
        <v>14.32</v>
      </c>
      <c r="AD526">
        <v>46.64</v>
      </c>
      <c r="AE526">
        <v>10.24</v>
      </c>
      <c r="AF526">
        <v>14.97</v>
      </c>
      <c r="AG526">
        <v>86.43</v>
      </c>
      <c r="AH526">
        <v>63.82</v>
      </c>
      <c r="AI526">
        <v>49.1</v>
      </c>
      <c r="AJ526">
        <v>86.94</v>
      </c>
      <c r="AK526">
        <v>60.23</v>
      </c>
      <c r="AL526">
        <v>38.46</v>
      </c>
      <c r="AM526">
        <v>154.87</v>
      </c>
      <c r="AN526">
        <v>52.68</v>
      </c>
      <c r="AO526">
        <v>678.69999999999993</v>
      </c>
    </row>
    <row r="527" spans="1:41" x14ac:dyDescent="0.25">
      <c r="A527" t="s">
        <v>888</v>
      </c>
      <c r="B527">
        <v>389</v>
      </c>
      <c r="C527">
        <v>1277</v>
      </c>
      <c r="D527">
        <v>2013</v>
      </c>
      <c r="E527">
        <v>4647</v>
      </c>
      <c r="F527">
        <v>1780</v>
      </c>
      <c r="G527">
        <v>2356</v>
      </c>
      <c r="H527">
        <v>2989</v>
      </c>
      <c r="I527">
        <v>8430</v>
      </c>
      <c r="J527">
        <v>395</v>
      </c>
      <c r="K527">
        <v>4274</v>
      </c>
      <c r="L527">
        <v>9657</v>
      </c>
      <c r="M527">
        <v>131</v>
      </c>
      <c r="N527">
        <f t="shared" si="16"/>
        <v>38338</v>
      </c>
      <c r="O527">
        <v>2</v>
      </c>
      <c r="P527">
        <v>0</v>
      </c>
      <c r="Q527">
        <v>0</v>
      </c>
      <c r="R527">
        <v>5</v>
      </c>
      <c r="S527">
        <v>0</v>
      </c>
      <c r="T527">
        <v>3</v>
      </c>
      <c r="U527">
        <v>4</v>
      </c>
      <c r="V527">
        <v>3</v>
      </c>
      <c r="W527">
        <v>5</v>
      </c>
      <c r="X527">
        <v>2</v>
      </c>
      <c r="Y527">
        <v>3</v>
      </c>
      <c r="Z527">
        <v>7</v>
      </c>
      <c r="AA527">
        <f t="shared" si="17"/>
        <v>34</v>
      </c>
      <c r="AB527" t="s">
        <v>45</v>
      </c>
      <c r="AC527">
        <v>13.98</v>
      </c>
      <c r="AD527">
        <v>22.76</v>
      </c>
      <c r="AE527">
        <v>30.12</v>
      </c>
      <c r="AF527">
        <v>56.71</v>
      </c>
      <c r="AG527">
        <v>27.79</v>
      </c>
      <c r="AH527">
        <v>33.700000000000003</v>
      </c>
      <c r="AI527">
        <v>40.08</v>
      </c>
      <c r="AJ527">
        <v>94.44</v>
      </c>
      <c r="AK527">
        <v>14.19</v>
      </c>
      <c r="AL527">
        <v>52.83</v>
      </c>
      <c r="AM527">
        <v>106.71</v>
      </c>
      <c r="AN527">
        <v>11.65</v>
      </c>
      <c r="AO527">
        <v>504.95999999999992</v>
      </c>
    </row>
    <row r="528" spans="1:41" x14ac:dyDescent="0.25">
      <c r="A528" t="s">
        <v>890</v>
      </c>
      <c r="B528">
        <v>364</v>
      </c>
      <c r="C528">
        <v>420</v>
      </c>
      <c r="D528">
        <v>4272</v>
      </c>
      <c r="E528">
        <v>1892</v>
      </c>
      <c r="F528">
        <v>5057</v>
      </c>
      <c r="G528">
        <v>2075</v>
      </c>
      <c r="H528">
        <v>4292</v>
      </c>
      <c r="I528">
        <v>539</v>
      </c>
      <c r="J528">
        <v>3296</v>
      </c>
      <c r="K528">
        <v>11949</v>
      </c>
      <c r="L528">
        <v>3207</v>
      </c>
      <c r="M528">
        <v>585</v>
      </c>
      <c r="N528">
        <f t="shared" si="16"/>
        <v>37948</v>
      </c>
      <c r="O528">
        <v>2</v>
      </c>
      <c r="P528">
        <v>7</v>
      </c>
      <c r="Q528">
        <v>9</v>
      </c>
      <c r="R528">
        <v>4</v>
      </c>
      <c r="S528">
        <v>2</v>
      </c>
      <c r="T528">
        <v>1</v>
      </c>
      <c r="U528">
        <v>8</v>
      </c>
      <c r="V528">
        <v>0</v>
      </c>
      <c r="W528">
        <v>12</v>
      </c>
      <c r="X528">
        <v>3</v>
      </c>
      <c r="Y528">
        <v>2</v>
      </c>
      <c r="Z528">
        <v>9</v>
      </c>
      <c r="AA528">
        <f t="shared" si="17"/>
        <v>59</v>
      </c>
      <c r="AB528" t="s">
        <v>45</v>
      </c>
      <c r="AC528">
        <v>13.73</v>
      </c>
      <c r="AD528">
        <v>14.54</v>
      </c>
      <c r="AE528">
        <v>53.16</v>
      </c>
      <c r="AF528">
        <v>29.11</v>
      </c>
      <c r="AG528">
        <v>60.66</v>
      </c>
      <c r="AH528">
        <v>30.79</v>
      </c>
      <c r="AI528">
        <v>53.31</v>
      </c>
      <c r="AJ528">
        <v>15.38</v>
      </c>
      <c r="AK528">
        <v>43.55</v>
      </c>
      <c r="AL528">
        <v>129.63</v>
      </c>
      <c r="AM528">
        <v>42.16</v>
      </c>
      <c r="AN528">
        <v>16.29</v>
      </c>
      <c r="AO528">
        <v>502.31</v>
      </c>
    </row>
    <row r="529" spans="1:41" x14ac:dyDescent="0.25">
      <c r="A529" t="s">
        <v>892</v>
      </c>
      <c r="B529">
        <v>356</v>
      </c>
      <c r="C529">
        <v>8507</v>
      </c>
      <c r="D529">
        <v>2164</v>
      </c>
      <c r="E529">
        <v>7540</v>
      </c>
      <c r="F529">
        <v>1137</v>
      </c>
      <c r="G529">
        <v>911</v>
      </c>
      <c r="H529">
        <v>0</v>
      </c>
      <c r="I529">
        <v>435</v>
      </c>
      <c r="J529">
        <v>2709</v>
      </c>
      <c r="K529">
        <v>9807</v>
      </c>
      <c r="L529">
        <v>1730</v>
      </c>
      <c r="M529">
        <v>4048</v>
      </c>
      <c r="N529">
        <f t="shared" si="16"/>
        <v>39344</v>
      </c>
      <c r="O529">
        <v>3</v>
      </c>
      <c r="P529">
        <v>7</v>
      </c>
      <c r="Q529">
        <v>2</v>
      </c>
      <c r="R529">
        <v>1</v>
      </c>
      <c r="S529">
        <v>6</v>
      </c>
      <c r="T529">
        <v>3</v>
      </c>
      <c r="U529">
        <v>0</v>
      </c>
      <c r="V529">
        <v>7</v>
      </c>
      <c r="W529">
        <v>4</v>
      </c>
      <c r="X529">
        <v>6</v>
      </c>
      <c r="Y529">
        <v>5</v>
      </c>
      <c r="Z529">
        <v>4</v>
      </c>
      <c r="AA529">
        <f t="shared" si="17"/>
        <v>48</v>
      </c>
      <c r="AB529" t="s">
        <v>45</v>
      </c>
      <c r="AC529">
        <v>13.7</v>
      </c>
      <c r="AD529">
        <v>95.41</v>
      </c>
      <c r="AE529">
        <v>31.73</v>
      </c>
      <c r="AF529">
        <v>85.44</v>
      </c>
      <c r="AG529">
        <v>21.66</v>
      </c>
      <c r="AH529">
        <v>19.25</v>
      </c>
      <c r="AI529">
        <v>9.99</v>
      </c>
      <c r="AJ529">
        <v>14.69</v>
      </c>
      <c r="AK529">
        <v>37.28</v>
      </c>
      <c r="AL529">
        <v>108.36</v>
      </c>
      <c r="AM529">
        <v>27.54</v>
      </c>
      <c r="AN529">
        <v>50.67</v>
      </c>
      <c r="AO529">
        <v>515.72</v>
      </c>
    </row>
    <row r="530" spans="1:41" x14ac:dyDescent="0.25">
      <c r="A530" t="s">
        <v>894</v>
      </c>
      <c r="B530">
        <v>335</v>
      </c>
      <c r="C530">
        <v>2529</v>
      </c>
      <c r="D530">
        <v>454</v>
      </c>
      <c r="E530">
        <v>1410</v>
      </c>
      <c r="F530">
        <v>1815</v>
      </c>
      <c r="G530">
        <v>3603</v>
      </c>
      <c r="H530">
        <v>2414</v>
      </c>
      <c r="I530">
        <v>4940</v>
      </c>
      <c r="J530">
        <v>5643</v>
      </c>
      <c r="K530">
        <v>3785</v>
      </c>
      <c r="L530">
        <v>15956</v>
      </c>
      <c r="M530">
        <v>1166</v>
      </c>
      <c r="N530">
        <f t="shared" si="16"/>
        <v>44050</v>
      </c>
      <c r="O530">
        <v>8</v>
      </c>
      <c r="P530">
        <v>4</v>
      </c>
      <c r="Q530">
        <v>3</v>
      </c>
      <c r="R530">
        <v>3</v>
      </c>
      <c r="S530">
        <v>9</v>
      </c>
      <c r="T530">
        <v>1</v>
      </c>
      <c r="U530">
        <v>4</v>
      </c>
      <c r="V530">
        <v>4</v>
      </c>
      <c r="W530">
        <v>5</v>
      </c>
      <c r="X530">
        <v>1</v>
      </c>
      <c r="Y530">
        <v>4</v>
      </c>
      <c r="Z530">
        <v>11</v>
      </c>
      <c r="AA530">
        <f t="shared" si="17"/>
        <v>57</v>
      </c>
      <c r="AB530" t="s">
        <v>45</v>
      </c>
      <c r="AC530">
        <v>13.74</v>
      </c>
      <c r="AD530">
        <v>35.479999999999997</v>
      </c>
      <c r="AE530">
        <v>14.68</v>
      </c>
      <c r="AF530">
        <v>24.24</v>
      </c>
      <c r="AG530">
        <v>28.59</v>
      </c>
      <c r="AH530">
        <v>46.07</v>
      </c>
      <c r="AI530">
        <v>34.33</v>
      </c>
      <c r="AJ530">
        <v>59.59</v>
      </c>
      <c r="AK530">
        <v>66.67</v>
      </c>
      <c r="AL530">
        <v>47.89</v>
      </c>
      <c r="AM530">
        <v>169.75</v>
      </c>
      <c r="AN530">
        <v>22.2</v>
      </c>
      <c r="AO530">
        <v>563.23</v>
      </c>
    </row>
    <row r="531" spans="1:41" x14ac:dyDescent="0.25">
      <c r="A531" t="s">
        <v>895</v>
      </c>
      <c r="B531">
        <v>334</v>
      </c>
      <c r="C531">
        <v>1202</v>
      </c>
      <c r="D531">
        <v>1219</v>
      </c>
      <c r="E531">
        <v>1344</v>
      </c>
      <c r="F531">
        <v>444</v>
      </c>
      <c r="G531">
        <v>870</v>
      </c>
      <c r="H531">
        <v>1120</v>
      </c>
      <c r="I531">
        <v>1565</v>
      </c>
      <c r="J531">
        <v>13113</v>
      </c>
      <c r="K531">
        <v>10104</v>
      </c>
      <c r="L531">
        <v>2912</v>
      </c>
      <c r="M531">
        <v>13929</v>
      </c>
      <c r="N531">
        <f t="shared" si="16"/>
        <v>48156</v>
      </c>
      <c r="O531">
        <v>1</v>
      </c>
      <c r="P531">
        <v>0</v>
      </c>
      <c r="Q531">
        <v>2</v>
      </c>
      <c r="R531">
        <v>3</v>
      </c>
      <c r="S531">
        <v>0</v>
      </c>
      <c r="T531">
        <v>2</v>
      </c>
      <c r="U531">
        <v>2</v>
      </c>
      <c r="V531">
        <v>2</v>
      </c>
      <c r="W531">
        <v>1</v>
      </c>
      <c r="X531">
        <v>8</v>
      </c>
      <c r="Y531">
        <v>1</v>
      </c>
      <c r="Z531">
        <v>5</v>
      </c>
      <c r="AA531">
        <f t="shared" si="17"/>
        <v>27</v>
      </c>
      <c r="AB531" t="s">
        <v>45</v>
      </c>
      <c r="AC531">
        <v>13.38</v>
      </c>
      <c r="AD531">
        <v>22.01</v>
      </c>
      <c r="AE531">
        <v>22.28</v>
      </c>
      <c r="AF531">
        <v>23.58</v>
      </c>
      <c r="AG531">
        <v>14.43</v>
      </c>
      <c r="AH531">
        <v>18.79</v>
      </c>
      <c r="AI531">
        <v>21.29</v>
      </c>
      <c r="AJ531">
        <v>25.74</v>
      </c>
      <c r="AK531">
        <v>141.16999999999999</v>
      </c>
      <c r="AL531">
        <v>111.43</v>
      </c>
      <c r="AM531">
        <v>39.159999999999997</v>
      </c>
      <c r="AN531">
        <v>149.53</v>
      </c>
      <c r="AO531">
        <v>602.79</v>
      </c>
    </row>
    <row r="532" spans="1:41" x14ac:dyDescent="0.25">
      <c r="A532" t="s">
        <v>897</v>
      </c>
      <c r="B532">
        <v>328</v>
      </c>
      <c r="C532">
        <v>3817</v>
      </c>
      <c r="D532">
        <v>9564</v>
      </c>
      <c r="E532">
        <v>1760</v>
      </c>
      <c r="F532">
        <v>830</v>
      </c>
      <c r="G532">
        <v>3139</v>
      </c>
      <c r="H532">
        <v>9424</v>
      </c>
      <c r="I532">
        <v>594</v>
      </c>
      <c r="J532">
        <v>1795</v>
      </c>
      <c r="K532">
        <v>891</v>
      </c>
      <c r="L532">
        <v>2908</v>
      </c>
      <c r="M532">
        <v>1817</v>
      </c>
      <c r="N532">
        <f t="shared" si="16"/>
        <v>36867</v>
      </c>
      <c r="O532">
        <v>5</v>
      </c>
      <c r="P532">
        <v>8</v>
      </c>
      <c r="Q532">
        <v>11</v>
      </c>
      <c r="R532">
        <v>8</v>
      </c>
      <c r="S532">
        <v>4</v>
      </c>
      <c r="T532">
        <v>0</v>
      </c>
      <c r="U532">
        <v>18</v>
      </c>
      <c r="V532">
        <v>1</v>
      </c>
      <c r="W532">
        <v>1</v>
      </c>
      <c r="X532">
        <v>3</v>
      </c>
      <c r="Y532">
        <v>2</v>
      </c>
      <c r="Z532">
        <v>15</v>
      </c>
      <c r="AA532">
        <f t="shared" si="17"/>
        <v>76</v>
      </c>
      <c r="AB532" t="s">
        <v>45</v>
      </c>
      <c r="AC532">
        <v>13.52</v>
      </c>
      <c r="AD532">
        <v>48.56</v>
      </c>
      <c r="AE532">
        <v>106.18</v>
      </c>
      <c r="AF532">
        <v>27.99</v>
      </c>
      <c r="AG532">
        <v>18.489999999999998</v>
      </c>
      <c r="AH532">
        <v>41.38</v>
      </c>
      <c r="AI532">
        <v>105.13</v>
      </c>
      <c r="AJ532">
        <v>15.98</v>
      </c>
      <c r="AK532">
        <v>27.99</v>
      </c>
      <c r="AL532">
        <v>19.05</v>
      </c>
      <c r="AM532">
        <v>39.17</v>
      </c>
      <c r="AN532">
        <v>28.91</v>
      </c>
      <c r="AO532">
        <v>492.35000000000008</v>
      </c>
    </row>
    <row r="533" spans="1:41" x14ac:dyDescent="0.25">
      <c r="A533" t="s">
        <v>898</v>
      </c>
      <c r="B533">
        <v>327</v>
      </c>
      <c r="C533">
        <v>927</v>
      </c>
      <c r="D533">
        <v>3404</v>
      </c>
      <c r="E533">
        <v>6836</v>
      </c>
      <c r="F533">
        <v>5419</v>
      </c>
      <c r="G533">
        <v>1257</v>
      </c>
      <c r="H533">
        <v>8041</v>
      </c>
      <c r="I533">
        <v>504</v>
      </c>
      <c r="J533">
        <v>4240</v>
      </c>
      <c r="K533">
        <v>3174</v>
      </c>
      <c r="L533">
        <v>9056</v>
      </c>
      <c r="M533">
        <v>6210</v>
      </c>
      <c r="N533">
        <f t="shared" si="16"/>
        <v>49395</v>
      </c>
      <c r="O533">
        <v>0</v>
      </c>
      <c r="P533">
        <v>9</v>
      </c>
      <c r="Q533">
        <v>0</v>
      </c>
      <c r="R533">
        <v>8</v>
      </c>
      <c r="S533">
        <v>29</v>
      </c>
      <c r="T533">
        <v>1</v>
      </c>
      <c r="U533">
        <v>3</v>
      </c>
      <c r="V533">
        <v>5</v>
      </c>
      <c r="W533">
        <v>14</v>
      </c>
      <c r="X533">
        <v>11</v>
      </c>
      <c r="Y533">
        <v>5</v>
      </c>
      <c r="Z533">
        <v>5</v>
      </c>
      <c r="AA533">
        <f t="shared" si="17"/>
        <v>90</v>
      </c>
      <c r="AB533" t="s">
        <v>45</v>
      </c>
      <c r="AC533">
        <v>13.26</v>
      </c>
      <c r="AD533">
        <v>19.71</v>
      </c>
      <c r="AE533">
        <v>44.03</v>
      </c>
      <c r="AF533">
        <v>78.75</v>
      </c>
      <c r="AG533">
        <v>65.63</v>
      </c>
      <c r="AH533">
        <v>22.61</v>
      </c>
      <c r="AI533">
        <v>90.55</v>
      </c>
      <c r="AJ533">
        <v>15.28</v>
      </c>
      <c r="AK533">
        <v>53.09</v>
      </c>
      <c r="AL533">
        <v>42.28</v>
      </c>
      <c r="AM533">
        <v>100.8</v>
      </c>
      <c r="AN533">
        <v>72.34</v>
      </c>
      <c r="AO533">
        <v>618.32999999999993</v>
      </c>
    </row>
    <row r="534" spans="1:41" x14ac:dyDescent="0.25">
      <c r="A534" t="s">
        <v>900</v>
      </c>
      <c r="B534">
        <v>319</v>
      </c>
      <c r="C534">
        <v>0</v>
      </c>
      <c r="D534">
        <v>1956</v>
      </c>
      <c r="E534">
        <v>12181</v>
      </c>
      <c r="F534">
        <v>2800</v>
      </c>
      <c r="G534">
        <v>1606</v>
      </c>
      <c r="H534">
        <v>21725</v>
      </c>
      <c r="I534">
        <v>1945</v>
      </c>
      <c r="J534">
        <v>1016</v>
      </c>
      <c r="K534">
        <v>1791</v>
      </c>
      <c r="L534">
        <v>402</v>
      </c>
      <c r="M534">
        <v>1679</v>
      </c>
      <c r="N534">
        <f t="shared" si="16"/>
        <v>47420</v>
      </c>
      <c r="O534">
        <v>1</v>
      </c>
      <c r="P534">
        <v>2</v>
      </c>
      <c r="Q534">
        <v>5</v>
      </c>
      <c r="R534">
        <v>2</v>
      </c>
      <c r="S534">
        <v>1</v>
      </c>
      <c r="T534">
        <v>3</v>
      </c>
      <c r="U534">
        <v>2</v>
      </c>
      <c r="V534">
        <v>10</v>
      </c>
      <c r="W534">
        <v>2</v>
      </c>
      <c r="X534">
        <v>3</v>
      </c>
      <c r="Y534">
        <v>2</v>
      </c>
      <c r="Z534">
        <v>5</v>
      </c>
      <c r="AA534">
        <f t="shared" si="17"/>
        <v>38</v>
      </c>
      <c r="AB534" t="s">
        <v>45</v>
      </c>
      <c r="AC534">
        <v>13.23</v>
      </c>
      <c r="AD534">
        <v>10.09</v>
      </c>
      <c r="AE534">
        <v>29.8</v>
      </c>
      <c r="AF534">
        <v>131.9</v>
      </c>
      <c r="AG534">
        <v>38.04</v>
      </c>
      <c r="AH534">
        <v>26.2</v>
      </c>
      <c r="AI534">
        <v>227.34</v>
      </c>
      <c r="AJ534">
        <v>29.94</v>
      </c>
      <c r="AK534">
        <v>20.25</v>
      </c>
      <c r="AL534">
        <v>28.05</v>
      </c>
      <c r="AM534">
        <v>14.11</v>
      </c>
      <c r="AN534">
        <v>27.03</v>
      </c>
      <c r="AO534">
        <v>595.9799999999999</v>
      </c>
    </row>
    <row r="535" spans="1:41" x14ac:dyDescent="0.25">
      <c r="A535" t="s">
        <v>901</v>
      </c>
      <c r="B535">
        <v>318</v>
      </c>
      <c r="C535">
        <v>18418</v>
      </c>
      <c r="D535">
        <v>4822</v>
      </c>
      <c r="E535">
        <v>1325</v>
      </c>
      <c r="F535">
        <v>6432</v>
      </c>
      <c r="G535">
        <v>2443</v>
      </c>
      <c r="H535">
        <v>7097</v>
      </c>
      <c r="I535">
        <v>1407</v>
      </c>
      <c r="J535">
        <v>1802</v>
      </c>
      <c r="K535">
        <v>1001</v>
      </c>
      <c r="L535">
        <v>3330</v>
      </c>
      <c r="M535">
        <v>742</v>
      </c>
      <c r="N535">
        <f t="shared" si="16"/>
        <v>49137</v>
      </c>
      <c r="O535">
        <v>0</v>
      </c>
      <c r="P535">
        <v>8</v>
      </c>
      <c r="Q535">
        <v>5</v>
      </c>
      <c r="R535">
        <v>4</v>
      </c>
      <c r="S535">
        <v>9</v>
      </c>
      <c r="T535">
        <v>4</v>
      </c>
      <c r="U535">
        <v>1</v>
      </c>
      <c r="V535">
        <v>4</v>
      </c>
      <c r="W535">
        <v>2</v>
      </c>
      <c r="X535">
        <v>1</v>
      </c>
      <c r="Y535">
        <v>13</v>
      </c>
      <c r="Z535">
        <v>2</v>
      </c>
      <c r="AA535">
        <f t="shared" si="17"/>
        <v>53</v>
      </c>
      <c r="AB535" t="s">
        <v>45</v>
      </c>
      <c r="AC535">
        <v>13.17</v>
      </c>
      <c r="AD535">
        <v>194.57</v>
      </c>
      <c r="AE535">
        <v>58.46</v>
      </c>
      <c r="AF535">
        <v>23.44</v>
      </c>
      <c r="AG535">
        <v>74.760000000000005</v>
      </c>
      <c r="AH535">
        <v>34.619999999999997</v>
      </c>
      <c r="AI535">
        <v>81.010000000000005</v>
      </c>
      <c r="AJ535">
        <v>24.26</v>
      </c>
      <c r="AK535">
        <v>28.11</v>
      </c>
      <c r="AL535">
        <v>20.05</v>
      </c>
      <c r="AM535">
        <v>43.94</v>
      </c>
      <c r="AN535">
        <v>17.510000000000002</v>
      </c>
      <c r="AO535">
        <v>613.89999999999986</v>
      </c>
    </row>
    <row r="536" spans="1:41" x14ac:dyDescent="0.25">
      <c r="A536" t="s">
        <v>903</v>
      </c>
      <c r="B536">
        <v>294</v>
      </c>
      <c r="C536">
        <v>3154</v>
      </c>
      <c r="D536">
        <v>2824</v>
      </c>
      <c r="E536">
        <v>2579</v>
      </c>
      <c r="F536">
        <v>6265</v>
      </c>
      <c r="G536">
        <v>4923</v>
      </c>
      <c r="H536">
        <v>14949</v>
      </c>
      <c r="I536">
        <v>94</v>
      </c>
      <c r="J536">
        <v>0</v>
      </c>
      <c r="K536">
        <v>1992</v>
      </c>
      <c r="L536">
        <v>0</v>
      </c>
      <c r="M536">
        <v>8924</v>
      </c>
      <c r="N536">
        <f t="shared" si="16"/>
        <v>45998</v>
      </c>
      <c r="O536">
        <v>2</v>
      </c>
      <c r="P536">
        <v>0</v>
      </c>
      <c r="Q536">
        <v>4</v>
      </c>
      <c r="R536">
        <v>17</v>
      </c>
      <c r="S536">
        <v>1</v>
      </c>
      <c r="T536">
        <v>5</v>
      </c>
      <c r="U536">
        <v>3</v>
      </c>
      <c r="V536">
        <v>0</v>
      </c>
      <c r="W536">
        <v>2</v>
      </c>
      <c r="X536">
        <v>5</v>
      </c>
      <c r="Y536">
        <v>5</v>
      </c>
      <c r="Z536">
        <v>7</v>
      </c>
      <c r="AA536">
        <f t="shared" si="17"/>
        <v>51</v>
      </c>
      <c r="AB536" t="s">
        <v>45</v>
      </c>
      <c r="AC536">
        <v>13.03</v>
      </c>
      <c r="AD536">
        <v>41.53</v>
      </c>
      <c r="AE536">
        <v>38.43</v>
      </c>
      <c r="AF536">
        <v>36.630000000000003</v>
      </c>
      <c r="AG536">
        <v>72.69</v>
      </c>
      <c r="AH536">
        <v>59.47</v>
      </c>
      <c r="AI536">
        <v>159.63</v>
      </c>
      <c r="AJ536">
        <v>10.93</v>
      </c>
      <c r="AK536">
        <v>10.09</v>
      </c>
      <c r="AL536">
        <v>30.16</v>
      </c>
      <c r="AM536">
        <v>10.24</v>
      </c>
      <c r="AN536">
        <v>99.58</v>
      </c>
      <c r="AO536">
        <v>582.41</v>
      </c>
    </row>
    <row r="537" spans="1:41" x14ac:dyDescent="0.25">
      <c r="A537" t="s">
        <v>906</v>
      </c>
      <c r="B537">
        <v>282</v>
      </c>
      <c r="C537">
        <v>2913</v>
      </c>
      <c r="D537">
        <v>2893</v>
      </c>
      <c r="E537">
        <v>0</v>
      </c>
      <c r="F537">
        <v>4830</v>
      </c>
      <c r="G537">
        <v>466</v>
      </c>
      <c r="H537">
        <v>9590</v>
      </c>
      <c r="I537">
        <v>3789</v>
      </c>
      <c r="J537">
        <v>1008</v>
      </c>
      <c r="K537">
        <v>12044</v>
      </c>
      <c r="L537">
        <v>844</v>
      </c>
      <c r="M537">
        <v>1215</v>
      </c>
      <c r="N537">
        <f t="shared" si="16"/>
        <v>39874</v>
      </c>
      <c r="O537">
        <v>2</v>
      </c>
      <c r="P537">
        <v>0</v>
      </c>
      <c r="Q537">
        <v>2</v>
      </c>
      <c r="R537">
        <v>9</v>
      </c>
      <c r="S537">
        <v>10</v>
      </c>
      <c r="T537">
        <v>3</v>
      </c>
      <c r="U537">
        <v>2</v>
      </c>
      <c r="V537">
        <v>3</v>
      </c>
      <c r="W537">
        <v>5</v>
      </c>
      <c r="X537">
        <v>8</v>
      </c>
      <c r="Y537">
        <v>3</v>
      </c>
      <c r="Z537">
        <v>1</v>
      </c>
      <c r="AA537">
        <f t="shared" si="17"/>
        <v>48</v>
      </c>
      <c r="AB537" t="s">
        <v>45</v>
      </c>
      <c r="AC537">
        <v>12.91</v>
      </c>
      <c r="AD537">
        <v>39.119999999999997</v>
      </c>
      <c r="AE537">
        <v>39.020000000000003</v>
      </c>
      <c r="AF537">
        <v>10.44</v>
      </c>
      <c r="AG537">
        <v>58.79</v>
      </c>
      <c r="AH537">
        <v>14.8</v>
      </c>
      <c r="AI537">
        <v>105.99</v>
      </c>
      <c r="AJ537">
        <v>48.03</v>
      </c>
      <c r="AK537">
        <v>20.32</v>
      </c>
      <c r="AL537">
        <v>130.83000000000001</v>
      </c>
      <c r="AM537">
        <v>18.579999999999998</v>
      </c>
      <c r="AN537">
        <v>22.19</v>
      </c>
      <c r="AO537">
        <v>521.02</v>
      </c>
    </row>
    <row r="538" spans="1:41" x14ac:dyDescent="0.25">
      <c r="A538" t="s">
        <v>912</v>
      </c>
      <c r="B538">
        <v>236</v>
      </c>
      <c r="C538">
        <v>2719</v>
      </c>
      <c r="D538">
        <v>1758</v>
      </c>
      <c r="E538">
        <v>8999</v>
      </c>
      <c r="F538">
        <v>1826</v>
      </c>
      <c r="G538">
        <v>3472</v>
      </c>
      <c r="H538">
        <v>4740</v>
      </c>
      <c r="I538">
        <v>5526</v>
      </c>
      <c r="J538">
        <v>4185</v>
      </c>
      <c r="K538">
        <v>1774</v>
      </c>
      <c r="L538">
        <v>4104</v>
      </c>
      <c r="M538">
        <v>3815</v>
      </c>
      <c r="N538">
        <f t="shared" si="16"/>
        <v>43154</v>
      </c>
      <c r="O538">
        <v>3</v>
      </c>
      <c r="P538">
        <v>2</v>
      </c>
      <c r="Q538">
        <v>7</v>
      </c>
      <c r="R538">
        <v>3</v>
      </c>
      <c r="S538">
        <v>6</v>
      </c>
      <c r="T538">
        <v>2</v>
      </c>
      <c r="U538">
        <v>2</v>
      </c>
      <c r="V538">
        <v>3</v>
      </c>
      <c r="W538">
        <v>4</v>
      </c>
      <c r="X538">
        <v>0</v>
      </c>
      <c r="Y538">
        <v>12</v>
      </c>
      <c r="Z538">
        <v>4</v>
      </c>
      <c r="AA538">
        <f t="shared" si="17"/>
        <v>48</v>
      </c>
      <c r="AB538" t="s">
        <v>45</v>
      </c>
      <c r="AC538">
        <v>12.5</v>
      </c>
      <c r="AD538">
        <v>37.28</v>
      </c>
      <c r="AE538">
        <v>27.92</v>
      </c>
      <c r="AF538">
        <v>100.13</v>
      </c>
      <c r="AG538">
        <v>28.55</v>
      </c>
      <c r="AH538">
        <v>44.81</v>
      </c>
      <c r="AI538">
        <v>57.49</v>
      </c>
      <c r="AJ538">
        <v>65.400000000000006</v>
      </c>
      <c r="AK538">
        <v>52.04</v>
      </c>
      <c r="AL538">
        <v>27.73</v>
      </c>
      <c r="AM538">
        <v>51.63</v>
      </c>
      <c r="AN538">
        <v>48.34</v>
      </c>
      <c r="AO538">
        <v>553.82000000000005</v>
      </c>
    </row>
    <row r="539" spans="1:41" x14ac:dyDescent="0.25">
      <c r="A539" t="s">
        <v>913</v>
      </c>
      <c r="B539">
        <v>228</v>
      </c>
      <c r="C539">
        <v>1821</v>
      </c>
      <c r="D539">
        <v>1998</v>
      </c>
      <c r="E539">
        <v>2839</v>
      </c>
      <c r="F539">
        <v>843</v>
      </c>
      <c r="G539">
        <v>0</v>
      </c>
      <c r="H539">
        <v>11595</v>
      </c>
      <c r="I539">
        <v>14630</v>
      </c>
      <c r="J539">
        <v>2427</v>
      </c>
      <c r="K539">
        <v>5992</v>
      </c>
      <c r="L539">
        <v>3372</v>
      </c>
      <c r="M539">
        <v>1016</v>
      </c>
      <c r="N539">
        <f t="shared" si="16"/>
        <v>46761</v>
      </c>
      <c r="O539">
        <v>5</v>
      </c>
      <c r="P539">
        <v>3</v>
      </c>
      <c r="Q539">
        <v>2</v>
      </c>
      <c r="R539">
        <v>0</v>
      </c>
      <c r="S539">
        <v>3</v>
      </c>
      <c r="T539">
        <v>2</v>
      </c>
      <c r="U539">
        <v>4</v>
      </c>
      <c r="V539">
        <v>2</v>
      </c>
      <c r="W539">
        <v>5</v>
      </c>
      <c r="X539">
        <v>6</v>
      </c>
      <c r="Y539">
        <v>3</v>
      </c>
      <c r="Z539">
        <v>0</v>
      </c>
      <c r="AA539">
        <f t="shared" si="17"/>
        <v>35</v>
      </c>
      <c r="AB539" t="s">
        <v>45</v>
      </c>
      <c r="AC539">
        <v>12.52</v>
      </c>
      <c r="AD539">
        <v>28.35</v>
      </c>
      <c r="AE539">
        <v>30.07</v>
      </c>
      <c r="AF539">
        <v>38.380000000000003</v>
      </c>
      <c r="AG539">
        <v>18.57</v>
      </c>
      <c r="AH539">
        <v>10.09</v>
      </c>
      <c r="AI539">
        <v>126.14</v>
      </c>
      <c r="AJ539">
        <v>156.38999999999999</v>
      </c>
      <c r="AK539">
        <v>34.51</v>
      </c>
      <c r="AL539">
        <v>70.209999999999994</v>
      </c>
      <c r="AM539">
        <v>43.86</v>
      </c>
      <c r="AN539">
        <v>20.149999999999999</v>
      </c>
      <c r="AO539">
        <v>589.24</v>
      </c>
    </row>
    <row r="540" spans="1:41" x14ac:dyDescent="0.25">
      <c r="A540" t="s">
        <v>914</v>
      </c>
      <c r="B540">
        <v>226</v>
      </c>
      <c r="C540">
        <v>88</v>
      </c>
      <c r="D540">
        <v>710</v>
      </c>
      <c r="E540">
        <v>838</v>
      </c>
      <c r="F540">
        <v>2359</v>
      </c>
      <c r="G540">
        <v>6191</v>
      </c>
      <c r="H540">
        <v>1779</v>
      </c>
      <c r="I540">
        <v>11059</v>
      </c>
      <c r="J540">
        <v>5738</v>
      </c>
      <c r="K540">
        <v>14369</v>
      </c>
      <c r="L540">
        <v>8247</v>
      </c>
      <c r="M540">
        <v>3429</v>
      </c>
      <c r="N540">
        <f t="shared" si="16"/>
        <v>55033</v>
      </c>
      <c r="O540">
        <v>4</v>
      </c>
      <c r="P540">
        <v>6</v>
      </c>
      <c r="Q540">
        <v>0</v>
      </c>
      <c r="R540">
        <v>2</v>
      </c>
      <c r="S540">
        <v>2</v>
      </c>
      <c r="T540">
        <v>5</v>
      </c>
      <c r="U540">
        <v>3</v>
      </c>
      <c r="V540">
        <v>0</v>
      </c>
      <c r="W540">
        <v>3</v>
      </c>
      <c r="X540">
        <v>8</v>
      </c>
      <c r="Y540">
        <v>3</v>
      </c>
      <c r="Z540">
        <v>2</v>
      </c>
      <c r="AA540">
        <f t="shared" si="17"/>
        <v>38</v>
      </c>
      <c r="AB540" t="s">
        <v>45</v>
      </c>
      <c r="AC540">
        <v>12.45</v>
      </c>
      <c r="AD540">
        <v>11.17</v>
      </c>
      <c r="AE540">
        <v>17.09</v>
      </c>
      <c r="AF540">
        <v>18.47</v>
      </c>
      <c r="AG540">
        <v>33.68</v>
      </c>
      <c r="AH540">
        <v>72.150000000000006</v>
      </c>
      <c r="AI540">
        <v>27.93</v>
      </c>
      <c r="AJ540">
        <v>120.58</v>
      </c>
      <c r="AK540">
        <v>67.52</v>
      </c>
      <c r="AL540">
        <v>154.08000000000001</v>
      </c>
      <c r="AM540">
        <v>92.61</v>
      </c>
      <c r="AN540">
        <v>44.38</v>
      </c>
      <c r="AO540">
        <v>672.11</v>
      </c>
    </row>
    <row r="541" spans="1:41" x14ac:dyDescent="0.25">
      <c r="A541" t="s">
        <v>918</v>
      </c>
      <c r="B541">
        <v>188</v>
      </c>
      <c r="C541">
        <v>3940</v>
      </c>
      <c r="D541">
        <v>702</v>
      </c>
      <c r="E541">
        <v>129</v>
      </c>
      <c r="F541">
        <v>1995</v>
      </c>
      <c r="G541">
        <v>8073</v>
      </c>
      <c r="H541">
        <v>5033</v>
      </c>
      <c r="I541">
        <v>5402</v>
      </c>
      <c r="J541">
        <v>784</v>
      </c>
      <c r="K541">
        <v>7569</v>
      </c>
      <c r="L541">
        <v>1300</v>
      </c>
      <c r="M541">
        <v>7707</v>
      </c>
      <c r="N541">
        <f t="shared" si="16"/>
        <v>42822</v>
      </c>
      <c r="O541">
        <v>0</v>
      </c>
      <c r="P541">
        <v>0</v>
      </c>
      <c r="Q541">
        <v>14</v>
      </c>
      <c r="R541">
        <v>12</v>
      </c>
      <c r="S541">
        <v>1</v>
      </c>
      <c r="T541">
        <v>2</v>
      </c>
      <c r="U541">
        <v>1</v>
      </c>
      <c r="V541">
        <v>5</v>
      </c>
      <c r="W541">
        <v>3</v>
      </c>
      <c r="X541">
        <v>1</v>
      </c>
      <c r="Y541">
        <v>7</v>
      </c>
      <c r="Z541">
        <v>3</v>
      </c>
      <c r="AA541">
        <f t="shared" si="17"/>
        <v>49</v>
      </c>
      <c r="AB541" t="s">
        <v>45</v>
      </c>
      <c r="AC541">
        <v>11.87</v>
      </c>
      <c r="AD541">
        <v>49.39</v>
      </c>
      <c r="AE541">
        <v>17.71</v>
      </c>
      <c r="AF541">
        <v>11.88</v>
      </c>
      <c r="AG541">
        <v>29.99</v>
      </c>
      <c r="AH541">
        <v>90.82</v>
      </c>
      <c r="AI541">
        <v>60.37</v>
      </c>
      <c r="AJ541">
        <v>64.260000000000005</v>
      </c>
      <c r="AK541">
        <v>17.98</v>
      </c>
      <c r="AL541">
        <v>85.73</v>
      </c>
      <c r="AM541">
        <v>23.34</v>
      </c>
      <c r="AN541">
        <v>87.21</v>
      </c>
      <c r="AO541">
        <v>550.54999999999995</v>
      </c>
    </row>
    <row r="542" spans="1:41" x14ac:dyDescent="0.25">
      <c r="A542" t="s">
        <v>919</v>
      </c>
      <c r="B542">
        <v>177</v>
      </c>
      <c r="C542">
        <v>7081</v>
      </c>
      <c r="D542">
        <v>794</v>
      </c>
      <c r="E542">
        <v>3335</v>
      </c>
      <c r="F542">
        <v>7774</v>
      </c>
      <c r="G542">
        <v>0</v>
      </c>
      <c r="H542">
        <v>6241</v>
      </c>
      <c r="I542">
        <v>5327</v>
      </c>
      <c r="J542">
        <v>2287</v>
      </c>
      <c r="K542">
        <v>2136</v>
      </c>
      <c r="L542">
        <v>1605</v>
      </c>
      <c r="M542">
        <v>12458</v>
      </c>
      <c r="N542">
        <f t="shared" si="16"/>
        <v>49215</v>
      </c>
      <c r="O542">
        <v>8</v>
      </c>
      <c r="P542">
        <v>2</v>
      </c>
      <c r="Q542">
        <v>0</v>
      </c>
      <c r="R542">
        <v>4</v>
      </c>
      <c r="S542">
        <v>4</v>
      </c>
      <c r="T542">
        <v>3</v>
      </c>
      <c r="U542">
        <v>4</v>
      </c>
      <c r="V542">
        <v>8</v>
      </c>
      <c r="W542">
        <v>7</v>
      </c>
      <c r="X542">
        <v>4</v>
      </c>
      <c r="Y542">
        <v>1</v>
      </c>
      <c r="Z542">
        <v>9</v>
      </c>
      <c r="AA542">
        <f t="shared" si="17"/>
        <v>54</v>
      </c>
      <c r="AB542" t="s">
        <v>45</v>
      </c>
      <c r="AC542">
        <v>12.16</v>
      </c>
      <c r="AD542">
        <v>80.900000000000006</v>
      </c>
      <c r="AE542">
        <v>17.93</v>
      </c>
      <c r="AF542">
        <v>43.54</v>
      </c>
      <c r="AG542">
        <v>87.93</v>
      </c>
      <c r="AH542">
        <v>10.14</v>
      </c>
      <c r="AI542">
        <v>72.599999999999994</v>
      </c>
      <c r="AJ542">
        <v>63.66</v>
      </c>
      <c r="AK542">
        <v>33.21</v>
      </c>
      <c r="AL542">
        <v>31.55</v>
      </c>
      <c r="AM542">
        <v>26.09</v>
      </c>
      <c r="AN542">
        <v>135.02000000000001</v>
      </c>
      <c r="AO542">
        <v>614.73</v>
      </c>
    </row>
    <row r="543" spans="1:41" x14ac:dyDescent="0.25">
      <c r="A543" t="s">
        <v>920</v>
      </c>
      <c r="B543">
        <v>148</v>
      </c>
      <c r="C543">
        <v>3567</v>
      </c>
      <c r="D543">
        <v>430</v>
      </c>
      <c r="E543">
        <v>764</v>
      </c>
      <c r="F543">
        <v>6039</v>
      </c>
      <c r="G543">
        <v>2055</v>
      </c>
      <c r="H543">
        <v>15552</v>
      </c>
      <c r="I543">
        <v>3314</v>
      </c>
      <c r="J543">
        <v>2732</v>
      </c>
      <c r="K543">
        <v>772</v>
      </c>
      <c r="L543">
        <v>11062</v>
      </c>
      <c r="M543">
        <v>0</v>
      </c>
      <c r="N543">
        <f t="shared" si="16"/>
        <v>46435</v>
      </c>
      <c r="O543">
        <v>6</v>
      </c>
      <c r="P543">
        <v>5</v>
      </c>
      <c r="Q543">
        <v>3</v>
      </c>
      <c r="R543">
        <v>8</v>
      </c>
      <c r="S543">
        <v>7</v>
      </c>
      <c r="T543">
        <v>2</v>
      </c>
      <c r="U543">
        <v>3</v>
      </c>
      <c r="V543">
        <v>9</v>
      </c>
      <c r="W543">
        <v>1</v>
      </c>
      <c r="X543">
        <v>13</v>
      </c>
      <c r="Y543">
        <v>3</v>
      </c>
      <c r="Z543">
        <v>4</v>
      </c>
      <c r="AA543">
        <f t="shared" si="17"/>
        <v>64</v>
      </c>
      <c r="AB543" t="s">
        <v>45</v>
      </c>
      <c r="AC543">
        <v>11.77</v>
      </c>
      <c r="AD543">
        <v>45.91</v>
      </c>
      <c r="AE543">
        <v>14.44</v>
      </c>
      <c r="AF543">
        <v>18.03</v>
      </c>
      <c r="AG543">
        <v>70.73</v>
      </c>
      <c r="AH543">
        <v>30.64</v>
      </c>
      <c r="AI543">
        <v>165.66</v>
      </c>
      <c r="AJ543">
        <v>43.58</v>
      </c>
      <c r="AK543">
        <v>37.36</v>
      </c>
      <c r="AL543">
        <v>18.36</v>
      </c>
      <c r="AM543">
        <v>120.76</v>
      </c>
      <c r="AN543">
        <v>10.19</v>
      </c>
      <c r="AO543">
        <v>587.43000000000006</v>
      </c>
    </row>
    <row r="544" spans="1:41" x14ac:dyDescent="0.25">
      <c r="A544" t="s">
        <v>921</v>
      </c>
      <c r="B544">
        <v>147</v>
      </c>
      <c r="C544">
        <v>0</v>
      </c>
      <c r="D544">
        <v>492</v>
      </c>
      <c r="E544">
        <v>18005</v>
      </c>
      <c r="F544">
        <v>12998</v>
      </c>
      <c r="G544">
        <v>975</v>
      </c>
      <c r="H544">
        <v>775</v>
      </c>
      <c r="I544">
        <v>0</v>
      </c>
      <c r="J544">
        <v>895</v>
      </c>
      <c r="K544">
        <v>1431</v>
      </c>
      <c r="L544">
        <v>5803</v>
      </c>
      <c r="M544">
        <v>7916</v>
      </c>
      <c r="N544">
        <f t="shared" si="16"/>
        <v>49437</v>
      </c>
      <c r="O544">
        <v>2</v>
      </c>
      <c r="P544">
        <v>1</v>
      </c>
      <c r="Q544">
        <v>2</v>
      </c>
      <c r="R544">
        <v>2</v>
      </c>
      <c r="S544">
        <v>5</v>
      </c>
      <c r="T544">
        <v>4</v>
      </c>
      <c r="U544">
        <v>7</v>
      </c>
      <c r="V544">
        <v>4</v>
      </c>
      <c r="W544">
        <v>0</v>
      </c>
      <c r="X544">
        <v>9</v>
      </c>
      <c r="Y544">
        <v>2</v>
      </c>
      <c r="Z544">
        <v>15</v>
      </c>
      <c r="AA544">
        <f t="shared" si="17"/>
        <v>53</v>
      </c>
      <c r="AB544" t="s">
        <v>45</v>
      </c>
      <c r="AC544">
        <v>11.56</v>
      </c>
      <c r="AD544">
        <v>10.039999999999999</v>
      </c>
      <c r="AE544">
        <v>15.01</v>
      </c>
      <c r="AF544">
        <v>190.14</v>
      </c>
      <c r="AG544">
        <v>140.22</v>
      </c>
      <c r="AH544">
        <v>19.940000000000001</v>
      </c>
      <c r="AI544">
        <v>18.09</v>
      </c>
      <c r="AJ544">
        <v>10.19</v>
      </c>
      <c r="AK544">
        <v>18.940000000000001</v>
      </c>
      <c r="AL544">
        <v>24.75</v>
      </c>
      <c r="AM544">
        <v>68.12</v>
      </c>
      <c r="AN544">
        <v>89.9</v>
      </c>
      <c r="AO544">
        <v>616.9</v>
      </c>
    </row>
    <row r="545" spans="1:41" x14ac:dyDescent="0.25">
      <c r="A545" t="s">
        <v>922</v>
      </c>
      <c r="B545">
        <v>145</v>
      </c>
      <c r="C545">
        <v>12351</v>
      </c>
      <c r="D545">
        <v>650</v>
      </c>
      <c r="E545">
        <v>9638</v>
      </c>
      <c r="F545">
        <v>3247</v>
      </c>
      <c r="G545">
        <v>4411</v>
      </c>
      <c r="H545">
        <v>239</v>
      </c>
      <c r="I545">
        <v>3792</v>
      </c>
      <c r="J545">
        <v>8303</v>
      </c>
      <c r="K545">
        <v>432</v>
      </c>
      <c r="L545">
        <v>0</v>
      </c>
      <c r="M545">
        <v>402</v>
      </c>
      <c r="N545">
        <f t="shared" si="16"/>
        <v>43610</v>
      </c>
      <c r="O545">
        <v>6</v>
      </c>
      <c r="P545">
        <v>2</v>
      </c>
      <c r="Q545">
        <v>11</v>
      </c>
      <c r="R545">
        <v>1</v>
      </c>
      <c r="S545">
        <v>4</v>
      </c>
      <c r="T545">
        <v>1</v>
      </c>
      <c r="U545">
        <v>9</v>
      </c>
      <c r="V545">
        <v>0</v>
      </c>
      <c r="W545">
        <v>2</v>
      </c>
      <c r="X545">
        <v>1</v>
      </c>
      <c r="Y545">
        <v>4</v>
      </c>
      <c r="Z545">
        <v>1</v>
      </c>
      <c r="AA545">
        <f t="shared" si="17"/>
        <v>42</v>
      </c>
      <c r="AB545" t="s">
        <v>45</v>
      </c>
      <c r="AC545">
        <v>11.74</v>
      </c>
      <c r="AD545">
        <v>133.6</v>
      </c>
      <c r="AE545">
        <v>17.04</v>
      </c>
      <c r="AF545">
        <v>106.42</v>
      </c>
      <c r="AG545">
        <v>42.66</v>
      </c>
      <c r="AH545">
        <v>54.15</v>
      </c>
      <c r="AI545">
        <v>12.83</v>
      </c>
      <c r="AJ545">
        <v>47.91</v>
      </c>
      <c r="AK545">
        <v>93.12</v>
      </c>
      <c r="AL545">
        <v>14.36</v>
      </c>
      <c r="AM545">
        <v>10.19</v>
      </c>
      <c r="AN545">
        <v>14.06</v>
      </c>
      <c r="AO545">
        <v>558.08000000000004</v>
      </c>
    </row>
    <row r="546" spans="1:41" x14ac:dyDescent="0.25">
      <c r="A546" t="s">
        <v>925</v>
      </c>
      <c r="B546">
        <v>118</v>
      </c>
      <c r="C546">
        <v>1497</v>
      </c>
      <c r="D546">
        <v>3125</v>
      </c>
      <c r="E546">
        <v>5751</v>
      </c>
      <c r="F546">
        <v>7286</v>
      </c>
      <c r="G546">
        <v>4438</v>
      </c>
      <c r="H546">
        <v>1398</v>
      </c>
      <c r="I546">
        <v>3758</v>
      </c>
      <c r="J546">
        <v>429</v>
      </c>
      <c r="K546">
        <v>1376</v>
      </c>
      <c r="L546">
        <v>1887</v>
      </c>
      <c r="M546">
        <v>4987</v>
      </c>
      <c r="N546">
        <f t="shared" si="16"/>
        <v>36050</v>
      </c>
      <c r="O546">
        <v>1</v>
      </c>
      <c r="P546">
        <v>5</v>
      </c>
      <c r="Q546">
        <v>0</v>
      </c>
      <c r="R546">
        <v>1</v>
      </c>
      <c r="S546">
        <v>2</v>
      </c>
      <c r="T546">
        <v>7</v>
      </c>
      <c r="U546">
        <v>7</v>
      </c>
      <c r="V546">
        <v>1</v>
      </c>
      <c r="W546">
        <v>7</v>
      </c>
      <c r="X546">
        <v>3</v>
      </c>
      <c r="Y546">
        <v>4</v>
      </c>
      <c r="Z546">
        <v>5</v>
      </c>
      <c r="AA546">
        <f t="shared" si="17"/>
        <v>43</v>
      </c>
      <c r="AB546" t="s">
        <v>45</v>
      </c>
      <c r="AC546">
        <v>11.22</v>
      </c>
      <c r="AD546">
        <v>25.21</v>
      </c>
      <c r="AE546">
        <v>41.24</v>
      </c>
      <c r="AF546">
        <v>67.55</v>
      </c>
      <c r="AG546">
        <v>82.95</v>
      </c>
      <c r="AH546">
        <v>54.72</v>
      </c>
      <c r="AI546">
        <v>24.32</v>
      </c>
      <c r="AJ546">
        <v>47.62</v>
      </c>
      <c r="AK546">
        <v>14.63</v>
      </c>
      <c r="AL546">
        <v>23.9</v>
      </c>
      <c r="AM546">
        <v>29.06</v>
      </c>
      <c r="AN546">
        <v>60.11</v>
      </c>
      <c r="AO546">
        <v>482.53</v>
      </c>
    </row>
    <row r="547" spans="1:41" x14ac:dyDescent="0.25">
      <c r="A547" t="s">
        <v>928</v>
      </c>
      <c r="B547">
        <v>95</v>
      </c>
      <c r="C547">
        <v>1107</v>
      </c>
      <c r="D547">
        <v>11128</v>
      </c>
      <c r="E547">
        <v>5676</v>
      </c>
      <c r="F547">
        <v>2353</v>
      </c>
      <c r="G547">
        <v>0</v>
      </c>
      <c r="H547">
        <v>4278</v>
      </c>
      <c r="I547">
        <v>1421</v>
      </c>
      <c r="J547">
        <v>4833</v>
      </c>
      <c r="K547">
        <v>2857</v>
      </c>
      <c r="L547">
        <v>3127</v>
      </c>
      <c r="M547">
        <v>12460</v>
      </c>
      <c r="N547">
        <f t="shared" si="16"/>
        <v>49335</v>
      </c>
      <c r="O547">
        <v>2</v>
      </c>
      <c r="P547">
        <v>12</v>
      </c>
      <c r="Q547">
        <v>3</v>
      </c>
      <c r="R547">
        <v>3</v>
      </c>
      <c r="S547">
        <v>0</v>
      </c>
      <c r="T547">
        <v>0</v>
      </c>
      <c r="U547">
        <v>4</v>
      </c>
      <c r="V547">
        <v>1</v>
      </c>
      <c r="W547">
        <v>1</v>
      </c>
      <c r="X547">
        <v>4</v>
      </c>
      <c r="Y547">
        <v>1</v>
      </c>
      <c r="Z547">
        <v>2</v>
      </c>
      <c r="AA547">
        <f t="shared" si="17"/>
        <v>33</v>
      </c>
      <c r="AB547" t="s">
        <v>45</v>
      </c>
      <c r="AC547">
        <v>11.04</v>
      </c>
      <c r="AD547">
        <v>21.66</v>
      </c>
      <c r="AE547">
        <v>121.42</v>
      </c>
      <c r="AF547">
        <v>66.900000000000006</v>
      </c>
      <c r="AG547">
        <v>33.520000000000003</v>
      </c>
      <c r="AH547">
        <v>9.99</v>
      </c>
      <c r="AI547">
        <v>52.97</v>
      </c>
      <c r="AJ547">
        <v>24.25</v>
      </c>
      <c r="AK547">
        <v>58.37</v>
      </c>
      <c r="AL547">
        <v>38.76</v>
      </c>
      <c r="AM547">
        <v>41.31</v>
      </c>
      <c r="AN547">
        <v>134.69</v>
      </c>
      <c r="AO547">
        <v>614.88</v>
      </c>
    </row>
    <row r="548" spans="1:41" x14ac:dyDescent="0.25">
      <c r="A548" t="s">
        <v>929</v>
      </c>
      <c r="B548">
        <v>89</v>
      </c>
      <c r="C548">
        <v>24879</v>
      </c>
      <c r="D548">
        <v>3177</v>
      </c>
      <c r="E548">
        <v>2098</v>
      </c>
      <c r="F548">
        <v>0</v>
      </c>
      <c r="G548">
        <v>3911</v>
      </c>
      <c r="H548">
        <v>2823</v>
      </c>
      <c r="I548">
        <v>6959</v>
      </c>
      <c r="J548">
        <v>337</v>
      </c>
      <c r="K548">
        <v>13781</v>
      </c>
      <c r="L548">
        <v>2005</v>
      </c>
      <c r="M548">
        <v>1758</v>
      </c>
      <c r="N548">
        <f t="shared" si="16"/>
        <v>61817</v>
      </c>
      <c r="O548">
        <v>5</v>
      </c>
      <c r="P548">
        <v>2</v>
      </c>
      <c r="Q548">
        <v>14</v>
      </c>
      <c r="R548">
        <v>3</v>
      </c>
      <c r="S548">
        <v>0</v>
      </c>
      <c r="T548">
        <v>4</v>
      </c>
      <c r="U548">
        <v>7</v>
      </c>
      <c r="V548">
        <v>24</v>
      </c>
      <c r="W548">
        <v>3</v>
      </c>
      <c r="X548">
        <v>1</v>
      </c>
      <c r="Y548">
        <v>11</v>
      </c>
      <c r="Z548">
        <v>0</v>
      </c>
      <c r="AA548">
        <f t="shared" si="17"/>
        <v>74</v>
      </c>
      <c r="AB548" t="s">
        <v>45</v>
      </c>
      <c r="AC548">
        <v>11.13</v>
      </c>
      <c r="AD548">
        <v>258.88</v>
      </c>
      <c r="AE548">
        <v>42.46</v>
      </c>
      <c r="AF548">
        <v>31.12</v>
      </c>
      <c r="AG548">
        <v>9.99</v>
      </c>
      <c r="AH548">
        <v>49.3</v>
      </c>
      <c r="AI548">
        <v>38.57</v>
      </c>
      <c r="AJ548">
        <v>80.78</v>
      </c>
      <c r="AK548">
        <v>13.51</v>
      </c>
      <c r="AL548">
        <v>147.85</v>
      </c>
      <c r="AM548">
        <v>30.59</v>
      </c>
      <c r="AN548">
        <v>27.57</v>
      </c>
      <c r="AO548">
        <v>741.75000000000011</v>
      </c>
    </row>
    <row r="549" spans="1:41" x14ac:dyDescent="0.25">
      <c r="A549" t="s">
        <v>930</v>
      </c>
      <c r="B549">
        <v>80</v>
      </c>
      <c r="C549">
        <v>0</v>
      </c>
      <c r="D549">
        <v>2965</v>
      </c>
      <c r="E549">
        <v>10945</v>
      </c>
      <c r="F549">
        <v>8816</v>
      </c>
      <c r="G549">
        <v>17670</v>
      </c>
      <c r="H549">
        <v>1717</v>
      </c>
      <c r="I549">
        <v>0</v>
      </c>
      <c r="J549">
        <v>337</v>
      </c>
      <c r="K549">
        <v>3569</v>
      </c>
      <c r="L549">
        <v>0</v>
      </c>
      <c r="M549">
        <v>2229</v>
      </c>
      <c r="N549">
        <f t="shared" si="16"/>
        <v>48328</v>
      </c>
      <c r="O549">
        <v>9</v>
      </c>
      <c r="P549">
        <v>2</v>
      </c>
      <c r="Q549">
        <v>13</v>
      </c>
      <c r="R549">
        <v>0</v>
      </c>
      <c r="S549">
        <v>2</v>
      </c>
      <c r="T549">
        <v>5</v>
      </c>
      <c r="U549">
        <v>3</v>
      </c>
      <c r="V549">
        <v>4</v>
      </c>
      <c r="W549">
        <v>2</v>
      </c>
      <c r="X549">
        <v>7</v>
      </c>
      <c r="Y549">
        <v>2</v>
      </c>
      <c r="Z549">
        <v>0</v>
      </c>
      <c r="AA549">
        <f t="shared" si="17"/>
        <v>49</v>
      </c>
      <c r="AB549" t="s">
        <v>45</v>
      </c>
      <c r="AC549">
        <v>11.24</v>
      </c>
      <c r="AD549">
        <v>10.09</v>
      </c>
      <c r="AE549">
        <v>40.29</v>
      </c>
      <c r="AF549">
        <v>119.44</v>
      </c>
      <c r="AG549">
        <v>98.25</v>
      </c>
      <c r="AH549">
        <v>186.94</v>
      </c>
      <c r="AI549">
        <v>27.31</v>
      </c>
      <c r="AJ549">
        <v>10.19</v>
      </c>
      <c r="AK549">
        <v>13.46</v>
      </c>
      <c r="AL549">
        <v>46.03</v>
      </c>
      <c r="AM549">
        <v>10.09</v>
      </c>
      <c r="AN549">
        <v>32.28</v>
      </c>
      <c r="AO549">
        <v>605.61</v>
      </c>
    </row>
    <row r="550" spans="1:41" x14ac:dyDescent="0.25">
      <c r="A550" t="s">
        <v>931</v>
      </c>
      <c r="B550">
        <v>79</v>
      </c>
      <c r="C550">
        <v>1454</v>
      </c>
      <c r="D550">
        <v>6366</v>
      </c>
      <c r="E550">
        <v>1688</v>
      </c>
      <c r="F550">
        <v>3579</v>
      </c>
      <c r="G550">
        <v>12744</v>
      </c>
      <c r="H550">
        <v>3525</v>
      </c>
      <c r="I550">
        <v>548</v>
      </c>
      <c r="J550">
        <v>1495</v>
      </c>
      <c r="K550">
        <v>5980</v>
      </c>
      <c r="L550">
        <v>1643</v>
      </c>
      <c r="M550">
        <v>3789</v>
      </c>
      <c r="N550">
        <f t="shared" si="16"/>
        <v>42890</v>
      </c>
      <c r="O550">
        <v>2</v>
      </c>
      <c r="P550">
        <v>2</v>
      </c>
      <c r="Q550">
        <v>2</v>
      </c>
      <c r="R550">
        <v>3</v>
      </c>
      <c r="S550">
        <v>3</v>
      </c>
      <c r="T550">
        <v>13</v>
      </c>
      <c r="U550">
        <v>9</v>
      </c>
      <c r="V550">
        <v>5</v>
      </c>
      <c r="W550">
        <v>2</v>
      </c>
      <c r="X550">
        <v>2</v>
      </c>
      <c r="Y550">
        <v>4</v>
      </c>
      <c r="Z550">
        <v>6</v>
      </c>
      <c r="AA550">
        <f t="shared" si="17"/>
        <v>53</v>
      </c>
      <c r="AB550" t="s">
        <v>45</v>
      </c>
      <c r="AC550">
        <v>10.88</v>
      </c>
      <c r="AD550">
        <v>24.63</v>
      </c>
      <c r="AE550">
        <v>73.75</v>
      </c>
      <c r="AF550">
        <v>27.02</v>
      </c>
      <c r="AG550">
        <v>45.93</v>
      </c>
      <c r="AH550">
        <v>138.08000000000001</v>
      </c>
      <c r="AI550">
        <v>45.69</v>
      </c>
      <c r="AJ550">
        <v>15.72</v>
      </c>
      <c r="AK550">
        <v>25.04</v>
      </c>
      <c r="AL550">
        <v>69.89</v>
      </c>
      <c r="AM550">
        <v>26.62</v>
      </c>
      <c r="AN550">
        <v>48.18</v>
      </c>
      <c r="AO550">
        <v>551.43000000000006</v>
      </c>
    </row>
    <row r="551" spans="1:41" x14ac:dyDescent="0.25">
      <c r="A551" t="s">
        <v>933</v>
      </c>
      <c r="B551">
        <v>62</v>
      </c>
      <c r="C551">
        <v>1866</v>
      </c>
      <c r="D551">
        <v>1462</v>
      </c>
      <c r="E551">
        <v>3048</v>
      </c>
      <c r="F551">
        <v>7386</v>
      </c>
      <c r="G551">
        <v>3282</v>
      </c>
      <c r="H551">
        <v>1462</v>
      </c>
      <c r="I551">
        <v>7592</v>
      </c>
      <c r="J551">
        <v>4207</v>
      </c>
      <c r="K551">
        <v>1398</v>
      </c>
      <c r="L551">
        <v>2113</v>
      </c>
      <c r="M551">
        <v>5108</v>
      </c>
      <c r="N551">
        <f t="shared" si="16"/>
        <v>38986</v>
      </c>
      <c r="O551">
        <v>13</v>
      </c>
      <c r="P551">
        <v>6</v>
      </c>
      <c r="Q551">
        <v>13</v>
      </c>
      <c r="R551">
        <v>3</v>
      </c>
      <c r="S551">
        <v>5</v>
      </c>
      <c r="T551">
        <v>15</v>
      </c>
      <c r="U551">
        <v>5</v>
      </c>
      <c r="V551">
        <v>1</v>
      </c>
      <c r="W551">
        <v>6</v>
      </c>
      <c r="X551">
        <v>10</v>
      </c>
      <c r="Y551">
        <v>6</v>
      </c>
      <c r="Z551">
        <v>3</v>
      </c>
      <c r="AA551">
        <f t="shared" si="17"/>
        <v>86</v>
      </c>
      <c r="AB551" t="s">
        <v>45</v>
      </c>
      <c r="AC551">
        <v>11.26</v>
      </c>
      <c r="AD551">
        <v>28.95</v>
      </c>
      <c r="AE551">
        <v>25.26</v>
      </c>
      <c r="AF551">
        <v>40.619999999999997</v>
      </c>
      <c r="AG551">
        <v>84.1</v>
      </c>
      <c r="AH551">
        <v>43.56</v>
      </c>
      <c r="AI551">
        <v>24.86</v>
      </c>
      <c r="AJ551">
        <v>85.96</v>
      </c>
      <c r="AK551">
        <v>52.36</v>
      </c>
      <c r="AL551">
        <v>24.47</v>
      </c>
      <c r="AM551">
        <v>31.42</v>
      </c>
      <c r="AN551">
        <v>61.22</v>
      </c>
      <c r="AO551">
        <v>514.04</v>
      </c>
    </row>
    <row r="552" spans="1:41" x14ac:dyDescent="0.25">
      <c r="A552" t="s">
        <v>935</v>
      </c>
      <c r="B552">
        <v>29</v>
      </c>
      <c r="C552">
        <v>3058</v>
      </c>
      <c r="D552">
        <v>7545</v>
      </c>
      <c r="E552">
        <v>13</v>
      </c>
      <c r="F552">
        <v>4401</v>
      </c>
      <c r="G552">
        <v>0</v>
      </c>
      <c r="H552">
        <v>8907</v>
      </c>
      <c r="I552">
        <v>14489</v>
      </c>
      <c r="J552">
        <v>1342</v>
      </c>
      <c r="K552">
        <v>943</v>
      </c>
      <c r="L552">
        <v>4669</v>
      </c>
      <c r="M552">
        <v>0</v>
      </c>
      <c r="N552">
        <f t="shared" si="16"/>
        <v>45396</v>
      </c>
      <c r="O552">
        <v>14</v>
      </c>
      <c r="P552">
        <v>2</v>
      </c>
      <c r="Q552">
        <v>7</v>
      </c>
      <c r="R552">
        <v>2</v>
      </c>
      <c r="S552">
        <v>10</v>
      </c>
      <c r="T552">
        <v>5</v>
      </c>
      <c r="U552">
        <v>5</v>
      </c>
      <c r="V552">
        <v>3</v>
      </c>
      <c r="W552">
        <v>2</v>
      </c>
      <c r="X552">
        <v>6</v>
      </c>
      <c r="Y552">
        <v>6</v>
      </c>
      <c r="Z552">
        <v>2</v>
      </c>
      <c r="AA552">
        <f t="shared" si="17"/>
        <v>64</v>
      </c>
      <c r="AB552" t="s">
        <v>45</v>
      </c>
      <c r="AC552">
        <v>10.98</v>
      </c>
      <c r="AD552">
        <v>40.67</v>
      </c>
      <c r="AE552">
        <v>85.79</v>
      </c>
      <c r="AF552">
        <v>10.220000000000001</v>
      </c>
      <c r="AG552">
        <v>54.5</v>
      </c>
      <c r="AH552">
        <v>10.24</v>
      </c>
      <c r="AI552">
        <v>99.31</v>
      </c>
      <c r="AJ552">
        <v>155.03</v>
      </c>
      <c r="AK552">
        <v>23.51</v>
      </c>
      <c r="AL552">
        <v>19.72</v>
      </c>
      <c r="AM552">
        <v>56.98</v>
      </c>
      <c r="AN552">
        <v>10.09</v>
      </c>
      <c r="AO552">
        <v>577.04000000000008</v>
      </c>
    </row>
    <row r="553" spans="1:41" x14ac:dyDescent="0.25">
      <c r="A553" t="s">
        <v>969</v>
      </c>
      <c r="B553">
        <v>0</v>
      </c>
      <c r="C553">
        <v>4069</v>
      </c>
      <c r="D553">
        <v>6562</v>
      </c>
      <c r="E553">
        <v>5993</v>
      </c>
      <c r="F553">
        <v>3778</v>
      </c>
      <c r="G553">
        <v>188</v>
      </c>
      <c r="H553">
        <v>387</v>
      </c>
      <c r="I553">
        <v>1236</v>
      </c>
      <c r="J553">
        <v>6613</v>
      </c>
      <c r="K553">
        <v>11238</v>
      </c>
      <c r="L553">
        <v>1069</v>
      </c>
      <c r="M553">
        <v>5038</v>
      </c>
      <c r="N553">
        <f t="shared" si="16"/>
        <v>46171</v>
      </c>
      <c r="O553">
        <v>5</v>
      </c>
      <c r="P553">
        <v>2</v>
      </c>
      <c r="Q553">
        <v>3</v>
      </c>
      <c r="R553">
        <v>3</v>
      </c>
      <c r="S553">
        <v>1</v>
      </c>
      <c r="T553">
        <v>7</v>
      </c>
      <c r="U553">
        <v>11</v>
      </c>
      <c r="V553">
        <v>4</v>
      </c>
      <c r="W553">
        <v>5</v>
      </c>
      <c r="X553">
        <v>10</v>
      </c>
      <c r="Y553">
        <v>8</v>
      </c>
      <c r="Z553">
        <v>3</v>
      </c>
      <c r="AA553">
        <f t="shared" si="17"/>
        <v>62</v>
      </c>
      <c r="AB553" t="s">
        <v>45</v>
      </c>
      <c r="AC553">
        <v>10.24</v>
      </c>
      <c r="AD553">
        <v>50.78</v>
      </c>
      <c r="AE553">
        <v>75.760000000000005</v>
      </c>
      <c r="AF553">
        <v>70.069999999999993</v>
      </c>
      <c r="AG553">
        <v>47.82</v>
      </c>
      <c r="AH553">
        <v>12.22</v>
      </c>
      <c r="AI553">
        <v>14.41</v>
      </c>
      <c r="AJ553">
        <v>22.55</v>
      </c>
      <c r="AK553">
        <v>76.37</v>
      </c>
      <c r="AL553">
        <v>122.87</v>
      </c>
      <c r="AM553">
        <v>21.08</v>
      </c>
      <c r="AN553">
        <v>60.52</v>
      </c>
      <c r="AO553">
        <v>584.69000000000005</v>
      </c>
    </row>
    <row r="554" spans="1:41" x14ac:dyDescent="0.25">
      <c r="A554" t="s">
        <v>970</v>
      </c>
      <c r="B554">
        <v>0</v>
      </c>
      <c r="C554">
        <v>2247</v>
      </c>
      <c r="D554">
        <v>2914</v>
      </c>
      <c r="E554">
        <v>1711</v>
      </c>
      <c r="F554">
        <v>4391</v>
      </c>
      <c r="G554">
        <v>604</v>
      </c>
      <c r="H554">
        <v>4175</v>
      </c>
      <c r="I554">
        <v>6205</v>
      </c>
      <c r="J554">
        <v>215</v>
      </c>
      <c r="K554">
        <v>2984</v>
      </c>
      <c r="L554">
        <v>10990</v>
      </c>
      <c r="M554">
        <v>1179</v>
      </c>
      <c r="N554">
        <f t="shared" si="16"/>
        <v>37615</v>
      </c>
      <c r="O554">
        <v>3</v>
      </c>
      <c r="P554">
        <v>2</v>
      </c>
      <c r="Q554">
        <v>2</v>
      </c>
      <c r="R554">
        <v>8</v>
      </c>
      <c r="S554">
        <v>23</v>
      </c>
      <c r="T554">
        <v>3</v>
      </c>
      <c r="U554">
        <v>4</v>
      </c>
      <c r="V554">
        <v>4</v>
      </c>
      <c r="W554">
        <v>6</v>
      </c>
      <c r="X554">
        <v>1</v>
      </c>
      <c r="Y554">
        <v>9</v>
      </c>
      <c r="Z554">
        <v>3</v>
      </c>
      <c r="AA554">
        <f t="shared" si="17"/>
        <v>68</v>
      </c>
      <c r="AB554" t="s">
        <v>45</v>
      </c>
      <c r="AC554">
        <v>10.14</v>
      </c>
      <c r="AD554">
        <v>32.56</v>
      </c>
      <c r="AE554">
        <v>39.229999999999997</v>
      </c>
      <c r="AF554">
        <v>27.5</v>
      </c>
      <c r="AG554">
        <v>55.05</v>
      </c>
      <c r="AH554">
        <v>16.18</v>
      </c>
      <c r="AI554">
        <v>51.94</v>
      </c>
      <c r="AJ554">
        <v>72.239999999999995</v>
      </c>
      <c r="AK554">
        <v>12.44</v>
      </c>
      <c r="AL554">
        <v>39.880000000000003</v>
      </c>
      <c r="AM554">
        <v>120.34</v>
      </c>
      <c r="AN554">
        <v>21.93</v>
      </c>
      <c r="AO554">
        <v>499.43</v>
      </c>
    </row>
    <row r="555" spans="1:41" x14ac:dyDescent="0.25">
      <c r="A555" t="s">
        <v>972</v>
      </c>
      <c r="B555">
        <v>0</v>
      </c>
      <c r="C555">
        <v>1997</v>
      </c>
      <c r="D555">
        <v>10018</v>
      </c>
      <c r="E555">
        <v>3290</v>
      </c>
      <c r="F555">
        <v>4399</v>
      </c>
      <c r="G555">
        <v>5921</v>
      </c>
      <c r="H555">
        <v>1624</v>
      </c>
      <c r="I555">
        <v>0</v>
      </c>
      <c r="J555">
        <v>5054</v>
      </c>
      <c r="K555">
        <v>4936</v>
      </c>
      <c r="L555">
        <v>0</v>
      </c>
      <c r="M555">
        <v>1191</v>
      </c>
      <c r="N555">
        <f t="shared" si="16"/>
        <v>38430</v>
      </c>
      <c r="O555">
        <v>1</v>
      </c>
      <c r="P555">
        <v>4</v>
      </c>
      <c r="Q555">
        <v>3</v>
      </c>
      <c r="R555">
        <v>0</v>
      </c>
      <c r="S555">
        <v>0</v>
      </c>
      <c r="T555">
        <v>7</v>
      </c>
      <c r="U555">
        <v>1</v>
      </c>
      <c r="V555">
        <v>4</v>
      </c>
      <c r="W555">
        <v>1</v>
      </c>
      <c r="X555">
        <v>4</v>
      </c>
      <c r="Y555">
        <v>2</v>
      </c>
      <c r="Z555">
        <v>0</v>
      </c>
      <c r="AA555">
        <f t="shared" si="17"/>
        <v>27</v>
      </c>
      <c r="AB555" t="s">
        <v>45</v>
      </c>
      <c r="AC555">
        <v>10.039999999999999</v>
      </c>
      <c r="AD555">
        <v>30.16</v>
      </c>
      <c r="AE555">
        <v>110.32</v>
      </c>
      <c r="AF555">
        <v>42.89</v>
      </c>
      <c r="AG555">
        <v>53.98</v>
      </c>
      <c r="AH555">
        <v>69.55</v>
      </c>
      <c r="AI555">
        <v>26.28</v>
      </c>
      <c r="AJ555">
        <v>10.19</v>
      </c>
      <c r="AK555">
        <v>60.58</v>
      </c>
      <c r="AL555">
        <v>59.55</v>
      </c>
      <c r="AM555">
        <v>10.09</v>
      </c>
      <c r="AN555">
        <v>21.9</v>
      </c>
      <c r="AO555">
        <v>505.52999999999986</v>
      </c>
    </row>
    <row r="556" spans="1:41" x14ac:dyDescent="0.25">
      <c r="A556" t="s">
        <v>973</v>
      </c>
      <c r="B556">
        <v>0</v>
      </c>
      <c r="C556">
        <v>9886</v>
      </c>
      <c r="D556">
        <v>2153</v>
      </c>
      <c r="E556">
        <v>483</v>
      </c>
      <c r="F556">
        <v>10017</v>
      </c>
      <c r="G556">
        <v>244</v>
      </c>
      <c r="H556">
        <v>5296</v>
      </c>
      <c r="I556">
        <v>3385</v>
      </c>
      <c r="J556">
        <v>471</v>
      </c>
      <c r="K556">
        <v>1133</v>
      </c>
      <c r="L556">
        <v>981</v>
      </c>
      <c r="M556">
        <v>3627</v>
      </c>
      <c r="N556">
        <f t="shared" si="16"/>
        <v>37676</v>
      </c>
      <c r="O556">
        <v>1</v>
      </c>
      <c r="P556">
        <v>4</v>
      </c>
      <c r="Q556">
        <v>3</v>
      </c>
      <c r="R556">
        <v>13</v>
      </c>
      <c r="S556">
        <v>4</v>
      </c>
      <c r="T556">
        <v>4</v>
      </c>
      <c r="U556">
        <v>4</v>
      </c>
      <c r="V556">
        <v>1</v>
      </c>
      <c r="W556">
        <v>2</v>
      </c>
      <c r="X556">
        <v>3</v>
      </c>
      <c r="Y556">
        <v>4</v>
      </c>
      <c r="Z556">
        <v>3</v>
      </c>
      <c r="AA556">
        <f t="shared" si="17"/>
        <v>46</v>
      </c>
      <c r="AB556" t="s">
        <v>45</v>
      </c>
      <c r="AC556">
        <v>10.039999999999999</v>
      </c>
      <c r="AD556">
        <v>109.05</v>
      </c>
      <c r="AE556">
        <v>31.67</v>
      </c>
      <c r="AF556">
        <v>15.47</v>
      </c>
      <c r="AG556">
        <v>110.36</v>
      </c>
      <c r="AH556">
        <v>12.63</v>
      </c>
      <c r="AI556">
        <v>63.15</v>
      </c>
      <c r="AJ556">
        <v>43.89</v>
      </c>
      <c r="AK556">
        <v>14.8</v>
      </c>
      <c r="AL556">
        <v>21.47</v>
      </c>
      <c r="AM556">
        <v>20</v>
      </c>
      <c r="AN556">
        <v>46.41</v>
      </c>
      <c r="AO556">
        <v>498.93999999999994</v>
      </c>
    </row>
    <row r="557" spans="1:41" x14ac:dyDescent="0.25">
      <c r="A557" t="s">
        <v>974</v>
      </c>
      <c r="B557">
        <v>0</v>
      </c>
      <c r="C557">
        <v>8228</v>
      </c>
      <c r="D557">
        <v>9588</v>
      </c>
      <c r="E557">
        <v>3416</v>
      </c>
      <c r="F557">
        <v>206</v>
      </c>
      <c r="G557">
        <v>5209</v>
      </c>
      <c r="H557">
        <v>2062</v>
      </c>
      <c r="I557">
        <v>5667</v>
      </c>
      <c r="J557">
        <v>5748</v>
      </c>
      <c r="K557">
        <v>979</v>
      </c>
      <c r="L557">
        <v>2899</v>
      </c>
      <c r="M557">
        <v>1451</v>
      </c>
      <c r="N557">
        <f t="shared" si="16"/>
        <v>45453</v>
      </c>
      <c r="O557">
        <v>4</v>
      </c>
      <c r="P557">
        <v>1</v>
      </c>
      <c r="Q557">
        <v>0</v>
      </c>
      <c r="R557">
        <v>3</v>
      </c>
      <c r="S557">
        <v>3</v>
      </c>
      <c r="T557">
        <v>0</v>
      </c>
      <c r="U557">
        <v>1</v>
      </c>
      <c r="V557">
        <v>2</v>
      </c>
      <c r="W557">
        <v>5</v>
      </c>
      <c r="X557">
        <v>4</v>
      </c>
      <c r="Y557">
        <v>2</v>
      </c>
      <c r="Z557">
        <v>3</v>
      </c>
      <c r="AA557">
        <f t="shared" si="17"/>
        <v>28</v>
      </c>
      <c r="AB557" t="s">
        <v>45</v>
      </c>
      <c r="AC557">
        <v>10.19</v>
      </c>
      <c r="AD557">
        <v>92.32</v>
      </c>
      <c r="AE557">
        <v>105.87</v>
      </c>
      <c r="AF557">
        <v>44.3</v>
      </c>
      <c r="AG557">
        <v>12.2</v>
      </c>
      <c r="AH557">
        <v>62.08</v>
      </c>
      <c r="AI557">
        <v>30.66</v>
      </c>
      <c r="AJ557">
        <v>66.760000000000005</v>
      </c>
      <c r="AK557">
        <v>67.72</v>
      </c>
      <c r="AL557">
        <v>19.98</v>
      </c>
      <c r="AM557">
        <v>39.08</v>
      </c>
      <c r="AN557">
        <v>24.65</v>
      </c>
      <c r="AO557">
        <v>575.81000000000006</v>
      </c>
    </row>
    <row r="558" spans="1:41" x14ac:dyDescent="0.25">
      <c r="A558" t="s">
        <v>975</v>
      </c>
      <c r="B558">
        <v>0</v>
      </c>
      <c r="C558">
        <v>1238</v>
      </c>
      <c r="D558">
        <v>3999</v>
      </c>
      <c r="E558">
        <v>12474</v>
      </c>
      <c r="F558">
        <v>1251</v>
      </c>
      <c r="G558">
        <v>1978</v>
      </c>
      <c r="H558">
        <v>7071</v>
      </c>
      <c r="I558">
        <v>628</v>
      </c>
      <c r="J558">
        <v>0</v>
      </c>
      <c r="K558">
        <v>1425</v>
      </c>
      <c r="L558">
        <v>8400</v>
      </c>
      <c r="M558">
        <v>0</v>
      </c>
      <c r="N558">
        <f t="shared" si="16"/>
        <v>38464</v>
      </c>
      <c r="O558">
        <v>3</v>
      </c>
      <c r="P558">
        <v>1</v>
      </c>
      <c r="Q558">
        <v>4</v>
      </c>
      <c r="R558">
        <v>4</v>
      </c>
      <c r="S558">
        <v>1</v>
      </c>
      <c r="T558">
        <v>1</v>
      </c>
      <c r="U558">
        <v>6</v>
      </c>
      <c r="V558">
        <v>3</v>
      </c>
      <c r="W558">
        <v>2</v>
      </c>
      <c r="X558">
        <v>4</v>
      </c>
      <c r="Y558">
        <v>7</v>
      </c>
      <c r="Z558">
        <v>0</v>
      </c>
      <c r="AA558">
        <f t="shared" si="17"/>
        <v>36</v>
      </c>
      <c r="AB558" t="s">
        <v>45</v>
      </c>
      <c r="AC558">
        <v>10.14</v>
      </c>
      <c r="AD558">
        <v>22.42</v>
      </c>
      <c r="AE558">
        <v>50.18</v>
      </c>
      <c r="AF558">
        <v>134.93</v>
      </c>
      <c r="AG558">
        <v>22.55</v>
      </c>
      <c r="AH558">
        <v>29.82</v>
      </c>
      <c r="AI558">
        <v>81</v>
      </c>
      <c r="AJ558">
        <v>16.420000000000002</v>
      </c>
      <c r="AK558">
        <v>10.09</v>
      </c>
      <c r="AL558">
        <v>24.44</v>
      </c>
      <c r="AM558">
        <v>94.34</v>
      </c>
      <c r="AN558">
        <v>9.99</v>
      </c>
      <c r="AO558">
        <v>506.32000000000005</v>
      </c>
    </row>
    <row r="559" spans="1:41" x14ac:dyDescent="0.25">
      <c r="A559" t="s">
        <v>976</v>
      </c>
      <c r="B559">
        <v>0</v>
      </c>
      <c r="C559">
        <v>4122</v>
      </c>
      <c r="D559">
        <v>4788</v>
      </c>
      <c r="E559">
        <v>1835</v>
      </c>
      <c r="F559">
        <v>2521</v>
      </c>
      <c r="G559">
        <v>12216</v>
      </c>
      <c r="H559">
        <v>430</v>
      </c>
      <c r="I559">
        <v>1356</v>
      </c>
      <c r="J559">
        <v>1213</v>
      </c>
      <c r="K559">
        <v>3207</v>
      </c>
      <c r="L559">
        <v>10269</v>
      </c>
      <c r="M559">
        <v>4236</v>
      </c>
      <c r="N559">
        <f t="shared" si="16"/>
        <v>46193</v>
      </c>
      <c r="O559">
        <v>1</v>
      </c>
      <c r="P559">
        <v>0</v>
      </c>
      <c r="Q559">
        <v>1</v>
      </c>
      <c r="R559">
        <v>2</v>
      </c>
      <c r="S559">
        <v>10</v>
      </c>
      <c r="T559">
        <v>8</v>
      </c>
      <c r="U559">
        <v>6</v>
      </c>
      <c r="V559">
        <v>7</v>
      </c>
      <c r="W559">
        <v>7</v>
      </c>
      <c r="X559">
        <v>2</v>
      </c>
      <c r="Y559">
        <v>10</v>
      </c>
      <c r="Z559">
        <v>4</v>
      </c>
      <c r="AA559">
        <f t="shared" si="17"/>
        <v>58</v>
      </c>
      <c r="AB559" t="s">
        <v>45</v>
      </c>
      <c r="AC559">
        <v>10.039999999999999</v>
      </c>
      <c r="AD559">
        <v>51.21</v>
      </c>
      <c r="AE559">
        <v>57.92</v>
      </c>
      <c r="AF559">
        <v>28.44</v>
      </c>
      <c r="AG559">
        <v>35.700000000000003</v>
      </c>
      <c r="AH559">
        <v>132.55000000000001</v>
      </c>
      <c r="AI559">
        <v>14.59</v>
      </c>
      <c r="AJ559">
        <v>23.9</v>
      </c>
      <c r="AK559">
        <v>22.47</v>
      </c>
      <c r="AL559">
        <v>42.16</v>
      </c>
      <c r="AM559">
        <v>113.18</v>
      </c>
      <c r="AN559">
        <v>52.55</v>
      </c>
      <c r="AO559">
        <v>584.70999999999981</v>
      </c>
    </row>
    <row r="560" spans="1:41" x14ac:dyDescent="0.25">
      <c r="A560" t="s">
        <v>977</v>
      </c>
      <c r="B560">
        <v>0</v>
      </c>
      <c r="C560">
        <v>7799</v>
      </c>
      <c r="D560">
        <v>1418</v>
      </c>
      <c r="E560">
        <v>785</v>
      </c>
      <c r="F560">
        <v>6559</v>
      </c>
      <c r="G560">
        <v>955</v>
      </c>
      <c r="H560">
        <v>4778</v>
      </c>
      <c r="I560">
        <v>7085</v>
      </c>
      <c r="J560">
        <v>6222</v>
      </c>
      <c r="K560">
        <v>6347</v>
      </c>
      <c r="L560">
        <v>0</v>
      </c>
      <c r="M560">
        <v>789</v>
      </c>
      <c r="N560">
        <f t="shared" si="16"/>
        <v>42737</v>
      </c>
      <c r="O560">
        <v>3</v>
      </c>
      <c r="P560">
        <v>8</v>
      </c>
      <c r="Q560">
        <v>2</v>
      </c>
      <c r="R560">
        <v>2</v>
      </c>
      <c r="S560">
        <v>8</v>
      </c>
      <c r="T560">
        <v>7</v>
      </c>
      <c r="U560">
        <v>5</v>
      </c>
      <c r="V560">
        <v>2</v>
      </c>
      <c r="W560">
        <v>4</v>
      </c>
      <c r="X560">
        <v>8</v>
      </c>
      <c r="Y560">
        <v>0</v>
      </c>
      <c r="Z560">
        <v>2</v>
      </c>
      <c r="AA560">
        <f t="shared" si="17"/>
        <v>51</v>
      </c>
      <c r="AB560" t="s">
        <v>45</v>
      </c>
      <c r="AC560">
        <v>10.14</v>
      </c>
      <c r="AD560">
        <v>88.38</v>
      </c>
      <c r="AE560">
        <v>24.27</v>
      </c>
      <c r="AF560">
        <v>17.940000000000001</v>
      </c>
      <c r="AG560">
        <v>75.98</v>
      </c>
      <c r="AH560">
        <v>19.89</v>
      </c>
      <c r="AI560">
        <v>58.02</v>
      </c>
      <c r="AJ560">
        <v>80.94</v>
      </c>
      <c r="AK560">
        <v>72.41</v>
      </c>
      <c r="AL560">
        <v>73.86</v>
      </c>
      <c r="AM560">
        <v>9.99</v>
      </c>
      <c r="AN560">
        <v>17.98</v>
      </c>
      <c r="AO560">
        <v>549.79999999999995</v>
      </c>
    </row>
    <row r="561" spans="1:41" x14ac:dyDescent="0.25">
      <c r="A561" t="s">
        <v>978</v>
      </c>
      <c r="B561">
        <v>0</v>
      </c>
      <c r="C561">
        <v>1006</v>
      </c>
      <c r="D561">
        <v>5527</v>
      </c>
      <c r="E561">
        <v>7160</v>
      </c>
      <c r="F561">
        <v>2512</v>
      </c>
      <c r="G561">
        <v>1745</v>
      </c>
      <c r="H561">
        <v>6018</v>
      </c>
      <c r="I561">
        <v>4728</v>
      </c>
      <c r="J561">
        <v>3205</v>
      </c>
      <c r="K561">
        <v>1791</v>
      </c>
      <c r="L561">
        <v>1530</v>
      </c>
      <c r="M561">
        <v>1882</v>
      </c>
      <c r="N561">
        <f t="shared" si="16"/>
        <v>37104</v>
      </c>
      <c r="O561">
        <v>6</v>
      </c>
      <c r="P561">
        <v>17</v>
      </c>
      <c r="Q561">
        <v>1</v>
      </c>
      <c r="R561">
        <v>5</v>
      </c>
      <c r="S561">
        <v>5</v>
      </c>
      <c r="T561">
        <v>12</v>
      </c>
      <c r="U561">
        <v>3</v>
      </c>
      <c r="V561">
        <v>4</v>
      </c>
      <c r="W561">
        <v>5</v>
      </c>
      <c r="X561">
        <v>0</v>
      </c>
      <c r="Y561">
        <v>2</v>
      </c>
      <c r="Z561">
        <v>2</v>
      </c>
      <c r="AA561">
        <f t="shared" si="17"/>
        <v>62</v>
      </c>
      <c r="AB561" t="s">
        <v>45</v>
      </c>
      <c r="AC561">
        <v>10.29</v>
      </c>
      <c r="AD561">
        <v>20.9</v>
      </c>
      <c r="AE561">
        <v>65.31</v>
      </c>
      <c r="AF561">
        <v>81.84</v>
      </c>
      <c r="AG561">
        <v>35.36</v>
      </c>
      <c r="AH561">
        <v>28.04</v>
      </c>
      <c r="AI561">
        <v>70.319999999999993</v>
      </c>
      <c r="AJ561">
        <v>57.47</v>
      </c>
      <c r="AK561">
        <v>42.29</v>
      </c>
      <c r="AL561">
        <v>27.9</v>
      </c>
      <c r="AM561">
        <v>25.39</v>
      </c>
      <c r="AN561">
        <v>28.91</v>
      </c>
      <c r="AO561">
        <v>494.02</v>
      </c>
    </row>
    <row r="562" spans="1:41" x14ac:dyDescent="0.25">
      <c r="A562" t="s">
        <v>980</v>
      </c>
      <c r="B562">
        <v>0</v>
      </c>
      <c r="C562">
        <v>6309</v>
      </c>
      <c r="D562">
        <v>3137</v>
      </c>
      <c r="E562">
        <v>4297</v>
      </c>
      <c r="F562">
        <v>6058</v>
      </c>
      <c r="G562">
        <v>7954</v>
      </c>
      <c r="H562">
        <v>1369</v>
      </c>
      <c r="I562">
        <v>6143</v>
      </c>
      <c r="J562">
        <v>1743</v>
      </c>
      <c r="K562">
        <v>3247</v>
      </c>
      <c r="L562">
        <v>0</v>
      </c>
      <c r="M562">
        <v>0</v>
      </c>
      <c r="N562">
        <f t="shared" si="16"/>
        <v>40257</v>
      </c>
      <c r="O562">
        <v>5</v>
      </c>
      <c r="P562">
        <v>6</v>
      </c>
      <c r="Q562">
        <v>3</v>
      </c>
      <c r="R562">
        <v>5</v>
      </c>
      <c r="S562">
        <v>2</v>
      </c>
      <c r="T562">
        <v>8</v>
      </c>
      <c r="U562">
        <v>1</v>
      </c>
      <c r="V562">
        <v>6</v>
      </c>
      <c r="W562">
        <v>1</v>
      </c>
      <c r="X562">
        <v>4</v>
      </c>
      <c r="Y562">
        <v>7</v>
      </c>
      <c r="Z562">
        <v>3</v>
      </c>
      <c r="AA562">
        <f t="shared" si="17"/>
        <v>51</v>
      </c>
      <c r="AB562" t="s">
        <v>45</v>
      </c>
      <c r="AC562">
        <v>10.24</v>
      </c>
      <c r="AD562">
        <v>73.38</v>
      </c>
      <c r="AE562">
        <v>41.51</v>
      </c>
      <c r="AF562">
        <v>53.21</v>
      </c>
      <c r="AG562">
        <v>70.67</v>
      </c>
      <c r="AH562">
        <v>89.93</v>
      </c>
      <c r="AI562">
        <v>23.73</v>
      </c>
      <c r="AJ562">
        <v>71.72</v>
      </c>
      <c r="AK562">
        <v>27.47</v>
      </c>
      <c r="AL562">
        <v>42.66</v>
      </c>
      <c r="AM562">
        <v>10.34</v>
      </c>
      <c r="AN562">
        <v>10.14</v>
      </c>
      <c r="AO562">
        <v>525</v>
      </c>
    </row>
    <row r="563" spans="1:41" x14ac:dyDescent="0.25">
      <c r="A563" t="s">
        <v>981</v>
      </c>
      <c r="B563">
        <v>0</v>
      </c>
      <c r="C563">
        <v>0</v>
      </c>
      <c r="D563">
        <v>4021</v>
      </c>
      <c r="E563">
        <v>5617</v>
      </c>
      <c r="F563">
        <v>6963</v>
      </c>
      <c r="G563">
        <v>4093</v>
      </c>
      <c r="H563">
        <v>7115</v>
      </c>
      <c r="I563">
        <v>4611</v>
      </c>
      <c r="J563">
        <v>697</v>
      </c>
      <c r="K563">
        <v>5358</v>
      </c>
      <c r="L563">
        <v>1657</v>
      </c>
      <c r="M563">
        <v>501</v>
      </c>
      <c r="N563">
        <f t="shared" si="16"/>
        <v>40633</v>
      </c>
      <c r="O563">
        <v>3</v>
      </c>
      <c r="P563">
        <v>7</v>
      </c>
      <c r="Q563">
        <v>0</v>
      </c>
      <c r="R563">
        <v>4</v>
      </c>
      <c r="S563">
        <v>3</v>
      </c>
      <c r="T563">
        <v>2</v>
      </c>
      <c r="U563">
        <v>0</v>
      </c>
      <c r="V563">
        <v>3</v>
      </c>
      <c r="W563">
        <v>2</v>
      </c>
      <c r="X563">
        <v>11</v>
      </c>
      <c r="Y563">
        <v>8</v>
      </c>
      <c r="Z563">
        <v>17</v>
      </c>
      <c r="AA563">
        <f t="shared" si="17"/>
        <v>60</v>
      </c>
      <c r="AB563" t="s">
        <v>45</v>
      </c>
      <c r="AC563">
        <v>10.14</v>
      </c>
      <c r="AD563">
        <v>10.34</v>
      </c>
      <c r="AE563">
        <v>50.2</v>
      </c>
      <c r="AF563">
        <v>66.36</v>
      </c>
      <c r="AG563">
        <v>79.77</v>
      </c>
      <c r="AH563">
        <v>51.02</v>
      </c>
      <c r="AI563">
        <v>81.14</v>
      </c>
      <c r="AJ563">
        <v>56.25</v>
      </c>
      <c r="AK563">
        <v>17.059999999999999</v>
      </c>
      <c r="AL563">
        <v>64.12</v>
      </c>
      <c r="AM563">
        <v>26.96</v>
      </c>
      <c r="AN563">
        <v>15.85</v>
      </c>
      <c r="AO563">
        <v>529.21</v>
      </c>
    </row>
    <row r="564" spans="1:41" x14ac:dyDescent="0.25">
      <c r="A564" t="s">
        <v>982</v>
      </c>
      <c r="B564">
        <v>0</v>
      </c>
      <c r="C564">
        <v>7849</v>
      </c>
      <c r="D564">
        <v>2741</v>
      </c>
      <c r="E564">
        <v>0</v>
      </c>
      <c r="F564">
        <v>1447</v>
      </c>
      <c r="G564">
        <v>19715</v>
      </c>
      <c r="H564">
        <v>2128</v>
      </c>
      <c r="I564">
        <v>2032</v>
      </c>
      <c r="J564">
        <v>803</v>
      </c>
      <c r="K564">
        <v>3788</v>
      </c>
      <c r="L564">
        <v>991</v>
      </c>
      <c r="M564">
        <v>5517</v>
      </c>
      <c r="N564">
        <f t="shared" si="16"/>
        <v>47011</v>
      </c>
      <c r="O564">
        <v>0</v>
      </c>
      <c r="P564">
        <v>6</v>
      </c>
      <c r="Q564">
        <v>13</v>
      </c>
      <c r="R564">
        <v>2</v>
      </c>
      <c r="S564">
        <v>4</v>
      </c>
      <c r="T564">
        <v>2</v>
      </c>
      <c r="U564">
        <v>0</v>
      </c>
      <c r="V564">
        <v>2</v>
      </c>
      <c r="W564">
        <v>4</v>
      </c>
      <c r="X564">
        <v>19</v>
      </c>
      <c r="Y564">
        <v>11</v>
      </c>
      <c r="Z564">
        <v>9</v>
      </c>
      <c r="AA564">
        <f t="shared" si="17"/>
        <v>72</v>
      </c>
      <c r="AB564" t="s">
        <v>45</v>
      </c>
      <c r="AC564">
        <v>9.99</v>
      </c>
      <c r="AD564">
        <v>88.78</v>
      </c>
      <c r="AE564">
        <v>38.049999999999997</v>
      </c>
      <c r="AF564">
        <v>10.09</v>
      </c>
      <c r="AG564">
        <v>24.66</v>
      </c>
      <c r="AH564">
        <v>207.24</v>
      </c>
      <c r="AI564">
        <v>31.27</v>
      </c>
      <c r="AJ564">
        <v>30.41</v>
      </c>
      <c r="AK564">
        <v>18.22</v>
      </c>
      <c r="AL564">
        <v>48.82</v>
      </c>
      <c r="AM564">
        <v>20.45</v>
      </c>
      <c r="AN564">
        <v>65.61</v>
      </c>
      <c r="AO564">
        <v>593.59</v>
      </c>
    </row>
    <row r="565" spans="1:41" x14ac:dyDescent="0.25">
      <c r="A565" t="s">
        <v>983</v>
      </c>
      <c r="B565">
        <v>0</v>
      </c>
      <c r="C565">
        <v>1426</v>
      </c>
      <c r="D565">
        <v>13636</v>
      </c>
      <c r="E565">
        <v>6065</v>
      </c>
      <c r="F565">
        <v>6186</v>
      </c>
      <c r="G565">
        <v>6560</v>
      </c>
      <c r="H565">
        <v>3721</v>
      </c>
      <c r="I565">
        <v>4022</v>
      </c>
      <c r="J565">
        <v>1466</v>
      </c>
      <c r="K565">
        <v>23224</v>
      </c>
      <c r="L565">
        <v>801</v>
      </c>
      <c r="M565">
        <v>3822</v>
      </c>
      <c r="N565">
        <f t="shared" si="16"/>
        <v>70929</v>
      </c>
      <c r="O565">
        <v>3</v>
      </c>
      <c r="P565">
        <v>3</v>
      </c>
      <c r="Q565">
        <v>3</v>
      </c>
      <c r="R565">
        <v>0</v>
      </c>
      <c r="S565">
        <v>4</v>
      </c>
      <c r="T565">
        <v>5</v>
      </c>
      <c r="U565">
        <v>2</v>
      </c>
      <c r="V565">
        <v>2</v>
      </c>
      <c r="W565">
        <v>1</v>
      </c>
      <c r="X565">
        <v>5</v>
      </c>
      <c r="Y565">
        <v>11</v>
      </c>
      <c r="Z565">
        <v>2</v>
      </c>
      <c r="AA565">
        <f t="shared" si="17"/>
        <v>41</v>
      </c>
      <c r="AB565" t="s">
        <v>45</v>
      </c>
      <c r="AC565">
        <v>10.14</v>
      </c>
      <c r="AD565">
        <v>24.4</v>
      </c>
      <c r="AE565">
        <v>146.5</v>
      </c>
      <c r="AF565">
        <v>70.64</v>
      </c>
      <c r="AG565">
        <v>72.05</v>
      </c>
      <c r="AH565">
        <v>75.84</v>
      </c>
      <c r="AI565">
        <v>47.3</v>
      </c>
      <c r="AJ565">
        <v>50.31</v>
      </c>
      <c r="AK565">
        <v>24.7</v>
      </c>
      <c r="AL565">
        <v>242.48</v>
      </c>
      <c r="AM565">
        <v>18.55</v>
      </c>
      <c r="AN565">
        <v>48.31</v>
      </c>
      <c r="AO565">
        <v>831.22</v>
      </c>
    </row>
    <row r="566" spans="1:41" x14ac:dyDescent="0.25">
      <c r="A566" t="s">
        <v>984</v>
      </c>
      <c r="B566">
        <v>0</v>
      </c>
      <c r="C566">
        <v>10688</v>
      </c>
      <c r="D566">
        <v>1838</v>
      </c>
      <c r="E566">
        <v>2046</v>
      </c>
      <c r="F566">
        <v>8767</v>
      </c>
      <c r="G566">
        <v>2884</v>
      </c>
      <c r="H566">
        <v>2720</v>
      </c>
      <c r="I566">
        <v>1550</v>
      </c>
      <c r="J566">
        <v>2435</v>
      </c>
      <c r="K566">
        <v>8036</v>
      </c>
      <c r="L566">
        <v>2636</v>
      </c>
      <c r="M566">
        <v>334</v>
      </c>
      <c r="N566">
        <f t="shared" si="16"/>
        <v>43934</v>
      </c>
      <c r="O566">
        <v>7</v>
      </c>
      <c r="P566">
        <v>9</v>
      </c>
      <c r="Q566">
        <v>2</v>
      </c>
      <c r="R566">
        <v>5</v>
      </c>
      <c r="S566">
        <v>1</v>
      </c>
      <c r="T566">
        <v>0</v>
      </c>
      <c r="U566">
        <v>29</v>
      </c>
      <c r="V566">
        <v>1</v>
      </c>
      <c r="W566">
        <v>7</v>
      </c>
      <c r="X566">
        <v>6</v>
      </c>
      <c r="Y566">
        <v>9</v>
      </c>
      <c r="Z566">
        <v>24</v>
      </c>
      <c r="AA566">
        <f t="shared" si="17"/>
        <v>100</v>
      </c>
      <c r="AB566" t="s">
        <v>45</v>
      </c>
      <c r="AC566">
        <v>10.34</v>
      </c>
      <c r="AD566">
        <v>117.32</v>
      </c>
      <c r="AE566">
        <v>28.47</v>
      </c>
      <c r="AF566">
        <v>30.7</v>
      </c>
      <c r="AG566">
        <v>97.71</v>
      </c>
      <c r="AH566">
        <v>38.83</v>
      </c>
      <c r="AI566">
        <v>38.64</v>
      </c>
      <c r="AJ566">
        <v>25.54</v>
      </c>
      <c r="AK566">
        <v>34.69</v>
      </c>
      <c r="AL566">
        <v>90.65</v>
      </c>
      <c r="AM566">
        <v>36.799999999999997</v>
      </c>
      <c r="AN566">
        <v>14.53</v>
      </c>
      <c r="AO566">
        <v>564.21999999999991</v>
      </c>
    </row>
    <row r="567" spans="1:41" x14ac:dyDescent="0.25">
      <c r="A567" t="s">
        <v>985</v>
      </c>
      <c r="B567">
        <v>0</v>
      </c>
      <c r="C567">
        <v>1788</v>
      </c>
      <c r="D567">
        <v>9597</v>
      </c>
      <c r="E567">
        <v>3755</v>
      </c>
      <c r="F567">
        <v>8070</v>
      </c>
      <c r="G567">
        <v>1506</v>
      </c>
      <c r="H567">
        <v>10687</v>
      </c>
      <c r="I567">
        <v>3007</v>
      </c>
      <c r="J567">
        <v>728</v>
      </c>
      <c r="K567">
        <v>206</v>
      </c>
      <c r="L567">
        <v>17840</v>
      </c>
      <c r="M567">
        <v>2232</v>
      </c>
      <c r="N567">
        <f t="shared" si="16"/>
        <v>59416</v>
      </c>
      <c r="O567">
        <v>1</v>
      </c>
      <c r="P567">
        <v>1</v>
      </c>
      <c r="Q567">
        <v>5</v>
      </c>
      <c r="R567">
        <v>3</v>
      </c>
      <c r="S567">
        <v>3</v>
      </c>
      <c r="T567">
        <v>3</v>
      </c>
      <c r="U567">
        <v>13</v>
      </c>
      <c r="V567">
        <v>9</v>
      </c>
      <c r="W567">
        <v>8</v>
      </c>
      <c r="X567">
        <v>7</v>
      </c>
      <c r="Y567">
        <v>12</v>
      </c>
      <c r="Z567">
        <v>1</v>
      </c>
      <c r="AA567">
        <f t="shared" si="17"/>
        <v>66</v>
      </c>
      <c r="AB567" t="s">
        <v>45</v>
      </c>
      <c r="AC567">
        <v>10.039999999999999</v>
      </c>
      <c r="AD567">
        <v>27.92</v>
      </c>
      <c r="AE567">
        <v>106.21</v>
      </c>
      <c r="AF567">
        <v>47.69</v>
      </c>
      <c r="AG567">
        <v>90.84</v>
      </c>
      <c r="AH567">
        <v>25.2</v>
      </c>
      <c r="AI567">
        <v>117.51</v>
      </c>
      <c r="AJ567">
        <v>40.51</v>
      </c>
      <c r="AK567">
        <v>17.670000000000002</v>
      </c>
      <c r="AL567">
        <v>12.4</v>
      </c>
      <c r="AM567">
        <v>188.99</v>
      </c>
      <c r="AN567">
        <v>32.36</v>
      </c>
      <c r="AO567">
        <v>717.34</v>
      </c>
    </row>
    <row r="568" spans="1:41" x14ac:dyDescent="0.25">
      <c r="A568" t="s">
        <v>986</v>
      </c>
      <c r="B568">
        <v>0</v>
      </c>
      <c r="C568">
        <v>4541</v>
      </c>
      <c r="D568">
        <v>9802</v>
      </c>
      <c r="E568">
        <v>5373</v>
      </c>
      <c r="F568">
        <v>6714</v>
      </c>
      <c r="G568">
        <v>3516</v>
      </c>
      <c r="H568">
        <v>1678</v>
      </c>
      <c r="I568">
        <v>3833</v>
      </c>
      <c r="J568">
        <v>4985</v>
      </c>
      <c r="K568">
        <v>4811</v>
      </c>
      <c r="L568">
        <v>10465</v>
      </c>
      <c r="M568">
        <v>673</v>
      </c>
      <c r="N568">
        <f t="shared" si="16"/>
        <v>56391</v>
      </c>
      <c r="O568">
        <v>1</v>
      </c>
      <c r="P568">
        <v>1</v>
      </c>
      <c r="Q568">
        <v>2</v>
      </c>
      <c r="R568">
        <v>4</v>
      </c>
      <c r="S568">
        <v>11</v>
      </c>
      <c r="T568">
        <v>3</v>
      </c>
      <c r="U568">
        <v>7</v>
      </c>
      <c r="V568">
        <v>0</v>
      </c>
      <c r="W568">
        <v>1</v>
      </c>
      <c r="X568">
        <v>2</v>
      </c>
      <c r="Y568">
        <v>2</v>
      </c>
      <c r="Z568">
        <v>9</v>
      </c>
      <c r="AA568">
        <f t="shared" si="17"/>
        <v>43</v>
      </c>
      <c r="AB568" t="s">
        <v>45</v>
      </c>
      <c r="AC568">
        <v>10.039999999999999</v>
      </c>
      <c r="AD568">
        <v>55.45</v>
      </c>
      <c r="AE568">
        <v>108.11</v>
      </c>
      <c r="AF568">
        <v>63.92</v>
      </c>
      <c r="AG568">
        <v>77.680000000000007</v>
      </c>
      <c r="AH568">
        <v>45.3</v>
      </c>
      <c r="AI568">
        <v>27.12</v>
      </c>
      <c r="AJ568">
        <v>48.32</v>
      </c>
      <c r="AK568">
        <v>59.89</v>
      </c>
      <c r="AL568">
        <v>58.2</v>
      </c>
      <c r="AM568">
        <v>114.74</v>
      </c>
      <c r="AN568">
        <v>17.170000000000002</v>
      </c>
      <c r="AO568">
        <v>685.94</v>
      </c>
    </row>
    <row r="569" spans="1:41" x14ac:dyDescent="0.25">
      <c r="A569" t="s">
        <v>987</v>
      </c>
      <c r="B569">
        <v>0</v>
      </c>
      <c r="C569">
        <v>1784</v>
      </c>
      <c r="D569">
        <v>170</v>
      </c>
      <c r="E569">
        <v>5036</v>
      </c>
      <c r="F569">
        <v>759</v>
      </c>
      <c r="G569">
        <v>2967</v>
      </c>
      <c r="H569">
        <v>5644</v>
      </c>
      <c r="I569">
        <v>10805</v>
      </c>
      <c r="J569">
        <v>3610</v>
      </c>
      <c r="K569">
        <v>784</v>
      </c>
      <c r="L569">
        <v>318</v>
      </c>
      <c r="M569">
        <v>4977</v>
      </c>
      <c r="N569">
        <f t="shared" si="16"/>
        <v>36854</v>
      </c>
      <c r="O569">
        <v>4</v>
      </c>
      <c r="P569">
        <v>5</v>
      </c>
      <c r="Q569">
        <v>2</v>
      </c>
      <c r="R569">
        <v>2</v>
      </c>
      <c r="S569">
        <v>10</v>
      </c>
      <c r="T569">
        <v>2</v>
      </c>
      <c r="U569">
        <v>10</v>
      </c>
      <c r="V569">
        <v>8</v>
      </c>
      <c r="W569">
        <v>8</v>
      </c>
      <c r="X569">
        <v>3</v>
      </c>
      <c r="Y569">
        <v>7</v>
      </c>
      <c r="Z569">
        <v>7</v>
      </c>
      <c r="AA569">
        <f t="shared" si="17"/>
        <v>68</v>
      </c>
      <c r="AB569" t="s">
        <v>45</v>
      </c>
      <c r="AC569">
        <v>10.19</v>
      </c>
      <c r="AD569">
        <v>28.08</v>
      </c>
      <c r="AE569">
        <v>11.79</v>
      </c>
      <c r="AF569">
        <v>60.45</v>
      </c>
      <c r="AG569">
        <v>18.079999999999998</v>
      </c>
      <c r="AH569">
        <v>39.76</v>
      </c>
      <c r="AI569">
        <v>66.930000000000007</v>
      </c>
      <c r="AJ569">
        <v>118.44</v>
      </c>
      <c r="AK569">
        <v>46.49</v>
      </c>
      <c r="AL569">
        <v>17.98</v>
      </c>
      <c r="AM569">
        <v>13.52</v>
      </c>
      <c r="AN569">
        <v>60.11</v>
      </c>
      <c r="AO569">
        <v>491.82</v>
      </c>
    </row>
    <row r="570" spans="1:41" x14ac:dyDescent="0.25">
      <c r="A570" t="s">
        <v>988</v>
      </c>
      <c r="B570">
        <v>0</v>
      </c>
      <c r="C570">
        <v>5091</v>
      </c>
      <c r="D570">
        <v>3641</v>
      </c>
      <c r="E570">
        <v>1630</v>
      </c>
      <c r="F570">
        <v>7621</v>
      </c>
      <c r="G570">
        <v>2761</v>
      </c>
      <c r="H570">
        <v>4285</v>
      </c>
      <c r="I570">
        <v>7842</v>
      </c>
      <c r="J570">
        <v>6521</v>
      </c>
      <c r="K570">
        <v>1949</v>
      </c>
      <c r="L570">
        <v>3537</v>
      </c>
      <c r="M570">
        <v>1494</v>
      </c>
      <c r="N570">
        <f t="shared" si="16"/>
        <v>46372</v>
      </c>
      <c r="O570">
        <v>15</v>
      </c>
      <c r="P570">
        <v>3</v>
      </c>
      <c r="Q570">
        <v>1</v>
      </c>
      <c r="R570">
        <v>5</v>
      </c>
      <c r="S570">
        <v>1</v>
      </c>
      <c r="T570">
        <v>2</v>
      </c>
      <c r="U570">
        <v>5</v>
      </c>
      <c r="V570">
        <v>0</v>
      </c>
      <c r="W570">
        <v>9</v>
      </c>
      <c r="X570">
        <v>2</v>
      </c>
      <c r="Y570">
        <v>0</v>
      </c>
      <c r="Z570">
        <v>2</v>
      </c>
      <c r="AA570">
        <f t="shared" si="17"/>
        <v>45</v>
      </c>
      <c r="AB570" t="s">
        <v>45</v>
      </c>
      <c r="AC570">
        <v>10.74</v>
      </c>
      <c r="AD570">
        <v>61.05</v>
      </c>
      <c r="AE570">
        <v>46.45</v>
      </c>
      <c r="AF570">
        <v>26.54</v>
      </c>
      <c r="AG570">
        <v>86.25</v>
      </c>
      <c r="AH570">
        <v>37.700000000000003</v>
      </c>
      <c r="AI570">
        <v>53.09</v>
      </c>
      <c r="AJ570">
        <v>88.41</v>
      </c>
      <c r="AK570">
        <v>75.650000000000006</v>
      </c>
      <c r="AL570">
        <v>29.58</v>
      </c>
      <c r="AM570">
        <v>45.36</v>
      </c>
      <c r="AN570">
        <v>25.03</v>
      </c>
      <c r="AO570">
        <v>585.85</v>
      </c>
    </row>
    <row r="571" spans="1:41" x14ac:dyDescent="0.25">
      <c r="A571" t="s">
        <v>989</v>
      </c>
      <c r="B571">
        <v>0</v>
      </c>
      <c r="C571">
        <v>64</v>
      </c>
      <c r="D571">
        <v>2303</v>
      </c>
      <c r="E571">
        <v>4176</v>
      </c>
      <c r="F571">
        <v>2970</v>
      </c>
      <c r="G571">
        <v>0</v>
      </c>
      <c r="H571">
        <v>9329</v>
      </c>
      <c r="I571">
        <v>6782</v>
      </c>
      <c r="J571">
        <v>12159</v>
      </c>
      <c r="K571">
        <v>810</v>
      </c>
      <c r="L571">
        <v>4002</v>
      </c>
      <c r="M571">
        <v>1411</v>
      </c>
      <c r="N571">
        <f t="shared" si="16"/>
        <v>44006</v>
      </c>
      <c r="O571">
        <v>1</v>
      </c>
      <c r="P571">
        <v>2</v>
      </c>
      <c r="Q571">
        <v>10</v>
      </c>
      <c r="R571">
        <v>4</v>
      </c>
      <c r="S571">
        <v>6</v>
      </c>
      <c r="T571">
        <v>6</v>
      </c>
      <c r="U571">
        <v>6</v>
      </c>
      <c r="V571">
        <v>4</v>
      </c>
      <c r="W571">
        <v>9</v>
      </c>
      <c r="X571">
        <v>2</v>
      </c>
      <c r="Y571">
        <v>10</v>
      </c>
      <c r="Z571">
        <v>2</v>
      </c>
      <c r="AA571">
        <f t="shared" si="17"/>
        <v>62</v>
      </c>
      <c r="AB571" t="s">
        <v>45</v>
      </c>
      <c r="AC571">
        <v>10.039999999999999</v>
      </c>
      <c r="AD571">
        <v>10.73</v>
      </c>
      <c r="AE571">
        <v>33.520000000000003</v>
      </c>
      <c r="AF571">
        <v>51.95</v>
      </c>
      <c r="AG571">
        <v>39.99</v>
      </c>
      <c r="AH571">
        <v>10.29</v>
      </c>
      <c r="AI571">
        <v>103.58</v>
      </c>
      <c r="AJ571">
        <v>78.010000000000005</v>
      </c>
      <c r="AK571">
        <v>132.03</v>
      </c>
      <c r="AL571">
        <v>18.190000000000001</v>
      </c>
      <c r="AM571">
        <v>50.51</v>
      </c>
      <c r="AN571">
        <v>24.2</v>
      </c>
      <c r="AO571">
        <v>563.04000000000008</v>
      </c>
    </row>
    <row r="572" spans="1:41" x14ac:dyDescent="0.25">
      <c r="A572" t="s">
        <v>990</v>
      </c>
      <c r="B572">
        <v>0</v>
      </c>
      <c r="C572">
        <v>8555</v>
      </c>
      <c r="D572">
        <v>284</v>
      </c>
      <c r="E572">
        <v>12434</v>
      </c>
      <c r="F572">
        <v>0</v>
      </c>
      <c r="G572">
        <v>2856</v>
      </c>
      <c r="H572">
        <v>26737</v>
      </c>
      <c r="I572">
        <v>499</v>
      </c>
      <c r="J572">
        <v>1755</v>
      </c>
      <c r="K572">
        <v>5915</v>
      </c>
      <c r="L572">
        <v>244</v>
      </c>
      <c r="M572">
        <v>4606</v>
      </c>
      <c r="N572">
        <f t="shared" si="16"/>
        <v>63885</v>
      </c>
      <c r="O572">
        <v>4</v>
      </c>
      <c r="P572">
        <v>3</v>
      </c>
      <c r="Q572">
        <v>4</v>
      </c>
      <c r="R572">
        <v>7</v>
      </c>
      <c r="S572">
        <v>4</v>
      </c>
      <c r="T572">
        <v>0</v>
      </c>
      <c r="U572">
        <v>4</v>
      </c>
      <c r="V572">
        <v>2</v>
      </c>
      <c r="W572">
        <v>10</v>
      </c>
      <c r="X572">
        <v>4</v>
      </c>
      <c r="Y572">
        <v>2</v>
      </c>
      <c r="Z572">
        <v>1</v>
      </c>
      <c r="AA572">
        <f t="shared" si="17"/>
        <v>45</v>
      </c>
      <c r="AB572" t="s">
        <v>45</v>
      </c>
      <c r="AC572">
        <v>10.19</v>
      </c>
      <c r="AD572">
        <v>95.69</v>
      </c>
      <c r="AE572">
        <v>13.03</v>
      </c>
      <c r="AF572">
        <v>134.68</v>
      </c>
      <c r="AG572">
        <v>10.19</v>
      </c>
      <c r="AH572">
        <v>38.549999999999997</v>
      </c>
      <c r="AI572">
        <v>277.56</v>
      </c>
      <c r="AJ572">
        <v>15.08</v>
      </c>
      <c r="AK572">
        <v>28.04</v>
      </c>
      <c r="AL572">
        <v>69.34</v>
      </c>
      <c r="AM572">
        <v>12.53</v>
      </c>
      <c r="AN572">
        <v>56.1</v>
      </c>
      <c r="AO572">
        <v>760.98000000000013</v>
      </c>
    </row>
    <row r="573" spans="1:41" x14ac:dyDescent="0.25">
      <c r="A573" t="s">
        <v>991</v>
      </c>
      <c r="B573">
        <v>0</v>
      </c>
      <c r="C573">
        <v>2069</v>
      </c>
      <c r="D573">
        <v>696</v>
      </c>
      <c r="E573">
        <v>3548</v>
      </c>
      <c r="F573">
        <v>14518</v>
      </c>
      <c r="G573">
        <v>2513</v>
      </c>
      <c r="H573">
        <v>2012</v>
      </c>
      <c r="I573">
        <v>1476</v>
      </c>
      <c r="J573">
        <v>4919</v>
      </c>
      <c r="K573">
        <v>193</v>
      </c>
      <c r="L573">
        <v>11893</v>
      </c>
      <c r="M573">
        <v>2848</v>
      </c>
      <c r="N573">
        <f t="shared" si="16"/>
        <v>46685</v>
      </c>
      <c r="O573">
        <v>1</v>
      </c>
      <c r="P573">
        <v>2</v>
      </c>
      <c r="Q573">
        <v>0</v>
      </c>
      <c r="R573">
        <v>8</v>
      </c>
      <c r="S573">
        <v>6</v>
      </c>
      <c r="T573">
        <v>3</v>
      </c>
      <c r="U573">
        <v>4</v>
      </c>
      <c r="V573">
        <v>4</v>
      </c>
      <c r="W573">
        <v>4</v>
      </c>
      <c r="X573">
        <v>2</v>
      </c>
      <c r="Y573">
        <v>9</v>
      </c>
      <c r="Z573">
        <v>1</v>
      </c>
      <c r="AA573">
        <f t="shared" si="17"/>
        <v>44</v>
      </c>
      <c r="AB573" t="s">
        <v>45</v>
      </c>
      <c r="AC573">
        <v>10.039999999999999</v>
      </c>
      <c r="AD573">
        <v>30.78</v>
      </c>
      <c r="AE573">
        <v>16.95</v>
      </c>
      <c r="AF573">
        <v>45.87</v>
      </c>
      <c r="AG573">
        <v>155.47</v>
      </c>
      <c r="AH573">
        <v>35.270000000000003</v>
      </c>
      <c r="AI573">
        <v>30.31</v>
      </c>
      <c r="AJ573">
        <v>24.95</v>
      </c>
      <c r="AK573">
        <v>59.38</v>
      </c>
      <c r="AL573">
        <v>12.02</v>
      </c>
      <c r="AM573">
        <v>129.37</v>
      </c>
      <c r="AN573">
        <v>38.520000000000003</v>
      </c>
      <c r="AO573">
        <v>588.92999999999995</v>
      </c>
    </row>
    <row r="574" spans="1:41" x14ac:dyDescent="0.25">
      <c r="A574" t="s">
        <v>992</v>
      </c>
      <c r="B574">
        <v>0</v>
      </c>
      <c r="C574">
        <v>5770</v>
      </c>
      <c r="D574">
        <v>5928</v>
      </c>
      <c r="E574">
        <v>4891</v>
      </c>
      <c r="F574">
        <v>383</v>
      </c>
      <c r="G574">
        <v>4218</v>
      </c>
      <c r="H574">
        <v>1306</v>
      </c>
      <c r="I574">
        <v>2044</v>
      </c>
      <c r="J574">
        <v>755</v>
      </c>
      <c r="K574">
        <v>9399</v>
      </c>
      <c r="L574">
        <v>943</v>
      </c>
      <c r="M574">
        <v>2972</v>
      </c>
      <c r="N574">
        <f t="shared" si="16"/>
        <v>38609</v>
      </c>
      <c r="O574">
        <v>2</v>
      </c>
      <c r="P574">
        <v>3</v>
      </c>
      <c r="Q574">
        <v>7</v>
      </c>
      <c r="R574">
        <v>10</v>
      </c>
      <c r="S574">
        <v>10</v>
      </c>
      <c r="T574">
        <v>6</v>
      </c>
      <c r="U574">
        <v>9</v>
      </c>
      <c r="V574">
        <v>2</v>
      </c>
      <c r="W574">
        <v>1</v>
      </c>
      <c r="X574">
        <v>2</v>
      </c>
      <c r="Y574">
        <v>1</v>
      </c>
      <c r="Z574">
        <v>1</v>
      </c>
      <c r="AA574">
        <f t="shared" si="17"/>
        <v>54</v>
      </c>
      <c r="AB574" t="s">
        <v>45</v>
      </c>
      <c r="AC574">
        <v>10.09</v>
      </c>
      <c r="AD574">
        <v>67.84</v>
      </c>
      <c r="AE574">
        <v>69.62</v>
      </c>
      <c r="AF574">
        <v>59.4</v>
      </c>
      <c r="AG574">
        <v>14.32</v>
      </c>
      <c r="AH574">
        <v>52.47</v>
      </c>
      <c r="AI574">
        <v>23.5</v>
      </c>
      <c r="AJ574">
        <v>30.53</v>
      </c>
      <c r="AK574">
        <v>17.59</v>
      </c>
      <c r="AL574">
        <v>104.08</v>
      </c>
      <c r="AM574">
        <v>19.47</v>
      </c>
      <c r="AN574">
        <v>39.76</v>
      </c>
      <c r="AO574">
        <v>508.66999999999996</v>
      </c>
    </row>
    <row r="575" spans="1:41" x14ac:dyDescent="0.25">
      <c r="A575" t="s">
        <v>1003</v>
      </c>
      <c r="B575">
        <v>0</v>
      </c>
      <c r="C575">
        <v>8765</v>
      </c>
      <c r="D575">
        <v>4586</v>
      </c>
      <c r="E575">
        <v>1091</v>
      </c>
      <c r="F575">
        <v>4357</v>
      </c>
      <c r="G575">
        <v>4738</v>
      </c>
      <c r="H575">
        <v>7863</v>
      </c>
      <c r="I575">
        <v>501</v>
      </c>
      <c r="J575">
        <v>16875</v>
      </c>
      <c r="K575">
        <v>1172</v>
      </c>
      <c r="L575">
        <v>3879</v>
      </c>
      <c r="M575">
        <v>3707</v>
      </c>
      <c r="N575">
        <f t="shared" si="16"/>
        <v>57534</v>
      </c>
      <c r="O575">
        <v>0</v>
      </c>
      <c r="P575">
        <v>1</v>
      </c>
      <c r="Q575">
        <v>6</v>
      </c>
      <c r="R575">
        <v>4</v>
      </c>
      <c r="S575">
        <v>8</v>
      </c>
      <c r="T575">
        <v>9</v>
      </c>
      <c r="U575">
        <v>1</v>
      </c>
      <c r="V575">
        <v>6</v>
      </c>
      <c r="W575">
        <v>4</v>
      </c>
      <c r="X575">
        <v>10</v>
      </c>
      <c r="Y575">
        <v>1</v>
      </c>
      <c r="Z575">
        <v>5</v>
      </c>
      <c r="AA575">
        <f t="shared" si="17"/>
        <v>55</v>
      </c>
      <c r="AB575" t="s">
        <v>45</v>
      </c>
      <c r="AC575">
        <v>9.99</v>
      </c>
      <c r="AD575">
        <v>97.69</v>
      </c>
      <c r="AE575">
        <v>56.15</v>
      </c>
      <c r="AF575">
        <v>21.1</v>
      </c>
      <c r="AG575">
        <v>53.96</v>
      </c>
      <c r="AH575">
        <v>57.82</v>
      </c>
      <c r="AI575">
        <v>88.67</v>
      </c>
      <c r="AJ575">
        <v>15.3</v>
      </c>
      <c r="AK575">
        <v>178.94</v>
      </c>
      <c r="AL575">
        <v>22.21</v>
      </c>
      <c r="AM575">
        <v>48.83</v>
      </c>
      <c r="AN575">
        <v>47.31</v>
      </c>
      <c r="AO575">
        <v>697.97</v>
      </c>
    </row>
    <row r="576" spans="1:41" x14ac:dyDescent="0.25">
      <c r="A576" t="s">
        <v>1008</v>
      </c>
      <c r="B576">
        <v>0</v>
      </c>
      <c r="C576">
        <v>4018</v>
      </c>
      <c r="D576">
        <v>2288</v>
      </c>
      <c r="E576">
        <v>5696</v>
      </c>
      <c r="F576">
        <v>4628</v>
      </c>
      <c r="G576">
        <v>7729</v>
      </c>
      <c r="H576">
        <v>7328</v>
      </c>
      <c r="I576">
        <v>2214</v>
      </c>
      <c r="J576">
        <v>1051</v>
      </c>
      <c r="K576">
        <v>4240</v>
      </c>
      <c r="L576">
        <v>6992</v>
      </c>
      <c r="M576">
        <v>0</v>
      </c>
      <c r="N576">
        <f t="shared" si="16"/>
        <v>46184</v>
      </c>
      <c r="O576">
        <v>0</v>
      </c>
      <c r="P576">
        <v>6</v>
      </c>
      <c r="Q576">
        <v>7</v>
      </c>
      <c r="R576">
        <v>16</v>
      </c>
      <c r="S576">
        <v>3</v>
      </c>
      <c r="T576">
        <v>5</v>
      </c>
      <c r="U576">
        <v>1</v>
      </c>
      <c r="V576">
        <v>6</v>
      </c>
      <c r="W576">
        <v>5</v>
      </c>
      <c r="X576">
        <v>22</v>
      </c>
      <c r="Y576">
        <v>5</v>
      </c>
      <c r="Z576">
        <v>12</v>
      </c>
      <c r="AA576">
        <f t="shared" si="17"/>
        <v>88</v>
      </c>
      <c r="AB576" t="s">
        <v>45</v>
      </c>
      <c r="AC576">
        <v>9.99</v>
      </c>
      <c r="AD576">
        <v>50.47</v>
      </c>
      <c r="AE576">
        <v>33.22</v>
      </c>
      <c r="AF576">
        <v>67.75</v>
      </c>
      <c r="AG576">
        <v>56.42</v>
      </c>
      <c r="AH576">
        <v>87.53</v>
      </c>
      <c r="AI576">
        <v>83.32</v>
      </c>
      <c r="AJ576">
        <v>32.43</v>
      </c>
      <c r="AK576">
        <v>20.75</v>
      </c>
      <c r="AL576">
        <v>53.49</v>
      </c>
      <c r="AM576">
        <v>80.16</v>
      </c>
      <c r="AN576">
        <v>10.59</v>
      </c>
      <c r="AO576">
        <v>586.12</v>
      </c>
    </row>
    <row r="577" spans="1:41" x14ac:dyDescent="0.25">
      <c r="A577" t="s">
        <v>1010</v>
      </c>
      <c r="B577">
        <v>0</v>
      </c>
      <c r="C577">
        <v>0</v>
      </c>
      <c r="D577">
        <v>0</v>
      </c>
      <c r="E577">
        <v>3608</v>
      </c>
      <c r="F577">
        <v>12670</v>
      </c>
      <c r="G577">
        <v>6629</v>
      </c>
      <c r="H577">
        <v>1001</v>
      </c>
      <c r="I577">
        <v>1210</v>
      </c>
      <c r="J577">
        <v>3090</v>
      </c>
      <c r="K577">
        <v>5381</v>
      </c>
      <c r="L577">
        <v>1464</v>
      </c>
      <c r="M577">
        <v>1161</v>
      </c>
      <c r="N577">
        <f t="shared" si="16"/>
        <v>36214</v>
      </c>
      <c r="O577">
        <v>0</v>
      </c>
      <c r="P577">
        <v>5</v>
      </c>
      <c r="Q577">
        <v>7</v>
      </c>
      <c r="R577">
        <v>3</v>
      </c>
      <c r="S577">
        <v>3</v>
      </c>
      <c r="T577">
        <v>1</v>
      </c>
      <c r="U577">
        <v>13</v>
      </c>
      <c r="V577">
        <v>5</v>
      </c>
      <c r="W577">
        <v>0</v>
      </c>
      <c r="X577">
        <v>10</v>
      </c>
      <c r="Y577">
        <v>10</v>
      </c>
      <c r="Z577">
        <v>18</v>
      </c>
      <c r="AA577">
        <f t="shared" si="17"/>
        <v>75</v>
      </c>
      <c r="AB577" t="s">
        <v>45</v>
      </c>
      <c r="AC577">
        <v>9.99</v>
      </c>
      <c r="AD577">
        <v>10.24</v>
      </c>
      <c r="AE577">
        <v>10.34</v>
      </c>
      <c r="AF577">
        <v>46.22</v>
      </c>
      <c r="AG577">
        <v>136.84</v>
      </c>
      <c r="AH577">
        <v>76.33</v>
      </c>
      <c r="AI577">
        <v>20.65</v>
      </c>
      <c r="AJ577">
        <v>22.34</v>
      </c>
      <c r="AK577">
        <v>40.89</v>
      </c>
      <c r="AL577">
        <v>64.3</v>
      </c>
      <c r="AM577">
        <v>25.13</v>
      </c>
      <c r="AN577">
        <v>22.5</v>
      </c>
      <c r="AO577">
        <v>485.76999999999992</v>
      </c>
    </row>
    <row r="578" spans="1:41" x14ac:dyDescent="0.25">
      <c r="A578" t="s">
        <v>1011</v>
      </c>
      <c r="B578">
        <v>0</v>
      </c>
      <c r="C578">
        <v>0</v>
      </c>
      <c r="D578">
        <v>0</v>
      </c>
      <c r="E578">
        <v>9780</v>
      </c>
      <c r="F578">
        <v>5969</v>
      </c>
      <c r="G578">
        <v>10882</v>
      </c>
      <c r="H578">
        <v>1533</v>
      </c>
      <c r="I578">
        <v>6168</v>
      </c>
      <c r="J578">
        <v>2369</v>
      </c>
      <c r="K578">
        <v>1394</v>
      </c>
      <c r="L578">
        <v>4379</v>
      </c>
      <c r="M578">
        <v>4854</v>
      </c>
      <c r="N578">
        <f t="shared" si="16"/>
        <v>47328</v>
      </c>
      <c r="O578">
        <v>0</v>
      </c>
      <c r="P578">
        <v>0</v>
      </c>
      <c r="Q578">
        <v>0</v>
      </c>
      <c r="R578">
        <v>7</v>
      </c>
      <c r="S578">
        <v>3</v>
      </c>
      <c r="T578">
        <v>2</v>
      </c>
      <c r="U578">
        <v>0</v>
      </c>
      <c r="V578">
        <v>2</v>
      </c>
      <c r="W578">
        <v>3</v>
      </c>
      <c r="X578">
        <v>2</v>
      </c>
      <c r="Y578">
        <v>14</v>
      </c>
      <c r="Z578">
        <v>1</v>
      </c>
      <c r="AA578">
        <f t="shared" si="17"/>
        <v>34</v>
      </c>
      <c r="AB578" t="s">
        <v>45</v>
      </c>
      <c r="AC578">
        <v>9.99</v>
      </c>
      <c r="AD578">
        <v>9.99</v>
      </c>
      <c r="AE578">
        <v>9.99</v>
      </c>
      <c r="AF578">
        <v>108.14</v>
      </c>
      <c r="AG578">
        <v>69.83</v>
      </c>
      <c r="AH578">
        <v>118.91</v>
      </c>
      <c r="AI578">
        <v>25.32</v>
      </c>
      <c r="AJ578">
        <v>71.77</v>
      </c>
      <c r="AK578">
        <v>33.83</v>
      </c>
      <c r="AL578">
        <v>24.03</v>
      </c>
      <c r="AM578">
        <v>54.48</v>
      </c>
      <c r="AN578">
        <v>58.58</v>
      </c>
      <c r="AO578">
        <v>594.86</v>
      </c>
    </row>
    <row r="579" spans="1:41" x14ac:dyDescent="0.25">
      <c r="A579" t="s">
        <v>1012</v>
      </c>
      <c r="B579">
        <v>0</v>
      </c>
      <c r="C579">
        <v>4217</v>
      </c>
      <c r="D579">
        <v>2068</v>
      </c>
      <c r="E579">
        <v>1668</v>
      </c>
      <c r="F579">
        <v>2024</v>
      </c>
      <c r="G579">
        <v>935</v>
      </c>
      <c r="H579">
        <v>6350</v>
      </c>
      <c r="I579">
        <v>3808</v>
      </c>
      <c r="J579">
        <v>3682</v>
      </c>
      <c r="K579">
        <v>934</v>
      </c>
      <c r="L579">
        <v>11752</v>
      </c>
      <c r="M579">
        <v>3085</v>
      </c>
      <c r="N579">
        <f t="shared" si="16"/>
        <v>40523</v>
      </c>
      <c r="O579">
        <v>0</v>
      </c>
      <c r="P579">
        <v>3</v>
      </c>
      <c r="Q579">
        <v>2</v>
      </c>
      <c r="R579">
        <v>7</v>
      </c>
      <c r="S579">
        <v>2</v>
      </c>
      <c r="T579">
        <v>3</v>
      </c>
      <c r="U579">
        <v>5</v>
      </c>
      <c r="V579">
        <v>3</v>
      </c>
      <c r="W579">
        <v>7</v>
      </c>
      <c r="X579">
        <v>2</v>
      </c>
      <c r="Y579">
        <v>4</v>
      </c>
      <c r="Z579">
        <v>1</v>
      </c>
      <c r="AA579">
        <f t="shared" si="17"/>
        <v>39</v>
      </c>
      <c r="AB579" t="s">
        <v>45</v>
      </c>
      <c r="AC579">
        <v>9.99</v>
      </c>
      <c r="AD579">
        <v>52.31</v>
      </c>
      <c r="AE579">
        <v>30.77</v>
      </c>
      <c r="AF579">
        <v>27.02</v>
      </c>
      <c r="AG579">
        <v>30.33</v>
      </c>
      <c r="AH579">
        <v>19.489999999999998</v>
      </c>
      <c r="AI579">
        <v>73.739999999999995</v>
      </c>
      <c r="AJ579">
        <v>48.22</v>
      </c>
      <c r="AK579">
        <v>47.16</v>
      </c>
      <c r="AL579">
        <v>19.43</v>
      </c>
      <c r="AM579">
        <v>127.71</v>
      </c>
      <c r="AN579">
        <v>40.89</v>
      </c>
      <c r="AO579">
        <v>527.05999999999995</v>
      </c>
    </row>
    <row r="580" spans="1:41" x14ac:dyDescent="0.25">
      <c r="A580" t="s">
        <v>1014</v>
      </c>
      <c r="B580">
        <v>0</v>
      </c>
      <c r="C580">
        <v>13307</v>
      </c>
      <c r="D580">
        <v>1891</v>
      </c>
      <c r="E580">
        <v>792</v>
      </c>
      <c r="F580">
        <v>2360</v>
      </c>
      <c r="G580">
        <v>184</v>
      </c>
      <c r="H580">
        <v>510</v>
      </c>
      <c r="I580">
        <v>4691</v>
      </c>
      <c r="J580">
        <v>5270</v>
      </c>
      <c r="K580">
        <v>2859</v>
      </c>
      <c r="L580">
        <v>3597</v>
      </c>
      <c r="M580">
        <v>3135</v>
      </c>
      <c r="N580">
        <f t="shared" ref="N580:N595" si="18">SUM(B580:M580)</f>
        <v>38596</v>
      </c>
      <c r="O580">
        <v>0</v>
      </c>
      <c r="P580">
        <v>7</v>
      </c>
      <c r="Q580">
        <v>2</v>
      </c>
      <c r="R580">
        <v>8</v>
      </c>
      <c r="S580">
        <v>0</v>
      </c>
      <c r="T580">
        <v>2</v>
      </c>
      <c r="U580">
        <v>7</v>
      </c>
      <c r="V580">
        <v>1</v>
      </c>
      <c r="W580">
        <v>0</v>
      </c>
      <c r="X580">
        <v>7</v>
      </c>
      <c r="Y580">
        <v>6</v>
      </c>
      <c r="Z580">
        <v>5</v>
      </c>
      <c r="AA580">
        <f t="shared" ref="AA580:AA595" si="19">SUM(O580:Z580)</f>
        <v>45</v>
      </c>
      <c r="AB580" t="s">
        <v>45</v>
      </c>
      <c r="AC580">
        <v>9.99</v>
      </c>
      <c r="AD580">
        <v>143.41</v>
      </c>
      <c r="AE580">
        <v>29</v>
      </c>
      <c r="AF580">
        <v>18.309999999999999</v>
      </c>
      <c r="AG580">
        <v>33.590000000000003</v>
      </c>
      <c r="AH580">
        <v>11.93</v>
      </c>
      <c r="AI580">
        <v>15.44</v>
      </c>
      <c r="AJ580">
        <v>56.95</v>
      </c>
      <c r="AK580">
        <v>62.69</v>
      </c>
      <c r="AL580">
        <v>38.93</v>
      </c>
      <c r="AM580">
        <v>46.26</v>
      </c>
      <c r="AN580">
        <v>41.59</v>
      </c>
      <c r="AO580">
        <v>508.09000000000003</v>
      </c>
    </row>
    <row r="581" spans="1:41" x14ac:dyDescent="0.25">
      <c r="A581" t="s">
        <v>1015</v>
      </c>
      <c r="B581">
        <v>0</v>
      </c>
      <c r="C581">
        <v>4438</v>
      </c>
      <c r="D581">
        <v>11371</v>
      </c>
      <c r="E581">
        <v>4014</v>
      </c>
      <c r="F581">
        <v>7257</v>
      </c>
      <c r="G581">
        <v>3638</v>
      </c>
      <c r="H581">
        <v>2605</v>
      </c>
      <c r="I581">
        <v>372</v>
      </c>
      <c r="J581">
        <v>286</v>
      </c>
      <c r="K581">
        <v>3310</v>
      </c>
      <c r="L581">
        <v>1533</v>
      </c>
      <c r="M581">
        <v>6173</v>
      </c>
      <c r="N581">
        <f t="shared" si="18"/>
        <v>44997</v>
      </c>
      <c r="O581">
        <v>0</v>
      </c>
      <c r="P581">
        <v>4</v>
      </c>
      <c r="Q581">
        <v>10</v>
      </c>
      <c r="R581">
        <v>6</v>
      </c>
      <c r="S581">
        <v>8</v>
      </c>
      <c r="T581">
        <v>2</v>
      </c>
      <c r="U581">
        <v>5</v>
      </c>
      <c r="V581">
        <v>3</v>
      </c>
      <c r="W581">
        <v>7</v>
      </c>
      <c r="X581">
        <v>2</v>
      </c>
      <c r="Y581">
        <v>3</v>
      </c>
      <c r="Z581">
        <v>5</v>
      </c>
      <c r="AA581">
        <f t="shared" si="19"/>
        <v>55</v>
      </c>
      <c r="AB581" t="s">
        <v>45</v>
      </c>
      <c r="AC581">
        <v>9.99</v>
      </c>
      <c r="AD581">
        <v>54.57</v>
      </c>
      <c r="AE581">
        <v>124.2</v>
      </c>
      <c r="AF581">
        <v>50.43</v>
      </c>
      <c r="AG581">
        <v>82.96</v>
      </c>
      <c r="AH581">
        <v>46.47</v>
      </c>
      <c r="AI581">
        <v>36.29</v>
      </c>
      <c r="AJ581">
        <v>13.86</v>
      </c>
      <c r="AK581">
        <v>13.2</v>
      </c>
      <c r="AL581">
        <v>43.19</v>
      </c>
      <c r="AM581">
        <v>25.47</v>
      </c>
      <c r="AN581">
        <v>71.97</v>
      </c>
      <c r="AO581">
        <v>572.6</v>
      </c>
    </row>
    <row r="582" spans="1:41" x14ac:dyDescent="0.25">
      <c r="A582" t="s">
        <v>1016</v>
      </c>
      <c r="B582">
        <v>0</v>
      </c>
      <c r="C582">
        <v>7161</v>
      </c>
      <c r="D582">
        <v>7621</v>
      </c>
      <c r="E582">
        <v>2372</v>
      </c>
      <c r="F582">
        <v>0</v>
      </c>
      <c r="G582">
        <v>762</v>
      </c>
      <c r="H582">
        <v>392</v>
      </c>
      <c r="I582">
        <v>690</v>
      </c>
      <c r="J582">
        <v>8337</v>
      </c>
      <c r="K582">
        <v>14745</v>
      </c>
      <c r="L582">
        <v>5857</v>
      </c>
      <c r="M582">
        <v>5259</v>
      </c>
      <c r="N582">
        <f t="shared" si="18"/>
        <v>53196</v>
      </c>
      <c r="O582">
        <v>0</v>
      </c>
      <c r="P582">
        <v>2</v>
      </c>
      <c r="Q582">
        <v>11</v>
      </c>
      <c r="R582">
        <v>2</v>
      </c>
      <c r="S582">
        <v>2</v>
      </c>
      <c r="T582">
        <v>4</v>
      </c>
      <c r="U582">
        <v>2</v>
      </c>
      <c r="V582">
        <v>13</v>
      </c>
      <c r="W582">
        <v>3</v>
      </c>
      <c r="X582">
        <v>1</v>
      </c>
      <c r="Y582">
        <v>3</v>
      </c>
      <c r="Z582">
        <v>5</v>
      </c>
      <c r="AA582">
        <f t="shared" si="19"/>
        <v>48</v>
      </c>
      <c r="AB582" t="s">
        <v>45</v>
      </c>
      <c r="AC582">
        <v>9.99</v>
      </c>
      <c r="AD582">
        <v>81.7</v>
      </c>
      <c r="AE582">
        <v>86.75</v>
      </c>
      <c r="AF582">
        <v>33.81</v>
      </c>
      <c r="AG582">
        <v>10.09</v>
      </c>
      <c r="AH582">
        <v>17.809999999999999</v>
      </c>
      <c r="AI582">
        <v>14.01</v>
      </c>
      <c r="AJ582">
        <v>17.54</v>
      </c>
      <c r="AK582">
        <v>93.51</v>
      </c>
      <c r="AL582">
        <v>157.49</v>
      </c>
      <c r="AM582">
        <v>68.709999999999994</v>
      </c>
      <c r="AN582">
        <v>62.83</v>
      </c>
      <c r="AO582">
        <v>654.24000000000012</v>
      </c>
    </row>
    <row r="583" spans="1:41" x14ac:dyDescent="0.25">
      <c r="A583" t="s">
        <v>1019</v>
      </c>
      <c r="B583">
        <v>0</v>
      </c>
      <c r="C583">
        <v>3153</v>
      </c>
      <c r="D583">
        <v>4604</v>
      </c>
      <c r="E583">
        <v>13473</v>
      </c>
      <c r="F583">
        <v>1736</v>
      </c>
      <c r="G583">
        <v>5175</v>
      </c>
      <c r="H583">
        <v>1510</v>
      </c>
      <c r="I583">
        <v>6945</v>
      </c>
      <c r="J583">
        <v>6971</v>
      </c>
      <c r="K583">
        <v>8120</v>
      </c>
      <c r="L583">
        <v>0</v>
      </c>
      <c r="M583">
        <v>540</v>
      </c>
      <c r="N583">
        <f t="shared" si="18"/>
        <v>52227</v>
      </c>
      <c r="O583">
        <v>0</v>
      </c>
      <c r="P583">
        <v>2</v>
      </c>
      <c r="Q583">
        <v>1</v>
      </c>
      <c r="R583">
        <v>1</v>
      </c>
      <c r="S583">
        <v>3</v>
      </c>
      <c r="T583">
        <v>4</v>
      </c>
      <c r="U583">
        <v>3</v>
      </c>
      <c r="V583">
        <v>1</v>
      </c>
      <c r="W583">
        <v>0</v>
      </c>
      <c r="X583">
        <v>6</v>
      </c>
      <c r="Y583">
        <v>2</v>
      </c>
      <c r="Z583">
        <v>0</v>
      </c>
      <c r="AA583">
        <f t="shared" si="19"/>
        <v>23</v>
      </c>
      <c r="AB583" t="s">
        <v>45</v>
      </c>
      <c r="AC583">
        <v>9.99</v>
      </c>
      <c r="AD583">
        <v>41.62</v>
      </c>
      <c r="AE583">
        <v>56.08</v>
      </c>
      <c r="AF583">
        <v>144.77000000000001</v>
      </c>
      <c r="AG583">
        <v>27.5</v>
      </c>
      <c r="AH583">
        <v>61.94</v>
      </c>
      <c r="AI583">
        <v>25.24</v>
      </c>
      <c r="AJ583">
        <v>79.489999999999995</v>
      </c>
      <c r="AK583">
        <v>79.7</v>
      </c>
      <c r="AL583">
        <v>91.49</v>
      </c>
      <c r="AM583">
        <v>10.09</v>
      </c>
      <c r="AN583">
        <v>15.39</v>
      </c>
      <c r="AO583">
        <v>643.30000000000007</v>
      </c>
    </row>
    <row r="584" spans="1:41" x14ac:dyDescent="0.25">
      <c r="A584" t="s">
        <v>1021</v>
      </c>
      <c r="B584">
        <v>0</v>
      </c>
      <c r="C584">
        <v>0</v>
      </c>
      <c r="D584">
        <v>0</v>
      </c>
      <c r="E584">
        <v>6751</v>
      </c>
      <c r="F584">
        <v>8024</v>
      </c>
      <c r="G584">
        <v>1239</v>
      </c>
      <c r="H584">
        <v>1325</v>
      </c>
      <c r="I584">
        <v>2840</v>
      </c>
      <c r="J584">
        <v>11926</v>
      </c>
      <c r="K584">
        <v>2197</v>
      </c>
      <c r="L584">
        <v>7756</v>
      </c>
      <c r="M584">
        <v>2532</v>
      </c>
      <c r="N584">
        <f t="shared" si="18"/>
        <v>44590</v>
      </c>
      <c r="O584">
        <v>0</v>
      </c>
      <c r="P584">
        <v>0</v>
      </c>
      <c r="Q584">
        <v>0</v>
      </c>
      <c r="R584">
        <v>5</v>
      </c>
      <c r="S584">
        <v>3</v>
      </c>
      <c r="T584">
        <v>11</v>
      </c>
      <c r="U584">
        <v>10</v>
      </c>
      <c r="V584">
        <v>1</v>
      </c>
      <c r="W584">
        <v>6</v>
      </c>
      <c r="X584">
        <v>1</v>
      </c>
      <c r="Y584">
        <v>2</v>
      </c>
      <c r="Z584">
        <v>5</v>
      </c>
      <c r="AA584">
        <f t="shared" si="19"/>
        <v>44</v>
      </c>
      <c r="AB584" t="s">
        <v>45</v>
      </c>
      <c r="AC584">
        <v>9.99</v>
      </c>
      <c r="AD584">
        <v>9.99</v>
      </c>
      <c r="AE584">
        <v>9.99</v>
      </c>
      <c r="AF584">
        <v>77.75</v>
      </c>
      <c r="AG584">
        <v>90.38</v>
      </c>
      <c r="AH584">
        <v>22.93</v>
      </c>
      <c r="AI584">
        <v>23.74</v>
      </c>
      <c r="AJ584">
        <v>38.44</v>
      </c>
      <c r="AK584">
        <v>129.55000000000001</v>
      </c>
      <c r="AL584">
        <v>32.01</v>
      </c>
      <c r="AM584">
        <v>87.65</v>
      </c>
      <c r="AN584">
        <v>35.56</v>
      </c>
      <c r="AO584">
        <v>567.98</v>
      </c>
    </row>
    <row r="585" spans="1:41" x14ac:dyDescent="0.25">
      <c r="A585" t="s">
        <v>1023</v>
      </c>
      <c r="B585">
        <v>0</v>
      </c>
      <c r="C585">
        <v>0</v>
      </c>
      <c r="D585">
        <v>0</v>
      </c>
      <c r="E585">
        <v>5441</v>
      </c>
      <c r="F585">
        <v>6714</v>
      </c>
      <c r="G585">
        <v>6937</v>
      </c>
      <c r="H585">
        <v>2686</v>
      </c>
      <c r="I585">
        <v>2338</v>
      </c>
      <c r="J585">
        <v>0</v>
      </c>
      <c r="K585">
        <v>9783</v>
      </c>
      <c r="L585">
        <v>230</v>
      </c>
      <c r="M585">
        <v>5707</v>
      </c>
      <c r="N585">
        <f t="shared" si="18"/>
        <v>39836</v>
      </c>
      <c r="O585">
        <v>0</v>
      </c>
      <c r="P585">
        <v>0</v>
      </c>
      <c r="Q585">
        <v>0</v>
      </c>
      <c r="R585">
        <v>6</v>
      </c>
      <c r="S585">
        <v>0</v>
      </c>
      <c r="T585">
        <v>3</v>
      </c>
      <c r="U585">
        <v>9</v>
      </c>
      <c r="V585">
        <v>1</v>
      </c>
      <c r="W585">
        <v>5</v>
      </c>
      <c r="X585">
        <v>5</v>
      </c>
      <c r="Y585">
        <v>3</v>
      </c>
      <c r="Z585">
        <v>4</v>
      </c>
      <c r="AA585">
        <f t="shared" si="19"/>
        <v>36</v>
      </c>
      <c r="AB585" t="s">
        <v>45</v>
      </c>
      <c r="AC585">
        <v>9.99</v>
      </c>
      <c r="AD585">
        <v>9.99</v>
      </c>
      <c r="AE585">
        <v>9.99</v>
      </c>
      <c r="AF585">
        <v>64.7</v>
      </c>
      <c r="AG585">
        <v>77.13</v>
      </c>
      <c r="AH585">
        <v>79.510000000000005</v>
      </c>
      <c r="AI585">
        <v>37.299999999999997</v>
      </c>
      <c r="AJ585">
        <v>33.42</v>
      </c>
      <c r="AK585">
        <v>10.24</v>
      </c>
      <c r="AL585">
        <v>108.07</v>
      </c>
      <c r="AM585">
        <v>12.44</v>
      </c>
      <c r="AN585">
        <v>67.260000000000005</v>
      </c>
      <c r="AO585">
        <v>520.04000000000008</v>
      </c>
    </row>
    <row r="586" spans="1:41" x14ac:dyDescent="0.25">
      <c r="A586" t="s">
        <v>1025</v>
      </c>
      <c r="B586">
        <v>0</v>
      </c>
      <c r="C586">
        <v>0</v>
      </c>
      <c r="D586">
        <v>13259</v>
      </c>
      <c r="E586">
        <v>1848</v>
      </c>
      <c r="F586">
        <v>11361</v>
      </c>
      <c r="G586">
        <v>2778</v>
      </c>
      <c r="H586">
        <v>2140</v>
      </c>
      <c r="I586">
        <v>5670</v>
      </c>
      <c r="J586">
        <v>5491</v>
      </c>
      <c r="K586">
        <v>2976</v>
      </c>
      <c r="L586">
        <v>1634</v>
      </c>
      <c r="M586">
        <v>4729</v>
      </c>
      <c r="N586">
        <f t="shared" si="18"/>
        <v>51886</v>
      </c>
      <c r="O586">
        <v>0</v>
      </c>
      <c r="P586">
        <v>0</v>
      </c>
      <c r="Q586">
        <v>1</v>
      </c>
      <c r="R586">
        <v>0</v>
      </c>
      <c r="S586">
        <v>4</v>
      </c>
      <c r="T586">
        <v>4</v>
      </c>
      <c r="U586">
        <v>10</v>
      </c>
      <c r="V586">
        <v>4</v>
      </c>
      <c r="W586">
        <v>6</v>
      </c>
      <c r="X586">
        <v>2</v>
      </c>
      <c r="Y586">
        <v>1</v>
      </c>
      <c r="Z586">
        <v>1</v>
      </c>
      <c r="AA586">
        <f t="shared" si="19"/>
        <v>33</v>
      </c>
      <c r="AB586" t="s">
        <v>45</v>
      </c>
      <c r="AC586">
        <v>9.99</v>
      </c>
      <c r="AD586">
        <v>9.99</v>
      </c>
      <c r="AE586">
        <v>142.63</v>
      </c>
      <c r="AF586">
        <v>28.47</v>
      </c>
      <c r="AG586">
        <v>123.8</v>
      </c>
      <c r="AH586">
        <v>37.97</v>
      </c>
      <c r="AI586">
        <v>31.89</v>
      </c>
      <c r="AJ586">
        <v>66.89</v>
      </c>
      <c r="AK586">
        <v>65.2</v>
      </c>
      <c r="AL586">
        <v>39.85</v>
      </c>
      <c r="AM586">
        <v>26.38</v>
      </c>
      <c r="AN586">
        <v>57.33</v>
      </c>
      <c r="AO586">
        <v>640.3900000000001</v>
      </c>
    </row>
    <row r="587" spans="1:41" x14ac:dyDescent="0.25">
      <c r="A587" t="s">
        <v>1026</v>
      </c>
      <c r="B587">
        <v>0</v>
      </c>
      <c r="C587">
        <v>0</v>
      </c>
      <c r="D587">
        <v>10683</v>
      </c>
      <c r="E587">
        <v>2723</v>
      </c>
      <c r="F587">
        <v>11631</v>
      </c>
      <c r="G587">
        <v>10780</v>
      </c>
      <c r="H587">
        <v>8652</v>
      </c>
      <c r="I587">
        <v>8062</v>
      </c>
      <c r="J587">
        <v>7539</v>
      </c>
      <c r="K587">
        <v>5895</v>
      </c>
      <c r="L587">
        <v>3957</v>
      </c>
      <c r="M587">
        <v>0</v>
      </c>
      <c r="N587">
        <f t="shared" si="18"/>
        <v>69922</v>
      </c>
      <c r="O587">
        <v>0</v>
      </c>
      <c r="P587">
        <v>0</v>
      </c>
      <c r="Q587">
        <v>3</v>
      </c>
      <c r="R587">
        <v>2</v>
      </c>
      <c r="S587">
        <v>2</v>
      </c>
      <c r="T587">
        <v>1</v>
      </c>
      <c r="U587">
        <v>3</v>
      </c>
      <c r="V587">
        <v>2</v>
      </c>
      <c r="W587">
        <v>4</v>
      </c>
      <c r="X587">
        <v>2</v>
      </c>
      <c r="Y587">
        <v>7</v>
      </c>
      <c r="Z587">
        <v>5</v>
      </c>
      <c r="AA587">
        <f t="shared" si="19"/>
        <v>31</v>
      </c>
      <c r="AB587" t="s">
        <v>45</v>
      </c>
      <c r="AC587">
        <v>9.99</v>
      </c>
      <c r="AD587">
        <v>9.99</v>
      </c>
      <c r="AE587">
        <v>116.97</v>
      </c>
      <c r="AF587">
        <v>37.32</v>
      </c>
      <c r="AG587">
        <v>126.4</v>
      </c>
      <c r="AH587">
        <v>117.84</v>
      </c>
      <c r="AI587">
        <v>96.66</v>
      </c>
      <c r="AJ587">
        <v>90.71</v>
      </c>
      <c r="AK587">
        <v>85.58</v>
      </c>
      <c r="AL587">
        <v>69.040000000000006</v>
      </c>
      <c r="AM587">
        <v>49.91</v>
      </c>
      <c r="AN587">
        <v>10.24</v>
      </c>
      <c r="AO587">
        <v>820.65</v>
      </c>
    </row>
    <row r="588" spans="1:41" x14ac:dyDescent="0.25">
      <c r="A588" t="s">
        <v>1028</v>
      </c>
      <c r="B588">
        <v>0</v>
      </c>
      <c r="C588">
        <v>4128</v>
      </c>
      <c r="D588">
        <v>3118</v>
      </c>
      <c r="E588">
        <v>1306</v>
      </c>
      <c r="F588">
        <v>3915</v>
      </c>
      <c r="G588">
        <v>1733</v>
      </c>
      <c r="H588">
        <v>6726</v>
      </c>
      <c r="I588">
        <v>3980</v>
      </c>
      <c r="J588">
        <v>2865</v>
      </c>
      <c r="K588">
        <v>8316</v>
      </c>
      <c r="L588">
        <v>7094</v>
      </c>
      <c r="M588">
        <v>3409</v>
      </c>
      <c r="N588">
        <f t="shared" si="18"/>
        <v>46590</v>
      </c>
      <c r="O588">
        <v>0</v>
      </c>
      <c r="P588">
        <v>5</v>
      </c>
      <c r="Q588">
        <v>4</v>
      </c>
      <c r="R588">
        <v>4</v>
      </c>
      <c r="S588">
        <v>17</v>
      </c>
      <c r="T588">
        <v>3</v>
      </c>
      <c r="U588">
        <v>0</v>
      </c>
      <c r="V588">
        <v>7</v>
      </c>
      <c r="W588">
        <v>1</v>
      </c>
      <c r="X588">
        <v>5</v>
      </c>
      <c r="Y588">
        <v>13</v>
      </c>
      <c r="Z588">
        <v>6</v>
      </c>
      <c r="AA588">
        <f t="shared" si="19"/>
        <v>65</v>
      </c>
      <c r="AB588" t="s">
        <v>45</v>
      </c>
      <c r="AC588">
        <v>9.99</v>
      </c>
      <c r="AD588">
        <v>51.52</v>
      </c>
      <c r="AE588">
        <v>41.37</v>
      </c>
      <c r="AF588">
        <v>23.25</v>
      </c>
      <c r="AG588">
        <v>49.99</v>
      </c>
      <c r="AH588">
        <v>27.47</v>
      </c>
      <c r="AI588">
        <v>77.25</v>
      </c>
      <c r="AJ588">
        <v>50.14</v>
      </c>
      <c r="AK588">
        <v>38.69</v>
      </c>
      <c r="AL588">
        <v>93.4</v>
      </c>
      <c r="AM588">
        <v>81.58</v>
      </c>
      <c r="AN588">
        <v>44.38</v>
      </c>
      <c r="AO588">
        <v>589.03000000000009</v>
      </c>
    </row>
    <row r="589" spans="1:41" x14ac:dyDescent="0.25">
      <c r="A589" t="s">
        <v>1032</v>
      </c>
      <c r="B589">
        <v>0</v>
      </c>
      <c r="C589">
        <v>8175</v>
      </c>
      <c r="D589">
        <v>408</v>
      </c>
      <c r="E589">
        <v>1878</v>
      </c>
      <c r="F589">
        <v>1107</v>
      </c>
      <c r="G589">
        <v>1558</v>
      </c>
      <c r="H589">
        <v>8749</v>
      </c>
      <c r="I589">
        <v>5740</v>
      </c>
      <c r="J589">
        <v>4266</v>
      </c>
      <c r="K589">
        <v>3678</v>
      </c>
      <c r="L589">
        <v>8439</v>
      </c>
      <c r="M589">
        <v>1742</v>
      </c>
      <c r="N589">
        <f t="shared" si="18"/>
        <v>45740</v>
      </c>
      <c r="O589">
        <v>0</v>
      </c>
      <c r="P589">
        <v>0</v>
      </c>
      <c r="Q589">
        <v>7</v>
      </c>
      <c r="R589">
        <v>1</v>
      </c>
      <c r="S589">
        <v>1</v>
      </c>
      <c r="T589">
        <v>5</v>
      </c>
      <c r="U589">
        <v>4</v>
      </c>
      <c r="V589">
        <v>19</v>
      </c>
      <c r="W589">
        <v>2</v>
      </c>
      <c r="X589">
        <v>2</v>
      </c>
      <c r="Y589">
        <v>6</v>
      </c>
      <c r="Z589">
        <v>4</v>
      </c>
      <c r="AA589">
        <f t="shared" si="19"/>
        <v>51</v>
      </c>
      <c r="AB589" t="s">
        <v>45</v>
      </c>
      <c r="AC589">
        <v>9.99</v>
      </c>
      <c r="AD589">
        <v>91.74</v>
      </c>
      <c r="AE589">
        <v>14.42</v>
      </c>
      <c r="AF589">
        <v>28.82</v>
      </c>
      <c r="AG589">
        <v>21.11</v>
      </c>
      <c r="AH589">
        <v>25.82</v>
      </c>
      <c r="AI589">
        <v>97.68</v>
      </c>
      <c r="AJ589">
        <v>68.34</v>
      </c>
      <c r="AK589">
        <v>52.75</v>
      </c>
      <c r="AL589">
        <v>46.87</v>
      </c>
      <c r="AM589">
        <v>94.68</v>
      </c>
      <c r="AN589">
        <v>27.61</v>
      </c>
      <c r="AO589">
        <v>579.83000000000004</v>
      </c>
    </row>
    <row r="590" spans="1:41" x14ac:dyDescent="0.25">
      <c r="A590" t="s">
        <v>1033</v>
      </c>
      <c r="B590">
        <v>0</v>
      </c>
      <c r="C590">
        <v>0</v>
      </c>
      <c r="D590">
        <v>3682</v>
      </c>
      <c r="E590">
        <v>3820</v>
      </c>
      <c r="F590">
        <v>2528</v>
      </c>
      <c r="G590">
        <v>916</v>
      </c>
      <c r="H590">
        <v>1492</v>
      </c>
      <c r="I590">
        <v>7502</v>
      </c>
      <c r="J590">
        <v>6016</v>
      </c>
      <c r="K590">
        <v>11027</v>
      </c>
      <c r="L590">
        <v>1571</v>
      </c>
      <c r="M590">
        <v>1349</v>
      </c>
      <c r="N590">
        <f t="shared" si="18"/>
        <v>39903</v>
      </c>
      <c r="O590">
        <v>0</v>
      </c>
      <c r="P590">
        <v>0</v>
      </c>
      <c r="Q590">
        <v>1</v>
      </c>
      <c r="R590">
        <v>3</v>
      </c>
      <c r="S590">
        <v>1</v>
      </c>
      <c r="T590">
        <v>6</v>
      </c>
      <c r="U590">
        <v>1</v>
      </c>
      <c r="V590">
        <v>11</v>
      </c>
      <c r="W590">
        <v>9</v>
      </c>
      <c r="X590">
        <v>3</v>
      </c>
      <c r="Y590">
        <v>11</v>
      </c>
      <c r="Z590">
        <v>23</v>
      </c>
      <c r="AA590">
        <f t="shared" si="19"/>
        <v>69</v>
      </c>
      <c r="AB590" t="s">
        <v>45</v>
      </c>
      <c r="AC590">
        <v>9.99</v>
      </c>
      <c r="AD590">
        <v>9.99</v>
      </c>
      <c r="AE590">
        <v>46.86</v>
      </c>
      <c r="AF590">
        <v>48.34</v>
      </c>
      <c r="AG590">
        <v>35.32</v>
      </c>
      <c r="AH590">
        <v>19.45</v>
      </c>
      <c r="AI590">
        <v>24.96</v>
      </c>
      <c r="AJ590">
        <v>85.56</v>
      </c>
      <c r="AK590">
        <v>70.599999999999994</v>
      </c>
      <c r="AL590">
        <v>120.41</v>
      </c>
      <c r="AM590">
        <v>26.25</v>
      </c>
      <c r="AN590">
        <v>24.63</v>
      </c>
      <c r="AO590">
        <v>522.36</v>
      </c>
    </row>
    <row r="591" spans="1:41" x14ac:dyDescent="0.25">
      <c r="A591" t="s">
        <v>1036</v>
      </c>
      <c r="B591">
        <v>0</v>
      </c>
      <c r="C591">
        <v>0</v>
      </c>
      <c r="D591">
        <v>6942</v>
      </c>
      <c r="E591">
        <v>4313</v>
      </c>
      <c r="F591">
        <v>11430</v>
      </c>
      <c r="G591">
        <v>8677</v>
      </c>
      <c r="H591">
        <v>887</v>
      </c>
      <c r="I591">
        <v>0</v>
      </c>
      <c r="J591">
        <v>1563</v>
      </c>
      <c r="K591">
        <v>1936</v>
      </c>
      <c r="L591">
        <v>3428</v>
      </c>
      <c r="M591">
        <v>954</v>
      </c>
      <c r="N591">
        <f t="shared" si="18"/>
        <v>40130</v>
      </c>
      <c r="O591">
        <v>0</v>
      </c>
      <c r="P591">
        <v>0</v>
      </c>
      <c r="Q591">
        <v>2</v>
      </c>
      <c r="R591">
        <v>4</v>
      </c>
      <c r="S591">
        <v>4</v>
      </c>
      <c r="T591">
        <v>5</v>
      </c>
      <c r="U591">
        <v>5</v>
      </c>
      <c r="V591">
        <v>2</v>
      </c>
      <c r="W591">
        <v>7</v>
      </c>
      <c r="X591">
        <v>2</v>
      </c>
      <c r="Y591">
        <v>0</v>
      </c>
      <c r="Z591">
        <v>16</v>
      </c>
      <c r="AA591">
        <f t="shared" si="19"/>
        <v>47</v>
      </c>
      <c r="AB591" t="s">
        <v>45</v>
      </c>
      <c r="AC591">
        <v>9.99</v>
      </c>
      <c r="AD591">
        <v>9.99</v>
      </c>
      <c r="AE591">
        <v>79.510000000000005</v>
      </c>
      <c r="AF591">
        <v>53.32</v>
      </c>
      <c r="AG591">
        <v>124.49</v>
      </c>
      <c r="AH591">
        <v>97.01</v>
      </c>
      <c r="AI591">
        <v>19.11</v>
      </c>
      <c r="AJ591">
        <v>10.09</v>
      </c>
      <c r="AK591">
        <v>25.97</v>
      </c>
      <c r="AL591">
        <v>29.45</v>
      </c>
      <c r="AM591">
        <v>44.27</v>
      </c>
      <c r="AN591">
        <v>20.329999999999998</v>
      </c>
      <c r="AO591">
        <v>523.53</v>
      </c>
    </row>
    <row r="592" spans="1:41" x14ac:dyDescent="0.25">
      <c r="A592" t="s">
        <v>1037</v>
      </c>
      <c r="B592">
        <v>0</v>
      </c>
      <c r="C592">
        <v>2988</v>
      </c>
      <c r="D592">
        <v>416</v>
      </c>
      <c r="E592">
        <v>2259</v>
      </c>
      <c r="F592">
        <v>6664</v>
      </c>
      <c r="G592">
        <v>5863</v>
      </c>
      <c r="H592">
        <v>5217</v>
      </c>
      <c r="I592">
        <v>1061</v>
      </c>
      <c r="J592">
        <v>4748</v>
      </c>
      <c r="K592">
        <v>5416</v>
      </c>
      <c r="L592">
        <v>3884</v>
      </c>
      <c r="M592">
        <v>8374</v>
      </c>
      <c r="N592">
        <f t="shared" si="18"/>
        <v>46890</v>
      </c>
      <c r="O592">
        <v>0</v>
      </c>
      <c r="P592">
        <v>2</v>
      </c>
      <c r="Q592">
        <v>1</v>
      </c>
      <c r="R592">
        <v>2</v>
      </c>
      <c r="S592">
        <v>1</v>
      </c>
      <c r="T592">
        <v>1</v>
      </c>
      <c r="U592">
        <v>3</v>
      </c>
      <c r="V592">
        <v>3</v>
      </c>
      <c r="W592">
        <v>12</v>
      </c>
      <c r="X592">
        <v>2</v>
      </c>
      <c r="Y592">
        <v>3</v>
      </c>
      <c r="Z592">
        <v>4</v>
      </c>
      <c r="AA592">
        <f t="shared" si="19"/>
        <v>34</v>
      </c>
      <c r="AB592" t="s">
        <v>45</v>
      </c>
      <c r="AC592">
        <v>9.99</v>
      </c>
      <c r="AD592">
        <v>39.97</v>
      </c>
      <c r="AE592">
        <v>14.2</v>
      </c>
      <c r="AF592">
        <v>32.68</v>
      </c>
      <c r="AG592">
        <v>76.680000000000007</v>
      </c>
      <c r="AH592">
        <v>68.67</v>
      </c>
      <c r="AI592">
        <v>62.31</v>
      </c>
      <c r="AJ592">
        <v>20.75</v>
      </c>
      <c r="AK592">
        <v>58.07</v>
      </c>
      <c r="AL592">
        <v>64.25</v>
      </c>
      <c r="AM592">
        <v>48.98</v>
      </c>
      <c r="AN592">
        <v>93.93</v>
      </c>
      <c r="AO592">
        <v>590.48</v>
      </c>
    </row>
    <row r="593" spans="1:41" x14ac:dyDescent="0.25">
      <c r="A593" t="s">
        <v>1039</v>
      </c>
      <c r="B593">
        <v>0</v>
      </c>
      <c r="C593">
        <v>1034</v>
      </c>
      <c r="D593">
        <v>218</v>
      </c>
      <c r="E593">
        <v>3944</v>
      </c>
      <c r="F593">
        <v>804</v>
      </c>
      <c r="G593">
        <v>2976</v>
      </c>
      <c r="H593">
        <v>4974</v>
      </c>
      <c r="I593">
        <v>936</v>
      </c>
      <c r="J593">
        <v>2901</v>
      </c>
      <c r="K593">
        <v>10143</v>
      </c>
      <c r="L593">
        <v>3192</v>
      </c>
      <c r="M593">
        <v>20452</v>
      </c>
      <c r="N593">
        <f t="shared" si="18"/>
        <v>51574</v>
      </c>
      <c r="O593">
        <v>0</v>
      </c>
      <c r="P593">
        <v>1</v>
      </c>
      <c r="Q593">
        <v>6</v>
      </c>
      <c r="R593">
        <v>5</v>
      </c>
      <c r="S593">
        <v>6</v>
      </c>
      <c r="T593">
        <v>3</v>
      </c>
      <c r="U593">
        <v>2</v>
      </c>
      <c r="V593">
        <v>3</v>
      </c>
      <c r="W593">
        <v>6</v>
      </c>
      <c r="X593">
        <v>3</v>
      </c>
      <c r="Y593">
        <v>8</v>
      </c>
      <c r="Z593">
        <v>9</v>
      </c>
      <c r="AA593">
        <f t="shared" si="19"/>
        <v>52</v>
      </c>
      <c r="AB593" t="s">
        <v>45</v>
      </c>
      <c r="AC593">
        <v>9.99</v>
      </c>
      <c r="AD593">
        <v>20.38</v>
      </c>
      <c r="AE593">
        <v>12.47</v>
      </c>
      <c r="AF593">
        <v>49.68</v>
      </c>
      <c r="AG593">
        <v>18.329999999999998</v>
      </c>
      <c r="AH593">
        <v>39.9</v>
      </c>
      <c r="AI593">
        <v>59.83</v>
      </c>
      <c r="AJ593">
        <v>19.5</v>
      </c>
      <c r="AK593">
        <v>39.299999999999997</v>
      </c>
      <c r="AL593">
        <v>111.57</v>
      </c>
      <c r="AM593">
        <v>42.31</v>
      </c>
      <c r="AN593">
        <v>214.96</v>
      </c>
      <c r="AO593">
        <v>638.22</v>
      </c>
    </row>
    <row r="594" spans="1:41" x14ac:dyDescent="0.25">
      <c r="A594" t="s">
        <v>1042</v>
      </c>
      <c r="B594">
        <v>0</v>
      </c>
      <c r="C594">
        <v>1686</v>
      </c>
      <c r="D594">
        <v>5931</v>
      </c>
      <c r="E594">
        <v>8606</v>
      </c>
      <c r="F594">
        <v>3534</v>
      </c>
      <c r="G594">
        <v>4239</v>
      </c>
      <c r="H594">
        <v>741</v>
      </c>
      <c r="I594">
        <v>2955</v>
      </c>
      <c r="J594">
        <v>4238</v>
      </c>
      <c r="K594">
        <v>2710</v>
      </c>
      <c r="L594">
        <v>3362</v>
      </c>
      <c r="M594">
        <v>7900</v>
      </c>
      <c r="N594">
        <f t="shared" si="18"/>
        <v>45902</v>
      </c>
      <c r="O594">
        <v>0</v>
      </c>
      <c r="P594">
        <v>3</v>
      </c>
      <c r="Q594">
        <v>0</v>
      </c>
      <c r="R594">
        <v>7</v>
      </c>
      <c r="S594">
        <v>7</v>
      </c>
      <c r="T594">
        <v>1</v>
      </c>
      <c r="U594">
        <v>3</v>
      </c>
      <c r="V594">
        <v>2</v>
      </c>
      <c r="W594">
        <v>0</v>
      </c>
      <c r="X594">
        <v>18</v>
      </c>
      <c r="Y594">
        <v>2</v>
      </c>
      <c r="Z594">
        <v>1</v>
      </c>
      <c r="AA594">
        <f t="shared" si="19"/>
        <v>44</v>
      </c>
      <c r="AB594" t="s">
        <v>45</v>
      </c>
      <c r="AC594">
        <v>9.99</v>
      </c>
      <c r="AD594">
        <v>27</v>
      </c>
      <c r="AE594">
        <v>69.3</v>
      </c>
      <c r="AF594">
        <v>96.4</v>
      </c>
      <c r="AG594">
        <v>45.68</v>
      </c>
      <c r="AH594">
        <v>52.43</v>
      </c>
      <c r="AI594">
        <v>17.55</v>
      </c>
      <c r="AJ594">
        <v>39.64</v>
      </c>
      <c r="AK594">
        <v>52.37</v>
      </c>
      <c r="AL594">
        <v>37.99</v>
      </c>
      <c r="AM594">
        <v>43.71</v>
      </c>
      <c r="AN594">
        <v>89.04</v>
      </c>
      <c r="AO594">
        <v>581.1</v>
      </c>
    </row>
    <row r="595" spans="1:41" x14ac:dyDescent="0.25">
      <c r="A595" t="s">
        <v>1043</v>
      </c>
      <c r="B595">
        <v>0</v>
      </c>
      <c r="C595">
        <v>0</v>
      </c>
      <c r="D595">
        <v>4652</v>
      </c>
      <c r="E595">
        <v>4346</v>
      </c>
      <c r="F595">
        <v>10326</v>
      </c>
      <c r="G595">
        <v>1718</v>
      </c>
      <c r="H595">
        <v>6680</v>
      </c>
      <c r="I595">
        <v>8285</v>
      </c>
      <c r="J595">
        <v>3295</v>
      </c>
      <c r="K595">
        <v>4550</v>
      </c>
      <c r="L595">
        <v>1444</v>
      </c>
      <c r="M595">
        <v>1416</v>
      </c>
      <c r="N595">
        <f t="shared" si="18"/>
        <v>46712</v>
      </c>
      <c r="O595">
        <v>0</v>
      </c>
      <c r="P595">
        <v>0</v>
      </c>
      <c r="Q595">
        <v>0</v>
      </c>
      <c r="R595">
        <v>3</v>
      </c>
      <c r="S595">
        <v>1</v>
      </c>
      <c r="T595">
        <v>17</v>
      </c>
      <c r="U595">
        <v>2</v>
      </c>
      <c r="V595">
        <v>8</v>
      </c>
      <c r="W595">
        <v>3</v>
      </c>
      <c r="X595">
        <v>5</v>
      </c>
      <c r="Y595">
        <v>4</v>
      </c>
      <c r="Z595">
        <v>3</v>
      </c>
      <c r="AA595">
        <f t="shared" si="19"/>
        <v>46</v>
      </c>
      <c r="AB595" t="s">
        <v>45</v>
      </c>
      <c r="AC595">
        <v>9.99</v>
      </c>
      <c r="AD595">
        <v>9.99</v>
      </c>
      <c r="AE595">
        <v>56.51</v>
      </c>
      <c r="AF595">
        <v>53.6</v>
      </c>
      <c r="AG595">
        <v>113.3</v>
      </c>
      <c r="AH595">
        <v>28.02</v>
      </c>
      <c r="AI595">
        <v>76.89</v>
      </c>
      <c r="AJ595">
        <v>93.24</v>
      </c>
      <c r="AK595">
        <v>43.09</v>
      </c>
      <c r="AL595">
        <v>55.74</v>
      </c>
      <c r="AM595">
        <v>24.63</v>
      </c>
      <c r="AN595">
        <v>24.3</v>
      </c>
      <c r="AO595">
        <v>589.29999999999995</v>
      </c>
    </row>
  </sheetData>
  <mergeCells count="3">
    <mergeCell ref="O1:AA1"/>
    <mergeCell ref="AC1:AO1"/>
    <mergeCell ref="B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CE09-2726-4D0F-BADC-DB37CFEEF7B5}">
  <dimension ref="A1:E18"/>
  <sheetViews>
    <sheetView workbookViewId="0">
      <selection activeCell="B1" sqref="B1"/>
    </sheetView>
  </sheetViews>
  <sheetFormatPr defaultRowHeight="15" x14ac:dyDescent="0.25"/>
  <cols>
    <col min="1" max="1" width="26" bestFit="1" customWidth="1"/>
    <col min="2" max="2" width="14.42578125" bestFit="1" customWidth="1"/>
    <col min="3" max="3" width="13.5703125" bestFit="1" customWidth="1"/>
    <col min="4" max="4" width="10.140625" bestFit="1" customWidth="1"/>
    <col min="5" max="5" width="14.85546875" bestFit="1" customWidth="1"/>
    <col min="6" max="6" width="10.28515625" bestFit="1" customWidth="1"/>
    <col min="7" max="7" width="19" bestFit="1" customWidth="1"/>
    <col min="8" max="8" width="26" bestFit="1" customWidth="1"/>
    <col min="9" max="9" width="14.5703125" bestFit="1" customWidth="1"/>
    <col min="10" max="10" width="26" bestFit="1" customWidth="1"/>
  </cols>
  <sheetData>
    <row r="1" spans="1:4" x14ac:dyDescent="0.25">
      <c r="A1" t="s">
        <v>1050</v>
      </c>
      <c r="B1">
        <f>SUM(Combined_Data!AO3:AO1002)</f>
        <v>629316.30999999866</v>
      </c>
    </row>
    <row r="2" spans="1:4" x14ac:dyDescent="0.25">
      <c r="A2" t="s">
        <v>1051</v>
      </c>
      <c r="B2">
        <f>SUM('Pay as you go'!AO3:AO409)</f>
        <v>270951.37999999989</v>
      </c>
    </row>
    <row r="3" spans="1:4" x14ac:dyDescent="0.25">
      <c r="A3" t="s">
        <v>1052</v>
      </c>
      <c r="B3">
        <f>SUM('Reduced Tarrif'!AO3:AO595)</f>
        <v>358364.92999999953</v>
      </c>
    </row>
    <row r="6" spans="1:4" x14ac:dyDescent="0.25">
      <c r="A6" t="s">
        <v>1053</v>
      </c>
      <c r="B6">
        <f>SUM('Pay as you go'!AO3:AO409)</f>
        <v>270951.37999999989</v>
      </c>
    </row>
    <row r="7" spans="1:4" x14ac:dyDescent="0.25">
      <c r="A7" t="s">
        <v>1054</v>
      </c>
      <c r="B7" s="5">
        <f>SUM('Pay as you go'!N3:N409)*0.02</f>
        <v>269052.56</v>
      </c>
    </row>
    <row r="8" spans="1:4" x14ac:dyDescent="0.25">
      <c r="A8" t="s">
        <v>1055</v>
      </c>
      <c r="B8" s="5">
        <f>SUM('Pay as you go'!AA3:AA409)*0.09</f>
        <v>1898.82</v>
      </c>
    </row>
    <row r="11" spans="1:4" x14ac:dyDescent="0.25">
      <c r="A11" t="s">
        <v>1056</v>
      </c>
      <c r="B11">
        <f>SUM('Reduced Tarrif'!AO3:AO595)</f>
        <v>358364.92999999953</v>
      </c>
    </row>
    <row r="12" spans="1:4" x14ac:dyDescent="0.25">
      <c r="A12" t="s">
        <v>1054</v>
      </c>
      <c r="B12">
        <f>SUM('Reduced Tarrif'!N3:N595)*0.01</f>
        <v>285677.14</v>
      </c>
    </row>
    <row r="13" spans="1:4" x14ac:dyDescent="0.25">
      <c r="A13" t="s">
        <v>1055</v>
      </c>
      <c r="B13">
        <f>SUM('Reduced Tarrif'!AA3:AA595)*0.05</f>
        <v>1598.95</v>
      </c>
    </row>
    <row r="15" spans="1:4" x14ac:dyDescent="0.25">
      <c r="A15" t="s">
        <v>1057</v>
      </c>
      <c r="B15" s="5">
        <f>SUM(B7,B12)</f>
        <v>554729.69999999995</v>
      </c>
      <c r="C15" s="7">
        <f>B15/B1</f>
        <v>0.8814799349471828</v>
      </c>
      <c r="D15" t="s">
        <v>1058</v>
      </c>
    </row>
    <row r="16" spans="1:4" x14ac:dyDescent="0.25">
      <c r="A16" t="s">
        <v>1059</v>
      </c>
      <c r="B16" s="5">
        <f>SUM(B8,B13)</f>
        <v>3497.77</v>
      </c>
      <c r="C16" s="7">
        <f>B16/B1</f>
        <v>5.5580475897724748E-3</v>
      </c>
      <c r="D16" t="s">
        <v>1058</v>
      </c>
    </row>
    <row r="18" spans="1:5" x14ac:dyDescent="0.25">
      <c r="A18" t="s">
        <v>1060</v>
      </c>
      <c r="D18" s="5">
        <f>B1-B15-B16</f>
        <v>71088.839999998701</v>
      </c>
      <c r="E18" s="7">
        <f>D18/B1</f>
        <v>0.1129620174630447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D4DF-4021-4C35-BB70-0EE34F2DAA65}">
  <dimension ref="A1:AE12001"/>
  <sheetViews>
    <sheetView tabSelected="1" zoomScale="70" zoomScaleNormal="70" workbookViewId="0">
      <selection activeCell="J33" sqref="J33"/>
    </sheetView>
  </sheetViews>
  <sheetFormatPr defaultRowHeight="15" x14ac:dyDescent="0.25"/>
  <cols>
    <col min="1" max="1" width="14.5703125" bestFit="1" customWidth="1"/>
    <col min="9" max="9" width="9.28515625" customWidth="1"/>
    <col min="18" max="18" width="34.7109375" bestFit="1" customWidth="1"/>
  </cols>
  <sheetData>
    <row r="1" spans="1:31" x14ac:dyDescent="0.25">
      <c r="A1" t="s">
        <v>4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1064</v>
      </c>
      <c r="AE1" t="s">
        <v>1065</v>
      </c>
    </row>
    <row r="2" spans="1:31" x14ac:dyDescent="0.25">
      <c r="A2" t="s">
        <v>44</v>
      </c>
      <c r="B2">
        <v>290.52999999999997</v>
      </c>
      <c r="C2">
        <v>39.299999999999997</v>
      </c>
      <c r="D2">
        <v>23.61</v>
      </c>
      <c r="E2">
        <v>47.61</v>
      </c>
      <c r="F2">
        <v>12.33</v>
      </c>
      <c r="G2">
        <v>50.42</v>
      </c>
      <c r="H2">
        <v>102.31</v>
      </c>
      <c r="I2">
        <v>62.41</v>
      </c>
      <c r="J2">
        <v>26.46</v>
      </c>
      <c r="K2">
        <v>20.11</v>
      </c>
      <c r="L2">
        <v>10.54</v>
      </c>
      <c r="M2">
        <v>14.76</v>
      </c>
      <c r="N2">
        <f>MEDIAN(B2:M2)</f>
        <v>32.879999999999995</v>
      </c>
      <c r="AE2">
        <v>290.52999999999997</v>
      </c>
    </row>
    <row r="3" spans="1:31" x14ac:dyDescent="0.25">
      <c r="A3" t="s">
        <v>46</v>
      </c>
      <c r="B3">
        <v>290.01</v>
      </c>
      <c r="C3">
        <v>14.17</v>
      </c>
      <c r="D3">
        <v>18.72</v>
      </c>
      <c r="E3">
        <v>17.05</v>
      </c>
      <c r="F3">
        <v>16.78</v>
      </c>
      <c r="G3">
        <v>59.91</v>
      </c>
      <c r="H3">
        <v>28.64</v>
      </c>
      <c r="I3">
        <v>77</v>
      </c>
      <c r="J3">
        <v>29.06</v>
      </c>
      <c r="K3">
        <v>18.920000000000002</v>
      </c>
      <c r="L3">
        <v>17.78</v>
      </c>
      <c r="M3">
        <v>37.07</v>
      </c>
      <c r="N3">
        <f t="shared" ref="N3:N66" si="0">MEDIAN(B3:M3)</f>
        <v>23.78</v>
      </c>
      <c r="AE3">
        <v>290.01</v>
      </c>
    </row>
    <row r="4" spans="1:31" x14ac:dyDescent="0.25">
      <c r="A4" t="s">
        <v>47</v>
      </c>
      <c r="B4">
        <v>250.97</v>
      </c>
      <c r="C4">
        <v>30.7</v>
      </c>
      <c r="D4">
        <v>17.07</v>
      </c>
      <c r="E4">
        <v>39.96</v>
      </c>
      <c r="F4">
        <v>42.99</v>
      </c>
      <c r="G4">
        <v>10.14</v>
      </c>
      <c r="H4">
        <v>19.22</v>
      </c>
      <c r="I4">
        <v>60.62</v>
      </c>
      <c r="J4">
        <v>24.39</v>
      </c>
      <c r="K4">
        <v>15.16</v>
      </c>
      <c r="L4">
        <v>35.54</v>
      </c>
      <c r="M4">
        <v>13.72</v>
      </c>
      <c r="N4">
        <f t="shared" si="0"/>
        <v>27.545000000000002</v>
      </c>
      <c r="AE4">
        <v>250.97</v>
      </c>
    </row>
    <row r="5" spans="1:31" x14ac:dyDescent="0.25">
      <c r="A5" t="s">
        <v>48</v>
      </c>
      <c r="B5">
        <v>240.84</v>
      </c>
      <c r="C5">
        <v>37.9</v>
      </c>
      <c r="D5">
        <v>13.09</v>
      </c>
      <c r="E5">
        <v>43.08</v>
      </c>
      <c r="F5">
        <v>84.74</v>
      </c>
      <c r="G5">
        <v>42.03</v>
      </c>
      <c r="H5">
        <v>29.47</v>
      </c>
      <c r="I5">
        <v>13.69</v>
      </c>
      <c r="J5">
        <v>32.28</v>
      </c>
      <c r="K5">
        <v>37.06</v>
      </c>
      <c r="L5">
        <v>21.9</v>
      </c>
      <c r="M5">
        <v>86.47</v>
      </c>
      <c r="N5">
        <f t="shared" si="0"/>
        <v>37.480000000000004</v>
      </c>
      <c r="AE5">
        <v>240.84</v>
      </c>
    </row>
    <row r="6" spans="1:31" x14ac:dyDescent="0.25">
      <c r="A6" t="s">
        <v>49</v>
      </c>
      <c r="B6">
        <v>239.79</v>
      </c>
      <c r="C6">
        <v>31.27</v>
      </c>
      <c r="D6">
        <v>18.91</v>
      </c>
      <c r="E6">
        <v>66.38</v>
      </c>
      <c r="F6">
        <v>10.09</v>
      </c>
      <c r="G6">
        <v>28.85</v>
      </c>
      <c r="H6">
        <v>17.670000000000002</v>
      </c>
      <c r="I6">
        <v>106.81</v>
      </c>
      <c r="J6">
        <v>40.32</v>
      </c>
      <c r="K6">
        <v>88.63</v>
      </c>
      <c r="L6">
        <v>29.49</v>
      </c>
      <c r="M6">
        <v>26.87</v>
      </c>
      <c r="N6">
        <f t="shared" si="0"/>
        <v>30.38</v>
      </c>
      <c r="AE6">
        <v>239.79</v>
      </c>
    </row>
    <row r="7" spans="1:31" x14ac:dyDescent="0.25">
      <c r="A7" t="s">
        <v>50</v>
      </c>
      <c r="B7">
        <v>221.92</v>
      </c>
      <c r="C7">
        <v>25.38</v>
      </c>
      <c r="D7">
        <v>25.3</v>
      </c>
      <c r="E7">
        <v>52.38</v>
      </c>
      <c r="F7">
        <v>29.56</v>
      </c>
      <c r="G7">
        <v>29.41</v>
      </c>
      <c r="H7">
        <v>41.34</v>
      </c>
      <c r="I7">
        <v>33.340000000000003</v>
      </c>
      <c r="J7">
        <v>68.87</v>
      </c>
      <c r="K7">
        <v>27.43</v>
      </c>
      <c r="L7">
        <v>102.99</v>
      </c>
      <c r="M7">
        <v>70.69</v>
      </c>
      <c r="N7">
        <f t="shared" si="0"/>
        <v>37.340000000000003</v>
      </c>
      <c r="AE7">
        <v>221.92</v>
      </c>
    </row>
    <row r="8" spans="1:31" x14ac:dyDescent="0.25">
      <c r="A8" t="s">
        <v>51</v>
      </c>
      <c r="B8">
        <v>187.02</v>
      </c>
      <c r="C8">
        <v>57.81</v>
      </c>
      <c r="D8">
        <v>40.83</v>
      </c>
      <c r="E8">
        <v>104.29</v>
      </c>
      <c r="F8">
        <v>96.95</v>
      </c>
      <c r="G8">
        <v>67.39</v>
      </c>
      <c r="H8">
        <v>46.02</v>
      </c>
      <c r="I8">
        <v>45.89</v>
      </c>
      <c r="J8">
        <v>22.45</v>
      </c>
      <c r="K8">
        <v>11.65</v>
      </c>
      <c r="L8">
        <v>30.75</v>
      </c>
      <c r="M8">
        <v>33.270000000000003</v>
      </c>
      <c r="N8">
        <f t="shared" si="0"/>
        <v>45.954999999999998</v>
      </c>
      <c r="AE8">
        <v>187.02</v>
      </c>
    </row>
    <row r="9" spans="1:31" x14ac:dyDescent="0.25">
      <c r="A9" t="s">
        <v>52</v>
      </c>
      <c r="B9">
        <v>185.62</v>
      </c>
      <c r="C9">
        <v>25.93</v>
      </c>
      <c r="D9">
        <v>28.93</v>
      </c>
      <c r="E9">
        <v>132.11000000000001</v>
      </c>
      <c r="F9">
        <v>41.54</v>
      </c>
      <c r="G9">
        <v>25.74</v>
      </c>
      <c r="H9">
        <v>52.58</v>
      </c>
      <c r="I9">
        <v>12.6</v>
      </c>
      <c r="J9">
        <v>27.06</v>
      </c>
      <c r="K9">
        <v>15.06</v>
      </c>
      <c r="L9">
        <v>13.17</v>
      </c>
      <c r="M9">
        <v>10.14</v>
      </c>
      <c r="N9">
        <f t="shared" si="0"/>
        <v>26.494999999999997</v>
      </c>
      <c r="AE9">
        <v>185.62</v>
      </c>
    </row>
    <row r="10" spans="1:31" x14ac:dyDescent="0.25">
      <c r="A10" t="s">
        <v>53</v>
      </c>
      <c r="B10">
        <v>183.15</v>
      </c>
      <c r="C10">
        <v>26.1</v>
      </c>
      <c r="D10">
        <v>51.01</v>
      </c>
      <c r="E10">
        <v>18.38</v>
      </c>
      <c r="F10">
        <v>12.18</v>
      </c>
      <c r="G10">
        <v>78.17</v>
      </c>
      <c r="H10">
        <v>25.26</v>
      </c>
      <c r="I10">
        <v>26.29</v>
      </c>
      <c r="J10">
        <v>27.78</v>
      </c>
      <c r="K10">
        <v>126.33</v>
      </c>
      <c r="L10">
        <v>10.039999999999999</v>
      </c>
      <c r="M10">
        <v>66.83</v>
      </c>
      <c r="N10">
        <f t="shared" si="0"/>
        <v>27.035</v>
      </c>
      <c r="AE10">
        <v>183.15</v>
      </c>
    </row>
    <row r="11" spans="1:31" x14ac:dyDescent="0.25">
      <c r="A11" t="s">
        <v>54</v>
      </c>
      <c r="B11">
        <v>177.87</v>
      </c>
      <c r="C11">
        <v>71.31</v>
      </c>
      <c r="D11">
        <v>40.020000000000003</v>
      </c>
      <c r="E11">
        <v>54.93</v>
      </c>
      <c r="F11">
        <v>68.34</v>
      </c>
      <c r="G11">
        <v>33.93</v>
      </c>
      <c r="H11">
        <v>74.209999999999994</v>
      </c>
      <c r="I11">
        <v>24.64</v>
      </c>
      <c r="J11">
        <v>22.48</v>
      </c>
      <c r="K11">
        <v>33.82</v>
      </c>
      <c r="L11">
        <v>55.76</v>
      </c>
      <c r="M11">
        <v>53.16</v>
      </c>
      <c r="N11">
        <f t="shared" si="0"/>
        <v>54.045000000000002</v>
      </c>
      <c r="AE11">
        <v>177.87</v>
      </c>
    </row>
    <row r="12" spans="1:31" x14ac:dyDescent="0.25">
      <c r="A12" t="s">
        <v>55</v>
      </c>
      <c r="B12">
        <v>172.39</v>
      </c>
      <c r="C12">
        <v>49.54</v>
      </c>
      <c r="D12">
        <v>67.27</v>
      </c>
      <c r="E12">
        <v>10.54</v>
      </c>
      <c r="F12">
        <v>89.77</v>
      </c>
      <c r="G12">
        <v>123.03</v>
      </c>
      <c r="H12">
        <v>32.549999999999997</v>
      </c>
      <c r="I12">
        <v>65.459999999999994</v>
      </c>
      <c r="J12">
        <v>36.590000000000003</v>
      </c>
      <c r="K12">
        <v>16.61</v>
      </c>
      <c r="L12">
        <v>79.790000000000006</v>
      </c>
      <c r="M12">
        <v>44.67</v>
      </c>
      <c r="N12">
        <f t="shared" si="0"/>
        <v>57.5</v>
      </c>
      <c r="AE12">
        <v>172.39</v>
      </c>
    </row>
    <row r="13" spans="1:31" x14ac:dyDescent="0.25">
      <c r="A13" t="s">
        <v>56</v>
      </c>
      <c r="B13">
        <v>172.16</v>
      </c>
      <c r="C13">
        <v>30.81</v>
      </c>
      <c r="D13">
        <v>23.34</v>
      </c>
      <c r="E13">
        <v>78.95</v>
      </c>
      <c r="F13">
        <v>31.58</v>
      </c>
      <c r="G13">
        <v>26.18</v>
      </c>
      <c r="H13">
        <v>30.16</v>
      </c>
      <c r="I13">
        <v>45.7</v>
      </c>
      <c r="J13">
        <v>10.44</v>
      </c>
      <c r="K13">
        <v>25.45</v>
      </c>
      <c r="L13">
        <v>34.520000000000003</v>
      </c>
      <c r="M13">
        <v>21.69</v>
      </c>
      <c r="N13">
        <f t="shared" si="0"/>
        <v>30.484999999999999</v>
      </c>
      <c r="AE13">
        <v>172.16</v>
      </c>
    </row>
    <row r="14" spans="1:31" x14ac:dyDescent="0.25">
      <c r="A14" t="s">
        <v>57</v>
      </c>
      <c r="B14">
        <v>169.68</v>
      </c>
      <c r="C14">
        <v>22.53</v>
      </c>
      <c r="D14">
        <v>51.48</v>
      </c>
      <c r="E14">
        <v>45.9</v>
      </c>
      <c r="F14">
        <v>24.1</v>
      </c>
      <c r="G14">
        <v>14.27</v>
      </c>
      <c r="H14">
        <v>15.73</v>
      </c>
      <c r="I14">
        <v>77.180000000000007</v>
      </c>
      <c r="J14">
        <v>77.62</v>
      </c>
      <c r="K14">
        <v>23.99</v>
      </c>
      <c r="L14">
        <v>10.58</v>
      </c>
      <c r="M14">
        <v>86.49</v>
      </c>
      <c r="N14">
        <f t="shared" si="0"/>
        <v>35</v>
      </c>
      <c r="AE14">
        <v>169.68</v>
      </c>
    </row>
    <row r="15" spans="1:31" x14ac:dyDescent="0.25">
      <c r="A15" t="s">
        <v>58</v>
      </c>
      <c r="B15">
        <v>168.04</v>
      </c>
      <c r="C15">
        <v>14.29</v>
      </c>
      <c r="D15">
        <v>45.08</v>
      </c>
      <c r="E15">
        <v>46.11</v>
      </c>
      <c r="F15">
        <v>19.91</v>
      </c>
      <c r="G15">
        <v>121.96</v>
      </c>
      <c r="H15">
        <v>83.69</v>
      </c>
      <c r="I15">
        <v>70.260000000000005</v>
      </c>
      <c r="J15">
        <v>133.31</v>
      </c>
      <c r="K15">
        <v>22.75</v>
      </c>
      <c r="L15">
        <v>10.29</v>
      </c>
      <c r="M15">
        <v>52.28</v>
      </c>
      <c r="N15">
        <f t="shared" si="0"/>
        <v>49.195</v>
      </c>
      <c r="AE15">
        <v>168.04</v>
      </c>
    </row>
    <row r="16" spans="1:31" x14ac:dyDescent="0.25">
      <c r="A16" t="s">
        <v>59</v>
      </c>
      <c r="B16">
        <v>160.35</v>
      </c>
      <c r="C16">
        <v>66.41</v>
      </c>
      <c r="D16">
        <v>9.99</v>
      </c>
      <c r="E16">
        <v>15.63</v>
      </c>
      <c r="F16">
        <v>18.61</v>
      </c>
      <c r="G16">
        <v>41.68</v>
      </c>
      <c r="H16">
        <v>150.63999999999999</v>
      </c>
      <c r="I16">
        <v>51.45</v>
      </c>
      <c r="J16">
        <v>27.92</v>
      </c>
      <c r="K16">
        <v>14.37</v>
      </c>
      <c r="L16">
        <v>10.09</v>
      </c>
      <c r="M16">
        <v>33.29</v>
      </c>
      <c r="N16">
        <f t="shared" si="0"/>
        <v>30.605</v>
      </c>
      <c r="AE16">
        <v>160.35</v>
      </c>
    </row>
    <row r="17" spans="1:31" x14ac:dyDescent="0.25">
      <c r="A17" t="s">
        <v>60</v>
      </c>
      <c r="B17">
        <v>160.13</v>
      </c>
      <c r="C17">
        <v>9.99</v>
      </c>
      <c r="D17">
        <v>54.66</v>
      </c>
      <c r="E17">
        <v>25.43</v>
      </c>
      <c r="F17">
        <v>67.099999999999994</v>
      </c>
      <c r="G17">
        <v>66.819999999999993</v>
      </c>
      <c r="H17">
        <v>63.85</v>
      </c>
      <c r="I17">
        <v>16.97</v>
      </c>
      <c r="J17">
        <v>80.98</v>
      </c>
      <c r="K17">
        <v>11.92</v>
      </c>
      <c r="L17">
        <v>12.75</v>
      </c>
      <c r="M17">
        <v>27.71</v>
      </c>
      <c r="N17">
        <f t="shared" si="0"/>
        <v>41.185000000000002</v>
      </c>
      <c r="AE17">
        <v>160.13</v>
      </c>
    </row>
    <row r="18" spans="1:31" x14ac:dyDescent="0.25">
      <c r="A18" t="s">
        <v>61</v>
      </c>
      <c r="B18">
        <v>160.53</v>
      </c>
      <c r="C18">
        <v>48.93</v>
      </c>
      <c r="D18">
        <v>21.2</v>
      </c>
      <c r="E18">
        <v>10.14</v>
      </c>
      <c r="F18">
        <v>39.68</v>
      </c>
      <c r="G18">
        <v>18.760000000000002</v>
      </c>
      <c r="H18">
        <v>54.37</v>
      </c>
      <c r="I18">
        <v>43.96</v>
      </c>
      <c r="J18">
        <v>23.71</v>
      </c>
      <c r="K18">
        <v>10.09</v>
      </c>
      <c r="L18">
        <v>65.88</v>
      </c>
      <c r="M18">
        <v>51.29</v>
      </c>
      <c r="N18">
        <f t="shared" si="0"/>
        <v>41.82</v>
      </c>
      <c r="AE18">
        <v>160.53</v>
      </c>
    </row>
    <row r="19" spans="1:31" x14ac:dyDescent="0.25">
      <c r="A19" t="s">
        <v>62</v>
      </c>
      <c r="B19">
        <v>296.66000000000003</v>
      </c>
      <c r="C19">
        <v>13.45</v>
      </c>
      <c r="D19">
        <v>45.05</v>
      </c>
      <c r="E19">
        <v>0.74</v>
      </c>
      <c r="F19">
        <v>18.03</v>
      </c>
      <c r="G19">
        <v>85.42</v>
      </c>
      <c r="H19">
        <v>16.95</v>
      </c>
      <c r="I19">
        <v>93.67</v>
      </c>
      <c r="J19">
        <v>67.27</v>
      </c>
      <c r="K19">
        <v>26.33</v>
      </c>
      <c r="L19">
        <v>44.8</v>
      </c>
      <c r="M19">
        <v>0.09</v>
      </c>
      <c r="N19">
        <f t="shared" si="0"/>
        <v>35.564999999999998</v>
      </c>
      <c r="AE19">
        <v>296.66000000000003</v>
      </c>
    </row>
    <row r="20" spans="1:31" x14ac:dyDescent="0.25">
      <c r="A20" t="s">
        <v>64</v>
      </c>
      <c r="B20">
        <v>285.72000000000003</v>
      </c>
      <c r="C20">
        <v>0.45</v>
      </c>
      <c r="D20">
        <v>70.989999999999995</v>
      </c>
      <c r="E20">
        <v>17.37</v>
      </c>
      <c r="F20">
        <v>70.22</v>
      </c>
      <c r="G20">
        <v>5.86</v>
      </c>
      <c r="H20">
        <v>7.69</v>
      </c>
      <c r="I20">
        <v>32.03</v>
      </c>
      <c r="J20">
        <v>122.46</v>
      </c>
      <c r="K20">
        <v>23.4</v>
      </c>
      <c r="L20">
        <v>24.44</v>
      </c>
      <c r="M20">
        <v>0.09</v>
      </c>
      <c r="N20">
        <f t="shared" si="0"/>
        <v>23.92</v>
      </c>
      <c r="AE20">
        <v>285.72000000000003</v>
      </c>
    </row>
    <row r="21" spans="1:31" x14ac:dyDescent="0.25">
      <c r="A21" t="s">
        <v>65</v>
      </c>
      <c r="B21">
        <v>152.22</v>
      </c>
      <c r="C21">
        <v>81.31</v>
      </c>
      <c r="D21">
        <v>66.39</v>
      </c>
      <c r="E21">
        <v>13.8</v>
      </c>
      <c r="F21">
        <v>16.989999999999998</v>
      </c>
      <c r="G21">
        <v>22.93</v>
      </c>
      <c r="H21">
        <v>50.11</v>
      </c>
      <c r="I21">
        <v>70.67</v>
      </c>
      <c r="J21">
        <v>15.04</v>
      </c>
      <c r="K21">
        <v>39.229999999999997</v>
      </c>
      <c r="L21">
        <v>38.9</v>
      </c>
      <c r="M21">
        <v>34.409999999999997</v>
      </c>
      <c r="N21">
        <f t="shared" si="0"/>
        <v>39.064999999999998</v>
      </c>
      <c r="AE21">
        <v>152.22</v>
      </c>
    </row>
    <row r="22" spans="1:31" x14ac:dyDescent="0.25">
      <c r="A22" t="s">
        <v>66</v>
      </c>
      <c r="B22">
        <v>151.63</v>
      </c>
      <c r="C22">
        <v>15.01</v>
      </c>
      <c r="D22">
        <v>48.44</v>
      </c>
      <c r="E22">
        <v>37.78</v>
      </c>
      <c r="F22">
        <v>57.46</v>
      </c>
      <c r="G22">
        <v>90.38</v>
      </c>
      <c r="H22">
        <v>32.869999999999997</v>
      </c>
      <c r="I22">
        <v>39.909999999999997</v>
      </c>
      <c r="J22">
        <v>42.1</v>
      </c>
      <c r="K22">
        <v>18.09</v>
      </c>
      <c r="L22">
        <v>25.08</v>
      </c>
      <c r="M22">
        <v>46</v>
      </c>
      <c r="N22">
        <f t="shared" si="0"/>
        <v>41.004999999999995</v>
      </c>
      <c r="AE22">
        <v>151.63</v>
      </c>
    </row>
    <row r="23" spans="1:31" x14ac:dyDescent="0.25">
      <c r="A23" t="s">
        <v>67</v>
      </c>
      <c r="B23">
        <v>149.1</v>
      </c>
      <c r="C23">
        <v>75.459999999999994</v>
      </c>
      <c r="D23">
        <v>54.49</v>
      </c>
      <c r="E23">
        <v>10.09</v>
      </c>
      <c r="F23">
        <v>53.43</v>
      </c>
      <c r="G23">
        <v>24.05</v>
      </c>
      <c r="H23">
        <v>36.83</v>
      </c>
      <c r="I23">
        <v>50.22</v>
      </c>
      <c r="J23">
        <v>42.26</v>
      </c>
      <c r="K23">
        <v>52.64</v>
      </c>
      <c r="L23">
        <v>48.35</v>
      </c>
      <c r="M23">
        <v>10.24</v>
      </c>
      <c r="N23">
        <f t="shared" si="0"/>
        <v>49.284999999999997</v>
      </c>
      <c r="AE23">
        <v>149.1</v>
      </c>
    </row>
    <row r="24" spans="1:31" x14ac:dyDescent="0.25">
      <c r="A24" t="s">
        <v>68</v>
      </c>
      <c r="B24">
        <v>277.12</v>
      </c>
      <c r="C24">
        <v>16.059999999999999</v>
      </c>
      <c r="D24">
        <v>48.65</v>
      </c>
      <c r="E24">
        <v>97.69</v>
      </c>
      <c r="F24">
        <v>0.36</v>
      </c>
      <c r="G24">
        <v>113.39</v>
      </c>
      <c r="H24">
        <v>267.17</v>
      </c>
      <c r="I24">
        <v>2.2799999999999998</v>
      </c>
      <c r="J24">
        <v>120.78</v>
      </c>
      <c r="K24">
        <v>32.1</v>
      </c>
      <c r="L24">
        <v>0.7</v>
      </c>
      <c r="M24">
        <v>62.58</v>
      </c>
      <c r="N24">
        <f t="shared" si="0"/>
        <v>55.614999999999995</v>
      </c>
      <c r="AE24">
        <v>277.12</v>
      </c>
    </row>
    <row r="25" spans="1:31" x14ac:dyDescent="0.25">
      <c r="A25" t="s">
        <v>69</v>
      </c>
      <c r="B25">
        <v>146.13999999999999</v>
      </c>
      <c r="C25">
        <v>11.18</v>
      </c>
      <c r="D25">
        <v>32.64</v>
      </c>
      <c r="E25">
        <v>22.43</v>
      </c>
      <c r="F25">
        <v>104.73</v>
      </c>
      <c r="G25">
        <v>19.22</v>
      </c>
      <c r="H25">
        <v>26.33</v>
      </c>
      <c r="I25">
        <v>26.43</v>
      </c>
      <c r="J25">
        <v>45.16</v>
      </c>
      <c r="K25">
        <v>71.69</v>
      </c>
      <c r="L25">
        <v>29.48</v>
      </c>
      <c r="M25">
        <v>69.540000000000006</v>
      </c>
      <c r="N25">
        <f t="shared" si="0"/>
        <v>31.060000000000002</v>
      </c>
      <c r="AE25">
        <v>146.13999999999999</v>
      </c>
    </row>
    <row r="26" spans="1:31" x14ac:dyDescent="0.25">
      <c r="A26" t="s">
        <v>70</v>
      </c>
      <c r="B26">
        <v>144.02000000000001</v>
      </c>
      <c r="C26">
        <v>32.619999999999997</v>
      </c>
      <c r="D26">
        <v>28.28</v>
      </c>
      <c r="E26">
        <v>16.63</v>
      </c>
      <c r="F26">
        <v>82.88</v>
      </c>
      <c r="G26">
        <v>59.93</v>
      </c>
      <c r="H26">
        <v>12.61</v>
      </c>
      <c r="I26">
        <v>98.85</v>
      </c>
      <c r="J26">
        <v>33.26</v>
      </c>
      <c r="K26">
        <v>59.5</v>
      </c>
      <c r="L26">
        <v>71.760000000000005</v>
      </c>
      <c r="M26">
        <v>62.9</v>
      </c>
      <c r="N26">
        <f t="shared" si="0"/>
        <v>59.715000000000003</v>
      </c>
      <c r="AE26">
        <v>144.02000000000001</v>
      </c>
    </row>
    <row r="27" spans="1:31" x14ac:dyDescent="0.25">
      <c r="A27" t="s">
        <v>71</v>
      </c>
      <c r="B27">
        <v>143.01</v>
      </c>
      <c r="C27">
        <v>91.17</v>
      </c>
      <c r="D27">
        <v>46.35</v>
      </c>
      <c r="E27">
        <v>23.76</v>
      </c>
      <c r="F27">
        <v>13.4</v>
      </c>
      <c r="G27">
        <v>51.77</v>
      </c>
      <c r="H27">
        <v>36.630000000000003</v>
      </c>
      <c r="I27">
        <v>119.22</v>
      </c>
      <c r="J27">
        <v>37.47</v>
      </c>
      <c r="K27">
        <v>181.49</v>
      </c>
      <c r="L27">
        <v>80.86</v>
      </c>
      <c r="M27">
        <v>124.84</v>
      </c>
      <c r="N27">
        <f t="shared" si="0"/>
        <v>66.314999999999998</v>
      </c>
      <c r="AE27">
        <v>143.01</v>
      </c>
    </row>
    <row r="28" spans="1:31" x14ac:dyDescent="0.25">
      <c r="A28" t="s">
        <v>72</v>
      </c>
      <c r="B28">
        <v>141.43</v>
      </c>
      <c r="C28">
        <v>24.76</v>
      </c>
      <c r="D28">
        <v>26.94</v>
      </c>
      <c r="E28">
        <v>29.95</v>
      </c>
      <c r="F28">
        <v>40.020000000000003</v>
      </c>
      <c r="G28">
        <v>67.86</v>
      </c>
      <c r="H28">
        <v>28.22</v>
      </c>
      <c r="I28">
        <v>37.380000000000003</v>
      </c>
      <c r="J28">
        <v>30.48</v>
      </c>
      <c r="K28">
        <v>32.74</v>
      </c>
      <c r="L28">
        <v>107.21</v>
      </c>
      <c r="M28">
        <v>75.25</v>
      </c>
      <c r="N28">
        <f t="shared" si="0"/>
        <v>35.06</v>
      </c>
      <c r="AE28">
        <v>141.43</v>
      </c>
    </row>
    <row r="29" spans="1:31" x14ac:dyDescent="0.25">
      <c r="A29" t="s">
        <v>73</v>
      </c>
      <c r="B29">
        <v>139.5</v>
      </c>
      <c r="C29">
        <v>16.12</v>
      </c>
      <c r="D29">
        <v>10.29</v>
      </c>
      <c r="E29">
        <v>50.58</v>
      </c>
      <c r="F29">
        <v>21.15</v>
      </c>
      <c r="G29">
        <v>64.45</v>
      </c>
      <c r="H29">
        <v>21.7</v>
      </c>
      <c r="I29">
        <v>39.32</v>
      </c>
      <c r="J29">
        <v>14.36</v>
      </c>
      <c r="K29">
        <v>23.44</v>
      </c>
      <c r="L29">
        <v>53.34</v>
      </c>
      <c r="M29">
        <v>70.44</v>
      </c>
      <c r="N29">
        <f t="shared" si="0"/>
        <v>31.380000000000003</v>
      </c>
      <c r="AE29">
        <v>139.5</v>
      </c>
    </row>
    <row r="30" spans="1:31" x14ac:dyDescent="0.25">
      <c r="A30" t="s">
        <v>74</v>
      </c>
      <c r="B30">
        <v>139.46</v>
      </c>
      <c r="C30">
        <v>36.479999999999997</v>
      </c>
      <c r="D30">
        <v>64.989999999999995</v>
      </c>
      <c r="E30">
        <v>38.51</v>
      </c>
      <c r="F30">
        <v>17.25</v>
      </c>
      <c r="G30">
        <v>34.549999999999997</v>
      </c>
      <c r="H30">
        <v>13.44</v>
      </c>
      <c r="I30">
        <v>31.01</v>
      </c>
      <c r="J30">
        <v>43.96</v>
      </c>
      <c r="K30">
        <v>45.46</v>
      </c>
      <c r="L30">
        <v>16.46</v>
      </c>
      <c r="M30">
        <v>9.99</v>
      </c>
      <c r="N30">
        <f t="shared" si="0"/>
        <v>35.515000000000001</v>
      </c>
      <c r="AE30">
        <v>139.46</v>
      </c>
    </row>
    <row r="31" spans="1:31" x14ac:dyDescent="0.25">
      <c r="A31" t="s">
        <v>75</v>
      </c>
      <c r="B31">
        <v>257.11</v>
      </c>
      <c r="C31">
        <v>63.52</v>
      </c>
      <c r="D31">
        <v>42.15</v>
      </c>
      <c r="E31">
        <v>47.9</v>
      </c>
      <c r="F31">
        <v>54.1</v>
      </c>
      <c r="G31">
        <v>54.33</v>
      </c>
      <c r="H31">
        <v>64.95</v>
      </c>
      <c r="I31">
        <v>198</v>
      </c>
      <c r="J31">
        <v>55.42</v>
      </c>
      <c r="K31">
        <v>144.07</v>
      </c>
      <c r="L31">
        <v>158.85</v>
      </c>
      <c r="M31">
        <v>54.66</v>
      </c>
      <c r="N31">
        <f t="shared" si="0"/>
        <v>59.47</v>
      </c>
      <c r="AE31">
        <v>257.11</v>
      </c>
    </row>
    <row r="32" spans="1:31" x14ac:dyDescent="0.25">
      <c r="A32" t="s">
        <v>76</v>
      </c>
      <c r="B32">
        <v>136.96</v>
      </c>
      <c r="C32">
        <v>22.87</v>
      </c>
      <c r="D32">
        <v>9.99</v>
      </c>
      <c r="E32">
        <v>33.53</v>
      </c>
      <c r="F32">
        <v>82.95</v>
      </c>
      <c r="G32">
        <v>10.14</v>
      </c>
      <c r="H32">
        <v>19.04</v>
      </c>
      <c r="I32">
        <v>32.49</v>
      </c>
      <c r="J32">
        <v>196.13</v>
      </c>
      <c r="K32">
        <v>161.12</v>
      </c>
      <c r="L32">
        <v>14.23</v>
      </c>
      <c r="M32">
        <v>48.54</v>
      </c>
      <c r="N32">
        <f t="shared" si="0"/>
        <v>33.010000000000005</v>
      </c>
      <c r="AE32">
        <v>136.96</v>
      </c>
    </row>
    <row r="33" spans="1:31" x14ac:dyDescent="0.25">
      <c r="A33" t="s">
        <v>77</v>
      </c>
      <c r="B33">
        <v>136.41999999999999</v>
      </c>
      <c r="C33">
        <v>42.72</v>
      </c>
      <c r="D33">
        <v>81.349999999999994</v>
      </c>
      <c r="E33">
        <v>17.62</v>
      </c>
      <c r="F33">
        <v>110.01</v>
      </c>
      <c r="G33">
        <v>75.510000000000005</v>
      </c>
      <c r="H33">
        <v>73.739999999999995</v>
      </c>
      <c r="I33">
        <v>20.81</v>
      </c>
      <c r="J33">
        <v>33.24</v>
      </c>
      <c r="K33">
        <v>38.36</v>
      </c>
      <c r="L33">
        <v>76.150000000000006</v>
      </c>
      <c r="M33">
        <v>76.260000000000005</v>
      </c>
      <c r="N33">
        <f t="shared" si="0"/>
        <v>74.625</v>
      </c>
      <c r="AE33">
        <v>136.41999999999999</v>
      </c>
    </row>
    <row r="34" spans="1:31" x14ac:dyDescent="0.25">
      <c r="A34" t="s">
        <v>78</v>
      </c>
      <c r="B34">
        <v>134.19</v>
      </c>
      <c r="C34">
        <v>54.17</v>
      </c>
      <c r="D34">
        <v>78.36</v>
      </c>
      <c r="E34">
        <v>14.09</v>
      </c>
      <c r="F34">
        <v>46.5</v>
      </c>
      <c r="G34">
        <v>11.97</v>
      </c>
      <c r="H34">
        <v>11.72</v>
      </c>
      <c r="I34">
        <v>32.01</v>
      </c>
      <c r="J34">
        <v>54.09</v>
      </c>
      <c r="K34">
        <v>21.7</v>
      </c>
      <c r="L34">
        <v>52.81</v>
      </c>
      <c r="M34">
        <v>38.97</v>
      </c>
      <c r="N34">
        <f t="shared" si="0"/>
        <v>42.734999999999999</v>
      </c>
      <c r="AE34">
        <v>134.19</v>
      </c>
    </row>
    <row r="35" spans="1:31" x14ac:dyDescent="0.25">
      <c r="A35" t="s">
        <v>79</v>
      </c>
      <c r="B35">
        <v>132.71</v>
      </c>
      <c r="C35">
        <v>43.32</v>
      </c>
      <c r="D35">
        <v>27.83</v>
      </c>
      <c r="E35">
        <v>12.26</v>
      </c>
      <c r="F35">
        <v>58.43</v>
      </c>
      <c r="G35">
        <v>46.4</v>
      </c>
      <c r="H35">
        <v>36.770000000000003</v>
      </c>
      <c r="I35">
        <v>69.87</v>
      </c>
      <c r="J35">
        <v>47.85</v>
      </c>
      <c r="K35">
        <v>12.17</v>
      </c>
      <c r="L35">
        <v>73.64</v>
      </c>
      <c r="M35">
        <v>43.08</v>
      </c>
      <c r="N35">
        <f t="shared" si="0"/>
        <v>44.86</v>
      </c>
      <c r="AE35">
        <v>132.71</v>
      </c>
    </row>
    <row r="36" spans="1:31" x14ac:dyDescent="0.25">
      <c r="A36" t="s">
        <v>80</v>
      </c>
      <c r="B36">
        <v>132.72</v>
      </c>
      <c r="C36">
        <v>43.1</v>
      </c>
      <c r="D36">
        <v>28.44</v>
      </c>
      <c r="E36">
        <v>52.21</v>
      </c>
      <c r="F36">
        <v>57.02</v>
      </c>
      <c r="G36">
        <v>10.09</v>
      </c>
      <c r="H36">
        <v>24.01</v>
      </c>
      <c r="I36">
        <v>66.86</v>
      </c>
      <c r="J36">
        <v>29.39</v>
      </c>
      <c r="K36">
        <v>62.14</v>
      </c>
      <c r="L36">
        <v>32.28</v>
      </c>
      <c r="M36">
        <v>166.06</v>
      </c>
      <c r="N36">
        <f t="shared" si="0"/>
        <v>47.655000000000001</v>
      </c>
      <c r="AE36">
        <v>132.72</v>
      </c>
    </row>
    <row r="37" spans="1:31" x14ac:dyDescent="0.25">
      <c r="A37" t="s">
        <v>81</v>
      </c>
      <c r="B37">
        <v>242.67</v>
      </c>
      <c r="C37">
        <v>0.81</v>
      </c>
      <c r="D37">
        <v>0.18</v>
      </c>
      <c r="E37">
        <v>0.81</v>
      </c>
      <c r="F37">
        <v>47.08</v>
      </c>
      <c r="G37">
        <v>21.98</v>
      </c>
      <c r="H37">
        <v>59.09</v>
      </c>
      <c r="I37">
        <v>14.22</v>
      </c>
      <c r="J37">
        <v>14.86</v>
      </c>
      <c r="K37">
        <v>89.07</v>
      </c>
      <c r="L37">
        <v>12.46</v>
      </c>
      <c r="M37">
        <v>121.02</v>
      </c>
      <c r="N37">
        <f t="shared" si="0"/>
        <v>18.420000000000002</v>
      </c>
      <c r="AE37">
        <v>242.67</v>
      </c>
    </row>
    <row r="38" spans="1:31" x14ac:dyDescent="0.25">
      <c r="A38" t="s">
        <v>82</v>
      </c>
      <c r="B38">
        <v>128.46</v>
      </c>
      <c r="C38">
        <v>10.24</v>
      </c>
      <c r="D38">
        <v>152.38</v>
      </c>
      <c r="E38">
        <v>72.069999999999993</v>
      </c>
      <c r="F38">
        <v>20.27</v>
      </c>
      <c r="G38">
        <v>55.9</v>
      </c>
      <c r="H38">
        <v>41.81</v>
      </c>
      <c r="I38">
        <v>10.09</v>
      </c>
      <c r="J38">
        <v>28.29</v>
      </c>
      <c r="K38">
        <v>43.74</v>
      </c>
      <c r="L38">
        <v>44.93</v>
      </c>
      <c r="M38">
        <v>44.78</v>
      </c>
      <c r="N38">
        <f t="shared" si="0"/>
        <v>44.260000000000005</v>
      </c>
      <c r="AE38">
        <v>128.46</v>
      </c>
    </row>
    <row r="39" spans="1:31" x14ac:dyDescent="0.25">
      <c r="A39" t="s">
        <v>83</v>
      </c>
      <c r="B39">
        <v>126</v>
      </c>
      <c r="C39">
        <v>27.88</v>
      </c>
      <c r="D39">
        <v>10.24</v>
      </c>
      <c r="E39">
        <v>62.01</v>
      </c>
      <c r="F39">
        <v>10.29</v>
      </c>
      <c r="G39">
        <v>88.67</v>
      </c>
      <c r="H39">
        <v>10.039999999999999</v>
      </c>
      <c r="I39">
        <v>47.64</v>
      </c>
      <c r="J39">
        <v>20.55</v>
      </c>
      <c r="K39">
        <v>20.89</v>
      </c>
      <c r="L39">
        <v>88.83</v>
      </c>
      <c r="M39">
        <v>56.97</v>
      </c>
      <c r="N39">
        <f t="shared" si="0"/>
        <v>37.76</v>
      </c>
      <c r="AE39">
        <v>126</v>
      </c>
    </row>
    <row r="40" spans="1:31" x14ac:dyDescent="0.25">
      <c r="A40" t="s">
        <v>84</v>
      </c>
      <c r="B40">
        <v>124.99</v>
      </c>
      <c r="C40">
        <v>17.45</v>
      </c>
      <c r="D40">
        <v>26.26</v>
      </c>
      <c r="E40">
        <v>85.76</v>
      </c>
      <c r="F40">
        <v>124.17</v>
      </c>
      <c r="G40">
        <v>46.68</v>
      </c>
      <c r="H40">
        <v>19.190000000000001</v>
      </c>
      <c r="I40">
        <v>35.909999999999997</v>
      </c>
      <c r="J40">
        <v>79.81</v>
      </c>
      <c r="K40">
        <v>44.5</v>
      </c>
      <c r="L40">
        <v>10.49</v>
      </c>
      <c r="M40">
        <v>10.09</v>
      </c>
      <c r="N40">
        <f t="shared" si="0"/>
        <v>40.204999999999998</v>
      </c>
      <c r="AE40">
        <v>124.99</v>
      </c>
    </row>
    <row r="41" spans="1:31" x14ac:dyDescent="0.25">
      <c r="A41" t="s">
        <v>85</v>
      </c>
      <c r="B41">
        <v>123.97</v>
      </c>
      <c r="C41">
        <v>39.53</v>
      </c>
      <c r="D41">
        <v>53.4</v>
      </c>
      <c r="E41">
        <v>75.209999999999994</v>
      </c>
      <c r="F41">
        <v>19.989999999999998</v>
      </c>
      <c r="G41">
        <v>194.53</v>
      </c>
      <c r="H41">
        <v>53.5</v>
      </c>
      <c r="I41">
        <v>21.39</v>
      </c>
      <c r="J41">
        <v>59.59</v>
      </c>
      <c r="K41">
        <v>40.200000000000003</v>
      </c>
      <c r="L41">
        <v>10.09</v>
      </c>
      <c r="M41">
        <v>76.209999999999994</v>
      </c>
      <c r="N41">
        <f t="shared" si="0"/>
        <v>53.45</v>
      </c>
      <c r="AE41">
        <v>123.97</v>
      </c>
    </row>
    <row r="42" spans="1:31" x14ac:dyDescent="0.25">
      <c r="A42" t="s">
        <v>86</v>
      </c>
      <c r="B42">
        <v>123.7</v>
      </c>
      <c r="C42">
        <v>138.51</v>
      </c>
      <c r="D42">
        <v>60.3</v>
      </c>
      <c r="E42">
        <v>65.67</v>
      </c>
      <c r="F42">
        <v>42.38</v>
      </c>
      <c r="G42">
        <v>55.47</v>
      </c>
      <c r="H42">
        <v>74.2</v>
      </c>
      <c r="I42">
        <v>25.22</v>
      </c>
      <c r="J42">
        <v>36.79</v>
      </c>
      <c r="K42">
        <v>31.56</v>
      </c>
      <c r="L42">
        <v>32.369999999999997</v>
      </c>
      <c r="M42">
        <v>90.42</v>
      </c>
      <c r="N42">
        <f t="shared" si="0"/>
        <v>57.884999999999998</v>
      </c>
      <c r="AE42">
        <v>123.7</v>
      </c>
    </row>
    <row r="43" spans="1:31" x14ac:dyDescent="0.25">
      <c r="A43" t="s">
        <v>87</v>
      </c>
      <c r="B43">
        <v>121.09</v>
      </c>
      <c r="C43">
        <v>17.670000000000002</v>
      </c>
      <c r="D43">
        <v>88.98</v>
      </c>
      <c r="E43">
        <v>129.25</v>
      </c>
      <c r="F43">
        <v>107.47</v>
      </c>
      <c r="G43">
        <v>85.68</v>
      </c>
      <c r="H43">
        <v>92.24</v>
      </c>
      <c r="I43">
        <v>16.12</v>
      </c>
      <c r="J43">
        <v>20.28</v>
      </c>
      <c r="K43">
        <v>50.25</v>
      </c>
      <c r="L43">
        <v>41.66</v>
      </c>
      <c r="M43">
        <v>9.99</v>
      </c>
      <c r="N43">
        <f t="shared" si="0"/>
        <v>67.965000000000003</v>
      </c>
      <c r="AE43">
        <v>121.09</v>
      </c>
    </row>
    <row r="44" spans="1:31" x14ac:dyDescent="0.25">
      <c r="A44" t="s">
        <v>88</v>
      </c>
      <c r="B44">
        <v>120.65</v>
      </c>
      <c r="C44">
        <v>38.799999999999997</v>
      </c>
      <c r="D44">
        <v>32.85</v>
      </c>
      <c r="E44">
        <v>90.69</v>
      </c>
      <c r="F44">
        <v>14.17</v>
      </c>
      <c r="G44">
        <v>41.63</v>
      </c>
      <c r="H44">
        <v>56.77</v>
      </c>
      <c r="I44">
        <v>31.34</v>
      </c>
      <c r="J44">
        <v>19.71</v>
      </c>
      <c r="K44">
        <v>34.090000000000003</v>
      </c>
      <c r="L44">
        <v>24.66</v>
      </c>
      <c r="M44">
        <v>20.54</v>
      </c>
      <c r="N44">
        <f t="shared" si="0"/>
        <v>33.47</v>
      </c>
      <c r="AE44">
        <v>120.65</v>
      </c>
    </row>
    <row r="45" spans="1:31" x14ac:dyDescent="0.25">
      <c r="A45" t="s">
        <v>89</v>
      </c>
      <c r="B45">
        <v>120.27</v>
      </c>
      <c r="C45">
        <v>30.01</v>
      </c>
      <c r="D45">
        <v>18.21</v>
      </c>
      <c r="E45">
        <v>87.64</v>
      </c>
      <c r="F45">
        <v>21.18</v>
      </c>
      <c r="G45">
        <v>41.98</v>
      </c>
      <c r="H45">
        <v>31.61</v>
      </c>
      <c r="I45">
        <v>47.5</v>
      </c>
      <c r="J45">
        <v>45.29</v>
      </c>
      <c r="K45">
        <v>25.31</v>
      </c>
      <c r="L45">
        <v>133.13</v>
      </c>
      <c r="M45">
        <v>25.32</v>
      </c>
      <c r="N45">
        <f t="shared" si="0"/>
        <v>36.795000000000002</v>
      </c>
      <c r="AE45">
        <v>120.27</v>
      </c>
    </row>
    <row r="46" spans="1:31" x14ac:dyDescent="0.25">
      <c r="A46" t="s">
        <v>90</v>
      </c>
      <c r="B46">
        <v>220.44</v>
      </c>
      <c r="C46">
        <v>0</v>
      </c>
      <c r="D46">
        <v>103.23</v>
      </c>
      <c r="E46">
        <v>16.670000000000002</v>
      </c>
      <c r="F46">
        <v>156.97</v>
      </c>
      <c r="G46">
        <v>16.47</v>
      </c>
      <c r="H46">
        <v>0.9</v>
      </c>
      <c r="I46">
        <v>74.209999999999994</v>
      </c>
      <c r="J46">
        <v>26.18</v>
      </c>
      <c r="K46">
        <v>21.07</v>
      </c>
      <c r="L46">
        <v>71.349999999999994</v>
      </c>
      <c r="M46">
        <v>136.96</v>
      </c>
      <c r="N46">
        <f t="shared" si="0"/>
        <v>48.765000000000001</v>
      </c>
      <c r="AE46">
        <v>220.44</v>
      </c>
    </row>
    <row r="47" spans="1:31" x14ac:dyDescent="0.25">
      <c r="A47" t="s">
        <v>91</v>
      </c>
      <c r="B47">
        <v>120.05</v>
      </c>
      <c r="C47">
        <v>88.83</v>
      </c>
      <c r="D47">
        <v>51.24</v>
      </c>
      <c r="E47">
        <v>50.3</v>
      </c>
      <c r="F47">
        <v>23.2</v>
      </c>
      <c r="G47">
        <v>19.46</v>
      </c>
      <c r="H47">
        <v>19.329999999999998</v>
      </c>
      <c r="I47">
        <v>60.66</v>
      </c>
      <c r="J47">
        <v>25.2</v>
      </c>
      <c r="K47">
        <v>49.98</v>
      </c>
      <c r="L47">
        <v>20.84</v>
      </c>
      <c r="M47">
        <v>25.01</v>
      </c>
      <c r="N47">
        <f t="shared" si="0"/>
        <v>37.589999999999996</v>
      </c>
      <c r="AE47">
        <v>120.05</v>
      </c>
    </row>
    <row r="48" spans="1:31" x14ac:dyDescent="0.25">
      <c r="A48" t="s">
        <v>92</v>
      </c>
      <c r="B48">
        <v>219.52</v>
      </c>
      <c r="C48">
        <v>8.06</v>
      </c>
      <c r="D48">
        <v>49.98</v>
      </c>
      <c r="E48">
        <v>17.93</v>
      </c>
      <c r="F48">
        <v>0</v>
      </c>
      <c r="G48">
        <v>96.17</v>
      </c>
      <c r="H48">
        <v>15.41</v>
      </c>
      <c r="I48">
        <v>96.4</v>
      </c>
      <c r="J48">
        <v>32.61</v>
      </c>
      <c r="K48">
        <v>34.020000000000003</v>
      </c>
      <c r="L48">
        <v>24.14</v>
      </c>
      <c r="M48">
        <v>26.1</v>
      </c>
      <c r="N48">
        <f t="shared" si="0"/>
        <v>29.355</v>
      </c>
      <c r="AE48">
        <v>219.52</v>
      </c>
    </row>
    <row r="49" spans="1:31" x14ac:dyDescent="0.25">
      <c r="A49" t="s">
        <v>93</v>
      </c>
      <c r="B49">
        <v>118.97</v>
      </c>
      <c r="C49">
        <v>14.87</v>
      </c>
      <c r="D49">
        <v>41.32</v>
      </c>
      <c r="E49">
        <v>23.75</v>
      </c>
      <c r="F49">
        <v>55.4</v>
      </c>
      <c r="G49">
        <v>10.49</v>
      </c>
      <c r="H49">
        <v>26.51</v>
      </c>
      <c r="I49">
        <v>62.47</v>
      </c>
      <c r="J49">
        <v>38.020000000000003</v>
      </c>
      <c r="K49">
        <v>18.71</v>
      </c>
      <c r="L49">
        <v>48.59</v>
      </c>
      <c r="M49">
        <v>34.28</v>
      </c>
      <c r="N49">
        <f t="shared" si="0"/>
        <v>36.150000000000006</v>
      </c>
      <c r="AE49">
        <v>118.97</v>
      </c>
    </row>
    <row r="50" spans="1:31" x14ac:dyDescent="0.25">
      <c r="A50" t="s">
        <v>94</v>
      </c>
      <c r="B50">
        <v>118.68</v>
      </c>
      <c r="C50">
        <v>72.03</v>
      </c>
      <c r="D50">
        <v>54.22</v>
      </c>
      <c r="E50">
        <v>58.64</v>
      </c>
      <c r="F50">
        <v>52.43</v>
      </c>
      <c r="G50">
        <v>10.78</v>
      </c>
      <c r="H50">
        <v>21.22</v>
      </c>
      <c r="I50">
        <v>90.05</v>
      </c>
      <c r="J50">
        <v>47.06</v>
      </c>
      <c r="K50">
        <v>23.04</v>
      </c>
      <c r="L50">
        <v>54.11</v>
      </c>
      <c r="M50">
        <v>34.24</v>
      </c>
      <c r="N50">
        <f t="shared" si="0"/>
        <v>53.269999999999996</v>
      </c>
      <c r="AE50">
        <v>118.68</v>
      </c>
    </row>
    <row r="51" spans="1:31" x14ac:dyDescent="0.25">
      <c r="A51" t="s">
        <v>95</v>
      </c>
      <c r="B51">
        <v>118.04</v>
      </c>
      <c r="C51">
        <v>23.34</v>
      </c>
      <c r="D51">
        <v>45.49</v>
      </c>
      <c r="E51">
        <v>10.19</v>
      </c>
      <c r="F51">
        <v>19.170000000000002</v>
      </c>
      <c r="G51">
        <v>33.67</v>
      </c>
      <c r="H51">
        <v>60.33</v>
      </c>
      <c r="I51">
        <v>25.85</v>
      </c>
      <c r="J51">
        <v>46.36</v>
      </c>
      <c r="K51">
        <v>29.09</v>
      </c>
      <c r="L51">
        <v>21.39</v>
      </c>
      <c r="M51">
        <v>89.04</v>
      </c>
      <c r="N51">
        <f t="shared" si="0"/>
        <v>31.380000000000003</v>
      </c>
      <c r="AE51">
        <v>118.04</v>
      </c>
    </row>
    <row r="52" spans="1:31" x14ac:dyDescent="0.25">
      <c r="A52" t="s">
        <v>96</v>
      </c>
      <c r="B52">
        <v>117.64</v>
      </c>
      <c r="C52">
        <v>10.14</v>
      </c>
      <c r="D52">
        <v>10.97</v>
      </c>
      <c r="E52">
        <v>72.239999999999995</v>
      </c>
      <c r="F52">
        <v>82.6</v>
      </c>
      <c r="G52">
        <v>50.21</v>
      </c>
      <c r="H52">
        <v>20.92</v>
      </c>
      <c r="I52">
        <v>45.44</v>
      </c>
      <c r="J52">
        <v>20.25</v>
      </c>
      <c r="K52">
        <v>15.05</v>
      </c>
      <c r="L52">
        <v>43.73</v>
      </c>
      <c r="M52">
        <v>16.52</v>
      </c>
      <c r="N52">
        <f t="shared" si="0"/>
        <v>32.325000000000003</v>
      </c>
      <c r="AE52">
        <v>117.64</v>
      </c>
    </row>
    <row r="53" spans="1:31" x14ac:dyDescent="0.25">
      <c r="A53" t="s">
        <v>97</v>
      </c>
      <c r="B53">
        <v>117.61</v>
      </c>
      <c r="C53">
        <v>165.06</v>
      </c>
      <c r="D53">
        <v>65.64</v>
      </c>
      <c r="E53">
        <v>9.99</v>
      </c>
      <c r="F53">
        <v>32.200000000000003</v>
      </c>
      <c r="G53">
        <v>25.81</v>
      </c>
      <c r="H53">
        <v>68.900000000000006</v>
      </c>
      <c r="I53">
        <v>11.92</v>
      </c>
      <c r="J53">
        <v>13.37</v>
      </c>
      <c r="K53">
        <v>36.549999999999997</v>
      </c>
      <c r="L53">
        <v>13.43</v>
      </c>
      <c r="M53">
        <v>50.07</v>
      </c>
      <c r="N53">
        <f t="shared" si="0"/>
        <v>34.375</v>
      </c>
      <c r="AE53">
        <v>117.61</v>
      </c>
    </row>
    <row r="54" spans="1:31" x14ac:dyDescent="0.25">
      <c r="A54" t="s">
        <v>98</v>
      </c>
      <c r="B54">
        <v>115.45</v>
      </c>
      <c r="C54">
        <v>25.78</v>
      </c>
      <c r="D54">
        <v>15.2</v>
      </c>
      <c r="E54">
        <v>26.64</v>
      </c>
      <c r="F54">
        <v>28.29</v>
      </c>
      <c r="G54">
        <v>35.130000000000003</v>
      </c>
      <c r="H54">
        <v>28.94</v>
      </c>
      <c r="I54">
        <v>40.54</v>
      </c>
      <c r="J54">
        <v>46.7</v>
      </c>
      <c r="K54">
        <v>65.78</v>
      </c>
      <c r="L54">
        <v>58.14</v>
      </c>
      <c r="M54">
        <v>10.19</v>
      </c>
      <c r="N54">
        <f t="shared" si="0"/>
        <v>32.035000000000004</v>
      </c>
      <c r="AE54">
        <v>115.45</v>
      </c>
    </row>
    <row r="55" spans="1:31" x14ac:dyDescent="0.25">
      <c r="A55" t="s">
        <v>99</v>
      </c>
      <c r="B55">
        <v>114.8</v>
      </c>
      <c r="C55">
        <v>51.97</v>
      </c>
      <c r="D55">
        <v>35.11</v>
      </c>
      <c r="E55">
        <v>63.59</v>
      </c>
      <c r="F55">
        <v>11.99</v>
      </c>
      <c r="G55">
        <v>14.21</v>
      </c>
      <c r="H55">
        <v>40.31</v>
      </c>
      <c r="I55">
        <v>14.28</v>
      </c>
      <c r="J55">
        <v>116.21</v>
      </c>
      <c r="K55">
        <v>23.73</v>
      </c>
      <c r="L55">
        <v>30.12</v>
      </c>
      <c r="M55">
        <v>52.84</v>
      </c>
      <c r="N55">
        <f t="shared" si="0"/>
        <v>37.71</v>
      </c>
      <c r="AE55">
        <v>114.8</v>
      </c>
    </row>
    <row r="56" spans="1:31" x14ac:dyDescent="0.25">
      <c r="A56" t="s">
        <v>100</v>
      </c>
      <c r="B56">
        <v>114.06</v>
      </c>
      <c r="C56">
        <v>12.71</v>
      </c>
      <c r="D56">
        <v>10.29</v>
      </c>
      <c r="E56">
        <v>38.75</v>
      </c>
      <c r="F56">
        <v>77.97</v>
      </c>
      <c r="G56">
        <v>126.71</v>
      </c>
      <c r="H56">
        <v>53.72</v>
      </c>
      <c r="I56">
        <v>18.95</v>
      </c>
      <c r="J56">
        <v>149.22999999999999</v>
      </c>
      <c r="K56">
        <v>102.42</v>
      </c>
      <c r="L56">
        <v>24.3</v>
      </c>
      <c r="M56">
        <v>46.73</v>
      </c>
      <c r="N56">
        <f t="shared" si="0"/>
        <v>50.224999999999994</v>
      </c>
      <c r="AE56">
        <v>114.06</v>
      </c>
    </row>
    <row r="57" spans="1:31" x14ac:dyDescent="0.25">
      <c r="A57" t="s">
        <v>101</v>
      </c>
      <c r="B57">
        <v>113.89</v>
      </c>
      <c r="C57">
        <v>42.26</v>
      </c>
      <c r="D57">
        <v>13.06</v>
      </c>
      <c r="E57">
        <v>39.68</v>
      </c>
      <c r="F57">
        <v>43.72</v>
      </c>
      <c r="G57">
        <v>83.18</v>
      </c>
      <c r="H57">
        <v>25.46</v>
      </c>
      <c r="I57">
        <v>28.5</v>
      </c>
      <c r="J57">
        <v>37.51</v>
      </c>
      <c r="K57">
        <v>45.35</v>
      </c>
      <c r="L57">
        <v>52.83</v>
      </c>
      <c r="M57">
        <v>13.14</v>
      </c>
      <c r="N57">
        <f t="shared" si="0"/>
        <v>40.97</v>
      </c>
      <c r="AE57">
        <v>113.89</v>
      </c>
    </row>
    <row r="58" spans="1:31" x14ac:dyDescent="0.25">
      <c r="A58" t="s">
        <v>102</v>
      </c>
      <c r="B58">
        <v>112.94</v>
      </c>
      <c r="C58">
        <v>10.29</v>
      </c>
      <c r="D58">
        <v>34.15</v>
      </c>
      <c r="E58">
        <v>72.64</v>
      </c>
      <c r="F58">
        <v>49.61</v>
      </c>
      <c r="G58">
        <v>64.05</v>
      </c>
      <c r="H58">
        <v>81.47</v>
      </c>
      <c r="I58">
        <v>67.2</v>
      </c>
      <c r="J58">
        <v>57.14</v>
      </c>
      <c r="K58">
        <v>123.86</v>
      </c>
      <c r="L58">
        <v>88.55</v>
      </c>
      <c r="M58">
        <v>66.680000000000007</v>
      </c>
      <c r="N58">
        <f t="shared" si="0"/>
        <v>66.94</v>
      </c>
      <c r="AE58">
        <v>112.94</v>
      </c>
    </row>
    <row r="59" spans="1:31" x14ac:dyDescent="0.25">
      <c r="A59" t="s">
        <v>103</v>
      </c>
      <c r="B59">
        <v>111.81</v>
      </c>
      <c r="C59">
        <v>21.03</v>
      </c>
      <c r="D59">
        <v>120</v>
      </c>
      <c r="E59">
        <v>65.98</v>
      </c>
      <c r="F59">
        <v>47.2</v>
      </c>
      <c r="G59">
        <v>105.13</v>
      </c>
      <c r="H59">
        <v>10.32</v>
      </c>
      <c r="I59">
        <v>27.03</v>
      </c>
      <c r="J59">
        <v>15.81</v>
      </c>
      <c r="K59">
        <v>24.88</v>
      </c>
      <c r="L59">
        <v>21.82</v>
      </c>
      <c r="M59">
        <v>34.06</v>
      </c>
      <c r="N59">
        <f t="shared" si="0"/>
        <v>30.545000000000002</v>
      </c>
      <c r="AE59">
        <v>111.81</v>
      </c>
    </row>
    <row r="60" spans="1:31" x14ac:dyDescent="0.25">
      <c r="A60" t="s">
        <v>104</v>
      </c>
      <c r="B60">
        <v>203.7</v>
      </c>
      <c r="C60">
        <v>15.15</v>
      </c>
      <c r="D60">
        <v>19.73</v>
      </c>
      <c r="E60">
        <v>63.16</v>
      </c>
      <c r="F60">
        <v>8.73</v>
      </c>
      <c r="G60">
        <v>0.09</v>
      </c>
      <c r="H60">
        <v>65.52</v>
      </c>
      <c r="I60">
        <v>31.36</v>
      </c>
      <c r="J60">
        <v>15.71</v>
      </c>
      <c r="K60">
        <v>40.92</v>
      </c>
      <c r="L60">
        <v>42.65</v>
      </c>
      <c r="M60">
        <v>50.18</v>
      </c>
      <c r="N60">
        <f t="shared" si="0"/>
        <v>36.14</v>
      </c>
      <c r="AE60">
        <v>203.7</v>
      </c>
    </row>
    <row r="61" spans="1:31" x14ac:dyDescent="0.25">
      <c r="A61" t="s">
        <v>105</v>
      </c>
      <c r="B61">
        <v>110.6</v>
      </c>
      <c r="C61">
        <v>26.24</v>
      </c>
      <c r="D61">
        <v>60.59</v>
      </c>
      <c r="E61">
        <v>22.3</v>
      </c>
      <c r="F61">
        <v>27.71</v>
      </c>
      <c r="G61">
        <v>22.63</v>
      </c>
      <c r="H61">
        <v>70.150000000000006</v>
      </c>
      <c r="I61">
        <v>12.66</v>
      </c>
      <c r="J61">
        <v>12.59</v>
      </c>
      <c r="K61">
        <v>254.2</v>
      </c>
      <c r="L61">
        <v>16.09</v>
      </c>
      <c r="M61">
        <v>35.19</v>
      </c>
      <c r="N61">
        <f t="shared" si="0"/>
        <v>26.975000000000001</v>
      </c>
      <c r="AE61">
        <v>110.6</v>
      </c>
    </row>
    <row r="62" spans="1:31" x14ac:dyDescent="0.25">
      <c r="A62" t="s">
        <v>106</v>
      </c>
      <c r="B62">
        <v>110.95</v>
      </c>
      <c r="C62">
        <v>67.33</v>
      </c>
      <c r="D62">
        <v>14.03</v>
      </c>
      <c r="E62">
        <v>30.27</v>
      </c>
      <c r="F62">
        <v>23.69</v>
      </c>
      <c r="G62">
        <v>154.65</v>
      </c>
      <c r="H62">
        <v>156.21</v>
      </c>
      <c r="I62">
        <v>33.6</v>
      </c>
      <c r="J62">
        <v>20.420000000000002</v>
      </c>
      <c r="K62">
        <v>43.17</v>
      </c>
      <c r="L62">
        <v>29.04</v>
      </c>
      <c r="M62">
        <v>16.36</v>
      </c>
      <c r="N62">
        <f t="shared" si="0"/>
        <v>31.935000000000002</v>
      </c>
      <c r="AE62">
        <v>110.95</v>
      </c>
    </row>
    <row r="63" spans="1:31" x14ac:dyDescent="0.25">
      <c r="A63" t="s">
        <v>107</v>
      </c>
      <c r="B63">
        <v>197.04</v>
      </c>
      <c r="C63">
        <v>178.93</v>
      </c>
      <c r="D63">
        <v>51.54</v>
      </c>
      <c r="E63">
        <v>38.83</v>
      </c>
      <c r="F63">
        <v>73.12</v>
      </c>
      <c r="G63">
        <v>1.35</v>
      </c>
      <c r="H63">
        <v>37.82</v>
      </c>
      <c r="I63">
        <v>31.6</v>
      </c>
      <c r="J63">
        <v>4.97</v>
      </c>
      <c r="K63">
        <v>59.81</v>
      </c>
      <c r="L63">
        <v>26.89</v>
      </c>
      <c r="M63">
        <v>2.85</v>
      </c>
      <c r="N63">
        <f t="shared" si="0"/>
        <v>38.325000000000003</v>
      </c>
      <c r="AE63">
        <v>197.04</v>
      </c>
    </row>
    <row r="64" spans="1:31" x14ac:dyDescent="0.25">
      <c r="A64" t="s">
        <v>108</v>
      </c>
      <c r="B64">
        <v>107.24</v>
      </c>
      <c r="C64">
        <v>16.2</v>
      </c>
      <c r="D64">
        <v>21.53</v>
      </c>
      <c r="E64">
        <v>25.45</v>
      </c>
      <c r="F64">
        <v>86.1</v>
      </c>
      <c r="G64">
        <v>101.99</v>
      </c>
      <c r="H64">
        <v>21.39</v>
      </c>
      <c r="I64">
        <v>86.56</v>
      </c>
      <c r="J64">
        <v>20.76</v>
      </c>
      <c r="K64">
        <v>129.24</v>
      </c>
      <c r="L64">
        <v>37.82</v>
      </c>
      <c r="M64">
        <v>13.91</v>
      </c>
      <c r="N64">
        <f t="shared" si="0"/>
        <v>31.634999999999998</v>
      </c>
      <c r="AE64">
        <v>107.24</v>
      </c>
    </row>
    <row r="65" spans="1:31" x14ac:dyDescent="0.25">
      <c r="A65" t="s">
        <v>109</v>
      </c>
      <c r="B65">
        <v>106.78</v>
      </c>
      <c r="C65">
        <v>17.96</v>
      </c>
      <c r="D65">
        <v>60.17</v>
      </c>
      <c r="E65">
        <v>10.34</v>
      </c>
      <c r="F65">
        <v>86.92</v>
      </c>
      <c r="G65">
        <v>47.31</v>
      </c>
      <c r="H65">
        <v>25.41</v>
      </c>
      <c r="I65">
        <v>17</v>
      </c>
      <c r="J65">
        <v>63.79</v>
      </c>
      <c r="K65">
        <v>37.299999999999997</v>
      </c>
      <c r="L65">
        <v>32.81</v>
      </c>
      <c r="M65">
        <v>24.68</v>
      </c>
      <c r="N65">
        <f t="shared" si="0"/>
        <v>35.055</v>
      </c>
      <c r="AE65">
        <v>106.78</v>
      </c>
    </row>
    <row r="66" spans="1:31" x14ac:dyDescent="0.25">
      <c r="A66" t="s">
        <v>110</v>
      </c>
      <c r="B66">
        <v>106.67</v>
      </c>
      <c r="C66">
        <v>15.65</v>
      </c>
      <c r="D66">
        <v>103.01</v>
      </c>
      <c r="E66">
        <v>15.97</v>
      </c>
      <c r="F66">
        <v>95.06</v>
      </c>
      <c r="G66">
        <v>85.83</v>
      </c>
      <c r="H66">
        <v>112.03</v>
      </c>
      <c r="I66">
        <v>33.94</v>
      </c>
      <c r="J66">
        <v>91.86</v>
      </c>
      <c r="K66">
        <v>115.78</v>
      </c>
      <c r="L66">
        <v>21.19</v>
      </c>
      <c r="M66">
        <v>37.950000000000003</v>
      </c>
      <c r="N66">
        <f t="shared" si="0"/>
        <v>88.844999999999999</v>
      </c>
      <c r="AE66">
        <v>106.67</v>
      </c>
    </row>
    <row r="67" spans="1:31" x14ac:dyDescent="0.25">
      <c r="A67" t="s">
        <v>111</v>
      </c>
      <c r="B67">
        <v>106.38</v>
      </c>
      <c r="C67">
        <v>25.01</v>
      </c>
      <c r="D67">
        <v>49.11</v>
      </c>
      <c r="E67">
        <v>10.85</v>
      </c>
      <c r="F67">
        <v>61.61</v>
      </c>
      <c r="G67">
        <v>40.67</v>
      </c>
      <c r="H67">
        <v>53.62</v>
      </c>
      <c r="I67">
        <v>95.73</v>
      </c>
      <c r="J67">
        <v>9.99</v>
      </c>
      <c r="K67">
        <v>19.03</v>
      </c>
      <c r="L67">
        <v>209.76</v>
      </c>
      <c r="M67">
        <v>14.36</v>
      </c>
      <c r="N67">
        <f t="shared" ref="N67:N130" si="1">MEDIAN(B67:M67)</f>
        <v>44.89</v>
      </c>
      <c r="AE67">
        <v>106.38</v>
      </c>
    </row>
    <row r="68" spans="1:31" x14ac:dyDescent="0.25">
      <c r="A68" t="s">
        <v>112</v>
      </c>
      <c r="B68">
        <v>106.13</v>
      </c>
      <c r="C68">
        <v>57.46</v>
      </c>
      <c r="D68">
        <v>19.829999999999998</v>
      </c>
      <c r="E68">
        <v>25.8</v>
      </c>
      <c r="F68">
        <v>9.99</v>
      </c>
      <c r="G68">
        <v>17.2</v>
      </c>
      <c r="H68">
        <v>188.6</v>
      </c>
      <c r="I68">
        <v>36.57</v>
      </c>
      <c r="J68">
        <v>87.25</v>
      </c>
      <c r="K68">
        <v>24.14</v>
      </c>
      <c r="L68">
        <v>38.69</v>
      </c>
      <c r="M68">
        <v>118.01</v>
      </c>
      <c r="N68">
        <f t="shared" si="1"/>
        <v>37.629999999999995</v>
      </c>
      <c r="AE68">
        <v>106.13</v>
      </c>
    </row>
    <row r="69" spans="1:31" x14ac:dyDescent="0.25">
      <c r="A69" t="s">
        <v>113</v>
      </c>
      <c r="B69">
        <v>105.02</v>
      </c>
      <c r="C69">
        <v>22.81</v>
      </c>
      <c r="D69">
        <v>43.08</v>
      </c>
      <c r="E69">
        <v>58.93</v>
      </c>
      <c r="F69">
        <v>56.61</v>
      </c>
      <c r="G69">
        <v>40.26</v>
      </c>
      <c r="H69">
        <v>17.510000000000002</v>
      </c>
      <c r="I69">
        <v>63.67</v>
      </c>
      <c r="J69">
        <v>59.11</v>
      </c>
      <c r="K69">
        <v>48.31</v>
      </c>
      <c r="L69">
        <v>56.46</v>
      </c>
      <c r="M69">
        <v>23.93</v>
      </c>
      <c r="N69">
        <f t="shared" si="1"/>
        <v>52.385000000000005</v>
      </c>
      <c r="AE69">
        <v>105.02</v>
      </c>
    </row>
    <row r="70" spans="1:31" x14ac:dyDescent="0.25">
      <c r="A70" t="s">
        <v>114</v>
      </c>
      <c r="B70">
        <v>104.89</v>
      </c>
      <c r="C70">
        <v>25.08</v>
      </c>
      <c r="D70">
        <v>57.44</v>
      </c>
      <c r="E70">
        <v>48.64</v>
      </c>
      <c r="F70">
        <v>83.46</v>
      </c>
      <c r="G70">
        <v>58.17</v>
      </c>
      <c r="H70">
        <v>38.1</v>
      </c>
      <c r="I70">
        <v>44.8</v>
      </c>
      <c r="J70">
        <v>68.42</v>
      </c>
      <c r="K70">
        <v>10.54</v>
      </c>
      <c r="L70">
        <v>17.579999999999998</v>
      </c>
      <c r="M70">
        <v>10.34</v>
      </c>
      <c r="N70">
        <f t="shared" si="1"/>
        <v>46.72</v>
      </c>
      <c r="AE70">
        <v>104.89</v>
      </c>
    </row>
    <row r="71" spans="1:31" x14ac:dyDescent="0.25">
      <c r="A71" t="s">
        <v>115</v>
      </c>
      <c r="B71">
        <v>104.12</v>
      </c>
      <c r="C71">
        <v>49.3</v>
      </c>
      <c r="D71">
        <v>83.05</v>
      </c>
      <c r="E71">
        <v>28.3</v>
      </c>
      <c r="F71">
        <v>80.89</v>
      </c>
      <c r="G71">
        <v>32.39</v>
      </c>
      <c r="H71">
        <v>23.42</v>
      </c>
      <c r="I71">
        <v>97.35</v>
      </c>
      <c r="J71">
        <v>10.09</v>
      </c>
      <c r="K71">
        <v>111.77</v>
      </c>
      <c r="L71">
        <v>28.09</v>
      </c>
      <c r="M71">
        <v>194.69</v>
      </c>
      <c r="N71">
        <f t="shared" si="1"/>
        <v>65.094999999999999</v>
      </c>
      <c r="AE71">
        <v>104.12</v>
      </c>
    </row>
    <row r="72" spans="1:31" x14ac:dyDescent="0.25">
      <c r="A72" t="s">
        <v>116</v>
      </c>
      <c r="B72">
        <v>103.34</v>
      </c>
      <c r="C72">
        <v>48.31</v>
      </c>
      <c r="D72">
        <v>53.94</v>
      </c>
      <c r="E72">
        <v>28.91</v>
      </c>
      <c r="F72">
        <v>47.62</v>
      </c>
      <c r="G72">
        <v>34.68</v>
      </c>
      <c r="H72">
        <v>81.849999999999994</v>
      </c>
      <c r="I72">
        <v>27.11</v>
      </c>
      <c r="J72">
        <v>30.86</v>
      </c>
      <c r="K72">
        <v>27.42</v>
      </c>
      <c r="L72">
        <v>60.25</v>
      </c>
      <c r="M72">
        <v>113.66</v>
      </c>
      <c r="N72">
        <f t="shared" si="1"/>
        <v>47.965000000000003</v>
      </c>
      <c r="R72" t="s">
        <v>1067</v>
      </c>
      <c r="S72">
        <f>PERCENTILE(AE2:AE12001, 0.9)</f>
        <v>111.82200000000005</v>
      </c>
      <c r="AE72">
        <v>103.34</v>
      </c>
    </row>
    <row r="73" spans="1:31" x14ac:dyDescent="0.25">
      <c r="A73" t="s">
        <v>117</v>
      </c>
      <c r="B73">
        <v>102.27</v>
      </c>
      <c r="C73">
        <v>9.99</v>
      </c>
      <c r="D73">
        <v>53.43</v>
      </c>
      <c r="E73">
        <v>28.39</v>
      </c>
      <c r="F73">
        <v>24.97</v>
      </c>
      <c r="G73">
        <v>42.72</v>
      </c>
      <c r="H73">
        <v>61.1</v>
      </c>
      <c r="I73">
        <v>31.31</v>
      </c>
      <c r="J73">
        <v>9.99</v>
      </c>
      <c r="K73">
        <v>92.49</v>
      </c>
      <c r="L73">
        <v>50.11</v>
      </c>
      <c r="M73">
        <v>26.96</v>
      </c>
      <c r="N73">
        <f t="shared" si="1"/>
        <v>37.015000000000001</v>
      </c>
      <c r="R73" t="s">
        <v>1066</v>
      </c>
      <c r="S73">
        <f>PERCENTILE(AE2:AE12001, 1)</f>
        <v>565.79</v>
      </c>
      <c r="AE73">
        <v>102.27</v>
      </c>
    </row>
    <row r="74" spans="1:31" x14ac:dyDescent="0.25">
      <c r="A74" t="s">
        <v>118</v>
      </c>
      <c r="B74">
        <v>102.11</v>
      </c>
      <c r="C74">
        <v>26.53</v>
      </c>
      <c r="D74">
        <v>161.74</v>
      </c>
      <c r="E74">
        <v>46.7</v>
      </c>
      <c r="F74">
        <v>17.399999999999999</v>
      </c>
      <c r="G74">
        <v>18.71</v>
      </c>
      <c r="H74">
        <v>60.51</v>
      </c>
      <c r="I74">
        <v>19.079999999999998</v>
      </c>
      <c r="J74">
        <v>28.86</v>
      </c>
      <c r="K74">
        <v>17.38</v>
      </c>
      <c r="L74">
        <v>36.92</v>
      </c>
      <c r="M74">
        <v>67.099999999999994</v>
      </c>
      <c r="N74">
        <f t="shared" si="1"/>
        <v>32.89</v>
      </c>
      <c r="AE74">
        <v>102.11</v>
      </c>
    </row>
    <row r="75" spans="1:31" x14ac:dyDescent="0.25">
      <c r="A75" t="s">
        <v>119</v>
      </c>
      <c r="B75">
        <v>101.48</v>
      </c>
      <c r="C75">
        <v>43.99</v>
      </c>
      <c r="D75">
        <v>10.09</v>
      </c>
      <c r="E75">
        <v>33.07</v>
      </c>
      <c r="F75">
        <v>25.81</v>
      </c>
      <c r="G75">
        <v>67.34</v>
      </c>
      <c r="H75">
        <v>141.08000000000001</v>
      </c>
      <c r="I75">
        <v>32.770000000000003</v>
      </c>
      <c r="J75">
        <v>28.69</v>
      </c>
      <c r="K75">
        <v>22.33</v>
      </c>
      <c r="L75">
        <v>24.56</v>
      </c>
      <c r="M75">
        <v>64.36</v>
      </c>
      <c r="N75">
        <f t="shared" si="1"/>
        <v>32.92</v>
      </c>
      <c r="AE75">
        <v>101.48</v>
      </c>
    </row>
    <row r="76" spans="1:31" x14ac:dyDescent="0.25">
      <c r="A76" t="s">
        <v>120</v>
      </c>
      <c r="B76">
        <v>182.07</v>
      </c>
      <c r="C76">
        <v>181.83</v>
      </c>
      <c r="D76">
        <v>167.41</v>
      </c>
      <c r="E76">
        <v>74.94</v>
      </c>
      <c r="F76">
        <v>34.81</v>
      </c>
      <c r="G76">
        <v>16.22</v>
      </c>
      <c r="H76">
        <v>20.79</v>
      </c>
      <c r="I76">
        <v>19.739999999999998</v>
      </c>
      <c r="J76">
        <v>41.59</v>
      </c>
      <c r="K76">
        <v>360.93</v>
      </c>
      <c r="L76">
        <v>37.96</v>
      </c>
      <c r="M76">
        <v>54.04</v>
      </c>
      <c r="N76">
        <f t="shared" si="1"/>
        <v>47.814999999999998</v>
      </c>
      <c r="AE76">
        <v>182.07</v>
      </c>
    </row>
    <row r="77" spans="1:31" x14ac:dyDescent="0.25">
      <c r="A77" t="s">
        <v>121</v>
      </c>
      <c r="B77">
        <v>100.56</v>
      </c>
      <c r="C77">
        <v>87.66</v>
      </c>
      <c r="D77">
        <v>204.59</v>
      </c>
      <c r="E77">
        <v>12.1</v>
      </c>
      <c r="F77">
        <v>22.49</v>
      </c>
      <c r="G77">
        <v>49.07</v>
      </c>
      <c r="H77">
        <v>66.77</v>
      </c>
      <c r="I77">
        <v>41.18</v>
      </c>
      <c r="J77">
        <v>20.51</v>
      </c>
      <c r="K77">
        <v>83.04</v>
      </c>
      <c r="L77">
        <v>127.9</v>
      </c>
      <c r="M77">
        <v>36.520000000000003</v>
      </c>
      <c r="N77">
        <f t="shared" si="1"/>
        <v>57.92</v>
      </c>
      <c r="AE77">
        <v>100.56</v>
      </c>
    </row>
    <row r="78" spans="1:31" x14ac:dyDescent="0.25">
      <c r="A78" t="s">
        <v>122</v>
      </c>
      <c r="B78">
        <v>100.92</v>
      </c>
      <c r="C78">
        <v>39.340000000000003</v>
      </c>
      <c r="D78">
        <v>17.16</v>
      </c>
      <c r="E78">
        <v>52.79</v>
      </c>
      <c r="F78">
        <v>36.67</v>
      </c>
      <c r="G78">
        <v>132.28</v>
      </c>
      <c r="H78">
        <v>79.47</v>
      </c>
      <c r="I78">
        <v>10.29</v>
      </c>
      <c r="J78">
        <v>63.41</v>
      </c>
      <c r="K78">
        <v>31.38</v>
      </c>
      <c r="L78">
        <v>10.29</v>
      </c>
      <c r="M78">
        <v>48.83</v>
      </c>
      <c r="N78">
        <f t="shared" si="1"/>
        <v>44.085000000000001</v>
      </c>
      <c r="AE78">
        <v>100.92</v>
      </c>
    </row>
    <row r="79" spans="1:31" x14ac:dyDescent="0.25">
      <c r="A79" t="s">
        <v>123</v>
      </c>
      <c r="B79">
        <v>100.27</v>
      </c>
      <c r="C79">
        <v>23.2</v>
      </c>
      <c r="D79">
        <v>28.56</v>
      </c>
      <c r="E79">
        <v>139.44999999999999</v>
      </c>
      <c r="F79">
        <v>77.180000000000007</v>
      </c>
      <c r="G79">
        <v>21.81</v>
      </c>
      <c r="H79">
        <v>43.49</v>
      </c>
      <c r="I79">
        <v>66.349999999999994</v>
      </c>
      <c r="J79">
        <v>59.07</v>
      </c>
      <c r="K79">
        <v>54.47</v>
      </c>
      <c r="L79">
        <v>37.049999999999997</v>
      </c>
      <c r="M79">
        <v>23.17</v>
      </c>
      <c r="N79">
        <f t="shared" si="1"/>
        <v>48.980000000000004</v>
      </c>
      <c r="AE79">
        <v>100.27</v>
      </c>
    </row>
    <row r="80" spans="1:31" x14ac:dyDescent="0.25">
      <c r="A80" t="s">
        <v>124</v>
      </c>
      <c r="B80">
        <v>99.8</v>
      </c>
      <c r="C80">
        <v>53.52</v>
      </c>
      <c r="D80">
        <v>109.08</v>
      </c>
      <c r="E80">
        <v>21.73</v>
      </c>
      <c r="F80">
        <v>40.200000000000003</v>
      </c>
      <c r="G80">
        <v>194.05</v>
      </c>
      <c r="H80">
        <v>45.79</v>
      </c>
      <c r="I80">
        <v>94.02</v>
      </c>
      <c r="J80">
        <v>16.8</v>
      </c>
      <c r="K80">
        <v>79.48</v>
      </c>
      <c r="L80">
        <v>59.21</v>
      </c>
      <c r="M80">
        <v>14.08</v>
      </c>
      <c r="N80">
        <f t="shared" si="1"/>
        <v>56.365000000000002</v>
      </c>
      <c r="AE80">
        <v>99.8</v>
      </c>
    </row>
    <row r="81" spans="1:31" x14ac:dyDescent="0.25">
      <c r="A81" t="s">
        <v>125</v>
      </c>
      <c r="B81">
        <v>176.02</v>
      </c>
      <c r="C81">
        <v>11.4</v>
      </c>
      <c r="D81">
        <v>134.11000000000001</v>
      </c>
      <c r="E81">
        <v>10.32</v>
      </c>
      <c r="F81">
        <v>5.21</v>
      </c>
      <c r="G81">
        <v>29.6</v>
      </c>
      <c r="H81">
        <v>35.78</v>
      </c>
      <c r="I81">
        <v>89.2</v>
      </c>
      <c r="J81">
        <v>27.64</v>
      </c>
      <c r="K81">
        <v>38.18</v>
      </c>
      <c r="L81">
        <v>0.18</v>
      </c>
      <c r="M81">
        <v>119.93</v>
      </c>
      <c r="N81">
        <f t="shared" si="1"/>
        <v>32.69</v>
      </c>
      <c r="AE81">
        <v>176.02</v>
      </c>
    </row>
    <row r="82" spans="1:31" x14ac:dyDescent="0.25">
      <c r="A82" t="s">
        <v>126</v>
      </c>
      <c r="B82">
        <v>97.31</v>
      </c>
      <c r="C82">
        <v>99.66</v>
      </c>
      <c r="D82">
        <v>10.24</v>
      </c>
      <c r="E82">
        <v>46.48</v>
      </c>
      <c r="F82">
        <v>17.690000000000001</v>
      </c>
      <c r="G82">
        <v>40.299999999999997</v>
      </c>
      <c r="H82">
        <v>61.38</v>
      </c>
      <c r="I82">
        <v>33.340000000000003</v>
      </c>
      <c r="J82">
        <v>88.36</v>
      </c>
      <c r="K82">
        <v>68.87</v>
      </c>
      <c r="L82">
        <v>20.49</v>
      </c>
      <c r="M82">
        <v>42.2</v>
      </c>
      <c r="N82">
        <f t="shared" si="1"/>
        <v>44.34</v>
      </c>
      <c r="AE82">
        <v>97.31</v>
      </c>
    </row>
    <row r="83" spans="1:31" x14ac:dyDescent="0.25">
      <c r="A83" t="s">
        <v>127</v>
      </c>
      <c r="B83">
        <v>96.98</v>
      </c>
      <c r="C83">
        <v>20.64</v>
      </c>
      <c r="D83">
        <v>10.039999999999999</v>
      </c>
      <c r="E83">
        <v>41.01</v>
      </c>
      <c r="F83">
        <v>74.5</v>
      </c>
      <c r="G83">
        <v>40.950000000000003</v>
      </c>
      <c r="H83">
        <v>131.93</v>
      </c>
      <c r="I83">
        <v>72.3</v>
      </c>
      <c r="J83">
        <v>52.91</v>
      </c>
      <c r="K83">
        <v>21.88</v>
      </c>
      <c r="L83">
        <v>22.53</v>
      </c>
      <c r="M83">
        <v>57.11</v>
      </c>
      <c r="N83">
        <f t="shared" si="1"/>
        <v>46.959999999999994</v>
      </c>
      <c r="AE83">
        <v>96.98</v>
      </c>
    </row>
    <row r="84" spans="1:31" x14ac:dyDescent="0.25">
      <c r="A84" t="s">
        <v>128</v>
      </c>
      <c r="B84">
        <v>95.89</v>
      </c>
      <c r="C84">
        <v>26.23</v>
      </c>
      <c r="D84">
        <v>41.55</v>
      </c>
      <c r="E84">
        <v>50.73</v>
      </c>
      <c r="F84">
        <v>55.19</v>
      </c>
      <c r="G84">
        <v>41.72</v>
      </c>
      <c r="H84">
        <v>10.039999999999999</v>
      </c>
      <c r="I84">
        <v>21.23</v>
      </c>
      <c r="J84">
        <v>18.899999999999999</v>
      </c>
      <c r="K84">
        <v>81.430000000000007</v>
      </c>
      <c r="L84">
        <v>83.5</v>
      </c>
      <c r="M84">
        <v>11.48</v>
      </c>
      <c r="N84">
        <f t="shared" si="1"/>
        <v>41.634999999999998</v>
      </c>
      <c r="AE84">
        <v>95.89</v>
      </c>
    </row>
    <row r="85" spans="1:31" x14ac:dyDescent="0.25">
      <c r="A85" t="s">
        <v>129</v>
      </c>
      <c r="B85">
        <v>94.59</v>
      </c>
      <c r="C85">
        <v>46.2</v>
      </c>
      <c r="D85">
        <v>34.270000000000003</v>
      </c>
      <c r="E85">
        <v>60.09</v>
      </c>
      <c r="F85">
        <v>31.32</v>
      </c>
      <c r="G85">
        <v>9.99</v>
      </c>
      <c r="H85">
        <v>27.99</v>
      </c>
      <c r="I85">
        <v>19.23</v>
      </c>
      <c r="J85">
        <v>33.72</v>
      </c>
      <c r="K85">
        <v>114.06</v>
      </c>
      <c r="L85">
        <v>63.63</v>
      </c>
      <c r="M85">
        <v>117.81</v>
      </c>
      <c r="N85">
        <f t="shared" si="1"/>
        <v>40.234999999999999</v>
      </c>
      <c r="AE85">
        <v>94.59</v>
      </c>
    </row>
    <row r="86" spans="1:31" x14ac:dyDescent="0.25">
      <c r="A86" t="s">
        <v>130</v>
      </c>
      <c r="B86">
        <v>94.38</v>
      </c>
      <c r="C86">
        <v>18.88</v>
      </c>
      <c r="D86">
        <v>41.85</v>
      </c>
      <c r="E86">
        <v>68.61</v>
      </c>
      <c r="F86">
        <v>167.91</v>
      </c>
      <c r="G86">
        <v>52.26</v>
      </c>
      <c r="H86">
        <v>13.36</v>
      </c>
      <c r="I86">
        <v>9.99</v>
      </c>
      <c r="J86">
        <v>53.92</v>
      </c>
      <c r="K86">
        <v>58.28</v>
      </c>
      <c r="L86">
        <v>86.31</v>
      </c>
      <c r="M86">
        <v>10.78</v>
      </c>
      <c r="N86">
        <f t="shared" si="1"/>
        <v>53.09</v>
      </c>
      <c r="AE86">
        <v>94.38</v>
      </c>
    </row>
    <row r="87" spans="1:31" x14ac:dyDescent="0.25">
      <c r="A87" t="s">
        <v>131</v>
      </c>
      <c r="B87">
        <v>167.84</v>
      </c>
      <c r="C87">
        <v>55.49</v>
      </c>
      <c r="D87">
        <v>77.510000000000005</v>
      </c>
      <c r="E87">
        <v>3.83</v>
      </c>
      <c r="F87">
        <v>101.63</v>
      </c>
      <c r="G87">
        <v>33.39</v>
      </c>
      <c r="H87">
        <v>79.739999999999995</v>
      </c>
      <c r="I87">
        <v>104.12</v>
      </c>
      <c r="J87">
        <v>54.21</v>
      </c>
      <c r="K87">
        <v>33.44</v>
      </c>
      <c r="L87">
        <v>20.56</v>
      </c>
      <c r="M87">
        <v>4.93</v>
      </c>
      <c r="N87">
        <f t="shared" si="1"/>
        <v>54.85</v>
      </c>
      <c r="AE87">
        <v>167.84</v>
      </c>
    </row>
    <row r="88" spans="1:31" x14ac:dyDescent="0.25">
      <c r="A88" t="s">
        <v>132</v>
      </c>
      <c r="B88">
        <v>167.56</v>
      </c>
      <c r="C88">
        <v>96.55</v>
      </c>
      <c r="D88">
        <v>98.21</v>
      </c>
      <c r="E88">
        <v>0.36</v>
      </c>
      <c r="F88">
        <v>4</v>
      </c>
      <c r="G88">
        <v>113.42</v>
      </c>
      <c r="H88">
        <v>22.1</v>
      </c>
      <c r="I88">
        <v>19.23</v>
      </c>
      <c r="J88">
        <v>14.19</v>
      </c>
      <c r="K88">
        <v>21.87</v>
      </c>
      <c r="L88">
        <v>92.79</v>
      </c>
      <c r="M88">
        <v>7.65</v>
      </c>
      <c r="N88">
        <f t="shared" si="1"/>
        <v>21.984999999999999</v>
      </c>
      <c r="AE88">
        <v>167.56</v>
      </c>
    </row>
    <row r="89" spans="1:31" x14ac:dyDescent="0.25">
      <c r="A89" t="s">
        <v>133</v>
      </c>
      <c r="B89">
        <v>92.83</v>
      </c>
      <c r="C89">
        <v>29.31</v>
      </c>
      <c r="D89">
        <v>36.72</v>
      </c>
      <c r="E89">
        <v>53.28</v>
      </c>
      <c r="F89">
        <v>23.53</v>
      </c>
      <c r="G89">
        <v>18.13</v>
      </c>
      <c r="H89">
        <v>94.96</v>
      </c>
      <c r="I89">
        <v>10.29</v>
      </c>
      <c r="J89">
        <v>10.69</v>
      </c>
      <c r="K89">
        <v>36.75</v>
      </c>
      <c r="L89">
        <v>10.24</v>
      </c>
      <c r="M89">
        <v>99.12</v>
      </c>
      <c r="N89">
        <f t="shared" si="1"/>
        <v>33.015000000000001</v>
      </c>
      <c r="AE89">
        <v>92.83</v>
      </c>
    </row>
    <row r="90" spans="1:31" x14ac:dyDescent="0.25">
      <c r="A90" t="s">
        <v>134</v>
      </c>
      <c r="B90">
        <v>165.94</v>
      </c>
      <c r="C90">
        <v>0.18</v>
      </c>
      <c r="D90">
        <v>78.33</v>
      </c>
      <c r="E90">
        <v>56.46</v>
      </c>
      <c r="F90">
        <v>117.99</v>
      </c>
      <c r="G90">
        <v>53.39</v>
      </c>
      <c r="H90">
        <v>54.49</v>
      </c>
      <c r="I90">
        <v>12.03</v>
      </c>
      <c r="J90">
        <v>95.7</v>
      </c>
      <c r="K90">
        <v>11.54</v>
      </c>
      <c r="L90">
        <v>14.61</v>
      </c>
      <c r="M90">
        <v>23.29</v>
      </c>
      <c r="N90">
        <f t="shared" si="1"/>
        <v>53.94</v>
      </c>
      <c r="AE90">
        <v>165.94</v>
      </c>
    </row>
    <row r="91" spans="1:31" x14ac:dyDescent="0.25">
      <c r="A91" t="s">
        <v>135</v>
      </c>
      <c r="B91">
        <v>92.67</v>
      </c>
      <c r="C91">
        <v>32.840000000000003</v>
      </c>
      <c r="D91">
        <v>76.2</v>
      </c>
      <c r="E91">
        <v>13.16</v>
      </c>
      <c r="F91">
        <v>10.039999999999999</v>
      </c>
      <c r="G91">
        <v>39.03</v>
      </c>
      <c r="H91">
        <v>52.31</v>
      </c>
      <c r="I91">
        <v>10.09</v>
      </c>
      <c r="J91">
        <v>38.53</v>
      </c>
      <c r="K91">
        <v>10.24</v>
      </c>
      <c r="L91">
        <v>43.56</v>
      </c>
      <c r="M91">
        <v>80.91</v>
      </c>
      <c r="N91">
        <f t="shared" si="1"/>
        <v>38.78</v>
      </c>
      <c r="AE91">
        <v>92.67</v>
      </c>
    </row>
    <row r="92" spans="1:31" x14ac:dyDescent="0.25">
      <c r="A92" t="s">
        <v>136</v>
      </c>
      <c r="B92">
        <v>163.07</v>
      </c>
      <c r="C92">
        <v>76.39</v>
      </c>
      <c r="D92">
        <v>37.409999999999997</v>
      </c>
      <c r="E92">
        <v>35.92</v>
      </c>
      <c r="F92">
        <v>71.14</v>
      </c>
      <c r="G92">
        <v>49.38</v>
      </c>
      <c r="H92">
        <v>21.27</v>
      </c>
      <c r="I92">
        <v>0</v>
      </c>
      <c r="J92">
        <v>82.33</v>
      </c>
      <c r="K92">
        <v>20.170000000000002</v>
      </c>
      <c r="L92">
        <v>57.37</v>
      </c>
      <c r="M92">
        <v>91.74</v>
      </c>
      <c r="N92">
        <f t="shared" si="1"/>
        <v>53.375</v>
      </c>
      <c r="AE92">
        <v>163.07</v>
      </c>
    </row>
    <row r="93" spans="1:31" x14ac:dyDescent="0.25">
      <c r="A93" t="s">
        <v>137</v>
      </c>
      <c r="B93">
        <v>162.54</v>
      </c>
      <c r="C93">
        <v>24.46</v>
      </c>
      <c r="D93">
        <v>61.72</v>
      </c>
      <c r="E93">
        <v>75.25</v>
      </c>
      <c r="F93">
        <v>42.92</v>
      </c>
      <c r="G93">
        <v>20.77</v>
      </c>
      <c r="H93">
        <v>38.82</v>
      </c>
      <c r="I93">
        <v>10.61</v>
      </c>
      <c r="J93">
        <v>55.68</v>
      </c>
      <c r="K93">
        <v>56.57</v>
      </c>
      <c r="L93">
        <v>0.45</v>
      </c>
      <c r="M93">
        <v>76.83</v>
      </c>
      <c r="N93">
        <f t="shared" si="1"/>
        <v>49.3</v>
      </c>
      <c r="AE93">
        <v>162.54</v>
      </c>
    </row>
    <row r="94" spans="1:31" x14ac:dyDescent="0.25">
      <c r="A94" t="s">
        <v>138</v>
      </c>
      <c r="B94">
        <v>160.25</v>
      </c>
      <c r="C94">
        <v>0.27</v>
      </c>
      <c r="D94">
        <v>28.43</v>
      </c>
      <c r="E94">
        <v>48.43</v>
      </c>
      <c r="F94">
        <v>45.07</v>
      </c>
      <c r="G94">
        <v>0.36</v>
      </c>
      <c r="H94">
        <v>26.78</v>
      </c>
      <c r="I94">
        <v>1.08</v>
      </c>
      <c r="J94">
        <v>41.88</v>
      </c>
      <c r="K94">
        <v>75.09</v>
      </c>
      <c r="L94">
        <v>14.8</v>
      </c>
      <c r="M94">
        <v>26.98</v>
      </c>
      <c r="N94">
        <f t="shared" si="1"/>
        <v>27.704999999999998</v>
      </c>
      <c r="AE94">
        <v>160.25</v>
      </c>
    </row>
    <row r="95" spans="1:31" x14ac:dyDescent="0.25">
      <c r="A95" t="s">
        <v>139</v>
      </c>
      <c r="B95">
        <v>89.25</v>
      </c>
      <c r="C95">
        <v>10.39</v>
      </c>
      <c r="D95">
        <v>20.21</v>
      </c>
      <c r="E95">
        <v>31.45</v>
      </c>
      <c r="F95">
        <v>77.14</v>
      </c>
      <c r="G95">
        <v>37.39</v>
      </c>
      <c r="H95">
        <v>202.94</v>
      </c>
      <c r="I95">
        <v>50.18</v>
      </c>
      <c r="J95">
        <v>80.489999999999995</v>
      </c>
      <c r="K95">
        <v>10.19</v>
      </c>
      <c r="L95">
        <v>11.39</v>
      </c>
      <c r="M95">
        <v>14.57</v>
      </c>
      <c r="N95">
        <f t="shared" si="1"/>
        <v>34.42</v>
      </c>
      <c r="AE95">
        <v>89.25</v>
      </c>
    </row>
    <row r="96" spans="1:31" x14ac:dyDescent="0.25">
      <c r="A96" t="s">
        <v>140</v>
      </c>
      <c r="B96">
        <v>88.87</v>
      </c>
      <c r="C96">
        <v>12</v>
      </c>
      <c r="D96">
        <v>43.18</v>
      </c>
      <c r="E96">
        <v>80.62</v>
      </c>
      <c r="F96">
        <v>94.92</v>
      </c>
      <c r="G96">
        <v>44.18</v>
      </c>
      <c r="H96">
        <v>11.46</v>
      </c>
      <c r="I96">
        <v>10.039999999999999</v>
      </c>
      <c r="J96">
        <v>39.54</v>
      </c>
      <c r="K96">
        <v>12.4</v>
      </c>
      <c r="L96">
        <v>20.14</v>
      </c>
      <c r="M96">
        <v>59.32</v>
      </c>
      <c r="N96">
        <f t="shared" si="1"/>
        <v>41.36</v>
      </c>
      <c r="AE96">
        <v>88.87</v>
      </c>
    </row>
    <row r="97" spans="1:31" x14ac:dyDescent="0.25">
      <c r="A97" t="s">
        <v>141</v>
      </c>
      <c r="B97">
        <v>88.54</v>
      </c>
      <c r="C97">
        <v>121.18</v>
      </c>
      <c r="D97">
        <v>52.03</v>
      </c>
      <c r="E97">
        <v>51.65</v>
      </c>
      <c r="F97">
        <v>17.149999999999999</v>
      </c>
      <c r="G97">
        <v>10.14</v>
      </c>
      <c r="H97">
        <v>74.180000000000007</v>
      </c>
      <c r="I97">
        <v>39.46</v>
      </c>
      <c r="J97">
        <v>46.89</v>
      </c>
      <c r="K97">
        <v>60.85</v>
      </c>
      <c r="L97">
        <v>20.48</v>
      </c>
      <c r="M97">
        <v>10.09</v>
      </c>
      <c r="N97">
        <f t="shared" si="1"/>
        <v>49.269999999999996</v>
      </c>
      <c r="AE97">
        <v>88.54</v>
      </c>
    </row>
    <row r="98" spans="1:31" x14ac:dyDescent="0.25">
      <c r="A98" t="s">
        <v>142</v>
      </c>
      <c r="B98">
        <v>88.13</v>
      </c>
      <c r="C98">
        <v>38.4</v>
      </c>
      <c r="D98">
        <v>54.56</v>
      </c>
      <c r="E98">
        <v>17.14</v>
      </c>
      <c r="F98">
        <v>26.94</v>
      </c>
      <c r="G98">
        <v>30.48</v>
      </c>
      <c r="H98">
        <v>64.069999999999993</v>
      </c>
      <c r="I98">
        <v>20.62</v>
      </c>
      <c r="J98">
        <v>24.82</v>
      </c>
      <c r="K98">
        <v>19.760000000000002</v>
      </c>
      <c r="L98">
        <v>86.03</v>
      </c>
      <c r="M98">
        <v>53.68</v>
      </c>
      <c r="N98">
        <f t="shared" si="1"/>
        <v>34.44</v>
      </c>
      <c r="AE98">
        <v>88.13</v>
      </c>
    </row>
    <row r="99" spans="1:31" x14ac:dyDescent="0.25">
      <c r="A99" t="s">
        <v>143</v>
      </c>
      <c r="B99">
        <v>153.46</v>
      </c>
      <c r="C99">
        <v>40.56</v>
      </c>
      <c r="D99">
        <v>60.58</v>
      </c>
      <c r="E99">
        <v>71.72</v>
      </c>
      <c r="F99">
        <v>36.590000000000003</v>
      </c>
      <c r="G99">
        <v>99.44</v>
      </c>
      <c r="H99">
        <v>51.05</v>
      </c>
      <c r="I99">
        <v>0.9</v>
      </c>
      <c r="J99">
        <v>6.71</v>
      </c>
      <c r="K99">
        <v>18.29</v>
      </c>
      <c r="L99">
        <v>142</v>
      </c>
      <c r="M99">
        <v>335.14</v>
      </c>
      <c r="N99">
        <f t="shared" si="1"/>
        <v>55.814999999999998</v>
      </c>
      <c r="AE99">
        <v>153.46</v>
      </c>
    </row>
    <row r="100" spans="1:31" x14ac:dyDescent="0.25">
      <c r="A100" t="s">
        <v>144</v>
      </c>
      <c r="B100">
        <v>85.86</v>
      </c>
      <c r="C100">
        <v>24.41</v>
      </c>
      <c r="D100">
        <v>36.54</v>
      </c>
      <c r="E100">
        <v>56.94</v>
      </c>
      <c r="F100">
        <v>118.83</v>
      </c>
      <c r="G100">
        <v>102.9</v>
      </c>
      <c r="H100">
        <v>10.39</v>
      </c>
      <c r="I100">
        <v>14.83</v>
      </c>
      <c r="J100">
        <v>10.14</v>
      </c>
      <c r="K100">
        <v>38.200000000000003</v>
      </c>
      <c r="L100">
        <v>48.72</v>
      </c>
      <c r="M100">
        <v>18.07</v>
      </c>
      <c r="N100">
        <f t="shared" si="1"/>
        <v>37.370000000000005</v>
      </c>
      <c r="AE100">
        <v>85.86</v>
      </c>
    </row>
    <row r="101" spans="1:31" x14ac:dyDescent="0.25">
      <c r="A101" t="s">
        <v>145</v>
      </c>
      <c r="B101">
        <v>150.09</v>
      </c>
      <c r="C101">
        <v>10.46</v>
      </c>
      <c r="D101">
        <v>92.46</v>
      </c>
      <c r="E101">
        <v>56.71</v>
      </c>
      <c r="F101">
        <v>54.39</v>
      </c>
      <c r="G101">
        <v>12.51</v>
      </c>
      <c r="H101">
        <v>60.03</v>
      </c>
      <c r="I101">
        <v>56.12</v>
      </c>
      <c r="J101">
        <v>5.74</v>
      </c>
      <c r="K101">
        <v>17.64</v>
      </c>
      <c r="L101">
        <v>15.4</v>
      </c>
      <c r="M101">
        <v>9.84</v>
      </c>
      <c r="N101">
        <f t="shared" si="1"/>
        <v>36.015000000000001</v>
      </c>
      <c r="AE101">
        <v>150.09</v>
      </c>
    </row>
    <row r="102" spans="1:31" x14ac:dyDescent="0.25">
      <c r="A102" t="s">
        <v>146</v>
      </c>
      <c r="B102">
        <v>84.23</v>
      </c>
      <c r="C102">
        <v>56.86</v>
      </c>
      <c r="D102">
        <v>16.97</v>
      </c>
      <c r="E102">
        <v>33.11</v>
      </c>
      <c r="F102">
        <v>22.4</v>
      </c>
      <c r="G102">
        <v>35.409999999999997</v>
      </c>
      <c r="H102">
        <v>21.16</v>
      </c>
      <c r="I102">
        <v>45.09</v>
      </c>
      <c r="J102">
        <v>21.56</v>
      </c>
      <c r="K102">
        <v>125.26</v>
      </c>
      <c r="L102">
        <v>117.08</v>
      </c>
      <c r="M102">
        <v>32.89</v>
      </c>
      <c r="N102">
        <f t="shared" si="1"/>
        <v>34.26</v>
      </c>
      <c r="AE102">
        <v>84.23</v>
      </c>
    </row>
    <row r="103" spans="1:31" x14ac:dyDescent="0.25">
      <c r="A103" t="s">
        <v>147</v>
      </c>
      <c r="B103">
        <v>84.42</v>
      </c>
      <c r="C103">
        <v>45.97</v>
      </c>
      <c r="D103">
        <v>13.05</v>
      </c>
      <c r="E103">
        <v>27.84</v>
      </c>
      <c r="F103">
        <v>16.440000000000001</v>
      </c>
      <c r="G103">
        <v>31.82</v>
      </c>
      <c r="H103">
        <v>35.83</v>
      </c>
      <c r="I103">
        <v>26.6</v>
      </c>
      <c r="J103">
        <v>54.89</v>
      </c>
      <c r="K103">
        <v>26.77</v>
      </c>
      <c r="L103">
        <v>31.42</v>
      </c>
      <c r="M103">
        <v>120.11</v>
      </c>
      <c r="N103">
        <f t="shared" si="1"/>
        <v>31.62</v>
      </c>
      <c r="AE103">
        <v>84.42</v>
      </c>
    </row>
    <row r="104" spans="1:31" x14ac:dyDescent="0.25">
      <c r="A104" t="s">
        <v>148</v>
      </c>
      <c r="B104">
        <v>83.48</v>
      </c>
      <c r="C104">
        <v>18.21</v>
      </c>
      <c r="D104">
        <v>17.489999999999998</v>
      </c>
      <c r="E104">
        <v>19.68</v>
      </c>
      <c r="F104">
        <v>162.05000000000001</v>
      </c>
      <c r="G104">
        <v>10.59</v>
      </c>
      <c r="H104">
        <v>56.74</v>
      </c>
      <c r="I104">
        <v>9.99</v>
      </c>
      <c r="J104">
        <v>49.99</v>
      </c>
      <c r="K104">
        <v>22.44</v>
      </c>
      <c r="L104">
        <v>20.79</v>
      </c>
      <c r="M104">
        <v>39.19</v>
      </c>
      <c r="N104">
        <f t="shared" si="1"/>
        <v>21.615000000000002</v>
      </c>
      <c r="AE104">
        <v>83.48</v>
      </c>
    </row>
    <row r="105" spans="1:31" x14ac:dyDescent="0.25">
      <c r="A105" t="s">
        <v>149</v>
      </c>
      <c r="B105">
        <v>145.99</v>
      </c>
      <c r="C105">
        <v>0.81</v>
      </c>
      <c r="D105">
        <v>35.770000000000003</v>
      </c>
      <c r="E105">
        <v>78.53</v>
      </c>
      <c r="F105">
        <v>90.62</v>
      </c>
      <c r="G105">
        <v>116.16</v>
      </c>
      <c r="H105">
        <v>19.3</v>
      </c>
      <c r="I105">
        <v>14.17</v>
      </c>
      <c r="J105">
        <v>26.14</v>
      </c>
      <c r="K105">
        <v>46</v>
      </c>
      <c r="L105">
        <v>32.090000000000003</v>
      </c>
      <c r="M105">
        <v>95.63</v>
      </c>
      <c r="N105">
        <f t="shared" si="1"/>
        <v>40.885000000000005</v>
      </c>
      <c r="AE105">
        <v>145.99</v>
      </c>
    </row>
    <row r="106" spans="1:31" x14ac:dyDescent="0.25">
      <c r="A106" t="s">
        <v>150</v>
      </c>
      <c r="B106">
        <v>82.34</v>
      </c>
      <c r="C106">
        <v>63.99</v>
      </c>
      <c r="D106">
        <v>74.84</v>
      </c>
      <c r="E106">
        <v>44.77</v>
      </c>
      <c r="F106">
        <v>38.24</v>
      </c>
      <c r="G106">
        <v>83.91</v>
      </c>
      <c r="H106">
        <v>22.58</v>
      </c>
      <c r="I106">
        <v>37.46</v>
      </c>
      <c r="J106">
        <v>42.52</v>
      </c>
      <c r="K106">
        <v>96.54</v>
      </c>
      <c r="L106">
        <v>13.45</v>
      </c>
      <c r="M106">
        <v>16.82</v>
      </c>
      <c r="N106">
        <f t="shared" si="1"/>
        <v>43.645000000000003</v>
      </c>
      <c r="AE106">
        <v>82.34</v>
      </c>
    </row>
    <row r="107" spans="1:31" x14ac:dyDescent="0.25">
      <c r="A107" t="s">
        <v>151</v>
      </c>
      <c r="B107">
        <v>82.56</v>
      </c>
      <c r="C107">
        <v>26.67</v>
      </c>
      <c r="D107">
        <v>10.14</v>
      </c>
      <c r="E107">
        <v>89.19</v>
      </c>
      <c r="F107">
        <v>52.48</v>
      </c>
      <c r="G107">
        <v>10.09</v>
      </c>
      <c r="H107">
        <v>57.12</v>
      </c>
      <c r="I107">
        <v>17.649999999999999</v>
      </c>
      <c r="J107">
        <v>10.09</v>
      </c>
      <c r="K107">
        <v>35.03</v>
      </c>
      <c r="L107">
        <v>10.97</v>
      </c>
      <c r="M107">
        <v>132.69</v>
      </c>
      <c r="N107">
        <f t="shared" si="1"/>
        <v>30.85</v>
      </c>
      <c r="AE107">
        <v>82.56</v>
      </c>
    </row>
    <row r="108" spans="1:31" x14ac:dyDescent="0.25">
      <c r="A108" t="s">
        <v>152</v>
      </c>
      <c r="B108">
        <v>82.09</v>
      </c>
      <c r="C108">
        <v>40.21</v>
      </c>
      <c r="D108">
        <v>47.52</v>
      </c>
      <c r="E108">
        <v>28.72</v>
      </c>
      <c r="F108">
        <v>44.67</v>
      </c>
      <c r="G108">
        <v>150.25</v>
      </c>
      <c r="H108">
        <v>27.64</v>
      </c>
      <c r="I108">
        <v>56.4</v>
      </c>
      <c r="J108">
        <v>11.09</v>
      </c>
      <c r="K108">
        <v>10.039999999999999</v>
      </c>
      <c r="L108">
        <v>55.89</v>
      </c>
      <c r="M108">
        <v>70.22</v>
      </c>
      <c r="N108">
        <f t="shared" si="1"/>
        <v>46.094999999999999</v>
      </c>
      <c r="AE108">
        <v>82.09</v>
      </c>
    </row>
    <row r="109" spans="1:31" x14ac:dyDescent="0.25">
      <c r="A109" t="s">
        <v>153</v>
      </c>
      <c r="B109">
        <v>82.12</v>
      </c>
      <c r="C109">
        <v>118.38</v>
      </c>
      <c r="D109">
        <v>35.94</v>
      </c>
      <c r="E109">
        <v>108.21</v>
      </c>
      <c r="F109">
        <v>60.84</v>
      </c>
      <c r="G109">
        <v>12.09</v>
      </c>
      <c r="H109">
        <v>96.99</v>
      </c>
      <c r="I109">
        <v>41.53</v>
      </c>
      <c r="J109">
        <v>24.32</v>
      </c>
      <c r="K109">
        <v>49.48</v>
      </c>
      <c r="L109">
        <v>34.409999999999997</v>
      </c>
      <c r="M109">
        <v>11.68</v>
      </c>
      <c r="N109">
        <f t="shared" si="1"/>
        <v>45.504999999999995</v>
      </c>
      <c r="AE109">
        <v>82.12</v>
      </c>
    </row>
    <row r="110" spans="1:31" x14ac:dyDescent="0.25">
      <c r="A110" t="s">
        <v>154</v>
      </c>
      <c r="B110">
        <v>82.02</v>
      </c>
      <c r="C110">
        <v>103.14</v>
      </c>
      <c r="D110">
        <v>87.3</v>
      </c>
      <c r="E110">
        <v>66.900000000000006</v>
      </c>
      <c r="F110">
        <v>15.53</v>
      </c>
      <c r="G110">
        <v>16.29</v>
      </c>
      <c r="H110">
        <v>26.38</v>
      </c>
      <c r="I110">
        <v>51</v>
      </c>
      <c r="J110">
        <v>69.819999999999993</v>
      </c>
      <c r="K110">
        <v>27.5</v>
      </c>
      <c r="L110">
        <v>18.850000000000001</v>
      </c>
      <c r="M110">
        <v>30.83</v>
      </c>
      <c r="N110">
        <f t="shared" si="1"/>
        <v>40.914999999999999</v>
      </c>
      <c r="AE110">
        <v>82.02</v>
      </c>
    </row>
    <row r="111" spans="1:31" x14ac:dyDescent="0.25">
      <c r="A111" t="s">
        <v>155</v>
      </c>
      <c r="B111">
        <v>81.650000000000006</v>
      </c>
      <c r="C111">
        <v>51.31</v>
      </c>
      <c r="D111">
        <v>10.039999999999999</v>
      </c>
      <c r="E111">
        <v>55.13</v>
      </c>
      <c r="F111">
        <v>15.14</v>
      </c>
      <c r="G111">
        <v>26.78</v>
      </c>
      <c r="H111">
        <v>54.76</v>
      </c>
      <c r="I111">
        <v>88.25</v>
      </c>
      <c r="J111">
        <v>32.19</v>
      </c>
      <c r="K111">
        <v>70.83</v>
      </c>
      <c r="L111">
        <v>67.25</v>
      </c>
      <c r="M111">
        <v>20.05</v>
      </c>
      <c r="N111">
        <f t="shared" si="1"/>
        <v>53.034999999999997</v>
      </c>
      <c r="AE111">
        <v>81.650000000000006</v>
      </c>
    </row>
    <row r="112" spans="1:31" x14ac:dyDescent="0.25">
      <c r="A112" t="s">
        <v>156</v>
      </c>
      <c r="B112">
        <v>81.400000000000006</v>
      </c>
      <c r="C112">
        <v>27.19</v>
      </c>
      <c r="D112">
        <v>20.43</v>
      </c>
      <c r="E112">
        <v>20.72</v>
      </c>
      <c r="F112">
        <v>34.71</v>
      </c>
      <c r="G112">
        <v>190.67</v>
      </c>
      <c r="H112">
        <v>10.34</v>
      </c>
      <c r="I112">
        <v>16.3</v>
      </c>
      <c r="J112">
        <v>38.28</v>
      </c>
      <c r="K112">
        <v>30.92</v>
      </c>
      <c r="L112">
        <v>32.020000000000003</v>
      </c>
      <c r="M112">
        <v>29.4</v>
      </c>
      <c r="N112">
        <f t="shared" si="1"/>
        <v>30.16</v>
      </c>
      <c r="AE112">
        <v>81.400000000000006</v>
      </c>
    </row>
    <row r="113" spans="1:31" x14ac:dyDescent="0.25">
      <c r="A113" t="s">
        <v>157</v>
      </c>
      <c r="B113">
        <v>81.22</v>
      </c>
      <c r="C113">
        <v>25.67</v>
      </c>
      <c r="D113">
        <v>47.36</v>
      </c>
      <c r="E113">
        <v>116.43</v>
      </c>
      <c r="F113">
        <v>70.97</v>
      </c>
      <c r="G113">
        <v>10.039999999999999</v>
      </c>
      <c r="H113">
        <v>15.56</v>
      </c>
      <c r="I113">
        <v>24.5</v>
      </c>
      <c r="J113">
        <v>109.14</v>
      </c>
      <c r="K113">
        <v>162.78</v>
      </c>
      <c r="L113">
        <v>23.97</v>
      </c>
      <c r="M113">
        <v>57.59</v>
      </c>
      <c r="N113">
        <f t="shared" si="1"/>
        <v>52.475000000000001</v>
      </c>
      <c r="AE113">
        <v>81.22</v>
      </c>
    </row>
    <row r="114" spans="1:31" x14ac:dyDescent="0.25">
      <c r="A114" t="s">
        <v>158</v>
      </c>
      <c r="B114">
        <v>141.91999999999999</v>
      </c>
      <c r="C114">
        <v>97.88</v>
      </c>
      <c r="D114">
        <v>201.57</v>
      </c>
      <c r="E114">
        <v>32.630000000000003</v>
      </c>
      <c r="F114">
        <v>60.76</v>
      </c>
      <c r="G114">
        <v>163.49</v>
      </c>
      <c r="H114">
        <v>71.040000000000006</v>
      </c>
      <c r="I114">
        <v>261.06</v>
      </c>
      <c r="J114">
        <v>8.3699999999999992</v>
      </c>
      <c r="K114">
        <v>25.54</v>
      </c>
      <c r="L114">
        <v>266.3</v>
      </c>
      <c r="M114">
        <v>35.93</v>
      </c>
      <c r="N114">
        <f t="shared" si="1"/>
        <v>84.460000000000008</v>
      </c>
      <c r="AE114">
        <v>141.91999999999999</v>
      </c>
    </row>
    <row r="115" spans="1:31" x14ac:dyDescent="0.25">
      <c r="A115" t="s">
        <v>159</v>
      </c>
      <c r="B115">
        <v>80.95</v>
      </c>
      <c r="C115">
        <v>21.43</v>
      </c>
      <c r="D115">
        <v>66.33</v>
      </c>
      <c r="E115">
        <v>43.45</v>
      </c>
      <c r="F115">
        <v>16.04</v>
      </c>
      <c r="G115">
        <v>40.57</v>
      </c>
      <c r="H115">
        <v>32.119999999999997</v>
      </c>
      <c r="I115">
        <v>21.88</v>
      </c>
      <c r="J115">
        <v>92.23</v>
      </c>
      <c r="K115">
        <v>31.62</v>
      </c>
      <c r="L115">
        <v>84.97</v>
      </c>
      <c r="M115">
        <v>81.44</v>
      </c>
      <c r="N115">
        <f t="shared" si="1"/>
        <v>42.010000000000005</v>
      </c>
      <c r="AE115">
        <v>80.95</v>
      </c>
    </row>
    <row r="116" spans="1:31" x14ac:dyDescent="0.25">
      <c r="A116" t="s">
        <v>160</v>
      </c>
      <c r="B116">
        <v>80.06</v>
      </c>
      <c r="C116">
        <v>55.26</v>
      </c>
      <c r="D116">
        <v>78.12</v>
      </c>
      <c r="E116">
        <v>13.86</v>
      </c>
      <c r="F116">
        <v>43.81</v>
      </c>
      <c r="G116">
        <v>19.260000000000002</v>
      </c>
      <c r="H116">
        <v>11.77</v>
      </c>
      <c r="I116">
        <v>57.03</v>
      </c>
      <c r="J116">
        <v>10.039999999999999</v>
      </c>
      <c r="K116">
        <v>34.89</v>
      </c>
      <c r="L116">
        <v>66.7</v>
      </c>
      <c r="M116">
        <v>25.65</v>
      </c>
      <c r="N116">
        <f t="shared" si="1"/>
        <v>39.35</v>
      </c>
      <c r="AE116">
        <v>80.06</v>
      </c>
    </row>
    <row r="117" spans="1:31" x14ac:dyDescent="0.25">
      <c r="A117" t="s">
        <v>161</v>
      </c>
      <c r="B117">
        <v>80.02</v>
      </c>
      <c r="C117">
        <v>127.96</v>
      </c>
      <c r="D117">
        <v>35.68</v>
      </c>
      <c r="E117">
        <v>136.80000000000001</v>
      </c>
      <c r="F117">
        <v>37.33</v>
      </c>
      <c r="G117">
        <v>26.66</v>
      </c>
      <c r="H117">
        <v>60.36</v>
      </c>
      <c r="I117">
        <v>18.95</v>
      </c>
      <c r="J117">
        <v>16.46</v>
      </c>
      <c r="K117">
        <v>46.47</v>
      </c>
      <c r="L117">
        <v>34.53</v>
      </c>
      <c r="M117">
        <v>10.64</v>
      </c>
      <c r="N117">
        <f t="shared" si="1"/>
        <v>36.504999999999995</v>
      </c>
      <c r="AE117">
        <v>80.02</v>
      </c>
    </row>
    <row r="118" spans="1:31" x14ac:dyDescent="0.25">
      <c r="A118" t="s">
        <v>162</v>
      </c>
      <c r="B118">
        <v>139.65</v>
      </c>
      <c r="C118">
        <v>150.97999999999999</v>
      </c>
      <c r="D118">
        <v>31.41</v>
      </c>
      <c r="E118">
        <v>76.97</v>
      </c>
      <c r="F118">
        <v>4.41</v>
      </c>
      <c r="G118">
        <v>27.46</v>
      </c>
      <c r="H118">
        <v>2.34</v>
      </c>
      <c r="I118">
        <v>79.3</v>
      </c>
      <c r="J118">
        <v>30.04</v>
      </c>
      <c r="K118">
        <v>0.27</v>
      </c>
      <c r="L118">
        <v>26.98</v>
      </c>
      <c r="M118">
        <v>20.34</v>
      </c>
      <c r="N118">
        <f t="shared" si="1"/>
        <v>28.75</v>
      </c>
      <c r="AE118">
        <v>139.65</v>
      </c>
    </row>
    <row r="119" spans="1:31" x14ac:dyDescent="0.25">
      <c r="A119" t="s">
        <v>163</v>
      </c>
      <c r="B119">
        <v>79.84</v>
      </c>
      <c r="C119">
        <v>125.7</v>
      </c>
      <c r="D119">
        <v>29.22</v>
      </c>
      <c r="E119">
        <v>90.58</v>
      </c>
      <c r="F119">
        <v>68.959999999999994</v>
      </c>
      <c r="G119">
        <v>19.57</v>
      </c>
      <c r="H119">
        <v>19.7</v>
      </c>
      <c r="I119">
        <v>49.09</v>
      </c>
      <c r="J119">
        <v>17.920000000000002</v>
      </c>
      <c r="K119">
        <v>29.45</v>
      </c>
      <c r="L119">
        <v>30.4</v>
      </c>
      <c r="M119">
        <v>53.29</v>
      </c>
      <c r="N119">
        <f t="shared" si="1"/>
        <v>39.745000000000005</v>
      </c>
      <c r="AE119">
        <v>79.84</v>
      </c>
    </row>
    <row r="120" spans="1:31" x14ac:dyDescent="0.25">
      <c r="A120" t="s">
        <v>164</v>
      </c>
      <c r="B120">
        <v>138.91999999999999</v>
      </c>
      <c r="C120">
        <v>152.54</v>
      </c>
      <c r="D120">
        <v>51.03</v>
      </c>
      <c r="E120">
        <v>64.69</v>
      </c>
      <c r="F120">
        <v>75.510000000000005</v>
      </c>
      <c r="G120">
        <v>100.99</v>
      </c>
      <c r="H120">
        <v>41.8</v>
      </c>
      <c r="I120">
        <v>36.619999999999997</v>
      </c>
      <c r="J120">
        <v>73.959999999999994</v>
      </c>
      <c r="K120">
        <v>72.290000000000006</v>
      </c>
      <c r="L120">
        <v>24.79</v>
      </c>
      <c r="M120">
        <v>17.13</v>
      </c>
      <c r="N120">
        <f t="shared" si="1"/>
        <v>68.490000000000009</v>
      </c>
      <c r="AE120">
        <v>138.91999999999999</v>
      </c>
    </row>
    <row r="121" spans="1:31" x14ac:dyDescent="0.25">
      <c r="A121" t="s">
        <v>165</v>
      </c>
      <c r="B121">
        <v>78.83</v>
      </c>
      <c r="C121">
        <v>68.28</v>
      </c>
      <c r="D121">
        <v>131.87</v>
      </c>
      <c r="E121">
        <v>10.19</v>
      </c>
      <c r="F121">
        <v>100.77</v>
      </c>
      <c r="G121">
        <v>19.86</v>
      </c>
      <c r="H121">
        <v>31.02</v>
      </c>
      <c r="I121">
        <v>31.84</v>
      </c>
      <c r="J121">
        <v>41.8</v>
      </c>
      <c r="K121">
        <v>203.98</v>
      </c>
      <c r="L121">
        <v>47.6</v>
      </c>
      <c r="M121">
        <v>106.96</v>
      </c>
      <c r="N121">
        <f t="shared" si="1"/>
        <v>57.94</v>
      </c>
      <c r="AE121">
        <v>78.83</v>
      </c>
    </row>
    <row r="122" spans="1:31" x14ac:dyDescent="0.25">
      <c r="A122" t="s">
        <v>166</v>
      </c>
      <c r="B122">
        <v>138.02000000000001</v>
      </c>
      <c r="C122">
        <v>85.67</v>
      </c>
      <c r="D122">
        <v>13.65</v>
      </c>
      <c r="E122">
        <v>5.77</v>
      </c>
      <c r="F122">
        <v>59.23</v>
      </c>
      <c r="G122">
        <v>67.89</v>
      </c>
      <c r="H122">
        <v>55.97</v>
      </c>
      <c r="I122">
        <v>35.700000000000003</v>
      </c>
      <c r="J122">
        <v>88.32</v>
      </c>
      <c r="K122">
        <v>39.33</v>
      </c>
      <c r="L122">
        <v>28.44</v>
      </c>
      <c r="M122">
        <v>17.2</v>
      </c>
      <c r="N122">
        <f t="shared" si="1"/>
        <v>47.65</v>
      </c>
      <c r="AE122">
        <v>138.02000000000001</v>
      </c>
    </row>
    <row r="123" spans="1:31" x14ac:dyDescent="0.25">
      <c r="A123" t="s">
        <v>167</v>
      </c>
      <c r="B123">
        <v>78.209999999999994</v>
      </c>
      <c r="C123">
        <v>17.96</v>
      </c>
      <c r="D123">
        <v>34.270000000000003</v>
      </c>
      <c r="E123">
        <v>26.57</v>
      </c>
      <c r="F123">
        <v>42.03</v>
      </c>
      <c r="G123">
        <v>44.86</v>
      </c>
      <c r="H123">
        <v>10.49</v>
      </c>
      <c r="I123">
        <v>39.26</v>
      </c>
      <c r="J123">
        <v>99.14</v>
      </c>
      <c r="K123">
        <v>81</v>
      </c>
      <c r="L123">
        <v>36.57</v>
      </c>
      <c r="M123">
        <v>36.450000000000003</v>
      </c>
      <c r="N123">
        <f t="shared" si="1"/>
        <v>37.914999999999999</v>
      </c>
      <c r="AE123">
        <v>78.209999999999994</v>
      </c>
    </row>
    <row r="124" spans="1:31" x14ac:dyDescent="0.25">
      <c r="A124" t="s">
        <v>168</v>
      </c>
      <c r="B124">
        <v>77.7</v>
      </c>
      <c r="C124">
        <v>39.369999999999997</v>
      </c>
      <c r="D124">
        <v>138.19999999999999</v>
      </c>
      <c r="E124">
        <v>66.150000000000006</v>
      </c>
      <c r="F124">
        <v>24.35</v>
      </c>
      <c r="G124">
        <v>20.14</v>
      </c>
      <c r="H124">
        <v>99.25</v>
      </c>
      <c r="I124">
        <v>42.08</v>
      </c>
      <c r="J124">
        <v>52.07</v>
      </c>
      <c r="K124">
        <v>66.05</v>
      </c>
      <c r="L124">
        <v>34.340000000000003</v>
      </c>
      <c r="M124">
        <v>10.14</v>
      </c>
      <c r="N124">
        <f t="shared" si="1"/>
        <v>47.075000000000003</v>
      </c>
      <c r="AE124">
        <v>77.7</v>
      </c>
    </row>
    <row r="125" spans="1:31" x14ac:dyDescent="0.25">
      <c r="A125" t="s">
        <v>169</v>
      </c>
      <c r="B125">
        <v>77.64</v>
      </c>
      <c r="C125">
        <v>34.67</v>
      </c>
      <c r="D125">
        <v>16.43</v>
      </c>
      <c r="E125">
        <v>83.69</v>
      </c>
      <c r="F125">
        <v>38.71</v>
      </c>
      <c r="G125">
        <v>40.369999999999997</v>
      </c>
      <c r="H125">
        <v>102.36</v>
      </c>
      <c r="I125">
        <v>41.53</v>
      </c>
      <c r="J125">
        <v>11.53</v>
      </c>
      <c r="K125">
        <v>79.260000000000005</v>
      </c>
      <c r="L125">
        <v>23.96</v>
      </c>
      <c r="M125">
        <v>33.880000000000003</v>
      </c>
      <c r="N125">
        <f t="shared" si="1"/>
        <v>39.54</v>
      </c>
      <c r="AE125">
        <v>77.64</v>
      </c>
    </row>
    <row r="126" spans="1:31" x14ac:dyDescent="0.25">
      <c r="A126" t="s">
        <v>170</v>
      </c>
      <c r="B126">
        <v>134.38999999999999</v>
      </c>
      <c r="C126">
        <v>94.77</v>
      </c>
      <c r="D126">
        <v>18.88</v>
      </c>
      <c r="E126">
        <v>40.35</v>
      </c>
      <c r="F126">
        <v>58.39</v>
      </c>
      <c r="G126">
        <v>41.17</v>
      </c>
      <c r="H126">
        <v>25.22</v>
      </c>
      <c r="I126">
        <v>15.28</v>
      </c>
      <c r="J126">
        <v>17.3</v>
      </c>
      <c r="K126">
        <v>0.09</v>
      </c>
      <c r="L126">
        <v>161.19999999999999</v>
      </c>
      <c r="M126">
        <v>80.680000000000007</v>
      </c>
      <c r="N126">
        <f t="shared" si="1"/>
        <v>40.760000000000005</v>
      </c>
      <c r="AE126">
        <v>134.38999999999999</v>
      </c>
    </row>
    <row r="127" spans="1:31" x14ac:dyDescent="0.25">
      <c r="A127" t="s">
        <v>171</v>
      </c>
      <c r="B127">
        <v>133.9</v>
      </c>
      <c r="C127">
        <v>24.66</v>
      </c>
      <c r="D127">
        <v>140.01</v>
      </c>
      <c r="E127">
        <v>209.74</v>
      </c>
      <c r="F127">
        <v>39.06</v>
      </c>
      <c r="G127">
        <v>16.899999999999999</v>
      </c>
      <c r="H127">
        <v>28.07</v>
      </c>
      <c r="I127">
        <v>28.69</v>
      </c>
      <c r="J127">
        <v>0.27</v>
      </c>
      <c r="K127">
        <v>84.13</v>
      </c>
      <c r="L127">
        <v>61.8</v>
      </c>
      <c r="M127">
        <v>36.53</v>
      </c>
      <c r="N127">
        <f t="shared" si="1"/>
        <v>37.795000000000002</v>
      </c>
      <c r="AE127">
        <v>133.9</v>
      </c>
    </row>
    <row r="128" spans="1:31" x14ac:dyDescent="0.25">
      <c r="A128" t="s">
        <v>172</v>
      </c>
      <c r="B128">
        <v>76.88</v>
      </c>
      <c r="C128">
        <v>10.59</v>
      </c>
      <c r="D128">
        <v>43.08</v>
      </c>
      <c r="E128">
        <v>78.650000000000006</v>
      </c>
      <c r="F128">
        <v>20.59</v>
      </c>
      <c r="G128">
        <v>45.32</v>
      </c>
      <c r="H128">
        <v>73.56</v>
      </c>
      <c r="I128">
        <v>19.07</v>
      </c>
      <c r="J128">
        <v>32.51</v>
      </c>
      <c r="K128">
        <v>49.84</v>
      </c>
      <c r="L128">
        <v>40.28</v>
      </c>
      <c r="M128">
        <v>10.29</v>
      </c>
      <c r="N128">
        <f t="shared" si="1"/>
        <v>41.68</v>
      </c>
      <c r="AE128">
        <v>76.88</v>
      </c>
    </row>
    <row r="129" spans="1:31" x14ac:dyDescent="0.25">
      <c r="A129" t="s">
        <v>173</v>
      </c>
      <c r="B129">
        <v>76.89</v>
      </c>
      <c r="C129">
        <v>42.48</v>
      </c>
      <c r="D129">
        <v>81.17</v>
      </c>
      <c r="E129">
        <v>82.35</v>
      </c>
      <c r="F129">
        <v>93.87</v>
      </c>
      <c r="G129">
        <v>15.67</v>
      </c>
      <c r="H129">
        <v>19.61</v>
      </c>
      <c r="I129">
        <v>14.95</v>
      </c>
      <c r="J129">
        <v>106.15</v>
      </c>
      <c r="K129">
        <v>35.869999999999997</v>
      </c>
      <c r="L129">
        <v>15.41</v>
      </c>
      <c r="M129">
        <v>25.61</v>
      </c>
      <c r="N129">
        <f t="shared" si="1"/>
        <v>39.174999999999997</v>
      </c>
      <c r="AE129">
        <v>76.89</v>
      </c>
    </row>
    <row r="130" spans="1:31" x14ac:dyDescent="0.25">
      <c r="A130" t="s">
        <v>174</v>
      </c>
      <c r="B130">
        <v>76.12</v>
      </c>
      <c r="C130">
        <v>23.34</v>
      </c>
      <c r="D130">
        <v>22.71</v>
      </c>
      <c r="E130">
        <v>88.49</v>
      </c>
      <c r="F130">
        <v>34.159999999999997</v>
      </c>
      <c r="G130">
        <v>25.23</v>
      </c>
      <c r="H130">
        <v>10.14</v>
      </c>
      <c r="I130">
        <v>87.39</v>
      </c>
      <c r="J130">
        <v>17.48</v>
      </c>
      <c r="K130">
        <v>43.35</v>
      </c>
      <c r="L130">
        <v>83.93</v>
      </c>
      <c r="M130">
        <v>19.559999999999999</v>
      </c>
      <c r="N130">
        <f t="shared" si="1"/>
        <v>29.695</v>
      </c>
      <c r="AE130">
        <v>76.12</v>
      </c>
    </row>
    <row r="131" spans="1:31" x14ac:dyDescent="0.25">
      <c r="A131" t="s">
        <v>175</v>
      </c>
      <c r="B131">
        <v>76.150000000000006</v>
      </c>
      <c r="C131">
        <v>36.56</v>
      </c>
      <c r="D131">
        <v>48.69</v>
      </c>
      <c r="E131">
        <v>44.03</v>
      </c>
      <c r="F131">
        <v>99.19</v>
      </c>
      <c r="G131">
        <v>10.14</v>
      </c>
      <c r="H131">
        <v>20.170000000000002</v>
      </c>
      <c r="I131">
        <v>46.71</v>
      </c>
      <c r="J131">
        <v>118</v>
      </c>
      <c r="K131">
        <v>161.38999999999999</v>
      </c>
      <c r="L131">
        <v>44.92</v>
      </c>
      <c r="M131">
        <v>26.11</v>
      </c>
      <c r="N131">
        <f t="shared" ref="N131:N194" si="2">MEDIAN(B131:M131)</f>
        <v>45.814999999999998</v>
      </c>
      <c r="AE131">
        <v>76.150000000000006</v>
      </c>
    </row>
    <row r="132" spans="1:31" x14ac:dyDescent="0.25">
      <c r="A132" t="s">
        <v>176</v>
      </c>
      <c r="B132">
        <v>76.88</v>
      </c>
      <c r="C132">
        <v>100.7</v>
      </c>
      <c r="D132">
        <v>24.41</v>
      </c>
      <c r="E132">
        <v>78.290000000000006</v>
      </c>
      <c r="F132">
        <v>22.78</v>
      </c>
      <c r="G132">
        <v>22.63</v>
      </c>
      <c r="H132">
        <v>17.46</v>
      </c>
      <c r="I132">
        <v>22.65</v>
      </c>
      <c r="J132">
        <v>20.84</v>
      </c>
      <c r="K132">
        <v>21.32</v>
      </c>
      <c r="L132">
        <v>27.27</v>
      </c>
      <c r="M132">
        <v>62.17</v>
      </c>
      <c r="N132">
        <f t="shared" si="2"/>
        <v>23.594999999999999</v>
      </c>
      <c r="AE132">
        <v>76.88</v>
      </c>
    </row>
    <row r="133" spans="1:31" x14ac:dyDescent="0.25">
      <c r="A133" t="s">
        <v>177</v>
      </c>
      <c r="B133">
        <v>132.21</v>
      </c>
      <c r="C133">
        <v>63.86</v>
      </c>
      <c r="D133">
        <v>37.090000000000003</v>
      </c>
      <c r="E133">
        <v>48.95</v>
      </c>
      <c r="F133">
        <v>13.51</v>
      </c>
      <c r="G133">
        <v>30.85</v>
      </c>
      <c r="H133">
        <v>93.99</v>
      </c>
      <c r="I133">
        <v>40.36</v>
      </c>
      <c r="J133">
        <v>99.68</v>
      </c>
      <c r="K133">
        <v>89.91</v>
      </c>
      <c r="L133">
        <v>5.87</v>
      </c>
      <c r="M133">
        <v>60.55</v>
      </c>
      <c r="N133">
        <f t="shared" si="2"/>
        <v>54.75</v>
      </c>
      <c r="AE133">
        <v>132.21</v>
      </c>
    </row>
    <row r="134" spans="1:31" x14ac:dyDescent="0.25">
      <c r="A134" t="s">
        <v>178</v>
      </c>
      <c r="B134">
        <v>75.77</v>
      </c>
      <c r="C134">
        <v>25.09</v>
      </c>
      <c r="D134">
        <v>41.17</v>
      </c>
      <c r="E134">
        <v>97.04</v>
      </c>
      <c r="F134">
        <v>94.35</v>
      </c>
      <c r="G134">
        <v>57.12</v>
      </c>
      <c r="H134">
        <v>11.53</v>
      </c>
      <c r="I134">
        <v>57.89</v>
      </c>
      <c r="J134">
        <v>10.39</v>
      </c>
      <c r="K134">
        <v>98.12</v>
      </c>
      <c r="L134">
        <v>22.46</v>
      </c>
      <c r="M134">
        <v>46.76</v>
      </c>
      <c r="N134">
        <f t="shared" si="2"/>
        <v>51.94</v>
      </c>
      <c r="AE134">
        <v>75.77</v>
      </c>
    </row>
    <row r="135" spans="1:31" x14ac:dyDescent="0.25">
      <c r="A135" t="s">
        <v>179</v>
      </c>
      <c r="B135">
        <v>75.91</v>
      </c>
      <c r="C135">
        <v>21.39</v>
      </c>
      <c r="D135">
        <v>25.59</v>
      </c>
      <c r="E135">
        <v>41.81</v>
      </c>
      <c r="F135">
        <v>79.62</v>
      </c>
      <c r="G135">
        <v>54.73</v>
      </c>
      <c r="H135">
        <v>67.180000000000007</v>
      </c>
      <c r="I135">
        <v>34.61</v>
      </c>
      <c r="J135">
        <v>51.7</v>
      </c>
      <c r="K135">
        <v>146.08000000000001</v>
      </c>
      <c r="L135">
        <v>16.329999999999998</v>
      </c>
      <c r="M135">
        <v>111.98</v>
      </c>
      <c r="N135">
        <f t="shared" si="2"/>
        <v>53.215000000000003</v>
      </c>
      <c r="AE135">
        <v>75.91</v>
      </c>
    </row>
    <row r="136" spans="1:31" x14ac:dyDescent="0.25">
      <c r="A136" t="s">
        <v>180</v>
      </c>
      <c r="B136">
        <v>75.81</v>
      </c>
      <c r="C136">
        <v>70.27</v>
      </c>
      <c r="D136">
        <v>63.74</v>
      </c>
      <c r="E136">
        <v>9.99</v>
      </c>
      <c r="F136">
        <v>17.510000000000002</v>
      </c>
      <c r="G136">
        <v>31.9</v>
      </c>
      <c r="H136">
        <v>205.6</v>
      </c>
      <c r="I136">
        <v>15.87</v>
      </c>
      <c r="J136">
        <v>17.87</v>
      </c>
      <c r="K136">
        <v>11.68</v>
      </c>
      <c r="L136">
        <v>50.68</v>
      </c>
      <c r="M136">
        <v>41.99</v>
      </c>
      <c r="N136">
        <f t="shared" si="2"/>
        <v>36.945</v>
      </c>
      <c r="AE136">
        <v>75.81</v>
      </c>
    </row>
    <row r="137" spans="1:31" x14ac:dyDescent="0.25">
      <c r="A137" t="s">
        <v>181</v>
      </c>
      <c r="B137">
        <v>75.73</v>
      </c>
      <c r="C137">
        <v>14.21</v>
      </c>
      <c r="D137">
        <v>57.43</v>
      </c>
      <c r="E137">
        <v>10.52</v>
      </c>
      <c r="F137">
        <v>20.89</v>
      </c>
      <c r="G137">
        <v>40.090000000000003</v>
      </c>
      <c r="H137">
        <v>65.08</v>
      </c>
      <c r="I137">
        <v>18.43</v>
      </c>
      <c r="J137">
        <v>68.52</v>
      </c>
      <c r="K137">
        <v>51.91</v>
      </c>
      <c r="L137">
        <v>27.54</v>
      </c>
      <c r="M137">
        <v>87.31</v>
      </c>
      <c r="N137">
        <f t="shared" si="2"/>
        <v>46</v>
      </c>
      <c r="AE137">
        <v>75.73</v>
      </c>
    </row>
    <row r="138" spans="1:31" x14ac:dyDescent="0.25">
      <c r="A138" t="s">
        <v>182</v>
      </c>
      <c r="B138">
        <v>131.83000000000001</v>
      </c>
      <c r="C138">
        <v>8.5500000000000007</v>
      </c>
      <c r="D138">
        <v>175.86</v>
      </c>
      <c r="E138">
        <v>28.74</v>
      </c>
      <c r="F138">
        <v>8.49</v>
      </c>
      <c r="G138">
        <v>41.14</v>
      </c>
      <c r="H138">
        <v>46.16</v>
      </c>
      <c r="I138">
        <v>65.989999999999995</v>
      </c>
      <c r="J138">
        <v>53.09</v>
      </c>
      <c r="K138">
        <v>44.3</v>
      </c>
      <c r="L138">
        <v>61.72</v>
      </c>
      <c r="M138">
        <v>52.88</v>
      </c>
      <c r="N138">
        <f t="shared" si="2"/>
        <v>49.519999999999996</v>
      </c>
      <c r="AE138">
        <v>131.83000000000001</v>
      </c>
    </row>
    <row r="139" spans="1:31" x14ac:dyDescent="0.25">
      <c r="A139" t="s">
        <v>183</v>
      </c>
      <c r="B139">
        <v>75.849999999999994</v>
      </c>
      <c r="C139">
        <v>18.329999999999998</v>
      </c>
      <c r="D139">
        <v>24.15</v>
      </c>
      <c r="E139">
        <v>20.399999999999999</v>
      </c>
      <c r="F139">
        <v>63.25</v>
      </c>
      <c r="G139">
        <v>24.74</v>
      </c>
      <c r="H139">
        <v>31.11</v>
      </c>
      <c r="I139">
        <v>250.33</v>
      </c>
      <c r="J139">
        <v>21.19</v>
      </c>
      <c r="K139">
        <v>29.93</v>
      </c>
      <c r="L139">
        <v>44.95</v>
      </c>
      <c r="M139">
        <v>60.63</v>
      </c>
      <c r="N139">
        <f t="shared" si="2"/>
        <v>30.52</v>
      </c>
      <c r="AE139">
        <v>75.849999999999994</v>
      </c>
    </row>
    <row r="140" spans="1:31" x14ac:dyDescent="0.25">
      <c r="A140" t="s">
        <v>184</v>
      </c>
      <c r="B140">
        <v>75.400000000000006</v>
      </c>
      <c r="C140">
        <v>11.79</v>
      </c>
      <c r="D140">
        <v>70.709999999999994</v>
      </c>
      <c r="E140">
        <v>48.46</v>
      </c>
      <c r="F140">
        <v>31.21</v>
      </c>
      <c r="G140">
        <v>17.47</v>
      </c>
      <c r="H140">
        <v>65.31</v>
      </c>
      <c r="I140">
        <v>25.82</v>
      </c>
      <c r="J140">
        <v>50.83</v>
      </c>
      <c r="K140">
        <v>19.489999999999998</v>
      </c>
      <c r="L140">
        <v>70.900000000000006</v>
      </c>
      <c r="M140">
        <v>13.14</v>
      </c>
      <c r="N140">
        <f t="shared" si="2"/>
        <v>39.835000000000001</v>
      </c>
      <c r="AE140">
        <v>75.400000000000006</v>
      </c>
    </row>
    <row r="141" spans="1:31" x14ac:dyDescent="0.25">
      <c r="A141" t="s">
        <v>185</v>
      </c>
      <c r="B141">
        <v>130.57</v>
      </c>
      <c r="C141">
        <v>54.34</v>
      </c>
      <c r="D141">
        <v>1.37</v>
      </c>
      <c r="E141">
        <v>31.62</v>
      </c>
      <c r="F141">
        <v>17.48</v>
      </c>
      <c r="G141">
        <v>10.75</v>
      </c>
      <c r="H141">
        <v>40.29</v>
      </c>
      <c r="I141">
        <v>0.81</v>
      </c>
      <c r="J141">
        <v>64.760000000000005</v>
      </c>
      <c r="K141">
        <v>71.66</v>
      </c>
      <c r="L141">
        <v>65.88</v>
      </c>
      <c r="M141">
        <v>38.92</v>
      </c>
      <c r="N141">
        <f t="shared" si="2"/>
        <v>39.605000000000004</v>
      </c>
      <c r="AE141">
        <v>130.57</v>
      </c>
    </row>
    <row r="142" spans="1:31" x14ac:dyDescent="0.25">
      <c r="A142" t="s">
        <v>186</v>
      </c>
      <c r="B142">
        <v>130.21</v>
      </c>
      <c r="C142">
        <v>104.94</v>
      </c>
      <c r="D142">
        <v>0</v>
      </c>
      <c r="E142">
        <v>22.99</v>
      </c>
      <c r="F142">
        <v>178.76</v>
      </c>
      <c r="G142">
        <v>111.34</v>
      </c>
      <c r="H142">
        <v>390.92</v>
      </c>
      <c r="I142">
        <v>25.45</v>
      </c>
      <c r="J142">
        <v>42.09</v>
      </c>
      <c r="K142">
        <v>26.58</v>
      </c>
      <c r="L142">
        <v>72</v>
      </c>
      <c r="M142">
        <v>25.85</v>
      </c>
      <c r="N142">
        <f t="shared" si="2"/>
        <v>57.045000000000002</v>
      </c>
      <c r="AE142">
        <v>130.21</v>
      </c>
    </row>
    <row r="143" spans="1:31" x14ac:dyDescent="0.25">
      <c r="A143" t="s">
        <v>187</v>
      </c>
      <c r="B143">
        <v>130.66999999999999</v>
      </c>
      <c r="C143">
        <v>12.46</v>
      </c>
      <c r="D143">
        <v>156.28</v>
      </c>
      <c r="E143">
        <v>8.7899999999999991</v>
      </c>
      <c r="F143">
        <v>0.54</v>
      </c>
      <c r="G143">
        <v>86.09</v>
      </c>
      <c r="H143">
        <v>19.059999999999999</v>
      </c>
      <c r="I143">
        <v>67.709999999999994</v>
      </c>
      <c r="J143">
        <v>82.32</v>
      </c>
      <c r="K143">
        <v>0.82</v>
      </c>
      <c r="L143">
        <v>39.54</v>
      </c>
      <c r="M143">
        <v>32.67</v>
      </c>
      <c r="N143">
        <f t="shared" si="2"/>
        <v>36.105000000000004</v>
      </c>
      <c r="AE143">
        <v>130.66999999999999</v>
      </c>
    </row>
    <row r="144" spans="1:31" x14ac:dyDescent="0.25">
      <c r="A144" t="s">
        <v>188</v>
      </c>
      <c r="B144">
        <v>130.02000000000001</v>
      </c>
      <c r="C144">
        <v>20.97</v>
      </c>
      <c r="D144">
        <v>0.27</v>
      </c>
      <c r="E144">
        <v>64.77</v>
      </c>
      <c r="F144">
        <v>18.350000000000001</v>
      </c>
      <c r="G144">
        <v>0.1</v>
      </c>
      <c r="H144">
        <v>75.459999999999994</v>
      </c>
      <c r="I144">
        <v>33.119999999999997</v>
      </c>
      <c r="J144">
        <v>15.19</v>
      </c>
      <c r="K144">
        <v>64.03</v>
      </c>
      <c r="L144">
        <v>0</v>
      </c>
      <c r="M144">
        <v>104.1</v>
      </c>
      <c r="N144">
        <f t="shared" si="2"/>
        <v>27.044999999999998</v>
      </c>
      <c r="AE144">
        <v>130.02000000000001</v>
      </c>
    </row>
    <row r="145" spans="1:31" x14ac:dyDescent="0.25">
      <c r="A145" t="s">
        <v>189</v>
      </c>
      <c r="B145">
        <v>74.75</v>
      </c>
      <c r="C145">
        <v>10.39</v>
      </c>
      <c r="D145">
        <v>105.19</v>
      </c>
      <c r="E145">
        <v>15.31</v>
      </c>
      <c r="F145">
        <v>25.9</v>
      </c>
      <c r="G145">
        <v>13.26</v>
      </c>
      <c r="H145">
        <v>86.05</v>
      </c>
      <c r="I145">
        <v>66.8</v>
      </c>
      <c r="J145">
        <v>110.93</v>
      </c>
      <c r="K145">
        <v>50.85</v>
      </c>
      <c r="L145">
        <v>15.96</v>
      </c>
      <c r="M145">
        <v>24.02</v>
      </c>
      <c r="N145">
        <f t="shared" si="2"/>
        <v>38.375</v>
      </c>
      <c r="AE145">
        <v>74.75</v>
      </c>
    </row>
    <row r="146" spans="1:31" x14ac:dyDescent="0.25">
      <c r="A146" t="s">
        <v>190</v>
      </c>
      <c r="B146">
        <v>74.59</v>
      </c>
      <c r="C146">
        <v>43.75</v>
      </c>
      <c r="D146">
        <v>22.83</v>
      </c>
      <c r="E146">
        <v>45.6</v>
      </c>
      <c r="F146">
        <v>45.96</v>
      </c>
      <c r="G146">
        <v>137.72</v>
      </c>
      <c r="H146">
        <v>35.1</v>
      </c>
      <c r="I146">
        <v>33.520000000000003</v>
      </c>
      <c r="J146">
        <v>47.31</v>
      </c>
      <c r="K146">
        <v>72.5</v>
      </c>
      <c r="L146">
        <v>43.6</v>
      </c>
      <c r="M146">
        <v>53.97</v>
      </c>
      <c r="N146">
        <f t="shared" si="2"/>
        <v>45.78</v>
      </c>
      <c r="AE146">
        <v>74.59</v>
      </c>
    </row>
    <row r="147" spans="1:31" x14ac:dyDescent="0.25">
      <c r="A147" t="s">
        <v>191</v>
      </c>
      <c r="B147">
        <v>74.58</v>
      </c>
      <c r="C147">
        <v>22.6</v>
      </c>
      <c r="D147">
        <v>24.26</v>
      </c>
      <c r="E147">
        <v>71.989999999999995</v>
      </c>
      <c r="F147">
        <v>37.57</v>
      </c>
      <c r="G147">
        <v>124.61</v>
      </c>
      <c r="H147">
        <v>32.58</v>
      </c>
      <c r="I147">
        <v>43.97</v>
      </c>
      <c r="J147">
        <v>36.79</v>
      </c>
      <c r="K147">
        <v>122.27</v>
      </c>
      <c r="L147">
        <v>34.229999999999997</v>
      </c>
      <c r="M147">
        <v>24.39</v>
      </c>
      <c r="N147">
        <f t="shared" si="2"/>
        <v>37.18</v>
      </c>
      <c r="AE147">
        <v>74.58</v>
      </c>
    </row>
    <row r="148" spans="1:31" x14ac:dyDescent="0.25">
      <c r="A148" t="s">
        <v>192</v>
      </c>
      <c r="B148">
        <v>74.510000000000005</v>
      </c>
      <c r="C148">
        <v>151.49</v>
      </c>
      <c r="D148">
        <v>115.43</v>
      </c>
      <c r="E148">
        <v>70.930000000000007</v>
      </c>
      <c r="F148">
        <v>10.54</v>
      </c>
      <c r="G148">
        <v>82.26</v>
      </c>
      <c r="H148">
        <v>14.39</v>
      </c>
      <c r="I148">
        <v>78.430000000000007</v>
      </c>
      <c r="J148">
        <v>19.25</v>
      </c>
      <c r="K148">
        <v>35.82</v>
      </c>
      <c r="L148">
        <v>10.24</v>
      </c>
      <c r="M148">
        <v>57.78</v>
      </c>
      <c r="N148">
        <f t="shared" si="2"/>
        <v>64.355000000000004</v>
      </c>
      <c r="AE148">
        <v>74.510000000000005</v>
      </c>
    </row>
    <row r="149" spans="1:31" x14ac:dyDescent="0.25">
      <c r="A149" t="s">
        <v>193</v>
      </c>
      <c r="B149">
        <v>74.180000000000007</v>
      </c>
      <c r="C149">
        <v>10.76</v>
      </c>
      <c r="D149">
        <v>27.99</v>
      </c>
      <c r="E149">
        <v>48.43</v>
      </c>
      <c r="F149">
        <v>42.52</v>
      </c>
      <c r="G149">
        <v>29.29</v>
      </c>
      <c r="H149">
        <v>94.07</v>
      </c>
      <c r="I149">
        <v>17.649999999999999</v>
      </c>
      <c r="J149">
        <v>59.92</v>
      </c>
      <c r="K149">
        <v>10.44</v>
      </c>
      <c r="L149">
        <v>42.54</v>
      </c>
      <c r="M149">
        <v>81.23</v>
      </c>
      <c r="N149">
        <f t="shared" si="2"/>
        <v>42.53</v>
      </c>
      <c r="AE149">
        <v>74.180000000000007</v>
      </c>
    </row>
    <row r="150" spans="1:31" x14ac:dyDescent="0.25">
      <c r="A150" t="s">
        <v>194</v>
      </c>
      <c r="B150">
        <v>128.31</v>
      </c>
      <c r="C150">
        <v>9.07</v>
      </c>
      <c r="D150">
        <v>0.43</v>
      </c>
      <c r="E150">
        <v>162.33000000000001</v>
      </c>
      <c r="F150">
        <v>0.63</v>
      </c>
      <c r="G150">
        <v>58.72</v>
      </c>
      <c r="H150">
        <v>2.37</v>
      </c>
      <c r="I150">
        <v>61.12</v>
      </c>
      <c r="J150">
        <v>28.99</v>
      </c>
      <c r="K150">
        <v>20.53</v>
      </c>
      <c r="L150">
        <v>52.17</v>
      </c>
      <c r="M150">
        <v>66.22</v>
      </c>
      <c r="N150">
        <f t="shared" si="2"/>
        <v>40.58</v>
      </c>
      <c r="AE150">
        <v>128.31</v>
      </c>
    </row>
    <row r="151" spans="1:31" x14ac:dyDescent="0.25">
      <c r="A151" t="s">
        <v>195</v>
      </c>
      <c r="B151">
        <v>128.93</v>
      </c>
      <c r="C151">
        <v>26.44</v>
      </c>
      <c r="D151">
        <v>1.1399999999999999</v>
      </c>
      <c r="E151">
        <v>175.71</v>
      </c>
      <c r="F151">
        <v>95.8</v>
      </c>
      <c r="G151">
        <v>69.47</v>
      </c>
      <c r="H151">
        <v>0</v>
      </c>
      <c r="I151">
        <v>37.880000000000003</v>
      </c>
      <c r="J151">
        <v>60.31</v>
      </c>
      <c r="K151">
        <v>14.52</v>
      </c>
      <c r="L151">
        <v>48.55</v>
      </c>
      <c r="M151">
        <v>43.85</v>
      </c>
      <c r="N151">
        <f t="shared" si="2"/>
        <v>46.2</v>
      </c>
      <c r="AE151">
        <v>128.93</v>
      </c>
    </row>
    <row r="152" spans="1:31" x14ac:dyDescent="0.25">
      <c r="A152" t="s">
        <v>196</v>
      </c>
      <c r="B152">
        <v>127.23</v>
      </c>
      <c r="C152">
        <v>109.54</v>
      </c>
      <c r="D152">
        <v>112.12</v>
      </c>
      <c r="E152">
        <v>57.18</v>
      </c>
      <c r="F152">
        <v>13.26</v>
      </c>
      <c r="G152">
        <v>8.99</v>
      </c>
      <c r="H152">
        <v>62.68</v>
      </c>
      <c r="I152">
        <v>22.55</v>
      </c>
      <c r="J152">
        <v>43.95</v>
      </c>
      <c r="K152">
        <v>52.67</v>
      </c>
      <c r="L152">
        <v>84.06</v>
      </c>
      <c r="M152">
        <v>2.16</v>
      </c>
      <c r="N152">
        <f t="shared" si="2"/>
        <v>54.924999999999997</v>
      </c>
      <c r="AE152">
        <v>127.23</v>
      </c>
    </row>
    <row r="153" spans="1:31" x14ac:dyDescent="0.25">
      <c r="A153" t="s">
        <v>197</v>
      </c>
      <c r="B153">
        <v>127.51</v>
      </c>
      <c r="C153">
        <v>0.18</v>
      </c>
      <c r="D153">
        <v>2.57</v>
      </c>
      <c r="E153">
        <v>30.97</v>
      </c>
      <c r="F153">
        <v>90.99</v>
      </c>
      <c r="G153">
        <v>13.31</v>
      </c>
      <c r="H153">
        <v>8.74</v>
      </c>
      <c r="I153">
        <v>15.32</v>
      </c>
      <c r="J153">
        <v>31.15</v>
      </c>
      <c r="K153">
        <v>11.54</v>
      </c>
      <c r="L153">
        <v>24.53</v>
      </c>
      <c r="M153">
        <v>92.19</v>
      </c>
      <c r="N153">
        <f t="shared" si="2"/>
        <v>19.925000000000001</v>
      </c>
      <c r="AE153">
        <v>127.51</v>
      </c>
    </row>
    <row r="154" spans="1:31" x14ac:dyDescent="0.25">
      <c r="A154" t="s">
        <v>198</v>
      </c>
      <c r="B154">
        <v>73.13</v>
      </c>
      <c r="C154">
        <v>19.760000000000002</v>
      </c>
      <c r="D154">
        <v>16.48</v>
      </c>
      <c r="E154">
        <v>157.57</v>
      </c>
      <c r="F154">
        <v>165.21</v>
      </c>
      <c r="G154">
        <v>23.65</v>
      </c>
      <c r="H154">
        <v>12.06</v>
      </c>
      <c r="I154">
        <v>16.93</v>
      </c>
      <c r="J154">
        <v>32.99</v>
      </c>
      <c r="K154">
        <v>39.42</v>
      </c>
      <c r="L154">
        <v>38.340000000000003</v>
      </c>
      <c r="M154">
        <v>92.27</v>
      </c>
      <c r="N154">
        <f t="shared" si="2"/>
        <v>35.665000000000006</v>
      </c>
      <c r="AE154">
        <v>73.13</v>
      </c>
    </row>
    <row r="155" spans="1:31" x14ac:dyDescent="0.25">
      <c r="A155" t="s">
        <v>199</v>
      </c>
      <c r="B155">
        <v>73.010000000000005</v>
      </c>
      <c r="C155">
        <v>43.72</v>
      </c>
      <c r="D155">
        <v>10.39</v>
      </c>
      <c r="E155">
        <v>49.46</v>
      </c>
      <c r="F155">
        <v>223.7</v>
      </c>
      <c r="G155">
        <v>10.7</v>
      </c>
      <c r="H155">
        <v>67.569999999999993</v>
      </c>
      <c r="I155">
        <v>28.76</v>
      </c>
      <c r="J155">
        <v>34.630000000000003</v>
      </c>
      <c r="K155">
        <v>32.79</v>
      </c>
      <c r="L155">
        <v>88.43</v>
      </c>
      <c r="M155">
        <v>31.2</v>
      </c>
      <c r="N155">
        <f t="shared" si="2"/>
        <v>39.174999999999997</v>
      </c>
      <c r="AE155">
        <v>73.010000000000005</v>
      </c>
    </row>
    <row r="156" spans="1:31" x14ac:dyDescent="0.25">
      <c r="A156" t="s">
        <v>200</v>
      </c>
      <c r="B156">
        <v>72.819999999999993</v>
      </c>
      <c r="C156">
        <v>87.16</v>
      </c>
      <c r="D156">
        <v>46.09</v>
      </c>
      <c r="E156">
        <v>21.93</v>
      </c>
      <c r="F156">
        <v>53.01</v>
      </c>
      <c r="G156">
        <v>29.35</v>
      </c>
      <c r="H156">
        <v>23.4</v>
      </c>
      <c r="I156">
        <v>16.16</v>
      </c>
      <c r="J156">
        <v>58.74</v>
      </c>
      <c r="K156">
        <v>57.07</v>
      </c>
      <c r="L156">
        <v>39.090000000000003</v>
      </c>
      <c r="M156">
        <v>40.21</v>
      </c>
      <c r="N156">
        <f t="shared" si="2"/>
        <v>43.150000000000006</v>
      </c>
      <c r="AE156">
        <v>72.819999999999993</v>
      </c>
    </row>
    <row r="157" spans="1:31" x14ac:dyDescent="0.25">
      <c r="A157" t="s">
        <v>201</v>
      </c>
      <c r="B157">
        <v>72.19</v>
      </c>
      <c r="C157">
        <v>79.75</v>
      </c>
      <c r="D157">
        <v>78.010000000000005</v>
      </c>
      <c r="E157">
        <v>33.72</v>
      </c>
      <c r="F157">
        <v>79.97</v>
      </c>
      <c r="G157">
        <v>31.53</v>
      </c>
      <c r="H157">
        <v>52.43</v>
      </c>
      <c r="I157">
        <v>56.48</v>
      </c>
      <c r="J157">
        <v>23.98</v>
      </c>
      <c r="K157">
        <v>21.29</v>
      </c>
      <c r="L157">
        <v>18.12</v>
      </c>
      <c r="M157">
        <v>40.81</v>
      </c>
      <c r="N157">
        <f t="shared" si="2"/>
        <v>46.620000000000005</v>
      </c>
      <c r="AE157">
        <v>72.19</v>
      </c>
    </row>
    <row r="158" spans="1:31" x14ac:dyDescent="0.25">
      <c r="A158" t="s">
        <v>202</v>
      </c>
      <c r="B158">
        <v>71.91</v>
      </c>
      <c r="C158">
        <v>30.96</v>
      </c>
      <c r="D158">
        <v>56.71</v>
      </c>
      <c r="E158">
        <v>98.79</v>
      </c>
      <c r="F158">
        <v>109.83</v>
      </c>
      <c r="G158">
        <v>49.39</v>
      </c>
      <c r="H158">
        <v>38.85</v>
      </c>
      <c r="I158">
        <v>46.06</v>
      </c>
      <c r="J158">
        <v>11.69</v>
      </c>
      <c r="K158">
        <v>19.690000000000001</v>
      </c>
      <c r="L158">
        <v>28.24</v>
      </c>
      <c r="M158">
        <v>25.36</v>
      </c>
      <c r="N158">
        <f t="shared" si="2"/>
        <v>42.454999999999998</v>
      </c>
      <c r="AE158">
        <v>71.91</v>
      </c>
    </row>
    <row r="159" spans="1:31" x14ac:dyDescent="0.25">
      <c r="A159" t="s">
        <v>203</v>
      </c>
      <c r="B159">
        <v>71.05</v>
      </c>
      <c r="C159">
        <v>24.36</v>
      </c>
      <c r="D159">
        <v>72.739999999999995</v>
      </c>
      <c r="E159">
        <v>37.619999999999997</v>
      </c>
      <c r="F159">
        <v>16.239999999999998</v>
      </c>
      <c r="G159">
        <v>13.7</v>
      </c>
      <c r="H159">
        <v>66.25</v>
      </c>
      <c r="I159">
        <v>47.88</v>
      </c>
      <c r="J159">
        <v>36.35</v>
      </c>
      <c r="K159">
        <v>35.880000000000003</v>
      </c>
      <c r="L159">
        <v>47.72</v>
      </c>
      <c r="M159">
        <v>26.23</v>
      </c>
      <c r="N159">
        <f t="shared" si="2"/>
        <v>36.984999999999999</v>
      </c>
      <c r="AE159">
        <v>71.05</v>
      </c>
    </row>
    <row r="160" spans="1:31" x14ac:dyDescent="0.25">
      <c r="A160" t="s">
        <v>204</v>
      </c>
      <c r="B160">
        <v>122.28</v>
      </c>
      <c r="C160">
        <v>107.94</v>
      </c>
      <c r="D160">
        <v>6.08</v>
      </c>
      <c r="E160">
        <v>11.77</v>
      </c>
      <c r="F160">
        <v>36.22</v>
      </c>
      <c r="G160">
        <v>0</v>
      </c>
      <c r="H160">
        <v>120.87</v>
      </c>
      <c r="I160">
        <v>55.73</v>
      </c>
      <c r="J160">
        <v>81.260000000000005</v>
      </c>
      <c r="K160">
        <v>121.74</v>
      </c>
      <c r="L160">
        <v>29.87</v>
      </c>
      <c r="M160">
        <v>5.27</v>
      </c>
      <c r="N160">
        <f t="shared" si="2"/>
        <v>45.974999999999994</v>
      </c>
      <c r="AE160">
        <v>122.28</v>
      </c>
    </row>
    <row r="161" spans="1:31" x14ac:dyDescent="0.25">
      <c r="A161" t="s">
        <v>205</v>
      </c>
      <c r="B161">
        <v>70.78</v>
      </c>
      <c r="C161">
        <v>27.51</v>
      </c>
      <c r="D161">
        <v>53.7</v>
      </c>
      <c r="E161">
        <v>32.880000000000003</v>
      </c>
      <c r="F161">
        <v>44.59</v>
      </c>
      <c r="G161">
        <v>24.9</v>
      </c>
      <c r="H161">
        <v>10.55</v>
      </c>
      <c r="I161">
        <v>108.86</v>
      </c>
      <c r="J161">
        <v>10.19</v>
      </c>
      <c r="K161">
        <v>63.84</v>
      </c>
      <c r="L161">
        <v>14.16</v>
      </c>
      <c r="M161">
        <v>23.21</v>
      </c>
      <c r="N161">
        <f t="shared" si="2"/>
        <v>30.195</v>
      </c>
      <c r="AE161">
        <v>70.78</v>
      </c>
    </row>
    <row r="162" spans="1:31" x14ac:dyDescent="0.25">
      <c r="A162" t="s">
        <v>206</v>
      </c>
      <c r="B162">
        <v>70.569999999999993</v>
      </c>
      <c r="C162">
        <v>35.590000000000003</v>
      </c>
      <c r="D162">
        <v>42.19</v>
      </c>
      <c r="E162">
        <v>96.39</v>
      </c>
      <c r="F162">
        <v>107.93</v>
      </c>
      <c r="G162">
        <v>51.22</v>
      </c>
      <c r="H162">
        <v>12.35</v>
      </c>
      <c r="I162">
        <v>10.44</v>
      </c>
      <c r="J162">
        <v>85.64</v>
      </c>
      <c r="K162">
        <v>12.27</v>
      </c>
      <c r="L162">
        <v>18.22</v>
      </c>
      <c r="M162">
        <v>29.24</v>
      </c>
      <c r="N162">
        <f t="shared" si="2"/>
        <v>38.89</v>
      </c>
      <c r="AE162">
        <v>70.569999999999993</v>
      </c>
    </row>
    <row r="163" spans="1:31" x14ac:dyDescent="0.25">
      <c r="A163" t="s">
        <v>207</v>
      </c>
      <c r="B163">
        <v>70.400000000000006</v>
      </c>
      <c r="C163">
        <v>43.45</v>
      </c>
      <c r="D163">
        <v>22.67</v>
      </c>
      <c r="E163">
        <v>18.3</v>
      </c>
      <c r="F163">
        <v>96.58</v>
      </c>
      <c r="G163">
        <v>95.53</v>
      </c>
      <c r="H163">
        <v>10.14</v>
      </c>
      <c r="I163">
        <v>65.53</v>
      </c>
      <c r="J163">
        <v>27.35</v>
      </c>
      <c r="K163">
        <v>15.79</v>
      </c>
      <c r="L163">
        <v>56.74</v>
      </c>
      <c r="M163">
        <v>46.91</v>
      </c>
      <c r="N163">
        <f t="shared" si="2"/>
        <v>45.18</v>
      </c>
      <c r="AE163">
        <v>70.400000000000006</v>
      </c>
    </row>
    <row r="164" spans="1:31" x14ac:dyDescent="0.25">
      <c r="A164" t="s">
        <v>208</v>
      </c>
      <c r="B164">
        <v>70.17</v>
      </c>
      <c r="C164">
        <v>34.799999999999997</v>
      </c>
      <c r="D164">
        <v>10.44</v>
      </c>
      <c r="E164">
        <v>71.94</v>
      </c>
      <c r="F164">
        <v>20.3</v>
      </c>
      <c r="G164">
        <v>14.4</v>
      </c>
      <c r="H164">
        <v>69.510000000000005</v>
      </c>
      <c r="I164">
        <v>103.73</v>
      </c>
      <c r="J164">
        <v>95.56</v>
      </c>
      <c r="K164">
        <v>12.11</v>
      </c>
      <c r="L164">
        <v>29.61</v>
      </c>
      <c r="M164">
        <v>12.31</v>
      </c>
      <c r="N164">
        <f t="shared" si="2"/>
        <v>32.204999999999998</v>
      </c>
      <c r="AE164">
        <v>70.17</v>
      </c>
    </row>
    <row r="165" spans="1:31" x14ac:dyDescent="0.25">
      <c r="A165" t="s">
        <v>209</v>
      </c>
      <c r="B165">
        <v>70.34</v>
      </c>
      <c r="C165">
        <v>157.37</v>
      </c>
      <c r="D165">
        <v>29.62</v>
      </c>
      <c r="E165">
        <v>10.09</v>
      </c>
      <c r="F165">
        <v>127.54</v>
      </c>
      <c r="G165">
        <v>9.99</v>
      </c>
      <c r="H165">
        <v>66.38</v>
      </c>
      <c r="I165">
        <v>13.92</v>
      </c>
      <c r="J165">
        <v>55.52</v>
      </c>
      <c r="K165">
        <v>114.17</v>
      </c>
      <c r="L165">
        <v>32.479999999999997</v>
      </c>
      <c r="M165">
        <v>17</v>
      </c>
      <c r="N165">
        <f t="shared" si="2"/>
        <v>44</v>
      </c>
      <c r="AE165">
        <v>70.34</v>
      </c>
    </row>
    <row r="166" spans="1:31" x14ac:dyDescent="0.25">
      <c r="A166" t="s">
        <v>210</v>
      </c>
      <c r="B166">
        <v>120.3</v>
      </c>
      <c r="C166">
        <v>37.82</v>
      </c>
      <c r="D166">
        <v>10.46</v>
      </c>
      <c r="E166">
        <v>24.31</v>
      </c>
      <c r="F166">
        <v>219.92</v>
      </c>
      <c r="G166">
        <v>26.41</v>
      </c>
      <c r="H166">
        <v>119.64</v>
      </c>
      <c r="I166">
        <v>35.450000000000003</v>
      </c>
      <c r="J166">
        <v>289.35000000000002</v>
      </c>
      <c r="K166">
        <v>44.26</v>
      </c>
      <c r="L166">
        <v>41.41</v>
      </c>
      <c r="M166">
        <v>66.48</v>
      </c>
      <c r="N166">
        <f t="shared" si="2"/>
        <v>42.834999999999994</v>
      </c>
      <c r="AE166">
        <v>120.3</v>
      </c>
    </row>
    <row r="167" spans="1:31" x14ac:dyDescent="0.25">
      <c r="A167" t="s">
        <v>211</v>
      </c>
      <c r="B167">
        <v>69.98</v>
      </c>
      <c r="C167">
        <v>16.78</v>
      </c>
      <c r="D167">
        <v>82.36</v>
      </c>
      <c r="E167">
        <v>72.489999999999995</v>
      </c>
      <c r="F167">
        <v>39.049999999999997</v>
      </c>
      <c r="G167">
        <v>47.58</v>
      </c>
      <c r="H167">
        <v>64.349999999999994</v>
      </c>
      <c r="I167">
        <v>42.74</v>
      </c>
      <c r="J167">
        <v>18.21</v>
      </c>
      <c r="K167">
        <v>10.24</v>
      </c>
      <c r="L167">
        <v>14.6</v>
      </c>
      <c r="M167">
        <v>57.53</v>
      </c>
      <c r="N167">
        <f t="shared" si="2"/>
        <v>45.16</v>
      </c>
      <c r="AE167">
        <v>69.98</v>
      </c>
    </row>
    <row r="168" spans="1:31" x14ac:dyDescent="0.25">
      <c r="A168" t="s">
        <v>212</v>
      </c>
      <c r="B168">
        <v>69.75</v>
      </c>
      <c r="C168">
        <v>20.03</v>
      </c>
      <c r="D168">
        <v>86.49</v>
      </c>
      <c r="E168">
        <v>36.979999999999997</v>
      </c>
      <c r="F168">
        <v>30.02</v>
      </c>
      <c r="G168">
        <v>56.36</v>
      </c>
      <c r="H168">
        <v>32.36</v>
      </c>
      <c r="I168">
        <v>32.43</v>
      </c>
      <c r="J168">
        <v>50.97</v>
      </c>
      <c r="K168">
        <v>18.47</v>
      </c>
      <c r="L168">
        <v>18.170000000000002</v>
      </c>
      <c r="M168">
        <v>66.42</v>
      </c>
      <c r="N168">
        <f t="shared" si="2"/>
        <v>34.704999999999998</v>
      </c>
      <c r="AE168">
        <v>69.75</v>
      </c>
    </row>
    <row r="169" spans="1:31" x14ac:dyDescent="0.25">
      <c r="A169" t="s">
        <v>213</v>
      </c>
      <c r="B169">
        <v>69.819999999999993</v>
      </c>
      <c r="C169">
        <v>18.670000000000002</v>
      </c>
      <c r="D169">
        <v>12.69</v>
      </c>
      <c r="E169">
        <v>10.039999999999999</v>
      </c>
      <c r="F169">
        <v>25.39</v>
      </c>
      <c r="G169">
        <v>94.32</v>
      </c>
      <c r="H169">
        <v>84.41</v>
      </c>
      <c r="I169">
        <v>13.16</v>
      </c>
      <c r="J169">
        <v>12.07</v>
      </c>
      <c r="K169">
        <v>38.159999999999997</v>
      </c>
      <c r="L169">
        <v>65.98</v>
      </c>
      <c r="M169">
        <v>51.35</v>
      </c>
      <c r="N169">
        <f t="shared" si="2"/>
        <v>31.774999999999999</v>
      </c>
      <c r="AE169">
        <v>69.819999999999993</v>
      </c>
    </row>
    <row r="170" spans="1:31" x14ac:dyDescent="0.25">
      <c r="A170" t="s">
        <v>214</v>
      </c>
      <c r="B170">
        <v>69.67</v>
      </c>
      <c r="C170">
        <v>36.130000000000003</v>
      </c>
      <c r="D170">
        <v>238.5</v>
      </c>
      <c r="E170">
        <v>10.44</v>
      </c>
      <c r="F170">
        <v>11.76</v>
      </c>
      <c r="G170">
        <v>31.14</v>
      </c>
      <c r="H170">
        <v>11.44</v>
      </c>
      <c r="I170">
        <v>74.3</v>
      </c>
      <c r="J170">
        <v>12.82</v>
      </c>
      <c r="K170">
        <v>68.67</v>
      </c>
      <c r="L170">
        <v>10.29</v>
      </c>
      <c r="M170">
        <v>16.329999999999998</v>
      </c>
      <c r="N170">
        <f t="shared" si="2"/>
        <v>23.734999999999999</v>
      </c>
      <c r="AE170">
        <v>69.67</v>
      </c>
    </row>
    <row r="171" spans="1:31" x14ac:dyDescent="0.25">
      <c r="A171" t="s">
        <v>215</v>
      </c>
      <c r="B171">
        <v>69.53</v>
      </c>
      <c r="C171">
        <v>44.85</v>
      </c>
      <c r="D171">
        <v>56.86</v>
      </c>
      <c r="E171">
        <v>29.63</v>
      </c>
      <c r="F171">
        <v>31.22</v>
      </c>
      <c r="G171">
        <v>45.72</v>
      </c>
      <c r="H171">
        <v>20.47</v>
      </c>
      <c r="I171">
        <v>12.65</v>
      </c>
      <c r="J171">
        <v>47.21</v>
      </c>
      <c r="K171">
        <v>38.94</v>
      </c>
      <c r="L171">
        <v>35.47</v>
      </c>
      <c r="M171">
        <v>66.25</v>
      </c>
      <c r="N171">
        <f t="shared" si="2"/>
        <v>41.894999999999996</v>
      </c>
      <c r="AE171">
        <v>69.53</v>
      </c>
    </row>
    <row r="172" spans="1:31" x14ac:dyDescent="0.25">
      <c r="A172" t="s">
        <v>216</v>
      </c>
      <c r="B172">
        <v>118.99</v>
      </c>
      <c r="C172">
        <v>2.87</v>
      </c>
      <c r="D172">
        <v>31.54</v>
      </c>
      <c r="E172">
        <v>26.99</v>
      </c>
      <c r="F172">
        <v>29.47</v>
      </c>
      <c r="G172">
        <v>39.479999999999997</v>
      </c>
      <c r="H172">
        <v>230.73</v>
      </c>
      <c r="I172">
        <v>60.14</v>
      </c>
      <c r="J172">
        <v>98.86</v>
      </c>
      <c r="K172">
        <v>30.43</v>
      </c>
      <c r="L172">
        <v>21.3</v>
      </c>
      <c r="M172">
        <v>36.31</v>
      </c>
      <c r="N172">
        <f t="shared" si="2"/>
        <v>33.924999999999997</v>
      </c>
      <c r="AE172">
        <v>118.99</v>
      </c>
    </row>
    <row r="173" spans="1:31" x14ac:dyDescent="0.25">
      <c r="A173" t="s">
        <v>217</v>
      </c>
      <c r="B173">
        <v>119.79</v>
      </c>
      <c r="C173">
        <v>0.92</v>
      </c>
      <c r="D173">
        <v>48.75</v>
      </c>
      <c r="E173">
        <v>9.7100000000000009</v>
      </c>
      <c r="F173">
        <v>42.06</v>
      </c>
      <c r="G173">
        <v>20.29</v>
      </c>
      <c r="H173">
        <v>126.55</v>
      </c>
      <c r="I173">
        <v>170.05</v>
      </c>
      <c r="J173">
        <v>77.91</v>
      </c>
      <c r="K173">
        <v>29</v>
      </c>
      <c r="L173">
        <v>7.05</v>
      </c>
      <c r="M173">
        <v>186.81</v>
      </c>
      <c r="N173">
        <f t="shared" si="2"/>
        <v>45.405000000000001</v>
      </c>
      <c r="AE173">
        <v>119.79</v>
      </c>
    </row>
    <row r="174" spans="1:31" x14ac:dyDescent="0.25">
      <c r="A174" t="s">
        <v>218</v>
      </c>
      <c r="B174">
        <v>69.17</v>
      </c>
      <c r="C174">
        <v>43.42</v>
      </c>
      <c r="D174">
        <v>103.26</v>
      </c>
      <c r="E174">
        <v>80.97</v>
      </c>
      <c r="F174">
        <v>10.039999999999999</v>
      </c>
      <c r="G174">
        <v>21.9</v>
      </c>
      <c r="H174">
        <v>38.15</v>
      </c>
      <c r="I174">
        <v>34.61</v>
      </c>
      <c r="J174">
        <v>14.91</v>
      </c>
      <c r="K174">
        <v>22.21</v>
      </c>
      <c r="L174">
        <v>45.08</v>
      </c>
      <c r="M174">
        <v>10.09</v>
      </c>
      <c r="N174">
        <f t="shared" si="2"/>
        <v>36.379999999999995</v>
      </c>
      <c r="AE174">
        <v>69.17</v>
      </c>
    </row>
    <row r="175" spans="1:31" x14ac:dyDescent="0.25">
      <c r="A175" t="s">
        <v>219</v>
      </c>
      <c r="B175">
        <v>68.900000000000006</v>
      </c>
      <c r="C175">
        <v>42.1</v>
      </c>
      <c r="D175">
        <v>122.03</v>
      </c>
      <c r="E175">
        <v>87.35</v>
      </c>
      <c r="F175">
        <v>27.06</v>
      </c>
      <c r="G175">
        <v>16.649999999999999</v>
      </c>
      <c r="H175">
        <v>35.19</v>
      </c>
      <c r="I175">
        <v>46.5</v>
      </c>
      <c r="J175">
        <v>29.78</v>
      </c>
      <c r="K175">
        <v>73.010000000000005</v>
      </c>
      <c r="L175">
        <v>13.98</v>
      </c>
      <c r="M175">
        <v>22.83</v>
      </c>
      <c r="N175">
        <f t="shared" si="2"/>
        <v>38.644999999999996</v>
      </c>
      <c r="AE175">
        <v>68.900000000000006</v>
      </c>
    </row>
    <row r="176" spans="1:31" x14ac:dyDescent="0.25">
      <c r="A176" t="s">
        <v>220</v>
      </c>
      <c r="B176">
        <v>68.8</v>
      </c>
      <c r="C176">
        <v>44.17</v>
      </c>
      <c r="D176">
        <v>75.83</v>
      </c>
      <c r="E176">
        <v>82.32</v>
      </c>
      <c r="F176">
        <v>42.99</v>
      </c>
      <c r="G176">
        <v>90.15</v>
      </c>
      <c r="H176">
        <v>83</v>
      </c>
      <c r="I176">
        <v>115.23</v>
      </c>
      <c r="J176">
        <v>71.91</v>
      </c>
      <c r="K176">
        <v>67.5</v>
      </c>
      <c r="L176">
        <v>38.64</v>
      </c>
      <c r="M176">
        <v>25.77</v>
      </c>
      <c r="N176">
        <f t="shared" si="2"/>
        <v>70.35499999999999</v>
      </c>
      <c r="AE176">
        <v>68.8</v>
      </c>
    </row>
    <row r="177" spans="1:31" x14ac:dyDescent="0.25">
      <c r="A177" t="s">
        <v>221</v>
      </c>
      <c r="B177">
        <v>116.53</v>
      </c>
      <c r="C177">
        <v>15.69</v>
      </c>
      <c r="D177">
        <v>73.08</v>
      </c>
      <c r="E177">
        <v>3.62</v>
      </c>
      <c r="F177">
        <v>24.81</v>
      </c>
      <c r="G177">
        <v>54.41</v>
      </c>
      <c r="H177">
        <v>80.73</v>
      </c>
      <c r="I177">
        <v>0.18</v>
      </c>
      <c r="J177">
        <v>56.8</v>
      </c>
      <c r="K177">
        <v>65.25</v>
      </c>
      <c r="L177">
        <v>22.34</v>
      </c>
      <c r="M177">
        <v>51.62</v>
      </c>
      <c r="N177">
        <f t="shared" si="2"/>
        <v>53.015000000000001</v>
      </c>
      <c r="AE177">
        <v>116.53</v>
      </c>
    </row>
    <row r="178" spans="1:31" x14ac:dyDescent="0.25">
      <c r="A178" t="s">
        <v>222</v>
      </c>
      <c r="B178">
        <v>68.08</v>
      </c>
      <c r="C178">
        <v>37.86</v>
      </c>
      <c r="D178">
        <v>16.829999999999998</v>
      </c>
      <c r="E178">
        <v>41.3</v>
      </c>
      <c r="F178">
        <v>54.5</v>
      </c>
      <c r="G178">
        <v>37.590000000000003</v>
      </c>
      <c r="H178">
        <v>20.98</v>
      </c>
      <c r="I178">
        <v>10.24</v>
      </c>
      <c r="J178">
        <v>76.89</v>
      </c>
      <c r="K178">
        <v>79</v>
      </c>
      <c r="L178">
        <v>62.27</v>
      </c>
      <c r="M178">
        <v>10.29</v>
      </c>
      <c r="N178">
        <f t="shared" si="2"/>
        <v>39.58</v>
      </c>
      <c r="AE178">
        <v>68.08</v>
      </c>
    </row>
    <row r="179" spans="1:31" x14ac:dyDescent="0.25">
      <c r="A179" t="s">
        <v>223</v>
      </c>
      <c r="B179">
        <v>68.03</v>
      </c>
      <c r="C179">
        <v>40.5</v>
      </c>
      <c r="D179">
        <v>52.92</v>
      </c>
      <c r="E179">
        <v>50.55</v>
      </c>
      <c r="F179">
        <v>41.28</v>
      </c>
      <c r="G179">
        <v>18.27</v>
      </c>
      <c r="H179">
        <v>23.68</v>
      </c>
      <c r="I179">
        <v>45.49</v>
      </c>
      <c r="J179">
        <v>115.88</v>
      </c>
      <c r="K179">
        <v>33.26</v>
      </c>
      <c r="L179">
        <v>101.61</v>
      </c>
      <c r="M179">
        <v>10.49</v>
      </c>
      <c r="N179">
        <f t="shared" si="2"/>
        <v>43.385000000000005</v>
      </c>
      <c r="AE179">
        <v>68.03</v>
      </c>
    </row>
    <row r="180" spans="1:31" x14ac:dyDescent="0.25">
      <c r="A180" t="s">
        <v>224</v>
      </c>
      <c r="B180">
        <v>115.7</v>
      </c>
      <c r="C180">
        <v>186.96</v>
      </c>
      <c r="D180">
        <v>65.19</v>
      </c>
      <c r="E180">
        <v>0.36</v>
      </c>
      <c r="F180">
        <v>36.979999999999997</v>
      </c>
      <c r="G180">
        <v>14.73</v>
      </c>
      <c r="H180">
        <v>79.91</v>
      </c>
      <c r="I180">
        <v>21.19</v>
      </c>
      <c r="J180">
        <v>30.11</v>
      </c>
      <c r="K180">
        <v>40.39</v>
      </c>
      <c r="L180">
        <v>29.78</v>
      </c>
      <c r="M180">
        <v>45.2</v>
      </c>
      <c r="N180">
        <f t="shared" si="2"/>
        <v>38.685000000000002</v>
      </c>
      <c r="AE180">
        <v>115.7</v>
      </c>
    </row>
    <row r="181" spans="1:31" x14ac:dyDescent="0.25">
      <c r="A181" t="s">
        <v>225</v>
      </c>
      <c r="B181">
        <v>115.2</v>
      </c>
      <c r="C181">
        <v>7.26</v>
      </c>
      <c r="D181">
        <v>29.36</v>
      </c>
      <c r="E181">
        <v>6.1</v>
      </c>
      <c r="F181">
        <v>78.25</v>
      </c>
      <c r="G181">
        <v>0</v>
      </c>
      <c r="H181">
        <v>16.28</v>
      </c>
      <c r="I181">
        <v>157.44</v>
      </c>
      <c r="J181">
        <v>72.36</v>
      </c>
      <c r="K181">
        <v>156.37</v>
      </c>
      <c r="L181">
        <v>15.34</v>
      </c>
      <c r="M181">
        <v>55.3</v>
      </c>
      <c r="N181">
        <f t="shared" si="2"/>
        <v>42.33</v>
      </c>
      <c r="AE181">
        <v>115.2</v>
      </c>
    </row>
    <row r="182" spans="1:31" x14ac:dyDescent="0.25">
      <c r="A182" t="s">
        <v>226</v>
      </c>
      <c r="B182">
        <v>67.680000000000007</v>
      </c>
      <c r="C182">
        <v>100.22</v>
      </c>
      <c r="D182">
        <v>28.72</v>
      </c>
      <c r="E182">
        <v>45.57</v>
      </c>
      <c r="F182">
        <v>9.99</v>
      </c>
      <c r="G182">
        <v>60.87</v>
      </c>
      <c r="H182">
        <v>10.74</v>
      </c>
      <c r="I182">
        <v>13.76</v>
      </c>
      <c r="J182">
        <v>58.1</v>
      </c>
      <c r="K182">
        <v>49.49</v>
      </c>
      <c r="L182">
        <v>51.38</v>
      </c>
      <c r="M182">
        <v>32.53</v>
      </c>
      <c r="N182">
        <f t="shared" si="2"/>
        <v>47.53</v>
      </c>
      <c r="AE182">
        <v>67.680000000000007</v>
      </c>
    </row>
    <row r="183" spans="1:31" x14ac:dyDescent="0.25">
      <c r="A183" t="s">
        <v>227</v>
      </c>
      <c r="B183">
        <v>67.72</v>
      </c>
      <c r="C183">
        <v>47.26</v>
      </c>
      <c r="D183">
        <v>10.09</v>
      </c>
      <c r="E183">
        <v>14.87</v>
      </c>
      <c r="F183">
        <v>68.22</v>
      </c>
      <c r="G183">
        <v>24.97</v>
      </c>
      <c r="H183">
        <v>149.51</v>
      </c>
      <c r="I183">
        <v>46.8</v>
      </c>
      <c r="J183">
        <v>22.37</v>
      </c>
      <c r="K183">
        <v>88.46</v>
      </c>
      <c r="L183">
        <v>32.229999999999997</v>
      </c>
      <c r="M183">
        <v>27.36</v>
      </c>
      <c r="N183">
        <f t="shared" si="2"/>
        <v>39.515000000000001</v>
      </c>
      <c r="AE183">
        <v>67.72</v>
      </c>
    </row>
    <row r="184" spans="1:31" x14ac:dyDescent="0.25">
      <c r="A184" t="s">
        <v>228</v>
      </c>
      <c r="B184">
        <v>66.75</v>
      </c>
      <c r="C184">
        <v>184.56</v>
      </c>
      <c r="D184">
        <v>18.95</v>
      </c>
      <c r="E184">
        <v>54.3</v>
      </c>
      <c r="F184">
        <v>32.979999999999997</v>
      </c>
      <c r="G184">
        <v>10.24</v>
      </c>
      <c r="H184">
        <v>35.299999999999997</v>
      </c>
      <c r="I184">
        <v>10.039999999999999</v>
      </c>
      <c r="J184">
        <v>28.93</v>
      </c>
      <c r="K184">
        <v>21.61</v>
      </c>
      <c r="L184">
        <v>34.950000000000003</v>
      </c>
      <c r="M184">
        <v>38.520000000000003</v>
      </c>
      <c r="N184">
        <f t="shared" si="2"/>
        <v>33.965000000000003</v>
      </c>
      <c r="AE184">
        <v>66.75</v>
      </c>
    </row>
    <row r="185" spans="1:31" x14ac:dyDescent="0.25">
      <c r="A185" t="s">
        <v>229</v>
      </c>
      <c r="B185">
        <v>66.540000000000006</v>
      </c>
      <c r="C185">
        <v>12.37</v>
      </c>
      <c r="D185">
        <v>19.61</v>
      </c>
      <c r="E185">
        <v>126.69</v>
      </c>
      <c r="F185">
        <v>90.63</v>
      </c>
      <c r="G185">
        <v>29.46</v>
      </c>
      <c r="H185">
        <v>75.98</v>
      </c>
      <c r="I185">
        <v>12.91</v>
      </c>
      <c r="J185">
        <v>10.81</v>
      </c>
      <c r="K185">
        <v>23.06</v>
      </c>
      <c r="L185">
        <v>10.14</v>
      </c>
      <c r="M185">
        <v>69.94</v>
      </c>
      <c r="N185">
        <f t="shared" si="2"/>
        <v>26.259999999999998</v>
      </c>
      <c r="AE185">
        <v>66.540000000000006</v>
      </c>
    </row>
    <row r="186" spans="1:31" x14ac:dyDescent="0.25">
      <c r="A186" t="s">
        <v>230</v>
      </c>
      <c r="B186">
        <v>112.6</v>
      </c>
      <c r="C186">
        <v>39.01</v>
      </c>
      <c r="D186">
        <v>0.36</v>
      </c>
      <c r="E186">
        <v>0.27</v>
      </c>
      <c r="F186">
        <v>67.2</v>
      </c>
      <c r="G186">
        <v>55.1</v>
      </c>
      <c r="H186">
        <v>13.07</v>
      </c>
      <c r="I186">
        <v>114.73</v>
      </c>
      <c r="J186">
        <v>80.81</v>
      </c>
      <c r="K186">
        <v>37.42</v>
      </c>
      <c r="L186">
        <v>95</v>
      </c>
      <c r="M186">
        <v>9.34</v>
      </c>
      <c r="N186">
        <f t="shared" si="2"/>
        <v>47.055</v>
      </c>
      <c r="AE186">
        <v>112.6</v>
      </c>
    </row>
    <row r="187" spans="1:31" x14ac:dyDescent="0.25">
      <c r="A187" t="s">
        <v>231</v>
      </c>
      <c r="B187">
        <v>66.13</v>
      </c>
      <c r="C187">
        <v>34.18</v>
      </c>
      <c r="D187">
        <v>16.72</v>
      </c>
      <c r="E187">
        <v>56.06</v>
      </c>
      <c r="F187">
        <v>19.25</v>
      </c>
      <c r="G187">
        <v>15.42</v>
      </c>
      <c r="H187">
        <v>54.27</v>
      </c>
      <c r="I187">
        <v>10.14</v>
      </c>
      <c r="J187">
        <v>135.97999999999999</v>
      </c>
      <c r="K187">
        <v>50.45</v>
      </c>
      <c r="L187">
        <v>167.03</v>
      </c>
      <c r="M187">
        <v>34.07</v>
      </c>
      <c r="N187">
        <f t="shared" si="2"/>
        <v>42.314999999999998</v>
      </c>
      <c r="AE187">
        <v>66.13</v>
      </c>
    </row>
    <row r="188" spans="1:31" x14ac:dyDescent="0.25">
      <c r="A188" t="s">
        <v>232</v>
      </c>
      <c r="B188">
        <v>66.38</v>
      </c>
      <c r="C188">
        <v>21.64</v>
      </c>
      <c r="D188">
        <v>15.05</v>
      </c>
      <c r="E188">
        <v>34.700000000000003</v>
      </c>
      <c r="F188">
        <v>68.14</v>
      </c>
      <c r="G188">
        <v>15.83</v>
      </c>
      <c r="H188">
        <v>25.73</v>
      </c>
      <c r="I188">
        <v>92.87</v>
      </c>
      <c r="J188">
        <v>121</v>
      </c>
      <c r="K188">
        <v>30.84</v>
      </c>
      <c r="L188">
        <v>11.43</v>
      </c>
      <c r="M188">
        <v>13.03</v>
      </c>
      <c r="N188">
        <f t="shared" si="2"/>
        <v>28.285</v>
      </c>
      <c r="AE188">
        <v>66.38</v>
      </c>
    </row>
    <row r="189" spans="1:31" x14ac:dyDescent="0.25">
      <c r="A189" t="s">
        <v>233</v>
      </c>
      <c r="B189">
        <v>111.92</v>
      </c>
      <c r="C189">
        <v>94.86</v>
      </c>
      <c r="D189">
        <v>53.42</v>
      </c>
      <c r="E189">
        <v>261.12</v>
      </c>
      <c r="F189">
        <v>14.89</v>
      </c>
      <c r="G189">
        <v>0</v>
      </c>
      <c r="H189">
        <v>11.63</v>
      </c>
      <c r="I189">
        <v>22.51</v>
      </c>
      <c r="J189">
        <v>89.5</v>
      </c>
      <c r="K189">
        <v>20.56</v>
      </c>
      <c r="L189">
        <v>27.18</v>
      </c>
      <c r="M189">
        <v>10.06</v>
      </c>
      <c r="N189">
        <f t="shared" si="2"/>
        <v>24.844999999999999</v>
      </c>
      <c r="AE189">
        <v>111.92</v>
      </c>
    </row>
    <row r="190" spans="1:31" x14ac:dyDescent="0.25">
      <c r="A190" t="s">
        <v>234</v>
      </c>
      <c r="B190">
        <v>64.989999999999995</v>
      </c>
      <c r="C190">
        <v>36</v>
      </c>
      <c r="D190">
        <v>17.170000000000002</v>
      </c>
      <c r="E190">
        <v>85.73</v>
      </c>
      <c r="F190">
        <v>11.53</v>
      </c>
      <c r="G190">
        <v>20.16</v>
      </c>
      <c r="H190">
        <v>14.5</v>
      </c>
      <c r="I190">
        <v>205.61</v>
      </c>
      <c r="J190">
        <v>21.74</v>
      </c>
      <c r="K190">
        <v>42.28</v>
      </c>
      <c r="L190">
        <v>62.78</v>
      </c>
      <c r="M190">
        <v>47</v>
      </c>
      <c r="N190">
        <f t="shared" si="2"/>
        <v>39.14</v>
      </c>
      <c r="AE190">
        <v>64.989999999999995</v>
      </c>
    </row>
    <row r="191" spans="1:31" x14ac:dyDescent="0.25">
      <c r="A191" t="s">
        <v>235</v>
      </c>
      <c r="B191">
        <v>64.900000000000006</v>
      </c>
      <c r="C191">
        <v>62.11</v>
      </c>
      <c r="D191">
        <v>72.75</v>
      </c>
      <c r="E191">
        <v>16.940000000000001</v>
      </c>
      <c r="F191">
        <v>42.11</v>
      </c>
      <c r="G191">
        <v>30.03</v>
      </c>
      <c r="H191">
        <v>61.96</v>
      </c>
      <c r="I191">
        <v>125.24</v>
      </c>
      <c r="J191">
        <v>101.78</v>
      </c>
      <c r="K191">
        <v>20.49</v>
      </c>
      <c r="L191">
        <v>29.52</v>
      </c>
      <c r="M191">
        <v>30.56</v>
      </c>
      <c r="N191">
        <f t="shared" si="2"/>
        <v>52.034999999999997</v>
      </c>
      <c r="AE191">
        <v>64.900000000000006</v>
      </c>
    </row>
    <row r="192" spans="1:31" x14ac:dyDescent="0.25">
      <c r="A192" t="s">
        <v>236</v>
      </c>
      <c r="B192">
        <v>109.58</v>
      </c>
      <c r="C192">
        <v>24.42</v>
      </c>
      <c r="D192">
        <v>26.77</v>
      </c>
      <c r="E192">
        <v>81.75</v>
      </c>
      <c r="F192">
        <v>59.2</v>
      </c>
      <c r="G192">
        <v>0.27</v>
      </c>
      <c r="H192">
        <v>21.18</v>
      </c>
      <c r="I192">
        <v>107.54</v>
      </c>
      <c r="J192">
        <v>0.54</v>
      </c>
      <c r="K192">
        <v>19.14</v>
      </c>
      <c r="L192">
        <v>134.77000000000001</v>
      </c>
      <c r="M192">
        <v>70.099999999999994</v>
      </c>
      <c r="N192">
        <f t="shared" si="2"/>
        <v>42.984999999999999</v>
      </c>
      <c r="AE192">
        <v>109.58</v>
      </c>
    </row>
    <row r="193" spans="1:31" x14ac:dyDescent="0.25">
      <c r="A193" t="s">
        <v>237</v>
      </c>
      <c r="B193">
        <v>64.5</v>
      </c>
      <c r="C193">
        <v>25.56</v>
      </c>
      <c r="D193">
        <v>36.630000000000003</v>
      </c>
      <c r="E193">
        <v>10.039999999999999</v>
      </c>
      <c r="F193">
        <v>45.32</v>
      </c>
      <c r="G193">
        <v>52.97</v>
      </c>
      <c r="H193">
        <v>72.34</v>
      </c>
      <c r="I193">
        <v>11.24</v>
      </c>
      <c r="J193">
        <v>46.39</v>
      </c>
      <c r="K193">
        <v>16.21</v>
      </c>
      <c r="L193">
        <v>111.79</v>
      </c>
      <c r="M193">
        <v>52.64</v>
      </c>
      <c r="N193">
        <f t="shared" si="2"/>
        <v>45.855000000000004</v>
      </c>
      <c r="AE193">
        <v>64.5</v>
      </c>
    </row>
    <row r="194" spans="1:31" x14ac:dyDescent="0.25">
      <c r="A194" t="s">
        <v>238</v>
      </c>
      <c r="B194">
        <v>64.430000000000007</v>
      </c>
      <c r="C194">
        <v>84</v>
      </c>
      <c r="D194">
        <v>10.85</v>
      </c>
      <c r="E194">
        <v>10.94</v>
      </c>
      <c r="F194">
        <v>76.989999999999995</v>
      </c>
      <c r="G194">
        <v>53.39</v>
      </c>
      <c r="H194">
        <v>70.22</v>
      </c>
      <c r="I194">
        <v>176.96</v>
      </c>
      <c r="J194">
        <v>79.91</v>
      </c>
      <c r="K194">
        <v>45.03</v>
      </c>
      <c r="L194">
        <v>21.47</v>
      </c>
      <c r="M194">
        <v>36.700000000000003</v>
      </c>
      <c r="N194">
        <f t="shared" si="2"/>
        <v>58.910000000000004</v>
      </c>
      <c r="AE194">
        <v>64.430000000000007</v>
      </c>
    </row>
    <row r="195" spans="1:31" x14ac:dyDescent="0.25">
      <c r="A195" t="s">
        <v>239</v>
      </c>
      <c r="B195">
        <v>64.319999999999993</v>
      </c>
      <c r="C195">
        <v>102.43</v>
      </c>
      <c r="D195">
        <v>63.87</v>
      </c>
      <c r="E195">
        <v>19.86</v>
      </c>
      <c r="F195">
        <v>45.46</v>
      </c>
      <c r="G195">
        <v>10.09</v>
      </c>
      <c r="H195">
        <v>24.04</v>
      </c>
      <c r="I195">
        <v>53.31</v>
      </c>
      <c r="J195">
        <v>84.95</v>
      </c>
      <c r="K195">
        <v>10.09</v>
      </c>
      <c r="L195">
        <v>10.29</v>
      </c>
      <c r="M195">
        <v>41.55</v>
      </c>
      <c r="N195">
        <f t="shared" ref="N195:N258" si="3">MEDIAN(B195:M195)</f>
        <v>43.504999999999995</v>
      </c>
      <c r="AE195">
        <v>64.319999999999993</v>
      </c>
    </row>
    <row r="196" spans="1:31" x14ac:dyDescent="0.25">
      <c r="A196" t="s">
        <v>240</v>
      </c>
      <c r="B196">
        <v>108.27</v>
      </c>
      <c r="C196">
        <v>91.36</v>
      </c>
      <c r="D196">
        <v>48.76</v>
      </c>
      <c r="E196">
        <v>161.72999999999999</v>
      </c>
      <c r="F196">
        <v>26.58</v>
      </c>
      <c r="G196">
        <v>32.47</v>
      </c>
      <c r="H196">
        <v>37.97</v>
      </c>
      <c r="I196">
        <v>0.18</v>
      </c>
      <c r="J196">
        <v>23.62</v>
      </c>
      <c r="K196">
        <v>0</v>
      </c>
      <c r="L196">
        <v>217.59</v>
      </c>
      <c r="M196">
        <v>179.94</v>
      </c>
      <c r="N196">
        <f t="shared" si="3"/>
        <v>43.364999999999995</v>
      </c>
      <c r="AE196">
        <v>108.27</v>
      </c>
    </row>
    <row r="197" spans="1:31" x14ac:dyDescent="0.25">
      <c r="A197" t="s">
        <v>241</v>
      </c>
      <c r="B197">
        <v>63.69</v>
      </c>
      <c r="C197">
        <v>59.03</v>
      </c>
      <c r="D197">
        <v>44.76</v>
      </c>
      <c r="E197">
        <v>19.2</v>
      </c>
      <c r="F197">
        <v>24.1</v>
      </c>
      <c r="G197">
        <v>52.28</v>
      </c>
      <c r="H197">
        <v>25.66</v>
      </c>
      <c r="I197">
        <v>54.46</v>
      </c>
      <c r="J197">
        <v>25.84</v>
      </c>
      <c r="K197">
        <v>20.34</v>
      </c>
      <c r="L197">
        <v>25.81</v>
      </c>
      <c r="M197">
        <v>110.71</v>
      </c>
      <c r="N197">
        <f t="shared" si="3"/>
        <v>35.299999999999997</v>
      </c>
      <c r="AE197">
        <v>63.69</v>
      </c>
    </row>
    <row r="198" spans="1:31" x14ac:dyDescent="0.25">
      <c r="A198" t="s">
        <v>242</v>
      </c>
      <c r="B198">
        <v>63.66</v>
      </c>
      <c r="C198">
        <v>77.709999999999994</v>
      </c>
      <c r="D198">
        <v>43.56</v>
      </c>
      <c r="E198">
        <v>15.95</v>
      </c>
      <c r="F198">
        <v>84.87</v>
      </c>
      <c r="G198">
        <v>56.81</v>
      </c>
      <c r="H198">
        <v>35.869999999999997</v>
      </c>
      <c r="I198">
        <v>18.920000000000002</v>
      </c>
      <c r="J198">
        <v>41.49</v>
      </c>
      <c r="K198">
        <v>87.32</v>
      </c>
      <c r="L198">
        <v>17.93</v>
      </c>
      <c r="M198">
        <v>20.2</v>
      </c>
      <c r="N198">
        <f t="shared" si="3"/>
        <v>42.525000000000006</v>
      </c>
      <c r="AE198">
        <v>63.66</v>
      </c>
    </row>
    <row r="199" spans="1:31" x14ac:dyDescent="0.25">
      <c r="A199" t="s">
        <v>243</v>
      </c>
      <c r="B199">
        <v>63.21</v>
      </c>
      <c r="C199">
        <v>10.44</v>
      </c>
      <c r="D199">
        <v>97.14</v>
      </c>
      <c r="E199">
        <v>27.27</v>
      </c>
      <c r="F199">
        <v>91.58</v>
      </c>
      <c r="G199">
        <v>16.809999999999999</v>
      </c>
      <c r="H199">
        <v>23.41</v>
      </c>
      <c r="I199">
        <v>68.569999999999993</v>
      </c>
      <c r="J199">
        <v>42.3</v>
      </c>
      <c r="K199">
        <v>25.08</v>
      </c>
      <c r="L199">
        <v>53.67</v>
      </c>
      <c r="M199">
        <v>43.86</v>
      </c>
      <c r="N199">
        <f t="shared" si="3"/>
        <v>43.08</v>
      </c>
      <c r="AE199">
        <v>63.21</v>
      </c>
    </row>
    <row r="200" spans="1:31" x14ac:dyDescent="0.25">
      <c r="A200" t="s">
        <v>244</v>
      </c>
      <c r="B200">
        <v>63.2</v>
      </c>
      <c r="C200">
        <v>32.18</v>
      </c>
      <c r="D200">
        <v>190.83</v>
      </c>
      <c r="E200">
        <v>40.549999999999997</v>
      </c>
      <c r="F200">
        <v>74.400000000000006</v>
      </c>
      <c r="G200">
        <v>50.31</v>
      </c>
      <c r="H200">
        <v>170.05</v>
      </c>
      <c r="I200">
        <v>66.75</v>
      </c>
      <c r="J200">
        <v>29.13</v>
      </c>
      <c r="K200">
        <v>22.83</v>
      </c>
      <c r="L200">
        <v>50.51</v>
      </c>
      <c r="M200">
        <v>41.63</v>
      </c>
      <c r="N200">
        <f t="shared" si="3"/>
        <v>50.41</v>
      </c>
      <c r="AE200">
        <v>63.2</v>
      </c>
    </row>
    <row r="201" spans="1:31" x14ac:dyDescent="0.25">
      <c r="A201" t="s">
        <v>245</v>
      </c>
      <c r="B201">
        <v>63.15</v>
      </c>
      <c r="C201">
        <v>72.19</v>
      </c>
      <c r="D201">
        <v>61.57</v>
      </c>
      <c r="E201">
        <v>10.19</v>
      </c>
      <c r="F201">
        <v>24.92</v>
      </c>
      <c r="G201">
        <v>160.04</v>
      </c>
      <c r="H201">
        <v>171.38</v>
      </c>
      <c r="I201">
        <v>41.21</v>
      </c>
      <c r="J201">
        <v>54.27</v>
      </c>
      <c r="K201">
        <v>117.03</v>
      </c>
      <c r="L201">
        <v>38.020000000000003</v>
      </c>
      <c r="M201">
        <v>10.09</v>
      </c>
      <c r="N201">
        <f t="shared" si="3"/>
        <v>57.92</v>
      </c>
      <c r="AE201">
        <v>63.15</v>
      </c>
    </row>
    <row r="202" spans="1:31" x14ac:dyDescent="0.25">
      <c r="A202" t="s">
        <v>246</v>
      </c>
      <c r="B202">
        <v>63.14</v>
      </c>
      <c r="C202">
        <v>29.34</v>
      </c>
      <c r="D202">
        <v>32.08</v>
      </c>
      <c r="E202">
        <v>98.6</v>
      </c>
      <c r="F202">
        <v>17.989999999999998</v>
      </c>
      <c r="G202">
        <v>9.99</v>
      </c>
      <c r="H202">
        <v>57.01</v>
      </c>
      <c r="I202">
        <v>48.38</v>
      </c>
      <c r="J202">
        <v>72.77</v>
      </c>
      <c r="K202">
        <v>21.86</v>
      </c>
      <c r="L202">
        <v>41.86</v>
      </c>
      <c r="M202">
        <v>18.329999999999998</v>
      </c>
      <c r="N202">
        <f t="shared" si="3"/>
        <v>36.97</v>
      </c>
      <c r="AE202">
        <v>63.14</v>
      </c>
    </row>
    <row r="203" spans="1:31" x14ac:dyDescent="0.25">
      <c r="A203" t="s">
        <v>247</v>
      </c>
      <c r="B203">
        <v>105.39</v>
      </c>
      <c r="C203">
        <v>25.05</v>
      </c>
      <c r="D203">
        <v>124.22</v>
      </c>
      <c r="E203">
        <v>18.13</v>
      </c>
      <c r="F203">
        <v>37.520000000000003</v>
      </c>
      <c r="G203">
        <v>184.83</v>
      </c>
      <c r="H203">
        <v>50.51</v>
      </c>
      <c r="I203">
        <v>33.32</v>
      </c>
      <c r="J203">
        <v>0.63</v>
      </c>
      <c r="K203">
        <v>0.18</v>
      </c>
      <c r="L203">
        <v>45.7</v>
      </c>
      <c r="M203">
        <v>50.01</v>
      </c>
      <c r="N203">
        <f t="shared" si="3"/>
        <v>41.61</v>
      </c>
      <c r="AE203">
        <v>105.39</v>
      </c>
    </row>
    <row r="204" spans="1:31" x14ac:dyDescent="0.25">
      <c r="A204" t="s">
        <v>248</v>
      </c>
      <c r="B204">
        <v>62.87</v>
      </c>
      <c r="C204">
        <v>11.57</v>
      </c>
      <c r="D204">
        <v>24.28</v>
      </c>
      <c r="E204">
        <v>67.650000000000006</v>
      </c>
      <c r="F204">
        <v>97.27</v>
      </c>
      <c r="G204">
        <v>36.020000000000003</v>
      </c>
      <c r="H204">
        <v>80</v>
      </c>
      <c r="I204">
        <v>20.440000000000001</v>
      </c>
      <c r="J204">
        <v>17.2</v>
      </c>
      <c r="K204">
        <v>80.38</v>
      </c>
      <c r="L204">
        <v>87.91</v>
      </c>
      <c r="M204">
        <v>13.97</v>
      </c>
      <c r="N204">
        <f t="shared" si="3"/>
        <v>49.445</v>
      </c>
      <c r="AE204">
        <v>62.87</v>
      </c>
    </row>
    <row r="205" spans="1:31" x14ac:dyDescent="0.25">
      <c r="A205" t="s">
        <v>249</v>
      </c>
      <c r="B205">
        <v>62.52</v>
      </c>
      <c r="C205">
        <v>67.599999999999994</v>
      </c>
      <c r="D205">
        <v>153.5</v>
      </c>
      <c r="E205">
        <v>12.39</v>
      </c>
      <c r="F205">
        <v>23.55</v>
      </c>
      <c r="G205">
        <v>67.48</v>
      </c>
      <c r="H205">
        <v>34.909999999999997</v>
      </c>
      <c r="I205">
        <v>24.02</v>
      </c>
      <c r="J205">
        <v>13.72</v>
      </c>
      <c r="K205">
        <v>16.21</v>
      </c>
      <c r="L205">
        <v>20.49</v>
      </c>
      <c r="M205">
        <v>26.29</v>
      </c>
      <c r="N205">
        <f t="shared" si="3"/>
        <v>25.155000000000001</v>
      </c>
      <c r="AE205">
        <v>62.52</v>
      </c>
    </row>
    <row r="206" spans="1:31" x14ac:dyDescent="0.25">
      <c r="A206" t="s">
        <v>250</v>
      </c>
      <c r="B206">
        <v>62.22</v>
      </c>
      <c r="C206">
        <v>13.14</v>
      </c>
      <c r="D206">
        <v>74.38</v>
      </c>
      <c r="E206">
        <v>102.55</v>
      </c>
      <c r="F206">
        <v>79.08</v>
      </c>
      <c r="G206">
        <v>89.43</v>
      </c>
      <c r="H206">
        <v>10.14</v>
      </c>
      <c r="I206">
        <v>140.46</v>
      </c>
      <c r="J206">
        <v>21.86</v>
      </c>
      <c r="K206">
        <v>87.07</v>
      </c>
      <c r="L206">
        <v>26.37</v>
      </c>
      <c r="M206">
        <v>25.92</v>
      </c>
      <c r="N206">
        <f t="shared" si="3"/>
        <v>68.3</v>
      </c>
      <c r="AE206">
        <v>62.22</v>
      </c>
    </row>
    <row r="207" spans="1:31" x14ac:dyDescent="0.25">
      <c r="A207" t="s">
        <v>251</v>
      </c>
      <c r="B207">
        <v>62.27</v>
      </c>
      <c r="C207">
        <v>25.43</v>
      </c>
      <c r="D207">
        <v>29.51</v>
      </c>
      <c r="E207">
        <v>23.32</v>
      </c>
      <c r="F207">
        <v>33.04</v>
      </c>
      <c r="G207">
        <v>58.6</v>
      </c>
      <c r="H207">
        <v>58.28</v>
      </c>
      <c r="I207">
        <v>58.09</v>
      </c>
      <c r="J207">
        <v>28.7</v>
      </c>
      <c r="K207">
        <v>52.71</v>
      </c>
      <c r="L207">
        <v>27.7</v>
      </c>
      <c r="M207">
        <v>115.32</v>
      </c>
      <c r="N207">
        <f t="shared" si="3"/>
        <v>42.875</v>
      </c>
      <c r="AE207">
        <v>62.27</v>
      </c>
    </row>
    <row r="208" spans="1:31" x14ac:dyDescent="0.25">
      <c r="A208" t="s">
        <v>252</v>
      </c>
      <c r="B208">
        <v>62.16</v>
      </c>
      <c r="C208">
        <v>30.72</v>
      </c>
      <c r="D208">
        <v>46.29</v>
      </c>
      <c r="E208">
        <v>49.79</v>
      </c>
      <c r="F208">
        <v>34.07</v>
      </c>
      <c r="G208">
        <v>19.940000000000001</v>
      </c>
      <c r="H208">
        <v>203.62</v>
      </c>
      <c r="I208">
        <v>14.08</v>
      </c>
      <c r="J208">
        <v>34.49</v>
      </c>
      <c r="K208">
        <v>96.93</v>
      </c>
      <c r="L208">
        <v>57.37</v>
      </c>
      <c r="M208">
        <v>90.93</v>
      </c>
      <c r="N208">
        <f t="shared" si="3"/>
        <v>48.04</v>
      </c>
      <c r="AE208">
        <v>62.16</v>
      </c>
    </row>
    <row r="209" spans="1:31" x14ac:dyDescent="0.25">
      <c r="A209" t="s">
        <v>253</v>
      </c>
      <c r="B209">
        <v>61.51</v>
      </c>
      <c r="C209">
        <v>76.61</v>
      </c>
      <c r="D209">
        <v>49.25</v>
      </c>
      <c r="E209">
        <v>107.3</v>
      </c>
      <c r="F209">
        <v>51.38</v>
      </c>
      <c r="G209">
        <v>19.07</v>
      </c>
      <c r="H209">
        <v>12.88</v>
      </c>
      <c r="I209">
        <v>40.19</v>
      </c>
      <c r="J209">
        <v>94.11</v>
      </c>
      <c r="K209">
        <v>19.3</v>
      </c>
      <c r="L209">
        <v>51.83</v>
      </c>
      <c r="M209">
        <v>69.459999999999994</v>
      </c>
      <c r="N209">
        <f t="shared" si="3"/>
        <v>51.605000000000004</v>
      </c>
      <c r="AE209">
        <v>61.51</v>
      </c>
    </row>
    <row r="210" spans="1:31" x14ac:dyDescent="0.25">
      <c r="A210" t="s">
        <v>254</v>
      </c>
      <c r="B210">
        <v>62.21</v>
      </c>
      <c r="C210">
        <v>16.52</v>
      </c>
      <c r="D210">
        <v>95.26</v>
      </c>
      <c r="E210">
        <v>10.29</v>
      </c>
      <c r="F210">
        <v>100.26</v>
      </c>
      <c r="G210">
        <v>38.729999999999997</v>
      </c>
      <c r="H210">
        <v>54.74</v>
      </c>
      <c r="I210">
        <v>20.82</v>
      </c>
      <c r="J210">
        <v>183.04</v>
      </c>
      <c r="K210">
        <v>23.22</v>
      </c>
      <c r="L210">
        <v>19.23</v>
      </c>
      <c r="M210">
        <v>16.46</v>
      </c>
      <c r="N210">
        <f t="shared" si="3"/>
        <v>30.974999999999998</v>
      </c>
      <c r="AE210">
        <v>62.21</v>
      </c>
    </row>
    <row r="211" spans="1:31" x14ac:dyDescent="0.25">
      <c r="A211" t="s">
        <v>255</v>
      </c>
      <c r="B211">
        <v>61.44</v>
      </c>
      <c r="C211">
        <v>28.16</v>
      </c>
      <c r="D211">
        <v>35.78</v>
      </c>
      <c r="E211">
        <v>149.72999999999999</v>
      </c>
      <c r="F211">
        <v>20.65</v>
      </c>
      <c r="G211">
        <v>31.38</v>
      </c>
      <c r="H211">
        <v>22.15</v>
      </c>
      <c r="I211">
        <v>16.010000000000002</v>
      </c>
      <c r="J211">
        <v>24.8</v>
      </c>
      <c r="K211">
        <v>10.14</v>
      </c>
      <c r="L211">
        <v>89.58</v>
      </c>
      <c r="M211">
        <v>48.46</v>
      </c>
      <c r="N211">
        <f t="shared" si="3"/>
        <v>29.77</v>
      </c>
      <c r="AE211">
        <v>61.44</v>
      </c>
    </row>
    <row r="212" spans="1:31" x14ac:dyDescent="0.25">
      <c r="A212" t="s">
        <v>256</v>
      </c>
      <c r="B212">
        <v>61.66</v>
      </c>
      <c r="C212">
        <v>74.59</v>
      </c>
      <c r="D212">
        <v>13.9</v>
      </c>
      <c r="E212">
        <v>51.73</v>
      </c>
      <c r="F212">
        <v>42.62</v>
      </c>
      <c r="G212">
        <v>23.69</v>
      </c>
      <c r="H212">
        <v>56.73</v>
      </c>
      <c r="I212">
        <v>31.23</v>
      </c>
      <c r="J212">
        <v>52.77</v>
      </c>
      <c r="K212">
        <v>34.96</v>
      </c>
      <c r="L212">
        <v>27.83</v>
      </c>
      <c r="M212">
        <v>42.19</v>
      </c>
      <c r="N212">
        <f t="shared" si="3"/>
        <v>42.405000000000001</v>
      </c>
      <c r="AE212">
        <v>61.66</v>
      </c>
    </row>
    <row r="213" spans="1:31" x14ac:dyDescent="0.25">
      <c r="A213" t="s">
        <v>257</v>
      </c>
      <c r="B213">
        <v>102.22</v>
      </c>
      <c r="C213">
        <v>0.9</v>
      </c>
      <c r="D213">
        <v>156.69</v>
      </c>
      <c r="E213">
        <v>88.65</v>
      </c>
      <c r="F213">
        <v>35.21</v>
      </c>
      <c r="G213">
        <v>29.08</v>
      </c>
      <c r="H213">
        <v>5.57</v>
      </c>
      <c r="I213">
        <v>6.18</v>
      </c>
      <c r="J213">
        <v>81.55</v>
      </c>
      <c r="K213">
        <v>5.64</v>
      </c>
      <c r="L213">
        <v>7.58</v>
      </c>
      <c r="M213">
        <v>38.74</v>
      </c>
      <c r="N213">
        <f t="shared" si="3"/>
        <v>32.144999999999996</v>
      </c>
      <c r="AE213">
        <v>102.22</v>
      </c>
    </row>
    <row r="214" spans="1:31" x14ac:dyDescent="0.25">
      <c r="A214" t="s">
        <v>258</v>
      </c>
      <c r="B214">
        <v>61.24</v>
      </c>
      <c r="C214">
        <v>94.27</v>
      </c>
      <c r="D214">
        <v>57.2</v>
      </c>
      <c r="E214">
        <v>63.35</v>
      </c>
      <c r="F214">
        <v>23.44</v>
      </c>
      <c r="G214">
        <v>17.920000000000002</v>
      </c>
      <c r="H214">
        <v>88.27</v>
      </c>
      <c r="I214">
        <v>46.58</v>
      </c>
      <c r="J214">
        <v>14.95</v>
      </c>
      <c r="K214">
        <v>44.47</v>
      </c>
      <c r="L214">
        <v>53.42</v>
      </c>
      <c r="M214">
        <v>18.84</v>
      </c>
      <c r="N214">
        <f t="shared" si="3"/>
        <v>50</v>
      </c>
      <c r="AE214">
        <v>61.24</v>
      </c>
    </row>
    <row r="215" spans="1:31" x14ac:dyDescent="0.25">
      <c r="A215" t="s">
        <v>259</v>
      </c>
      <c r="B215">
        <v>102.01</v>
      </c>
      <c r="C215">
        <v>115.57</v>
      </c>
      <c r="D215">
        <v>22.91</v>
      </c>
      <c r="E215">
        <v>23.32</v>
      </c>
      <c r="F215">
        <v>62.79</v>
      </c>
      <c r="G215">
        <v>0.09</v>
      </c>
      <c r="H215">
        <v>24.44</v>
      </c>
      <c r="I215">
        <v>52.54</v>
      </c>
      <c r="J215">
        <v>14.24</v>
      </c>
      <c r="K215">
        <v>0.93</v>
      </c>
      <c r="L215">
        <v>47.26</v>
      </c>
      <c r="M215">
        <v>102.62</v>
      </c>
      <c r="N215">
        <f t="shared" si="3"/>
        <v>35.85</v>
      </c>
      <c r="AE215">
        <v>102.01</v>
      </c>
    </row>
    <row r="216" spans="1:31" x14ac:dyDescent="0.25">
      <c r="A216" t="s">
        <v>260</v>
      </c>
      <c r="B216">
        <v>101.74</v>
      </c>
      <c r="C216">
        <v>153.84</v>
      </c>
      <c r="D216">
        <v>104.29</v>
      </c>
      <c r="E216">
        <v>21.49</v>
      </c>
      <c r="F216">
        <v>73.95</v>
      </c>
      <c r="G216">
        <v>0.27</v>
      </c>
      <c r="H216">
        <v>43.3</v>
      </c>
      <c r="I216">
        <v>134.05000000000001</v>
      </c>
      <c r="J216">
        <v>0</v>
      </c>
      <c r="K216">
        <v>28.29</v>
      </c>
      <c r="L216">
        <v>59.29</v>
      </c>
      <c r="M216">
        <v>0.09</v>
      </c>
      <c r="N216">
        <f t="shared" si="3"/>
        <v>51.295000000000002</v>
      </c>
      <c r="AE216">
        <v>101.74</v>
      </c>
    </row>
    <row r="217" spans="1:31" x14ac:dyDescent="0.25">
      <c r="A217" t="s">
        <v>261</v>
      </c>
      <c r="B217">
        <v>60.94</v>
      </c>
      <c r="C217">
        <v>217.43</v>
      </c>
      <c r="D217">
        <v>10.09</v>
      </c>
      <c r="E217">
        <v>35.380000000000003</v>
      </c>
      <c r="F217">
        <v>13.54</v>
      </c>
      <c r="G217">
        <v>10.039999999999999</v>
      </c>
      <c r="H217">
        <v>25.93</v>
      </c>
      <c r="I217">
        <v>32.04</v>
      </c>
      <c r="J217">
        <v>108.58</v>
      </c>
      <c r="K217">
        <v>23.79</v>
      </c>
      <c r="L217">
        <v>38.270000000000003</v>
      </c>
      <c r="M217">
        <v>22.36</v>
      </c>
      <c r="N217">
        <f t="shared" si="3"/>
        <v>28.984999999999999</v>
      </c>
      <c r="AE217">
        <v>60.94</v>
      </c>
    </row>
    <row r="218" spans="1:31" x14ac:dyDescent="0.25">
      <c r="A218" t="s">
        <v>262</v>
      </c>
      <c r="B218">
        <v>102.18</v>
      </c>
      <c r="C218">
        <v>0.36</v>
      </c>
      <c r="D218">
        <v>43.36</v>
      </c>
      <c r="E218">
        <v>64.63</v>
      </c>
      <c r="F218">
        <v>68.69</v>
      </c>
      <c r="G218">
        <v>9.4600000000000009</v>
      </c>
      <c r="H218">
        <v>78.56</v>
      </c>
      <c r="I218">
        <v>0.36</v>
      </c>
      <c r="J218">
        <v>36.42</v>
      </c>
      <c r="K218">
        <v>32.21</v>
      </c>
      <c r="L218">
        <v>180.79</v>
      </c>
      <c r="M218">
        <v>21.08</v>
      </c>
      <c r="N218">
        <f t="shared" si="3"/>
        <v>39.89</v>
      </c>
      <c r="AE218">
        <v>102.18</v>
      </c>
    </row>
    <row r="219" spans="1:31" x14ac:dyDescent="0.25">
      <c r="A219" t="s">
        <v>263</v>
      </c>
      <c r="B219">
        <v>101.78</v>
      </c>
      <c r="C219">
        <v>105.21</v>
      </c>
      <c r="D219">
        <v>87.32</v>
      </c>
      <c r="E219">
        <v>79.69</v>
      </c>
      <c r="F219">
        <v>7.77</v>
      </c>
      <c r="G219">
        <v>111.23</v>
      </c>
      <c r="H219">
        <v>5.23</v>
      </c>
      <c r="I219">
        <v>22.53</v>
      </c>
      <c r="J219">
        <v>209.16</v>
      </c>
      <c r="K219">
        <v>40.75</v>
      </c>
      <c r="L219">
        <v>248.18</v>
      </c>
      <c r="M219">
        <v>0.09</v>
      </c>
      <c r="N219">
        <f t="shared" si="3"/>
        <v>83.504999999999995</v>
      </c>
      <c r="AE219">
        <v>101.78</v>
      </c>
    </row>
    <row r="220" spans="1:31" x14ac:dyDescent="0.25">
      <c r="A220" t="s">
        <v>264</v>
      </c>
      <c r="B220">
        <v>60.67</v>
      </c>
      <c r="C220">
        <v>51.15</v>
      </c>
      <c r="D220">
        <v>38.049999999999997</v>
      </c>
      <c r="E220">
        <v>21.57</v>
      </c>
      <c r="F220">
        <v>49.52</v>
      </c>
      <c r="G220">
        <v>88.02</v>
      </c>
      <c r="H220">
        <v>15.68</v>
      </c>
      <c r="I220">
        <v>16.04</v>
      </c>
      <c r="J220">
        <v>23.54</v>
      </c>
      <c r="K220">
        <v>104.92</v>
      </c>
      <c r="L220">
        <v>42.35</v>
      </c>
      <c r="M220">
        <v>118.43</v>
      </c>
      <c r="N220">
        <f t="shared" si="3"/>
        <v>45.935000000000002</v>
      </c>
      <c r="AE220">
        <v>60.67</v>
      </c>
    </row>
    <row r="221" spans="1:31" x14ac:dyDescent="0.25">
      <c r="A221" t="s">
        <v>265</v>
      </c>
      <c r="B221">
        <v>60.73</v>
      </c>
      <c r="C221">
        <v>10.44</v>
      </c>
      <c r="D221">
        <v>112.92</v>
      </c>
      <c r="E221">
        <v>33.479999999999997</v>
      </c>
      <c r="F221">
        <v>102.15</v>
      </c>
      <c r="G221">
        <v>10.34</v>
      </c>
      <c r="H221">
        <v>49.61</v>
      </c>
      <c r="I221">
        <v>40.68</v>
      </c>
      <c r="J221">
        <v>35.75</v>
      </c>
      <c r="K221">
        <v>20.309999999999999</v>
      </c>
      <c r="L221">
        <v>52.22</v>
      </c>
      <c r="M221">
        <v>13.67</v>
      </c>
      <c r="N221">
        <f t="shared" si="3"/>
        <v>38.215000000000003</v>
      </c>
      <c r="AE221">
        <v>60.73</v>
      </c>
    </row>
    <row r="222" spans="1:31" x14ac:dyDescent="0.25">
      <c r="A222" t="s">
        <v>266</v>
      </c>
      <c r="B222">
        <v>60.38</v>
      </c>
      <c r="C222">
        <v>13.42</v>
      </c>
      <c r="D222">
        <v>28.99</v>
      </c>
      <c r="E222">
        <v>124.33</v>
      </c>
      <c r="F222">
        <v>46.29</v>
      </c>
      <c r="G222">
        <v>121.31</v>
      </c>
      <c r="H222">
        <v>62.27</v>
      </c>
      <c r="I222">
        <v>56.77</v>
      </c>
      <c r="J222">
        <v>49.14</v>
      </c>
      <c r="K222">
        <v>21.26</v>
      </c>
      <c r="L222">
        <v>29.78</v>
      </c>
      <c r="M222">
        <v>16.059999999999999</v>
      </c>
      <c r="N222">
        <f t="shared" si="3"/>
        <v>47.715000000000003</v>
      </c>
      <c r="AE222">
        <v>60.38</v>
      </c>
    </row>
    <row r="223" spans="1:31" x14ac:dyDescent="0.25">
      <c r="A223" t="s">
        <v>267</v>
      </c>
      <c r="B223">
        <v>101.58</v>
      </c>
      <c r="C223">
        <v>0.81</v>
      </c>
      <c r="D223">
        <v>7.01</v>
      </c>
      <c r="E223">
        <v>40.08</v>
      </c>
      <c r="F223">
        <v>37.159999999999997</v>
      </c>
      <c r="G223">
        <v>137.16</v>
      </c>
      <c r="H223">
        <v>96.82</v>
      </c>
      <c r="I223">
        <v>22.53</v>
      </c>
      <c r="J223">
        <v>14.7</v>
      </c>
      <c r="K223">
        <v>19.059999999999999</v>
      </c>
      <c r="L223">
        <v>18.010000000000002</v>
      </c>
      <c r="M223">
        <v>28.63</v>
      </c>
      <c r="N223">
        <f t="shared" si="3"/>
        <v>25.58</v>
      </c>
      <c r="AE223">
        <v>101.58</v>
      </c>
    </row>
    <row r="224" spans="1:31" x14ac:dyDescent="0.25">
      <c r="A224" t="s">
        <v>268</v>
      </c>
      <c r="B224">
        <v>60.36</v>
      </c>
      <c r="C224">
        <v>19.66</v>
      </c>
      <c r="D224">
        <v>13.06</v>
      </c>
      <c r="E224">
        <v>15.47</v>
      </c>
      <c r="F224">
        <v>17.100000000000001</v>
      </c>
      <c r="G224">
        <v>28.22</v>
      </c>
      <c r="H224">
        <v>44.4</v>
      </c>
      <c r="I224">
        <v>167.89</v>
      </c>
      <c r="J224">
        <v>9.99</v>
      </c>
      <c r="K224">
        <v>15.28</v>
      </c>
      <c r="L224">
        <v>27.34</v>
      </c>
      <c r="M224">
        <v>98.27</v>
      </c>
      <c r="N224">
        <f t="shared" si="3"/>
        <v>23.5</v>
      </c>
      <c r="AE224">
        <v>60.36</v>
      </c>
    </row>
    <row r="225" spans="1:31" x14ac:dyDescent="0.25">
      <c r="A225" t="s">
        <v>269</v>
      </c>
      <c r="B225">
        <v>60.4</v>
      </c>
      <c r="C225">
        <v>29.95</v>
      </c>
      <c r="D225">
        <v>51.88</v>
      </c>
      <c r="E225">
        <v>59.84</v>
      </c>
      <c r="F225">
        <v>28.97</v>
      </c>
      <c r="G225">
        <v>10.14</v>
      </c>
      <c r="H225">
        <v>99.43</v>
      </c>
      <c r="I225">
        <v>48.92</v>
      </c>
      <c r="J225">
        <v>54.47</v>
      </c>
      <c r="K225">
        <v>10.039999999999999</v>
      </c>
      <c r="L225">
        <v>62.08</v>
      </c>
      <c r="M225">
        <v>41.4</v>
      </c>
      <c r="N225">
        <f t="shared" si="3"/>
        <v>50.400000000000006</v>
      </c>
      <c r="AE225">
        <v>60.4</v>
      </c>
    </row>
    <row r="226" spans="1:31" x14ac:dyDescent="0.25">
      <c r="A226" t="s">
        <v>270</v>
      </c>
      <c r="B226">
        <v>60.04</v>
      </c>
      <c r="C226">
        <v>30.15</v>
      </c>
      <c r="D226">
        <v>39.83</v>
      </c>
      <c r="E226">
        <v>62.59</v>
      </c>
      <c r="F226">
        <v>25.27</v>
      </c>
      <c r="G226">
        <v>154.57</v>
      </c>
      <c r="H226">
        <v>16.89</v>
      </c>
      <c r="I226">
        <v>38.049999999999997</v>
      </c>
      <c r="J226">
        <v>94.01</v>
      </c>
      <c r="K226">
        <v>119.51</v>
      </c>
      <c r="L226">
        <v>27.29</v>
      </c>
      <c r="M226">
        <v>19.14</v>
      </c>
      <c r="N226">
        <f t="shared" si="3"/>
        <v>38.94</v>
      </c>
      <c r="AE226">
        <v>60.04</v>
      </c>
    </row>
    <row r="227" spans="1:31" x14ac:dyDescent="0.25">
      <c r="A227" t="s">
        <v>271</v>
      </c>
      <c r="B227">
        <v>59.74</v>
      </c>
      <c r="C227">
        <v>41.93</v>
      </c>
      <c r="D227">
        <v>10.24</v>
      </c>
      <c r="E227">
        <v>96.53</v>
      </c>
      <c r="F227">
        <v>157.44</v>
      </c>
      <c r="G227">
        <v>31.07</v>
      </c>
      <c r="H227">
        <v>50.14</v>
      </c>
      <c r="I227">
        <v>38.840000000000003</v>
      </c>
      <c r="J227">
        <v>23</v>
      </c>
      <c r="K227">
        <v>10.47</v>
      </c>
      <c r="L227">
        <v>31.05</v>
      </c>
      <c r="M227">
        <v>74.819999999999993</v>
      </c>
      <c r="N227">
        <f t="shared" si="3"/>
        <v>40.385000000000005</v>
      </c>
      <c r="AE227">
        <v>59.74</v>
      </c>
    </row>
    <row r="228" spans="1:31" x14ac:dyDescent="0.25">
      <c r="A228" t="s">
        <v>272</v>
      </c>
      <c r="B228">
        <v>99.98</v>
      </c>
      <c r="C228">
        <v>49.74</v>
      </c>
      <c r="D228">
        <v>154.44999999999999</v>
      </c>
      <c r="E228">
        <v>14.51</v>
      </c>
      <c r="F228">
        <v>16.09</v>
      </c>
      <c r="G228">
        <v>47.88</v>
      </c>
      <c r="H228">
        <v>94.7</v>
      </c>
      <c r="I228">
        <v>89.37</v>
      </c>
      <c r="J228">
        <v>6.58</v>
      </c>
      <c r="K228">
        <v>4.32</v>
      </c>
      <c r="L228">
        <v>11.99</v>
      </c>
      <c r="M228">
        <v>59.57</v>
      </c>
      <c r="N228">
        <f t="shared" si="3"/>
        <v>48.81</v>
      </c>
      <c r="AE228">
        <v>99.98</v>
      </c>
    </row>
    <row r="229" spans="1:31" x14ac:dyDescent="0.25">
      <c r="A229" t="s">
        <v>273</v>
      </c>
      <c r="B229">
        <v>59.51</v>
      </c>
      <c r="C229">
        <v>47.4</v>
      </c>
      <c r="D229">
        <v>113.16</v>
      </c>
      <c r="E229">
        <v>149.53</v>
      </c>
      <c r="F229">
        <v>208.36</v>
      </c>
      <c r="G229">
        <v>41.67</v>
      </c>
      <c r="H229">
        <v>108.26</v>
      </c>
      <c r="I229">
        <v>26.65</v>
      </c>
      <c r="J229">
        <v>73.61</v>
      </c>
      <c r="K229">
        <v>90.26</v>
      </c>
      <c r="L229">
        <v>99.53</v>
      </c>
      <c r="M229">
        <v>67.17</v>
      </c>
      <c r="N229">
        <f t="shared" si="3"/>
        <v>81.935000000000002</v>
      </c>
      <c r="AE229">
        <v>59.51</v>
      </c>
    </row>
    <row r="230" spans="1:31" x14ac:dyDescent="0.25">
      <c r="A230" t="s">
        <v>274</v>
      </c>
      <c r="B230">
        <v>59.54</v>
      </c>
      <c r="C230">
        <v>33.24</v>
      </c>
      <c r="D230">
        <v>68.81</v>
      </c>
      <c r="E230">
        <v>45.54</v>
      </c>
      <c r="F230">
        <v>58.81</v>
      </c>
      <c r="G230">
        <v>17.02</v>
      </c>
      <c r="H230">
        <v>50.83</v>
      </c>
      <c r="I230">
        <v>39.01</v>
      </c>
      <c r="J230">
        <v>44.04</v>
      </c>
      <c r="K230">
        <v>45.65</v>
      </c>
      <c r="L230">
        <v>97.74</v>
      </c>
      <c r="M230">
        <v>72.13</v>
      </c>
      <c r="N230">
        <f t="shared" si="3"/>
        <v>48.239999999999995</v>
      </c>
      <c r="AE230">
        <v>59.54</v>
      </c>
    </row>
    <row r="231" spans="1:31" x14ac:dyDescent="0.25">
      <c r="A231" t="s">
        <v>275</v>
      </c>
      <c r="B231">
        <v>59.53</v>
      </c>
      <c r="C231">
        <v>18.23</v>
      </c>
      <c r="D231">
        <v>34.19</v>
      </c>
      <c r="E231">
        <v>24.71</v>
      </c>
      <c r="F231">
        <v>83.61</v>
      </c>
      <c r="G231">
        <v>27.54</v>
      </c>
      <c r="H231">
        <v>55.17</v>
      </c>
      <c r="I231">
        <v>60.05</v>
      </c>
      <c r="J231">
        <v>95.73</v>
      </c>
      <c r="K231">
        <v>66.42</v>
      </c>
      <c r="L231">
        <v>9.99</v>
      </c>
      <c r="M231">
        <v>77.87</v>
      </c>
      <c r="N231">
        <f t="shared" si="3"/>
        <v>57.35</v>
      </c>
      <c r="AE231">
        <v>59.53</v>
      </c>
    </row>
    <row r="232" spans="1:31" x14ac:dyDescent="0.25">
      <c r="A232" t="s">
        <v>276</v>
      </c>
      <c r="B232">
        <v>99.24</v>
      </c>
      <c r="C232">
        <v>97.43</v>
      </c>
      <c r="D232">
        <v>67.55</v>
      </c>
      <c r="E232">
        <v>89</v>
      </c>
      <c r="F232">
        <v>63.41</v>
      </c>
      <c r="G232">
        <v>22.77</v>
      </c>
      <c r="H232">
        <v>17.73</v>
      </c>
      <c r="I232">
        <v>52.79</v>
      </c>
      <c r="J232">
        <v>10.08</v>
      </c>
      <c r="K232">
        <v>30.83</v>
      </c>
      <c r="L232">
        <v>25.76</v>
      </c>
      <c r="M232">
        <v>69.47</v>
      </c>
      <c r="N232">
        <f t="shared" si="3"/>
        <v>58.099999999999994</v>
      </c>
      <c r="AE232">
        <v>99.24</v>
      </c>
    </row>
    <row r="233" spans="1:31" x14ac:dyDescent="0.25">
      <c r="A233" t="s">
        <v>277</v>
      </c>
      <c r="B233">
        <v>59.11</v>
      </c>
      <c r="C233">
        <v>10.24</v>
      </c>
      <c r="D233">
        <v>31.22</v>
      </c>
      <c r="E233">
        <v>71.540000000000006</v>
      </c>
      <c r="F233">
        <v>30.5</v>
      </c>
      <c r="G233">
        <v>20.420000000000002</v>
      </c>
      <c r="H233">
        <v>39.33</v>
      </c>
      <c r="I233">
        <v>97.86</v>
      </c>
      <c r="J233">
        <v>36.33</v>
      </c>
      <c r="K233">
        <v>62.39</v>
      </c>
      <c r="L233">
        <v>17.739999999999998</v>
      </c>
      <c r="M233">
        <v>15.06</v>
      </c>
      <c r="N233">
        <f t="shared" si="3"/>
        <v>33.774999999999999</v>
      </c>
      <c r="AE233">
        <v>59.11</v>
      </c>
    </row>
    <row r="234" spans="1:31" x14ac:dyDescent="0.25">
      <c r="A234" t="s">
        <v>278</v>
      </c>
      <c r="B234">
        <v>58.8</v>
      </c>
      <c r="C234">
        <v>12.56</v>
      </c>
      <c r="D234">
        <v>77.41</v>
      </c>
      <c r="E234">
        <v>40.869999999999997</v>
      </c>
      <c r="F234">
        <v>15.93</v>
      </c>
      <c r="G234">
        <v>26.16</v>
      </c>
      <c r="H234">
        <v>54.67</v>
      </c>
      <c r="I234">
        <v>40.29</v>
      </c>
      <c r="J234">
        <v>10.09</v>
      </c>
      <c r="K234">
        <v>108.85</v>
      </c>
      <c r="L234">
        <v>10.59</v>
      </c>
      <c r="M234">
        <v>117.55</v>
      </c>
      <c r="N234">
        <f t="shared" si="3"/>
        <v>40.58</v>
      </c>
      <c r="AE234">
        <v>58.8</v>
      </c>
    </row>
    <row r="235" spans="1:31" x14ac:dyDescent="0.25">
      <c r="A235" t="s">
        <v>279</v>
      </c>
      <c r="B235">
        <v>58.19</v>
      </c>
      <c r="C235">
        <v>34.68</v>
      </c>
      <c r="D235">
        <v>78.22</v>
      </c>
      <c r="E235">
        <v>106.86</v>
      </c>
      <c r="F235">
        <v>25.39</v>
      </c>
      <c r="G235">
        <v>32.61</v>
      </c>
      <c r="H235">
        <v>38.880000000000003</v>
      </c>
      <c r="I235">
        <v>10.24</v>
      </c>
      <c r="J235">
        <v>95.64</v>
      </c>
      <c r="K235">
        <v>35.71</v>
      </c>
      <c r="L235">
        <v>10.39</v>
      </c>
      <c r="M235">
        <v>70.41</v>
      </c>
      <c r="N235">
        <f t="shared" si="3"/>
        <v>37.295000000000002</v>
      </c>
      <c r="AE235">
        <v>58.19</v>
      </c>
    </row>
    <row r="236" spans="1:31" x14ac:dyDescent="0.25">
      <c r="A236" t="s">
        <v>280</v>
      </c>
      <c r="B236">
        <v>58.18</v>
      </c>
      <c r="C236">
        <v>11.19</v>
      </c>
      <c r="D236">
        <v>64.459999999999994</v>
      </c>
      <c r="E236">
        <v>14.65</v>
      </c>
      <c r="F236">
        <v>54.55</v>
      </c>
      <c r="G236">
        <v>34.76</v>
      </c>
      <c r="H236">
        <v>39.82</v>
      </c>
      <c r="I236">
        <v>56.52</v>
      </c>
      <c r="J236">
        <v>15.08</v>
      </c>
      <c r="K236">
        <v>14.13</v>
      </c>
      <c r="L236">
        <v>45.6</v>
      </c>
      <c r="M236">
        <v>74.63</v>
      </c>
      <c r="N236">
        <f t="shared" si="3"/>
        <v>42.71</v>
      </c>
      <c r="AE236">
        <v>58.18</v>
      </c>
    </row>
    <row r="237" spans="1:31" x14ac:dyDescent="0.25">
      <c r="A237" t="s">
        <v>281</v>
      </c>
      <c r="B237">
        <v>96.09</v>
      </c>
      <c r="C237">
        <v>0.09</v>
      </c>
      <c r="D237">
        <v>33.57</v>
      </c>
      <c r="E237">
        <v>30.86</v>
      </c>
      <c r="F237">
        <v>43.73</v>
      </c>
      <c r="G237">
        <v>61.6</v>
      </c>
      <c r="H237">
        <v>42.4</v>
      </c>
      <c r="I237">
        <v>46.03</v>
      </c>
      <c r="J237">
        <v>41.16</v>
      </c>
      <c r="K237">
        <v>109.72</v>
      </c>
      <c r="L237">
        <v>79.87</v>
      </c>
      <c r="M237">
        <v>84.56</v>
      </c>
      <c r="N237">
        <f t="shared" si="3"/>
        <v>44.879999999999995</v>
      </c>
      <c r="AE237">
        <v>96.09</v>
      </c>
    </row>
    <row r="238" spans="1:31" x14ac:dyDescent="0.25">
      <c r="A238" t="s">
        <v>282</v>
      </c>
      <c r="B238">
        <v>58.02</v>
      </c>
      <c r="C238">
        <v>38.46</v>
      </c>
      <c r="D238">
        <v>18.09</v>
      </c>
      <c r="E238">
        <v>33.83</v>
      </c>
      <c r="F238">
        <v>20.53</v>
      </c>
      <c r="G238">
        <v>47.71</v>
      </c>
      <c r="H238">
        <v>58.75</v>
      </c>
      <c r="I238">
        <v>10.039999999999999</v>
      </c>
      <c r="J238">
        <v>45.07</v>
      </c>
      <c r="K238">
        <v>38.549999999999997</v>
      </c>
      <c r="L238">
        <v>30.31</v>
      </c>
      <c r="M238">
        <v>128.93</v>
      </c>
      <c r="N238">
        <f t="shared" si="3"/>
        <v>38.504999999999995</v>
      </c>
      <c r="AE238">
        <v>58.02</v>
      </c>
    </row>
    <row r="239" spans="1:31" x14ac:dyDescent="0.25">
      <c r="A239" t="s">
        <v>283</v>
      </c>
      <c r="B239">
        <v>58.27</v>
      </c>
      <c r="C239">
        <v>10.89</v>
      </c>
      <c r="D239">
        <v>23.02</v>
      </c>
      <c r="E239">
        <v>100.56</v>
      </c>
      <c r="F239">
        <v>26.19</v>
      </c>
      <c r="G239">
        <v>72.430000000000007</v>
      </c>
      <c r="H239">
        <v>21.99</v>
      </c>
      <c r="I239">
        <v>109.39</v>
      </c>
      <c r="J239">
        <v>106.26</v>
      </c>
      <c r="K239">
        <v>10.14</v>
      </c>
      <c r="L239">
        <v>54.16</v>
      </c>
      <c r="M239">
        <v>17</v>
      </c>
      <c r="N239">
        <f t="shared" si="3"/>
        <v>40.174999999999997</v>
      </c>
      <c r="AE239">
        <v>58.27</v>
      </c>
    </row>
    <row r="240" spans="1:31" x14ac:dyDescent="0.25">
      <c r="A240" t="s">
        <v>284</v>
      </c>
      <c r="B240">
        <v>57.61</v>
      </c>
      <c r="C240">
        <v>81.599999999999994</v>
      </c>
      <c r="D240">
        <v>19.02</v>
      </c>
      <c r="E240">
        <v>10.14</v>
      </c>
      <c r="F240">
        <v>12.36</v>
      </c>
      <c r="G240">
        <v>25.6</v>
      </c>
      <c r="H240">
        <v>29.85</v>
      </c>
      <c r="I240">
        <v>129.47</v>
      </c>
      <c r="J240">
        <v>16.97</v>
      </c>
      <c r="K240">
        <v>120.53</v>
      </c>
      <c r="L240">
        <v>10.039999999999999</v>
      </c>
      <c r="M240">
        <v>96.27</v>
      </c>
      <c r="N240">
        <f t="shared" si="3"/>
        <v>27.725000000000001</v>
      </c>
      <c r="AE240">
        <v>57.61</v>
      </c>
    </row>
    <row r="241" spans="1:31" x14ac:dyDescent="0.25">
      <c r="A241" t="s">
        <v>285</v>
      </c>
      <c r="B241">
        <v>95.75</v>
      </c>
      <c r="C241">
        <v>26.01</v>
      </c>
      <c r="D241">
        <v>0.4</v>
      </c>
      <c r="E241">
        <v>96.25</v>
      </c>
      <c r="F241">
        <v>69.75</v>
      </c>
      <c r="G241">
        <v>29.74</v>
      </c>
      <c r="H241">
        <v>35.67</v>
      </c>
      <c r="I241">
        <v>28.63</v>
      </c>
      <c r="J241">
        <v>84.1</v>
      </c>
      <c r="K241">
        <v>18.829999999999998</v>
      </c>
      <c r="L241">
        <v>76.180000000000007</v>
      </c>
      <c r="M241">
        <v>69.16</v>
      </c>
      <c r="N241">
        <f t="shared" si="3"/>
        <v>52.414999999999999</v>
      </c>
      <c r="AE241">
        <v>95.75</v>
      </c>
    </row>
    <row r="242" spans="1:31" x14ac:dyDescent="0.25">
      <c r="A242" t="s">
        <v>286</v>
      </c>
      <c r="B242">
        <v>57.51</v>
      </c>
      <c r="C242">
        <v>303.27</v>
      </c>
      <c r="D242">
        <v>19.690000000000001</v>
      </c>
      <c r="E242">
        <v>170.32</v>
      </c>
      <c r="F242">
        <v>21.48</v>
      </c>
      <c r="G242">
        <v>25.35</v>
      </c>
      <c r="H242">
        <v>18.27</v>
      </c>
      <c r="I242">
        <v>37.46</v>
      </c>
      <c r="J242">
        <v>60.59</v>
      </c>
      <c r="K242">
        <v>33.57</v>
      </c>
      <c r="L242">
        <v>90.87</v>
      </c>
      <c r="M242">
        <v>41.51</v>
      </c>
      <c r="N242">
        <f t="shared" si="3"/>
        <v>39.484999999999999</v>
      </c>
      <c r="AE242">
        <v>57.51</v>
      </c>
    </row>
    <row r="243" spans="1:31" x14ac:dyDescent="0.25">
      <c r="A243" t="s">
        <v>287</v>
      </c>
      <c r="B243">
        <v>57.53</v>
      </c>
      <c r="C243">
        <v>39.21</v>
      </c>
      <c r="D243">
        <v>51.23</v>
      </c>
      <c r="E243">
        <v>24.65</v>
      </c>
      <c r="F243">
        <v>67.58</v>
      </c>
      <c r="G243">
        <v>47.05</v>
      </c>
      <c r="H243">
        <v>119.5</v>
      </c>
      <c r="I243">
        <v>15.71</v>
      </c>
      <c r="J243">
        <v>27.9</v>
      </c>
      <c r="K243">
        <v>53.82</v>
      </c>
      <c r="L243">
        <v>43.83</v>
      </c>
      <c r="M243">
        <v>10.039999999999999</v>
      </c>
      <c r="N243">
        <f t="shared" si="3"/>
        <v>45.44</v>
      </c>
      <c r="AE243">
        <v>57.53</v>
      </c>
    </row>
    <row r="244" spans="1:31" x14ac:dyDescent="0.25">
      <c r="A244" t="s">
        <v>288</v>
      </c>
      <c r="B244">
        <v>57.52</v>
      </c>
      <c r="C244">
        <v>81.349999999999994</v>
      </c>
      <c r="D244">
        <v>123.56</v>
      </c>
      <c r="E244">
        <v>31.72</v>
      </c>
      <c r="F244">
        <v>20.92</v>
      </c>
      <c r="G244">
        <v>32.950000000000003</v>
      </c>
      <c r="H244">
        <v>39.700000000000003</v>
      </c>
      <c r="I244">
        <v>60.77</v>
      </c>
      <c r="J244">
        <v>83.49</v>
      </c>
      <c r="K244">
        <v>34.9</v>
      </c>
      <c r="L244">
        <v>26.5</v>
      </c>
      <c r="M244">
        <v>150.22999999999999</v>
      </c>
      <c r="N244">
        <f t="shared" si="3"/>
        <v>48.61</v>
      </c>
      <c r="AE244">
        <v>57.52</v>
      </c>
    </row>
    <row r="245" spans="1:31" x14ac:dyDescent="0.25">
      <c r="A245" t="s">
        <v>289</v>
      </c>
      <c r="B245">
        <v>57.38</v>
      </c>
      <c r="C245">
        <v>59.59</v>
      </c>
      <c r="D245">
        <v>126.11</v>
      </c>
      <c r="E245">
        <v>9.99</v>
      </c>
      <c r="F245">
        <v>63.47</v>
      </c>
      <c r="G245">
        <v>51</v>
      </c>
      <c r="H245">
        <v>46.38</v>
      </c>
      <c r="I245">
        <v>17.649999999999999</v>
      </c>
      <c r="J245">
        <v>15.64</v>
      </c>
      <c r="K245">
        <v>66.92</v>
      </c>
      <c r="L245">
        <v>73.59</v>
      </c>
      <c r="M245">
        <v>37.96</v>
      </c>
      <c r="N245">
        <f t="shared" si="3"/>
        <v>54.19</v>
      </c>
      <c r="AE245">
        <v>57.38</v>
      </c>
    </row>
    <row r="246" spans="1:31" x14ac:dyDescent="0.25">
      <c r="A246" t="s">
        <v>290</v>
      </c>
      <c r="B246">
        <v>93.72</v>
      </c>
      <c r="C246">
        <v>10.37</v>
      </c>
      <c r="D246">
        <v>13.95</v>
      </c>
      <c r="E246">
        <v>29.46</v>
      </c>
      <c r="F246">
        <v>14.8</v>
      </c>
      <c r="G246">
        <v>0.27</v>
      </c>
      <c r="H246">
        <v>23</v>
      </c>
      <c r="I246">
        <v>93.49</v>
      </c>
      <c r="J246">
        <v>121.67</v>
      </c>
      <c r="K246">
        <v>129.29</v>
      </c>
      <c r="L246">
        <v>127.19</v>
      </c>
      <c r="M246">
        <v>36.07</v>
      </c>
      <c r="N246">
        <f t="shared" si="3"/>
        <v>32.765000000000001</v>
      </c>
      <c r="AE246">
        <v>93.72</v>
      </c>
    </row>
    <row r="247" spans="1:31" x14ac:dyDescent="0.25">
      <c r="A247" t="s">
        <v>291</v>
      </c>
      <c r="B247">
        <v>57.1</v>
      </c>
      <c r="C247">
        <v>120.65</v>
      </c>
      <c r="D247">
        <v>57.29</v>
      </c>
      <c r="E247">
        <v>66.47</v>
      </c>
      <c r="F247">
        <v>25.77</v>
      </c>
      <c r="G247">
        <v>16.38</v>
      </c>
      <c r="H247">
        <v>22.13</v>
      </c>
      <c r="I247">
        <v>154.38</v>
      </c>
      <c r="J247">
        <v>33.799999999999997</v>
      </c>
      <c r="K247">
        <v>10.24</v>
      </c>
      <c r="L247">
        <v>129.91</v>
      </c>
      <c r="M247">
        <v>41.6</v>
      </c>
      <c r="N247">
        <f t="shared" si="3"/>
        <v>49.35</v>
      </c>
      <c r="AE247">
        <v>57.1</v>
      </c>
    </row>
    <row r="248" spans="1:31" x14ac:dyDescent="0.25">
      <c r="A248" t="s">
        <v>292</v>
      </c>
      <c r="B248">
        <v>56.9</v>
      </c>
      <c r="C248">
        <v>104.57</v>
      </c>
      <c r="D248">
        <v>15.94</v>
      </c>
      <c r="E248">
        <v>65.11</v>
      </c>
      <c r="F248">
        <v>91.37</v>
      </c>
      <c r="G248">
        <v>34.39</v>
      </c>
      <c r="H248">
        <v>32.630000000000003</v>
      </c>
      <c r="I248">
        <v>109.96</v>
      </c>
      <c r="J248">
        <v>47.15</v>
      </c>
      <c r="K248">
        <v>19.86</v>
      </c>
      <c r="L248">
        <v>69.92</v>
      </c>
      <c r="M248">
        <v>13.5</v>
      </c>
      <c r="N248">
        <f t="shared" si="3"/>
        <v>52.024999999999999</v>
      </c>
      <c r="AE248">
        <v>56.9</v>
      </c>
    </row>
    <row r="249" spans="1:31" x14ac:dyDescent="0.25">
      <c r="A249" t="s">
        <v>293</v>
      </c>
      <c r="B249">
        <v>56.59</v>
      </c>
      <c r="C249">
        <v>15.82</v>
      </c>
      <c r="D249">
        <v>26.85</v>
      </c>
      <c r="E249">
        <v>10.14</v>
      </c>
      <c r="F249">
        <v>80.03</v>
      </c>
      <c r="G249">
        <v>31.73</v>
      </c>
      <c r="H249">
        <v>46.54</v>
      </c>
      <c r="I249">
        <v>67.67</v>
      </c>
      <c r="J249">
        <v>87.11</v>
      </c>
      <c r="K249">
        <v>10.19</v>
      </c>
      <c r="L249">
        <v>86</v>
      </c>
      <c r="M249">
        <v>10.44</v>
      </c>
      <c r="N249">
        <f t="shared" si="3"/>
        <v>39.134999999999998</v>
      </c>
      <c r="AE249">
        <v>56.59</v>
      </c>
    </row>
    <row r="250" spans="1:31" x14ac:dyDescent="0.25">
      <c r="A250" t="s">
        <v>294</v>
      </c>
      <c r="B250">
        <v>56.64</v>
      </c>
      <c r="C250">
        <v>38.74</v>
      </c>
      <c r="D250">
        <v>10.039999999999999</v>
      </c>
      <c r="E250">
        <v>68.83</v>
      </c>
      <c r="F250">
        <v>49.51</v>
      </c>
      <c r="G250">
        <v>138.78</v>
      </c>
      <c r="H250">
        <v>34.57</v>
      </c>
      <c r="I250">
        <v>20.72</v>
      </c>
      <c r="J250">
        <v>23.68</v>
      </c>
      <c r="K250">
        <v>24.4</v>
      </c>
      <c r="L250">
        <v>51.31</v>
      </c>
      <c r="M250">
        <v>51.62</v>
      </c>
      <c r="N250">
        <f t="shared" si="3"/>
        <v>44.125</v>
      </c>
      <c r="AE250">
        <v>56.64</v>
      </c>
    </row>
    <row r="251" spans="1:31" x14ac:dyDescent="0.25">
      <c r="A251" t="s">
        <v>295</v>
      </c>
      <c r="B251">
        <v>92.83</v>
      </c>
      <c r="C251">
        <v>15.44</v>
      </c>
      <c r="D251">
        <v>1.61</v>
      </c>
      <c r="E251">
        <v>29.02</v>
      </c>
      <c r="F251">
        <v>69.63</v>
      </c>
      <c r="G251">
        <v>51.51</v>
      </c>
      <c r="H251">
        <v>16.03</v>
      </c>
      <c r="I251">
        <v>28.22</v>
      </c>
      <c r="J251">
        <v>17.45</v>
      </c>
      <c r="K251">
        <v>20.36</v>
      </c>
      <c r="L251">
        <v>71.88</v>
      </c>
      <c r="M251">
        <v>48.01</v>
      </c>
      <c r="N251">
        <f t="shared" si="3"/>
        <v>28.619999999999997</v>
      </c>
      <c r="AE251">
        <v>92.83</v>
      </c>
    </row>
    <row r="252" spans="1:31" x14ac:dyDescent="0.25">
      <c r="A252" t="s">
        <v>296</v>
      </c>
      <c r="B252">
        <v>92.84</v>
      </c>
      <c r="C252">
        <v>135.21</v>
      </c>
      <c r="D252">
        <v>66.849999999999994</v>
      </c>
      <c r="E252">
        <v>34.99</v>
      </c>
      <c r="F252">
        <v>74.13</v>
      </c>
      <c r="G252">
        <v>33.93</v>
      </c>
      <c r="H252">
        <v>18.239999999999998</v>
      </c>
      <c r="I252">
        <v>110.44</v>
      </c>
      <c r="J252">
        <v>7.42</v>
      </c>
      <c r="K252">
        <v>0.45</v>
      </c>
      <c r="L252">
        <v>34.86</v>
      </c>
      <c r="M252">
        <v>35.9</v>
      </c>
      <c r="N252">
        <f t="shared" si="3"/>
        <v>35.445</v>
      </c>
      <c r="AE252">
        <v>92.84</v>
      </c>
    </row>
    <row r="253" spans="1:31" x14ac:dyDescent="0.25">
      <c r="A253" t="s">
        <v>297</v>
      </c>
      <c r="B253">
        <v>92.29</v>
      </c>
      <c r="C253">
        <v>0.18</v>
      </c>
      <c r="D253">
        <v>120.21</v>
      </c>
      <c r="E253">
        <v>35.89</v>
      </c>
      <c r="F253">
        <v>24.44</v>
      </c>
      <c r="G253">
        <v>80.14</v>
      </c>
      <c r="H253">
        <v>30.05</v>
      </c>
      <c r="I253">
        <v>73.91</v>
      </c>
      <c r="J253">
        <v>76.25</v>
      </c>
      <c r="K253">
        <v>75.959999999999994</v>
      </c>
      <c r="L253">
        <v>334.83</v>
      </c>
      <c r="M253">
        <v>38.5</v>
      </c>
      <c r="N253">
        <f t="shared" si="3"/>
        <v>74.935000000000002</v>
      </c>
      <c r="AE253">
        <v>92.29</v>
      </c>
    </row>
    <row r="254" spans="1:31" x14ac:dyDescent="0.25">
      <c r="A254" t="s">
        <v>298</v>
      </c>
      <c r="B254">
        <v>92.44</v>
      </c>
      <c r="C254">
        <v>19.13</v>
      </c>
      <c r="D254">
        <v>21.14</v>
      </c>
      <c r="E254">
        <v>19.34</v>
      </c>
      <c r="F254">
        <v>24.8</v>
      </c>
      <c r="G254">
        <v>4.78</v>
      </c>
      <c r="H254">
        <v>72.06</v>
      </c>
      <c r="I254">
        <v>76.86</v>
      </c>
      <c r="J254">
        <v>63.83</v>
      </c>
      <c r="K254">
        <v>44.32</v>
      </c>
      <c r="L254">
        <v>16.600000000000001</v>
      </c>
      <c r="M254">
        <v>238.44</v>
      </c>
      <c r="N254">
        <f t="shared" si="3"/>
        <v>34.56</v>
      </c>
      <c r="AE254">
        <v>92.44</v>
      </c>
    </row>
    <row r="255" spans="1:31" x14ac:dyDescent="0.25">
      <c r="A255" t="s">
        <v>299</v>
      </c>
      <c r="B255">
        <v>56.08</v>
      </c>
      <c r="C255">
        <v>40.49</v>
      </c>
      <c r="D255">
        <v>63.66</v>
      </c>
      <c r="E255">
        <v>33.450000000000003</v>
      </c>
      <c r="F255">
        <v>10.46</v>
      </c>
      <c r="G255">
        <v>40.479999999999997</v>
      </c>
      <c r="H255">
        <v>117.41</v>
      </c>
      <c r="I255">
        <v>61.48</v>
      </c>
      <c r="J255">
        <v>24.16</v>
      </c>
      <c r="K255">
        <v>25.33</v>
      </c>
      <c r="L255">
        <v>98.37</v>
      </c>
      <c r="M255">
        <v>10.039999999999999</v>
      </c>
      <c r="N255">
        <f t="shared" si="3"/>
        <v>40.484999999999999</v>
      </c>
      <c r="AE255">
        <v>56.08</v>
      </c>
    </row>
    <row r="256" spans="1:31" x14ac:dyDescent="0.25">
      <c r="A256" t="s">
        <v>300</v>
      </c>
      <c r="B256">
        <v>55.45</v>
      </c>
      <c r="C256">
        <v>57.21</v>
      </c>
      <c r="D256">
        <v>21.17</v>
      </c>
      <c r="E256">
        <v>83.71</v>
      </c>
      <c r="F256">
        <v>34.92</v>
      </c>
      <c r="G256">
        <v>10.44</v>
      </c>
      <c r="H256">
        <v>42.84</v>
      </c>
      <c r="I256">
        <v>85.73</v>
      </c>
      <c r="J256">
        <v>124.62</v>
      </c>
      <c r="K256">
        <v>52.79</v>
      </c>
      <c r="L256">
        <v>15.97</v>
      </c>
      <c r="M256">
        <v>17.079999999999998</v>
      </c>
      <c r="N256">
        <f t="shared" si="3"/>
        <v>47.814999999999998</v>
      </c>
      <c r="AE256">
        <v>55.45</v>
      </c>
    </row>
    <row r="257" spans="1:31" x14ac:dyDescent="0.25">
      <c r="A257" t="s">
        <v>301</v>
      </c>
      <c r="B257">
        <v>91.02</v>
      </c>
      <c r="C257">
        <v>0.09</v>
      </c>
      <c r="D257">
        <v>58.39</v>
      </c>
      <c r="E257">
        <v>16.47</v>
      </c>
      <c r="F257">
        <v>1.1399999999999999</v>
      </c>
      <c r="G257">
        <v>44.24</v>
      </c>
      <c r="H257">
        <v>8.1199999999999992</v>
      </c>
      <c r="I257">
        <v>78.61</v>
      </c>
      <c r="J257">
        <v>79.94</v>
      </c>
      <c r="K257">
        <v>15.36</v>
      </c>
      <c r="L257">
        <v>0.54</v>
      </c>
      <c r="M257">
        <v>111.41</v>
      </c>
      <c r="N257">
        <f t="shared" si="3"/>
        <v>30.355</v>
      </c>
      <c r="AE257">
        <v>91.02</v>
      </c>
    </row>
    <row r="258" spans="1:31" x14ac:dyDescent="0.25">
      <c r="A258" t="s">
        <v>302</v>
      </c>
      <c r="B258">
        <v>55.7</v>
      </c>
      <c r="C258">
        <v>17.010000000000002</v>
      </c>
      <c r="D258">
        <v>67.67</v>
      </c>
      <c r="E258">
        <v>68.790000000000006</v>
      </c>
      <c r="F258">
        <v>35.659999999999997</v>
      </c>
      <c r="G258">
        <v>36.229999999999997</v>
      </c>
      <c r="H258">
        <v>55.24</v>
      </c>
      <c r="I258">
        <v>61.54</v>
      </c>
      <c r="J258">
        <v>21.99</v>
      </c>
      <c r="K258">
        <v>61.49</v>
      </c>
      <c r="L258">
        <v>68.84</v>
      </c>
      <c r="M258">
        <v>26.37</v>
      </c>
      <c r="N258">
        <f t="shared" si="3"/>
        <v>55.47</v>
      </c>
      <c r="AE258">
        <v>55.7</v>
      </c>
    </row>
    <row r="259" spans="1:31" x14ac:dyDescent="0.25">
      <c r="A259" t="s">
        <v>303</v>
      </c>
      <c r="B259">
        <v>55.22</v>
      </c>
      <c r="C259">
        <v>20.48</v>
      </c>
      <c r="D259">
        <v>159.04</v>
      </c>
      <c r="E259">
        <v>127.22</v>
      </c>
      <c r="F259">
        <v>34.24</v>
      </c>
      <c r="G259">
        <v>76.81</v>
      </c>
      <c r="H259">
        <v>16.41</v>
      </c>
      <c r="I259">
        <v>29.68</v>
      </c>
      <c r="J259">
        <v>13.57</v>
      </c>
      <c r="K259">
        <v>44.46</v>
      </c>
      <c r="L259">
        <v>43.75</v>
      </c>
      <c r="M259">
        <v>16.91</v>
      </c>
      <c r="N259">
        <f t="shared" ref="N259:N322" si="4">MEDIAN(B259:M259)</f>
        <v>38.995000000000005</v>
      </c>
      <c r="AE259">
        <v>55.22</v>
      </c>
    </row>
    <row r="260" spans="1:31" x14ac:dyDescent="0.25">
      <c r="A260" t="s">
        <v>304</v>
      </c>
      <c r="B260">
        <v>55.4</v>
      </c>
      <c r="C260">
        <v>39.82</v>
      </c>
      <c r="D260">
        <v>124.92</v>
      </c>
      <c r="E260">
        <v>14.47</v>
      </c>
      <c r="F260">
        <v>51.27</v>
      </c>
      <c r="G260">
        <v>48.68</v>
      </c>
      <c r="H260">
        <v>81.59</v>
      </c>
      <c r="I260">
        <v>31.75</v>
      </c>
      <c r="J260">
        <v>43.08</v>
      </c>
      <c r="K260">
        <v>19.78</v>
      </c>
      <c r="L260">
        <v>30.42</v>
      </c>
      <c r="M260">
        <v>97.94</v>
      </c>
      <c r="N260">
        <f t="shared" si="4"/>
        <v>45.879999999999995</v>
      </c>
      <c r="AE260">
        <v>55.4</v>
      </c>
    </row>
    <row r="261" spans="1:31" x14ac:dyDescent="0.25">
      <c r="A261" t="s">
        <v>305</v>
      </c>
      <c r="B261">
        <v>55.92</v>
      </c>
      <c r="C261">
        <v>77.930000000000007</v>
      </c>
      <c r="D261">
        <v>10.79</v>
      </c>
      <c r="E261">
        <v>37.5</v>
      </c>
      <c r="F261">
        <v>67.81</v>
      </c>
      <c r="G261">
        <v>61.58</v>
      </c>
      <c r="H261">
        <v>24.31</v>
      </c>
      <c r="I261">
        <v>45.92</v>
      </c>
      <c r="J261">
        <v>86.41</v>
      </c>
      <c r="K261">
        <v>33.36</v>
      </c>
      <c r="L261">
        <v>30.54</v>
      </c>
      <c r="M261">
        <v>69.97</v>
      </c>
      <c r="N261">
        <f t="shared" si="4"/>
        <v>50.92</v>
      </c>
      <c r="AE261">
        <v>55.92</v>
      </c>
    </row>
    <row r="262" spans="1:31" x14ac:dyDescent="0.25">
      <c r="A262" t="s">
        <v>306</v>
      </c>
      <c r="B262">
        <v>54.36</v>
      </c>
      <c r="C262">
        <v>58.47</v>
      </c>
      <c r="D262">
        <v>71.7</v>
      </c>
      <c r="E262">
        <v>12.05</v>
      </c>
      <c r="F262">
        <v>40.56</v>
      </c>
      <c r="G262">
        <v>124.81</v>
      </c>
      <c r="H262">
        <v>70.02</v>
      </c>
      <c r="I262">
        <v>18.579999999999998</v>
      </c>
      <c r="J262">
        <v>39.68</v>
      </c>
      <c r="K262">
        <v>101.06</v>
      </c>
      <c r="L262">
        <v>31.62</v>
      </c>
      <c r="M262">
        <v>77.930000000000007</v>
      </c>
      <c r="N262">
        <f t="shared" si="4"/>
        <v>56.414999999999999</v>
      </c>
      <c r="AE262">
        <v>54.36</v>
      </c>
    </row>
    <row r="263" spans="1:31" x14ac:dyDescent="0.25">
      <c r="A263" t="s">
        <v>307</v>
      </c>
      <c r="B263">
        <v>54.54</v>
      </c>
      <c r="C263">
        <v>90.67</v>
      </c>
      <c r="D263">
        <v>52.76</v>
      </c>
      <c r="E263">
        <v>100.6</v>
      </c>
      <c r="F263">
        <v>10.09</v>
      </c>
      <c r="G263">
        <v>33.61</v>
      </c>
      <c r="H263">
        <v>54.04</v>
      </c>
      <c r="I263">
        <v>32.51</v>
      </c>
      <c r="J263">
        <v>10.82</v>
      </c>
      <c r="K263">
        <v>16.399999999999999</v>
      </c>
      <c r="L263">
        <v>24.49</v>
      </c>
      <c r="M263">
        <v>23.14</v>
      </c>
      <c r="N263">
        <f t="shared" si="4"/>
        <v>33.06</v>
      </c>
      <c r="AE263">
        <v>54.54</v>
      </c>
    </row>
    <row r="264" spans="1:31" x14ac:dyDescent="0.25">
      <c r="A264" t="s">
        <v>308</v>
      </c>
      <c r="B264">
        <v>88.4</v>
      </c>
      <c r="C264">
        <v>17.64</v>
      </c>
      <c r="D264">
        <v>54.91</v>
      </c>
      <c r="E264">
        <v>230.25</v>
      </c>
      <c r="F264">
        <v>9.5500000000000007</v>
      </c>
      <c r="G264">
        <v>39.57</v>
      </c>
      <c r="H264">
        <v>76.06</v>
      </c>
      <c r="I264">
        <v>11.88</v>
      </c>
      <c r="J264">
        <v>11.84</v>
      </c>
      <c r="K264">
        <v>0.72</v>
      </c>
      <c r="L264">
        <v>8.98</v>
      </c>
      <c r="M264">
        <v>12.74</v>
      </c>
      <c r="N264">
        <f t="shared" si="4"/>
        <v>15.190000000000001</v>
      </c>
      <c r="AE264">
        <v>88.4</v>
      </c>
    </row>
    <row r="265" spans="1:31" x14ac:dyDescent="0.25">
      <c r="A265" t="s">
        <v>309</v>
      </c>
      <c r="B265">
        <v>54.1</v>
      </c>
      <c r="C265">
        <v>17.88</v>
      </c>
      <c r="D265">
        <v>55.62</v>
      </c>
      <c r="E265">
        <v>22.39</v>
      </c>
      <c r="F265">
        <v>58.73</v>
      </c>
      <c r="G265">
        <v>10.14</v>
      </c>
      <c r="H265">
        <v>35.729999999999997</v>
      </c>
      <c r="I265">
        <v>72.28</v>
      </c>
      <c r="J265">
        <v>15.73</v>
      </c>
      <c r="K265">
        <v>35.31</v>
      </c>
      <c r="L265">
        <v>19.059999999999999</v>
      </c>
      <c r="M265">
        <v>86.59</v>
      </c>
      <c r="N265">
        <f t="shared" si="4"/>
        <v>35.519999999999996</v>
      </c>
      <c r="AE265">
        <v>54.1</v>
      </c>
    </row>
    <row r="266" spans="1:31" x14ac:dyDescent="0.25">
      <c r="A266" t="s">
        <v>310</v>
      </c>
      <c r="B266">
        <v>87.33</v>
      </c>
      <c r="C266">
        <v>243.31</v>
      </c>
      <c r="D266">
        <v>53.2</v>
      </c>
      <c r="E266">
        <v>17.82</v>
      </c>
      <c r="F266">
        <v>322.10000000000002</v>
      </c>
      <c r="G266">
        <v>84.08</v>
      </c>
      <c r="H266">
        <v>221.94</v>
      </c>
      <c r="I266">
        <v>26.09</v>
      </c>
      <c r="J266">
        <v>25.74</v>
      </c>
      <c r="K266">
        <v>13.27</v>
      </c>
      <c r="L266">
        <v>113.79</v>
      </c>
      <c r="M266">
        <v>170.56</v>
      </c>
      <c r="N266">
        <f t="shared" si="4"/>
        <v>85.704999999999998</v>
      </c>
      <c r="AE266">
        <v>87.33</v>
      </c>
    </row>
    <row r="267" spans="1:31" x14ac:dyDescent="0.25">
      <c r="A267" t="s">
        <v>311</v>
      </c>
      <c r="B267">
        <v>53.56</v>
      </c>
      <c r="C267">
        <v>10.24</v>
      </c>
      <c r="D267">
        <v>81.44</v>
      </c>
      <c r="E267">
        <v>29.81</v>
      </c>
      <c r="F267">
        <v>32.549999999999997</v>
      </c>
      <c r="G267">
        <v>19.440000000000001</v>
      </c>
      <c r="H267">
        <v>17.46</v>
      </c>
      <c r="I267">
        <v>12.5</v>
      </c>
      <c r="J267">
        <v>30.23</v>
      </c>
      <c r="K267">
        <v>75.12</v>
      </c>
      <c r="L267">
        <v>48.18</v>
      </c>
      <c r="M267">
        <v>90.37</v>
      </c>
      <c r="N267">
        <f t="shared" si="4"/>
        <v>31.39</v>
      </c>
      <c r="AE267">
        <v>53.56</v>
      </c>
    </row>
    <row r="268" spans="1:31" x14ac:dyDescent="0.25">
      <c r="A268" t="s">
        <v>312</v>
      </c>
      <c r="B268">
        <v>53.24</v>
      </c>
      <c r="C268">
        <v>33.14</v>
      </c>
      <c r="D268">
        <v>27.85</v>
      </c>
      <c r="E268">
        <v>97.86</v>
      </c>
      <c r="F268">
        <v>10.14</v>
      </c>
      <c r="G268">
        <v>37.03</v>
      </c>
      <c r="H268">
        <v>63.55</v>
      </c>
      <c r="I268">
        <v>23.6</v>
      </c>
      <c r="J268">
        <v>10.14</v>
      </c>
      <c r="K268">
        <v>19.12</v>
      </c>
      <c r="L268">
        <v>102.13</v>
      </c>
      <c r="M268">
        <v>36.43</v>
      </c>
      <c r="N268">
        <f t="shared" si="4"/>
        <v>34.784999999999997</v>
      </c>
      <c r="AE268">
        <v>53.24</v>
      </c>
    </row>
    <row r="269" spans="1:31" x14ac:dyDescent="0.25">
      <c r="A269" t="s">
        <v>313</v>
      </c>
      <c r="B269">
        <v>86.69</v>
      </c>
      <c r="C269">
        <v>0.36</v>
      </c>
      <c r="D269">
        <v>9.74</v>
      </c>
      <c r="E269">
        <v>47.45</v>
      </c>
      <c r="F269">
        <v>58.43</v>
      </c>
      <c r="G269">
        <v>41.88</v>
      </c>
      <c r="H269">
        <v>44.12</v>
      </c>
      <c r="I269">
        <v>8.7799999999999994</v>
      </c>
      <c r="J269">
        <v>0.9</v>
      </c>
      <c r="K269">
        <v>7.73</v>
      </c>
      <c r="L269">
        <v>74.489999999999995</v>
      </c>
      <c r="M269">
        <v>149.51</v>
      </c>
      <c r="N269">
        <f t="shared" si="4"/>
        <v>43</v>
      </c>
      <c r="AE269">
        <v>86.69</v>
      </c>
    </row>
    <row r="270" spans="1:31" x14ac:dyDescent="0.25">
      <c r="A270" t="s">
        <v>314</v>
      </c>
      <c r="B270">
        <v>53.3</v>
      </c>
      <c r="C270">
        <v>59.09</v>
      </c>
      <c r="D270">
        <v>48.04</v>
      </c>
      <c r="E270">
        <v>105.1</v>
      </c>
      <c r="F270">
        <v>155.04</v>
      </c>
      <c r="G270">
        <v>111.63</v>
      </c>
      <c r="H270">
        <v>73.42</v>
      </c>
      <c r="I270">
        <v>49.68</v>
      </c>
      <c r="J270">
        <v>58.54</v>
      </c>
      <c r="K270">
        <v>14.18</v>
      </c>
      <c r="L270">
        <v>26.26</v>
      </c>
      <c r="M270">
        <v>14.67</v>
      </c>
      <c r="N270">
        <f t="shared" si="4"/>
        <v>55.92</v>
      </c>
      <c r="AE270">
        <v>53.3</v>
      </c>
    </row>
    <row r="271" spans="1:31" x14ac:dyDescent="0.25">
      <c r="A271" t="s">
        <v>315</v>
      </c>
      <c r="B271">
        <v>53.01</v>
      </c>
      <c r="C271">
        <v>14.33</v>
      </c>
      <c r="D271">
        <v>44.63</v>
      </c>
      <c r="E271">
        <v>107.81</v>
      </c>
      <c r="F271">
        <v>31.48</v>
      </c>
      <c r="G271">
        <v>10.09</v>
      </c>
      <c r="H271">
        <v>18.579999999999998</v>
      </c>
      <c r="I271">
        <v>92.8</v>
      </c>
      <c r="J271">
        <v>65.05</v>
      </c>
      <c r="K271">
        <v>10.14</v>
      </c>
      <c r="L271">
        <v>20.68</v>
      </c>
      <c r="M271">
        <v>70.84</v>
      </c>
      <c r="N271">
        <f t="shared" si="4"/>
        <v>38.055</v>
      </c>
      <c r="AE271">
        <v>53.01</v>
      </c>
    </row>
    <row r="272" spans="1:31" x14ac:dyDescent="0.25">
      <c r="A272" t="s">
        <v>316</v>
      </c>
      <c r="B272">
        <v>52.93</v>
      </c>
      <c r="C272">
        <v>50.28</v>
      </c>
      <c r="D272">
        <v>30.95</v>
      </c>
      <c r="E272">
        <v>38.42</v>
      </c>
      <c r="F272">
        <v>51.82</v>
      </c>
      <c r="G272">
        <v>49.12</v>
      </c>
      <c r="H272">
        <v>48.72</v>
      </c>
      <c r="I272">
        <v>34.93</v>
      </c>
      <c r="J272">
        <v>10.64</v>
      </c>
      <c r="K272">
        <v>28.07</v>
      </c>
      <c r="L272">
        <v>17.239999999999998</v>
      </c>
      <c r="M272">
        <v>96.25</v>
      </c>
      <c r="N272">
        <f t="shared" si="4"/>
        <v>43.57</v>
      </c>
      <c r="AE272">
        <v>52.93</v>
      </c>
    </row>
    <row r="273" spans="1:31" x14ac:dyDescent="0.25">
      <c r="A273" t="s">
        <v>317</v>
      </c>
      <c r="B273">
        <v>52.88</v>
      </c>
      <c r="C273">
        <v>109.01</v>
      </c>
      <c r="D273">
        <v>72.14</v>
      </c>
      <c r="E273">
        <v>42.92</v>
      </c>
      <c r="F273">
        <v>21.46</v>
      </c>
      <c r="G273">
        <v>38.47</v>
      </c>
      <c r="H273">
        <v>42.92</v>
      </c>
      <c r="I273">
        <v>83.75</v>
      </c>
      <c r="J273">
        <v>131.69999999999999</v>
      </c>
      <c r="K273">
        <v>52.23</v>
      </c>
      <c r="L273">
        <v>42.75</v>
      </c>
      <c r="M273">
        <v>18.329999999999998</v>
      </c>
      <c r="N273">
        <f t="shared" si="4"/>
        <v>47.575000000000003</v>
      </c>
      <c r="AE273">
        <v>52.88</v>
      </c>
    </row>
    <row r="274" spans="1:31" x14ac:dyDescent="0.25">
      <c r="A274" t="s">
        <v>318</v>
      </c>
      <c r="B274">
        <v>86.05</v>
      </c>
      <c r="C274">
        <v>59.84</v>
      </c>
      <c r="D274">
        <v>43.51</v>
      </c>
      <c r="E274">
        <v>19.78</v>
      </c>
      <c r="F274">
        <v>30.21</v>
      </c>
      <c r="G274">
        <v>126.32</v>
      </c>
      <c r="H274">
        <v>20</v>
      </c>
      <c r="I274">
        <v>52</v>
      </c>
      <c r="J274">
        <v>36.28</v>
      </c>
      <c r="K274">
        <v>10.8</v>
      </c>
      <c r="L274">
        <v>20.100000000000001</v>
      </c>
      <c r="M274">
        <v>69.510000000000005</v>
      </c>
      <c r="N274">
        <f t="shared" si="4"/>
        <v>39.894999999999996</v>
      </c>
      <c r="AE274">
        <v>86.05</v>
      </c>
    </row>
    <row r="275" spans="1:31" x14ac:dyDescent="0.25">
      <c r="A275" t="s">
        <v>319</v>
      </c>
      <c r="B275">
        <v>53.24</v>
      </c>
      <c r="C275">
        <v>58.23</v>
      </c>
      <c r="D275">
        <v>16.66</v>
      </c>
      <c r="E275">
        <v>13.47</v>
      </c>
      <c r="F275">
        <v>116.76</v>
      </c>
      <c r="G275">
        <v>44.96</v>
      </c>
      <c r="H275">
        <v>27.96</v>
      </c>
      <c r="I275">
        <v>71.91</v>
      </c>
      <c r="J275">
        <v>31.55</v>
      </c>
      <c r="K275">
        <v>17.010000000000002</v>
      </c>
      <c r="L275">
        <v>14.28</v>
      </c>
      <c r="M275">
        <v>34.03</v>
      </c>
      <c r="N275">
        <f t="shared" si="4"/>
        <v>32.79</v>
      </c>
      <c r="AE275">
        <v>53.24</v>
      </c>
    </row>
    <row r="276" spans="1:31" x14ac:dyDescent="0.25">
      <c r="A276" t="s">
        <v>320</v>
      </c>
      <c r="B276">
        <v>84.85</v>
      </c>
      <c r="C276">
        <v>23.05</v>
      </c>
      <c r="D276">
        <v>84.36</v>
      </c>
      <c r="E276">
        <v>23.57</v>
      </c>
      <c r="F276">
        <v>37.39</v>
      </c>
      <c r="G276">
        <v>21.13</v>
      </c>
      <c r="H276">
        <v>26.85</v>
      </c>
      <c r="I276">
        <v>4.7699999999999996</v>
      </c>
      <c r="J276">
        <v>111.42</v>
      </c>
      <c r="K276">
        <v>32.44</v>
      </c>
      <c r="L276">
        <v>128.01</v>
      </c>
      <c r="M276">
        <v>120.52</v>
      </c>
      <c r="N276">
        <f t="shared" si="4"/>
        <v>34.914999999999999</v>
      </c>
      <c r="AE276">
        <v>84.85</v>
      </c>
    </row>
    <row r="277" spans="1:31" x14ac:dyDescent="0.25">
      <c r="A277" t="s">
        <v>321</v>
      </c>
      <c r="B277">
        <v>52.37</v>
      </c>
      <c r="C277">
        <v>93.08</v>
      </c>
      <c r="D277">
        <v>37.049999999999997</v>
      </c>
      <c r="E277">
        <v>33.72</v>
      </c>
      <c r="F277">
        <v>16.5</v>
      </c>
      <c r="G277">
        <v>25.5</v>
      </c>
      <c r="H277">
        <v>15.62</v>
      </c>
      <c r="I277">
        <v>77.290000000000006</v>
      </c>
      <c r="J277">
        <v>71.510000000000005</v>
      </c>
      <c r="K277">
        <v>24.71</v>
      </c>
      <c r="L277">
        <v>23.83</v>
      </c>
      <c r="M277">
        <v>21.96</v>
      </c>
      <c r="N277">
        <f t="shared" si="4"/>
        <v>29.61</v>
      </c>
      <c r="AE277">
        <v>52.37</v>
      </c>
    </row>
    <row r="278" spans="1:31" x14ac:dyDescent="0.25">
      <c r="A278" t="s">
        <v>322</v>
      </c>
      <c r="B278">
        <v>52.26</v>
      </c>
      <c r="C278">
        <v>29.44</v>
      </c>
      <c r="D278">
        <v>55.13</v>
      </c>
      <c r="E278">
        <v>37.229999999999997</v>
      </c>
      <c r="F278">
        <v>88.17</v>
      </c>
      <c r="G278">
        <v>157.71</v>
      </c>
      <c r="H278">
        <v>40.340000000000003</v>
      </c>
      <c r="I278">
        <v>72.89</v>
      </c>
      <c r="J278">
        <v>27.58</v>
      </c>
      <c r="K278">
        <v>111.64</v>
      </c>
      <c r="L278">
        <v>73.819999999999993</v>
      </c>
      <c r="M278">
        <v>176.22</v>
      </c>
      <c r="N278">
        <f t="shared" si="4"/>
        <v>64.010000000000005</v>
      </c>
      <c r="AE278">
        <v>52.26</v>
      </c>
    </row>
    <row r="279" spans="1:31" x14ac:dyDescent="0.25">
      <c r="A279" t="s">
        <v>323</v>
      </c>
      <c r="B279">
        <v>52.16</v>
      </c>
      <c r="C279">
        <v>41.98</v>
      </c>
      <c r="D279">
        <v>77.040000000000006</v>
      </c>
      <c r="E279">
        <v>48.82</v>
      </c>
      <c r="F279">
        <v>43.9</v>
      </c>
      <c r="G279">
        <v>37.65</v>
      </c>
      <c r="H279">
        <v>37.96</v>
      </c>
      <c r="I279">
        <v>123.41</v>
      </c>
      <c r="J279">
        <v>10.039999999999999</v>
      </c>
      <c r="K279">
        <v>39.71</v>
      </c>
      <c r="L279">
        <v>45.63</v>
      </c>
      <c r="M279">
        <v>40.25</v>
      </c>
      <c r="N279">
        <f t="shared" si="4"/>
        <v>42.94</v>
      </c>
      <c r="AE279">
        <v>52.16</v>
      </c>
    </row>
    <row r="280" spans="1:31" x14ac:dyDescent="0.25">
      <c r="A280" t="s">
        <v>324</v>
      </c>
      <c r="B280">
        <v>51.88</v>
      </c>
      <c r="C280">
        <v>59.74</v>
      </c>
      <c r="D280">
        <v>43.88</v>
      </c>
      <c r="E280">
        <v>22.42</v>
      </c>
      <c r="F280">
        <v>22.13</v>
      </c>
      <c r="G280">
        <v>107.44</v>
      </c>
      <c r="H280">
        <v>12.61</v>
      </c>
      <c r="I280">
        <v>27.52</v>
      </c>
      <c r="J280">
        <v>53.28</v>
      </c>
      <c r="K280">
        <v>48.96</v>
      </c>
      <c r="L280">
        <v>103.88</v>
      </c>
      <c r="M280">
        <v>24.39</v>
      </c>
      <c r="N280">
        <f t="shared" si="4"/>
        <v>46.42</v>
      </c>
      <c r="AE280">
        <v>51.88</v>
      </c>
    </row>
    <row r="281" spans="1:31" x14ac:dyDescent="0.25">
      <c r="A281" t="s">
        <v>325</v>
      </c>
      <c r="B281">
        <v>84.21</v>
      </c>
      <c r="C281">
        <v>0.27</v>
      </c>
      <c r="D281">
        <v>125.22</v>
      </c>
      <c r="E281">
        <v>151.66999999999999</v>
      </c>
      <c r="F281">
        <v>28.94</v>
      </c>
      <c r="G281">
        <v>0.18</v>
      </c>
      <c r="H281">
        <v>42.72</v>
      </c>
      <c r="I281">
        <v>16.579999999999998</v>
      </c>
      <c r="J281">
        <v>43.98</v>
      </c>
      <c r="K281">
        <v>92.98</v>
      </c>
      <c r="L281">
        <v>22.19</v>
      </c>
      <c r="M281">
        <v>33.770000000000003</v>
      </c>
      <c r="N281">
        <f t="shared" si="4"/>
        <v>38.245000000000005</v>
      </c>
      <c r="AE281">
        <v>84.21</v>
      </c>
    </row>
    <row r="282" spans="1:31" x14ac:dyDescent="0.25">
      <c r="A282" t="s">
        <v>326</v>
      </c>
      <c r="B282">
        <v>52.23</v>
      </c>
      <c r="C282">
        <v>135.01</v>
      </c>
      <c r="D282">
        <v>33.49</v>
      </c>
      <c r="E282">
        <v>96.05</v>
      </c>
      <c r="F282">
        <v>11.11</v>
      </c>
      <c r="G282">
        <v>28.53</v>
      </c>
      <c r="H282">
        <v>10.34</v>
      </c>
      <c r="I282">
        <v>43.91</v>
      </c>
      <c r="J282">
        <v>11.54</v>
      </c>
      <c r="K282">
        <v>86.96</v>
      </c>
      <c r="L282">
        <v>37.67</v>
      </c>
      <c r="M282">
        <v>10.19</v>
      </c>
      <c r="N282">
        <f t="shared" si="4"/>
        <v>35.58</v>
      </c>
      <c r="AE282">
        <v>52.23</v>
      </c>
    </row>
    <row r="283" spans="1:31" x14ac:dyDescent="0.25">
      <c r="A283" t="s">
        <v>327</v>
      </c>
      <c r="B283">
        <v>84.72</v>
      </c>
      <c r="C283">
        <v>0.99</v>
      </c>
      <c r="D283">
        <v>98.38</v>
      </c>
      <c r="E283">
        <v>77.44</v>
      </c>
      <c r="F283">
        <v>59.41</v>
      </c>
      <c r="G283">
        <v>26.97</v>
      </c>
      <c r="H283">
        <v>64.430000000000007</v>
      </c>
      <c r="I283">
        <v>22.99</v>
      </c>
      <c r="J283">
        <v>0.27</v>
      </c>
      <c r="K283">
        <v>17.79</v>
      </c>
      <c r="L283">
        <v>97.54</v>
      </c>
      <c r="M283">
        <v>53.58</v>
      </c>
      <c r="N283">
        <f t="shared" si="4"/>
        <v>56.494999999999997</v>
      </c>
      <c r="AE283">
        <v>84.72</v>
      </c>
    </row>
    <row r="284" spans="1:31" x14ac:dyDescent="0.25">
      <c r="A284" t="s">
        <v>328</v>
      </c>
      <c r="B284">
        <v>51.86</v>
      </c>
      <c r="C284">
        <v>20.07</v>
      </c>
      <c r="D284">
        <v>27.8</v>
      </c>
      <c r="E284">
        <v>79.650000000000006</v>
      </c>
      <c r="F284">
        <v>16.29</v>
      </c>
      <c r="G284">
        <v>15.54</v>
      </c>
      <c r="H284">
        <v>23.73</v>
      </c>
      <c r="I284">
        <v>69.069999999999993</v>
      </c>
      <c r="J284">
        <v>14.63</v>
      </c>
      <c r="K284">
        <v>228.8</v>
      </c>
      <c r="L284">
        <v>19.27</v>
      </c>
      <c r="M284">
        <v>32.47</v>
      </c>
      <c r="N284">
        <f t="shared" si="4"/>
        <v>25.765000000000001</v>
      </c>
      <c r="AE284">
        <v>51.86</v>
      </c>
    </row>
    <row r="285" spans="1:31" x14ac:dyDescent="0.25">
      <c r="A285" t="s">
        <v>329</v>
      </c>
      <c r="B285">
        <v>51.62</v>
      </c>
      <c r="C285">
        <v>58.57</v>
      </c>
      <c r="D285">
        <v>23.27</v>
      </c>
      <c r="E285">
        <v>81.69</v>
      </c>
      <c r="F285">
        <v>83.08</v>
      </c>
      <c r="G285">
        <v>19.77</v>
      </c>
      <c r="H285">
        <v>90.25</v>
      </c>
      <c r="I285">
        <v>36</v>
      </c>
      <c r="J285">
        <v>53.07</v>
      </c>
      <c r="K285">
        <v>72.14</v>
      </c>
      <c r="L285">
        <v>45.53</v>
      </c>
      <c r="M285">
        <v>24.47</v>
      </c>
      <c r="N285">
        <f t="shared" si="4"/>
        <v>52.344999999999999</v>
      </c>
      <c r="AE285">
        <v>51.62</v>
      </c>
    </row>
    <row r="286" spans="1:31" x14ac:dyDescent="0.25">
      <c r="A286" t="s">
        <v>330</v>
      </c>
      <c r="B286">
        <v>51.46</v>
      </c>
      <c r="C286">
        <v>25.89</v>
      </c>
      <c r="D286">
        <v>10.24</v>
      </c>
      <c r="E286">
        <v>52.5</v>
      </c>
      <c r="F286">
        <v>30.92</v>
      </c>
      <c r="G286">
        <v>172.37</v>
      </c>
      <c r="H286">
        <v>120.82</v>
      </c>
      <c r="I286">
        <v>61.48</v>
      </c>
      <c r="J286">
        <v>128.19</v>
      </c>
      <c r="K286">
        <v>13.13</v>
      </c>
      <c r="L286">
        <v>14.06</v>
      </c>
      <c r="M286">
        <v>17.309999999999999</v>
      </c>
      <c r="N286">
        <f t="shared" si="4"/>
        <v>41.19</v>
      </c>
      <c r="AE286">
        <v>51.46</v>
      </c>
    </row>
    <row r="287" spans="1:31" x14ac:dyDescent="0.25">
      <c r="A287" t="s">
        <v>331</v>
      </c>
      <c r="B287">
        <v>83</v>
      </c>
      <c r="C287">
        <v>192.48</v>
      </c>
      <c r="D287">
        <v>1.08</v>
      </c>
      <c r="E287">
        <v>0.18</v>
      </c>
      <c r="F287">
        <v>36.11</v>
      </c>
      <c r="G287">
        <v>0.18</v>
      </c>
      <c r="H287">
        <v>104.64</v>
      </c>
      <c r="I287">
        <v>40.98</v>
      </c>
      <c r="J287">
        <v>60.34</v>
      </c>
      <c r="K287">
        <v>42.38</v>
      </c>
      <c r="L287">
        <v>17.52</v>
      </c>
      <c r="M287">
        <v>48.43</v>
      </c>
      <c r="N287">
        <f t="shared" si="4"/>
        <v>41.68</v>
      </c>
      <c r="AE287">
        <v>83</v>
      </c>
    </row>
    <row r="288" spans="1:31" x14ac:dyDescent="0.25">
      <c r="A288" t="s">
        <v>332</v>
      </c>
      <c r="B288">
        <v>51.36</v>
      </c>
      <c r="C288">
        <v>54.29</v>
      </c>
      <c r="D288">
        <v>10.039999999999999</v>
      </c>
      <c r="E288">
        <v>24.27</v>
      </c>
      <c r="F288">
        <v>40.19</v>
      </c>
      <c r="G288">
        <v>28.04</v>
      </c>
      <c r="H288">
        <v>109.4</v>
      </c>
      <c r="I288">
        <v>29.62</v>
      </c>
      <c r="J288">
        <v>113.98</v>
      </c>
      <c r="K288">
        <v>26.03</v>
      </c>
      <c r="L288">
        <v>136.33000000000001</v>
      </c>
      <c r="M288">
        <v>66.650000000000006</v>
      </c>
      <c r="N288">
        <f t="shared" si="4"/>
        <v>45.774999999999999</v>
      </c>
      <c r="AE288">
        <v>51.36</v>
      </c>
    </row>
    <row r="289" spans="1:31" x14ac:dyDescent="0.25">
      <c r="A289" t="s">
        <v>333</v>
      </c>
      <c r="B289">
        <v>81.75</v>
      </c>
      <c r="C289">
        <v>0.15</v>
      </c>
      <c r="D289">
        <v>0.27</v>
      </c>
      <c r="E289">
        <v>27.98</v>
      </c>
      <c r="F289">
        <v>13.93</v>
      </c>
      <c r="G289">
        <v>56.9</v>
      </c>
      <c r="H289">
        <v>131.59</v>
      </c>
      <c r="I289">
        <v>22.66</v>
      </c>
      <c r="J289">
        <v>38.46</v>
      </c>
      <c r="K289">
        <v>39.369999999999997</v>
      </c>
      <c r="L289">
        <v>18.239999999999998</v>
      </c>
      <c r="M289">
        <v>213.6</v>
      </c>
      <c r="N289">
        <f t="shared" si="4"/>
        <v>33.22</v>
      </c>
      <c r="AE289">
        <v>81.75</v>
      </c>
    </row>
    <row r="290" spans="1:31" x14ac:dyDescent="0.25">
      <c r="A290" t="s">
        <v>334</v>
      </c>
      <c r="B290">
        <v>83.17</v>
      </c>
      <c r="C290">
        <v>35.67</v>
      </c>
      <c r="D290">
        <v>70.12</v>
      </c>
      <c r="E290">
        <v>54.52</v>
      </c>
      <c r="F290">
        <v>7.8</v>
      </c>
      <c r="G290">
        <v>5.27</v>
      </c>
      <c r="H290">
        <v>22.51</v>
      </c>
      <c r="I290">
        <v>18.07</v>
      </c>
      <c r="J290">
        <v>66.23</v>
      </c>
      <c r="K290">
        <v>83.98</v>
      </c>
      <c r="L290">
        <v>5.59</v>
      </c>
      <c r="M290">
        <v>66.83</v>
      </c>
      <c r="N290">
        <f t="shared" si="4"/>
        <v>45.094999999999999</v>
      </c>
      <c r="AE290">
        <v>83.17</v>
      </c>
    </row>
    <row r="291" spans="1:31" x14ac:dyDescent="0.25">
      <c r="A291" t="s">
        <v>335</v>
      </c>
      <c r="B291">
        <v>81.89</v>
      </c>
      <c r="C291">
        <v>69.540000000000006</v>
      </c>
      <c r="D291">
        <v>449.79</v>
      </c>
      <c r="E291">
        <v>40.67</v>
      </c>
      <c r="F291">
        <v>84.84</v>
      </c>
      <c r="G291">
        <v>113.83</v>
      </c>
      <c r="H291">
        <v>43.84</v>
      </c>
      <c r="I291">
        <v>43.2</v>
      </c>
      <c r="J291">
        <v>233.71</v>
      </c>
      <c r="K291">
        <v>0.18</v>
      </c>
      <c r="L291">
        <v>18.09</v>
      </c>
      <c r="M291">
        <v>48.42</v>
      </c>
      <c r="N291">
        <f t="shared" si="4"/>
        <v>58.980000000000004</v>
      </c>
      <c r="AE291">
        <v>81.89</v>
      </c>
    </row>
    <row r="292" spans="1:31" x14ac:dyDescent="0.25">
      <c r="A292" t="s">
        <v>336</v>
      </c>
      <c r="B292">
        <v>81.78</v>
      </c>
      <c r="C292">
        <v>19.05</v>
      </c>
      <c r="D292">
        <v>22.92</v>
      </c>
      <c r="E292">
        <v>0.45</v>
      </c>
      <c r="F292">
        <v>81.349999999999994</v>
      </c>
      <c r="G292">
        <v>108.53</v>
      </c>
      <c r="H292">
        <v>79.260000000000005</v>
      </c>
      <c r="I292">
        <v>112.31</v>
      </c>
      <c r="J292">
        <v>112.28</v>
      </c>
      <c r="K292">
        <v>134.69999999999999</v>
      </c>
      <c r="L292">
        <v>40.630000000000003</v>
      </c>
      <c r="M292">
        <v>162.07</v>
      </c>
      <c r="N292">
        <f t="shared" si="4"/>
        <v>81.564999999999998</v>
      </c>
      <c r="AE292">
        <v>81.78</v>
      </c>
    </row>
    <row r="293" spans="1:31" x14ac:dyDescent="0.25">
      <c r="A293" t="s">
        <v>337</v>
      </c>
      <c r="B293">
        <v>50.42</v>
      </c>
      <c r="C293">
        <v>10.14</v>
      </c>
      <c r="D293">
        <v>64.16</v>
      </c>
      <c r="E293">
        <v>41.45</v>
      </c>
      <c r="F293">
        <v>28.76</v>
      </c>
      <c r="G293">
        <v>56.18</v>
      </c>
      <c r="H293">
        <v>36.880000000000003</v>
      </c>
      <c r="I293">
        <v>28.1</v>
      </c>
      <c r="J293">
        <v>37.770000000000003</v>
      </c>
      <c r="K293">
        <v>59.33</v>
      </c>
      <c r="L293">
        <v>81.900000000000006</v>
      </c>
      <c r="M293">
        <v>69.150000000000006</v>
      </c>
      <c r="N293">
        <f t="shared" si="4"/>
        <v>45.935000000000002</v>
      </c>
      <c r="AE293">
        <v>50.42</v>
      </c>
    </row>
    <row r="294" spans="1:31" x14ac:dyDescent="0.25">
      <c r="A294" t="s">
        <v>338</v>
      </c>
      <c r="B294">
        <v>81.08</v>
      </c>
      <c r="C294">
        <v>73.55</v>
      </c>
      <c r="D294">
        <v>0.18</v>
      </c>
      <c r="E294">
        <v>135.66999999999999</v>
      </c>
      <c r="F294">
        <v>41</v>
      </c>
      <c r="G294">
        <v>107.52</v>
      </c>
      <c r="H294">
        <v>69.45</v>
      </c>
      <c r="I294">
        <v>23.04</v>
      </c>
      <c r="J294">
        <v>26.37</v>
      </c>
      <c r="K294">
        <v>20.350000000000001</v>
      </c>
      <c r="L294">
        <v>3.31</v>
      </c>
      <c r="M294">
        <v>24.33</v>
      </c>
      <c r="N294">
        <f t="shared" si="4"/>
        <v>33.685000000000002</v>
      </c>
      <c r="AE294">
        <v>81.08</v>
      </c>
    </row>
    <row r="295" spans="1:31" x14ac:dyDescent="0.25">
      <c r="A295" t="s">
        <v>339</v>
      </c>
      <c r="B295">
        <v>50.45</v>
      </c>
      <c r="C295">
        <v>51.24</v>
      </c>
      <c r="D295">
        <v>66.2</v>
      </c>
      <c r="E295">
        <v>69.239999999999995</v>
      </c>
      <c r="F295">
        <v>11.71</v>
      </c>
      <c r="G295">
        <v>55.02</v>
      </c>
      <c r="H295">
        <v>60.94</v>
      </c>
      <c r="I295">
        <v>54.7</v>
      </c>
      <c r="J295">
        <v>57.95</v>
      </c>
      <c r="K295">
        <v>13.43</v>
      </c>
      <c r="L295">
        <v>39.93</v>
      </c>
      <c r="M295">
        <v>67.61</v>
      </c>
      <c r="N295">
        <f t="shared" si="4"/>
        <v>54.86</v>
      </c>
      <c r="AE295">
        <v>50.45</v>
      </c>
    </row>
    <row r="296" spans="1:31" x14ac:dyDescent="0.25">
      <c r="A296" t="s">
        <v>340</v>
      </c>
      <c r="B296">
        <v>50.38</v>
      </c>
      <c r="C296">
        <v>64.510000000000005</v>
      </c>
      <c r="D296">
        <v>32.229999999999997</v>
      </c>
      <c r="E296">
        <v>14.48</v>
      </c>
      <c r="F296">
        <v>57.46</v>
      </c>
      <c r="G296">
        <v>19.73</v>
      </c>
      <c r="H296">
        <v>20.41</v>
      </c>
      <c r="I296">
        <v>172.15</v>
      </c>
      <c r="J296">
        <v>38.950000000000003</v>
      </c>
      <c r="K296">
        <v>51.24</v>
      </c>
      <c r="L296">
        <v>39.42</v>
      </c>
      <c r="M296">
        <v>56.89</v>
      </c>
      <c r="N296">
        <f t="shared" si="4"/>
        <v>44.900000000000006</v>
      </c>
      <c r="AE296">
        <v>50.38</v>
      </c>
    </row>
    <row r="297" spans="1:31" x14ac:dyDescent="0.25">
      <c r="A297" t="s">
        <v>341</v>
      </c>
      <c r="B297">
        <v>50.21</v>
      </c>
      <c r="C297">
        <v>10.039999999999999</v>
      </c>
      <c r="D297">
        <v>69.150000000000006</v>
      </c>
      <c r="E297">
        <v>40.47</v>
      </c>
      <c r="F297">
        <v>79.22</v>
      </c>
      <c r="G297">
        <v>10.44</v>
      </c>
      <c r="H297">
        <v>74.069999999999993</v>
      </c>
      <c r="I297">
        <v>10.7</v>
      </c>
      <c r="J297">
        <v>19.46</v>
      </c>
      <c r="K297">
        <v>24.05</v>
      </c>
      <c r="L297">
        <v>85.07</v>
      </c>
      <c r="M297">
        <v>50.68</v>
      </c>
      <c r="N297">
        <f t="shared" si="4"/>
        <v>45.34</v>
      </c>
      <c r="AE297">
        <v>50.21</v>
      </c>
    </row>
    <row r="298" spans="1:31" x14ac:dyDescent="0.25">
      <c r="A298" t="s">
        <v>342</v>
      </c>
      <c r="B298">
        <v>50.35</v>
      </c>
      <c r="C298">
        <v>12.19</v>
      </c>
      <c r="D298">
        <v>87.18</v>
      </c>
      <c r="E298">
        <v>46.06</v>
      </c>
      <c r="F298">
        <v>101.92</v>
      </c>
      <c r="G298">
        <v>99.3</v>
      </c>
      <c r="H298">
        <v>11.37</v>
      </c>
      <c r="I298">
        <v>36.380000000000003</v>
      </c>
      <c r="J298">
        <v>23.61</v>
      </c>
      <c r="K298">
        <v>62.25</v>
      </c>
      <c r="L298">
        <v>38.83</v>
      </c>
      <c r="M298">
        <v>114.47</v>
      </c>
      <c r="N298">
        <f t="shared" si="4"/>
        <v>48.204999999999998</v>
      </c>
      <c r="AE298">
        <v>50.35</v>
      </c>
    </row>
    <row r="299" spans="1:31" x14ac:dyDescent="0.25">
      <c r="A299" t="s">
        <v>343</v>
      </c>
      <c r="B299">
        <v>50.34</v>
      </c>
      <c r="C299">
        <v>43.44</v>
      </c>
      <c r="D299">
        <v>47.36</v>
      </c>
      <c r="E299">
        <v>74.78</v>
      </c>
      <c r="F299">
        <v>26.28</v>
      </c>
      <c r="G299">
        <v>55.08</v>
      </c>
      <c r="H299">
        <v>12.41</v>
      </c>
      <c r="I299">
        <v>34.71</v>
      </c>
      <c r="J299">
        <v>37.32</v>
      </c>
      <c r="K299">
        <v>25.8</v>
      </c>
      <c r="L299">
        <v>31.47</v>
      </c>
      <c r="M299">
        <v>80.400000000000006</v>
      </c>
      <c r="N299">
        <f t="shared" si="4"/>
        <v>40.379999999999995</v>
      </c>
      <c r="AE299">
        <v>50.34</v>
      </c>
    </row>
    <row r="300" spans="1:31" x14ac:dyDescent="0.25">
      <c r="A300" t="s">
        <v>344</v>
      </c>
      <c r="B300">
        <v>80.3</v>
      </c>
      <c r="C300">
        <v>0.27</v>
      </c>
      <c r="D300">
        <v>88.49</v>
      </c>
      <c r="E300">
        <v>10.37</v>
      </c>
      <c r="F300">
        <v>65.569999999999993</v>
      </c>
      <c r="G300">
        <v>18.760000000000002</v>
      </c>
      <c r="H300">
        <v>105.06</v>
      </c>
      <c r="I300">
        <v>0.27</v>
      </c>
      <c r="J300">
        <v>11.9</v>
      </c>
      <c r="K300">
        <v>33.270000000000003</v>
      </c>
      <c r="L300">
        <v>13.88</v>
      </c>
      <c r="M300">
        <v>116.72</v>
      </c>
      <c r="N300">
        <f t="shared" si="4"/>
        <v>26.015000000000001</v>
      </c>
      <c r="AE300">
        <v>80.3</v>
      </c>
    </row>
    <row r="301" spans="1:31" x14ac:dyDescent="0.25">
      <c r="A301" t="s">
        <v>345</v>
      </c>
      <c r="B301">
        <v>79.97</v>
      </c>
      <c r="C301">
        <v>58.32</v>
      </c>
      <c r="D301">
        <v>165.06</v>
      </c>
      <c r="E301">
        <v>9.75</v>
      </c>
      <c r="F301">
        <v>11.25</v>
      </c>
      <c r="G301">
        <v>50.01</v>
      </c>
      <c r="H301">
        <v>27.56</v>
      </c>
      <c r="I301">
        <v>57.3</v>
      </c>
      <c r="J301">
        <v>0.63</v>
      </c>
      <c r="K301">
        <v>0</v>
      </c>
      <c r="L301">
        <v>59.35</v>
      </c>
      <c r="M301">
        <v>203.98</v>
      </c>
      <c r="N301">
        <f t="shared" si="4"/>
        <v>53.655000000000001</v>
      </c>
      <c r="AE301">
        <v>79.97</v>
      </c>
    </row>
    <row r="302" spans="1:31" x14ac:dyDescent="0.25">
      <c r="A302" t="s">
        <v>346</v>
      </c>
      <c r="B302">
        <v>49.6</v>
      </c>
      <c r="C302">
        <v>32.880000000000003</v>
      </c>
      <c r="D302">
        <v>30.25</v>
      </c>
      <c r="E302">
        <v>82.65</v>
      </c>
      <c r="F302">
        <v>95.44</v>
      </c>
      <c r="G302">
        <v>34.909999999999997</v>
      </c>
      <c r="H302">
        <v>37.33</v>
      </c>
      <c r="I302">
        <v>27.81</v>
      </c>
      <c r="J302">
        <v>38.090000000000003</v>
      </c>
      <c r="K302">
        <v>126.38</v>
      </c>
      <c r="L302">
        <v>39.9</v>
      </c>
      <c r="M302">
        <v>13.97</v>
      </c>
      <c r="N302">
        <f t="shared" si="4"/>
        <v>37.71</v>
      </c>
      <c r="AE302">
        <v>49.6</v>
      </c>
    </row>
    <row r="303" spans="1:31" x14ac:dyDescent="0.25">
      <c r="A303" t="s">
        <v>347</v>
      </c>
      <c r="B303">
        <v>78.98</v>
      </c>
      <c r="C303">
        <v>84.05</v>
      </c>
      <c r="D303">
        <v>3.82</v>
      </c>
      <c r="E303">
        <v>88.52</v>
      </c>
      <c r="F303">
        <v>78.2</v>
      </c>
      <c r="G303">
        <v>51.52</v>
      </c>
      <c r="H303">
        <v>13.28</v>
      </c>
      <c r="I303">
        <v>27.56</v>
      </c>
      <c r="J303">
        <v>66.989999999999995</v>
      </c>
      <c r="K303">
        <v>47.27</v>
      </c>
      <c r="L303">
        <v>16.29</v>
      </c>
      <c r="M303">
        <v>41</v>
      </c>
      <c r="N303">
        <f t="shared" si="4"/>
        <v>49.395000000000003</v>
      </c>
      <c r="AE303">
        <v>78.98</v>
      </c>
    </row>
    <row r="304" spans="1:31" x14ac:dyDescent="0.25">
      <c r="A304" t="s">
        <v>348</v>
      </c>
      <c r="B304">
        <v>50.25</v>
      </c>
      <c r="C304">
        <v>66.55</v>
      </c>
      <c r="D304">
        <v>111.06</v>
      </c>
      <c r="E304">
        <v>94.35</v>
      </c>
      <c r="F304">
        <v>114.53</v>
      </c>
      <c r="G304">
        <v>17.41</v>
      </c>
      <c r="H304">
        <v>46.09</v>
      </c>
      <c r="I304">
        <v>16.87</v>
      </c>
      <c r="J304">
        <v>14.82</v>
      </c>
      <c r="K304">
        <v>69.150000000000006</v>
      </c>
      <c r="L304">
        <v>21.9</v>
      </c>
      <c r="M304">
        <v>107.64</v>
      </c>
      <c r="N304">
        <f t="shared" si="4"/>
        <v>58.4</v>
      </c>
      <c r="AE304">
        <v>50.25</v>
      </c>
    </row>
    <row r="305" spans="1:31" x14ac:dyDescent="0.25">
      <c r="A305" t="s">
        <v>349</v>
      </c>
      <c r="B305">
        <v>49.59</v>
      </c>
      <c r="C305">
        <v>19.79</v>
      </c>
      <c r="D305">
        <v>35.659999999999997</v>
      </c>
      <c r="E305">
        <v>33.83</v>
      </c>
      <c r="F305">
        <v>41.56</v>
      </c>
      <c r="G305">
        <v>31.69</v>
      </c>
      <c r="H305">
        <v>189.61</v>
      </c>
      <c r="I305">
        <v>17.989999999999998</v>
      </c>
      <c r="J305">
        <v>47.76</v>
      </c>
      <c r="K305">
        <v>88.98</v>
      </c>
      <c r="L305">
        <v>46.98</v>
      </c>
      <c r="M305">
        <v>32.36</v>
      </c>
      <c r="N305">
        <f t="shared" si="4"/>
        <v>38.61</v>
      </c>
      <c r="AE305">
        <v>49.59</v>
      </c>
    </row>
    <row r="306" spans="1:31" x14ac:dyDescent="0.25">
      <c r="A306" t="s">
        <v>350</v>
      </c>
      <c r="B306">
        <v>79.22</v>
      </c>
      <c r="C306">
        <v>86.98</v>
      </c>
      <c r="D306">
        <v>131.54</v>
      </c>
      <c r="E306">
        <v>79.819999999999993</v>
      </c>
      <c r="F306">
        <v>30.98</v>
      </c>
      <c r="G306">
        <v>58.69</v>
      </c>
      <c r="H306">
        <v>269.27</v>
      </c>
      <c r="I306">
        <v>41.06</v>
      </c>
      <c r="J306">
        <v>208.24</v>
      </c>
      <c r="K306">
        <v>129.19999999999999</v>
      </c>
      <c r="L306">
        <v>66.36</v>
      </c>
      <c r="M306">
        <v>37.47</v>
      </c>
      <c r="N306">
        <f t="shared" si="4"/>
        <v>79.52</v>
      </c>
      <c r="AE306">
        <v>79.22</v>
      </c>
    </row>
    <row r="307" spans="1:31" x14ac:dyDescent="0.25">
      <c r="A307" t="s">
        <v>351</v>
      </c>
      <c r="B307">
        <v>49.24</v>
      </c>
      <c r="C307">
        <v>10.34</v>
      </c>
      <c r="D307">
        <v>10.039999999999999</v>
      </c>
      <c r="E307">
        <v>92.01</v>
      </c>
      <c r="F307">
        <v>91.28</v>
      </c>
      <c r="G307">
        <v>41.16</v>
      </c>
      <c r="H307">
        <v>43.74</v>
      </c>
      <c r="I307">
        <v>69.02</v>
      </c>
      <c r="J307">
        <v>11.18</v>
      </c>
      <c r="K307">
        <v>55.36</v>
      </c>
      <c r="L307">
        <v>39.979999999999997</v>
      </c>
      <c r="M307">
        <v>61.32</v>
      </c>
      <c r="N307">
        <f t="shared" si="4"/>
        <v>46.49</v>
      </c>
      <c r="AE307">
        <v>49.24</v>
      </c>
    </row>
    <row r="308" spans="1:31" x14ac:dyDescent="0.25">
      <c r="A308" t="s">
        <v>352</v>
      </c>
      <c r="B308">
        <v>49.12</v>
      </c>
      <c r="C308">
        <v>30.8</v>
      </c>
      <c r="D308">
        <v>119.58</v>
      </c>
      <c r="E308">
        <v>36.15</v>
      </c>
      <c r="F308">
        <v>35.29</v>
      </c>
      <c r="G308">
        <v>62.38</v>
      </c>
      <c r="H308">
        <v>32.32</v>
      </c>
      <c r="I308">
        <v>22.85</v>
      </c>
      <c r="J308">
        <v>17.09</v>
      </c>
      <c r="K308">
        <v>50.94</v>
      </c>
      <c r="L308">
        <v>88.99</v>
      </c>
      <c r="M308">
        <v>56.07</v>
      </c>
      <c r="N308">
        <f t="shared" si="4"/>
        <v>42.634999999999998</v>
      </c>
      <c r="AE308">
        <v>49.12</v>
      </c>
    </row>
    <row r="309" spans="1:31" x14ac:dyDescent="0.25">
      <c r="A309" t="s">
        <v>353</v>
      </c>
      <c r="B309">
        <v>49.37</v>
      </c>
      <c r="C309">
        <v>41.66</v>
      </c>
      <c r="D309">
        <v>39.86</v>
      </c>
      <c r="E309">
        <v>23.99</v>
      </c>
      <c r="F309">
        <v>20.82</v>
      </c>
      <c r="G309">
        <v>47.81</v>
      </c>
      <c r="H309">
        <v>17.059999999999999</v>
      </c>
      <c r="I309">
        <v>20.92</v>
      </c>
      <c r="J309">
        <v>34.5</v>
      </c>
      <c r="K309">
        <v>104.86</v>
      </c>
      <c r="L309">
        <v>100.35</v>
      </c>
      <c r="M309">
        <v>18.97</v>
      </c>
      <c r="N309">
        <f t="shared" si="4"/>
        <v>37.18</v>
      </c>
      <c r="AE309">
        <v>49.37</v>
      </c>
    </row>
    <row r="310" spans="1:31" x14ac:dyDescent="0.25">
      <c r="A310" t="s">
        <v>354</v>
      </c>
      <c r="B310">
        <v>49.34</v>
      </c>
      <c r="C310">
        <v>98.21</v>
      </c>
      <c r="D310">
        <v>56.69</v>
      </c>
      <c r="E310">
        <v>110.83</v>
      </c>
      <c r="F310">
        <v>10.14</v>
      </c>
      <c r="G310">
        <v>10.09</v>
      </c>
      <c r="H310">
        <v>46.04</v>
      </c>
      <c r="I310">
        <v>136.35</v>
      </c>
      <c r="J310">
        <v>40.200000000000003</v>
      </c>
      <c r="K310">
        <v>10.24</v>
      </c>
      <c r="L310">
        <v>22.27</v>
      </c>
      <c r="M310">
        <v>23.11</v>
      </c>
      <c r="N310">
        <f t="shared" si="4"/>
        <v>43.120000000000005</v>
      </c>
      <c r="AE310">
        <v>49.34</v>
      </c>
    </row>
    <row r="311" spans="1:31" x14ac:dyDescent="0.25">
      <c r="A311" t="s">
        <v>355</v>
      </c>
      <c r="B311">
        <v>78.209999999999994</v>
      </c>
      <c r="C311">
        <v>110.26</v>
      </c>
      <c r="D311">
        <v>5.61</v>
      </c>
      <c r="E311">
        <v>82.7</v>
      </c>
      <c r="F311">
        <v>20.73</v>
      </c>
      <c r="G311">
        <v>20.28</v>
      </c>
      <c r="H311">
        <v>37.69</v>
      </c>
      <c r="I311">
        <v>28.21</v>
      </c>
      <c r="J311">
        <v>136.22999999999999</v>
      </c>
      <c r="K311">
        <v>19.02</v>
      </c>
      <c r="L311">
        <v>12.42</v>
      </c>
      <c r="M311">
        <v>47.61</v>
      </c>
      <c r="N311">
        <f t="shared" si="4"/>
        <v>32.950000000000003</v>
      </c>
      <c r="AE311">
        <v>78.209999999999994</v>
      </c>
    </row>
    <row r="312" spans="1:31" x14ac:dyDescent="0.25">
      <c r="A312" t="s">
        <v>356</v>
      </c>
      <c r="B312">
        <v>49.21</v>
      </c>
      <c r="C312">
        <v>26.79</v>
      </c>
      <c r="D312">
        <v>66.849999999999994</v>
      </c>
      <c r="E312">
        <v>49.5</v>
      </c>
      <c r="F312">
        <v>59.06</v>
      </c>
      <c r="G312">
        <v>26.21</v>
      </c>
      <c r="H312">
        <v>24.38</v>
      </c>
      <c r="I312">
        <v>42.15</v>
      </c>
      <c r="J312">
        <v>20.85</v>
      </c>
      <c r="K312">
        <v>66.739999999999995</v>
      </c>
      <c r="L312">
        <v>35.57</v>
      </c>
      <c r="M312">
        <v>17.64</v>
      </c>
      <c r="N312">
        <f t="shared" si="4"/>
        <v>38.86</v>
      </c>
      <c r="AE312">
        <v>49.21</v>
      </c>
    </row>
    <row r="313" spans="1:31" x14ac:dyDescent="0.25">
      <c r="A313" t="s">
        <v>357</v>
      </c>
      <c r="B313">
        <v>77.38</v>
      </c>
      <c r="C313">
        <v>18.09</v>
      </c>
      <c r="D313">
        <v>55.61</v>
      </c>
      <c r="E313">
        <v>80.14</v>
      </c>
      <c r="F313">
        <v>0.72</v>
      </c>
      <c r="G313">
        <v>6.21</v>
      </c>
      <c r="H313">
        <v>1.48</v>
      </c>
      <c r="I313">
        <v>5.41</v>
      </c>
      <c r="J313">
        <v>246.19</v>
      </c>
      <c r="K313">
        <v>24.07</v>
      </c>
      <c r="L313">
        <v>48.53</v>
      </c>
      <c r="M313">
        <v>104.22</v>
      </c>
      <c r="N313">
        <f t="shared" si="4"/>
        <v>36.299999999999997</v>
      </c>
      <c r="AE313">
        <v>77.38</v>
      </c>
    </row>
    <row r="314" spans="1:31" x14ac:dyDescent="0.25">
      <c r="A314" t="s">
        <v>358</v>
      </c>
      <c r="B314">
        <v>48.67</v>
      </c>
      <c r="C314">
        <v>68.3</v>
      </c>
      <c r="D314">
        <v>27.89</v>
      </c>
      <c r="E314">
        <v>40.93</v>
      </c>
      <c r="F314">
        <v>91.27</v>
      </c>
      <c r="G314">
        <v>61.1</v>
      </c>
      <c r="H314">
        <v>27.21</v>
      </c>
      <c r="I314">
        <v>53.68</v>
      </c>
      <c r="J314">
        <v>38.270000000000003</v>
      </c>
      <c r="K314">
        <v>52.08</v>
      </c>
      <c r="L314">
        <v>40.880000000000003</v>
      </c>
      <c r="M314">
        <v>15.78</v>
      </c>
      <c r="N314">
        <f t="shared" si="4"/>
        <v>44.8</v>
      </c>
      <c r="AE314">
        <v>48.67</v>
      </c>
    </row>
    <row r="315" spans="1:31" x14ac:dyDescent="0.25">
      <c r="A315" t="s">
        <v>359</v>
      </c>
      <c r="B315">
        <v>48.63</v>
      </c>
      <c r="C315">
        <v>134.47</v>
      </c>
      <c r="D315">
        <v>11.77</v>
      </c>
      <c r="E315">
        <v>11.8</v>
      </c>
      <c r="F315">
        <v>10.09</v>
      </c>
      <c r="G315">
        <v>30.88</v>
      </c>
      <c r="H315">
        <v>28.03</v>
      </c>
      <c r="I315">
        <v>70.59</v>
      </c>
      <c r="J315">
        <v>42.37</v>
      </c>
      <c r="K315">
        <v>26.02</v>
      </c>
      <c r="L315">
        <v>61.96</v>
      </c>
      <c r="M315">
        <v>26.51</v>
      </c>
      <c r="N315">
        <f t="shared" si="4"/>
        <v>29.454999999999998</v>
      </c>
      <c r="AE315">
        <v>48.63</v>
      </c>
    </row>
    <row r="316" spans="1:31" x14ac:dyDescent="0.25">
      <c r="A316" t="s">
        <v>360</v>
      </c>
      <c r="B316">
        <v>48.45</v>
      </c>
      <c r="C316">
        <v>77.69</v>
      </c>
      <c r="D316">
        <v>35.94</v>
      </c>
      <c r="E316">
        <v>19.05</v>
      </c>
      <c r="F316">
        <v>47.82</v>
      </c>
      <c r="G316">
        <v>64.12</v>
      </c>
      <c r="H316">
        <v>10.34</v>
      </c>
      <c r="I316">
        <v>35.26</v>
      </c>
      <c r="J316">
        <v>55.13</v>
      </c>
      <c r="K316">
        <v>34.630000000000003</v>
      </c>
      <c r="L316">
        <v>40.06</v>
      </c>
      <c r="M316">
        <v>54.17</v>
      </c>
      <c r="N316">
        <f t="shared" si="4"/>
        <v>43.94</v>
      </c>
      <c r="AE316">
        <v>48.45</v>
      </c>
    </row>
    <row r="317" spans="1:31" x14ac:dyDescent="0.25">
      <c r="A317" t="s">
        <v>361</v>
      </c>
      <c r="B317">
        <v>76.849999999999994</v>
      </c>
      <c r="C317">
        <v>8.0500000000000007</v>
      </c>
      <c r="D317">
        <v>81.540000000000006</v>
      </c>
      <c r="E317">
        <v>0.54</v>
      </c>
      <c r="F317">
        <v>110.22</v>
      </c>
      <c r="G317">
        <v>10.08</v>
      </c>
      <c r="H317">
        <v>24.4</v>
      </c>
      <c r="I317">
        <v>19.39</v>
      </c>
      <c r="J317">
        <v>74.010000000000005</v>
      </c>
      <c r="K317">
        <v>276.79000000000002</v>
      </c>
      <c r="L317">
        <v>1.26</v>
      </c>
      <c r="M317">
        <v>5.49</v>
      </c>
      <c r="N317">
        <f t="shared" si="4"/>
        <v>21.895</v>
      </c>
      <c r="AE317">
        <v>76.849999999999994</v>
      </c>
    </row>
    <row r="318" spans="1:31" x14ac:dyDescent="0.25">
      <c r="A318" t="s">
        <v>362</v>
      </c>
      <c r="B318">
        <v>77.05</v>
      </c>
      <c r="C318">
        <v>81.23</v>
      </c>
      <c r="D318">
        <v>33.44</v>
      </c>
      <c r="E318">
        <v>48.68</v>
      </c>
      <c r="F318">
        <v>38.159999999999997</v>
      </c>
      <c r="G318">
        <v>16.09</v>
      </c>
      <c r="H318">
        <v>79.06</v>
      </c>
      <c r="I318">
        <v>373.21</v>
      </c>
      <c r="J318">
        <v>63.74</v>
      </c>
      <c r="K318">
        <v>52.03</v>
      </c>
      <c r="L318">
        <v>0.36</v>
      </c>
      <c r="M318">
        <v>9.6</v>
      </c>
      <c r="N318">
        <f t="shared" si="4"/>
        <v>50.355000000000004</v>
      </c>
      <c r="AE318">
        <v>77.05</v>
      </c>
    </row>
    <row r="319" spans="1:31" x14ac:dyDescent="0.25">
      <c r="A319" t="s">
        <v>363</v>
      </c>
      <c r="B319">
        <v>77.67</v>
      </c>
      <c r="C319">
        <v>9.4600000000000009</v>
      </c>
      <c r="D319">
        <v>165.15</v>
      </c>
      <c r="E319">
        <v>109.76</v>
      </c>
      <c r="F319">
        <v>16.37</v>
      </c>
      <c r="G319">
        <v>46.97</v>
      </c>
      <c r="H319">
        <v>53.3</v>
      </c>
      <c r="I319">
        <v>25.21</v>
      </c>
      <c r="J319">
        <v>118.61</v>
      </c>
      <c r="K319">
        <v>24.7</v>
      </c>
      <c r="L319">
        <v>48.61</v>
      </c>
      <c r="M319">
        <v>21.87</v>
      </c>
      <c r="N319">
        <f t="shared" si="4"/>
        <v>47.79</v>
      </c>
      <c r="AE319">
        <v>77.67</v>
      </c>
    </row>
    <row r="320" spans="1:31" x14ac:dyDescent="0.25">
      <c r="A320" t="s">
        <v>364</v>
      </c>
      <c r="B320">
        <v>48.06</v>
      </c>
      <c r="C320">
        <v>140.19999999999999</v>
      </c>
      <c r="D320">
        <v>114.86</v>
      </c>
      <c r="E320">
        <v>26.67</v>
      </c>
      <c r="F320">
        <v>22.59</v>
      </c>
      <c r="G320">
        <v>10.039999999999999</v>
      </c>
      <c r="H320">
        <v>27.05</v>
      </c>
      <c r="I320">
        <v>68.69</v>
      </c>
      <c r="J320">
        <v>96.24</v>
      </c>
      <c r="K320">
        <v>19.899999999999999</v>
      </c>
      <c r="L320">
        <v>18.43</v>
      </c>
      <c r="M320">
        <v>22.36</v>
      </c>
      <c r="N320">
        <f t="shared" si="4"/>
        <v>26.86</v>
      </c>
      <c r="AE320">
        <v>48.06</v>
      </c>
    </row>
    <row r="321" spans="1:31" x14ac:dyDescent="0.25">
      <c r="A321" t="s">
        <v>365</v>
      </c>
      <c r="B321">
        <v>48.22</v>
      </c>
      <c r="C321">
        <v>95.39</v>
      </c>
      <c r="D321">
        <v>46.92</v>
      </c>
      <c r="E321">
        <v>75.75</v>
      </c>
      <c r="F321">
        <v>39.43</v>
      </c>
      <c r="G321">
        <v>46.6</v>
      </c>
      <c r="H321">
        <v>100.06</v>
      </c>
      <c r="I321">
        <v>70.27</v>
      </c>
      <c r="J321">
        <v>105.44</v>
      </c>
      <c r="K321">
        <v>34.880000000000003</v>
      </c>
      <c r="L321">
        <v>92.95</v>
      </c>
      <c r="M321">
        <v>39.4</v>
      </c>
      <c r="N321">
        <f t="shared" si="4"/>
        <v>59.244999999999997</v>
      </c>
      <c r="AE321">
        <v>48.22</v>
      </c>
    </row>
    <row r="322" spans="1:31" x14ac:dyDescent="0.25">
      <c r="A322" t="s">
        <v>366</v>
      </c>
      <c r="B322">
        <v>48.15</v>
      </c>
      <c r="C322">
        <v>11.89</v>
      </c>
      <c r="D322">
        <v>26.6</v>
      </c>
      <c r="E322">
        <v>97.08</v>
      </c>
      <c r="F322">
        <v>47.8</v>
      </c>
      <c r="G322">
        <v>9.99</v>
      </c>
      <c r="H322">
        <v>36.24</v>
      </c>
      <c r="I322">
        <v>99.11</v>
      </c>
      <c r="J322">
        <v>18.16</v>
      </c>
      <c r="K322">
        <v>21.02</v>
      </c>
      <c r="L322">
        <v>116.85</v>
      </c>
      <c r="M322">
        <v>31.94</v>
      </c>
      <c r="N322">
        <f t="shared" si="4"/>
        <v>34.090000000000003</v>
      </c>
      <c r="AE322">
        <v>48.15</v>
      </c>
    </row>
    <row r="323" spans="1:31" x14ac:dyDescent="0.25">
      <c r="A323" t="s">
        <v>367</v>
      </c>
      <c r="B323">
        <v>75.87</v>
      </c>
      <c r="C323">
        <v>17.98</v>
      </c>
      <c r="D323">
        <v>38.99</v>
      </c>
      <c r="E323">
        <v>21.69</v>
      </c>
      <c r="F323">
        <v>31.62</v>
      </c>
      <c r="G323">
        <v>37.590000000000003</v>
      </c>
      <c r="H323">
        <v>115.19</v>
      </c>
      <c r="I323">
        <v>56.19</v>
      </c>
      <c r="J323">
        <v>54.28</v>
      </c>
      <c r="K323">
        <v>135.49</v>
      </c>
      <c r="L323">
        <v>22.04</v>
      </c>
      <c r="M323">
        <v>87.82</v>
      </c>
      <c r="N323">
        <f t="shared" ref="N323:N386" si="5">MEDIAN(B323:M323)</f>
        <v>46.635000000000005</v>
      </c>
      <c r="AE323">
        <v>75.87</v>
      </c>
    </row>
    <row r="324" spans="1:31" x14ac:dyDescent="0.25">
      <c r="A324" t="s">
        <v>368</v>
      </c>
      <c r="B324">
        <v>76.680000000000007</v>
      </c>
      <c r="C324">
        <v>24.11</v>
      </c>
      <c r="D324">
        <v>111.62</v>
      </c>
      <c r="E324">
        <v>11.81</v>
      </c>
      <c r="F324">
        <v>174.77</v>
      </c>
      <c r="G324">
        <v>41.43</v>
      </c>
      <c r="H324">
        <v>72.540000000000006</v>
      </c>
      <c r="I324">
        <v>10.57</v>
      </c>
      <c r="J324">
        <v>29.04</v>
      </c>
      <c r="K324">
        <v>28.63</v>
      </c>
      <c r="L324">
        <v>36.25</v>
      </c>
      <c r="M324">
        <v>0.9</v>
      </c>
      <c r="N324">
        <f t="shared" si="5"/>
        <v>32.644999999999996</v>
      </c>
      <c r="AE324">
        <v>76.680000000000007</v>
      </c>
    </row>
    <row r="325" spans="1:31" x14ac:dyDescent="0.25">
      <c r="A325" t="s">
        <v>369</v>
      </c>
      <c r="B325">
        <v>47.86</v>
      </c>
      <c r="C325">
        <v>29.27</v>
      </c>
      <c r="D325">
        <v>123.25</v>
      </c>
      <c r="E325">
        <v>22.31</v>
      </c>
      <c r="F325">
        <v>36.03</v>
      </c>
      <c r="G325">
        <v>18.78</v>
      </c>
      <c r="H325">
        <v>64.17</v>
      </c>
      <c r="I325">
        <v>10.24</v>
      </c>
      <c r="J325">
        <v>10.19</v>
      </c>
      <c r="K325">
        <v>66.98</v>
      </c>
      <c r="L325">
        <v>33.47</v>
      </c>
      <c r="M325">
        <v>31.43</v>
      </c>
      <c r="N325">
        <f t="shared" si="5"/>
        <v>32.450000000000003</v>
      </c>
      <c r="AE325">
        <v>47.86</v>
      </c>
    </row>
    <row r="326" spans="1:31" x14ac:dyDescent="0.25">
      <c r="A326" t="s">
        <v>370</v>
      </c>
      <c r="B326">
        <v>48.01</v>
      </c>
      <c r="C326">
        <v>10.34</v>
      </c>
      <c r="D326">
        <v>21.9</v>
      </c>
      <c r="E326">
        <v>45.71</v>
      </c>
      <c r="F326">
        <v>87.58</v>
      </c>
      <c r="G326">
        <v>10.039999999999999</v>
      </c>
      <c r="H326">
        <v>76.53</v>
      </c>
      <c r="I326">
        <v>32.82</v>
      </c>
      <c r="J326">
        <v>85.17</v>
      </c>
      <c r="K326">
        <v>74.650000000000006</v>
      </c>
      <c r="L326">
        <v>93.84</v>
      </c>
      <c r="M326">
        <v>66.34</v>
      </c>
      <c r="N326">
        <f t="shared" si="5"/>
        <v>57.174999999999997</v>
      </c>
      <c r="AE326">
        <v>48.01</v>
      </c>
    </row>
    <row r="327" spans="1:31" x14ac:dyDescent="0.25">
      <c r="A327" t="s">
        <v>371</v>
      </c>
      <c r="B327">
        <v>75.91</v>
      </c>
      <c r="C327">
        <v>191.41</v>
      </c>
      <c r="D327">
        <v>21.41</v>
      </c>
      <c r="E327">
        <v>0.09</v>
      </c>
      <c r="F327">
        <v>20.02</v>
      </c>
      <c r="G327">
        <v>56.89</v>
      </c>
      <c r="H327">
        <v>85.63</v>
      </c>
      <c r="I327">
        <v>61.55</v>
      </c>
      <c r="J327">
        <v>39.799999999999997</v>
      </c>
      <c r="K327">
        <v>25.6</v>
      </c>
      <c r="L327">
        <v>45.4</v>
      </c>
      <c r="M327">
        <v>49.67</v>
      </c>
      <c r="N327">
        <f t="shared" si="5"/>
        <v>47.534999999999997</v>
      </c>
      <c r="AE327">
        <v>75.91</v>
      </c>
    </row>
    <row r="328" spans="1:31" x14ac:dyDescent="0.25">
      <c r="A328" t="s">
        <v>372</v>
      </c>
      <c r="B328">
        <v>75.180000000000007</v>
      </c>
      <c r="C328">
        <v>145.49</v>
      </c>
      <c r="D328">
        <v>128.29</v>
      </c>
      <c r="E328">
        <v>0.27</v>
      </c>
      <c r="F328">
        <v>15.26</v>
      </c>
      <c r="G328">
        <v>47.46</v>
      </c>
      <c r="H328">
        <v>13.56</v>
      </c>
      <c r="I328">
        <v>26.89</v>
      </c>
      <c r="J328">
        <v>210.54</v>
      </c>
      <c r="K328">
        <v>23.76</v>
      </c>
      <c r="L328">
        <v>55.58</v>
      </c>
      <c r="M328">
        <v>46.25</v>
      </c>
      <c r="N328">
        <f t="shared" si="5"/>
        <v>46.855000000000004</v>
      </c>
      <c r="AE328">
        <v>75.180000000000007</v>
      </c>
    </row>
    <row r="329" spans="1:31" x14ac:dyDescent="0.25">
      <c r="A329" t="s">
        <v>373</v>
      </c>
      <c r="B329">
        <v>75.58</v>
      </c>
      <c r="C329">
        <v>32.36</v>
      </c>
      <c r="D329">
        <v>39.29</v>
      </c>
      <c r="E329">
        <v>111.94</v>
      </c>
      <c r="F329">
        <v>129.56</v>
      </c>
      <c r="G329">
        <v>8</v>
      </c>
      <c r="H329">
        <v>62.73</v>
      </c>
      <c r="I329">
        <v>0</v>
      </c>
      <c r="J329">
        <v>18.989999999999998</v>
      </c>
      <c r="K329">
        <v>51.63</v>
      </c>
      <c r="L329">
        <v>2.4</v>
      </c>
      <c r="M329">
        <v>4.83</v>
      </c>
      <c r="N329">
        <f t="shared" si="5"/>
        <v>35.825000000000003</v>
      </c>
      <c r="AE329">
        <v>75.58</v>
      </c>
    </row>
    <row r="330" spans="1:31" x14ac:dyDescent="0.25">
      <c r="A330" t="s">
        <v>374</v>
      </c>
      <c r="B330">
        <v>74.849999999999994</v>
      </c>
      <c r="C330">
        <v>73.540000000000006</v>
      </c>
      <c r="D330">
        <v>61.06</v>
      </c>
      <c r="E330">
        <v>46.07</v>
      </c>
      <c r="F330">
        <v>0.81</v>
      </c>
      <c r="G330">
        <v>24.26</v>
      </c>
      <c r="H330">
        <v>0</v>
      </c>
      <c r="I330">
        <v>39.86</v>
      </c>
      <c r="J330">
        <v>43.68</v>
      </c>
      <c r="K330">
        <v>96.39</v>
      </c>
      <c r="L330">
        <v>109.25</v>
      </c>
      <c r="M330">
        <v>24.8</v>
      </c>
      <c r="N330">
        <f t="shared" si="5"/>
        <v>44.875</v>
      </c>
      <c r="AE330">
        <v>74.849999999999994</v>
      </c>
    </row>
    <row r="331" spans="1:31" x14ac:dyDescent="0.25">
      <c r="A331" t="s">
        <v>375</v>
      </c>
      <c r="B331">
        <v>74.989999999999995</v>
      </c>
      <c r="C331">
        <v>23.22</v>
      </c>
      <c r="D331">
        <v>29.79</v>
      </c>
      <c r="E331">
        <v>61.01</v>
      </c>
      <c r="F331">
        <v>71.98</v>
      </c>
      <c r="G331">
        <v>3.98</v>
      </c>
      <c r="H331">
        <v>53.58</v>
      </c>
      <c r="I331">
        <v>131.53</v>
      </c>
      <c r="J331">
        <v>24.88</v>
      </c>
      <c r="K331">
        <v>25.23</v>
      </c>
      <c r="L331">
        <v>12.69</v>
      </c>
      <c r="M331">
        <v>0.18</v>
      </c>
      <c r="N331">
        <f t="shared" si="5"/>
        <v>27.509999999999998</v>
      </c>
      <c r="AE331">
        <v>74.989999999999995</v>
      </c>
    </row>
    <row r="332" spans="1:31" x14ac:dyDescent="0.25">
      <c r="A332" t="s">
        <v>376</v>
      </c>
      <c r="B332">
        <v>74.38</v>
      </c>
      <c r="C332">
        <v>24.92</v>
      </c>
      <c r="D332">
        <v>56.72</v>
      </c>
      <c r="E332">
        <v>58.65</v>
      </c>
      <c r="F332">
        <v>128.06</v>
      </c>
      <c r="G332">
        <v>85.72</v>
      </c>
      <c r="H332">
        <v>13.84</v>
      </c>
      <c r="I332">
        <v>24.22</v>
      </c>
      <c r="J332">
        <v>5.74</v>
      </c>
      <c r="K332">
        <v>16.079999999999998</v>
      </c>
      <c r="L332">
        <v>28.5</v>
      </c>
      <c r="M332">
        <v>130.47</v>
      </c>
      <c r="N332">
        <f t="shared" si="5"/>
        <v>42.61</v>
      </c>
      <c r="AE332">
        <v>74.38</v>
      </c>
    </row>
    <row r="333" spans="1:31" x14ac:dyDescent="0.25">
      <c r="A333" t="s">
        <v>377</v>
      </c>
      <c r="B333">
        <v>47.51</v>
      </c>
      <c r="C333">
        <v>33.9</v>
      </c>
      <c r="D333">
        <v>38.17</v>
      </c>
      <c r="E333">
        <v>47.51</v>
      </c>
      <c r="F333">
        <v>64.44</v>
      </c>
      <c r="G333">
        <v>91.11</v>
      </c>
      <c r="H333">
        <v>10.29</v>
      </c>
      <c r="I333">
        <v>50.04</v>
      </c>
      <c r="J333">
        <v>10.54</v>
      </c>
      <c r="K333">
        <v>12.52</v>
      </c>
      <c r="L333">
        <v>42.62</v>
      </c>
      <c r="M333">
        <v>38.75</v>
      </c>
      <c r="N333">
        <f t="shared" si="5"/>
        <v>40.685000000000002</v>
      </c>
      <c r="AE333">
        <v>47.51</v>
      </c>
    </row>
    <row r="334" spans="1:31" x14ac:dyDescent="0.25">
      <c r="A334" t="s">
        <v>378</v>
      </c>
      <c r="B334">
        <v>73.98</v>
      </c>
      <c r="C334">
        <v>36.090000000000003</v>
      </c>
      <c r="D334">
        <v>5.54</v>
      </c>
      <c r="E334">
        <v>3.74</v>
      </c>
      <c r="F334">
        <v>235.57</v>
      </c>
      <c r="G334">
        <v>69.930000000000007</v>
      </c>
      <c r="H334">
        <v>80.42</v>
      </c>
      <c r="I334">
        <v>39.020000000000003</v>
      </c>
      <c r="J334">
        <v>37.049999999999997</v>
      </c>
      <c r="K334">
        <v>0.72</v>
      </c>
      <c r="L334">
        <v>432.72</v>
      </c>
      <c r="M334">
        <v>96</v>
      </c>
      <c r="N334">
        <f t="shared" si="5"/>
        <v>54.475000000000009</v>
      </c>
      <c r="AE334">
        <v>73.98</v>
      </c>
    </row>
    <row r="335" spans="1:31" x14ac:dyDescent="0.25">
      <c r="A335" t="s">
        <v>379</v>
      </c>
      <c r="B335">
        <v>46.97</v>
      </c>
      <c r="C335">
        <v>65.349999999999994</v>
      </c>
      <c r="D335">
        <v>30.57</v>
      </c>
      <c r="E335">
        <v>23.99</v>
      </c>
      <c r="F335">
        <v>31.07</v>
      </c>
      <c r="G335">
        <v>86.31</v>
      </c>
      <c r="H335">
        <v>16.57</v>
      </c>
      <c r="I335">
        <v>36.61</v>
      </c>
      <c r="J335">
        <v>31.71</v>
      </c>
      <c r="K335">
        <v>36.01</v>
      </c>
      <c r="L335">
        <v>86.59</v>
      </c>
      <c r="M335">
        <v>74.03</v>
      </c>
      <c r="N335">
        <f t="shared" si="5"/>
        <v>36.31</v>
      </c>
      <c r="AE335">
        <v>46.97</v>
      </c>
    </row>
    <row r="336" spans="1:31" x14ac:dyDescent="0.25">
      <c r="A336" t="s">
        <v>380</v>
      </c>
      <c r="B336">
        <v>46.97</v>
      </c>
      <c r="C336">
        <v>56.21</v>
      </c>
      <c r="D336">
        <v>45.63</v>
      </c>
      <c r="E336">
        <v>9.99</v>
      </c>
      <c r="F336">
        <v>11.18</v>
      </c>
      <c r="G336">
        <v>17.350000000000001</v>
      </c>
      <c r="H336">
        <v>22.03</v>
      </c>
      <c r="I336">
        <v>169.78</v>
      </c>
      <c r="J336">
        <v>33.53</v>
      </c>
      <c r="K336">
        <v>17.22</v>
      </c>
      <c r="L336">
        <v>19.32</v>
      </c>
      <c r="M336">
        <v>46.55</v>
      </c>
      <c r="N336">
        <f t="shared" si="5"/>
        <v>27.78</v>
      </c>
      <c r="AE336">
        <v>46.97</v>
      </c>
    </row>
    <row r="337" spans="1:31" x14ac:dyDescent="0.25">
      <c r="A337" t="s">
        <v>381</v>
      </c>
      <c r="B337">
        <v>73.290000000000006</v>
      </c>
      <c r="C337">
        <v>17.010000000000002</v>
      </c>
      <c r="D337">
        <v>95.15</v>
      </c>
      <c r="E337">
        <v>49.32</v>
      </c>
      <c r="F337">
        <v>32.229999999999997</v>
      </c>
      <c r="G337">
        <v>34.44</v>
      </c>
      <c r="H337">
        <v>175.84</v>
      </c>
      <c r="I337">
        <v>26.06</v>
      </c>
      <c r="J337">
        <v>34.42</v>
      </c>
      <c r="K337">
        <v>15.26</v>
      </c>
      <c r="L337">
        <v>0.54</v>
      </c>
      <c r="M337">
        <v>0.56000000000000005</v>
      </c>
      <c r="N337">
        <f t="shared" si="5"/>
        <v>33.325000000000003</v>
      </c>
      <c r="AE337">
        <v>73.290000000000006</v>
      </c>
    </row>
    <row r="338" spans="1:31" x14ac:dyDescent="0.25">
      <c r="A338" t="s">
        <v>382</v>
      </c>
      <c r="B338">
        <v>72.7</v>
      </c>
      <c r="C338">
        <v>100.4</v>
      </c>
      <c r="D338">
        <v>53.35</v>
      </c>
      <c r="E338">
        <v>74.27</v>
      </c>
      <c r="F338">
        <v>63.07</v>
      </c>
      <c r="G338">
        <v>7.76</v>
      </c>
      <c r="H338">
        <v>93.61</v>
      </c>
      <c r="I338">
        <v>44.61</v>
      </c>
      <c r="J338">
        <v>55.42</v>
      </c>
      <c r="K338">
        <v>135.96</v>
      </c>
      <c r="L338">
        <v>0.18</v>
      </c>
      <c r="M338">
        <v>19.11</v>
      </c>
      <c r="N338">
        <f t="shared" si="5"/>
        <v>59.245000000000005</v>
      </c>
      <c r="AE338">
        <v>72.7</v>
      </c>
    </row>
    <row r="339" spans="1:31" x14ac:dyDescent="0.25">
      <c r="A339" t="s">
        <v>383</v>
      </c>
      <c r="B339">
        <v>72.540000000000006</v>
      </c>
      <c r="C339">
        <v>80.48</v>
      </c>
      <c r="D339">
        <v>83.56</v>
      </c>
      <c r="E339">
        <v>13.85</v>
      </c>
      <c r="F339">
        <v>46.87</v>
      </c>
      <c r="G339">
        <v>6.32</v>
      </c>
      <c r="H339">
        <v>113.32</v>
      </c>
      <c r="I339">
        <v>132.82</v>
      </c>
      <c r="J339">
        <v>32.869999999999997</v>
      </c>
      <c r="K339">
        <v>27.08</v>
      </c>
      <c r="L339">
        <v>39.11</v>
      </c>
      <c r="M339">
        <v>19.8</v>
      </c>
      <c r="N339">
        <f t="shared" si="5"/>
        <v>42.989999999999995</v>
      </c>
      <c r="AE339">
        <v>72.540000000000006</v>
      </c>
    </row>
    <row r="340" spans="1:31" x14ac:dyDescent="0.25">
      <c r="A340" t="s">
        <v>384</v>
      </c>
      <c r="B340">
        <v>46.09</v>
      </c>
      <c r="C340">
        <v>31.79</v>
      </c>
      <c r="D340">
        <v>19.2</v>
      </c>
      <c r="E340">
        <v>10.44</v>
      </c>
      <c r="F340">
        <v>63.52</v>
      </c>
      <c r="G340">
        <v>32.729999999999997</v>
      </c>
      <c r="H340">
        <v>25.02</v>
      </c>
      <c r="I340">
        <v>52.61</v>
      </c>
      <c r="J340">
        <v>67.540000000000006</v>
      </c>
      <c r="K340">
        <v>17.97</v>
      </c>
      <c r="L340">
        <v>82.74</v>
      </c>
      <c r="M340">
        <v>51.83</v>
      </c>
      <c r="N340">
        <f t="shared" si="5"/>
        <v>39.409999999999997</v>
      </c>
      <c r="AE340">
        <v>46.09</v>
      </c>
    </row>
    <row r="341" spans="1:31" x14ac:dyDescent="0.25">
      <c r="A341" t="s">
        <v>385</v>
      </c>
      <c r="B341">
        <v>46.11</v>
      </c>
      <c r="C341">
        <v>72.25</v>
      </c>
      <c r="D341">
        <v>66.81</v>
      </c>
      <c r="E341">
        <v>16.47</v>
      </c>
      <c r="F341">
        <v>131.52000000000001</v>
      </c>
      <c r="G341">
        <v>10.09</v>
      </c>
      <c r="H341">
        <v>18.309999999999999</v>
      </c>
      <c r="I341">
        <v>25.97</v>
      </c>
      <c r="J341">
        <v>11.99</v>
      </c>
      <c r="K341">
        <v>33.979999999999997</v>
      </c>
      <c r="L341">
        <v>52.27</v>
      </c>
      <c r="M341">
        <v>82.09</v>
      </c>
      <c r="N341">
        <f t="shared" si="5"/>
        <v>40.045000000000002</v>
      </c>
      <c r="AE341">
        <v>46.11</v>
      </c>
    </row>
    <row r="342" spans="1:31" x14ac:dyDescent="0.25">
      <c r="A342" t="s">
        <v>386</v>
      </c>
      <c r="B342">
        <v>46.42</v>
      </c>
      <c r="C342">
        <v>23.02</v>
      </c>
      <c r="D342">
        <v>17.559999999999999</v>
      </c>
      <c r="E342">
        <v>22.12</v>
      </c>
      <c r="F342">
        <v>114.48</v>
      </c>
      <c r="G342">
        <v>20.47</v>
      </c>
      <c r="H342">
        <v>59.41</v>
      </c>
      <c r="I342">
        <v>47.19</v>
      </c>
      <c r="J342">
        <v>9.99</v>
      </c>
      <c r="K342">
        <v>118.47</v>
      </c>
      <c r="L342">
        <v>25.11</v>
      </c>
      <c r="M342">
        <v>14.76</v>
      </c>
      <c r="N342">
        <f t="shared" si="5"/>
        <v>24.064999999999998</v>
      </c>
      <c r="AE342">
        <v>46.42</v>
      </c>
    </row>
    <row r="343" spans="1:31" x14ac:dyDescent="0.25">
      <c r="A343" t="s">
        <v>387</v>
      </c>
      <c r="B343">
        <v>46.17</v>
      </c>
      <c r="C343">
        <v>108.61</v>
      </c>
      <c r="D343">
        <v>33.61</v>
      </c>
      <c r="E343">
        <v>154.46</v>
      </c>
      <c r="F343">
        <v>46.03</v>
      </c>
      <c r="G343">
        <v>139.57</v>
      </c>
      <c r="H343">
        <v>10.34</v>
      </c>
      <c r="I343">
        <v>51.8</v>
      </c>
      <c r="J343">
        <v>68.98</v>
      </c>
      <c r="K343">
        <v>10.14</v>
      </c>
      <c r="L343">
        <v>35.1</v>
      </c>
      <c r="M343">
        <v>68.39</v>
      </c>
      <c r="N343">
        <f t="shared" si="5"/>
        <v>48.984999999999999</v>
      </c>
      <c r="AE343">
        <v>46.17</v>
      </c>
    </row>
    <row r="344" spans="1:31" x14ac:dyDescent="0.25">
      <c r="A344" t="s">
        <v>388</v>
      </c>
      <c r="B344">
        <v>71.88</v>
      </c>
      <c r="C344">
        <v>88.21</v>
      </c>
      <c r="D344">
        <v>13.66</v>
      </c>
      <c r="E344">
        <v>57.77</v>
      </c>
      <c r="F344">
        <v>114.53</v>
      </c>
      <c r="G344">
        <v>108.13</v>
      </c>
      <c r="H344">
        <v>21.65</v>
      </c>
      <c r="I344">
        <v>40.880000000000003</v>
      </c>
      <c r="J344">
        <v>22.39</v>
      </c>
      <c r="K344">
        <v>0.27</v>
      </c>
      <c r="L344">
        <v>27.2</v>
      </c>
      <c r="M344">
        <v>110.36</v>
      </c>
      <c r="N344">
        <f t="shared" si="5"/>
        <v>49.325000000000003</v>
      </c>
      <c r="AE344">
        <v>71.88</v>
      </c>
    </row>
    <row r="345" spans="1:31" x14ac:dyDescent="0.25">
      <c r="A345" t="s">
        <v>389</v>
      </c>
      <c r="B345">
        <v>72.22</v>
      </c>
      <c r="C345">
        <v>112.24</v>
      </c>
      <c r="D345">
        <v>25.89</v>
      </c>
      <c r="E345">
        <v>27.92</v>
      </c>
      <c r="F345">
        <v>4.76</v>
      </c>
      <c r="G345">
        <v>148.86000000000001</v>
      </c>
      <c r="H345">
        <v>13.67</v>
      </c>
      <c r="I345">
        <v>59.63</v>
      </c>
      <c r="J345">
        <v>67.260000000000005</v>
      </c>
      <c r="K345">
        <v>73.42</v>
      </c>
      <c r="L345">
        <v>16.5</v>
      </c>
      <c r="M345">
        <v>53.75</v>
      </c>
      <c r="N345">
        <f t="shared" si="5"/>
        <v>56.69</v>
      </c>
      <c r="AE345">
        <v>72.22</v>
      </c>
    </row>
    <row r="346" spans="1:31" x14ac:dyDescent="0.25">
      <c r="A346" t="s">
        <v>390</v>
      </c>
      <c r="B346">
        <v>45.68</v>
      </c>
      <c r="C346">
        <v>20.23</v>
      </c>
      <c r="D346">
        <v>76.91</v>
      </c>
      <c r="E346">
        <v>127.65</v>
      </c>
      <c r="F346">
        <v>46.65</v>
      </c>
      <c r="G346">
        <v>41.83</v>
      </c>
      <c r="H346">
        <v>81.93</v>
      </c>
      <c r="I346">
        <v>10.29</v>
      </c>
      <c r="J346">
        <v>19.940000000000001</v>
      </c>
      <c r="K346">
        <v>77.89</v>
      </c>
      <c r="L346">
        <v>56.63</v>
      </c>
      <c r="M346">
        <v>37.89</v>
      </c>
      <c r="N346">
        <f t="shared" si="5"/>
        <v>46.164999999999999</v>
      </c>
      <c r="AE346">
        <v>45.68</v>
      </c>
    </row>
    <row r="347" spans="1:31" x14ac:dyDescent="0.25">
      <c r="A347" t="s">
        <v>391</v>
      </c>
      <c r="B347">
        <v>70.83</v>
      </c>
      <c r="C347">
        <v>78.06</v>
      </c>
      <c r="D347">
        <v>2.96</v>
      </c>
      <c r="E347">
        <v>177.06</v>
      </c>
      <c r="F347">
        <v>30.8</v>
      </c>
      <c r="G347">
        <v>25.57</v>
      </c>
      <c r="H347">
        <v>11.22</v>
      </c>
      <c r="I347">
        <v>11.86</v>
      </c>
      <c r="J347">
        <v>22.65</v>
      </c>
      <c r="K347">
        <v>97.91</v>
      </c>
      <c r="L347">
        <v>60.41</v>
      </c>
      <c r="M347">
        <v>33.75</v>
      </c>
      <c r="N347">
        <f t="shared" si="5"/>
        <v>32.274999999999999</v>
      </c>
      <c r="AE347">
        <v>70.83</v>
      </c>
    </row>
    <row r="348" spans="1:31" x14ac:dyDescent="0.25">
      <c r="A348" t="s">
        <v>392</v>
      </c>
      <c r="B348">
        <v>45.55</v>
      </c>
      <c r="C348">
        <v>68.8</v>
      </c>
      <c r="D348">
        <v>12.18</v>
      </c>
      <c r="E348">
        <v>45.58</v>
      </c>
      <c r="F348">
        <v>25.01</v>
      </c>
      <c r="G348">
        <v>19.98</v>
      </c>
      <c r="H348">
        <v>50.25</v>
      </c>
      <c r="I348">
        <v>185.29</v>
      </c>
      <c r="J348">
        <v>29.41</v>
      </c>
      <c r="K348">
        <v>29.67</v>
      </c>
      <c r="L348">
        <v>16.809999999999999</v>
      </c>
      <c r="M348">
        <v>89.49</v>
      </c>
      <c r="N348">
        <f t="shared" si="5"/>
        <v>37.61</v>
      </c>
      <c r="AE348">
        <v>45.55</v>
      </c>
    </row>
    <row r="349" spans="1:31" x14ac:dyDescent="0.25">
      <c r="A349" t="s">
        <v>393</v>
      </c>
      <c r="B349">
        <v>70.930000000000007</v>
      </c>
      <c r="C349">
        <v>0.45</v>
      </c>
      <c r="D349">
        <v>20.13</v>
      </c>
      <c r="E349">
        <v>29.89</v>
      </c>
      <c r="F349">
        <v>23.61</v>
      </c>
      <c r="G349">
        <v>86.58</v>
      </c>
      <c r="H349">
        <v>48.94</v>
      </c>
      <c r="I349">
        <v>15.1</v>
      </c>
      <c r="J349">
        <v>324.55</v>
      </c>
      <c r="K349">
        <v>39.130000000000003</v>
      </c>
      <c r="L349">
        <v>10.01</v>
      </c>
      <c r="M349">
        <v>0.45</v>
      </c>
      <c r="N349">
        <f t="shared" si="5"/>
        <v>26.75</v>
      </c>
      <c r="AE349">
        <v>70.930000000000007</v>
      </c>
    </row>
    <row r="350" spans="1:31" x14ac:dyDescent="0.25">
      <c r="A350" t="s">
        <v>394</v>
      </c>
      <c r="B350">
        <v>45.31</v>
      </c>
      <c r="C350">
        <v>65.52</v>
      </c>
      <c r="D350">
        <v>122.25</v>
      </c>
      <c r="E350">
        <v>33.76</v>
      </c>
      <c r="F350">
        <v>21.71</v>
      </c>
      <c r="G350">
        <v>23.98</v>
      </c>
      <c r="H350">
        <v>32.42</v>
      </c>
      <c r="I350">
        <v>25.69</v>
      </c>
      <c r="J350">
        <v>93.84</v>
      </c>
      <c r="K350">
        <v>35.22</v>
      </c>
      <c r="L350">
        <v>49.09</v>
      </c>
      <c r="M350">
        <v>13.02</v>
      </c>
      <c r="N350">
        <f t="shared" si="5"/>
        <v>34.489999999999995</v>
      </c>
      <c r="AE350">
        <v>45.31</v>
      </c>
    </row>
    <row r="351" spans="1:31" x14ac:dyDescent="0.25">
      <c r="A351" t="s">
        <v>395</v>
      </c>
      <c r="B351">
        <v>45</v>
      </c>
      <c r="C351">
        <v>27.9</v>
      </c>
      <c r="D351">
        <v>28.21</v>
      </c>
      <c r="E351">
        <v>104.54</v>
      </c>
      <c r="F351">
        <v>27.07</v>
      </c>
      <c r="G351">
        <v>41.44</v>
      </c>
      <c r="H351">
        <v>10.53</v>
      </c>
      <c r="I351">
        <v>27.06</v>
      </c>
      <c r="J351">
        <v>80.13</v>
      </c>
      <c r="K351">
        <v>37.14</v>
      </c>
      <c r="L351">
        <v>41.62</v>
      </c>
      <c r="M351">
        <v>12.13</v>
      </c>
      <c r="N351">
        <f t="shared" si="5"/>
        <v>32.674999999999997</v>
      </c>
      <c r="AE351">
        <v>45</v>
      </c>
    </row>
    <row r="352" spans="1:31" x14ac:dyDescent="0.25">
      <c r="A352" t="s">
        <v>396</v>
      </c>
      <c r="B352">
        <v>44.76</v>
      </c>
      <c r="C352">
        <v>24.13</v>
      </c>
      <c r="D352">
        <v>78.75</v>
      </c>
      <c r="E352">
        <v>79.790000000000006</v>
      </c>
      <c r="F352">
        <v>31.86</v>
      </c>
      <c r="G352">
        <v>17.61</v>
      </c>
      <c r="H352">
        <v>15.76</v>
      </c>
      <c r="I352">
        <v>32.9</v>
      </c>
      <c r="J352">
        <v>44.1</v>
      </c>
      <c r="K352">
        <v>56.6</v>
      </c>
      <c r="L352">
        <v>16.260000000000002</v>
      </c>
      <c r="M352">
        <v>49.79</v>
      </c>
      <c r="N352">
        <f t="shared" si="5"/>
        <v>38.5</v>
      </c>
      <c r="AE352">
        <v>44.76</v>
      </c>
    </row>
    <row r="353" spans="1:31" x14ac:dyDescent="0.25">
      <c r="A353" t="s">
        <v>397</v>
      </c>
      <c r="B353">
        <v>45</v>
      </c>
      <c r="C353">
        <v>173.61</v>
      </c>
      <c r="D353">
        <v>43.58</v>
      </c>
      <c r="E353">
        <v>45.09</v>
      </c>
      <c r="F353">
        <v>105.16</v>
      </c>
      <c r="G353">
        <v>28.53</v>
      </c>
      <c r="H353">
        <v>24.14</v>
      </c>
      <c r="I353">
        <v>22.97</v>
      </c>
      <c r="J353">
        <v>22.83</v>
      </c>
      <c r="K353">
        <v>53.76</v>
      </c>
      <c r="L353">
        <v>15.84</v>
      </c>
      <c r="M353">
        <v>88.18</v>
      </c>
      <c r="N353">
        <f t="shared" si="5"/>
        <v>44.29</v>
      </c>
      <c r="AE353">
        <v>45</v>
      </c>
    </row>
    <row r="354" spans="1:31" x14ac:dyDescent="0.25">
      <c r="A354" t="s">
        <v>398</v>
      </c>
      <c r="B354">
        <v>44.93</v>
      </c>
      <c r="C354">
        <v>29.83</v>
      </c>
      <c r="D354">
        <v>79.55</v>
      </c>
      <c r="E354">
        <v>85.6</v>
      </c>
      <c r="F354">
        <v>25.03</v>
      </c>
      <c r="G354">
        <v>19.14</v>
      </c>
      <c r="H354">
        <v>111.65</v>
      </c>
      <c r="I354">
        <v>65.03</v>
      </c>
      <c r="J354">
        <v>53.22</v>
      </c>
      <c r="K354">
        <v>51.86</v>
      </c>
      <c r="L354">
        <v>19.13</v>
      </c>
      <c r="M354">
        <v>14.46</v>
      </c>
      <c r="N354">
        <f t="shared" si="5"/>
        <v>48.394999999999996</v>
      </c>
      <c r="AE354">
        <v>44.93</v>
      </c>
    </row>
    <row r="355" spans="1:31" x14ac:dyDescent="0.25">
      <c r="A355" t="s">
        <v>399</v>
      </c>
      <c r="B355">
        <v>44.59</v>
      </c>
      <c r="C355">
        <v>31.03</v>
      </c>
      <c r="D355">
        <v>17.670000000000002</v>
      </c>
      <c r="E355">
        <v>66.42</v>
      </c>
      <c r="F355">
        <v>15.99</v>
      </c>
      <c r="G355">
        <v>27.58</v>
      </c>
      <c r="H355">
        <v>28.74</v>
      </c>
      <c r="I355">
        <v>51.03</v>
      </c>
      <c r="J355">
        <v>104.25</v>
      </c>
      <c r="K355">
        <v>118.09</v>
      </c>
      <c r="L355">
        <v>10.29</v>
      </c>
      <c r="M355">
        <v>17.149999999999999</v>
      </c>
      <c r="N355">
        <f t="shared" si="5"/>
        <v>29.884999999999998</v>
      </c>
      <c r="AE355">
        <v>44.59</v>
      </c>
    </row>
    <row r="356" spans="1:31" x14ac:dyDescent="0.25">
      <c r="A356" t="s">
        <v>400</v>
      </c>
      <c r="B356">
        <v>44.85</v>
      </c>
      <c r="C356">
        <v>54.66</v>
      </c>
      <c r="D356">
        <v>35.61</v>
      </c>
      <c r="E356">
        <v>126.25</v>
      </c>
      <c r="F356">
        <v>20.18</v>
      </c>
      <c r="G356">
        <v>68.78</v>
      </c>
      <c r="H356">
        <v>24.96</v>
      </c>
      <c r="I356">
        <v>35.72</v>
      </c>
      <c r="J356">
        <v>56.65</v>
      </c>
      <c r="K356">
        <v>109.51</v>
      </c>
      <c r="L356">
        <v>47.06</v>
      </c>
      <c r="M356">
        <v>68.260000000000005</v>
      </c>
      <c r="N356">
        <f t="shared" si="5"/>
        <v>50.86</v>
      </c>
      <c r="AE356">
        <v>44.85</v>
      </c>
    </row>
    <row r="357" spans="1:31" x14ac:dyDescent="0.25">
      <c r="A357" t="s">
        <v>401</v>
      </c>
      <c r="B357">
        <v>44.57</v>
      </c>
      <c r="C357">
        <v>12.86</v>
      </c>
      <c r="D357">
        <v>44.44</v>
      </c>
      <c r="E357">
        <v>10.39</v>
      </c>
      <c r="F357">
        <v>20.350000000000001</v>
      </c>
      <c r="G357">
        <v>45.19</v>
      </c>
      <c r="H357">
        <v>183.15</v>
      </c>
      <c r="I357">
        <v>90.58</v>
      </c>
      <c r="J357">
        <v>40.729999999999997</v>
      </c>
      <c r="K357">
        <v>42.61</v>
      </c>
      <c r="L357">
        <v>231.31</v>
      </c>
      <c r="M357">
        <v>39.31</v>
      </c>
      <c r="N357">
        <f t="shared" si="5"/>
        <v>43.524999999999999</v>
      </c>
      <c r="AE357">
        <v>44.57</v>
      </c>
    </row>
    <row r="358" spans="1:31" x14ac:dyDescent="0.25">
      <c r="A358" t="s">
        <v>402</v>
      </c>
      <c r="B358">
        <v>69.2</v>
      </c>
      <c r="C358">
        <v>26.64</v>
      </c>
      <c r="D358">
        <v>8.23</v>
      </c>
      <c r="E358">
        <v>63.64</v>
      </c>
      <c r="F358">
        <v>48.46</v>
      </c>
      <c r="G358">
        <v>77.81</v>
      </c>
      <c r="H358">
        <v>27.47</v>
      </c>
      <c r="I358">
        <v>19.55</v>
      </c>
      <c r="J358">
        <v>20.87</v>
      </c>
      <c r="K358">
        <v>64.650000000000006</v>
      </c>
      <c r="L358">
        <v>56.86</v>
      </c>
      <c r="M358">
        <v>190.32</v>
      </c>
      <c r="N358">
        <f t="shared" si="5"/>
        <v>52.66</v>
      </c>
      <c r="AE358">
        <v>69.2</v>
      </c>
    </row>
    <row r="359" spans="1:31" x14ac:dyDescent="0.25">
      <c r="A359" t="s">
        <v>403</v>
      </c>
      <c r="B359">
        <v>44.19</v>
      </c>
      <c r="C359">
        <v>163.16</v>
      </c>
      <c r="D359">
        <v>79.22</v>
      </c>
      <c r="E359">
        <v>9.99</v>
      </c>
      <c r="F359">
        <v>37.49</v>
      </c>
      <c r="G359">
        <v>47.65</v>
      </c>
      <c r="H359">
        <v>45.07</v>
      </c>
      <c r="I359">
        <v>56.11</v>
      </c>
      <c r="J359">
        <v>69.540000000000006</v>
      </c>
      <c r="K359">
        <v>20.65</v>
      </c>
      <c r="L359">
        <v>114.46</v>
      </c>
      <c r="M359">
        <v>19.96</v>
      </c>
      <c r="N359">
        <f t="shared" si="5"/>
        <v>46.36</v>
      </c>
      <c r="AE359">
        <v>44.19</v>
      </c>
    </row>
    <row r="360" spans="1:31" x14ac:dyDescent="0.25">
      <c r="A360" t="s">
        <v>404</v>
      </c>
      <c r="B360">
        <v>68.290000000000006</v>
      </c>
      <c r="C360">
        <v>4.0199999999999996</v>
      </c>
      <c r="D360">
        <v>35.979999999999997</v>
      </c>
      <c r="E360">
        <v>63.16</v>
      </c>
      <c r="F360">
        <v>42.79</v>
      </c>
      <c r="G360">
        <v>10.34</v>
      </c>
      <c r="H360">
        <v>104.06</v>
      </c>
      <c r="I360">
        <v>30.06</v>
      </c>
      <c r="J360">
        <v>77.040000000000006</v>
      </c>
      <c r="K360">
        <v>13.39</v>
      </c>
      <c r="L360">
        <v>38.65</v>
      </c>
      <c r="M360">
        <v>26.5</v>
      </c>
      <c r="N360">
        <f t="shared" si="5"/>
        <v>37.314999999999998</v>
      </c>
      <c r="AE360">
        <v>68.290000000000006</v>
      </c>
    </row>
    <row r="361" spans="1:31" x14ac:dyDescent="0.25">
      <c r="A361" t="s">
        <v>405</v>
      </c>
      <c r="B361">
        <v>68.7</v>
      </c>
      <c r="C361">
        <v>25.13</v>
      </c>
      <c r="D361">
        <v>169.8</v>
      </c>
      <c r="E361">
        <v>39.520000000000003</v>
      </c>
      <c r="F361">
        <v>63.52</v>
      </c>
      <c r="G361">
        <v>0.54</v>
      </c>
      <c r="H361">
        <v>39.22</v>
      </c>
      <c r="I361">
        <v>114.64</v>
      </c>
      <c r="J361">
        <v>31.61</v>
      </c>
      <c r="K361">
        <v>82.42</v>
      </c>
      <c r="L361">
        <v>21.95</v>
      </c>
      <c r="M361">
        <v>5.7</v>
      </c>
      <c r="N361">
        <f t="shared" si="5"/>
        <v>39.370000000000005</v>
      </c>
      <c r="AE361">
        <v>68.7</v>
      </c>
    </row>
    <row r="362" spans="1:31" x14ac:dyDescent="0.25">
      <c r="A362" t="s">
        <v>406</v>
      </c>
      <c r="B362">
        <v>44.44</v>
      </c>
      <c r="C362">
        <v>26.5</v>
      </c>
      <c r="D362">
        <v>98.35</v>
      </c>
      <c r="E362">
        <v>30.86</v>
      </c>
      <c r="F362">
        <v>25.61</v>
      </c>
      <c r="G362">
        <v>101.64</v>
      </c>
      <c r="H362">
        <v>37.56</v>
      </c>
      <c r="I362">
        <v>27.27</v>
      </c>
      <c r="J362">
        <v>32.69</v>
      </c>
      <c r="K362">
        <v>54.93</v>
      </c>
      <c r="L362">
        <v>11.99</v>
      </c>
      <c r="M362">
        <v>81.84</v>
      </c>
      <c r="N362">
        <f t="shared" si="5"/>
        <v>35.125</v>
      </c>
      <c r="AE362">
        <v>44.44</v>
      </c>
    </row>
    <row r="363" spans="1:31" x14ac:dyDescent="0.25">
      <c r="A363" t="s">
        <v>407</v>
      </c>
      <c r="B363">
        <v>67.69</v>
      </c>
      <c r="C363">
        <v>56.27</v>
      </c>
      <c r="D363">
        <v>110.31</v>
      </c>
      <c r="E363">
        <v>77.64</v>
      </c>
      <c r="F363">
        <v>76.87</v>
      </c>
      <c r="G363">
        <v>83.56</v>
      </c>
      <c r="H363">
        <v>93.36</v>
      </c>
      <c r="I363">
        <v>22.22</v>
      </c>
      <c r="J363">
        <v>22.24</v>
      </c>
      <c r="K363">
        <v>88.68</v>
      </c>
      <c r="L363">
        <v>136.24</v>
      </c>
      <c r="M363">
        <v>18.61</v>
      </c>
      <c r="N363">
        <f t="shared" si="5"/>
        <v>77.254999999999995</v>
      </c>
      <c r="AE363">
        <v>67.69</v>
      </c>
    </row>
    <row r="364" spans="1:31" x14ac:dyDescent="0.25">
      <c r="A364" t="s">
        <v>408</v>
      </c>
      <c r="B364">
        <v>67.69</v>
      </c>
      <c r="C364">
        <v>21.92</v>
      </c>
      <c r="D364">
        <v>18.059999999999999</v>
      </c>
      <c r="E364">
        <v>63.74</v>
      </c>
      <c r="F364">
        <v>32.72</v>
      </c>
      <c r="G364">
        <v>6.79</v>
      </c>
      <c r="H364">
        <v>0.18</v>
      </c>
      <c r="I364">
        <v>69.34</v>
      </c>
      <c r="J364">
        <v>70.72</v>
      </c>
      <c r="K364">
        <v>14.64</v>
      </c>
      <c r="L364">
        <v>72.23</v>
      </c>
      <c r="M364">
        <v>228.63</v>
      </c>
      <c r="N364">
        <f t="shared" si="5"/>
        <v>48.230000000000004</v>
      </c>
      <c r="AE364">
        <v>67.69</v>
      </c>
    </row>
    <row r="365" spans="1:31" x14ac:dyDescent="0.25">
      <c r="A365" t="s">
        <v>409</v>
      </c>
      <c r="B365">
        <v>67.510000000000005</v>
      </c>
      <c r="C365">
        <v>64.89</v>
      </c>
      <c r="D365">
        <v>2.82</v>
      </c>
      <c r="E365">
        <v>0.81</v>
      </c>
      <c r="F365">
        <v>120.16</v>
      </c>
      <c r="G365">
        <v>21.75</v>
      </c>
      <c r="H365">
        <v>24.25</v>
      </c>
      <c r="I365">
        <v>274.68</v>
      </c>
      <c r="J365">
        <v>88.96</v>
      </c>
      <c r="K365">
        <v>32.369999999999997</v>
      </c>
      <c r="L365">
        <v>53.09</v>
      </c>
      <c r="M365">
        <v>41.54</v>
      </c>
      <c r="N365">
        <f t="shared" si="5"/>
        <v>47.314999999999998</v>
      </c>
      <c r="AE365">
        <v>67.510000000000005</v>
      </c>
    </row>
    <row r="366" spans="1:31" x14ac:dyDescent="0.25">
      <c r="A366" t="s">
        <v>410</v>
      </c>
      <c r="B366">
        <v>44.04</v>
      </c>
      <c r="C366">
        <v>59.62</v>
      </c>
      <c r="D366">
        <v>35.35</v>
      </c>
      <c r="E366">
        <v>53.1</v>
      </c>
      <c r="F366">
        <v>31.54</v>
      </c>
      <c r="G366">
        <v>14.84</v>
      </c>
      <c r="H366">
        <v>143.91</v>
      </c>
      <c r="I366">
        <v>72.569999999999993</v>
      </c>
      <c r="J366">
        <v>12.52</v>
      </c>
      <c r="K366">
        <v>41.21</v>
      </c>
      <c r="L366">
        <v>43</v>
      </c>
      <c r="M366">
        <v>10.14</v>
      </c>
      <c r="N366">
        <f t="shared" si="5"/>
        <v>42.105000000000004</v>
      </c>
      <c r="AE366">
        <v>44.04</v>
      </c>
    </row>
    <row r="367" spans="1:31" x14ac:dyDescent="0.25">
      <c r="A367" t="s">
        <v>411</v>
      </c>
      <c r="B367">
        <v>67.41</v>
      </c>
      <c r="C367">
        <v>22.25</v>
      </c>
      <c r="D367">
        <v>17.88</v>
      </c>
      <c r="E367">
        <v>314.44</v>
      </c>
      <c r="F367">
        <v>34.03</v>
      </c>
      <c r="G367">
        <v>18.579999999999998</v>
      </c>
      <c r="H367">
        <v>29.16</v>
      </c>
      <c r="I367">
        <v>7.96</v>
      </c>
      <c r="J367">
        <v>41.4</v>
      </c>
      <c r="K367">
        <v>36.54</v>
      </c>
      <c r="L367">
        <v>39.270000000000003</v>
      </c>
      <c r="M367">
        <v>15.81</v>
      </c>
      <c r="N367">
        <f t="shared" si="5"/>
        <v>31.594999999999999</v>
      </c>
      <c r="AE367">
        <v>67.41</v>
      </c>
    </row>
    <row r="368" spans="1:31" x14ac:dyDescent="0.25">
      <c r="A368" t="s">
        <v>412</v>
      </c>
      <c r="B368">
        <v>43.6</v>
      </c>
      <c r="C368">
        <v>10.19</v>
      </c>
      <c r="D368">
        <v>49.86</v>
      </c>
      <c r="E368">
        <v>99.54</v>
      </c>
      <c r="F368">
        <v>26.28</v>
      </c>
      <c r="G368">
        <v>61.8</v>
      </c>
      <c r="H368">
        <v>30.89</v>
      </c>
      <c r="I368">
        <v>60.61</v>
      </c>
      <c r="J368">
        <v>50.16</v>
      </c>
      <c r="K368">
        <v>10.09</v>
      </c>
      <c r="L368">
        <v>15.76</v>
      </c>
      <c r="M368">
        <v>23.91</v>
      </c>
      <c r="N368">
        <f t="shared" si="5"/>
        <v>37.245000000000005</v>
      </c>
      <c r="AE368">
        <v>43.6</v>
      </c>
    </row>
    <row r="369" spans="1:31" x14ac:dyDescent="0.25">
      <c r="A369" t="s">
        <v>413</v>
      </c>
      <c r="B369">
        <v>67.34</v>
      </c>
      <c r="C369">
        <v>157.88</v>
      </c>
      <c r="D369">
        <v>0.36</v>
      </c>
      <c r="E369">
        <v>129.30000000000001</v>
      </c>
      <c r="F369">
        <v>21.05</v>
      </c>
      <c r="G369">
        <v>39.9</v>
      </c>
      <c r="H369">
        <v>15.47</v>
      </c>
      <c r="I369">
        <v>105.37</v>
      </c>
      <c r="J369">
        <v>66.55</v>
      </c>
      <c r="K369">
        <v>57.93</v>
      </c>
      <c r="L369">
        <v>89.1</v>
      </c>
      <c r="M369">
        <v>54.68</v>
      </c>
      <c r="N369">
        <f t="shared" si="5"/>
        <v>62.239999999999995</v>
      </c>
      <c r="AE369">
        <v>67.34</v>
      </c>
    </row>
    <row r="370" spans="1:31" x14ac:dyDescent="0.25">
      <c r="A370" t="s">
        <v>414</v>
      </c>
      <c r="B370">
        <v>66.69</v>
      </c>
      <c r="C370">
        <v>137.05000000000001</v>
      </c>
      <c r="D370">
        <v>169.7</v>
      </c>
      <c r="E370">
        <v>64.45</v>
      </c>
      <c r="F370">
        <v>43.26</v>
      </c>
      <c r="G370">
        <v>0.18</v>
      </c>
      <c r="H370">
        <v>41.78</v>
      </c>
      <c r="I370">
        <v>57.96</v>
      </c>
      <c r="J370">
        <v>5.25</v>
      </c>
      <c r="K370">
        <v>204.53</v>
      </c>
      <c r="L370">
        <v>155.80000000000001</v>
      </c>
      <c r="M370">
        <v>16.79</v>
      </c>
      <c r="N370">
        <f t="shared" si="5"/>
        <v>61.204999999999998</v>
      </c>
      <c r="AE370">
        <v>66.69</v>
      </c>
    </row>
    <row r="371" spans="1:31" x14ac:dyDescent="0.25">
      <c r="A371" t="s">
        <v>415</v>
      </c>
      <c r="B371">
        <v>66.31</v>
      </c>
      <c r="C371">
        <v>22.98</v>
      </c>
      <c r="D371">
        <v>80.61</v>
      </c>
      <c r="E371">
        <v>11.85</v>
      </c>
      <c r="F371">
        <v>84.28</v>
      </c>
      <c r="G371">
        <v>47.06</v>
      </c>
      <c r="H371">
        <v>24.4</v>
      </c>
      <c r="I371">
        <v>57.25</v>
      </c>
      <c r="J371">
        <v>27.37</v>
      </c>
      <c r="K371">
        <v>14.75</v>
      </c>
      <c r="L371">
        <v>35.119999999999997</v>
      </c>
      <c r="M371">
        <v>30.39</v>
      </c>
      <c r="N371">
        <f t="shared" si="5"/>
        <v>32.754999999999995</v>
      </c>
      <c r="AE371">
        <v>66.31</v>
      </c>
    </row>
    <row r="372" spans="1:31" x14ac:dyDescent="0.25">
      <c r="A372" t="s">
        <v>416</v>
      </c>
      <c r="B372">
        <v>43.2</v>
      </c>
      <c r="C372">
        <v>10.92</v>
      </c>
      <c r="D372">
        <v>84.08</v>
      </c>
      <c r="E372">
        <v>10.14</v>
      </c>
      <c r="F372">
        <v>143.12</v>
      </c>
      <c r="G372">
        <v>29.09</v>
      </c>
      <c r="H372">
        <v>51.84</v>
      </c>
      <c r="I372">
        <v>21.56</v>
      </c>
      <c r="J372">
        <v>26.39</v>
      </c>
      <c r="K372">
        <v>59.01</v>
      </c>
      <c r="L372">
        <v>31.26</v>
      </c>
      <c r="M372">
        <v>102.59</v>
      </c>
      <c r="N372">
        <f t="shared" si="5"/>
        <v>37.230000000000004</v>
      </c>
      <c r="AE372">
        <v>43.2</v>
      </c>
    </row>
    <row r="373" spans="1:31" x14ac:dyDescent="0.25">
      <c r="A373" t="s">
        <v>417</v>
      </c>
      <c r="B373">
        <v>42.99</v>
      </c>
      <c r="C373">
        <v>32.619999999999997</v>
      </c>
      <c r="D373">
        <v>60.82</v>
      </c>
      <c r="E373">
        <v>19.989999999999998</v>
      </c>
      <c r="F373">
        <v>138.97999999999999</v>
      </c>
      <c r="G373">
        <v>59.19</v>
      </c>
      <c r="H373">
        <v>56.62</v>
      </c>
      <c r="I373">
        <v>95.35</v>
      </c>
      <c r="J373">
        <v>203.9</v>
      </c>
      <c r="K373">
        <v>15.41</v>
      </c>
      <c r="L373">
        <v>69.150000000000006</v>
      </c>
      <c r="M373">
        <v>23.59</v>
      </c>
      <c r="N373">
        <f t="shared" si="5"/>
        <v>57.905000000000001</v>
      </c>
      <c r="AE373">
        <v>42.99</v>
      </c>
    </row>
    <row r="374" spans="1:31" x14ac:dyDescent="0.25">
      <c r="A374" t="s">
        <v>418</v>
      </c>
      <c r="B374">
        <v>42.92</v>
      </c>
      <c r="C374">
        <v>12.23</v>
      </c>
      <c r="D374">
        <v>33.229999999999997</v>
      </c>
      <c r="E374">
        <v>23.13</v>
      </c>
      <c r="F374">
        <v>33.4</v>
      </c>
      <c r="G374">
        <v>23.05</v>
      </c>
      <c r="H374">
        <v>25.4</v>
      </c>
      <c r="I374">
        <v>47.22</v>
      </c>
      <c r="J374">
        <v>54.68</v>
      </c>
      <c r="K374">
        <v>29.43</v>
      </c>
      <c r="L374">
        <v>108.18</v>
      </c>
      <c r="M374">
        <v>116.68</v>
      </c>
      <c r="N374">
        <f t="shared" si="5"/>
        <v>33.314999999999998</v>
      </c>
      <c r="AE374">
        <v>42.92</v>
      </c>
    </row>
    <row r="375" spans="1:31" x14ac:dyDescent="0.25">
      <c r="A375" t="s">
        <v>419</v>
      </c>
      <c r="B375">
        <v>66.03</v>
      </c>
      <c r="C375">
        <v>180.86</v>
      </c>
      <c r="D375">
        <v>3.24</v>
      </c>
      <c r="E375">
        <v>32.19</v>
      </c>
      <c r="F375">
        <v>9</v>
      </c>
      <c r="G375">
        <v>129.79</v>
      </c>
      <c r="H375">
        <v>0.45</v>
      </c>
      <c r="I375">
        <v>44.92</v>
      </c>
      <c r="J375">
        <v>49.38</v>
      </c>
      <c r="K375">
        <v>0.27</v>
      </c>
      <c r="L375">
        <v>22.53</v>
      </c>
      <c r="M375">
        <v>39.86</v>
      </c>
      <c r="N375">
        <f t="shared" si="5"/>
        <v>36.024999999999999</v>
      </c>
      <c r="AE375">
        <v>66.03</v>
      </c>
    </row>
    <row r="376" spans="1:31" x14ac:dyDescent="0.25">
      <c r="A376" t="s">
        <v>420</v>
      </c>
      <c r="B376">
        <v>42.89</v>
      </c>
      <c r="C376">
        <v>22.9</v>
      </c>
      <c r="D376">
        <v>30.94</v>
      </c>
      <c r="E376">
        <v>99.88</v>
      </c>
      <c r="F376">
        <v>10.39</v>
      </c>
      <c r="G376">
        <v>15.88</v>
      </c>
      <c r="H376">
        <v>117.08</v>
      </c>
      <c r="I376">
        <v>44.44</v>
      </c>
      <c r="J376">
        <v>31.87</v>
      </c>
      <c r="K376">
        <v>23.49</v>
      </c>
      <c r="L376">
        <v>77.92</v>
      </c>
      <c r="M376">
        <v>18.12</v>
      </c>
      <c r="N376">
        <f t="shared" si="5"/>
        <v>31.405000000000001</v>
      </c>
      <c r="AE376">
        <v>42.89</v>
      </c>
    </row>
    <row r="377" spans="1:31" x14ac:dyDescent="0.25">
      <c r="A377" t="s">
        <v>421</v>
      </c>
      <c r="B377">
        <v>42.73</v>
      </c>
      <c r="C377">
        <v>25.25</v>
      </c>
      <c r="D377">
        <v>89.59</v>
      </c>
      <c r="E377">
        <v>59.26</v>
      </c>
      <c r="F377">
        <v>58.49</v>
      </c>
      <c r="G377">
        <v>81.209999999999994</v>
      </c>
      <c r="H377">
        <v>43.22</v>
      </c>
      <c r="I377">
        <v>35.92</v>
      </c>
      <c r="J377">
        <v>28.77</v>
      </c>
      <c r="K377">
        <v>12.41</v>
      </c>
      <c r="L377">
        <v>37.89</v>
      </c>
      <c r="M377">
        <v>80.23</v>
      </c>
      <c r="N377">
        <f t="shared" si="5"/>
        <v>42.974999999999994</v>
      </c>
      <c r="AE377">
        <v>42.73</v>
      </c>
    </row>
    <row r="378" spans="1:31" x14ac:dyDescent="0.25">
      <c r="A378" t="s">
        <v>422</v>
      </c>
      <c r="B378">
        <v>42.8</v>
      </c>
      <c r="C378">
        <v>13.77</v>
      </c>
      <c r="D378">
        <v>9.99</v>
      </c>
      <c r="E378">
        <v>49.47</v>
      </c>
      <c r="F378">
        <v>91.7</v>
      </c>
      <c r="G378">
        <v>27.68</v>
      </c>
      <c r="H378">
        <v>68.16</v>
      </c>
      <c r="I378">
        <v>60.97</v>
      </c>
      <c r="J378">
        <v>28.28</v>
      </c>
      <c r="K378">
        <v>54.99</v>
      </c>
      <c r="L378">
        <v>111.3</v>
      </c>
      <c r="M378">
        <v>98.56</v>
      </c>
      <c r="N378">
        <f t="shared" si="5"/>
        <v>52.230000000000004</v>
      </c>
      <c r="AE378">
        <v>42.8</v>
      </c>
    </row>
    <row r="379" spans="1:31" x14ac:dyDescent="0.25">
      <c r="A379" t="s">
        <v>423</v>
      </c>
      <c r="B379">
        <v>65.14</v>
      </c>
      <c r="C379">
        <v>12.32</v>
      </c>
      <c r="D379">
        <v>149.66999999999999</v>
      </c>
      <c r="E379">
        <v>102.4</v>
      </c>
      <c r="F379">
        <v>5.37</v>
      </c>
      <c r="G379">
        <v>64.69</v>
      </c>
      <c r="H379">
        <v>100.31</v>
      </c>
      <c r="I379">
        <v>94.35</v>
      </c>
      <c r="J379">
        <v>103.71</v>
      </c>
      <c r="K379">
        <v>12.33</v>
      </c>
      <c r="L379">
        <v>8.16</v>
      </c>
      <c r="M379">
        <v>122.14</v>
      </c>
      <c r="N379">
        <f t="shared" si="5"/>
        <v>79.745000000000005</v>
      </c>
      <c r="AE379">
        <v>65.14</v>
      </c>
    </row>
    <row r="380" spans="1:31" x14ac:dyDescent="0.25">
      <c r="A380" t="s">
        <v>424</v>
      </c>
      <c r="B380">
        <v>42.39</v>
      </c>
      <c r="C380">
        <v>120.75</v>
      </c>
      <c r="D380">
        <v>70.75</v>
      </c>
      <c r="E380">
        <v>104.43</v>
      </c>
      <c r="F380">
        <v>75.92</v>
      </c>
      <c r="G380">
        <v>16.760000000000002</v>
      </c>
      <c r="H380">
        <v>79.72</v>
      </c>
      <c r="I380">
        <v>100.65</v>
      </c>
      <c r="J380">
        <v>110.66</v>
      </c>
      <c r="K380">
        <v>53.64</v>
      </c>
      <c r="L380">
        <v>11.39</v>
      </c>
      <c r="M380">
        <v>9.99</v>
      </c>
      <c r="N380">
        <f t="shared" si="5"/>
        <v>73.335000000000008</v>
      </c>
      <c r="AE380">
        <v>42.39</v>
      </c>
    </row>
    <row r="381" spans="1:31" x14ac:dyDescent="0.25">
      <c r="A381" t="s">
        <v>425</v>
      </c>
      <c r="B381">
        <v>65.14</v>
      </c>
      <c r="C381">
        <v>7.46</v>
      </c>
      <c r="D381">
        <v>78.489999999999995</v>
      </c>
      <c r="E381">
        <v>98.34</v>
      </c>
      <c r="F381">
        <v>26.52</v>
      </c>
      <c r="G381">
        <v>10.87</v>
      </c>
      <c r="H381">
        <v>106.62</v>
      </c>
      <c r="I381">
        <v>279.39999999999998</v>
      </c>
      <c r="J381">
        <v>23.71</v>
      </c>
      <c r="K381">
        <v>215.1</v>
      </c>
      <c r="L381">
        <v>22.14</v>
      </c>
      <c r="M381">
        <v>196.81</v>
      </c>
      <c r="N381">
        <f t="shared" si="5"/>
        <v>71.814999999999998</v>
      </c>
      <c r="AE381">
        <v>65.14</v>
      </c>
    </row>
    <row r="382" spans="1:31" x14ac:dyDescent="0.25">
      <c r="A382" t="s">
        <v>426</v>
      </c>
      <c r="B382">
        <v>42.28</v>
      </c>
      <c r="C382">
        <v>95.11</v>
      </c>
      <c r="D382">
        <v>75.56</v>
      </c>
      <c r="E382">
        <v>22.95</v>
      </c>
      <c r="F382">
        <v>10.14</v>
      </c>
      <c r="G382">
        <v>40.33</v>
      </c>
      <c r="H382">
        <v>73.12</v>
      </c>
      <c r="I382">
        <v>52.21</v>
      </c>
      <c r="J382">
        <v>30.81</v>
      </c>
      <c r="K382">
        <v>12.4</v>
      </c>
      <c r="L382">
        <v>98.32</v>
      </c>
      <c r="M382">
        <v>28.44</v>
      </c>
      <c r="N382">
        <f t="shared" si="5"/>
        <v>41.305</v>
      </c>
      <c r="AE382">
        <v>42.28</v>
      </c>
    </row>
    <row r="383" spans="1:31" x14ac:dyDescent="0.25">
      <c r="A383" t="s">
        <v>427</v>
      </c>
      <c r="B383">
        <v>42.4</v>
      </c>
      <c r="C383">
        <v>203.07</v>
      </c>
      <c r="D383">
        <v>15.43</v>
      </c>
      <c r="E383">
        <v>73.459999999999994</v>
      </c>
      <c r="F383">
        <v>29.42</v>
      </c>
      <c r="G383">
        <v>17.170000000000002</v>
      </c>
      <c r="H383">
        <v>138.13999999999999</v>
      </c>
      <c r="I383">
        <v>139.43</v>
      </c>
      <c r="J383">
        <v>37.43</v>
      </c>
      <c r="K383">
        <v>127.03</v>
      </c>
      <c r="L383">
        <v>10.72</v>
      </c>
      <c r="M383">
        <v>45.69</v>
      </c>
      <c r="N383">
        <f t="shared" si="5"/>
        <v>44.045000000000002</v>
      </c>
      <c r="AE383">
        <v>42.4</v>
      </c>
    </row>
    <row r="384" spans="1:31" x14ac:dyDescent="0.25">
      <c r="A384" t="s">
        <v>428</v>
      </c>
      <c r="B384">
        <v>42.74</v>
      </c>
      <c r="C384">
        <v>39.69</v>
      </c>
      <c r="D384">
        <v>48.48</v>
      </c>
      <c r="E384">
        <v>188.75</v>
      </c>
      <c r="F384">
        <v>15.44</v>
      </c>
      <c r="G384">
        <v>29.11</v>
      </c>
      <c r="H384">
        <v>28.15</v>
      </c>
      <c r="I384">
        <v>50.86</v>
      </c>
      <c r="J384">
        <v>100.75</v>
      </c>
      <c r="K384">
        <v>138.31</v>
      </c>
      <c r="L384">
        <v>119.65</v>
      </c>
      <c r="M384">
        <v>76.95</v>
      </c>
      <c r="N384">
        <f t="shared" si="5"/>
        <v>49.67</v>
      </c>
      <c r="AE384">
        <v>42.74</v>
      </c>
    </row>
    <row r="385" spans="1:31" x14ac:dyDescent="0.25">
      <c r="A385" t="s">
        <v>429</v>
      </c>
      <c r="B385">
        <v>41.93</v>
      </c>
      <c r="C385">
        <v>110.01</v>
      </c>
      <c r="D385">
        <v>10.14</v>
      </c>
      <c r="E385">
        <v>14.26</v>
      </c>
      <c r="F385">
        <v>78.22</v>
      </c>
      <c r="G385">
        <v>11.11</v>
      </c>
      <c r="H385">
        <v>20.73</v>
      </c>
      <c r="I385">
        <v>26.63</v>
      </c>
      <c r="J385">
        <v>40.17</v>
      </c>
      <c r="K385">
        <v>41.57</v>
      </c>
      <c r="L385">
        <v>29.36</v>
      </c>
      <c r="M385">
        <v>106.96</v>
      </c>
      <c r="N385">
        <f t="shared" si="5"/>
        <v>34.765000000000001</v>
      </c>
      <c r="AE385">
        <v>41.93</v>
      </c>
    </row>
    <row r="386" spans="1:31" x14ac:dyDescent="0.25">
      <c r="A386" t="s">
        <v>430</v>
      </c>
      <c r="B386">
        <v>63.76</v>
      </c>
      <c r="C386">
        <v>18.57</v>
      </c>
      <c r="D386">
        <v>15.12</v>
      </c>
      <c r="E386">
        <v>20.71</v>
      </c>
      <c r="F386">
        <v>26.66</v>
      </c>
      <c r="G386">
        <v>85.84</v>
      </c>
      <c r="H386">
        <v>26</v>
      </c>
      <c r="I386">
        <v>31.29</v>
      </c>
      <c r="J386">
        <v>39.42</v>
      </c>
      <c r="K386">
        <v>45.43</v>
      </c>
      <c r="L386">
        <v>89.7</v>
      </c>
      <c r="M386">
        <v>30.35</v>
      </c>
      <c r="N386">
        <f t="shared" si="5"/>
        <v>30.82</v>
      </c>
      <c r="AE386">
        <v>63.76</v>
      </c>
    </row>
    <row r="387" spans="1:31" x14ac:dyDescent="0.25">
      <c r="A387" t="s">
        <v>431</v>
      </c>
      <c r="B387">
        <v>41.89</v>
      </c>
      <c r="C387">
        <v>90.93</v>
      </c>
      <c r="D387">
        <v>50.46</v>
      </c>
      <c r="E387">
        <v>21.2</v>
      </c>
      <c r="F387">
        <v>36.700000000000003</v>
      </c>
      <c r="G387">
        <v>54.03</v>
      </c>
      <c r="H387">
        <v>92.53</v>
      </c>
      <c r="I387">
        <v>18.399999999999999</v>
      </c>
      <c r="J387">
        <v>34.31</v>
      </c>
      <c r="K387">
        <v>16.34</v>
      </c>
      <c r="L387">
        <v>27.35</v>
      </c>
      <c r="M387">
        <v>44.33</v>
      </c>
      <c r="N387">
        <f t="shared" ref="N387:N450" si="6">MEDIAN(B387:M387)</f>
        <v>39.295000000000002</v>
      </c>
      <c r="AE387">
        <v>41.89</v>
      </c>
    </row>
    <row r="388" spans="1:31" x14ac:dyDescent="0.25">
      <c r="A388" t="s">
        <v>432</v>
      </c>
      <c r="B388">
        <v>63.48</v>
      </c>
      <c r="C388">
        <v>15.65</v>
      </c>
      <c r="D388">
        <v>0.09</v>
      </c>
      <c r="E388">
        <v>54.09</v>
      </c>
      <c r="F388">
        <v>22.21</v>
      </c>
      <c r="G388">
        <v>13.19</v>
      </c>
      <c r="H388">
        <v>30.26</v>
      </c>
      <c r="I388">
        <v>40.57</v>
      </c>
      <c r="J388">
        <v>12.65</v>
      </c>
      <c r="K388">
        <v>28.61</v>
      </c>
      <c r="L388">
        <v>161.18</v>
      </c>
      <c r="M388">
        <v>12.17</v>
      </c>
      <c r="N388">
        <f t="shared" si="6"/>
        <v>25.41</v>
      </c>
      <c r="AE388">
        <v>63.48</v>
      </c>
    </row>
    <row r="389" spans="1:31" x14ac:dyDescent="0.25">
      <c r="A389" t="s">
        <v>433</v>
      </c>
      <c r="B389">
        <v>63.28</v>
      </c>
      <c r="C389">
        <v>18.399999999999999</v>
      </c>
      <c r="D389">
        <v>47.67</v>
      </c>
      <c r="E389">
        <v>33.799999999999997</v>
      </c>
      <c r="F389">
        <v>100.71</v>
      </c>
      <c r="G389">
        <v>60.36</v>
      </c>
      <c r="H389">
        <v>0.09</v>
      </c>
      <c r="I389">
        <v>21.53</v>
      </c>
      <c r="J389">
        <v>41.78</v>
      </c>
      <c r="K389">
        <v>105.86</v>
      </c>
      <c r="L389">
        <v>96.72</v>
      </c>
      <c r="M389">
        <v>32.72</v>
      </c>
      <c r="N389">
        <f t="shared" si="6"/>
        <v>44.725000000000001</v>
      </c>
      <c r="AE389">
        <v>63.28</v>
      </c>
    </row>
    <row r="390" spans="1:31" x14ac:dyDescent="0.25">
      <c r="A390" t="s">
        <v>434</v>
      </c>
      <c r="B390">
        <v>41.46</v>
      </c>
      <c r="C390">
        <v>119.3</v>
      </c>
      <c r="D390">
        <v>50.44</v>
      </c>
      <c r="E390">
        <v>31.6</v>
      </c>
      <c r="F390">
        <v>56.67</v>
      </c>
      <c r="G390">
        <v>82.33</v>
      </c>
      <c r="H390">
        <v>35.36</v>
      </c>
      <c r="I390">
        <v>86.84</v>
      </c>
      <c r="J390">
        <v>35.090000000000003</v>
      </c>
      <c r="K390">
        <v>69.45</v>
      </c>
      <c r="L390">
        <v>122.67</v>
      </c>
      <c r="M390">
        <v>38.31</v>
      </c>
      <c r="N390">
        <f t="shared" si="6"/>
        <v>53.555</v>
      </c>
      <c r="AE390">
        <v>41.46</v>
      </c>
    </row>
    <row r="391" spans="1:31" x14ac:dyDescent="0.25">
      <c r="A391" t="s">
        <v>435</v>
      </c>
      <c r="B391">
        <v>41.46</v>
      </c>
      <c r="C391">
        <v>41.96</v>
      </c>
      <c r="D391">
        <v>106.27</v>
      </c>
      <c r="E391">
        <v>23.55</v>
      </c>
      <c r="F391">
        <v>29.72</v>
      </c>
      <c r="G391">
        <v>29.75</v>
      </c>
      <c r="H391">
        <v>60.85</v>
      </c>
      <c r="I391">
        <v>30.35</v>
      </c>
      <c r="J391">
        <v>54.54</v>
      </c>
      <c r="K391">
        <v>22.58</v>
      </c>
      <c r="L391">
        <v>53.43</v>
      </c>
      <c r="M391">
        <v>72.010000000000005</v>
      </c>
      <c r="N391">
        <f t="shared" si="6"/>
        <v>41.71</v>
      </c>
      <c r="AE391">
        <v>41.46</v>
      </c>
    </row>
    <row r="392" spans="1:31" x14ac:dyDescent="0.25">
      <c r="A392" t="s">
        <v>436</v>
      </c>
      <c r="B392">
        <v>62.23</v>
      </c>
      <c r="C392">
        <v>26.98</v>
      </c>
      <c r="D392">
        <v>7.19</v>
      </c>
      <c r="E392">
        <v>27.62</v>
      </c>
      <c r="F392">
        <v>50.54</v>
      </c>
      <c r="G392">
        <v>1.97</v>
      </c>
      <c r="H392">
        <v>9.6999999999999993</v>
      </c>
      <c r="I392">
        <v>91.59</v>
      </c>
      <c r="J392">
        <v>98.12</v>
      </c>
      <c r="K392">
        <v>185.98</v>
      </c>
      <c r="L392">
        <v>0.09</v>
      </c>
      <c r="M392">
        <v>20.94</v>
      </c>
      <c r="N392">
        <f t="shared" si="6"/>
        <v>27.3</v>
      </c>
      <c r="AE392">
        <v>62.23</v>
      </c>
    </row>
    <row r="393" spans="1:31" x14ac:dyDescent="0.25">
      <c r="A393" t="s">
        <v>437</v>
      </c>
      <c r="B393">
        <v>41.06</v>
      </c>
      <c r="C393">
        <v>62.26</v>
      </c>
      <c r="D393">
        <v>10.49</v>
      </c>
      <c r="E393">
        <v>89.79</v>
      </c>
      <c r="F393">
        <v>16.21</v>
      </c>
      <c r="G393">
        <v>22.78</v>
      </c>
      <c r="H393">
        <v>17.559999999999999</v>
      </c>
      <c r="I393">
        <v>23.62</v>
      </c>
      <c r="J393">
        <v>42.48</v>
      </c>
      <c r="K393">
        <v>159.25</v>
      </c>
      <c r="L393">
        <v>72.010000000000005</v>
      </c>
      <c r="M393">
        <v>21.67</v>
      </c>
      <c r="N393">
        <f t="shared" si="6"/>
        <v>32.340000000000003</v>
      </c>
      <c r="AE393">
        <v>41.06</v>
      </c>
    </row>
    <row r="394" spans="1:31" x14ac:dyDescent="0.25">
      <c r="A394" t="s">
        <v>438</v>
      </c>
      <c r="B394">
        <v>41.35</v>
      </c>
      <c r="C394">
        <v>31.86</v>
      </c>
      <c r="D394">
        <v>70.34</v>
      </c>
      <c r="E394">
        <v>149.15</v>
      </c>
      <c r="F394">
        <v>17.47</v>
      </c>
      <c r="G394">
        <v>42.44</v>
      </c>
      <c r="H394">
        <v>10.39</v>
      </c>
      <c r="I394">
        <v>54.2</v>
      </c>
      <c r="J394">
        <v>20.82</v>
      </c>
      <c r="K394">
        <v>10.19</v>
      </c>
      <c r="L394">
        <v>63.33</v>
      </c>
      <c r="M394">
        <v>78.510000000000005</v>
      </c>
      <c r="N394">
        <f t="shared" si="6"/>
        <v>41.894999999999996</v>
      </c>
      <c r="AE394">
        <v>41.35</v>
      </c>
    </row>
    <row r="395" spans="1:31" x14ac:dyDescent="0.25">
      <c r="A395" t="s">
        <v>439</v>
      </c>
      <c r="B395">
        <v>61.99</v>
      </c>
      <c r="C395">
        <v>13.46</v>
      </c>
      <c r="D395">
        <v>26.78</v>
      </c>
      <c r="E395">
        <v>43.68</v>
      </c>
      <c r="F395">
        <v>13.96</v>
      </c>
      <c r="G395">
        <v>0.09</v>
      </c>
      <c r="H395">
        <v>64.930000000000007</v>
      </c>
      <c r="I395">
        <v>32.51</v>
      </c>
      <c r="J395">
        <v>61.29</v>
      </c>
      <c r="K395">
        <v>34.72</v>
      </c>
      <c r="L395">
        <v>57.53</v>
      </c>
      <c r="M395">
        <v>0.09</v>
      </c>
      <c r="N395">
        <f t="shared" si="6"/>
        <v>33.614999999999995</v>
      </c>
      <c r="AE395">
        <v>61.99</v>
      </c>
    </row>
    <row r="396" spans="1:31" x14ac:dyDescent="0.25">
      <c r="A396" t="s">
        <v>440</v>
      </c>
      <c r="B396">
        <v>40.770000000000003</v>
      </c>
      <c r="C396">
        <v>109.01</v>
      </c>
      <c r="D396">
        <v>150.71</v>
      </c>
      <c r="E396">
        <v>22.4</v>
      </c>
      <c r="F396">
        <v>41.92</v>
      </c>
      <c r="G396">
        <v>81.25</v>
      </c>
      <c r="H396">
        <v>28.85</v>
      </c>
      <c r="I396">
        <v>88.15</v>
      </c>
      <c r="J396">
        <v>43.32</v>
      </c>
      <c r="K396">
        <v>58.5</v>
      </c>
      <c r="L396">
        <v>19.46</v>
      </c>
      <c r="M396">
        <v>53.2</v>
      </c>
      <c r="N396">
        <f t="shared" si="6"/>
        <v>48.260000000000005</v>
      </c>
      <c r="AE396">
        <v>40.770000000000003</v>
      </c>
    </row>
    <row r="397" spans="1:31" x14ac:dyDescent="0.25">
      <c r="A397" t="s">
        <v>441</v>
      </c>
      <c r="B397">
        <v>61.4</v>
      </c>
      <c r="C397">
        <v>16.18</v>
      </c>
      <c r="D397">
        <v>51.87</v>
      </c>
      <c r="E397">
        <v>181.73</v>
      </c>
      <c r="F397">
        <v>16.84</v>
      </c>
      <c r="G397">
        <v>81.87</v>
      </c>
      <c r="H397">
        <v>21.41</v>
      </c>
      <c r="I397">
        <v>0.63</v>
      </c>
      <c r="J397">
        <v>31.01</v>
      </c>
      <c r="K397">
        <v>82.02</v>
      </c>
      <c r="L397">
        <v>47.78</v>
      </c>
      <c r="M397">
        <v>44.53</v>
      </c>
      <c r="N397">
        <f t="shared" si="6"/>
        <v>46.155000000000001</v>
      </c>
      <c r="AE397">
        <v>61.4</v>
      </c>
    </row>
    <row r="398" spans="1:31" x14ac:dyDescent="0.25">
      <c r="A398" t="s">
        <v>442</v>
      </c>
      <c r="B398">
        <v>40.590000000000003</v>
      </c>
      <c r="C398">
        <v>54.26</v>
      </c>
      <c r="D398">
        <v>61.41</v>
      </c>
      <c r="E398">
        <v>10.09</v>
      </c>
      <c r="F398">
        <v>59.91</v>
      </c>
      <c r="G398">
        <v>268.11</v>
      </c>
      <c r="H398">
        <v>84.05</v>
      </c>
      <c r="I398">
        <v>55.11</v>
      </c>
      <c r="J398">
        <v>49.74</v>
      </c>
      <c r="K398">
        <v>22.63</v>
      </c>
      <c r="L398">
        <v>56.34</v>
      </c>
      <c r="M398">
        <v>50.26</v>
      </c>
      <c r="N398">
        <f t="shared" si="6"/>
        <v>54.685000000000002</v>
      </c>
      <c r="AE398">
        <v>40.590000000000003</v>
      </c>
    </row>
    <row r="399" spans="1:31" x14ac:dyDescent="0.25">
      <c r="A399" t="s">
        <v>443</v>
      </c>
      <c r="B399">
        <v>62.34</v>
      </c>
      <c r="C399">
        <v>50.68</v>
      </c>
      <c r="D399">
        <v>181.71</v>
      </c>
      <c r="E399">
        <v>11.45</v>
      </c>
      <c r="F399">
        <v>2.7</v>
      </c>
      <c r="G399">
        <v>22.88</v>
      </c>
      <c r="H399">
        <v>0.27</v>
      </c>
      <c r="I399">
        <v>44.68</v>
      </c>
      <c r="J399">
        <v>126.73</v>
      </c>
      <c r="K399">
        <v>81.44</v>
      </c>
      <c r="L399">
        <v>1.69</v>
      </c>
      <c r="M399">
        <v>102.37</v>
      </c>
      <c r="N399">
        <f t="shared" si="6"/>
        <v>47.68</v>
      </c>
      <c r="AE399">
        <v>62.34</v>
      </c>
    </row>
    <row r="400" spans="1:31" x14ac:dyDescent="0.25">
      <c r="A400" t="s">
        <v>444</v>
      </c>
      <c r="B400">
        <v>40.64</v>
      </c>
      <c r="C400">
        <v>66.430000000000007</v>
      </c>
      <c r="D400">
        <v>28.25</v>
      </c>
      <c r="E400">
        <v>75.61</v>
      </c>
      <c r="F400">
        <v>128.63999999999999</v>
      </c>
      <c r="G400">
        <v>41.33</v>
      </c>
      <c r="H400">
        <v>69.36</v>
      </c>
      <c r="I400">
        <v>40.39</v>
      </c>
      <c r="J400">
        <v>19.66</v>
      </c>
      <c r="K400">
        <v>31.79</v>
      </c>
      <c r="L400">
        <v>10.34</v>
      </c>
      <c r="M400">
        <v>180.32</v>
      </c>
      <c r="N400">
        <f t="shared" si="6"/>
        <v>40.984999999999999</v>
      </c>
      <c r="AE400">
        <v>40.64</v>
      </c>
    </row>
    <row r="401" spans="1:31" x14ac:dyDescent="0.25">
      <c r="A401" t="s">
        <v>445</v>
      </c>
      <c r="B401">
        <v>60.77</v>
      </c>
      <c r="C401">
        <v>27.91</v>
      </c>
      <c r="D401">
        <v>61.86</v>
      </c>
      <c r="E401">
        <v>134.27000000000001</v>
      </c>
      <c r="F401">
        <v>10.15</v>
      </c>
      <c r="G401">
        <v>54.24</v>
      </c>
      <c r="H401">
        <v>40.909999999999997</v>
      </c>
      <c r="I401">
        <v>31.3</v>
      </c>
      <c r="J401">
        <v>141.13</v>
      </c>
      <c r="K401">
        <v>29.44</v>
      </c>
      <c r="L401">
        <v>43.89</v>
      </c>
      <c r="M401">
        <v>60.14</v>
      </c>
      <c r="N401">
        <f t="shared" si="6"/>
        <v>49.064999999999998</v>
      </c>
      <c r="AE401">
        <v>60.77</v>
      </c>
    </row>
    <row r="402" spans="1:31" x14ac:dyDescent="0.25">
      <c r="A402" t="s">
        <v>446</v>
      </c>
      <c r="B402">
        <v>60.46</v>
      </c>
      <c r="C402">
        <v>109.31</v>
      </c>
      <c r="D402">
        <v>53.37</v>
      </c>
      <c r="E402">
        <v>19.07</v>
      </c>
      <c r="F402">
        <v>55.74</v>
      </c>
      <c r="G402">
        <v>7.45</v>
      </c>
      <c r="H402">
        <v>26.31</v>
      </c>
      <c r="I402">
        <v>2.38</v>
      </c>
      <c r="J402">
        <v>49.56</v>
      </c>
      <c r="K402">
        <v>138.25</v>
      </c>
      <c r="L402">
        <v>61.64</v>
      </c>
      <c r="M402">
        <v>0.36</v>
      </c>
      <c r="N402">
        <f t="shared" si="6"/>
        <v>51.465000000000003</v>
      </c>
      <c r="AE402">
        <v>60.46</v>
      </c>
    </row>
    <row r="403" spans="1:31" x14ac:dyDescent="0.25">
      <c r="A403" t="s">
        <v>447</v>
      </c>
      <c r="B403">
        <v>40.11</v>
      </c>
      <c r="C403">
        <v>27.91</v>
      </c>
      <c r="D403">
        <v>67.790000000000006</v>
      </c>
      <c r="E403">
        <v>10.39</v>
      </c>
      <c r="F403">
        <v>94.67</v>
      </c>
      <c r="G403">
        <v>32.57</v>
      </c>
      <c r="H403">
        <v>86.35</v>
      </c>
      <c r="I403">
        <v>17.46</v>
      </c>
      <c r="J403">
        <v>87.9</v>
      </c>
      <c r="K403">
        <v>24.01</v>
      </c>
      <c r="L403">
        <v>47.26</v>
      </c>
      <c r="M403">
        <v>32.22</v>
      </c>
      <c r="N403">
        <f t="shared" si="6"/>
        <v>36.340000000000003</v>
      </c>
      <c r="AE403">
        <v>40.11</v>
      </c>
    </row>
    <row r="404" spans="1:31" x14ac:dyDescent="0.25">
      <c r="A404" t="s">
        <v>448</v>
      </c>
      <c r="B404">
        <v>61.3</v>
      </c>
      <c r="C404">
        <v>30.45</v>
      </c>
      <c r="D404">
        <v>53.02</v>
      </c>
      <c r="E404">
        <v>13.1</v>
      </c>
      <c r="F404">
        <v>10.27</v>
      </c>
      <c r="G404">
        <v>59.32</v>
      </c>
      <c r="H404">
        <v>130.47999999999999</v>
      </c>
      <c r="I404">
        <v>0.36</v>
      </c>
      <c r="J404">
        <v>18.239999999999998</v>
      </c>
      <c r="K404">
        <v>26.46</v>
      </c>
      <c r="L404">
        <v>85.79</v>
      </c>
      <c r="M404">
        <v>23.12</v>
      </c>
      <c r="N404">
        <f t="shared" si="6"/>
        <v>28.454999999999998</v>
      </c>
      <c r="AE404">
        <v>61.3</v>
      </c>
    </row>
    <row r="405" spans="1:31" x14ac:dyDescent="0.25">
      <c r="A405" t="s">
        <v>449</v>
      </c>
      <c r="B405">
        <v>60.72</v>
      </c>
      <c r="C405">
        <v>23.06</v>
      </c>
      <c r="D405">
        <v>319.38</v>
      </c>
      <c r="E405">
        <v>58.36</v>
      </c>
      <c r="F405">
        <v>44.15</v>
      </c>
      <c r="G405">
        <v>21.76</v>
      </c>
      <c r="H405">
        <v>44.66</v>
      </c>
      <c r="I405">
        <v>11.45</v>
      </c>
      <c r="J405">
        <v>4.29</v>
      </c>
      <c r="K405">
        <v>26.46</v>
      </c>
      <c r="L405">
        <v>12.08</v>
      </c>
      <c r="M405">
        <v>75.760000000000005</v>
      </c>
      <c r="N405">
        <f t="shared" si="6"/>
        <v>35.305</v>
      </c>
      <c r="AE405">
        <v>60.72</v>
      </c>
    </row>
    <row r="406" spans="1:31" x14ac:dyDescent="0.25">
      <c r="A406" t="s">
        <v>450</v>
      </c>
      <c r="B406">
        <v>60.94</v>
      </c>
      <c r="C406">
        <v>40.409999999999997</v>
      </c>
      <c r="D406">
        <v>53.53</v>
      </c>
      <c r="E406">
        <v>21.35</v>
      </c>
      <c r="F406">
        <v>0.27</v>
      </c>
      <c r="G406">
        <v>14.24</v>
      </c>
      <c r="H406">
        <v>76.069999999999993</v>
      </c>
      <c r="I406">
        <v>52.25</v>
      </c>
      <c r="J406">
        <v>27.58</v>
      </c>
      <c r="K406">
        <v>75.14</v>
      </c>
      <c r="L406">
        <v>142.85</v>
      </c>
      <c r="M406">
        <v>10.92</v>
      </c>
      <c r="N406">
        <f t="shared" si="6"/>
        <v>46.33</v>
      </c>
      <c r="AE406">
        <v>60.94</v>
      </c>
    </row>
    <row r="407" spans="1:31" x14ac:dyDescent="0.25">
      <c r="A407" t="s">
        <v>451</v>
      </c>
      <c r="B407">
        <v>61.05</v>
      </c>
      <c r="C407">
        <v>10.97</v>
      </c>
      <c r="D407">
        <v>139.31</v>
      </c>
      <c r="E407">
        <v>33.229999999999997</v>
      </c>
      <c r="F407">
        <v>0.09</v>
      </c>
      <c r="G407">
        <v>38.11</v>
      </c>
      <c r="H407">
        <v>21.21</v>
      </c>
      <c r="I407">
        <v>139.97</v>
      </c>
      <c r="J407">
        <v>75.33</v>
      </c>
      <c r="K407">
        <v>70.599999999999994</v>
      </c>
      <c r="L407">
        <v>52.14</v>
      </c>
      <c r="M407">
        <v>62.28</v>
      </c>
      <c r="N407">
        <f t="shared" si="6"/>
        <v>56.594999999999999</v>
      </c>
      <c r="AE407">
        <v>61.05</v>
      </c>
    </row>
    <row r="408" spans="1:31" x14ac:dyDescent="0.25">
      <c r="A408" t="s">
        <v>452</v>
      </c>
      <c r="B408">
        <v>59.66</v>
      </c>
      <c r="C408">
        <v>37.85</v>
      </c>
      <c r="D408">
        <v>0.82</v>
      </c>
      <c r="E408">
        <v>79.38</v>
      </c>
      <c r="F408">
        <v>87.8</v>
      </c>
      <c r="G408">
        <v>56.4</v>
      </c>
      <c r="H408">
        <v>18.34</v>
      </c>
      <c r="I408">
        <v>38.79</v>
      </c>
      <c r="J408">
        <v>26.21</v>
      </c>
      <c r="K408">
        <v>77.400000000000006</v>
      </c>
      <c r="L408">
        <v>52.93</v>
      </c>
      <c r="M408">
        <v>0.63</v>
      </c>
      <c r="N408">
        <f t="shared" si="6"/>
        <v>45.86</v>
      </c>
      <c r="AE408">
        <v>59.66</v>
      </c>
    </row>
    <row r="409" spans="1:31" x14ac:dyDescent="0.25">
      <c r="A409" t="s">
        <v>453</v>
      </c>
      <c r="B409">
        <v>39.83</v>
      </c>
      <c r="C409">
        <v>55.8</v>
      </c>
      <c r="D409">
        <v>43.99</v>
      </c>
      <c r="E409">
        <v>15.85</v>
      </c>
      <c r="F409">
        <v>10.039999999999999</v>
      </c>
      <c r="G409">
        <v>132.03</v>
      </c>
      <c r="H409">
        <v>15.47</v>
      </c>
      <c r="I409">
        <v>31.73</v>
      </c>
      <c r="J409">
        <v>70.2</v>
      </c>
      <c r="K409">
        <v>35</v>
      </c>
      <c r="L409">
        <v>10.09</v>
      </c>
      <c r="M409">
        <v>30.75</v>
      </c>
      <c r="N409">
        <f t="shared" si="6"/>
        <v>33.365000000000002</v>
      </c>
      <c r="AE409">
        <v>39.83</v>
      </c>
    </row>
    <row r="410" spans="1:31" x14ac:dyDescent="0.25">
      <c r="A410" t="s">
        <v>454</v>
      </c>
      <c r="B410">
        <v>40.03</v>
      </c>
      <c r="C410">
        <v>50.73</v>
      </c>
      <c r="D410">
        <v>25.46</v>
      </c>
      <c r="E410">
        <v>23.56</v>
      </c>
      <c r="F410">
        <v>62.51</v>
      </c>
      <c r="G410">
        <v>131.06</v>
      </c>
      <c r="H410">
        <v>25.67</v>
      </c>
      <c r="I410">
        <v>34.17</v>
      </c>
      <c r="J410">
        <v>10.93</v>
      </c>
      <c r="K410">
        <v>16.38</v>
      </c>
      <c r="L410">
        <v>29.79</v>
      </c>
      <c r="M410">
        <v>39.700000000000003</v>
      </c>
      <c r="N410">
        <f t="shared" si="6"/>
        <v>31.98</v>
      </c>
      <c r="AE410">
        <v>40.03</v>
      </c>
    </row>
    <row r="411" spans="1:31" x14ac:dyDescent="0.25">
      <c r="A411" t="s">
        <v>455</v>
      </c>
      <c r="B411">
        <v>59.56</v>
      </c>
      <c r="C411">
        <v>12.15</v>
      </c>
      <c r="D411">
        <v>29.6</v>
      </c>
      <c r="E411">
        <v>34.17</v>
      </c>
      <c r="F411">
        <v>9.8800000000000008</v>
      </c>
      <c r="G411">
        <v>30.01</v>
      </c>
      <c r="H411">
        <v>73.97</v>
      </c>
      <c r="I411">
        <v>26.57</v>
      </c>
      <c r="J411">
        <v>11.98</v>
      </c>
      <c r="K411">
        <v>22.81</v>
      </c>
      <c r="L411">
        <v>151.97</v>
      </c>
      <c r="M411">
        <v>63.14</v>
      </c>
      <c r="N411">
        <f t="shared" si="6"/>
        <v>29.805</v>
      </c>
      <c r="AE411">
        <v>59.56</v>
      </c>
    </row>
    <row r="412" spans="1:31" x14ac:dyDescent="0.25">
      <c r="A412" t="s">
        <v>456</v>
      </c>
      <c r="B412">
        <v>40.020000000000003</v>
      </c>
      <c r="C412">
        <v>45.33</v>
      </c>
      <c r="D412">
        <v>34.340000000000003</v>
      </c>
      <c r="E412">
        <v>23.71</v>
      </c>
      <c r="F412">
        <v>93.89</v>
      </c>
      <c r="G412">
        <v>40.67</v>
      </c>
      <c r="H412">
        <v>50.06</v>
      </c>
      <c r="I412">
        <v>36.44</v>
      </c>
      <c r="J412">
        <v>16.45</v>
      </c>
      <c r="K412">
        <v>52.29</v>
      </c>
      <c r="L412">
        <v>35.44</v>
      </c>
      <c r="M412">
        <v>100.6</v>
      </c>
      <c r="N412">
        <f t="shared" si="6"/>
        <v>40.344999999999999</v>
      </c>
      <c r="AE412">
        <v>40.020000000000003</v>
      </c>
    </row>
    <row r="413" spans="1:31" x14ac:dyDescent="0.25">
      <c r="A413" t="s">
        <v>457</v>
      </c>
      <c r="B413">
        <v>59.77</v>
      </c>
      <c r="C413">
        <v>22.03</v>
      </c>
      <c r="D413">
        <v>65.53</v>
      </c>
      <c r="E413">
        <v>58.57</v>
      </c>
      <c r="F413">
        <v>5.4</v>
      </c>
      <c r="G413">
        <v>6.98</v>
      </c>
      <c r="H413">
        <v>12.07</v>
      </c>
      <c r="I413">
        <v>72</v>
      </c>
      <c r="J413">
        <v>49.42</v>
      </c>
      <c r="K413">
        <v>112.93</v>
      </c>
      <c r="L413">
        <v>86.06</v>
      </c>
      <c r="M413">
        <v>149.75</v>
      </c>
      <c r="N413">
        <f t="shared" si="6"/>
        <v>59.17</v>
      </c>
      <c r="AE413">
        <v>59.77</v>
      </c>
    </row>
    <row r="414" spans="1:31" x14ac:dyDescent="0.25">
      <c r="A414" t="s">
        <v>458</v>
      </c>
      <c r="B414">
        <v>59.59</v>
      </c>
      <c r="C414">
        <v>16.440000000000001</v>
      </c>
      <c r="D414">
        <v>72.540000000000006</v>
      </c>
      <c r="E414">
        <v>29.87</v>
      </c>
      <c r="F414">
        <v>78.08</v>
      </c>
      <c r="G414">
        <v>69.900000000000006</v>
      </c>
      <c r="H414">
        <v>61.24</v>
      </c>
      <c r="I414">
        <v>80.14</v>
      </c>
      <c r="J414">
        <v>53.28</v>
      </c>
      <c r="K414">
        <v>3.72</v>
      </c>
      <c r="L414">
        <v>26.31</v>
      </c>
      <c r="M414">
        <v>7.62</v>
      </c>
      <c r="N414">
        <f t="shared" si="6"/>
        <v>56.435000000000002</v>
      </c>
      <c r="AE414">
        <v>59.59</v>
      </c>
    </row>
    <row r="415" spans="1:31" x14ac:dyDescent="0.25">
      <c r="A415" t="s">
        <v>459</v>
      </c>
      <c r="B415">
        <v>59.55</v>
      </c>
      <c r="C415">
        <v>23.67</v>
      </c>
      <c r="D415">
        <v>0.72</v>
      </c>
      <c r="E415">
        <v>78.790000000000006</v>
      </c>
      <c r="F415">
        <v>72.67</v>
      </c>
      <c r="G415">
        <v>47.16</v>
      </c>
      <c r="H415">
        <v>156.21</v>
      </c>
      <c r="I415">
        <v>0.45</v>
      </c>
      <c r="J415">
        <v>18.760000000000002</v>
      </c>
      <c r="K415">
        <v>137.75</v>
      </c>
      <c r="L415">
        <v>42.92</v>
      </c>
      <c r="M415">
        <v>41</v>
      </c>
      <c r="N415">
        <f t="shared" si="6"/>
        <v>45.04</v>
      </c>
      <c r="AE415">
        <v>59.55</v>
      </c>
    </row>
    <row r="416" spans="1:31" x14ac:dyDescent="0.25">
      <c r="A416" t="s">
        <v>460</v>
      </c>
      <c r="B416">
        <v>39.51</v>
      </c>
      <c r="C416">
        <v>14.06</v>
      </c>
      <c r="D416">
        <v>48.6</v>
      </c>
      <c r="E416">
        <v>60.95</v>
      </c>
      <c r="F416">
        <v>30.59</v>
      </c>
      <c r="G416">
        <v>26.47</v>
      </c>
      <c r="H416">
        <v>70.22</v>
      </c>
      <c r="I416">
        <v>58.22</v>
      </c>
      <c r="J416">
        <v>159.28</v>
      </c>
      <c r="K416">
        <v>22.39</v>
      </c>
      <c r="L416">
        <v>93.18</v>
      </c>
      <c r="M416">
        <v>13.02</v>
      </c>
      <c r="N416">
        <f t="shared" si="6"/>
        <v>44.055</v>
      </c>
      <c r="AE416">
        <v>39.51</v>
      </c>
    </row>
    <row r="417" spans="1:31" x14ac:dyDescent="0.25">
      <c r="A417" t="s">
        <v>461</v>
      </c>
      <c r="B417">
        <v>39.409999999999997</v>
      </c>
      <c r="C417">
        <v>82.82</v>
      </c>
      <c r="D417">
        <v>49.58</v>
      </c>
      <c r="E417">
        <v>64.63</v>
      </c>
      <c r="F417">
        <v>33.26</v>
      </c>
      <c r="G417">
        <v>51.56</v>
      </c>
      <c r="H417">
        <v>10.039999999999999</v>
      </c>
      <c r="I417">
        <v>169.1</v>
      </c>
      <c r="J417">
        <v>63.88</v>
      </c>
      <c r="K417">
        <v>81.599999999999994</v>
      </c>
      <c r="L417">
        <v>48.36</v>
      </c>
      <c r="M417">
        <v>16.57</v>
      </c>
      <c r="N417">
        <f t="shared" si="6"/>
        <v>50.57</v>
      </c>
      <c r="AE417">
        <v>39.409999999999997</v>
      </c>
    </row>
    <row r="418" spans="1:31" x14ac:dyDescent="0.25">
      <c r="A418" t="s">
        <v>462</v>
      </c>
      <c r="B418">
        <v>39.299999999999997</v>
      </c>
      <c r="C418">
        <v>21</v>
      </c>
      <c r="D418">
        <v>84.36</v>
      </c>
      <c r="E418">
        <v>303.87</v>
      </c>
      <c r="F418">
        <v>20.96</v>
      </c>
      <c r="G418">
        <v>72.92</v>
      </c>
      <c r="H418">
        <v>83.75</v>
      </c>
      <c r="I418">
        <v>204.05</v>
      </c>
      <c r="J418">
        <v>22.82</v>
      </c>
      <c r="K418">
        <v>67.34</v>
      </c>
      <c r="L418">
        <v>26.38</v>
      </c>
      <c r="M418">
        <v>47.87</v>
      </c>
      <c r="N418">
        <f t="shared" si="6"/>
        <v>57.605000000000004</v>
      </c>
      <c r="AE418">
        <v>39.299999999999997</v>
      </c>
    </row>
    <row r="419" spans="1:31" x14ac:dyDescent="0.25">
      <c r="A419" t="s">
        <v>463</v>
      </c>
      <c r="B419">
        <v>39.119999999999997</v>
      </c>
      <c r="C419">
        <v>10.039999999999999</v>
      </c>
      <c r="D419">
        <v>30.35</v>
      </c>
      <c r="E419">
        <v>28.38</v>
      </c>
      <c r="F419">
        <v>9.99</v>
      </c>
      <c r="G419">
        <v>103.05</v>
      </c>
      <c r="H419">
        <v>10.09</v>
      </c>
      <c r="I419">
        <v>29.11</v>
      </c>
      <c r="J419">
        <v>21.44</v>
      </c>
      <c r="K419">
        <v>182.97</v>
      </c>
      <c r="L419">
        <v>73.290000000000006</v>
      </c>
      <c r="M419">
        <v>40.130000000000003</v>
      </c>
      <c r="N419">
        <f t="shared" si="6"/>
        <v>29.73</v>
      </c>
      <c r="AE419">
        <v>39.119999999999997</v>
      </c>
    </row>
    <row r="420" spans="1:31" x14ac:dyDescent="0.25">
      <c r="A420" t="s">
        <v>464</v>
      </c>
      <c r="B420">
        <v>58.17</v>
      </c>
      <c r="C420">
        <v>19.100000000000001</v>
      </c>
      <c r="D420">
        <v>43.98</v>
      </c>
      <c r="E420">
        <v>82.89</v>
      </c>
      <c r="F420">
        <v>9.5399999999999991</v>
      </c>
      <c r="G420">
        <v>12.99</v>
      </c>
      <c r="H420">
        <v>143.03</v>
      </c>
      <c r="I420">
        <v>83.34</v>
      </c>
      <c r="J420">
        <v>35.11</v>
      </c>
      <c r="K420">
        <v>34.17</v>
      </c>
      <c r="L420">
        <v>17.46</v>
      </c>
      <c r="M420">
        <v>71.900000000000006</v>
      </c>
      <c r="N420">
        <f t="shared" si="6"/>
        <v>39.545000000000002</v>
      </c>
      <c r="AE420">
        <v>58.17</v>
      </c>
    </row>
    <row r="421" spans="1:31" x14ac:dyDescent="0.25">
      <c r="A421" t="s">
        <v>465</v>
      </c>
      <c r="B421">
        <v>38.94</v>
      </c>
      <c r="C421">
        <v>10.59</v>
      </c>
      <c r="D421">
        <v>25.27</v>
      </c>
      <c r="E421">
        <v>14.9</v>
      </c>
      <c r="F421">
        <v>10.14</v>
      </c>
      <c r="G421">
        <v>16.149999999999999</v>
      </c>
      <c r="H421">
        <v>157.02000000000001</v>
      </c>
      <c r="I421">
        <v>21.06</v>
      </c>
      <c r="J421">
        <v>31.2</v>
      </c>
      <c r="K421">
        <v>56.99</v>
      </c>
      <c r="L421">
        <v>47.18</v>
      </c>
      <c r="M421">
        <v>109.21</v>
      </c>
      <c r="N421">
        <f t="shared" si="6"/>
        <v>28.234999999999999</v>
      </c>
      <c r="AE421">
        <v>38.94</v>
      </c>
    </row>
    <row r="422" spans="1:31" x14ac:dyDescent="0.25">
      <c r="A422" t="s">
        <v>466</v>
      </c>
      <c r="B422">
        <v>58.07</v>
      </c>
      <c r="C422">
        <v>31.78</v>
      </c>
      <c r="D422">
        <v>379.96</v>
      </c>
      <c r="E422">
        <v>48.86</v>
      </c>
      <c r="F422">
        <v>148.52000000000001</v>
      </c>
      <c r="G422">
        <v>149.18</v>
      </c>
      <c r="H422">
        <v>1.2</v>
      </c>
      <c r="I422">
        <v>0.63</v>
      </c>
      <c r="J422">
        <v>278.69</v>
      </c>
      <c r="K422">
        <v>26.08</v>
      </c>
      <c r="L422">
        <v>12.4</v>
      </c>
      <c r="M422">
        <v>53.65</v>
      </c>
      <c r="N422">
        <f t="shared" si="6"/>
        <v>51.254999999999995</v>
      </c>
      <c r="AE422">
        <v>58.07</v>
      </c>
    </row>
    <row r="423" spans="1:31" x14ac:dyDescent="0.25">
      <c r="A423" t="s">
        <v>467</v>
      </c>
      <c r="B423">
        <v>38.979999999999997</v>
      </c>
      <c r="C423">
        <v>52.57</v>
      </c>
      <c r="D423">
        <v>87.42</v>
      </c>
      <c r="E423">
        <v>32.799999999999997</v>
      </c>
      <c r="F423">
        <v>28.72</v>
      </c>
      <c r="G423">
        <v>45.51</v>
      </c>
      <c r="H423">
        <v>11.02</v>
      </c>
      <c r="I423">
        <v>35.659999999999997</v>
      </c>
      <c r="J423">
        <v>22.91</v>
      </c>
      <c r="K423">
        <v>101.03</v>
      </c>
      <c r="L423">
        <v>10.19</v>
      </c>
      <c r="M423">
        <v>23.76</v>
      </c>
      <c r="N423">
        <f t="shared" si="6"/>
        <v>34.229999999999997</v>
      </c>
      <c r="AE423">
        <v>38.979999999999997</v>
      </c>
    </row>
    <row r="424" spans="1:31" x14ac:dyDescent="0.25">
      <c r="A424" t="s">
        <v>468</v>
      </c>
      <c r="B424">
        <v>57.72</v>
      </c>
      <c r="C424">
        <v>0</v>
      </c>
      <c r="D424">
        <v>35</v>
      </c>
      <c r="E424">
        <v>21.82</v>
      </c>
      <c r="F424">
        <v>74.72</v>
      </c>
      <c r="G424">
        <v>5.22</v>
      </c>
      <c r="H424">
        <v>12.16</v>
      </c>
      <c r="I424">
        <v>47.79</v>
      </c>
      <c r="J424">
        <v>10.7</v>
      </c>
      <c r="K424">
        <v>22.76</v>
      </c>
      <c r="L424">
        <v>17.899999999999999</v>
      </c>
      <c r="M424">
        <v>12.5</v>
      </c>
      <c r="N424">
        <f t="shared" si="6"/>
        <v>19.86</v>
      </c>
      <c r="AE424">
        <v>57.72</v>
      </c>
    </row>
    <row r="425" spans="1:31" x14ac:dyDescent="0.25">
      <c r="A425" t="s">
        <v>469</v>
      </c>
      <c r="B425">
        <v>57.49</v>
      </c>
      <c r="C425">
        <v>58.56</v>
      </c>
      <c r="D425">
        <v>31.49</v>
      </c>
      <c r="E425">
        <v>31.92</v>
      </c>
      <c r="F425">
        <v>90</v>
      </c>
      <c r="G425">
        <v>205.98</v>
      </c>
      <c r="H425">
        <v>20.51</v>
      </c>
      <c r="I425">
        <v>7.6</v>
      </c>
      <c r="J425">
        <v>65.52</v>
      </c>
      <c r="K425">
        <v>124.91</v>
      </c>
      <c r="L425">
        <v>102.99</v>
      </c>
      <c r="M425">
        <v>87.11</v>
      </c>
      <c r="N425">
        <f t="shared" si="6"/>
        <v>62.04</v>
      </c>
      <c r="AE425">
        <v>57.49</v>
      </c>
    </row>
    <row r="426" spans="1:31" x14ac:dyDescent="0.25">
      <c r="A426" t="s">
        <v>470</v>
      </c>
      <c r="B426">
        <v>57.57</v>
      </c>
      <c r="C426">
        <v>43.73</v>
      </c>
      <c r="D426">
        <v>22.37</v>
      </c>
      <c r="E426">
        <v>107.59</v>
      </c>
      <c r="F426">
        <v>7.87</v>
      </c>
      <c r="G426">
        <v>25</v>
      </c>
      <c r="H426">
        <v>58.26</v>
      </c>
      <c r="I426">
        <v>64.27</v>
      </c>
      <c r="J426">
        <v>186.51</v>
      </c>
      <c r="K426">
        <v>4.88</v>
      </c>
      <c r="L426">
        <v>52.99</v>
      </c>
      <c r="M426">
        <v>0.45</v>
      </c>
      <c r="N426">
        <f t="shared" si="6"/>
        <v>48.36</v>
      </c>
      <c r="AE426">
        <v>57.57</v>
      </c>
    </row>
    <row r="427" spans="1:31" x14ac:dyDescent="0.25">
      <c r="A427" t="s">
        <v>471</v>
      </c>
      <c r="B427">
        <v>57.36</v>
      </c>
      <c r="C427">
        <v>28.87</v>
      </c>
      <c r="D427">
        <v>43.9</v>
      </c>
      <c r="E427">
        <v>303.23</v>
      </c>
      <c r="F427">
        <v>115.01</v>
      </c>
      <c r="G427">
        <v>165.31</v>
      </c>
      <c r="H427">
        <v>1.8</v>
      </c>
      <c r="I427">
        <v>9.02</v>
      </c>
      <c r="J427">
        <v>0.36</v>
      </c>
      <c r="K427">
        <v>29.1</v>
      </c>
      <c r="L427">
        <v>42.14</v>
      </c>
      <c r="M427">
        <v>85.35</v>
      </c>
      <c r="N427">
        <f t="shared" si="6"/>
        <v>43.019999999999996</v>
      </c>
      <c r="AE427">
        <v>57.36</v>
      </c>
    </row>
    <row r="428" spans="1:31" x14ac:dyDescent="0.25">
      <c r="A428" t="s">
        <v>472</v>
      </c>
      <c r="B428">
        <v>57.61</v>
      </c>
      <c r="C428">
        <v>4.3600000000000003</v>
      </c>
      <c r="D428">
        <v>112.93</v>
      </c>
      <c r="E428">
        <v>89.88</v>
      </c>
      <c r="F428">
        <v>116.85</v>
      </c>
      <c r="G428">
        <v>11.55</v>
      </c>
      <c r="H428">
        <v>21.09</v>
      </c>
      <c r="I428">
        <v>31.97</v>
      </c>
      <c r="J428">
        <v>49.22</v>
      </c>
      <c r="K428">
        <v>22.69</v>
      </c>
      <c r="L428">
        <v>41.17</v>
      </c>
      <c r="M428">
        <v>3.83</v>
      </c>
      <c r="N428">
        <f t="shared" si="6"/>
        <v>36.57</v>
      </c>
      <c r="AE428">
        <v>57.61</v>
      </c>
    </row>
    <row r="429" spans="1:31" x14ac:dyDescent="0.25">
      <c r="A429" t="s">
        <v>473</v>
      </c>
      <c r="B429">
        <v>57.52</v>
      </c>
      <c r="C429">
        <v>65.97</v>
      </c>
      <c r="D429">
        <v>82.98</v>
      </c>
      <c r="E429">
        <v>2.85</v>
      </c>
      <c r="F429">
        <v>5.99</v>
      </c>
      <c r="G429">
        <v>30.63</v>
      </c>
      <c r="H429">
        <v>39.44</v>
      </c>
      <c r="I429">
        <v>122.26</v>
      </c>
      <c r="J429">
        <v>34.35</v>
      </c>
      <c r="K429">
        <v>23.5</v>
      </c>
      <c r="L429">
        <v>8.0399999999999991</v>
      </c>
      <c r="M429">
        <v>2.21</v>
      </c>
      <c r="N429">
        <f t="shared" si="6"/>
        <v>32.49</v>
      </c>
      <c r="AE429">
        <v>57.52</v>
      </c>
    </row>
    <row r="430" spans="1:31" x14ac:dyDescent="0.25">
      <c r="A430" t="s">
        <v>474</v>
      </c>
      <c r="B430">
        <v>57.27</v>
      </c>
      <c r="C430">
        <v>107.92</v>
      </c>
      <c r="D430">
        <v>59.23</v>
      </c>
      <c r="E430">
        <v>5.15</v>
      </c>
      <c r="F430">
        <v>148.88</v>
      </c>
      <c r="G430">
        <v>0.36</v>
      </c>
      <c r="H430">
        <v>4.33</v>
      </c>
      <c r="I430">
        <v>24.35</v>
      </c>
      <c r="J430">
        <v>0.36</v>
      </c>
      <c r="K430">
        <v>8.16</v>
      </c>
      <c r="L430">
        <v>9.9700000000000006</v>
      </c>
      <c r="M430">
        <v>37.950000000000003</v>
      </c>
      <c r="N430">
        <f t="shared" si="6"/>
        <v>17.16</v>
      </c>
      <c r="AE430">
        <v>57.27</v>
      </c>
    </row>
    <row r="431" spans="1:31" x14ac:dyDescent="0.25">
      <c r="A431" t="s">
        <v>475</v>
      </c>
      <c r="B431">
        <v>56.3</v>
      </c>
      <c r="C431">
        <v>89.75</v>
      </c>
      <c r="D431">
        <v>26.97</v>
      </c>
      <c r="E431">
        <v>4.26</v>
      </c>
      <c r="F431">
        <v>135.53</v>
      </c>
      <c r="G431">
        <v>5.9</v>
      </c>
      <c r="H431">
        <v>42.8</v>
      </c>
      <c r="I431">
        <v>57.55</v>
      </c>
      <c r="J431">
        <v>69.599999999999994</v>
      </c>
      <c r="K431">
        <v>49.62</v>
      </c>
      <c r="L431">
        <v>93.93</v>
      </c>
      <c r="M431">
        <v>11.77</v>
      </c>
      <c r="N431">
        <f t="shared" si="6"/>
        <v>52.959999999999994</v>
      </c>
      <c r="AE431">
        <v>56.3</v>
      </c>
    </row>
    <row r="432" spans="1:31" x14ac:dyDescent="0.25">
      <c r="A432" t="s">
        <v>476</v>
      </c>
      <c r="B432">
        <v>56.83</v>
      </c>
      <c r="C432">
        <v>20.89</v>
      </c>
      <c r="D432">
        <v>50.28</v>
      </c>
      <c r="E432">
        <v>11.59</v>
      </c>
      <c r="F432">
        <v>69.81</v>
      </c>
      <c r="G432">
        <v>14.32</v>
      </c>
      <c r="H432">
        <v>79.66</v>
      </c>
      <c r="I432">
        <v>73.63</v>
      </c>
      <c r="J432">
        <v>60.16</v>
      </c>
      <c r="K432">
        <v>120.14</v>
      </c>
      <c r="L432">
        <v>78.650000000000006</v>
      </c>
      <c r="M432">
        <v>26.7</v>
      </c>
      <c r="N432">
        <f t="shared" si="6"/>
        <v>58.494999999999997</v>
      </c>
      <c r="AE432">
        <v>56.83</v>
      </c>
    </row>
    <row r="433" spans="1:31" x14ac:dyDescent="0.25">
      <c r="A433" t="s">
        <v>477</v>
      </c>
      <c r="B433">
        <v>38.090000000000003</v>
      </c>
      <c r="C433">
        <v>87.15</v>
      </c>
      <c r="D433">
        <v>140.57</v>
      </c>
      <c r="E433">
        <v>9.99</v>
      </c>
      <c r="F433">
        <v>47.29</v>
      </c>
      <c r="G433">
        <v>68.73</v>
      </c>
      <c r="H433">
        <v>42.24</v>
      </c>
      <c r="I433">
        <v>38.24</v>
      </c>
      <c r="J433">
        <v>42.39</v>
      </c>
      <c r="K433">
        <v>21.52</v>
      </c>
      <c r="L433">
        <v>30.43</v>
      </c>
      <c r="M433">
        <v>183.06</v>
      </c>
      <c r="N433">
        <f t="shared" si="6"/>
        <v>42.314999999999998</v>
      </c>
      <c r="AE433">
        <v>38.090000000000003</v>
      </c>
    </row>
    <row r="434" spans="1:31" x14ac:dyDescent="0.25">
      <c r="A434" t="s">
        <v>478</v>
      </c>
      <c r="B434">
        <v>55.94</v>
      </c>
      <c r="C434">
        <v>5.12</v>
      </c>
      <c r="D434">
        <v>90.68</v>
      </c>
      <c r="E434">
        <v>81.290000000000006</v>
      </c>
      <c r="F434">
        <v>39.39</v>
      </c>
      <c r="G434">
        <v>51.9</v>
      </c>
      <c r="H434">
        <v>243.62</v>
      </c>
      <c r="I434">
        <v>11.36</v>
      </c>
      <c r="J434">
        <v>4.76</v>
      </c>
      <c r="K434">
        <v>60.63</v>
      </c>
      <c r="L434">
        <v>74.16</v>
      </c>
      <c r="M434">
        <v>1.63</v>
      </c>
      <c r="N434">
        <f t="shared" si="6"/>
        <v>53.92</v>
      </c>
      <c r="AE434">
        <v>55.94</v>
      </c>
    </row>
    <row r="435" spans="1:31" x14ac:dyDescent="0.25">
      <c r="A435" t="s">
        <v>479</v>
      </c>
      <c r="B435">
        <v>56.1</v>
      </c>
      <c r="C435">
        <v>40.53</v>
      </c>
      <c r="D435">
        <v>0.09</v>
      </c>
      <c r="E435">
        <v>3.85</v>
      </c>
      <c r="F435">
        <v>56.23</v>
      </c>
      <c r="G435">
        <v>4.78</v>
      </c>
      <c r="H435">
        <v>76.88</v>
      </c>
      <c r="I435">
        <v>31.25</v>
      </c>
      <c r="J435">
        <v>64.459999999999994</v>
      </c>
      <c r="K435">
        <v>217.17</v>
      </c>
      <c r="L435">
        <v>70.06</v>
      </c>
      <c r="M435">
        <v>94.32</v>
      </c>
      <c r="N435">
        <f t="shared" si="6"/>
        <v>56.164999999999999</v>
      </c>
      <c r="AE435">
        <v>56.1</v>
      </c>
    </row>
    <row r="436" spans="1:31" x14ac:dyDescent="0.25">
      <c r="A436" t="s">
        <v>480</v>
      </c>
      <c r="B436">
        <v>37.94</v>
      </c>
      <c r="C436">
        <v>35.44</v>
      </c>
      <c r="D436">
        <v>18.47</v>
      </c>
      <c r="E436">
        <v>58.89</v>
      </c>
      <c r="F436">
        <v>20.94</v>
      </c>
      <c r="G436">
        <v>45.09</v>
      </c>
      <c r="H436">
        <v>43.36</v>
      </c>
      <c r="I436">
        <v>21.71</v>
      </c>
      <c r="J436">
        <v>70.86</v>
      </c>
      <c r="K436">
        <v>45.64</v>
      </c>
      <c r="L436">
        <v>57.38</v>
      </c>
      <c r="M436">
        <v>35.57</v>
      </c>
      <c r="N436">
        <f t="shared" si="6"/>
        <v>40.65</v>
      </c>
      <c r="AE436">
        <v>37.94</v>
      </c>
    </row>
    <row r="437" spans="1:31" x14ac:dyDescent="0.25">
      <c r="A437" t="s">
        <v>481</v>
      </c>
      <c r="B437">
        <v>55.77</v>
      </c>
      <c r="C437">
        <v>83.18</v>
      </c>
      <c r="D437">
        <v>36.97</v>
      </c>
      <c r="E437">
        <v>178.47</v>
      </c>
      <c r="F437">
        <v>44.52</v>
      </c>
      <c r="G437">
        <v>42.15</v>
      </c>
      <c r="H437">
        <v>0.27</v>
      </c>
      <c r="I437">
        <v>15.78</v>
      </c>
      <c r="J437">
        <v>137.06</v>
      </c>
      <c r="K437">
        <v>23.05</v>
      </c>
      <c r="L437">
        <v>39.99</v>
      </c>
      <c r="M437">
        <v>66.72</v>
      </c>
      <c r="N437">
        <f t="shared" si="6"/>
        <v>43.335000000000001</v>
      </c>
      <c r="AE437">
        <v>55.77</v>
      </c>
    </row>
    <row r="438" spans="1:31" x14ac:dyDescent="0.25">
      <c r="A438" t="s">
        <v>482</v>
      </c>
      <c r="B438">
        <v>37.97</v>
      </c>
      <c r="C438">
        <v>83.91</v>
      </c>
      <c r="D438">
        <v>56.58</v>
      </c>
      <c r="E438">
        <v>23.47</v>
      </c>
      <c r="F438">
        <v>75.680000000000007</v>
      </c>
      <c r="G438">
        <v>78.849999999999994</v>
      </c>
      <c r="H438">
        <v>61.87</v>
      </c>
      <c r="I438">
        <v>31.92</v>
      </c>
      <c r="J438">
        <v>70.260000000000005</v>
      </c>
      <c r="K438">
        <v>40.19</v>
      </c>
      <c r="L438">
        <v>61.8</v>
      </c>
      <c r="M438">
        <v>83.73</v>
      </c>
      <c r="N438">
        <f t="shared" si="6"/>
        <v>61.834999999999994</v>
      </c>
      <c r="AE438">
        <v>37.97</v>
      </c>
    </row>
    <row r="439" spans="1:31" x14ac:dyDescent="0.25">
      <c r="A439" t="s">
        <v>483</v>
      </c>
      <c r="B439">
        <v>55.66</v>
      </c>
      <c r="C439">
        <v>46.55</v>
      </c>
      <c r="D439">
        <v>56.62</v>
      </c>
      <c r="E439">
        <v>84.72</v>
      </c>
      <c r="F439">
        <v>259.11</v>
      </c>
      <c r="G439">
        <v>28.86</v>
      </c>
      <c r="H439">
        <v>5.22</v>
      </c>
      <c r="I439">
        <v>0.45</v>
      </c>
      <c r="J439">
        <v>72.53</v>
      </c>
      <c r="K439">
        <v>56.98</v>
      </c>
      <c r="L439">
        <v>0.36</v>
      </c>
      <c r="M439">
        <v>36.14</v>
      </c>
      <c r="N439">
        <f t="shared" si="6"/>
        <v>51.104999999999997</v>
      </c>
      <c r="AE439">
        <v>55.66</v>
      </c>
    </row>
    <row r="440" spans="1:31" x14ac:dyDescent="0.25">
      <c r="A440" t="s">
        <v>484</v>
      </c>
      <c r="B440">
        <v>37.869999999999997</v>
      </c>
      <c r="C440">
        <v>32.96</v>
      </c>
      <c r="D440">
        <v>86.77</v>
      </c>
      <c r="E440">
        <v>11.03</v>
      </c>
      <c r="F440">
        <v>48.08</v>
      </c>
      <c r="G440">
        <v>49.17</v>
      </c>
      <c r="H440">
        <v>57.03</v>
      </c>
      <c r="I440">
        <v>42.37</v>
      </c>
      <c r="J440">
        <v>34.44</v>
      </c>
      <c r="K440">
        <v>17.100000000000001</v>
      </c>
      <c r="L440">
        <v>105</v>
      </c>
      <c r="M440">
        <v>34.520000000000003</v>
      </c>
      <c r="N440">
        <f t="shared" si="6"/>
        <v>40.119999999999997</v>
      </c>
      <c r="AE440">
        <v>37.869999999999997</v>
      </c>
    </row>
    <row r="441" spans="1:31" x14ac:dyDescent="0.25">
      <c r="A441" t="s">
        <v>485</v>
      </c>
      <c r="B441">
        <v>37.659999999999997</v>
      </c>
      <c r="C441">
        <v>76.44</v>
      </c>
      <c r="D441">
        <v>71.14</v>
      </c>
      <c r="E441">
        <v>44.45</v>
      </c>
      <c r="F441">
        <v>68.81</v>
      </c>
      <c r="G441">
        <v>19</v>
      </c>
      <c r="H441">
        <v>40.630000000000003</v>
      </c>
      <c r="I441">
        <v>32.9</v>
      </c>
      <c r="J441">
        <v>38.15</v>
      </c>
      <c r="K441">
        <v>24.6</v>
      </c>
      <c r="L441">
        <v>12.8</v>
      </c>
      <c r="M441">
        <v>27.55</v>
      </c>
      <c r="N441">
        <f t="shared" si="6"/>
        <v>37.905000000000001</v>
      </c>
      <c r="AE441">
        <v>37.659999999999997</v>
      </c>
    </row>
    <row r="442" spans="1:31" x14ac:dyDescent="0.25">
      <c r="A442" t="s">
        <v>486</v>
      </c>
      <c r="B442">
        <v>37.74</v>
      </c>
      <c r="C442">
        <v>32.119999999999997</v>
      </c>
      <c r="D442">
        <v>36.75</v>
      </c>
      <c r="E442">
        <v>35.130000000000003</v>
      </c>
      <c r="F442">
        <v>26.16</v>
      </c>
      <c r="G442">
        <v>103.17</v>
      </c>
      <c r="H442">
        <v>60.14</v>
      </c>
      <c r="I442">
        <v>52.7</v>
      </c>
      <c r="J442">
        <v>122.31</v>
      </c>
      <c r="K442">
        <v>18.850000000000001</v>
      </c>
      <c r="L442">
        <v>10.34</v>
      </c>
      <c r="M442">
        <v>81.97</v>
      </c>
      <c r="N442">
        <f t="shared" si="6"/>
        <v>37.245000000000005</v>
      </c>
      <c r="AE442">
        <v>37.74</v>
      </c>
    </row>
    <row r="443" spans="1:31" x14ac:dyDescent="0.25">
      <c r="A443" t="s">
        <v>487</v>
      </c>
      <c r="B443">
        <v>54.66</v>
      </c>
      <c r="C443">
        <v>199.99</v>
      </c>
      <c r="D443">
        <v>60.72</v>
      </c>
      <c r="E443">
        <v>162.28</v>
      </c>
      <c r="F443">
        <v>164.77</v>
      </c>
      <c r="G443">
        <v>222.68</v>
      </c>
      <c r="H443">
        <v>149.69999999999999</v>
      </c>
      <c r="I443">
        <v>12.4</v>
      </c>
      <c r="J443">
        <v>177.75</v>
      </c>
      <c r="K443">
        <v>28.39</v>
      </c>
      <c r="L443">
        <v>2.94</v>
      </c>
      <c r="M443">
        <v>1.26</v>
      </c>
      <c r="N443">
        <f t="shared" si="6"/>
        <v>105.21</v>
      </c>
      <c r="AE443">
        <v>54.66</v>
      </c>
    </row>
    <row r="444" spans="1:31" x14ac:dyDescent="0.25">
      <c r="A444" t="s">
        <v>488</v>
      </c>
      <c r="B444">
        <v>38.26</v>
      </c>
      <c r="C444">
        <v>108.81</v>
      </c>
      <c r="D444">
        <v>19.23</v>
      </c>
      <c r="E444">
        <v>37.82</v>
      </c>
      <c r="F444">
        <v>106.99</v>
      </c>
      <c r="G444">
        <v>9.99</v>
      </c>
      <c r="H444">
        <v>53.07</v>
      </c>
      <c r="I444">
        <v>24.76</v>
      </c>
      <c r="J444">
        <v>20.59</v>
      </c>
      <c r="K444">
        <v>54.78</v>
      </c>
      <c r="L444">
        <v>10.19</v>
      </c>
      <c r="M444">
        <v>53.15</v>
      </c>
      <c r="N444">
        <f t="shared" si="6"/>
        <v>38.04</v>
      </c>
      <c r="AE444">
        <v>38.26</v>
      </c>
    </row>
    <row r="445" spans="1:31" x14ac:dyDescent="0.25">
      <c r="A445" t="s">
        <v>489</v>
      </c>
      <c r="B445">
        <v>55.22</v>
      </c>
      <c r="C445">
        <v>40.700000000000003</v>
      </c>
      <c r="D445">
        <v>36.6</v>
      </c>
      <c r="E445">
        <v>70.78</v>
      </c>
      <c r="F445">
        <v>14.14</v>
      </c>
      <c r="G445">
        <v>205.25</v>
      </c>
      <c r="H445">
        <v>30.17</v>
      </c>
      <c r="I445">
        <v>18.239999999999998</v>
      </c>
      <c r="J445">
        <v>25.02</v>
      </c>
      <c r="K445">
        <v>1</v>
      </c>
      <c r="L445">
        <v>103.65</v>
      </c>
      <c r="M445">
        <v>0</v>
      </c>
      <c r="N445">
        <f t="shared" si="6"/>
        <v>33.385000000000005</v>
      </c>
      <c r="AE445">
        <v>55.22</v>
      </c>
    </row>
    <row r="446" spans="1:31" x14ac:dyDescent="0.25">
      <c r="A446" t="s">
        <v>490</v>
      </c>
      <c r="B446">
        <v>37.299999999999997</v>
      </c>
      <c r="C446">
        <v>76.400000000000006</v>
      </c>
      <c r="D446">
        <v>10.79</v>
      </c>
      <c r="E446">
        <v>31.26</v>
      </c>
      <c r="F446">
        <v>65.37</v>
      </c>
      <c r="G446">
        <v>160.19999999999999</v>
      </c>
      <c r="H446">
        <v>78.12</v>
      </c>
      <c r="I446">
        <v>87.54</v>
      </c>
      <c r="J446">
        <v>13.7</v>
      </c>
      <c r="K446">
        <v>83.51</v>
      </c>
      <c r="L446">
        <v>15.64</v>
      </c>
      <c r="M446">
        <v>25.21</v>
      </c>
      <c r="N446">
        <f t="shared" si="6"/>
        <v>51.335000000000001</v>
      </c>
      <c r="AE446">
        <v>37.299999999999997</v>
      </c>
    </row>
    <row r="447" spans="1:31" x14ac:dyDescent="0.25">
      <c r="A447" t="s">
        <v>491</v>
      </c>
      <c r="B447">
        <v>54.84</v>
      </c>
      <c r="C447">
        <v>70.75</v>
      </c>
      <c r="D447">
        <v>217.87</v>
      </c>
      <c r="E447">
        <v>72.849999999999994</v>
      </c>
      <c r="F447">
        <v>232.97</v>
      </c>
      <c r="G447">
        <v>1.08</v>
      </c>
      <c r="H447">
        <v>144.02000000000001</v>
      </c>
      <c r="I447">
        <v>37.270000000000003</v>
      </c>
      <c r="J447">
        <v>119.89</v>
      </c>
      <c r="K447">
        <v>130.46</v>
      </c>
      <c r="L447">
        <v>34.61</v>
      </c>
      <c r="M447">
        <v>39.270000000000003</v>
      </c>
      <c r="N447">
        <f t="shared" si="6"/>
        <v>71.8</v>
      </c>
      <c r="AE447">
        <v>54.84</v>
      </c>
    </row>
    <row r="448" spans="1:31" x14ac:dyDescent="0.25">
      <c r="A448" t="s">
        <v>492</v>
      </c>
      <c r="B448">
        <v>36.979999999999997</v>
      </c>
      <c r="C448">
        <v>104.39</v>
      </c>
      <c r="D448">
        <v>26</v>
      </c>
      <c r="E448">
        <v>91.01</v>
      </c>
      <c r="F448">
        <v>22.72</v>
      </c>
      <c r="G448">
        <v>85.36</v>
      </c>
      <c r="H448">
        <v>45.18</v>
      </c>
      <c r="I448">
        <v>14.41</v>
      </c>
      <c r="J448">
        <v>39.54</v>
      </c>
      <c r="K448">
        <v>27.46</v>
      </c>
      <c r="L448">
        <v>15.39</v>
      </c>
      <c r="M448">
        <v>14.58</v>
      </c>
      <c r="N448">
        <f t="shared" si="6"/>
        <v>32.22</v>
      </c>
      <c r="AE448">
        <v>36.979999999999997</v>
      </c>
    </row>
    <row r="449" spans="1:31" x14ac:dyDescent="0.25">
      <c r="A449" t="s">
        <v>493</v>
      </c>
      <c r="B449">
        <v>37.01</v>
      </c>
      <c r="C449">
        <v>44.8</v>
      </c>
      <c r="D449">
        <v>30.22</v>
      </c>
      <c r="E449">
        <v>85.28</v>
      </c>
      <c r="F449">
        <v>144.47</v>
      </c>
      <c r="G449">
        <v>23.62</v>
      </c>
      <c r="H449">
        <v>10.54</v>
      </c>
      <c r="I449">
        <v>74.55</v>
      </c>
      <c r="J449">
        <v>19.239999999999998</v>
      </c>
      <c r="K449">
        <v>26.66</v>
      </c>
      <c r="L449">
        <v>32.130000000000003</v>
      </c>
      <c r="M449">
        <v>106.43</v>
      </c>
      <c r="N449">
        <f t="shared" si="6"/>
        <v>34.57</v>
      </c>
      <c r="AE449">
        <v>37.01</v>
      </c>
    </row>
    <row r="450" spans="1:31" x14ac:dyDescent="0.25">
      <c r="A450" t="s">
        <v>494</v>
      </c>
      <c r="B450">
        <v>37.46</v>
      </c>
      <c r="C450">
        <v>9.99</v>
      </c>
      <c r="D450">
        <v>17.739999999999998</v>
      </c>
      <c r="E450">
        <v>20.27</v>
      </c>
      <c r="F450">
        <v>21.54</v>
      </c>
      <c r="G450">
        <v>104.15</v>
      </c>
      <c r="H450">
        <v>92.71</v>
      </c>
      <c r="I450">
        <v>160.94999999999999</v>
      </c>
      <c r="J450">
        <v>30.73</v>
      </c>
      <c r="K450">
        <v>63.56</v>
      </c>
      <c r="L450">
        <v>32.69</v>
      </c>
      <c r="M450">
        <v>31.43</v>
      </c>
      <c r="N450">
        <f t="shared" si="6"/>
        <v>32.06</v>
      </c>
      <c r="AE450">
        <v>37.46</v>
      </c>
    </row>
    <row r="451" spans="1:31" x14ac:dyDescent="0.25">
      <c r="A451" t="s">
        <v>495</v>
      </c>
      <c r="B451">
        <v>36.69</v>
      </c>
      <c r="C451">
        <v>37.67</v>
      </c>
      <c r="D451">
        <v>10.14</v>
      </c>
      <c r="E451">
        <v>38.76</v>
      </c>
      <c r="F451">
        <v>10.14</v>
      </c>
      <c r="G451">
        <v>15.2</v>
      </c>
      <c r="H451">
        <v>220.87</v>
      </c>
      <c r="I451">
        <v>23.76</v>
      </c>
      <c r="J451">
        <v>16.350000000000001</v>
      </c>
      <c r="K451">
        <v>47.08</v>
      </c>
      <c r="L451">
        <v>79</v>
      </c>
      <c r="M451">
        <v>10.09</v>
      </c>
      <c r="N451">
        <f t="shared" ref="N451:N514" si="7">MEDIAN(B451:M451)</f>
        <v>30.225000000000001</v>
      </c>
      <c r="AE451">
        <v>36.69</v>
      </c>
    </row>
    <row r="452" spans="1:31" x14ac:dyDescent="0.25">
      <c r="A452" t="s">
        <v>496</v>
      </c>
      <c r="B452">
        <v>37.270000000000003</v>
      </c>
      <c r="C452">
        <v>34.869999999999997</v>
      </c>
      <c r="D452">
        <v>31.33</v>
      </c>
      <c r="E452">
        <v>34.950000000000003</v>
      </c>
      <c r="F452">
        <v>112.53</v>
      </c>
      <c r="G452">
        <v>33.229999999999997</v>
      </c>
      <c r="H452">
        <v>16.8</v>
      </c>
      <c r="I452">
        <v>53.68</v>
      </c>
      <c r="J452">
        <v>31.23</v>
      </c>
      <c r="K452">
        <v>70.83</v>
      </c>
      <c r="L452">
        <v>10.44</v>
      </c>
      <c r="M452">
        <v>24.86</v>
      </c>
      <c r="N452">
        <f t="shared" si="7"/>
        <v>34.049999999999997</v>
      </c>
      <c r="AE452">
        <v>37.270000000000003</v>
      </c>
    </row>
    <row r="453" spans="1:31" x14ac:dyDescent="0.25">
      <c r="A453" t="s">
        <v>497</v>
      </c>
      <c r="B453">
        <v>36.76</v>
      </c>
      <c r="C453">
        <v>60.55</v>
      </c>
      <c r="D453">
        <v>79.52</v>
      </c>
      <c r="E453">
        <v>18.260000000000002</v>
      </c>
      <c r="F453">
        <v>50.38</v>
      </c>
      <c r="G453">
        <v>106.38</v>
      </c>
      <c r="H453">
        <v>40.869999999999997</v>
      </c>
      <c r="I453">
        <v>11.54</v>
      </c>
      <c r="J453">
        <v>19.79</v>
      </c>
      <c r="K453">
        <v>13.9</v>
      </c>
      <c r="L453">
        <v>10.09</v>
      </c>
      <c r="M453">
        <v>40.909999999999997</v>
      </c>
      <c r="N453">
        <f t="shared" si="7"/>
        <v>38.814999999999998</v>
      </c>
      <c r="AE453">
        <v>36.76</v>
      </c>
    </row>
    <row r="454" spans="1:31" x14ac:dyDescent="0.25">
      <c r="A454" t="s">
        <v>498</v>
      </c>
      <c r="B454">
        <v>37.119999999999997</v>
      </c>
      <c r="C454">
        <v>19.14</v>
      </c>
      <c r="D454">
        <v>35.81</v>
      </c>
      <c r="E454">
        <v>23.93</v>
      </c>
      <c r="F454">
        <v>102.03</v>
      </c>
      <c r="G454">
        <v>10.44</v>
      </c>
      <c r="H454">
        <v>49.78</v>
      </c>
      <c r="I454">
        <v>80.94</v>
      </c>
      <c r="J454">
        <v>130.41999999999999</v>
      </c>
      <c r="K454">
        <v>23.12</v>
      </c>
      <c r="L454">
        <v>46.77</v>
      </c>
      <c r="M454">
        <v>10.34</v>
      </c>
      <c r="N454">
        <f t="shared" si="7"/>
        <v>36.465000000000003</v>
      </c>
      <c r="AE454">
        <v>37.119999999999997</v>
      </c>
    </row>
    <row r="455" spans="1:31" x14ac:dyDescent="0.25">
      <c r="A455" t="s">
        <v>499</v>
      </c>
      <c r="B455">
        <v>36.94</v>
      </c>
      <c r="C455">
        <v>9.99</v>
      </c>
      <c r="D455">
        <v>41.4</v>
      </c>
      <c r="E455">
        <v>28.74</v>
      </c>
      <c r="F455">
        <v>51.08</v>
      </c>
      <c r="G455">
        <v>50.86</v>
      </c>
      <c r="H455">
        <v>53.87</v>
      </c>
      <c r="I455">
        <v>28.71</v>
      </c>
      <c r="J455">
        <v>69.510000000000005</v>
      </c>
      <c r="K455">
        <v>44.58</v>
      </c>
      <c r="L455">
        <v>34.44</v>
      </c>
      <c r="M455">
        <v>161.16</v>
      </c>
      <c r="N455">
        <f t="shared" si="7"/>
        <v>42.989999999999995</v>
      </c>
      <c r="AE455">
        <v>36.94</v>
      </c>
    </row>
    <row r="456" spans="1:31" x14ac:dyDescent="0.25">
      <c r="A456" t="s">
        <v>500</v>
      </c>
      <c r="B456">
        <v>36.44</v>
      </c>
      <c r="C456">
        <v>11.08</v>
      </c>
      <c r="D456">
        <v>25.77</v>
      </c>
      <c r="E456">
        <v>86.51</v>
      </c>
      <c r="F456">
        <v>64.87</v>
      </c>
      <c r="G456">
        <v>60.66</v>
      </c>
      <c r="H456">
        <v>54.92</v>
      </c>
      <c r="I456">
        <v>25.31</v>
      </c>
      <c r="J456">
        <v>47.57</v>
      </c>
      <c r="K456">
        <v>29.5</v>
      </c>
      <c r="L456">
        <v>21.84</v>
      </c>
      <c r="M456">
        <v>21.57</v>
      </c>
      <c r="N456">
        <f t="shared" si="7"/>
        <v>32.97</v>
      </c>
      <c r="AE456">
        <v>36.44</v>
      </c>
    </row>
    <row r="457" spans="1:31" x14ac:dyDescent="0.25">
      <c r="A457" t="s">
        <v>501</v>
      </c>
      <c r="B457">
        <v>52.53</v>
      </c>
      <c r="C457">
        <v>286.77999999999997</v>
      </c>
      <c r="D457">
        <v>71.95</v>
      </c>
      <c r="E457">
        <v>216.28</v>
      </c>
      <c r="F457">
        <v>33.25</v>
      </c>
      <c r="G457">
        <v>37.43</v>
      </c>
      <c r="H457">
        <v>34.19</v>
      </c>
      <c r="I457">
        <v>103.58</v>
      </c>
      <c r="J457">
        <v>47.35</v>
      </c>
      <c r="K457">
        <v>126.09</v>
      </c>
      <c r="L457">
        <v>0</v>
      </c>
      <c r="M457">
        <v>45.42</v>
      </c>
      <c r="N457">
        <f t="shared" si="7"/>
        <v>49.94</v>
      </c>
      <c r="AE457">
        <v>52.53</v>
      </c>
    </row>
    <row r="458" spans="1:31" x14ac:dyDescent="0.25">
      <c r="A458" t="s">
        <v>502</v>
      </c>
      <c r="B458">
        <v>36.49</v>
      </c>
      <c r="C458">
        <v>43.51</v>
      </c>
      <c r="D458">
        <v>13.26</v>
      </c>
      <c r="E458">
        <v>47.41</v>
      </c>
      <c r="F458">
        <v>59.01</v>
      </c>
      <c r="G458">
        <v>48.6</v>
      </c>
      <c r="H458">
        <v>30.75</v>
      </c>
      <c r="I458">
        <v>178.85</v>
      </c>
      <c r="J458">
        <v>20.71</v>
      </c>
      <c r="K458">
        <v>21.66</v>
      </c>
      <c r="L458">
        <v>76.069999999999993</v>
      </c>
      <c r="M458">
        <v>21.15</v>
      </c>
      <c r="N458">
        <f t="shared" si="7"/>
        <v>40</v>
      </c>
      <c r="AE458">
        <v>36.49</v>
      </c>
    </row>
    <row r="459" spans="1:31" x14ac:dyDescent="0.25">
      <c r="A459" t="s">
        <v>503</v>
      </c>
      <c r="B459">
        <v>52.47</v>
      </c>
      <c r="C459">
        <v>38.58</v>
      </c>
      <c r="D459">
        <v>15.01</v>
      </c>
      <c r="E459">
        <v>61.1</v>
      </c>
      <c r="F459">
        <v>76.27</v>
      </c>
      <c r="G459">
        <v>0.18</v>
      </c>
      <c r="H459">
        <v>66.430000000000007</v>
      </c>
      <c r="I459">
        <v>0.36</v>
      </c>
      <c r="J459">
        <v>0.54</v>
      </c>
      <c r="K459">
        <v>71.33</v>
      </c>
      <c r="L459">
        <v>9.24</v>
      </c>
      <c r="M459">
        <v>27.84</v>
      </c>
      <c r="N459">
        <f t="shared" si="7"/>
        <v>33.21</v>
      </c>
      <c r="AE459">
        <v>52.47</v>
      </c>
    </row>
    <row r="460" spans="1:31" x14ac:dyDescent="0.25">
      <c r="A460" t="s">
        <v>504</v>
      </c>
      <c r="B460">
        <v>36</v>
      </c>
      <c r="C460">
        <v>36.049999999999997</v>
      </c>
      <c r="D460">
        <v>129.47</v>
      </c>
      <c r="E460">
        <v>16.13</v>
      </c>
      <c r="F460">
        <v>11.48</v>
      </c>
      <c r="G460">
        <v>128.6</v>
      </c>
      <c r="H460">
        <v>132.88</v>
      </c>
      <c r="I460">
        <v>18.309999999999999</v>
      </c>
      <c r="J460">
        <v>10.09</v>
      </c>
      <c r="K460">
        <v>38.69</v>
      </c>
      <c r="L460">
        <v>10.74</v>
      </c>
      <c r="M460">
        <v>52.16</v>
      </c>
      <c r="N460">
        <f t="shared" si="7"/>
        <v>36.024999999999999</v>
      </c>
      <c r="AE460">
        <v>36</v>
      </c>
    </row>
    <row r="461" spans="1:31" x14ac:dyDescent="0.25">
      <c r="A461" t="s">
        <v>505</v>
      </c>
      <c r="B461">
        <v>35.89</v>
      </c>
      <c r="C461">
        <v>37.83</v>
      </c>
      <c r="D461">
        <v>42.39</v>
      </c>
      <c r="E461">
        <v>10.34</v>
      </c>
      <c r="F461">
        <v>60.58</v>
      </c>
      <c r="G461">
        <v>35.229999999999997</v>
      </c>
      <c r="H461">
        <v>69.41</v>
      </c>
      <c r="I461">
        <v>61.55</v>
      </c>
      <c r="J461">
        <v>28.39</v>
      </c>
      <c r="K461">
        <v>13.2</v>
      </c>
      <c r="L461">
        <v>54.82</v>
      </c>
      <c r="M461">
        <v>155.31</v>
      </c>
      <c r="N461">
        <f t="shared" si="7"/>
        <v>40.11</v>
      </c>
      <c r="AE461">
        <v>35.89</v>
      </c>
    </row>
    <row r="462" spans="1:31" x14ac:dyDescent="0.25">
      <c r="A462" t="s">
        <v>506</v>
      </c>
      <c r="B462">
        <v>51.72</v>
      </c>
      <c r="C462">
        <v>281.56</v>
      </c>
      <c r="D462">
        <v>42.44</v>
      </c>
      <c r="E462">
        <v>120.53</v>
      </c>
      <c r="F462">
        <v>106.7</v>
      </c>
      <c r="G462">
        <v>63.66</v>
      </c>
      <c r="H462">
        <v>120.9</v>
      </c>
      <c r="I462">
        <v>22.13</v>
      </c>
      <c r="J462">
        <v>2.31</v>
      </c>
      <c r="K462">
        <v>58.02</v>
      </c>
      <c r="L462">
        <v>218.35</v>
      </c>
      <c r="M462">
        <v>45.52</v>
      </c>
      <c r="N462">
        <f t="shared" si="7"/>
        <v>60.84</v>
      </c>
      <c r="AE462">
        <v>51.72</v>
      </c>
    </row>
    <row r="463" spans="1:31" x14ac:dyDescent="0.25">
      <c r="A463" t="s">
        <v>507</v>
      </c>
      <c r="B463">
        <v>35.81</v>
      </c>
      <c r="C463">
        <v>44.95</v>
      </c>
      <c r="D463">
        <v>10.77</v>
      </c>
      <c r="E463">
        <v>35.590000000000003</v>
      </c>
      <c r="F463">
        <v>51.51</v>
      </c>
      <c r="G463">
        <v>53.49</v>
      </c>
      <c r="H463">
        <v>24.22</v>
      </c>
      <c r="I463">
        <v>178.8</v>
      </c>
      <c r="J463">
        <v>51.45</v>
      </c>
      <c r="K463">
        <v>35.549999999999997</v>
      </c>
      <c r="L463">
        <v>21.91</v>
      </c>
      <c r="M463">
        <v>32.74</v>
      </c>
      <c r="N463">
        <f t="shared" si="7"/>
        <v>35.700000000000003</v>
      </c>
      <c r="AE463">
        <v>35.81</v>
      </c>
    </row>
    <row r="464" spans="1:31" x14ac:dyDescent="0.25">
      <c r="A464" t="s">
        <v>508</v>
      </c>
      <c r="B464">
        <v>35.71</v>
      </c>
      <c r="C464">
        <v>14.26</v>
      </c>
      <c r="D464">
        <v>107.76</v>
      </c>
      <c r="E464">
        <v>19.28</v>
      </c>
      <c r="F464">
        <v>234.45</v>
      </c>
      <c r="G464">
        <v>155.15</v>
      </c>
      <c r="H464">
        <v>71.89</v>
      </c>
      <c r="I464">
        <v>14.5</v>
      </c>
      <c r="J464">
        <v>31.45</v>
      </c>
      <c r="K464">
        <v>14.98</v>
      </c>
      <c r="L464">
        <v>97.25</v>
      </c>
      <c r="M464">
        <v>56.96</v>
      </c>
      <c r="N464">
        <f t="shared" si="7"/>
        <v>46.335000000000001</v>
      </c>
      <c r="AE464">
        <v>35.71</v>
      </c>
    </row>
    <row r="465" spans="1:31" x14ac:dyDescent="0.25">
      <c r="A465" t="s">
        <v>509</v>
      </c>
      <c r="B465">
        <v>35.659999999999997</v>
      </c>
      <c r="C465">
        <v>100.78</v>
      </c>
      <c r="D465">
        <v>27.3</v>
      </c>
      <c r="E465">
        <v>46.21</v>
      </c>
      <c r="F465">
        <v>52.58</v>
      </c>
      <c r="G465">
        <v>47.45</v>
      </c>
      <c r="H465">
        <v>55.38</v>
      </c>
      <c r="I465">
        <v>16.829999999999998</v>
      </c>
      <c r="J465">
        <v>9.99</v>
      </c>
      <c r="K465">
        <v>153.16</v>
      </c>
      <c r="L465">
        <v>12.98</v>
      </c>
      <c r="M465">
        <v>30.68</v>
      </c>
      <c r="N465">
        <f t="shared" si="7"/>
        <v>40.935000000000002</v>
      </c>
      <c r="AE465">
        <v>35.659999999999997</v>
      </c>
    </row>
    <row r="466" spans="1:31" x14ac:dyDescent="0.25">
      <c r="A466" t="s">
        <v>510</v>
      </c>
      <c r="B466">
        <v>35.909999999999997</v>
      </c>
      <c r="C466">
        <v>53.49</v>
      </c>
      <c r="D466">
        <v>43</v>
      </c>
      <c r="E466">
        <v>27.55</v>
      </c>
      <c r="F466">
        <v>70.739999999999995</v>
      </c>
      <c r="G466">
        <v>21.44</v>
      </c>
      <c r="H466">
        <v>10.039999999999999</v>
      </c>
      <c r="I466">
        <v>94.71</v>
      </c>
      <c r="J466">
        <v>67.430000000000007</v>
      </c>
      <c r="K466">
        <v>27.57</v>
      </c>
      <c r="L466">
        <v>10.54</v>
      </c>
      <c r="M466">
        <v>51.38</v>
      </c>
      <c r="N466">
        <f t="shared" si="7"/>
        <v>39.454999999999998</v>
      </c>
      <c r="AE466">
        <v>35.909999999999997</v>
      </c>
    </row>
    <row r="467" spans="1:31" x14ac:dyDescent="0.25">
      <c r="A467" t="s">
        <v>511</v>
      </c>
      <c r="B467">
        <v>35.51</v>
      </c>
      <c r="C467">
        <v>12.71</v>
      </c>
      <c r="D467">
        <v>139.63</v>
      </c>
      <c r="E467">
        <v>21.01</v>
      </c>
      <c r="F467">
        <v>61.77</v>
      </c>
      <c r="G467">
        <v>69.260000000000005</v>
      </c>
      <c r="H467">
        <v>14.18</v>
      </c>
      <c r="I467">
        <v>50.96</v>
      </c>
      <c r="J467">
        <v>71.52</v>
      </c>
      <c r="K467">
        <v>15.23</v>
      </c>
      <c r="L467">
        <v>192.19</v>
      </c>
      <c r="M467">
        <v>15.89</v>
      </c>
      <c r="N467">
        <f t="shared" si="7"/>
        <v>43.234999999999999</v>
      </c>
      <c r="AE467">
        <v>35.51</v>
      </c>
    </row>
    <row r="468" spans="1:31" x14ac:dyDescent="0.25">
      <c r="A468" t="s">
        <v>512</v>
      </c>
      <c r="B468">
        <v>50.85</v>
      </c>
      <c r="C468">
        <v>0.54</v>
      </c>
      <c r="D468">
        <v>20.07</v>
      </c>
      <c r="E468">
        <v>95.96</v>
      </c>
      <c r="F468">
        <v>31.56</v>
      </c>
      <c r="G468">
        <v>169.7</v>
      </c>
      <c r="H468">
        <v>42.63</v>
      </c>
      <c r="I468">
        <v>46.59</v>
      </c>
      <c r="J468">
        <v>15.97</v>
      </c>
      <c r="K468">
        <v>9.02</v>
      </c>
      <c r="L468">
        <v>54.57</v>
      </c>
      <c r="M468">
        <v>82.41</v>
      </c>
      <c r="N468">
        <f t="shared" si="7"/>
        <v>44.61</v>
      </c>
      <c r="AE468">
        <v>50.85</v>
      </c>
    </row>
    <row r="469" spans="1:31" x14ac:dyDescent="0.25">
      <c r="A469" t="s">
        <v>513</v>
      </c>
      <c r="B469">
        <v>35.5</v>
      </c>
      <c r="C469">
        <v>28.4</v>
      </c>
      <c r="D469">
        <v>22.7</v>
      </c>
      <c r="E469">
        <v>59.42</v>
      </c>
      <c r="F469">
        <v>24.44</v>
      </c>
      <c r="G469">
        <v>80.48</v>
      </c>
      <c r="H469">
        <v>38.17</v>
      </c>
      <c r="I469">
        <v>25.34</v>
      </c>
      <c r="J469">
        <v>13.56</v>
      </c>
      <c r="K469">
        <v>18.61</v>
      </c>
      <c r="L469">
        <v>91.5</v>
      </c>
      <c r="M469">
        <v>69.53</v>
      </c>
      <c r="N469">
        <f t="shared" si="7"/>
        <v>31.95</v>
      </c>
      <c r="AE469">
        <v>35.5</v>
      </c>
    </row>
    <row r="470" spans="1:31" x14ac:dyDescent="0.25">
      <c r="A470" t="s">
        <v>514</v>
      </c>
      <c r="B470">
        <v>50.71</v>
      </c>
      <c r="C470">
        <v>94.32</v>
      </c>
      <c r="D470">
        <v>69.09</v>
      </c>
      <c r="E470">
        <v>23.34</v>
      </c>
      <c r="F470">
        <v>45.5</v>
      </c>
      <c r="G470">
        <v>71.739999999999995</v>
      </c>
      <c r="H470">
        <v>4.05</v>
      </c>
      <c r="I470">
        <v>0.09</v>
      </c>
      <c r="J470">
        <v>32.72</v>
      </c>
      <c r="K470">
        <v>3.83</v>
      </c>
      <c r="L470">
        <v>203.93</v>
      </c>
      <c r="M470">
        <v>46.94</v>
      </c>
      <c r="N470">
        <f t="shared" si="7"/>
        <v>46.22</v>
      </c>
      <c r="AE470">
        <v>50.71</v>
      </c>
    </row>
    <row r="471" spans="1:31" x14ac:dyDescent="0.25">
      <c r="A471" t="s">
        <v>515</v>
      </c>
      <c r="B471">
        <v>35.4</v>
      </c>
      <c r="C471">
        <v>31.84</v>
      </c>
      <c r="D471">
        <v>21.41</v>
      </c>
      <c r="E471">
        <v>51.76</v>
      </c>
      <c r="F471">
        <v>15.38</v>
      </c>
      <c r="G471">
        <v>134.80000000000001</v>
      </c>
      <c r="H471">
        <v>70.52</v>
      </c>
      <c r="I471">
        <v>20.62</v>
      </c>
      <c r="J471">
        <v>15.1</v>
      </c>
      <c r="K471">
        <v>61.06</v>
      </c>
      <c r="L471">
        <v>64.22</v>
      </c>
      <c r="M471">
        <v>123.96</v>
      </c>
      <c r="N471">
        <f t="shared" si="7"/>
        <v>43.58</v>
      </c>
      <c r="AE471">
        <v>35.4</v>
      </c>
    </row>
    <row r="472" spans="1:31" x14ac:dyDescent="0.25">
      <c r="A472" t="s">
        <v>516</v>
      </c>
      <c r="B472">
        <v>35.25</v>
      </c>
      <c r="C472">
        <v>82.37</v>
      </c>
      <c r="D472">
        <v>48.3</v>
      </c>
      <c r="E472">
        <v>34.130000000000003</v>
      </c>
      <c r="F472">
        <v>15.74</v>
      </c>
      <c r="G472">
        <v>10.039999999999999</v>
      </c>
      <c r="H472">
        <v>10.039999999999999</v>
      </c>
      <c r="I472">
        <v>90.14</v>
      </c>
      <c r="J472">
        <v>21.57</v>
      </c>
      <c r="K472">
        <v>313.02999999999997</v>
      </c>
      <c r="L472">
        <v>22.17</v>
      </c>
      <c r="M472">
        <v>58.48</v>
      </c>
      <c r="N472">
        <f t="shared" si="7"/>
        <v>34.69</v>
      </c>
      <c r="AE472">
        <v>35.25</v>
      </c>
    </row>
    <row r="473" spans="1:31" x14ac:dyDescent="0.25">
      <c r="A473" t="s">
        <v>517</v>
      </c>
      <c r="B473">
        <v>35.909999999999997</v>
      </c>
      <c r="C473">
        <v>27.55</v>
      </c>
      <c r="D473">
        <v>104.36</v>
      </c>
      <c r="E473">
        <v>21.19</v>
      </c>
      <c r="F473">
        <v>24.95</v>
      </c>
      <c r="G473">
        <v>66.599999999999994</v>
      </c>
      <c r="H473">
        <v>76.569999999999993</v>
      </c>
      <c r="I473">
        <v>11.1</v>
      </c>
      <c r="J473">
        <v>149.96</v>
      </c>
      <c r="K473">
        <v>60.48</v>
      </c>
      <c r="L473">
        <v>22.87</v>
      </c>
      <c r="M473">
        <v>37.46</v>
      </c>
      <c r="N473">
        <f t="shared" si="7"/>
        <v>36.685000000000002</v>
      </c>
      <c r="AE473">
        <v>35.909999999999997</v>
      </c>
    </row>
    <row r="474" spans="1:31" x14ac:dyDescent="0.25">
      <c r="A474" t="s">
        <v>518</v>
      </c>
      <c r="B474">
        <v>35.020000000000003</v>
      </c>
      <c r="C474">
        <v>24.61</v>
      </c>
      <c r="D474">
        <v>41.59</v>
      </c>
      <c r="E474">
        <v>67.56</v>
      </c>
      <c r="F474">
        <v>33.840000000000003</v>
      </c>
      <c r="G474">
        <v>33.29</v>
      </c>
      <c r="H474">
        <v>58.59</v>
      </c>
      <c r="I474">
        <v>79.260000000000005</v>
      </c>
      <c r="J474">
        <v>65.56</v>
      </c>
      <c r="K474">
        <v>14.97</v>
      </c>
      <c r="L474">
        <v>10.039999999999999</v>
      </c>
      <c r="M474">
        <v>76.319999999999993</v>
      </c>
      <c r="N474">
        <f t="shared" si="7"/>
        <v>38.305000000000007</v>
      </c>
      <c r="AE474">
        <v>35.020000000000003</v>
      </c>
    </row>
    <row r="475" spans="1:31" x14ac:dyDescent="0.25">
      <c r="A475" t="s">
        <v>519</v>
      </c>
      <c r="B475">
        <v>49.66</v>
      </c>
      <c r="C475">
        <v>9.43</v>
      </c>
      <c r="D475">
        <v>68.59</v>
      </c>
      <c r="E475">
        <v>1.93</v>
      </c>
      <c r="F475">
        <v>4.33</v>
      </c>
      <c r="G475">
        <v>14.97</v>
      </c>
      <c r="H475">
        <v>99.05</v>
      </c>
      <c r="I475">
        <v>3.16</v>
      </c>
      <c r="J475">
        <v>146.27000000000001</v>
      </c>
      <c r="K475">
        <v>18.77</v>
      </c>
      <c r="L475">
        <v>0.09</v>
      </c>
      <c r="M475">
        <v>20.32</v>
      </c>
      <c r="N475">
        <f t="shared" si="7"/>
        <v>16.87</v>
      </c>
      <c r="AE475">
        <v>49.66</v>
      </c>
    </row>
    <row r="476" spans="1:31" x14ac:dyDescent="0.25">
      <c r="A476" t="s">
        <v>520</v>
      </c>
      <c r="B476">
        <v>50.14</v>
      </c>
      <c r="C476">
        <v>23.14</v>
      </c>
      <c r="D476">
        <v>100.86</v>
      </c>
      <c r="E476">
        <v>11.93</v>
      </c>
      <c r="F476">
        <v>29.15</v>
      </c>
      <c r="G476">
        <v>93.43</v>
      </c>
      <c r="H476">
        <v>59.19</v>
      </c>
      <c r="I476">
        <v>77.459999999999994</v>
      </c>
      <c r="J476">
        <v>46.77</v>
      </c>
      <c r="K476">
        <v>27.33</v>
      </c>
      <c r="L476">
        <v>51.31</v>
      </c>
      <c r="M476">
        <v>52.73</v>
      </c>
      <c r="N476">
        <f t="shared" si="7"/>
        <v>50.725000000000001</v>
      </c>
      <c r="AE476">
        <v>50.14</v>
      </c>
    </row>
    <row r="477" spans="1:31" x14ac:dyDescent="0.25">
      <c r="A477" t="s">
        <v>521</v>
      </c>
      <c r="B477">
        <v>34.82</v>
      </c>
      <c r="C477">
        <v>22.48</v>
      </c>
      <c r="D477">
        <v>38.06</v>
      </c>
      <c r="E477">
        <v>35.020000000000003</v>
      </c>
      <c r="F477">
        <v>40.98</v>
      </c>
      <c r="G477">
        <v>49.96</v>
      </c>
      <c r="H477">
        <v>32.130000000000003</v>
      </c>
      <c r="I477">
        <v>10.09</v>
      </c>
      <c r="J477">
        <v>46.38</v>
      </c>
      <c r="K477">
        <v>85.51</v>
      </c>
      <c r="L477">
        <v>69.39</v>
      </c>
      <c r="M477">
        <v>150.18</v>
      </c>
      <c r="N477">
        <f t="shared" si="7"/>
        <v>39.519999999999996</v>
      </c>
      <c r="AE477">
        <v>34.82</v>
      </c>
    </row>
    <row r="478" spans="1:31" x14ac:dyDescent="0.25">
      <c r="A478" t="s">
        <v>522</v>
      </c>
      <c r="B478">
        <v>49.7</v>
      </c>
      <c r="C478">
        <v>1.43</v>
      </c>
      <c r="D478">
        <v>41.48</v>
      </c>
      <c r="E478">
        <v>42.78</v>
      </c>
      <c r="F478">
        <v>12.05</v>
      </c>
      <c r="G478">
        <v>61.56</v>
      </c>
      <c r="H478">
        <v>29.41</v>
      </c>
      <c r="I478">
        <v>40.18</v>
      </c>
      <c r="J478">
        <v>5.83</v>
      </c>
      <c r="K478">
        <v>99.67</v>
      </c>
      <c r="L478">
        <v>49.52</v>
      </c>
      <c r="M478">
        <v>115.88</v>
      </c>
      <c r="N478">
        <f t="shared" si="7"/>
        <v>42.129999999999995</v>
      </c>
      <c r="AE478">
        <v>49.7</v>
      </c>
    </row>
    <row r="479" spans="1:31" x14ac:dyDescent="0.25">
      <c r="A479" t="s">
        <v>523</v>
      </c>
      <c r="B479">
        <v>49.75</v>
      </c>
      <c r="C479">
        <v>10.64</v>
      </c>
      <c r="D479">
        <v>142.41</v>
      </c>
      <c r="E479">
        <v>0.81</v>
      </c>
      <c r="F479">
        <v>34.979999999999997</v>
      </c>
      <c r="G479">
        <v>46.22</v>
      </c>
      <c r="H479">
        <v>274.68</v>
      </c>
      <c r="I479">
        <v>92.17</v>
      </c>
      <c r="J479">
        <v>20.62</v>
      </c>
      <c r="K479">
        <v>34.64</v>
      </c>
      <c r="L479">
        <v>0.54</v>
      </c>
      <c r="M479">
        <v>94.2</v>
      </c>
      <c r="N479">
        <f t="shared" si="7"/>
        <v>40.599999999999994</v>
      </c>
      <c r="AE479">
        <v>49.75</v>
      </c>
    </row>
    <row r="480" spans="1:31" x14ac:dyDescent="0.25">
      <c r="A480" t="s">
        <v>524</v>
      </c>
      <c r="B480">
        <v>50.38</v>
      </c>
      <c r="C480">
        <v>0.18</v>
      </c>
      <c r="D480">
        <v>42.68</v>
      </c>
      <c r="E480">
        <v>99.77</v>
      </c>
      <c r="F480">
        <v>20.68</v>
      </c>
      <c r="G480">
        <v>152.46</v>
      </c>
      <c r="H480">
        <v>16.399999999999999</v>
      </c>
      <c r="I480">
        <v>0.09</v>
      </c>
      <c r="J480">
        <v>14.52</v>
      </c>
      <c r="K480">
        <v>139.5</v>
      </c>
      <c r="L480">
        <v>37.92</v>
      </c>
      <c r="M480">
        <v>98.08</v>
      </c>
      <c r="N480">
        <f t="shared" si="7"/>
        <v>40.299999999999997</v>
      </c>
      <c r="AE480">
        <v>50.38</v>
      </c>
    </row>
    <row r="481" spans="1:31" x14ac:dyDescent="0.25">
      <c r="A481" t="s">
        <v>525</v>
      </c>
      <c r="B481">
        <v>49.98</v>
      </c>
      <c r="C481">
        <v>73.37</v>
      </c>
      <c r="D481">
        <v>31.02</v>
      </c>
      <c r="E481">
        <v>17.14</v>
      </c>
      <c r="F481">
        <v>123.94</v>
      </c>
      <c r="G481">
        <v>156.82</v>
      </c>
      <c r="H481">
        <v>30.35</v>
      </c>
      <c r="I481">
        <v>127.44</v>
      </c>
      <c r="J481">
        <v>99.14</v>
      </c>
      <c r="K481">
        <v>9.24</v>
      </c>
      <c r="L481">
        <v>53.58</v>
      </c>
      <c r="M481">
        <v>33.04</v>
      </c>
      <c r="N481">
        <f t="shared" si="7"/>
        <v>51.78</v>
      </c>
      <c r="AE481">
        <v>49.98</v>
      </c>
    </row>
    <row r="482" spans="1:31" x14ac:dyDescent="0.25">
      <c r="A482" t="s">
        <v>526</v>
      </c>
      <c r="B482">
        <v>34.78</v>
      </c>
      <c r="C482">
        <v>68.19</v>
      </c>
      <c r="D482">
        <v>21.33</v>
      </c>
      <c r="E482">
        <v>59.37</v>
      </c>
      <c r="F482">
        <v>25.28</v>
      </c>
      <c r="G482">
        <v>23.88</v>
      </c>
      <c r="H482">
        <v>35.159999999999997</v>
      </c>
      <c r="I482">
        <v>91.69</v>
      </c>
      <c r="J482">
        <v>47.7</v>
      </c>
      <c r="K482">
        <v>44.06</v>
      </c>
      <c r="L482">
        <v>63.46</v>
      </c>
      <c r="M482">
        <v>9.99</v>
      </c>
      <c r="N482">
        <f t="shared" si="7"/>
        <v>39.61</v>
      </c>
      <c r="AE482">
        <v>34.78</v>
      </c>
    </row>
    <row r="483" spans="1:31" x14ac:dyDescent="0.25">
      <c r="A483" t="s">
        <v>527</v>
      </c>
      <c r="B483">
        <v>35.04</v>
      </c>
      <c r="C483">
        <v>92.73</v>
      </c>
      <c r="D483">
        <v>33.5</v>
      </c>
      <c r="E483">
        <v>15.08</v>
      </c>
      <c r="F483">
        <v>33.64</v>
      </c>
      <c r="G483">
        <v>10.69</v>
      </c>
      <c r="H483">
        <v>30.72</v>
      </c>
      <c r="I483">
        <v>62.32</v>
      </c>
      <c r="J483">
        <v>125.2</v>
      </c>
      <c r="K483">
        <v>30.29</v>
      </c>
      <c r="L483">
        <v>10.19</v>
      </c>
      <c r="M483">
        <v>49.15</v>
      </c>
      <c r="N483">
        <f t="shared" si="7"/>
        <v>33.57</v>
      </c>
      <c r="AE483">
        <v>35.04</v>
      </c>
    </row>
    <row r="484" spans="1:31" x14ac:dyDescent="0.25">
      <c r="A484" t="s">
        <v>528</v>
      </c>
      <c r="B484">
        <v>49.33</v>
      </c>
      <c r="C484">
        <v>131.84</v>
      </c>
      <c r="D484">
        <v>17.07</v>
      </c>
      <c r="E484">
        <v>39.46</v>
      </c>
      <c r="F484">
        <v>12.73</v>
      </c>
      <c r="G484">
        <v>84.13</v>
      </c>
      <c r="H484">
        <v>0.99</v>
      </c>
      <c r="I484">
        <v>89.79</v>
      </c>
      <c r="J484">
        <v>14.56</v>
      </c>
      <c r="K484">
        <v>0.81</v>
      </c>
      <c r="L484">
        <v>74.790000000000006</v>
      </c>
      <c r="M484">
        <v>61.89</v>
      </c>
      <c r="N484">
        <f t="shared" si="7"/>
        <v>44.394999999999996</v>
      </c>
      <c r="AE484">
        <v>49.33</v>
      </c>
    </row>
    <row r="485" spans="1:31" x14ac:dyDescent="0.25">
      <c r="A485" t="s">
        <v>529</v>
      </c>
      <c r="B485">
        <v>34.35</v>
      </c>
      <c r="C485">
        <v>40.270000000000003</v>
      </c>
      <c r="D485">
        <v>56.15</v>
      </c>
      <c r="E485">
        <v>30.56</v>
      </c>
      <c r="F485">
        <v>58.54</v>
      </c>
      <c r="G485">
        <v>21.2</v>
      </c>
      <c r="H485">
        <v>25.3</v>
      </c>
      <c r="I485">
        <v>9.99</v>
      </c>
      <c r="J485">
        <v>121.77</v>
      </c>
      <c r="K485">
        <v>56.16</v>
      </c>
      <c r="L485">
        <v>20.57</v>
      </c>
      <c r="M485">
        <v>130.37</v>
      </c>
      <c r="N485">
        <f t="shared" si="7"/>
        <v>37.31</v>
      </c>
      <c r="AE485">
        <v>34.35</v>
      </c>
    </row>
    <row r="486" spans="1:31" x14ac:dyDescent="0.25">
      <c r="A486" t="s">
        <v>530</v>
      </c>
      <c r="B486">
        <v>49.48</v>
      </c>
      <c r="C486">
        <v>13.93</v>
      </c>
      <c r="D486">
        <v>109.45</v>
      </c>
      <c r="E486">
        <v>29.23</v>
      </c>
      <c r="F486">
        <v>20.97</v>
      </c>
      <c r="G486">
        <v>53.66</v>
      </c>
      <c r="H486">
        <v>167.63</v>
      </c>
      <c r="I486">
        <v>35.21</v>
      </c>
      <c r="J486">
        <v>156.43</v>
      </c>
      <c r="K486">
        <v>0.27</v>
      </c>
      <c r="L486">
        <v>7.54</v>
      </c>
      <c r="M486">
        <v>89.52</v>
      </c>
      <c r="N486">
        <f t="shared" si="7"/>
        <v>42.344999999999999</v>
      </c>
      <c r="AE486">
        <v>49.48</v>
      </c>
    </row>
    <row r="487" spans="1:31" x14ac:dyDescent="0.25">
      <c r="A487" t="s">
        <v>531</v>
      </c>
      <c r="B487">
        <v>48.94</v>
      </c>
      <c r="C487">
        <v>0.72</v>
      </c>
      <c r="D487">
        <v>51.71</v>
      </c>
      <c r="E487">
        <v>143.54</v>
      </c>
      <c r="F487">
        <v>17.32</v>
      </c>
      <c r="G487">
        <v>0.18</v>
      </c>
      <c r="H487">
        <v>62.5</v>
      </c>
      <c r="I487">
        <v>18.86</v>
      </c>
      <c r="J487">
        <v>48.25</v>
      </c>
      <c r="K487">
        <v>27.11</v>
      </c>
      <c r="L487">
        <v>6.84</v>
      </c>
      <c r="M487">
        <v>12.9</v>
      </c>
      <c r="N487">
        <f t="shared" si="7"/>
        <v>22.984999999999999</v>
      </c>
      <c r="AE487">
        <v>48.94</v>
      </c>
    </row>
    <row r="488" spans="1:31" x14ac:dyDescent="0.25">
      <c r="A488" t="s">
        <v>532</v>
      </c>
      <c r="B488">
        <v>34.31</v>
      </c>
      <c r="C488">
        <v>35.01</v>
      </c>
      <c r="D488">
        <v>113.99</v>
      </c>
      <c r="E488">
        <v>62.15</v>
      </c>
      <c r="F488">
        <v>42.23</v>
      </c>
      <c r="G488">
        <v>20.39</v>
      </c>
      <c r="H488">
        <v>10.64</v>
      </c>
      <c r="I488">
        <v>33.9</v>
      </c>
      <c r="J488">
        <v>62.68</v>
      </c>
      <c r="K488">
        <v>59.42</v>
      </c>
      <c r="L488">
        <v>26.67</v>
      </c>
      <c r="M488">
        <v>20.29</v>
      </c>
      <c r="N488">
        <f t="shared" si="7"/>
        <v>34.659999999999997</v>
      </c>
      <c r="AE488">
        <v>34.31</v>
      </c>
    </row>
    <row r="489" spans="1:31" x14ac:dyDescent="0.25">
      <c r="A489" t="s">
        <v>533</v>
      </c>
      <c r="B489">
        <v>48.49</v>
      </c>
      <c r="C489">
        <v>49.08</v>
      </c>
      <c r="D489">
        <v>16.670000000000002</v>
      </c>
      <c r="E489">
        <v>20.62</v>
      </c>
      <c r="F489">
        <v>125.38</v>
      </c>
      <c r="G489">
        <v>7.25</v>
      </c>
      <c r="H489">
        <v>43.86</v>
      </c>
      <c r="I489">
        <v>59.18</v>
      </c>
      <c r="J489">
        <v>6.12</v>
      </c>
      <c r="K489">
        <v>36.72</v>
      </c>
      <c r="L489">
        <v>76.400000000000006</v>
      </c>
      <c r="M489">
        <v>79.739999999999995</v>
      </c>
      <c r="N489">
        <f t="shared" si="7"/>
        <v>46.174999999999997</v>
      </c>
      <c r="AE489">
        <v>48.49</v>
      </c>
    </row>
    <row r="490" spans="1:31" x14ac:dyDescent="0.25">
      <c r="A490" t="s">
        <v>534</v>
      </c>
      <c r="B490">
        <v>48.1</v>
      </c>
      <c r="C490">
        <v>42.35</v>
      </c>
      <c r="D490">
        <v>21.46</v>
      </c>
      <c r="E490">
        <v>24.18</v>
      </c>
      <c r="F490">
        <v>68.599999999999994</v>
      </c>
      <c r="G490">
        <v>0</v>
      </c>
      <c r="H490">
        <v>0</v>
      </c>
      <c r="I490">
        <v>77.09</v>
      </c>
      <c r="J490">
        <v>69.989999999999995</v>
      </c>
      <c r="K490">
        <v>58.71</v>
      </c>
      <c r="L490">
        <v>0.36</v>
      </c>
      <c r="M490">
        <v>50.76</v>
      </c>
      <c r="N490">
        <f t="shared" si="7"/>
        <v>45.225000000000001</v>
      </c>
      <c r="AE490">
        <v>48.1</v>
      </c>
    </row>
    <row r="491" spans="1:31" x14ac:dyDescent="0.25">
      <c r="A491" t="s">
        <v>535</v>
      </c>
      <c r="B491">
        <v>34</v>
      </c>
      <c r="C491">
        <v>65.97</v>
      </c>
      <c r="D491">
        <v>44.78</v>
      </c>
      <c r="E491">
        <v>70.05</v>
      </c>
      <c r="F491">
        <v>42.24</v>
      </c>
      <c r="G491">
        <v>19.440000000000001</v>
      </c>
      <c r="H491">
        <v>26.05</v>
      </c>
      <c r="I491">
        <v>18.059999999999999</v>
      </c>
      <c r="J491">
        <v>66.34</v>
      </c>
      <c r="K491">
        <v>71.31</v>
      </c>
      <c r="L491">
        <v>62.39</v>
      </c>
      <c r="M491">
        <v>12.95</v>
      </c>
      <c r="N491">
        <f t="shared" si="7"/>
        <v>43.510000000000005</v>
      </c>
      <c r="AE491">
        <v>34</v>
      </c>
    </row>
    <row r="492" spans="1:31" x14ac:dyDescent="0.25">
      <c r="A492" t="s">
        <v>536</v>
      </c>
      <c r="B492">
        <v>47.73</v>
      </c>
      <c r="C492">
        <v>20.87</v>
      </c>
      <c r="D492">
        <v>6.06</v>
      </c>
      <c r="E492">
        <v>27.1</v>
      </c>
      <c r="F492">
        <v>52.73</v>
      </c>
      <c r="G492">
        <v>132.02000000000001</v>
      </c>
      <c r="H492">
        <v>15.14</v>
      </c>
      <c r="I492">
        <v>30.46</v>
      </c>
      <c r="J492">
        <v>40.54</v>
      </c>
      <c r="K492">
        <v>1.17</v>
      </c>
      <c r="L492">
        <v>180.98</v>
      </c>
      <c r="M492">
        <v>130.68</v>
      </c>
      <c r="N492">
        <f t="shared" si="7"/>
        <v>35.5</v>
      </c>
      <c r="AE492">
        <v>47.73</v>
      </c>
    </row>
    <row r="493" spans="1:31" x14ac:dyDescent="0.25">
      <c r="A493" t="s">
        <v>537</v>
      </c>
      <c r="B493">
        <v>48.03</v>
      </c>
      <c r="C493">
        <v>30.31</v>
      </c>
      <c r="D493">
        <v>84.31</v>
      </c>
      <c r="E493">
        <v>34.799999999999997</v>
      </c>
      <c r="F493">
        <v>87.95</v>
      </c>
      <c r="G493">
        <v>36.29</v>
      </c>
      <c r="H493">
        <v>113.46</v>
      </c>
      <c r="I493">
        <v>75.28</v>
      </c>
      <c r="J493">
        <v>20.94</v>
      </c>
      <c r="K493">
        <v>131.18</v>
      </c>
      <c r="L493">
        <v>60.27</v>
      </c>
      <c r="M493">
        <v>0.27</v>
      </c>
      <c r="N493">
        <f t="shared" si="7"/>
        <v>54.150000000000006</v>
      </c>
      <c r="AE493">
        <v>48.03</v>
      </c>
    </row>
    <row r="494" spans="1:31" x14ac:dyDescent="0.25">
      <c r="A494" t="s">
        <v>538</v>
      </c>
      <c r="B494">
        <v>47.84</v>
      </c>
      <c r="C494">
        <v>161.76</v>
      </c>
      <c r="D494">
        <v>33.24</v>
      </c>
      <c r="E494">
        <v>18</v>
      </c>
      <c r="F494">
        <v>63.19</v>
      </c>
      <c r="G494">
        <v>63.17</v>
      </c>
      <c r="H494">
        <v>0.99</v>
      </c>
      <c r="I494">
        <v>0</v>
      </c>
      <c r="J494">
        <v>12.83</v>
      </c>
      <c r="K494">
        <v>9.0299999999999994</v>
      </c>
      <c r="L494">
        <v>26.94</v>
      </c>
      <c r="M494">
        <v>35.049999999999997</v>
      </c>
      <c r="N494">
        <f t="shared" si="7"/>
        <v>30.090000000000003</v>
      </c>
      <c r="AE494">
        <v>47.84</v>
      </c>
    </row>
    <row r="495" spans="1:31" x14ac:dyDescent="0.25">
      <c r="A495" t="s">
        <v>539</v>
      </c>
      <c r="B495">
        <v>33.75</v>
      </c>
      <c r="C495">
        <v>20.13</v>
      </c>
      <c r="D495">
        <v>68.48</v>
      </c>
      <c r="E495">
        <v>63.61</v>
      </c>
      <c r="F495">
        <v>20.47</v>
      </c>
      <c r="G495">
        <v>63.83</v>
      </c>
      <c r="H495">
        <v>35.89</v>
      </c>
      <c r="I495">
        <v>17.600000000000001</v>
      </c>
      <c r="J495">
        <v>29.29</v>
      </c>
      <c r="K495">
        <v>105.89</v>
      </c>
      <c r="L495">
        <v>30.91</v>
      </c>
      <c r="M495">
        <v>62.4</v>
      </c>
      <c r="N495">
        <f t="shared" si="7"/>
        <v>34.82</v>
      </c>
      <c r="AE495">
        <v>33.75</v>
      </c>
    </row>
    <row r="496" spans="1:31" x14ac:dyDescent="0.25">
      <c r="A496" t="s">
        <v>540</v>
      </c>
      <c r="B496">
        <v>47.37</v>
      </c>
      <c r="C496">
        <v>19.16</v>
      </c>
      <c r="D496">
        <v>145.22999999999999</v>
      </c>
      <c r="E496">
        <v>25.63</v>
      </c>
      <c r="F496">
        <v>96.45</v>
      </c>
      <c r="G496">
        <v>0.54</v>
      </c>
      <c r="H496">
        <v>86.93</v>
      </c>
      <c r="I496">
        <v>54.25</v>
      </c>
      <c r="J496">
        <v>3.38</v>
      </c>
      <c r="K496">
        <v>47.42</v>
      </c>
      <c r="L496">
        <v>87.02</v>
      </c>
      <c r="M496">
        <v>6.16</v>
      </c>
      <c r="N496">
        <f t="shared" si="7"/>
        <v>47.394999999999996</v>
      </c>
      <c r="AE496">
        <v>47.37</v>
      </c>
    </row>
    <row r="497" spans="1:31" x14ac:dyDescent="0.25">
      <c r="A497" t="s">
        <v>541</v>
      </c>
      <c r="B497">
        <v>47.76</v>
      </c>
      <c r="C497">
        <v>3.23</v>
      </c>
      <c r="D497">
        <v>79.97</v>
      </c>
      <c r="E497">
        <v>5.75</v>
      </c>
      <c r="F497">
        <v>20.54</v>
      </c>
      <c r="G497">
        <v>27.34</v>
      </c>
      <c r="H497">
        <v>86.7</v>
      </c>
      <c r="I497">
        <v>125.86</v>
      </c>
      <c r="J497">
        <v>73.150000000000006</v>
      </c>
      <c r="K497">
        <v>35.76</v>
      </c>
      <c r="L497">
        <v>17.489999999999998</v>
      </c>
      <c r="M497">
        <v>12.95</v>
      </c>
      <c r="N497">
        <f t="shared" si="7"/>
        <v>31.549999999999997</v>
      </c>
      <c r="AE497">
        <v>47.76</v>
      </c>
    </row>
    <row r="498" spans="1:31" x14ac:dyDescent="0.25">
      <c r="A498" t="s">
        <v>542</v>
      </c>
      <c r="B498">
        <v>33.97</v>
      </c>
      <c r="C498">
        <v>99.52</v>
      </c>
      <c r="D498">
        <v>10.91</v>
      </c>
      <c r="E498">
        <v>9.99</v>
      </c>
      <c r="F498">
        <v>10.64</v>
      </c>
      <c r="G498">
        <v>18.16</v>
      </c>
      <c r="H498">
        <v>21.02</v>
      </c>
      <c r="I498">
        <v>53.88</v>
      </c>
      <c r="J498">
        <v>49.6</v>
      </c>
      <c r="K498">
        <v>53.07</v>
      </c>
      <c r="L498">
        <v>61.49</v>
      </c>
      <c r="M498">
        <v>66.87</v>
      </c>
      <c r="N498">
        <f t="shared" si="7"/>
        <v>41.784999999999997</v>
      </c>
      <c r="AE498">
        <v>33.97</v>
      </c>
    </row>
    <row r="499" spans="1:31" x14ac:dyDescent="0.25">
      <c r="A499" t="s">
        <v>543</v>
      </c>
      <c r="B499">
        <v>33.909999999999997</v>
      </c>
      <c r="C499">
        <v>14.64</v>
      </c>
      <c r="D499">
        <v>22.73</v>
      </c>
      <c r="E499">
        <v>34.97</v>
      </c>
      <c r="F499">
        <v>14.83</v>
      </c>
      <c r="G499">
        <v>34.69</v>
      </c>
      <c r="H499">
        <v>129.07</v>
      </c>
      <c r="I499">
        <v>10.14</v>
      </c>
      <c r="J499">
        <v>32.409999999999997</v>
      </c>
      <c r="K499">
        <v>135.28</v>
      </c>
      <c r="L499">
        <v>83.68</v>
      </c>
      <c r="M499">
        <v>75.59</v>
      </c>
      <c r="N499">
        <f t="shared" si="7"/>
        <v>34.299999999999997</v>
      </c>
      <c r="AE499">
        <v>33.909999999999997</v>
      </c>
    </row>
    <row r="500" spans="1:31" x14ac:dyDescent="0.25">
      <c r="A500" t="s">
        <v>544</v>
      </c>
      <c r="B500">
        <v>33.57</v>
      </c>
      <c r="C500">
        <v>46.82</v>
      </c>
      <c r="D500">
        <v>63.18</v>
      </c>
      <c r="E500">
        <v>25.24</v>
      </c>
      <c r="F500">
        <v>129.87</v>
      </c>
      <c r="G500">
        <v>78.88</v>
      </c>
      <c r="H500">
        <v>16.07</v>
      </c>
      <c r="I500">
        <v>45.45</v>
      </c>
      <c r="J500">
        <v>59.78</v>
      </c>
      <c r="K500">
        <v>28.06</v>
      </c>
      <c r="L500">
        <v>85.14</v>
      </c>
      <c r="M500">
        <v>52.42</v>
      </c>
      <c r="N500">
        <f t="shared" si="7"/>
        <v>49.620000000000005</v>
      </c>
      <c r="AE500">
        <v>33.57</v>
      </c>
    </row>
    <row r="501" spans="1:31" x14ac:dyDescent="0.25">
      <c r="A501" t="s">
        <v>545</v>
      </c>
      <c r="B501">
        <v>33.51</v>
      </c>
      <c r="C501">
        <v>11.34</v>
      </c>
      <c r="D501">
        <v>27.91</v>
      </c>
      <c r="E501">
        <v>137.78</v>
      </c>
      <c r="F501">
        <v>21.74</v>
      </c>
      <c r="G501">
        <v>28.15</v>
      </c>
      <c r="H501">
        <v>39.08</v>
      </c>
      <c r="I501">
        <v>53.8</v>
      </c>
      <c r="J501">
        <v>64.91</v>
      </c>
      <c r="K501">
        <v>63.84</v>
      </c>
      <c r="L501">
        <v>10.11</v>
      </c>
      <c r="M501">
        <v>18.75</v>
      </c>
      <c r="N501">
        <f t="shared" si="7"/>
        <v>30.83</v>
      </c>
      <c r="AE501">
        <v>33.51</v>
      </c>
    </row>
    <row r="502" spans="1:31" x14ac:dyDescent="0.25">
      <c r="A502" t="s">
        <v>546</v>
      </c>
      <c r="B502">
        <v>46.76</v>
      </c>
      <c r="C502">
        <v>100.32</v>
      </c>
      <c r="D502">
        <v>8.33</v>
      </c>
      <c r="E502">
        <v>56.62</v>
      </c>
      <c r="F502">
        <v>6.99</v>
      </c>
      <c r="G502">
        <v>19.88</v>
      </c>
      <c r="H502">
        <v>68.819999999999993</v>
      </c>
      <c r="I502">
        <v>22.53</v>
      </c>
      <c r="J502">
        <v>0.36</v>
      </c>
      <c r="K502">
        <v>154.94</v>
      </c>
      <c r="L502">
        <v>55.29</v>
      </c>
      <c r="M502">
        <v>26.25</v>
      </c>
      <c r="N502">
        <f t="shared" si="7"/>
        <v>36.504999999999995</v>
      </c>
      <c r="AE502">
        <v>46.76</v>
      </c>
    </row>
    <row r="503" spans="1:31" x14ac:dyDescent="0.25">
      <c r="A503" t="s">
        <v>547</v>
      </c>
      <c r="B503">
        <v>33.770000000000003</v>
      </c>
      <c r="C503">
        <v>36.65</v>
      </c>
      <c r="D503">
        <v>19.07</v>
      </c>
      <c r="E503">
        <v>68.349999999999994</v>
      </c>
      <c r="F503">
        <v>21.36</v>
      </c>
      <c r="G503">
        <v>62.5</v>
      </c>
      <c r="H503">
        <v>14.46</v>
      </c>
      <c r="I503">
        <v>17.36</v>
      </c>
      <c r="J503">
        <v>25.66</v>
      </c>
      <c r="K503">
        <v>160.53</v>
      </c>
      <c r="L503">
        <v>30.01</v>
      </c>
      <c r="M503">
        <v>16.77</v>
      </c>
      <c r="N503">
        <f t="shared" si="7"/>
        <v>27.835000000000001</v>
      </c>
      <c r="AE503">
        <v>33.770000000000003</v>
      </c>
    </row>
    <row r="504" spans="1:31" x14ac:dyDescent="0.25">
      <c r="A504" t="s">
        <v>548</v>
      </c>
      <c r="B504">
        <v>33.61</v>
      </c>
      <c r="C504">
        <v>35.22</v>
      </c>
      <c r="D504">
        <v>41.2</v>
      </c>
      <c r="E504">
        <v>89.58</v>
      </c>
      <c r="F504">
        <v>25.05</v>
      </c>
      <c r="G504">
        <v>16.13</v>
      </c>
      <c r="H504">
        <v>37.520000000000003</v>
      </c>
      <c r="I504">
        <v>14.91</v>
      </c>
      <c r="J504">
        <v>57.98</v>
      </c>
      <c r="K504">
        <v>54.15</v>
      </c>
      <c r="L504">
        <v>83</v>
      </c>
      <c r="M504">
        <v>67.28</v>
      </c>
      <c r="N504">
        <f t="shared" si="7"/>
        <v>39.36</v>
      </c>
      <c r="AE504">
        <v>33.61</v>
      </c>
    </row>
    <row r="505" spans="1:31" x14ac:dyDescent="0.25">
      <c r="A505" t="s">
        <v>549</v>
      </c>
      <c r="B505">
        <v>33.659999999999997</v>
      </c>
      <c r="C505">
        <v>26.58</v>
      </c>
      <c r="D505">
        <v>60.62</v>
      </c>
      <c r="E505">
        <v>17.21</v>
      </c>
      <c r="F505">
        <v>64.97</v>
      </c>
      <c r="G505">
        <v>36.03</v>
      </c>
      <c r="H505">
        <v>64.11</v>
      </c>
      <c r="I505">
        <v>18.71</v>
      </c>
      <c r="J505">
        <v>28.28</v>
      </c>
      <c r="K505">
        <v>47.92</v>
      </c>
      <c r="L505">
        <v>103.85</v>
      </c>
      <c r="M505">
        <v>20.239999999999998</v>
      </c>
      <c r="N505">
        <f t="shared" si="7"/>
        <v>34.844999999999999</v>
      </c>
      <c r="AE505">
        <v>33.659999999999997</v>
      </c>
    </row>
    <row r="506" spans="1:31" x14ac:dyDescent="0.25">
      <c r="A506" t="s">
        <v>550</v>
      </c>
      <c r="B506">
        <v>46.2</v>
      </c>
      <c r="C506">
        <v>34.51</v>
      </c>
      <c r="D506">
        <v>54.68</v>
      </c>
      <c r="E506">
        <v>42.94</v>
      </c>
      <c r="F506">
        <v>26.7</v>
      </c>
      <c r="G506">
        <v>219.51</v>
      </c>
      <c r="H506">
        <v>22.32</v>
      </c>
      <c r="I506">
        <v>26.26</v>
      </c>
      <c r="J506">
        <v>27.18</v>
      </c>
      <c r="K506">
        <v>33.96</v>
      </c>
      <c r="L506">
        <v>1.32</v>
      </c>
      <c r="M506">
        <v>21.11</v>
      </c>
      <c r="N506">
        <f t="shared" si="7"/>
        <v>30.57</v>
      </c>
      <c r="AE506">
        <v>46.2</v>
      </c>
    </row>
    <row r="507" spans="1:31" x14ac:dyDescent="0.25">
      <c r="A507" t="s">
        <v>551</v>
      </c>
      <c r="B507">
        <v>46.44</v>
      </c>
      <c r="C507">
        <v>7.01</v>
      </c>
      <c r="D507">
        <v>44.18</v>
      </c>
      <c r="E507">
        <v>97.22</v>
      </c>
      <c r="F507">
        <v>7.87</v>
      </c>
      <c r="G507">
        <v>15.05</v>
      </c>
      <c r="H507">
        <v>80.23</v>
      </c>
      <c r="I507">
        <v>70.12</v>
      </c>
      <c r="J507">
        <v>12.86</v>
      </c>
      <c r="K507">
        <v>61.76</v>
      </c>
      <c r="L507">
        <v>22.1</v>
      </c>
      <c r="M507">
        <v>29.17</v>
      </c>
      <c r="N507">
        <f t="shared" si="7"/>
        <v>36.674999999999997</v>
      </c>
      <c r="AE507">
        <v>46.44</v>
      </c>
    </row>
    <row r="508" spans="1:31" x14ac:dyDescent="0.25">
      <c r="A508" t="s">
        <v>552</v>
      </c>
      <c r="B508">
        <v>45.67</v>
      </c>
      <c r="C508">
        <v>54.27</v>
      </c>
      <c r="D508">
        <v>112.94</v>
      </c>
      <c r="E508">
        <v>7.77</v>
      </c>
      <c r="F508">
        <v>53.28</v>
      </c>
      <c r="G508">
        <v>62.49</v>
      </c>
      <c r="H508">
        <v>43.19</v>
      </c>
      <c r="I508">
        <v>24.09</v>
      </c>
      <c r="J508">
        <v>15.21</v>
      </c>
      <c r="K508">
        <v>33.85</v>
      </c>
      <c r="L508">
        <v>32.44</v>
      </c>
      <c r="M508">
        <v>103.39</v>
      </c>
      <c r="N508">
        <f t="shared" si="7"/>
        <v>44.43</v>
      </c>
      <c r="AE508">
        <v>45.67</v>
      </c>
    </row>
    <row r="509" spans="1:31" x14ac:dyDescent="0.25">
      <c r="A509" t="s">
        <v>553</v>
      </c>
      <c r="B509">
        <v>45.45</v>
      </c>
      <c r="C509">
        <v>135.93</v>
      </c>
      <c r="D509">
        <v>20.58</v>
      </c>
      <c r="E509">
        <v>0.54</v>
      </c>
      <c r="F509">
        <v>6.05</v>
      </c>
      <c r="G509">
        <v>92.69</v>
      </c>
      <c r="H509">
        <v>43.14</v>
      </c>
      <c r="I509">
        <v>146.13</v>
      </c>
      <c r="J509">
        <v>37.549999999999997</v>
      </c>
      <c r="K509">
        <v>25.94</v>
      </c>
      <c r="L509">
        <v>131.46</v>
      </c>
      <c r="M509">
        <v>39.92</v>
      </c>
      <c r="N509">
        <f t="shared" si="7"/>
        <v>41.53</v>
      </c>
      <c r="AE509">
        <v>45.45</v>
      </c>
    </row>
    <row r="510" spans="1:31" x14ac:dyDescent="0.25">
      <c r="A510" t="s">
        <v>554</v>
      </c>
      <c r="B510">
        <v>32.71</v>
      </c>
      <c r="C510">
        <v>70.75</v>
      </c>
      <c r="D510">
        <v>26.02</v>
      </c>
      <c r="E510">
        <v>109.08</v>
      </c>
      <c r="F510">
        <v>223.49</v>
      </c>
      <c r="G510">
        <v>69.94</v>
      </c>
      <c r="H510">
        <v>56.3</v>
      </c>
      <c r="I510">
        <v>36.61</v>
      </c>
      <c r="J510">
        <v>19.03</v>
      </c>
      <c r="K510">
        <v>50.14</v>
      </c>
      <c r="L510">
        <v>31.17</v>
      </c>
      <c r="M510">
        <v>28.84</v>
      </c>
      <c r="N510">
        <f t="shared" si="7"/>
        <v>43.375</v>
      </c>
      <c r="AE510">
        <v>32.71</v>
      </c>
    </row>
    <row r="511" spans="1:31" x14ac:dyDescent="0.25">
      <c r="A511" t="s">
        <v>555</v>
      </c>
      <c r="B511">
        <v>45.07</v>
      </c>
      <c r="C511">
        <v>56.44</v>
      </c>
      <c r="D511">
        <v>74.31</v>
      </c>
      <c r="E511">
        <v>19.510000000000002</v>
      </c>
      <c r="F511">
        <v>39.06</v>
      </c>
      <c r="G511">
        <v>33.6</v>
      </c>
      <c r="H511">
        <v>44.55</v>
      </c>
      <c r="I511">
        <v>0</v>
      </c>
      <c r="J511">
        <v>14.12</v>
      </c>
      <c r="K511">
        <v>0.18</v>
      </c>
      <c r="L511">
        <v>40.82</v>
      </c>
      <c r="M511">
        <v>151.21</v>
      </c>
      <c r="N511">
        <f t="shared" si="7"/>
        <v>39.94</v>
      </c>
      <c r="AE511">
        <v>45.07</v>
      </c>
    </row>
    <row r="512" spans="1:31" x14ac:dyDescent="0.25">
      <c r="A512" t="s">
        <v>556</v>
      </c>
      <c r="B512">
        <v>45.59</v>
      </c>
      <c r="C512">
        <v>37.659999999999997</v>
      </c>
      <c r="D512">
        <v>59.62</v>
      </c>
      <c r="E512">
        <v>24.74</v>
      </c>
      <c r="F512">
        <v>225.5</v>
      </c>
      <c r="G512">
        <v>35.130000000000003</v>
      </c>
      <c r="H512">
        <v>84.26</v>
      </c>
      <c r="I512">
        <v>64.569999999999993</v>
      </c>
      <c r="J512">
        <v>9.7200000000000006</v>
      </c>
      <c r="K512">
        <v>22.81</v>
      </c>
      <c r="L512">
        <v>37.46</v>
      </c>
      <c r="M512">
        <v>26.85</v>
      </c>
      <c r="N512">
        <f t="shared" si="7"/>
        <v>37.56</v>
      </c>
      <c r="AE512">
        <v>45.59</v>
      </c>
    </row>
    <row r="513" spans="1:31" x14ac:dyDescent="0.25">
      <c r="A513" t="s">
        <v>557</v>
      </c>
      <c r="B513">
        <v>32.28</v>
      </c>
      <c r="C513">
        <v>42.44</v>
      </c>
      <c r="D513">
        <v>21.14</v>
      </c>
      <c r="E513">
        <v>33.409999999999997</v>
      </c>
      <c r="F513">
        <v>21.29</v>
      </c>
      <c r="G513">
        <v>40.97</v>
      </c>
      <c r="H513">
        <v>34.119999999999997</v>
      </c>
      <c r="I513">
        <v>19.3</v>
      </c>
      <c r="J513">
        <v>46.68</v>
      </c>
      <c r="K513">
        <v>130.97</v>
      </c>
      <c r="L513">
        <v>50.46</v>
      </c>
      <c r="M513">
        <v>29.65</v>
      </c>
      <c r="N513">
        <f t="shared" si="7"/>
        <v>33.765000000000001</v>
      </c>
      <c r="AE513">
        <v>32.28</v>
      </c>
    </row>
    <row r="514" spans="1:31" x14ac:dyDescent="0.25">
      <c r="A514" t="s">
        <v>558</v>
      </c>
      <c r="B514">
        <v>45.09</v>
      </c>
      <c r="C514">
        <v>4.4000000000000004</v>
      </c>
      <c r="D514">
        <v>67.08</v>
      </c>
      <c r="E514">
        <v>104.26</v>
      </c>
      <c r="F514">
        <v>14.38</v>
      </c>
      <c r="G514">
        <v>0.36</v>
      </c>
      <c r="H514">
        <v>19.579999999999998</v>
      </c>
      <c r="I514">
        <v>66.59</v>
      </c>
      <c r="J514">
        <v>332.87</v>
      </c>
      <c r="K514">
        <v>17.8</v>
      </c>
      <c r="L514">
        <v>13.65</v>
      </c>
      <c r="M514">
        <v>4.09</v>
      </c>
      <c r="N514">
        <f t="shared" si="7"/>
        <v>18.689999999999998</v>
      </c>
      <c r="AE514">
        <v>45.09</v>
      </c>
    </row>
    <row r="515" spans="1:31" x14ac:dyDescent="0.25">
      <c r="A515" t="s">
        <v>559</v>
      </c>
      <c r="B515">
        <v>44.56</v>
      </c>
      <c r="C515">
        <v>3.12</v>
      </c>
      <c r="D515">
        <v>92.14</v>
      </c>
      <c r="E515">
        <v>66.150000000000006</v>
      </c>
      <c r="F515">
        <v>15.9</v>
      </c>
      <c r="G515">
        <v>46.62</v>
      </c>
      <c r="H515">
        <v>69.81</v>
      </c>
      <c r="I515">
        <v>5.61</v>
      </c>
      <c r="J515">
        <v>156.57</v>
      </c>
      <c r="K515">
        <v>0.18</v>
      </c>
      <c r="L515">
        <v>8.8800000000000008</v>
      </c>
      <c r="M515">
        <v>20.71</v>
      </c>
      <c r="N515">
        <f t="shared" ref="N515:N578" si="8">MEDIAN(B515:M515)</f>
        <v>32.635000000000005</v>
      </c>
      <c r="AE515">
        <v>44.56</v>
      </c>
    </row>
    <row r="516" spans="1:31" x14ac:dyDescent="0.25">
      <c r="A516" t="s">
        <v>560</v>
      </c>
      <c r="B516">
        <v>32.72</v>
      </c>
      <c r="C516">
        <v>29.43</v>
      </c>
      <c r="D516">
        <v>116.18</v>
      </c>
      <c r="E516">
        <v>25.99</v>
      </c>
      <c r="F516">
        <v>26.66</v>
      </c>
      <c r="G516">
        <v>129.13</v>
      </c>
      <c r="H516">
        <v>24.56</v>
      </c>
      <c r="I516">
        <v>52.82</v>
      </c>
      <c r="J516">
        <v>16.97</v>
      </c>
      <c r="K516">
        <v>17.05</v>
      </c>
      <c r="L516">
        <v>50.84</v>
      </c>
      <c r="M516">
        <v>103.98</v>
      </c>
      <c r="N516">
        <f t="shared" si="8"/>
        <v>31.074999999999999</v>
      </c>
      <c r="AE516">
        <v>32.72</v>
      </c>
    </row>
    <row r="517" spans="1:31" x14ac:dyDescent="0.25">
      <c r="A517" t="s">
        <v>561</v>
      </c>
      <c r="B517">
        <v>32.46</v>
      </c>
      <c r="C517">
        <v>69.239999999999995</v>
      </c>
      <c r="D517">
        <v>44.58</v>
      </c>
      <c r="E517">
        <v>26.92</v>
      </c>
      <c r="F517">
        <v>113.06</v>
      </c>
      <c r="G517">
        <v>55.37</v>
      </c>
      <c r="H517">
        <v>159.47999999999999</v>
      </c>
      <c r="I517">
        <v>22.18</v>
      </c>
      <c r="J517">
        <v>46.56</v>
      </c>
      <c r="K517">
        <v>46.07</v>
      </c>
      <c r="L517">
        <v>50.55</v>
      </c>
      <c r="M517">
        <v>10.09</v>
      </c>
      <c r="N517">
        <f t="shared" si="8"/>
        <v>46.314999999999998</v>
      </c>
      <c r="AE517">
        <v>32.46</v>
      </c>
    </row>
    <row r="518" spans="1:31" x14ac:dyDescent="0.25">
      <c r="A518" t="s">
        <v>562</v>
      </c>
      <c r="B518">
        <v>44.35</v>
      </c>
      <c r="C518">
        <v>104.27</v>
      </c>
      <c r="D518">
        <v>20.8</v>
      </c>
      <c r="E518">
        <v>58.05</v>
      </c>
      <c r="F518">
        <v>47.63</v>
      </c>
      <c r="G518">
        <v>8.74</v>
      </c>
      <c r="H518">
        <v>85.47</v>
      </c>
      <c r="I518">
        <v>45.71</v>
      </c>
      <c r="J518">
        <v>128.91999999999999</v>
      </c>
      <c r="K518">
        <v>91.22</v>
      </c>
      <c r="L518">
        <v>9.8000000000000007</v>
      </c>
      <c r="M518">
        <v>59.68</v>
      </c>
      <c r="N518">
        <f t="shared" si="8"/>
        <v>52.84</v>
      </c>
      <c r="AE518">
        <v>44.35</v>
      </c>
    </row>
    <row r="519" spans="1:31" x14ac:dyDescent="0.25">
      <c r="A519" t="s">
        <v>563</v>
      </c>
      <c r="B519">
        <v>32.18</v>
      </c>
      <c r="C519">
        <v>103.89</v>
      </c>
      <c r="D519">
        <v>18.96</v>
      </c>
      <c r="E519">
        <v>24.4</v>
      </c>
      <c r="F519">
        <v>40.380000000000003</v>
      </c>
      <c r="G519">
        <v>45.69</v>
      </c>
      <c r="H519">
        <v>21.58</v>
      </c>
      <c r="I519">
        <v>42.65</v>
      </c>
      <c r="J519">
        <v>28.26</v>
      </c>
      <c r="K519">
        <v>59.51</v>
      </c>
      <c r="L519">
        <v>75.23</v>
      </c>
      <c r="M519">
        <v>34.479999999999997</v>
      </c>
      <c r="N519">
        <f t="shared" si="8"/>
        <v>37.43</v>
      </c>
      <c r="AE519">
        <v>32.18</v>
      </c>
    </row>
    <row r="520" spans="1:31" x14ac:dyDescent="0.25">
      <c r="A520" t="s">
        <v>564</v>
      </c>
      <c r="B520">
        <v>32.99</v>
      </c>
      <c r="C520">
        <v>27.52</v>
      </c>
      <c r="D520">
        <v>61.75</v>
      </c>
      <c r="E520">
        <v>61.97</v>
      </c>
      <c r="F520">
        <v>11.48</v>
      </c>
      <c r="G520">
        <v>49.92</v>
      </c>
      <c r="H520">
        <v>12.49</v>
      </c>
      <c r="I520">
        <v>33.479999999999997</v>
      </c>
      <c r="J520">
        <v>53.03</v>
      </c>
      <c r="K520">
        <v>20.94</v>
      </c>
      <c r="L520">
        <v>77.31</v>
      </c>
      <c r="M520">
        <v>150.66</v>
      </c>
      <c r="N520">
        <f t="shared" si="8"/>
        <v>41.7</v>
      </c>
      <c r="AE520">
        <v>32.99</v>
      </c>
    </row>
    <row r="521" spans="1:31" x14ac:dyDescent="0.25">
      <c r="A521" t="s">
        <v>565</v>
      </c>
      <c r="B521">
        <v>44.27</v>
      </c>
      <c r="C521">
        <v>27.15</v>
      </c>
      <c r="D521">
        <v>46.13</v>
      </c>
      <c r="E521">
        <v>53.68</v>
      </c>
      <c r="F521">
        <v>2.3199999999999998</v>
      </c>
      <c r="G521">
        <v>176.22</v>
      </c>
      <c r="H521">
        <v>27.17</v>
      </c>
      <c r="I521">
        <v>101.77</v>
      </c>
      <c r="J521">
        <v>26.37</v>
      </c>
      <c r="K521">
        <v>42.24</v>
      </c>
      <c r="L521">
        <v>28.94</v>
      </c>
      <c r="M521">
        <v>83.1</v>
      </c>
      <c r="N521">
        <f t="shared" si="8"/>
        <v>43.255000000000003</v>
      </c>
      <c r="AE521">
        <v>44.27</v>
      </c>
    </row>
    <row r="522" spans="1:31" x14ac:dyDescent="0.25">
      <c r="A522" t="s">
        <v>566</v>
      </c>
      <c r="B522">
        <v>32.450000000000003</v>
      </c>
      <c r="C522">
        <v>113.33</v>
      </c>
      <c r="D522">
        <v>15.28</v>
      </c>
      <c r="E522">
        <v>56.29</v>
      </c>
      <c r="F522">
        <v>46.83</v>
      </c>
      <c r="G522">
        <v>78.099999999999994</v>
      </c>
      <c r="H522">
        <v>19.12</v>
      </c>
      <c r="I522">
        <v>11.07</v>
      </c>
      <c r="J522">
        <v>18.670000000000002</v>
      </c>
      <c r="K522">
        <v>38.07</v>
      </c>
      <c r="L522">
        <v>33.46</v>
      </c>
      <c r="M522">
        <v>101.77</v>
      </c>
      <c r="N522">
        <f t="shared" si="8"/>
        <v>35.765000000000001</v>
      </c>
      <c r="AE522">
        <v>32.450000000000003</v>
      </c>
    </row>
    <row r="523" spans="1:31" x14ac:dyDescent="0.25">
      <c r="A523" t="s">
        <v>567</v>
      </c>
      <c r="B523">
        <v>31.85</v>
      </c>
      <c r="C523">
        <v>95.12</v>
      </c>
      <c r="D523">
        <v>36.659999999999997</v>
      </c>
      <c r="E523">
        <v>117.77</v>
      </c>
      <c r="F523">
        <v>24.91</v>
      </c>
      <c r="G523">
        <v>217.38</v>
      </c>
      <c r="H523">
        <v>56.51</v>
      </c>
      <c r="I523">
        <v>67.14</v>
      </c>
      <c r="J523">
        <v>36.520000000000003</v>
      </c>
      <c r="K523">
        <v>91.77</v>
      </c>
      <c r="L523">
        <v>30.92</v>
      </c>
      <c r="M523">
        <v>58.16</v>
      </c>
      <c r="N523">
        <f t="shared" si="8"/>
        <v>57.334999999999994</v>
      </c>
      <c r="AE523">
        <v>31.85</v>
      </c>
    </row>
    <row r="524" spans="1:31" x14ac:dyDescent="0.25">
      <c r="A524" t="s">
        <v>568</v>
      </c>
      <c r="B524">
        <v>43.61</v>
      </c>
      <c r="C524">
        <v>0.18</v>
      </c>
      <c r="D524">
        <v>72.08</v>
      </c>
      <c r="E524">
        <v>99.72</v>
      </c>
      <c r="F524">
        <v>45.03</v>
      </c>
      <c r="G524">
        <v>88.76</v>
      </c>
      <c r="H524">
        <v>35.71</v>
      </c>
      <c r="I524">
        <v>0.38</v>
      </c>
      <c r="J524">
        <v>82.12</v>
      </c>
      <c r="K524">
        <v>13.1</v>
      </c>
      <c r="L524">
        <v>57.7</v>
      </c>
      <c r="M524">
        <v>57.17</v>
      </c>
      <c r="N524">
        <f t="shared" si="8"/>
        <v>51.1</v>
      </c>
      <c r="AE524">
        <v>43.61</v>
      </c>
    </row>
    <row r="525" spans="1:31" x14ac:dyDescent="0.25">
      <c r="A525" t="s">
        <v>569</v>
      </c>
      <c r="B525">
        <v>31.91</v>
      </c>
      <c r="C525">
        <v>12.94</v>
      </c>
      <c r="D525">
        <v>134.44</v>
      </c>
      <c r="E525">
        <v>21.15</v>
      </c>
      <c r="F525">
        <v>43.9</v>
      </c>
      <c r="G525">
        <v>45.01</v>
      </c>
      <c r="H525">
        <v>10.44</v>
      </c>
      <c r="I525">
        <v>114.4</v>
      </c>
      <c r="J525">
        <v>63.66</v>
      </c>
      <c r="K525">
        <v>20.78</v>
      </c>
      <c r="L525">
        <v>154.46</v>
      </c>
      <c r="M525">
        <v>67.28</v>
      </c>
      <c r="N525">
        <f t="shared" si="8"/>
        <v>44.454999999999998</v>
      </c>
      <c r="AE525">
        <v>31.91</v>
      </c>
    </row>
    <row r="526" spans="1:31" x14ac:dyDescent="0.25">
      <c r="A526" t="s">
        <v>570</v>
      </c>
      <c r="B526">
        <v>31.51</v>
      </c>
      <c r="C526">
        <v>14.63</v>
      </c>
      <c r="D526">
        <v>86.5</v>
      </c>
      <c r="E526">
        <v>81.16</v>
      </c>
      <c r="F526">
        <v>26.04</v>
      </c>
      <c r="G526">
        <v>9.99</v>
      </c>
      <c r="H526">
        <v>25.23</v>
      </c>
      <c r="I526">
        <v>19.149999999999999</v>
      </c>
      <c r="J526">
        <v>21.81</v>
      </c>
      <c r="K526">
        <v>27.3</v>
      </c>
      <c r="L526">
        <v>10.09</v>
      </c>
      <c r="M526">
        <v>129.97</v>
      </c>
      <c r="N526">
        <f t="shared" si="8"/>
        <v>25.634999999999998</v>
      </c>
      <c r="AE526">
        <v>31.51</v>
      </c>
    </row>
    <row r="527" spans="1:31" x14ac:dyDescent="0.25">
      <c r="A527" t="s">
        <v>571</v>
      </c>
      <c r="B527">
        <v>42.59</v>
      </c>
      <c r="C527">
        <v>168.23</v>
      </c>
      <c r="D527">
        <v>192.28</v>
      </c>
      <c r="E527">
        <v>30.5</v>
      </c>
      <c r="F527">
        <v>138.88999999999999</v>
      </c>
      <c r="G527">
        <v>34.9</v>
      </c>
      <c r="H527">
        <v>34.42</v>
      </c>
      <c r="I527">
        <v>93.97</v>
      </c>
      <c r="J527">
        <v>0</v>
      </c>
      <c r="K527">
        <v>154.68</v>
      </c>
      <c r="L527">
        <v>73.39</v>
      </c>
      <c r="M527">
        <v>168.51</v>
      </c>
      <c r="N527">
        <f t="shared" si="8"/>
        <v>83.68</v>
      </c>
      <c r="AE527">
        <v>42.59</v>
      </c>
    </row>
    <row r="528" spans="1:31" x14ac:dyDescent="0.25">
      <c r="A528" t="s">
        <v>572</v>
      </c>
      <c r="B528">
        <v>32.32</v>
      </c>
      <c r="C528">
        <v>10.49</v>
      </c>
      <c r="D528">
        <v>145.66999999999999</v>
      </c>
      <c r="E528">
        <v>34.17</v>
      </c>
      <c r="F528">
        <v>9.99</v>
      </c>
      <c r="G528">
        <v>24.9</v>
      </c>
      <c r="H528">
        <v>17.13</v>
      </c>
      <c r="I528">
        <v>263.45</v>
      </c>
      <c r="J528">
        <v>31.7</v>
      </c>
      <c r="K528">
        <v>30.85</v>
      </c>
      <c r="L528">
        <v>90.1</v>
      </c>
      <c r="M528">
        <v>47.83</v>
      </c>
      <c r="N528">
        <f t="shared" si="8"/>
        <v>32.01</v>
      </c>
      <c r="AE528">
        <v>32.32</v>
      </c>
    </row>
    <row r="529" spans="1:31" x14ac:dyDescent="0.25">
      <c r="A529" t="s">
        <v>573</v>
      </c>
      <c r="B529">
        <v>42.64</v>
      </c>
      <c r="C529">
        <v>22.42</v>
      </c>
      <c r="D529">
        <v>42.22</v>
      </c>
      <c r="E529">
        <v>18.86</v>
      </c>
      <c r="F529">
        <v>42.24</v>
      </c>
      <c r="G529">
        <v>51.88</v>
      </c>
      <c r="H529">
        <v>46.38</v>
      </c>
      <c r="I529">
        <v>147.51</v>
      </c>
      <c r="J529">
        <v>0</v>
      </c>
      <c r="K529">
        <v>60.11</v>
      </c>
      <c r="L529">
        <v>12.6</v>
      </c>
      <c r="M529">
        <v>98.42</v>
      </c>
      <c r="N529">
        <f t="shared" si="8"/>
        <v>42.44</v>
      </c>
      <c r="AE529">
        <v>42.64</v>
      </c>
    </row>
    <row r="530" spans="1:31" x14ac:dyDescent="0.25">
      <c r="A530" t="s">
        <v>574</v>
      </c>
      <c r="B530">
        <v>31.34</v>
      </c>
      <c r="C530">
        <v>187.18</v>
      </c>
      <c r="D530">
        <v>57.82</v>
      </c>
      <c r="E530">
        <v>39.6</v>
      </c>
      <c r="F530">
        <v>40.229999999999997</v>
      </c>
      <c r="G530">
        <v>15.05</v>
      </c>
      <c r="H530">
        <v>118.29</v>
      </c>
      <c r="I530">
        <v>99.93</v>
      </c>
      <c r="J530">
        <v>48.77</v>
      </c>
      <c r="K530">
        <v>10.19</v>
      </c>
      <c r="L530">
        <v>22.37</v>
      </c>
      <c r="M530">
        <v>19.440000000000001</v>
      </c>
      <c r="N530">
        <f t="shared" si="8"/>
        <v>39.914999999999999</v>
      </c>
      <c r="AE530">
        <v>31.34</v>
      </c>
    </row>
    <row r="531" spans="1:31" x14ac:dyDescent="0.25">
      <c r="A531" t="s">
        <v>575</v>
      </c>
      <c r="B531">
        <v>42.68</v>
      </c>
      <c r="C531">
        <v>60.92</v>
      </c>
      <c r="D531">
        <v>54.85</v>
      </c>
      <c r="E531">
        <v>187.66</v>
      </c>
      <c r="F531">
        <v>6.25</v>
      </c>
      <c r="G531">
        <v>5.71</v>
      </c>
      <c r="H531">
        <v>97.01</v>
      </c>
      <c r="I531">
        <v>25.54</v>
      </c>
      <c r="J531">
        <v>32.67</v>
      </c>
      <c r="K531">
        <v>43.56</v>
      </c>
      <c r="L531">
        <v>64.540000000000006</v>
      </c>
      <c r="M531">
        <v>15.9</v>
      </c>
      <c r="N531">
        <f t="shared" si="8"/>
        <v>43.120000000000005</v>
      </c>
      <c r="AE531">
        <v>42.68</v>
      </c>
    </row>
    <row r="532" spans="1:31" x14ac:dyDescent="0.25">
      <c r="A532" t="s">
        <v>576</v>
      </c>
      <c r="B532">
        <v>31.3</v>
      </c>
      <c r="C532">
        <v>132.97999999999999</v>
      </c>
      <c r="D532">
        <v>41.31</v>
      </c>
      <c r="E532">
        <v>106.17</v>
      </c>
      <c r="F532">
        <v>58.33</v>
      </c>
      <c r="G532">
        <v>10.14</v>
      </c>
      <c r="H532">
        <v>17.57</v>
      </c>
      <c r="I532">
        <v>59.27</v>
      </c>
      <c r="J532">
        <v>42.25</v>
      </c>
      <c r="K532">
        <v>13.34</v>
      </c>
      <c r="L532">
        <v>35.01</v>
      </c>
      <c r="M532">
        <v>73.37</v>
      </c>
      <c r="N532">
        <f t="shared" si="8"/>
        <v>41.78</v>
      </c>
      <c r="AE532">
        <v>31.3</v>
      </c>
    </row>
    <row r="533" spans="1:31" x14ac:dyDescent="0.25">
      <c r="A533" t="s">
        <v>577</v>
      </c>
      <c r="B533">
        <v>42.32</v>
      </c>
      <c r="C533">
        <v>8.69</v>
      </c>
      <c r="D533">
        <v>124.25</v>
      </c>
      <c r="E533">
        <v>36.619999999999997</v>
      </c>
      <c r="F533">
        <v>54.38</v>
      </c>
      <c r="G533">
        <v>31.11</v>
      </c>
      <c r="H533">
        <v>13.36</v>
      </c>
      <c r="I533">
        <v>17.34</v>
      </c>
      <c r="J533">
        <v>118.28</v>
      </c>
      <c r="K533">
        <v>76.97</v>
      </c>
      <c r="L533">
        <v>46.11</v>
      </c>
      <c r="M533">
        <v>36.03</v>
      </c>
      <c r="N533">
        <f t="shared" si="8"/>
        <v>39.47</v>
      </c>
      <c r="AE533">
        <v>42.32</v>
      </c>
    </row>
    <row r="534" spans="1:31" x14ac:dyDescent="0.25">
      <c r="A534" t="s">
        <v>578</v>
      </c>
      <c r="B534">
        <v>31.01</v>
      </c>
      <c r="C534">
        <v>56.46</v>
      </c>
      <c r="D534">
        <v>26.36</v>
      </c>
      <c r="E534">
        <v>51.72</v>
      </c>
      <c r="F534">
        <v>9.99</v>
      </c>
      <c r="G534">
        <v>40.270000000000003</v>
      </c>
      <c r="H534">
        <v>18.989999999999998</v>
      </c>
      <c r="I534">
        <v>17.05</v>
      </c>
      <c r="J534">
        <v>26.87</v>
      </c>
      <c r="K534">
        <v>41.05</v>
      </c>
      <c r="L534">
        <v>130.66999999999999</v>
      </c>
      <c r="M534">
        <v>72.069999999999993</v>
      </c>
      <c r="N534">
        <f t="shared" si="8"/>
        <v>35.64</v>
      </c>
      <c r="AE534">
        <v>31.01</v>
      </c>
    </row>
    <row r="535" spans="1:31" x14ac:dyDescent="0.25">
      <c r="A535" t="s">
        <v>579</v>
      </c>
      <c r="B535">
        <v>42.27</v>
      </c>
      <c r="C535">
        <v>75.739999999999995</v>
      </c>
      <c r="D535">
        <v>40.049999999999997</v>
      </c>
      <c r="E535">
        <v>26.46</v>
      </c>
      <c r="F535">
        <v>9.94</v>
      </c>
      <c r="G535">
        <v>91.12</v>
      </c>
      <c r="H535">
        <v>0.72</v>
      </c>
      <c r="I535">
        <v>40.82</v>
      </c>
      <c r="J535">
        <v>35.25</v>
      </c>
      <c r="K535">
        <v>4.01</v>
      </c>
      <c r="L535">
        <v>95.42</v>
      </c>
      <c r="M535">
        <v>113.39</v>
      </c>
      <c r="N535">
        <f t="shared" si="8"/>
        <v>40.435000000000002</v>
      </c>
      <c r="AE535">
        <v>42.27</v>
      </c>
    </row>
    <row r="536" spans="1:31" x14ac:dyDescent="0.25">
      <c r="A536" t="s">
        <v>580</v>
      </c>
      <c r="B536">
        <v>31.08</v>
      </c>
      <c r="C536">
        <v>78.64</v>
      </c>
      <c r="D536">
        <v>23.89</v>
      </c>
      <c r="E536">
        <v>18.88</v>
      </c>
      <c r="F536">
        <v>43.13</v>
      </c>
      <c r="G536">
        <v>16.5</v>
      </c>
      <c r="H536">
        <v>34.61</v>
      </c>
      <c r="I536">
        <v>15.45</v>
      </c>
      <c r="J536">
        <v>62.48</v>
      </c>
      <c r="K536">
        <v>98.91</v>
      </c>
      <c r="L536">
        <v>69.540000000000006</v>
      </c>
      <c r="M536">
        <v>36.65</v>
      </c>
      <c r="N536">
        <f t="shared" si="8"/>
        <v>35.629999999999995</v>
      </c>
      <c r="AE536">
        <v>31.08</v>
      </c>
    </row>
    <row r="537" spans="1:31" x14ac:dyDescent="0.25">
      <c r="A537" t="s">
        <v>581</v>
      </c>
      <c r="B537">
        <v>42.43</v>
      </c>
      <c r="C537">
        <v>0.27</v>
      </c>
      <c r="D537">
        <v>17.8</v>
      </c>
      <c r="E537">
        <v>83.62</v>
      </c>
      <c r="F537">
        <v>25.15</v>
      </c>
      <c r="G537">
        <v>72.87</v>
      </c>
      <c r="H537">
        <v>70.180000000000007</v>
      </c>
      <c r="I537">
        <v>71.8</v>
      </c>
      <c r="J537">
        <v>38.130000000000003</v>
      </c>
      <c r="K537">
        <v>52.24</v>
      </c>
      <c r="L537">
        <v>0.27</v>
      </c>
      <c r="M537">
        <v>47.27</v>
      </c>
      <c r="N537">
        <f t="shared" si="8"/>
        <v>44.85</v>
      </c>
      <c r="AE537">
        <v>42.43</v>
      </c>
    </row>
    <row r="538" spans="1:31" x14ac:dyDescent="0.25">
      <c r="A538" t="s">
        <v>582</v>
      </c>
      <c r="B538">
        <v>41.7</v>
      </c>
      <c r="C538">
        <v>87.2</v>
      </c>
      <c r="D538">
        <v>35.76</v>
      </c>
      <c r="E538">
        <v>26.48</v>
      </c>
      <c r="F538">
        <v>5.28</v>
      </c>
      <c r="G538">
        <v>45.69</v>
      </c>
      <c r="H538">
        <v>7.87</v>
      </c>
      <c r="I538">
        <v>13.65</v>
      </c>
      <c r="J538">
        <v>82.11</v>
      </c>
      <c r="K538">
        <v>64.709999999999994</v>
      </c>
      <c r="L538">
        <v>0.27</v>
      </c>
      <c r="M538">
        <v>38.799999999999997</v>
      </c>
      <c r="N538">
        <f t="shared" si="8"/>
        <v>37.28</v>
      </c>
      <c r="AE538">
        <v>41.7</v>
      </c>
    </row>
    <row r="539" spans="1:31" x14ac:dyDescent="0.25">
      <c r="A539" t="s">
        <v>583</v>
      </c>
      <c r="B539">
        <v>41.75</v>
      </c>
      <c r="C539">
        <v>67.38</v>
      </c>
      <c r="D539">
        <v>40.39</v>
      </c>
      <c r="E539">
        <v>35.44</v>
      </c>
      <c r="F539">
        <v>34.42</v>
      </c>
      <c r="G539">
        <v>21.25</v>
      </c>
      <c r="H539">
        <v>202.82</v>
      </c>
      <c r="I539">
        <v>40.619999999999997</v>
      </c>
      <c r="J539">
        <v>5.17</v>
      </c>
      <c r="K539">
        <v>0.63</v>
      </c>
      <c r="L539">
        <v>131.76</v>
      </c>
      <c r="M539">
        <v>82.09</v>
      </c>
      <c r="N539">
        <f t="shared" si="8"/>
        <v>40.504999999999995</v>
      </c>
      <c r="AE539">
        <v>41.75</v>
      </c>
    </row>
    <row r="540" spans="1:31" x14ac:dyDescent="0.25">
      <c r="A540" t="s">
        <v>584</v>
      </c>
      <c r="B540">
        <v>41.75</v>
      </c>
      <c r="C540">
        <v>32.08</v>
      </c>
      <c r="D540">
        <v>84.5</v>
      </c>
      <c r="E540">
        <v>42.01</v>
      </c>
      <c r="F540">
        <v>0.36</v>
      </c>
      <c r="G540">
        <v>99.44</v>
      </c>
      <c r="H540">
        <v>9.69</v>
      </c>
      <c r="I540">
        <v>138.71</v>
      </c>
      <c r="J540">
        <v>31.51</v>
      </c>
      <c r="K540">
        <v>46.13</v>
      </c>
      <c r="L540">
        <v>0.18</v>
      </c>
      <c r="M540">
        <v>322.56</v>
      </c>
      <c r="N540">
        <f t="shared" si="8"/>
        <v>41.879999999999995</v>
      </c>
      <c r="AE540">
        <v>41.75</v>
      </c>
    </row>
    <row r="541" spans="1:31" x14ac:dyDescent="0.25">
      <c r="A541" t="s">
        <v>585</v>
      </c>
      <c r="B541">
        <v>41.64</v>
      </c>
      <c r="C541">
        <v>1.73</v>
      </c>
      <c r="D541">
        <v>28.05</v>
      </c>
      <c r="E541">
        <v>61.59</v>
      </c>
      <c r="F541">
        <v>136.05000000000001</v>
      </c>
      <c r="G541">
        <v>28.76</v>
      </c>
      <c r="H541">
        <v>39.090000000000003</v>
      </c>
      <c r="I541">
        <v>42</v>
      </c>
      <c r="J541">
        <v>59.14</v>
      </c>
      <c r="K541">
        <v>84.77</v>
      </c>
      <c r="L541">
        <v>13.59</v>
      </c>
      <c r="M541">
        <v>45.11</v>
      </c>
      <c r="N541">
        <f t="shared" si="8"/>
        <v>41.82</v>
      </c>
      <c r="AE541">
        <v>41.64</v>
      </c>
    </row>
    <row r="542" spans="1:31" x14ac:dyDescent="0.25">
      <c r="A542" t="s">
        <v>586</v>
      </c>
      <c r="B542">
        <v>30.71</v>
      </c>
      <c r="C542">
        <v>28.72</v>
      </c>
      <c r="D542">
        <v>162.27000000000001</v>
      </c>
      <c r="E542">
        <v>21.14</v>
      </c>
      <c r="F542">
        <v>51.66</v>
      </c>
      <c r="G542">
        <v>12.31</v>
      </c>
      <c r="H542">
        <v>32.89</v>
      </c>
      <c r="I542">
        <v>69.52</v>
      </c>
      <c r="J542">
        <v>19.64</v>
      </c>
      <c r="K542">
        <v>28.88</v>
      </c>
      <c r="L542">
        <v>120.1</v>
      </c>
      <c r="M542">
        <v>53.77</v>
      </c>
      <c r="N542">
        <f t="shared" si="8"/>
        <v>31.8</v>
      </c>
      <c r="AE542">
        <v>30.71</v>
      </c>
    </row>
    <row r="543" spans="1:31" x14ac:dyDescent="0.25">
      <c r="A543" t="s">
        <v>587</v>
      </c>
      <c r="B543">
        <v>30.46</v>
      </c>
      <c r="C543">
        <v>52.05</v>
      </c>
      <c r="D543">
        <v>26.67</v>
      </c>
      <c r="E543">
        <v>26.41</v>
      </c>
      <c r="F543">
        <v>24.1</v>
      </c>
      <c r="G543">
        <v>57.61</v>
      </c>
      <c r="H543">
        <v>62.49</v>
      </c>
      <c r="I543">
        <v>61.16</v>
      </c>
      <c r="J543">
        <v>21.21</v>
      </c>
      <c r="K543">
        <v>272.2</v>
      </c>
      <c r="L543">
        <v>81.14</v>
      </c>
      <c r="M543">
        <v>20.02</v>
      </c>
      <c r="N543">
        <f t="shared" si="8"/>
        <v>41.254999999999995</v>
      </c>
      <c r="AE543">
        <v>30.46</v>
      </c>
    </row>
    <row r="544" spans="1:31" x14ac:dyDescent="0.25">
      <c r="A544" t="s">
        <v>588</v>
      </c>
      <c r="B544">
        <v>40.770000000000003</v>
      </c>
      <c r="C544">
        <v>7.04</v>
      </c>
      <c r="D544">
        <v>0.45</v>
      </c>
      <c r="E544">
        <v>25.98</v>
      </c>
      <c r="F544">
        <v>112.01</v>
      </c>
      <c r="G544">
        <v>70.45</v>
      </c>
      <c r="H544">
        <v>12.5</v>
      </c>
      <c r="I544">
        <v>67.27</v>
      </c>
      <c r="J544">
        <v>84.99</v>
      </c>
      <c r="K544">
        <v>38.28</v>
      </c>
      <c r="L544">
        <v>64.42</v>
      </c>
      <c r="M544">
        <v>1.88</v>
      </c>
      <c r="N544">
        <f t="shared" si="8"/>
        <v>39.525000000000006</v>
      </c>
      <c r="AE544">
        <v>40.770000000000003</v>
      </c>
    </row>
    <row r="545" spans="1:31" x14ac:dyDescent="0.25">
      <c r="A545" t="s">
        <v>589</v>
      </c>
      <c r="B545">
        <v>30.37</v>
      </c>
      <c r="C545">
        <v>87.78</v>
      </c>
      <c r="D545">
        <v>20.350000000000001</v>
      </c>
      <c r="E545">
        <v>23.23</v>
      </c>
      <c r="F545">
        <v>11.99</v>
      </c>
      <c r="G545">
        <v>12.47</v>
      </c>
      <c r="H545">
        <v>16.16</v>
      </c>
      <c r="I545">
        <v>144.94</v>
      </c>
      <c r="J545">
        <v>19.98</v>
      </c>
      <c r="K545">
        <v>116.76</v>
      </c>
      <c r="L545">
        <v>10.14</v>
      </c>
      <c r="M545">
        <v>111.36</v>
      </c>
      <c r="N545">
        <f t="shared" si="8"/>
        <v>21.79</v>
      </c>
      <c r="AE545">
        <v>30.37</v>
      </c>
    </row>
    <row r="546" spans="1:31" x14ac:dyDescent="0.25">
      <c r="A546" t="s">
        <v>590</v>
      </c>
      <c r="B546">
        <v>40.9</v>
      </c>
      <c r="C546">
        <v>44.85</v>
      </c>
      <c r="D546">
        <v>3.96</v>
      </c>
      <c r="E546">
        <v>59.48</v>
      </c>
      <c r="F546">
        <v>21.78</v>
      </c>
      <c r="G546">
        <v>82.22</v>
      </c>
      <c r="H546">
        <v>17.350000000000001</v>
      </c>
      <c r="I546">
        <v>271.82</v>
      </c>
      <c r="J546">
        <v>0.27</v>
      </c>
      <c r="K546">
        <v>90</v>
      </c>
      <c r="L546">
        <v>86.3</v>
      </c>
      <c r="M546">
        <v>5.41</v>
      </c>
      <c r="N546">
        <f t="shared" si="8"/>
        <v>42.875</v>
      </c>
      <c r="AE546">
        <v>40.9</v>
      </c>
    </row>
    <row r="547" spans="1:31" x14ac:dyDescent="0.25">
      <c r="A547" t="s">
        <v>591</v>
      </c>
      <c r="B547">
        <v>30.33</v>
      </c>
      <c r="C547">
        <v>15.23</v>
      </c>
      <c r="D547">
        <v>44.86</v>
      </c>
      <c r="E547">
        <v>39.61</v>
      </c>
      <c r="F547">
        <v>76.12</v>
      </c>
      <c r="G547">
        <v>35.83</v>
      </c>
      <c r="H547">
        <v>12.52</v>
      </c>
      <c r="I547">
        <v>78.599999999999994</v>
      </c>
      <c r="J547">
        <v>36.03</v>
      </c>
      <c r="K547">
        <v>77.02</v>
      </c>
      <c r="L547">
        <v>59.26</v>
      </c>
      <c r="M547">
        <v>13.61</v>
      </c>
      <c r="N547">
        <f t="shared" si="8"/>
        <v>37.82</v>
      </c>
      <c r="AE547">
        <v>30.33</v>
      </c>
    </row>
    <row r="548" spans="1:31" x14ac:dyDescent="0.25">
      <c r="A548" t="s">
        <v>592</v>
      </c>
      <c r="B548">
        <v>40.4</v>
      </c>
      <c r="C548">
        <v>30.57</v>
      </c>
      <c r="D548">
        <v>83.09</v>
      </c>
      <c r="E548">
        <v>2.79</v>
      </c>
      <c r="F548">
        <v>136.43</v>
      </c>
      <c r="G548">
        <v>133.78</v>
      </c>
      <c r="H548">
        <v>86.56</v>
      </c>
      <c r="I548">
        <v>34.880000000000003</v>
      </c>
      <c r="J548">
        <v>130.25</v>
      </c>
      <c r="K548">
        <v>5.59</v>
      </c>
      <c r="L548">
        <v>0.18</v>
      </c>
      <c r="M548">
        <v>20.079999999999998</v>
      </c>
      <c r="N548">
        <f t="shared" si="8"/>
        <v>37.64</v>
      </c>
      <c r="AE548">
        <v>40.4</v>
      </c>
    </row>
    <row r="549" spans="1:31" x14ac:dyDescent="0.25">
      <c r="A549" t="s">
        <v>593</v>
      </c>
      <c r="B549">
        <v>30.38</v>
      </c>
      <c r="C549">
        <v>17.28</v>
      </c>
      <c r="D549">
        <v>28.9</v>
      </c>
      <c r="E549">
        <v>37.119999999999997</v>
      </c>
      <c r="F549">
        <v>37.58</v>
      </c>
      <c r="G549">
        <v>32.74</v>
      </c>
      <c r="H549">
        <v>137.22999999999999</v>
      </c>
      <c r="I549">
        <v>93.2</v>
      </c>
      <c r="J549">
        <v>46.5</v>
      </c>
      <c r="K549">
        <v>9.99</v>
      </c>
      <c r="L549">
        <v>50.66</v>
      </c>
      <c r="M549">
        <v>10.09</v>
      </c>
      <c r="N549">
        <f t="shared" si="8"/>
        <v>34.93</v>
      </c>
      <c r="AE549">
        <v>30.38</v>
      </c>
    </row>
    <row r="550" spans="1:31" x14ac:dyDescent="0.25">
      <c r="A550" t="s">
        <v>594</v>
      </c>
      <c r="B550">
        <v>30.11</v>
      </c>
      <c r="C550">
        <v>27.76</v>
      </c>
      <c r="D550">
        <v>95.37</v>
      </c>
      <c r="E550">
        <v>16.79</v>
      </c>
      <c r="F550">
        <v>47.11</v>
      </c>
      <c r="G550">
        <v>98.91</v>
      </c>
      <c r="H550">
        <v>32.799999999999997</v>
      </c>
      <c r="I550">
        <v>9.99</v>
      </c>
      <c r="J550">
        <v>14.15</v>
      </c>
      <c r="K550">
        <v>102.89</v>
      </c>
      <c r="L550">
        <v>10.34</v>
      </c>
      <c r="M550">
        <v>21.89</v>
      </c>
      <c r="N550">
        <f t="shared" si="8"/>
        <v>28.935000000000002</v>
      </c>
      <c r="AE550">
        <v>30.11</v>
      </c>
    </row>
    <row r="551" spans="1:31" x14ac:dyDescent="0.25">
      <c r="A551" t="s">
        <v>595</v>
      </c>
      <c r="B551">
        <v>41.6</v>
      </c>
      <c r="C551">
        <v>5.53</v>
      </c>
      <c r="D551">
        <v>124.19</v>
      </c>
      <c r="E551">
        <v>0.9</v>
      </c>
      <c r="F551">
        <v>31.3</v>
      </c>
      <c r="G551">
        <v>72.11</v>
      </c>
      <c r="H551">
        <v>120.41</v>
      </c>
      <c r="I551">
        <v>32.32</v>
      </c>
      <c r="J551">
        <v>89.02</v>
      </c>
      <c r="K551">
        <v>75.7</v>
      </c>
      <c r="L551">
        <v>13.94</v>
      </c>
      <c r="M551">
        <v>80.02</v>
      </c>
      <c r="N551">
        <f t="shared" si="8"/>
        <v>56.855000000000004</v>
      </c>
      <c r="AE551">
        <v>41.6</v>
      </c>
    </row>
    <row r="552" spans="1:31" x14ac:dyDescent="0.25">
      <c r="A552" t="s">
        <v>596</v>
      </c>
      <c r="B552">
        <v>30.2</v>
      </c>
      <c r="C552">
        <v>48.47</v>
      </c>
      <c r="D552">
        <v>12.26</v>
      </c>
      <c r="E552">
        <v>27.33</v>
      </c>
      <c r="F552">
        <v>188.68</v>
      </c>
      <c r="G552">
        <v>18.73</v>
      </c>
      <c r="H552">
        <v>46.23</v>
      </c>
      <c r="I552">
        <v>28.09</v>
      </c>
      <c r="J552">
        <v>30.94</v>
      </c>
      <c r="K552">
        <v>37.1</v>
      </c>
      <c r="L552">
        <v>40.08</v>
      </c>
      <c r="M552">
        <v>71.48</v>
      </c>
      <c r="N552">
        <f t="shared" si="8"/>
        <v>34.020000000000003</v>
      </c>
      <c r="AE552">
        <v>30.2</v>
      </c>
    </row>
    <row r="553" spans="1:31" x14ac:dyDescent="0.25">
      <c r="A553" t="s">
        <v>597</v>
      </c>
      <c r="B553">
        <v>30.01</v>
      </c>
      <c r="C553">
        <v>22.82</v>
      </c>
      <c r="D553">
        <v>29.76</v>
      </c>
      <c r="E553">
        <v>115.48</v>
      </c>
      <c r="F553">
        <v>42.12</v>
      </c>
      <c r="G553">
        <v>42.95</v>
      </c>
      <c r="H553">
        <v>10.29</v>
      </c>
      <c r="I553">
        <v>22.83</v>
      </c>
      <c r="J553">
        <v>33.57</v>
      </c>
      <c r="K553">
        <v>119.76</v>
      </c>
      <c r="L553">
        <v>27.31</v>
      </c>
      <c r="M553">
        <v>90.37</v>
      </c>
      <c r="N553">
        <f t="shared" si="8"/>
        <v>31.79</v>
      </c>
      <c r="AE553">
        <v>30.01</v>
      </c>
    </row>
    <row r="554" spans="1:31" x14ac:dyDescent="0.25">
      <c r="A554" t="s">
        <v>598</v>
      </c>
      <c r="B554">
        <v>29.9</v>
      </c>
      <c r="C554">
        <v>45.76</v>
      </c>
      <c r="D554">
        <v>32.18</v>
      </c>
      <c r="E554">
        <v>17.3</v>
      </c>
      <c r="F554">
        <v>33.1</v>
      </c>
      <c r="G554">
        <v>197.2</v>
      </c>
      <c r="H554">
        <v>21.5</v>
      </c>
      <c r="I554">
        <v>59.2</v>
      </c>
      <c r="J554">
        <v>81.56</v>
      </c>
      <c r="K554">
        <v>54.28</v>
      </c>
      <c r="L554">
        <v>36</v>
      </c>
      <c r="M554">
        <v>53.18</v>
      </c>
      <c r="N554">
        <f t="shared" si="8"/>
        <v>40.879999999999995</v>
      </c>
      <c r="AE554">
        <v>29.9</v>
      </c>
    </row>
    <row r="555" spans="1:31" x14ac:dyDescent="0.25">
      <c r="A555" t="s">
        <v>599</v>
      </c>
      <c r="B555">
        <v>40.130000000000003</v>
      </c>
      <c r="C555">
        <v>32.26</v>
      </c>
      <c r="D555">
        <v>29.12</v>
      </c>
      <c r="E555">
        <v>30.6</v>
      </c>
      <c r="F555">
        <v>60.76</v>
      </c>
      <c r="G555">
        <v>0.9</v>
      </c>
      <c r="H555">
        <v>12.27</v>
      </c>
      <c r="I555">
        <v>221.43</v>
      </c>
      <c r="J555">
        <v>65.2</v>
      </c>
      <c r="K555">
        <v>1.85</v>
      </c>
      <c r="L555">
        <v>86.38</v>
      </c>
      <c r="M555">
        <v>21.32</v>
      </c>
      <c r="N555">
        <f t="shared" si="8"/>
        <v>31.43</v>
      </c>
      <c r="AE555">
        <v>40.130000000000003</v>
      </c>
    </row>
    <row r="556" spans="1:31" x14ac:dyDescent="0.25">
      <c r="A556" t="s">
        <v>600</v>
      </c>
      <c r="B556">
        <v>39.909999999999997</v>
      </c>
      <c r="C556">
        <v>22.56</v>
      </c>
      <c r="D556">
        <v>68.41</v>
      </c>
      <c r="E556">
        <v>18.559999999999999</v>
      </c>
      <c r="F556">
        <v>12.44</v>
      </c>
      <c r="G556">
        <v>22.12</v>
      </c>
      <c r="H556">
        <v>16</v>
      </c>
      <c r="I556">
        <v>0.18</v>
      </c>
      <c r="J556">
        <v>47.86</v>
      </c>
      <c r="K556">
        <v>10.97</v>
      </c>
      <c r="L556">
        <v>26.24</v>
      </c>
      <c r="M556">
        <v>22.16</v>
      </c>
      <c r="N556">
        <f t="shared" si="8"/>
        <v>22.14</v>
      </c>
      <c r="AE556">
        <v>39.909999999999997</v>
      </c>
    </row>
    <row r="557" spans="1:31" x14ac:dyDescent="0.25">
      <c r="A557" t="s">
        <v>601</v>
      </c>
      <c r="B557">
        <v>39.869999999999997</v>
      </c>
      <c r="C557">
        <v>147.34</v>
      </c>
      <c r="D557">
        <v>0</v>
      </c>
      <c r="E557">
        <v>0.97</v>
      </c>
      <c r="F557">
        <v>44.95</v>
      </c>
      <c r="G557">
        <v>33.380000000000003</v>
      </c>
      <c r="H557">
        <v>133.25</v>
      </c>
      <c r="I557">
        <v>0.18</v>
      </c>
      <c r="J557">
        <v>59.7</v>
      </c>
      <c r="K557">
        <v>6.39</v>
      </c>
      <c r="L557">
        <v>142.07</v>
      </c>
      <c r="M557">
        <v>90.55</v>
      </c>
      <c r="N557">
        <f t="shared" si="8"/>
        <v>42.41</v>
      </c>
      <c r="AE557">
        <v>39.869999999999997</v>
      </c>
    </row>
    <row r="558" spans="1:31" x14ac:dyDescent="0.25">
      <c r="A558" t="s">
        <v>602</v>
      </c>
      <c r="B558">
        <v>39.479999999999997</v>
      </c>
      <c r="C558">
        <v>51.52</v>
      </c>
      <c r="D558">
        <v>232.65</v>
      </c>
      <c r="E558">
        <v>157.05000000000001</v>
      </c>
      <c r="F558">
        <v>15.32</v>
      </c>
      <c r="G558">
        <v>32.479999999999997</v>
      </c>
      <c r="H558">
        <v>137.26</v>
      </c>
      <c r="I558">
        <v>138.52000000000001</v>
      </c>
      <c r="J558">
        <v>12.64</v>
      </c>
      <c r="K558">
        <v>97.01</v>
      </c>
      <c r="L558">
        <v>74.459999999999994</v>
      </c>
      <c r="M558">
        <v>64.22</v>
      </c>
      <c r="N558">
        <f t="shared" si="8"/>
        <v>69.34</v>
      </c>
      <c r="AE558">
        <v>39.479999999999997</v>
      </c>
    </row>
    <row r="559" spans="1:31" x14ac:dyDescent="0.25">
      <c r="A559" t="s">
        <v>603</v>
      </c>
      <c r="B559">
        <v>29.71</v>
      </c>
      <c r="C559">
        <v>13.57</v>
      </c>
      <c r="D559">
        <v>89.21</v>
      </c>
      <c r="E559">
        <v>39.86</v>
      </c>
      <c r="F559">
        <v>10.039999999999999</v>
      </c>
      <c r="G559">
        <v>26.05</v>
      </c>
      <c r="H559">
        <v>76.47</v>
      </c>
      <c r="I559">
        <v>11.24</v>
      </c>
      <c r="J559">
        <v>19.59</v>
      </c>
      <c r="K559">
        <v>25.28</v>
      </c>
      <c r="L559">
        <v>105.77</v>
      </c>
      <c r="M559">
        <v>103.1</v>
      </c>
      <c r="N559">
        <f t="shared" si="8"/>
        <v>27.880000000000003</v>
      </c>
      <c r="AE559">
        <v>29.71</v>
      </c>
    </row>
    <row r="560" spans="1:31" x14ac:dyDescent="0.25">
      <c r="A560" t="s">
        <v>604</v>
      </c>
      <c r="B560">
        <v>39.380000000000003</v>
      </c>
      <c r="C560">
        <v>13.68</v>
      </c>
      <c r="D560">
        <v>107.5</v>
      </c>
      <c r="E560">
        <v>120.7</v>
      </c>
      <c r="F560">
        <v>5.43</v>
      </c>
      <c r="G560">
        <v>138.68</v>
      </c>
      <c r="H560">
        <v>79.06</v>
      </c>
      <c r="I560">
        <v>42.98</v>
      </c>
      <c r="J560">
        <v>0.63</v>
      </c>
      <c r="K560">
        <v>41.61</v>
      </c>
      <c r="L560">
        <v>80.650000000000006</v>
      </c>
      <c r="M560">
        <v>0.09</v>
      </c>
      <c r="N560">
        <f t="shared" si="8"/>
        <v>42.295000000000002</v>
      </c>
      <c r="AE560">
        <v>39.380000000000003</v>
      </c>
    </row>
    <row r="561" spans="1:31" x14ac:dyDescent="0.25">
      <c r="A561" t="s">
        <v>605</v>
      </c>
      <c r="B561">
        <v>40</v>
      </c>
      <c r="C561">
        <v>213.18</v>
      </c>
      <c r="D561">
        <v>62.98</v>
      </c>
      <c r="E561">
        <v>96.81</v>
      </c>
      <c r="F561">
        <v>49.47</v>
      </c>
      <c r="G561">
        <v>117.78</v>
      </c>
      <c r="H561">
        <v>86.7</v>
      </c>
      <c r="I561">
        <v>32.49</v>
      </c>
      <c r="J561">
        <v>84.09</v>
      </c>
      <c r="K561">
        <v>27.65</v>
      </c>
      <c r="L561">
        <v>0.54</v>
      </c>
      <c r="M561">
        <v>118.16</v>
      </c>
      <c r="N561">
        <f t="shared" si="8"/>
        <v>73.534999999999997</v>
      </c>
      <c r="AE561">
        <v>40</v>
      </c>
    </row>
    <row r="562" spans="1:31" x14ac:dyDescent="0.25">
      <c r="A562" t="s">
        <v>606</v>
      </c>
      <c r="B562">
        <v>29.34</v>
      </c>
      <c r="C562">
        <v>134.28</v>
      </c>
      <c r="D562">
        <v>104.16</v>
      </c>
      <c r="E562">
        <v>38.630000000000003</v>
      </c>
      <c r="F562">
        <v>10.19</v>
      </c>
      <c r="G562">
        <v>54.6</v>
      </c>
      <c r="H562">
        <v>19.13</v>
      </c>
      <c r="I562">
        <v>22.12</v>
      </c>
      <c r="J562">
        <v>11.23</v>
      </c>
      <c r="K562">
        <v>33.020000000000003</v>
      </c>
      <c r="L562">
        <v>51.79</v>
      </c>
      <c r="M562">
        <v>17.38</v>
      </c>
      <c r="N562">
        <f t="shared" si="8"/>
        <v>31.18</v>
      </c>
      <c r="AE562">
        <v>29.34</v>
      </c>
    </row>
    <row r="563" spans="1:31" x14ac:dyDescent="0.25">
      <c r="A563" t="s">
        <v>607</v>
      </c>
      <c r="B563">
        <v>29.44</v>
      </c>
      <c r="C563">
        <v>10.19</v>
      </c>
      <c r="D563">
        <v>95.67</v>
      </c>
      <c r="E563">
        <v>16.03</v>
      </c>
      <c r="F563">
        <v>11.97</v>
      </c>
      <c r="G563">
        <v>21.45</v>
      </c>
      <c r="H563">
        <v>23.63</v>
      </c>
      <c r="I563">
        <v>76.150000000000006</v>
      </c>
      <c r="J563">
        <v>41.99</v>
      </c>
      <c r="K563">
        <v>121.4</v>
      </c>
      <c r="L563">
        <v>27.18</v>
      </c>
      <c r="M563">
        <v>31.89</v>
      </c>
      <c r="N563">
        <f t="shared" si="8"/>
        <v>28.310000000000002</v>
      </c>
      <c r="AE563">
        <v>29.44</v>
      </c>
    </row>
    <row r="564" spans="1:31" x14ac:dyDescent="0.25">
      <c r="A564" t="s">
        <v>608</v>
      </c>
      <c r="B564">
        <v>29.4</v>
      </c>
      <c r="C564">
        <v>24.33</v>
      </c>
      <c r="D564">
        <v>56.53</v>
      </c>
      <c r="E564">
        <v>27.92</v>
      </c>
      <c r="F564">
        <v>27.26</v>
      </c>
      <c r="G564">
        <v>24.23</v>
      </c>
      <c r="H564">
        <v>48.55</v>
      </c>
      <c r="I564">
        <v>88.71</v>
      </c>
      <c r="J564">
        <v>57.11</v>
      </c>
      <c r="K564">
        <v>80.25</v>
      </c>
      <c r="L564">
        <v>44.96</v>
      </c>
      <c r="M564">
        <v>14.95</v>
      </c>
      <c r="N564">
        <f t="shared" si="8"/>
        <v>37.18</v>
      </c>
      <c r="AE564">
        <v>29.4</v>
      </c>
    </row>
    <row r="565" spans="1:31" x14ac:dyDescent="0.25">
      <c r="A565" t="s">
        <v>609</v>
      </c>
      <c r="B565">
        <v>38.22</v>
      </c>
      <c r="C565">
        <v>102.98</v>
      </c>
      <c r="D565">
        <v>26.19</v>
      </c>
      <c r="E565">
        <v>15.11</v>
      </c>
      <c r="F565">
        <v>61.27</v>
      </c>
      <c r="G565">
        <v>17.64</v>
      </c>
      <c r="H565">
        <v>55.33</v>
      </c>
      <c r="I565">
        <v>0.27</v>
      </c>
      <c r="J565">
        <v>75.91</v>
      </c>
      <c r="K565">
        <v>68.55</v>
      </c>
      <c r="L565">
        <v>71.150000000000006</v>
      </c>
      <c r="M565">
        <v>28.34</v>
      </c>
      <c r="N565">
        <f t="shared" si="8"/>
        <v>46.774999999999999</v>
      </c>
      <c r="AE565">
        <v>38.22</v>
      </c>
    </row>
    <row r="566" spans="1:31" x14ac:dyDescent="0.25">
      <c r="A566" t="s">
        <v>610</v>
      </c>
      <c r="B566">
        <v>29.43</v>
      </c>
      <c r="C566">
        <v>101.11</v>
      </c>
      <c r="D566">
        <v>79.23</v>
      </c>
      <c r="E566">
        <v>54.93</v>
      </c>
      <c r="F566">
        <v>43.2</v>
      </c>
      <c r="G566">
        <v>17.66</v>
      </c>
      <c r="H566">
        <v>119.86</v>
      </c>
      <c r="I566">
        <v>18.72</v>
      </c>
      <c r="J566">
        <v>35.36</v>
      </c>
      <c r="K566">
        <v>29.11</v>
      </c>
      <c r="L566">
        <v>28.47</v>
      </c>
      <c r="M566">
        <v>50.38</v>
      </c>
      <c r="N566">
        <f t="shared" si="8"/>
        <v>39.28</v>
      </c>
      <c r="AE566">
        <v>29.43</v>
      </c>
    </row>
    <row r="567" spans="1:31" x14ac:dyDescent="0.25">
      <c r="A567" t="s">
        <v>611</v>
      </c>
      <c r="B567">
        <v>29.38</v>
      </c>
      <c r="C567">
        <v>36.020000000000003</v>
      </c>
      <c r="D567">
        <v>37.08</v>
      </c>
      <c r="E567">
        <v>20.85</v>
      </c>
      <c r="F567">
        <v>31.18</v>
      </c>
      <c r="G567">
        <v>40.520000000000003</v>
      </c>
      <c r="H567">
        <v>37.950000000000003</v>
      </c>
      <c r="I567">
        <v>58.36</v>
      </c>
      <c r="J567">
        <v>24.19</v>
      </c>
      <c r="K567">
        <v>52.11</v>
      </c>
      <c r="L567">
        <v>49.18</v>
      </c>
      <c r="M567">
        <v>133.58000000000001</v>
      </c>
      <c r="N567">
        <f t="shared" si="8"/>
        <v>37.515000000000001</v>
      </c>
      <c r="AE567">
        <v>29.38</v>
      </c>
    </row>
    <row r="568" spans="1:31" x14ac:dyDescent="0.25">
      <c r="A568" t="s">
        <v>612</v>
      </c>
      <c r="B568">
        <v>28.87</v>
      </c>
      <c r="C568">
        <v>21.39</v>
      </c>
      <c r="D568">
        <v>24</v>
      </c>
      <c r="E568">
        <v>113.87</v>
      </c>
      <c r="F568">
        <v>39.049999999999997</v>
      </c>
      <c r="G568">
        <v>38.82</v>
      </c>
      <c r="H568">
        <v>117.14</v>
      </c>
      <c r="I568">
        <v>28.75</v>
      </c>
      <c r="J568">
        <v>19.25</v>
      </c>
      <c r="K568">
        <v>48.07</v>
      </c>
      <c r="L568">
        <v>35.869999999999997</v>
      </c>
      <c r="M568">
        <v>38.85</v>
      </c>
      <c r="N568">
        <f t="shared" si="8"/>
        <v>37.344999999999999</v>
      </c>
      <c r="AE568">
        <v>28.87</v>
      </c>
    </row>
    <row r="569" spans="1:31" x14ac:dyDescent="0.25">
      <c r="A569" t="s">
        <v>613</v>
      </c>
      <c r="B569">
        <v>38</v>
      </c>
      <c r="C569">
        <v>47.47</v>
      </c>
      <c r="D569">
        <v>44.83</v>
      </c>
      <c r="E569">
        <v>25.93</v>
      </c>
      <c r="F569">
        <v>32.119999999999997</v>
      </c>
      <c r="G569">
        <v>25.74</v>
      </c>
      <c r="H569">
        <v>131.16999999999999</v>
      </c>
      <c r="I569">
        <v>115.37</v>
      </c>
      <c r="J569">
        <v>98.66</v>
      </c>
      <c r="K569">
        <v>37.6</v>
      </c>
      <c r="L569">
        <v>62.04</v>
      </c>
      <c r="M569">
        <v>13.44</v>
      </c>
      <c r="N569">
        <f t="shared" si="8"/>
        <v>41.414999999999999</v>
      </c>
      <c r="AE569">
        <v>38</v>
      </c>
    </row>
    <row r="570" spans="1:31" x14ac:dyDescent="0.25">
      <c r="A570" t="s">
        <v>614</v>
      </c>
      <c r="B570">
        <v>29.26</v>
      </c>
      <c r="C570">
        <v>84.89</v>
      </c>
      <c r="D570">
        <v>145.38999999999999</v>
      </c>
      <c r="E570">
        <v>10.89</v>
      </c>
      <c r="F570">
        <v>19.41</v>
      </c>
      <c r="G570">
        <v>49.17</v>
      </c>
      <c r="H570">
        <v>32.47</v>
      </c>
      <c r="I570">
        <v>12.77</v>
      </c>
      <c r="J570">
        <v>61.83</v>
      </c>
      <c r="K570">
        <v>152.84</v>
      </c>
      <c r="L570">
        <v>58.83</v>
      </c>
      <c r="M570">
        <v>34.82</v>
      </c>
      <c r="N570">
        <f t="shared" si="8"/>
        <v>41.995000000000005</v>
      </c>
      <c r="AE570">
        <v>29.26</v>
      </c>
    </row>
    <row r="571" spans="1:31" x14ac:dyDescent="0.25">
      <c r="A571" t="s">
        <v>615</v>
      </c>
      <c r="B571">
        <v>29</v>
      </c>
      <c r="C571">
        <v>31.83</v>
      </c>
      <c r="D571">
        <v>97.35</v>
      </c>
      <c r="E571">
        <v>96.86</v>
      </c>
      <c r="F571">
        <v>179.23</v>
      </c>
      <c r="G571">
        <v>34.54</v>
      </c>
      <c r="H571">
        <v>20.91</v>
      </c>
      <c r="I571">
        <v>21.44</v>
      </c>
      <c r="J571">
        <v>10.44</v>
      </c>
      <c r="K571">
        <v>56.95</v>
      </c>
      <c r="L571">
        <v>12.02</v>
      </c>
      <c r="M571">
        <v>40.35</v>
      </c>
      <c r="N571">
        <f t="shared" si="8"/>
        <v>33.185000000000002</v>
      </c>
      <c r="AE571">
        <v>29</v>
      </c>
    </row>
    <row r="572" spans="1:31" x14ac:dyDescent="0.25">
      <c r="A572" t="s">
        <v>616</v>
      </c>
      <c r="B572">
        <v>28.69</v>
      </c>
      <c r="C572">
        <v>30.26</v>
      </c>
      <c r="D572">
        <v>15.91</v>
      </c>
      <c r="E572">
        <v>122.29</v>
      </c>
      <c r="F572">
        <v>117.29</v>
      </c>
      <c r="G572">
        <v>67.55</v>
      </c>
      <c r="H572">
        <v>13.5</v>
      </c>
      <c r="I572">
        <v>9.99</v>
      </c>
      <c r="J572">
        <v>169.41</v>
      </c>
      <c r="K572">
        <v>10.19</v>
      </c>
      <c r="L572">
        <v>74.89</v>
      </c>
      <c r="M572">
        <v>18.36</v>
      </c>
      <c r="N572">
        <f t="shared" si="8"/>
        <v>29.475000000000001</v>
      </c>
      <c r="AE572">
        <v>28.69</v>
      </c>
    </row>
    <row r="573" spans="1:31" x14ac:dyDescent="0.25">
      <c r="A573" t="s">
        <v>617</v>
      </c>
      <c r="B573">
        <v>38.08</v>
      </c>
      <c r="C573">
        <v>19.010000000000002</v>
      </c>
      <c r="D573">
        <v>42.76</v>
      </c>
      <c r="E573">
        <v>32.19</v>
      </c>
      <c r="F573">
        <v>7.38</v>
      </c>
      <c r="G573">
        <v>51.49</v>
      </c>
      <c r="H573">
        <v>35.25</v>
      </c>
      <c r="I573">
        <v>0.09</v>
      </c>
      <c r="J573">
        <v>94.95</v>
      </c>
      <c r="K573">
        <v>75.3</v>
      </c>
      <c r="L573">
        <v>118.78</v>
      </c>
      <c r="M573">
        <v>36.6</v>
      </c>
      <c r="N573">
        <f t="shared" si="8"/>
        <v>37.340000000000003</v>
      </c>
      <c r="AE573">
        <v>38.08</v>
      </c>
    </row>
    <row r="574" spans="1:31" x14ac:dyDescent="0.25">
      <c r="A574" t="s">
        <v>618</v>
      </c>
      <c r="B574">
        <v>28.76</v>
      </c>
      <c r="C574">
        <v>39.65</v>
      </c>
      <c r="D574">
        <v>96.04</v>
      </c>
      <c r="E574">
        <v>26.46</v>
      </c>
      <c r="F574">
        <v>56</v>
      </c>
      <c r="G574">
        <v>134.83000000000001</v>
      </c>
      <c r="H574">
        <v>20.59</v>
      </c>
      <c r="I574">
        <v>85.87</v>
      </c>
      <c r="J574">
        <v>25.86</v>
      </c>
      <c r="K574">
        <v>65.03</v>
      </c>
      <c r="L574">
        <v>31.38</v>
      </c>
      <c r="M574">
        <v>33.15</v>
      </c>
      <c r="N574">
        <f t="shared" si="8"/>
        <v>36.4</v>
      </c>
      <c r="AE574">
        <v>28.76</v>
      </c>
    </row>
    <row r="575" spans="1:31" x14ac:dyDescent="0.25">
      <c r="A575" t="s">
        <v>619</v>
      </c>
      <c r="B575">
        <v>28.59</v>
      </c>
      <c r="C575">
        <v>57.44</v>
      </c>
      <c r="D575">
        <v>92.32</v>
      </c>
      <c r="E575">
        <v>38.36</v>
      </c>
      <c r="F575">
        <v>58.05</v>
      </c>
      <c r="G575">
        <v>63.24</v>
      </c>
      <c r="H575">
        <v>30.36</v>
      </c>
      <c r="I575">
        <v>40.909999999999997</v>
      </c>
      <c r="J575">
        <v>72.239999999999995</v>
      </c>
      <c r="K575">
        <v>28.05</v>
      </c>
      <c r="L575">
        <v>86.18</v>
      </c>
      <c r="M575">
        <v>39.85</v>
      </c>
      <c r="N575">
        <f t="shared" si="8"/>
        <v>49.174999999999997</v>
      </c>
      <c r="AE575">
        <v>28.59</v>
      </c>
    </row>
    <row r="576" spans="1:31" x14ac:dyDescent="0.25">
      <c r="A576" t="s">
        <v>620</v>
      </c>
      <c r="B576">
        <v>28.37</v>
      </c>
      <c r="C576">
        <v>58.87</v>
      </c>
      <c r="D576">
        <v>10.19</v>
      </c>
      <c r="E576">
        <v>23.02</v>
      </c>
      <c r="F576">
        <v>32</v>
      </c>
      <c r="G576">
        <v>82.52</v>
      </c>
      <c r="H576">
        <v>38.65</v>
      </c>
      <c r="I576">
        <v>135.63999999999999</v>
      </c>
      <c r="J576">
        <v>10.14</v>
      </c>
      <c r="K576">
        <v>25.55</v>
      </c>
      <c r="L576">
        <v>40.200000000000003</v>
      </c>
      <c r="M576">
        <v>47.46</v>
      </c>
      <c r="N576">
        <f t="shared" si="8"/>
        <v>35.325000000000003</v>
      </c>
      <c r="AE576">
        <v>28.37</v>
      </c>
    </row>
    <row r="577" spans="1:31" x14ac:dyDescent="0.25">
      <c r="A577" t="s">
        <v>621</v>
      </c>
      <c r="B577">
        <v>28.69</v>
      </c>
      <c r="C577">
        <v>24.69</v>
      </c>
      <c r="D577">
        <v>109.22</v>
      </c>
      <c r="E577">
        <v>20.99</v>
      </c>
      <c r="F577">
        <v>56.26</v>
      </c>
      <c r="G577">
        <v>18.91</v>
      </c>
      <c r="H577">
        <v>79.56</v>
      </c>
      <c r="I577">
        <v>45.18</v>
      </c>
      <c r="J577">
        <v>10.14</v>
      </c>
      <c r="K577">
        <v>106.06</v>
      </c>
      <c r="L577">
        <v>15.56</v>
      </c>
      <c r="M577">
        <v>38.99</v>
      </c>
      <c r="N577">
        <f t="shared" si="8"/>
        <v>33.840000000000003</v>
      </c>
      <c r="AE577">
        <v>28.69</v>
      </c>
    </row>
    <row r="578" spans="1:31" x14ac:dyDescent="0.25">
      <c r="A578" t="s">
        <v>622</v>
      </c>
      <c r="B578">
        <v>28.3</v>
      </c>
      <c r="C578">
        <v>39.24</v>
      </c>
      <c r="D578">
        <v>109.35</v>
      </c>
      <c r="E578">
        <v>66.3</v>
      </c>
      <c r="F578">
        <v>81.99</v>
      </c>
      <c r="G578">
        <v>14.95</v>
      </c>
      <c r="H578">
        <v>59.08</v>
      </c>
      <c r="I578">
        <v>21.76</v>
      </c>
      <c r="J578">
        <v>10.39</v>
      </c>
      <c r="K578">
        <v>10.64</v>
      </c>
      <c r="L578">
        <v>51.29</v>
      </c>
      <c r="M578">
        <v>17.84</v>
      </c>
      <c r="N578">
        <f t="shared" si="8"/>
        <v>33.770000000000003</v>
      </c>
      <c r="AE578">
        <v>28.3</v>
      </c>
    </row>
    <row r="579" spans="1:31" x14ac:dyDescent="0.25">
      <c r="A579" t="s">
        <v>623</v>
      </c>
      <c r="B579">
        <v>28.19</v>
      </c>
      <c r="C579">
        <v>14.33</v>
      </c>
      <c r="D579">
        <v>98.04</v>
      </c>
      <c r="E579">
        <v>52.44</v>
      </c>
      <c r="F579">
        <v>42.2</v>
      </c>
      <c r="G579">
        <v>133.27000000000001</v>
      </c>
      <c r="H579">
        <v>37.299999999999997</v>
      </c>
      <c r="I579">
        <v>21.08</v>
      </c>
      <c r="J579">
        <v>10.64</v>
      </c>
      <c r="K579">
        <v>46.95</v>
      </c>
      <c r="L579">
        <v>84.76</v>
      </c>
      <c r="M579">
        <v>79.180000000000007</v>
      </c>
      <c r="N579">
        <f t="shared" ref="N579:N642" si="9">MEDIAN(B579:M579)</f>
        <v>44.575000000000003</v>
      </c>
      <c r="AE579">
        <v>28.19</v>
      </c>
    </row>
    <row r="580" spans="1:31" x14ac:dyDescent="0.25">
      <c r="A580" t="s">
        <v>624</v>
      </c>
      <c r="B580">
        <v>36.15</v>
      </c>
      <c r="C580">
        <v>168.97</v>
      </c>
      <c r="D580">
        <v>30.41</v>
      </c>
      <c r="E580">
        <v>21.46</v>
      </c>
      <c r="F580">
        <v>70.56</v>
      </c>
      <c r="G580">
        <v>32.270000000000003</v>
      </c>
      <c r="H580">
        <v>23.58</v>
      </c>
      <c r="I580">
        <v>89.6</v>
      </c>
      <c r="J580">
        <v>29.95</v>
      </c>
      <c r="K580">
        <v>55.42</v>
      </c>
      <c r="L580">
        <v>34.57</v>
      </c>
      <c r="M580">
        <v>109.46</v>
      </c>
      <c r="N580">
        <f t="shared" si="9"/>
        <v>35.36</v>
      </c>
      <c r="AE580">
        <v>36.15</v>
      </c>
    </row>
    <row r="581" spans="1:31" x14ac:dyDescent="0.25">
      <c r="A581" t="s">
        <v>625</v>
      </c>
      <c r="B581">
        <v>36.340000000000003</v>
      </c>
      <c r="C581">
        <v>66.819999999999993</v>
      </c>
      <c r="D581">
        <v>214</v>
      </c>
      <c r="E581">
        <v>0.09</v>
      </c>
      <c r="F581">
        <v>27.53</v>
      </c>
      <c r="G581">
        <v>0</v>
      </c>
      <c r="H581">
        <v>16.149999999999999</v>
      </c>
      <c r="I581">
        <v>16.8</v>
      </c>
      <c r="J581">
        <v>24.78</v>
      </c>
      <c r="K581">
        <v>37.979999999999997</v>
      </c>
      <c r="L581">
        <v>98.58</v>
      </c>
      <c r="M581">
        <v>45.34</v>
      </c>
      <c r="N581">
        <f t="shared" si="9"/>
        <v>31.935000000000002</v>
      </c>
      <c r="AE581">
        <v>36.340000000000003</v>
      </c>
    </row>
    <row r="582" spans="1:31" x14ac:dyDescent="0.25">
      <c r="A582" t="s">
        <v>626</v>
      </c>
      <c r="B582">
        <v>36.33</v>
      </c>
      <c r="C582">
        <v>25.3</v>
      </c>
      <c r="D582">
        <v>1.65</v>
      </c>
      <c r="E582">
        <v>28.32</v>
      </c>
      <c r="F582">
        <v>11.46</v>
      </c>
      <c r="G582">
        <v>9.64</v>
      </c>
      <c r="H582">
        <v>78.88</v>
      </c>
      <c r="I582">
        <v>61.24</v>
      </c>
      <c r="J582">
        <v>27.32</v>
      </c>
      <c r="K582">
        <v>104.99</v>
      </c>
      <c r="L582">
        <v>98.18</v>
      </c>
      <c r="M582">
        <v>55.54</v>
      </c>
      <c r="N582">
        <f t="shared" si="9"/>
        <v>32.325000000000003</v>
      </c>
      <c r="AE582">
        <v>36.33</v>
      </c>
    </row>
    <row r="583" spans="1:31" x14ac:dyDescent="0.25">
      <c r="A583" t="s">
        <v>627</v>
      </c>
      <c r="B583">
        <v>28.02</v>
      </c>
      <c r="C583">
        <v>51.63</v>
      </c>
      <c r="D583">
        <v>21.06</v>
      </c>
      <c r="E583">
        <v>19</v>
      </c>
      <c r="F583">
        <v>44.57</v>
      </c>
      <c r="G583">
        <v>11.64</v>
      </c>
      <c r="H583">
        <v>26.05</v>
      </c>
      <c r="I583">
        <v>50.6</v>
      </c>
      <c r="J583">
        <v>126.35</v>
      </c>
      <c r="K583">
        <v>80.75</v>
      </c>
      <c r="L583">
        <v>15.16</v>
      </c>
      <c r="M583">
        <v>28.02</v>
      </c>
      <c r="N583">
        <f t="shared" si="9"/>
        <v>28.02</v>
      </c>
      <c r="AE583">
        <v>28.02</v>
      </c>
    </row>
    <row r="584" spans="1:31" x14ac:dyDescent="0.25">
      <c r="A584" t="s">
        <v>628</v>
      </c>
      <c r="B584">
        <v>36.340000000000003</v>
      </c>
      <c r="C584">
        <v>24.33</v>
      </c>
      <c r="D584">
        <v>83.84</v>
      </c>
      <c r="E584">
        <v>32.49</v>
      </c>
      <c r="F584">
        <v>51.59</v>
      </c>
      <c r="G584">
        <v>11.06</v>
      </c>
      <c r="H584">
        <v>19.32</v>
      </c>
      <c r="I584">
        <v>64.48</v>
      </c>
      <c r="J584">
        <v>22.24</v>
      </c>
      <c r="K584">
        <v>34.6</v>
      </c>
      <c r="L584">
        <v>18.48</v>
      </c>
      <c r="M584">
        <v>98.17</v>
      </c>
      <c r="N584">
        <f t="shared" si="9"/>
        <v>33.545000000000002</v>
      </c>
      <c r="AE584">
        <v>36.340000000000003</v>
      </c>
    </row>
    <row r="585" spans="1:31" x14ac:dyDescent="0.25">
      <c r="A585" t="s">
        <v>629</v>
      </c>
      <c r="B585">
        <v>36.25</v>
      </c>
      <c r="C585">
        <v>29.15</v>
      </c>
      <c r="D585">
        <v>77.05</v>
      </c>
      <c r="E585">
        <v>11.45</v>
      </c>
      <c r="F585">
        <v>47.95</v>
      </c>
      <c r="G585">
        <v>16.28</v>
      </c>
      <c r="H585">
        <v>54.94</v>
      </c>
      <c r="I585">
        <v>39.74</v>
      </c>
      <c r="J585">
        <v>87.75</v>
      </c>
      <c r="K585">
        <v>59.77</v>
      </c>
      <c r="L585">
        <v>52.53</v>
      </c>
      <c r="M585">
        <v>16.7</v>
      </c>
      <c r="N585">
        <f t="shared" si="9"/>
        <v>43.844999999999999</v>
      </c>
      <c r="AE585">
        <v>36.25</v>
      </c>
    </row>
    <row r="586" spans="1:31" x14ac:dyDescent="0.25">
      <c r="A586" t="s">
        <v>630</v>
      </c>
      <c r="B586">
        <v>28.38</v>
      </c>
      <c r="C586">
        <v>16.149999999999999</v>
      </c>
      <c r="D586">
        <v>64.7</v>
      </c>
      <c r="E586">
        <v>79.790000000000006</v>
      </c>
      <c r="F586">
        <v>56.71</v>
      </c>
      <c r="G586">
        <v>39.450000000000003</v>
      </c>
      <c r="H586">
        <v>23.32</v>
      </c>
      <c r="I586">
        <v>69.400000000000006</v>
      </c>
      <c r="J586">
        <v>66.180000000000007</v>
      </c>
      <c r="K586">
        <v>32.32</v>
      </c>
      <c r="L586">
        <v>28.4</v>
      </c>
      <c r="M586">
        <v>33.82</v>
      </c>
      <c r="N586">
        <f t="shared" si="9"/>
        <v>36.635000000000005</v>
      </c>
      <c r="AE586">
        <v>28.38</v>
      </c>
    </row>
    <row r="587" spans="1:31" x14ac:dyDescent="0.25">
      <c r="A587" t="s">
        <v>631</v>
      </c>
      <c r="B587">
        <v>36.44</v>
      </c>
      <c r="C587">
        <v>0.45</v>
      </c>
      <c r="D587">
        <v>10.92</v>
      </c>
      <c r="E587">
        <v>50.8</v>
      </c>
      <c r="F587">
        <v>4.53</v>
      </c>
      <c r="G587">
        <v>60.12</v>
      </c>
      <c r="H587">
        <v>48.13</v>
      </c>
      <c r="I587">
        <v>0.09</v>
      </c>
      <c r="J587">
        <v>43.77</v>
      </c>
      <c r="K587">
        <v>42</v>
      </c>
      <c r="L587">
        <v>32.44</v>
      </c>
      <c r="M587">
        <v>43.53</v>
      </c>
      <c r="N587">
        <f t="shared" si="9"/>
        <v>39.22</v>
      </c>
      <c r="AE587">
        <v>36.44</v>
      </c>
    </row>
    <row r="588" spans="1:31" x14ac:dyDescent="0.25">
      <c r="A588" t="s">
        <v>632</v>
      </c>
      <c r="B588">
        <v>27.93</v>
      </c>
      <c r="C588">
        <v>26.85</v>
      </c>
      <c r="D588">
        <v>30.89</v>
      </c>
      <c r="E588">
        <v>46.66</v>
      </c>
      <c r="F588">
        <v>19.96</v>
      </c>
      <c r="G588">
        <v>83.63</v>
      </c>
      <c r="H588">
        <v>9.99</v>
      </c>
      <c r="I588">
        <v>37.950000000000003</v>
      </c>
      <c r="J588">
        <v>172.23</v>
      </c>
      <c r="K588">
        <v>38.99</v>
      </c>
      <c r="L588">
        <v>108.27</v>
      </c>
      <c r="M588">
        <v>18.829999999999998</v>
      </c>
      <c r="N588">
        <f t="shared" si="9"/>
        <v>34.42</v>
      </c>
      <c r="AE588">
        <v>27.93</v>
      </c>
    </row>
    <row r="589" spans="1:31" x14ac:dyDescent="0.25">
      <c r="A589" t="s">
        <v>633</v>
      </c>
      <c r="B589">
        <v>28.04</v>
      </c>
      <c r="C589">
        <v>44.89</v>
      </c>
      <c r="D589">
        <v>47.09</v>
      </c>
      <c r="E589">
        <v>15.19</v>
      </c>
      <c r="F589">
        <v>12.91</v>
      </c>
      <c r="G589">
        <v>93.83</v>
      </c>
      <c r="H589">
        <v>46.47</v>
      </c>
      <c r="I589">
        <v>62.57</v>
      </c>
      <c r="J589">
        <v>36.06</v>
      </c>
      <c r="K589">
        <v>63.32</v>
      </c>
      <c r="L589">
        <v>51.24</v>
      </c>
      <c r="M589">
        <v>10.29</v>
      </c>
      <c r="N589">
        <f t="shared" si="9"/>
        <v>45.68</v>
      </c>
      <c r="AE589">
        <v>28.04</v>
      </c>
    </row>
    <row r="590" spans="1:31" x14ac:dyDescent="0.25">
      <c r="A590" t="s">
        <v>634</v>
      </c>
      <c r="B590">
        <v>35.86</v>
      </c>
      <c r="C590">
        <v>42.68</v>
      </c>
      <c r="D590">
        <v>32.479999999999997</v>
      </c>
      <c r="E590">
        <v>156.83000000000001</v>
      </c>
      <c r="F590">
        <v>28.89</v>
      </c>
      <c r="G590">
        <v>0.18</v>
      </c>
      <c r="H590">
        <v>8.42</v>
      </c>
      <c r="I590">
        <v>95.11</v>
      </c>
      <c r="J590">
        <v>73.900000000000006</v>
      </c>
      <c r="K590">
        <v>34.4</v>
      </c>
      <c r="L590">
        <v>19.8</v>
      </c>
      <c r="M590">
        <v>90.01</v>
      </c>
      <c r="N590">
        <f t="shared" si="9"/>
        <v>35.129999999999995</v>
      </c>
      <c r="AE590">
        <v>35.86</v>
      </c>
    </row>
    <row r="591" spans="1:31" x14ac:dyDescent="0.25">
      <c r="A591" t="s">
        <v>635</v>
      </c>
      <c r="B591">
        <v>28.18</v>
      </c>
      <c r="C591">
        <v>28.22</v>
      </c>
      <c r="D591">
        <v>67.52</v>
      </c>
      <c r="E591">
        <v>21.2</v>
      </c>
      <c r="F591">
        <v>65.28</v>
      </c>
      <c r="G591">
        <v>21.61</v>
      </c>
      <c r="H591">
        <v>38.340000000000003</v>
      </c>
      <c r="I591">
        <v>62.42</v>
      </c>
      <c r="J591">
        <v>99.41</v>
      </c>
      <c r="K591">
        <v>25.73</v>
      </c>
      <c r="L591">
        <v>50.32</v>
      </c>
      <c r="M591">
        <v>22.24</v>
      </c>
      <c r="N591">
        <f t="shared" si="9"/>
        <v>33.28</v>
      </c>
      <c r="AE591">
        <v>28.18</v>
      </c>
    </row>
    <row r="592" spans="1:31" x14ac:dyDescent="0.25">
      <c r="A592" t="s">
        <v>636</v>
      </c>
      <c r="B592">
        <v>35.51</v>
      </c>
      <c r="C592">
        <v>4.2699999999999996</v>
      </c>
      <c r="D592">
        <v>1.44</v>
      </c>
      <c r="E592">
        <v>23.59</v>
      </c>
      <c r="F592">
        <v>86.57</v>
      </c>
      <c r="G592">
        <v>0.36</v>
      </c>
      <c r="H592">
        <v>68.290000000000006</v>
      </c>
      <c r="I592">
        <v>2.44</v>
      </c>
      <c r="J592">
        <v>22.77</v>
      </c>
      <c r="K592">
        <v>22.9</v>
      </c>
      <c r="L592">
        <v>27.26</v>
      </c>
      <c r="M592">
        <v>0.54</v>
      </c>
      <c r="N592">
        <f t="shared" si="9"/>
        <v>22.835000000000001</v>
      </c>
      <c r="AE592">
        <v>35.51</v>
      </c>
    </row>
    <row r="593" spans="1:31" x14ac:dyDescent="0.25">
      <c r="A593" t="s">
        <v>637</v>
      </c>
      <c r="B593">
        <v>35.46</v>
      </c>
      <c r="C593">
        <v>307.42</v>
      </c>
      <c r="D593">
        <v>0.27</v>
      </c>
      <c r="E593">
        <v>40.4</v>
      </c>
      <c r="F593">
        <v>48.84</v>
      </c>
      <c r="G593">
        <v>49.32</v>
      </c>
      <c r="H593">
        <v>35.46</v>
      </c>
      <c r="I593">
        <v>171.23</v>
      </c>
      <c r="J593">
        <v>0.09</v>
      </c>
      <c r="K593">
        <v>107.79</v>
      </c>
      <c r="L593">
        <v>30.16</v>
      </c>
      <c r="M593">
        <v>35.64</v>
      </c>
      <c r="N593">
        <f t="shared" si="9"/>
        <v>38.019999999999996</v>
      </c>
      <c r="AE593">
        <v>35.46</v>
      </c>
    </row>
    <row r="594" spans="1:31" x14ac:dyDescent="0.25">
      <c r="A594" t="s">
        <v>638</v>
      </c>
      <c r="B594">
        <v>27.74</v>
      </c>
      <c r="C594">
        <v>51.14</v>
      </c>
      <c r="D594">
        <v>10.09</v>
      </c>
      <c r="E594">
        <v>34.729999999999997</v>
      </c>
      <c r="F594">
        <v>12.71</v>
      </c>
      <c r="G594">
        <v>29.83</v>
      </c>
      <c r="H594">
        <v>36.770000000000003</v>
      </c>
      <c r="I594">
        <v>81.790000000000006</v>
      </c>
      <c r="J594">
        <v>49.93</v>
      </c>
      <c r="K594">
        <v>27.48</v>
      </c>
      <c r="L594">
        <v>86.67</v>
      </c>
      <c r="M594">
        <v>49.98</v>
      </c>
      <c r="N594">
        <f t="shared" si="9"/>
        <v>35.75</v>
      </c>
      <c r="AE594">
        <v>27.74</v>
      </c>
    </row>
    <row r="595" spans="1:31" x14ac:dyDescent="0.25">
      <c r="A595" t="s">
        <v>639</v>
      </c>
      <c r="B595">
        <v>28.12</v>
      </c>
      <c r="C595">
        <v>24.65</v>
      </c>
      <c r="D595">
        <v>65.099999999999994</v>
      </c>
      <c r="E595">
        <v>136.31</v>
      </c>
      <c r="F595">
        <v>25.82</v>
      </c>
      <c r="G595">
        <v>58.57</v>
      </c>
      <c r="H595">
        <v>27.55</v>
      </c>
      <c r="I595">
        <v>112.56</v>
      </c>
      <c r="J595">
        <v>41.6</v>
      </c>
      <c r="K595">
        <v>69.95</v>
      </c>
      <c r="L595">
        <v>11.19</v>
      </c>
      <c r="M595">
        <v>42.67</v>
      </c>
      <c r="N595">
        <f t="shared" si="9"/>
        <v>42.135000000000005</v>
      </c>
      <c r="AE595">
        <v>28.12</v>
      </c>
    </row>
    <row r="596" spans="1:31" x14ac:dyDescent="0.25">
      <c r="A596" t="s">
        <v>640</v>
      </c>
      <c r="B596">
        <v>35.340000000000003</v>
      </c>
      <c r="C596">
        <v>96.98</v>
      </c>
      <c r="D596">
        <v>37.25</v>
      </c>
      <c r="E596">
        <v>43.38</v>
      </c>
      <c r="F596">
        <v>0.18</v>
      </c>
      <c r="G596">
        <v>55.56</v>
      </c>
      <c r="H596">
        <v>26.6</v>
      </c>
      <c r="I596">
        <v>117.37</v>
      </c>
      <c r="J596">
        <v>35.229999999999997</v>
      </c>
      <c r="K596">
        <v>83.69</v>
      </c>
      <c r="L596">
        <v>89.7</v>
      </c>
      <c r="M596">
        <v>79.709999999999994</v>
      </c>
      <c r="N596">
        <f t="shared" si="9"/>
        <v>49.47</v>
      </c>
      <c r="AE596">
        <v>35.340000000000003</v>
      </c>
    </row>
    <row r="597" spans="1:31" x14ac:dyDescent="0.25">
      <c r="A597" t="s">
        <v>641</v>
      </c>
      <c r="B597">
        <v>27.34</v>
      </c>
      <c r="C597">
        <v>125.53</v>
      </c>
      <c r="D597">
        <v>23.62</v>
      </c>
      <c r="E597">
        <v>68.17</v>
      </c>
      <c r="F597">
        <v>27.55</v>
      </c>
      <c r="G597">
        <v>28.52</v>
      </c>
      <c r="H597">
        <v>47.12</v>
      </c>
      <c r="I597">
        <v>239.99</v>
      </c>
      <c r="J597">
        <v>40.18</v>
      </c>
      <c r="K597">
        <v>111.45</v>
      </c>
      <c r="L597">
        <v>64.84</v>
      </c>
      <c r="M597">
        <v>66.650000000000006</v>
      </c>
      <c r="N597">
        <f t="shared" si="9"/>
        <v>55.980000000000004</v>
      </c>
      <c r="AE597">
        <v>27.34</v>
      </c>
    </row>
    <row r="598" spans="1:31" x14ac:dyDescent="0.25">
      <c r="A598" t="s">
        <v>642</v>
      </c>
      <c r="B598">
        <v>34.65</v>
      </c>
      <c r="C598">
        <v>120.02</v>
      </c>
      <c r="D598">
        <v>0.39</v>
      </c>
      <c r="E598">
        <v>70.25</v>
      </c>
      <c r="F598">
        <v>13.07</v>
      </c>
      <c r="G598">
        <v>20.03</v>
      </c>
      <c r="H598">
        <v>35.200000000000003</v>
      </c>
      <c r="I598">
        <v>127.08</v>
      </c>
      <c r="J598">
        <v>16.45</v>
      </c>
      <c r="K598">
        <v>40.9</v>
      </c>
      <c r="L598">
        <v>89.09</v>
      </c>
      <c r="M598">
        <v>29.9</v>
      </c>
      <c r="N598">
        <f t="shared" si="9"/>
        <v>34.924999999999997</v>
      </c>
      <c r="AE598">
        <v>34.65</v>
      </c>
    </row>
    <row r="599" spans="1:31" x14ac:dyDescent="0.25">
      <c r="A599" t="s">
        <v>643</v>
      </c>
      <c r="B599">
        <v>27.17</v>
      </c>
      <c r="C599">
        <v>19.850000000000001</v>
      </c>
      <c r="D599">
        <v>198.89</v>
      </c>
      <c r="E599">
        <v>18.5</v>
      </c>
      <c r="F599">
        <v>73.23</v>
      </c>
      <c r="G599">
        <v>79.540000000000006</v>
      </c>
      <c r="H599">
        <v>198.75</v>
      </c>
      <c r="I599">
        <v>38.590000000000003</v>
      </c>
      <c r="J599">
        <v>86.32</v>
      </c>
      <c r="K599">
        <v>124.43</v>
      </c>
      <c r="L599">
        <v>14.24</v>
      </c>
      <c r="M599">
        <v>40.97</v>
      </c>
      <c r="N599">
        <f t="shared" si="9"/>
        <v>57.1</v>
      </c>
      <c r="AE599">
        <v>27.17</v>
      </c>
    </row>
    <row r="600" spans="1:31" x14ac:dyDescent="0.25">
      <c r="A600" t="s">
        <v>644</v>
      </c>
      <c r="B600">
        <v>27.87</v>
      </c>
      <c r="C600">
        <v>69.06</v>
      </c>
      <c r="D600">
        <v>82.67</v>
      </c>
      <c r="E600">
        <v>20.93</v>
      </c>
      <c r="F600">
        <v>22.95</v>
      </c>
      <c r="G600">
        <v>52.71</v>
      </c>
      <c r="H600">
        <v>62.86</v>
      </c>
      <c r="I600">
        <v>123.98</v>
      </c>
      <c r="J600">
        <v>9.99</v>
      </c>
      <c r="K600">
        <v>23.86</v>
      </c>
      <c r="L600">
        <v>54.5</v>
      </c>
      <c r="M600">
        <v>64.900000000000006</v>
      </c>
      <c r="N600">
        <f t="shared" si="9"/>
        <v>53.605000000000004</v>
      </c>
      <c r="AE600">
        <v>27.87</v>
      </c>
    </row>
    <row r="601" spans="1:31" x14ac:dyDescent="0.25">
      <c r="A601" t="s">
        <v>645</v>
      </c>
      <c r="B601">
        <v>34.520000000000003</v>
      </c>
      <c r="C601">
        <v>77.819999999999993</v>
      </c>
      <c r="D601">
        <v>29.04</v>
      </c>
      <c r="E601">
        <v>11.52</v>
      </c>
      <c r="F601">
        <v>110.34</v>
      </c>
      <c r="G601">
        <v>0</v>
      </c>
      <c r="H601">
        <v>38.99</v>
      </c>
      <c r="I601">
        <v>0.18</v>
      </c>
      <c r="J601">
        <v>0.09</v>
      </c>
      <c r="K601">
        <v>26.23</v>
      </c>
      <c r="L601">
        <v>19.32</v>
      </c>
      <c r="M601">
        <v>38.090000000000003</v>
      </c>
      <c r="N601">
        <f t="shared" si="9"/>
        <v>27.634999999999998</v>
      </c>
      <c r="AE601">
        <v>34.520000000000003</v>
      </c>
    </row>
    <row r="602" spans="1:31" x14ac:dyDescent="0.25">
      <c r="A602" t="s">
        <v>646</v>
      </c>
      <c r="B602">
        <v>27.26</v>
      </c>
      <c r="C602">
        <v>56.52</v>
      </c>
      <c r="D602">
        <v>11.74</v>
      </c>
      <c r="E602">
        <v>17.27</v>
      </c>
      <c r="F602">
        <v>50.66</v>
      </c>
      <c r="G602">
        <v>161.22999999999999</v>
      </c>
      <c r="H602">
        <v>43.84</v>
      </c>
      <c r="I602">
        <v>57</v>
      </c>
      <c r="J602">
        <v>30.65</v>
      </c>
      <c r="K602">
        <v>73.680000000000007</v>
      </c>
      <c r="L602">
        <v>138.05000000000001</v>
      </c>
      <c r="M602">
        <v>31.61</v>
      </c>
      <c r="N602">
        <f t="shared" si="9"/>
        <v>47.25</v>
      </c>
      <c r="AE602">
        <v>27.26</v>
      </c>
    </row>
    <row r="603" spans="1:31" x14ac:dyDescent="0.25">
      <c r="A603" t="s">
        <v>647</v>
      </c>
      <c r="B603">
        <v>27.07</v>
      </c>
      <c r="C603">
        <v>19.22</v>
      </c>
      <c r="D603">
        <v>62.03</v>
      </c>
      <c r="E603">
        <v>49.93</v>
      </c>
      <c r="F603">
        <v>94.94</v>
      </c>
      <c r="G603">
        <v>36.03</v>
      </c>
      <c r="H603">
        <v>45.58</v>
      </c>
      <c r="I603">
        <v>81.349999999999994</v>
      </c>
      <c r="J603">
        <v>200</v>
      </c>
      <c r="K603">
        <v>134.26</v>
      </c>
      <c r="L603">
        <v>49.41</v>
      </c>
      <c r="M603">
        <v>20.92</v>
      </c>
      <c r="N603">
        <f t="shared" si="9"/>
        <v>49.67</v>
      </c>
      <c r="AE603">
        <v>27.07</v>
      </c>
    </row>
    <row r="604" spans="1:31" x14ac:dyDescent="0.25">
      <c r="A604" t="s">
        <v>648</v>
      </c>
      <c r="B604">
        <v>34.520000000000003</v>
      </c>
      <c r="C604">
        <v>37.4</v>
      </c>
      <c r="D604">
        <v>30.66</v>
      </c>
      <c r="E604">
        <v>112.59</v>
      </c>
      <c r="F604">
        <v>19.95</v>
      </c>
      <c r="G604">
        <v>15.87</v>
      </c>
      <c r="H604">
        <v>15.5</v>
      </c>
      <c r="I604">
        <v>233.3</v>
      </c>
      <c r="J604">
        <v>109.66</v>
      </c>
      <c r="K604">
        <v>2.4500000000000002</v>
      </c>
      <c r="L604">
        <v>41.14</v>
      </c>
      <c r="M604">
        <v>24.12</v>
      </c>
      <c r="N604">
        <f t="shared" si="9"/>
        <v>32.590000000000003</v>
      </c>
      <c r="AE604">
        <v>34.520000000000003</v>
      </c>
    </row>
    <row r="605" spans="1:31" x14ac:dyDescent="0.25">
      <c r="A605" t="s">
        <v>649</v>
      </c>
      <c r="B605">
        <v>27.52</v>
      </c>
      <c r="C605">
        <v>75.89</v>
      </c>
      <c r="D605">
        <v>28.24</v>
      </c>
      <c r="E605">
        <v>20.54</v>
      </c>
      <c r="F605">
        <v>28.92</v>
      </c>
      <c r="G605">
        <v>18.559999999999999</v>
      </c>
      <c r="H605">
        <v>16.68</v>
      </c>
      <c r="I605">
        <v>17.73</v>
      </c>
      <c r="J605">
        <v>35.46</v>
      </c>
      <c r="K605">
        <v>52.16</v>
      </c>
      <c r="L605">
        <v>68.83</v>
      </c>
      <c r="M605">
        <v>102.77</v>
      </c>
      <c r="N605">
        <f t="shared" si="9"/>
        <v>28.58</v>
      </c>
      <c r="AE605">
        <v>27.52</v>
      </c>
    </row>
    <row r="606" spans="1:31" x14ac:dyDescent="0.25">
      <c r="A606" t="s">
        <v>650</v>
      </c>
      <c r="B606">
        <v>34.130000000000003</v>
      </c>
      <c r="C606">
        <v>58.02</v>
      </c>
      <c r="D606">
        <v>12.24</v>
      </c>
      <c r="E606">
        <v>4.8099999999999996</v>
      </c>
      <c r="F606">
        <v>0.36</v>
      </c>
      <c r="G606">
        <v>119.39</v>
      </c>
      <c r="H606">
        <v>34.33</v>
      </c>
      <c r="I606">
        <v>18.100000000000001</v>
      </c>
      <c r="J606">
        <v>105.38</v>
      </c>
      <c r="K606">
        <v>14.03</v>
      </c>
      <c r="L606">
        <v>26.1</v>
      </c>
      <c r="M606">
        <v>54.96</v>
      </c>
      <c r="N606">
        <f t="shared" si="9"/>
        <v>30.115000000000002</v>
      </c>
      <c r="AE606">
        <v>34.130000000000003</v>
      </c>
    </row>
    <row r="607" spans="1:31" x14ac:dyDescent="0.25">
      <c r="A607" t="s">
        <v>651</v>
      </c>
      <c r="B607">
        <v>27.11</v>
      </c>
      <c r="C607">
        <v>56.67</v>
      </c>
      <c r="D607">
        <v>10.09</v>
      </c>
      <c r="E607">
        <v>81.239999999999995</v>
      </c>
      <c r="F607">
        <v>58.78</v>
      </c>
      <c r="G607">
        <v>13.26</v>
      </c>
      <c r="H607">
        <v>160.56</v>
      </c>
      <c r="I607">
        <v>11.48</v>
      </c>
      <c r="J607">
        <v>91.9</v>
      </c>
      <c r="K607">
        <v>26.72</v>
      </c>
      <c r="L607">
        <v>62.09</v>
      </c>
      <c r="M607">
        <v>33.520000000000003</v>
      </c>
      <c r="N607">
        <f t="shared" si="9"/>
        <v>45.094999999999999</v>
      </c>
      <c r="AE607">
        <v>27.11</v>
      </c>
    </row>
    <row r="608" spans="1:31" x14ac:dyDescent="0.25">
      <c r="A608" t="s">
        <v>652</v>
      </c>
      <c r="B608">
        <v>26.75</v>
      </c>
      <c r="C608">
        <v>16.809999999999999</v>
      </c>
      <c r="D608">
        <v>67.180000000000007</v>
      </c>
      <c r="E608">
        <v>27.54</v>
      </c>
      <c r="F608">
        <v>34.42</v>
      </c>
      <c r="G608">
        <v>11.72</v>
      </c>
      <c r="H608">
        <v>102.04</v>
      </c>
      <c r="I608">
        <v>35.19</v>
      </c>
      <c r="J608">
        <v>15.45</v>
      </c>
      <c r="K608">
        <v>53.56</v>
      </c>
      <c r="L608">
        <v>16.07</v>
      </c>
      <c r="M608">
        <v>104.78</v>
      </c>
      <c r="N608">
        <f t="shared" si="9"/>
        <v>30.98</v>
      </c>
      <c r="AE608">
        <v>26.75</v>
      </c>
    </row>
    <row r="609" spans="1:31" x14ac:dyDescent="0.25">
      <c r="A609" t="s">
        <v>653</v>
      </c>
      <c r="B609">
        <v>26.84</v>
      </c>
      <c r="C609">
        <v>44.77</v>
      </c>
      <c r="D609">
        <v>27.74</v>
      </c>
      <c r="E609">
        <v>28.59</v>
      </c>
      <c r="F609">
        <v>74.8</v>
      </c>
      <c r="G609">
        <v>84.21</v>
      </c>
      <c r="H609">
        <v>76.84</v>
      </c>
      <c r="I609">
        <v>80.31</v>
      </c>
      <c r="J609">
        <v>38.74</v>
      </c>
      <c r="K609">
        <v>53</v>
      </c>
      <c r="L609">
        <v>29.58</v>
      </c>
      <c r="M609">
        <v>68.88</v>
      </c>
      <c r="N609">
        <f t="shared" si="9"/>
        <v>48.885000000000005</v>
      </c>
      <c r="AE609">
        <v>26.84</v>
      </c>
    </row>
    <row r="610" spans="1:31" x14ac:dyDescent="0.25">
      <c r="A610" t="s">
        <v>654</v>
      </c>
      <c r="B610">
        <v>32.950000000000003</v>
      </c>
      <c r="C610">
        <v>16.920000000000002</v>
      </c>
      <c r="D610">
        <v>170.34</v>
      </c>
      <c r="E610">
        <v>7.57</v>
      </c>
      <c r="F610">
        <v>103.36</v>
      </c>
      <c r="G610">
        <v>16.5</v>
      </c>
      <c r="H610">
        <v>60.02</v>
      </c>
      <c r="I610">
        <v>38.270000000000003</v>
      </c>
      <c r="J610">
        <v>78.36</v>
      </c>
      <c r="K610">
        <v>121.17</v>
      </c>
      <c r="L610">
        <v>7.76</v>
      </c>
      <c r="M610">
        <v>24.08</v>
      </c>
      <c r="N610">
        <f t="shared" si="9"/>
        <v>35.61</v>
      </c>
      <c r="AE610">
        <v>32.950000000000003</v>
      </c>
    </row>
    <row r="611" spans="1:31" x14ac:dyDescent="0.25">
      <c r="A611" t="s">
        <v>655</v>
      </c>
      <c r="B611">
        <v>26.35</v>
      </c>
      <c r="C611">
        <v>34.14</v>
      </c>
      <c r="D611">
        <v>30.61</v>
      </c>
      <c r="E611">
        <v>81.44</v>
      </c>
      <c r="F611">
        <v>169.62</v>
      </c>
      <c r="G611">
        <v>26.49</v>
      </c>
      <c r="H611">
        <v>44.5</v>
      </c>
      <c r="I611">
        <v>9.99</v>
      </c>
      <c r="J611">
        <v>18.350000000000001</v>
      </c>
      <c r="K611">
        <v>93.41</v>
      </c>
      <c r="L611">
        <v>19.21</v>
      </c>
      <c r="M611">
        <v>55.31</v>
      </c>
      <c r="N611">
        <f t="shared" si="9"/>
        <v>32.375</v>
      </c>
      <c r="AE611">
        <v>26.35</v>
      </c>
    </row>
    <row r="612" spans="1:31" x14ac:dyDescent="0.25">
      <c r="A612" t="s">
        <v>656</v>
      </c>
      <c r="B612">
        <v>26.88</v>
      </c>
      <c r="C612">
        <v>36.229999999999997</v>
      </c>
      <c r="D612">
        <v>22.16</v>
      </c>
      <c r="E612">
        <v>94.47</v>
      </c>
      <c r="F612">
        <v>19.09</v>
      </c>
      <c r="G612">
        <v>42.95</v>
      </c>
      <c r="H612">
        <v>31.47</v>
      </c>
      <c r="I612">
        <v>58.67</v>
      </c>
      <c r="J612">
        <v>43.31</v>
      </c>
      <c r="K612">
        <v>24.52</v>
      </c>
      <c r="L612">
        <v>19.760000000000002</v>
      </c>
      <c r="M612">
        <v>107.08</v>
      </c>
      <c r="N612">
        <f t="shared" si="9"/>
        <v>33.849999999999994</v>
      </c>
      <c r="AE612">
        <v>26.88</v>
      </c>
    </row>
    <row r="613" spans="1:31" x14ac:dyDescent="0.25">
      <c r="A613" t="s">
        <v>657</v>
      </c>
      <c r="B613">
        <v>26.37</v>
      </c>
      <c r="C613">
        <v>66.16</v>
      </c>
      <c r="D613">
        <v>16.57</v>
      </c>
      <c r="E613">
        <v>48.76</v>
      </c>
      <c r="F613">
        <v>80.959999999999994</v>
      </c>
      <c r="G613">
        <v>127.57</v>
      </c>
      <c r="H613">
        <v>31.25</v>
      </c>
      <c r="I613">
        <v>145.55000000000001</v>
      </c>
      <c r="J613">
        <v>31.99</v>
      </c>
      <c r="K613">
        <v>25.56</v>
      </c>
      <c r="L613">
        <v>38.299999999999997</v>
      </c>
      <c r="M613">
        <v>44.32</v>
      </c>
      <c r="N613">
        <f t="shared" si="9"/>
        <v>41.31</v>
      </c>
      <c r="AE613">
        <v>26.37</v>
      </c>
    </row>
    <row r="614" spans="1:31" x14ac:dyDescent="0.25">
      <c r="A614" t="s">
        <v>658</v>
      </c>
      <c r="B614">
        <v>26.35</v>
      </c>
      <c r="C614">
        <v>15.17</v>
      </c>
      <c r="D614">
        <v>36.67</v>
      </c>
      <c r="E614">
        <v>11.35</v>
      </c>
      <c r="F614">
        <v>95.07</v>
      </c>
      <c r="G614">
        <v>64.37</v>
      </c>
      <c r="H614">
        <v>24.93</v>
      </c>
      <c r="I614">
        <v>52.88</v>
      </c>
      <c r="J614">
        <v>18.95</v>
      </c>
      <c r="K614">
        <v>59.2</v>
      </c>
      <c r="L614">
        <v>75.2</v>
      </c>
      <c r="M614">
        <v>69.75</v>
      </c>
      <c r="N614">
        <f t="shared" si="9"/>
        <v>44.775000000000006</v>
      </c>
      <c r="AE614">
        <v>26.35</v>
      </c>
    </row>
    <row r="615" spans="1:31" x14ac:dyDescent="0.25">
      <c r="A615" t="s">
        <v>659</v>
      </c>
      <c r="B615">
        <v>26.26</v>
      </c>
      <c r="C615">
        <v>35.869999999999997</v>
      </c>
      <c r="D615">
        <v>42.58</v>
      </c>
      <c r="E615">
        <v>129.15</v>
      </c>
      <c r="F615">
        <v>33.1</v>
      </c>
      <c r="G615">
        <v>53.2</v>
      </c>
      <c r="H615">
        <v>43.37</v>
      </c>
      <c r="I615">
        <v>11.75</v>
      </c>
      <c r="J615">
        <v>36.19</v>
      </c>
      <c r="K615">
        <v>141.5</v>
      </c>
      <c r="L615">
        <v>14.74</v>
      </c>
      <c r="M615">
        <v>28.58</v>
      </c>
      <c r="N615">
        <f t="shared" si="9"/>
        <v>36.03</v>
      </c>
      <c r="AE615">
        <v>26.26</v>
      </c>
    </row>
    <row r="616" spans="1:31" x14ac:dyDescent="0.25">
      <c r="A616" t="s">
        <v>660</v>
      </c>
      <c r="B616">
        <v>26.34</v>
      </c>
      <c r="C616">
        <v>88.46</v>
      </c>
      <c r="D616">
        <v>17.47</v>
      </c>
      <c r="E616">
        <v>30.82</v>
      </c>
      <c r="F616">
        <v>84.25</v>
      </c>
      <c r="G616">
        <v>167.86</v>
      </c>
      <c r="H616">
        <v>51.9</v>
      </c>
      <c r="I616">
        <v>30.53</v>
      </c>
      <c r="J616">
        <v>32.06</v>
      </c>
      <c r="K616">
        <v>21.21</v>
      </c>
      <c r="L616">
        <v>52.42</v>
      </c>
      <c r="M616">
        <v>67.89</v>
      </c>
      <c r="N616">
        <f t="shared" si="9"/>
        <v>41.980000000000004</v>
      </c>
      <c r="AE616">
        <v>26.34</v>
      </c>
    </row>
    <row r="617" spans="1:31" x14ac:dyDescent="0.25">
      <c r="A617" t="s">
        <v>661</v>
      </c>
      <c r="B617">
        <v>32.630000000000003</v>
      </c>
      <c r="C617">
        <v>159.25</v>
      </c>
      <c r="D617">
        <v>10.75</v>
      </c>
      <c r="E617">
        <v>15.02</v>
      </c>
      <c r="F617">
        <v>146.05000000000001</v>
      </c>
      <c r="G617">
        <v>2.16</v>
      </c>
      <c r="H617">
        <v>1.64</v>
      </c>
      <c r="I617">
        <v>12.5</v>
      </c>
      <c r="J617">
        <v>132.69999999999999</v>
      </c>
      <c r="K617">
        <v>116.88</v>
      </c>
      <c r="L617">
        <v>14.73</v>
      </c>
      <c r="M617">
        <v>66</v>
      </c>
      <c r="N617">
        <f t="shared" si="9"/>
        <v>23.825000000000003</v>
      </c>
      <c r="AE617">
        <v>32.630000000000003</v>
      </c>
    </row>
    <row r="618" spans="1:31" x14ac:dyDescent="0.25">
      <c r="A618" t="s">
        <v>662</v>
      </c>
      <c r="B618">
        <v>26.34</v>
      </c>
      <c r="C618">
        <v>52.67</v>
      </c>
      <c r="D618">
        <v>94.62</v>
      </c>
      <c r="E618">
        <v>49.6</v>
      </c>
      <c r="F618">
        <v>132.38</v>
      </c>
      <c r="G618">
        <v>29.89</v>
      </c>
      <c r="H618">
        <v>37.81</v>
      </c>
      <c r="I618">
        <v>24.25</v>
      </c>
      <c r="J618">
        <v>160.05000000000001</v>
      </c>
      <c r="K618">
        <v>10.039999999999999</v>
      </c>
      <c r="L618">
        <v>21.23</v>
      </c>
      <c r="M618">
        <v>16.690000000000001</v>
      </c>
      <c r="N618">
        <f t="shared" si="9"/>
        <v>33.85</v>
      </c>
      <c r="AE618">
        <v>26.34</v>
      </c>
    </row>
    <row r="619" spans="1:31" x14ac:dyDescent="0.25">
      <c r="A619" t="s">
        <v>663</v>
      </c>
      <c r="B619">
        <v>32.4</v>
      </c>
      <c r="C619">
        <v>127.43</v>
      </c>
      <c r="D619">
        <v>121.98</v>
      </c>
      <c r="E619">
        <v>74.319999999999993</v>
      </c>
      <c r="F619">
        <v>62.21</v>
      </c>
      <c r="G619">
        <v>0.09</v>
      </c>
      <c r="H619">
        <v>43.1</v>
      </c>
      <c r="I619">
        <v>23.47</v>
      </c>
      <c r="J619">
        <v>19.21</v>
      </c>
      <c r="K619">
        <v>27.32</v>
      </c>
      <c r="L619">
        <v>13.25</v>
      </c>
      <c r="M619">
        <v>75.45</v>
      </c>
      <c r="N619">
        <f t="shared" si="9"/>
        <v>37.75</v>
      </c>
      <c r="AE619">
        <v>32.4</v>
      </c>
    </row>
    <row r="620" spans="1:31" x14ac:dyDescent="0.25">
      <c r="A620" t="s">
        <v>664</v>
      </c>
      <c r="B620">
        <v>32.71</v>
      </c>
      <c r="C620">
        <v>102.23</v>
      </c>
      <c r="D620">
        <v>101.83</v>
      </c>
      <c r="E620">
        <v>0</v>
      </c>
      <c r="F620">
        <v>16.73</v>
      </c>
      <c r="G620">
        <v>1.08</v>
      </c>
      <c r="H620">
        <v>34.9</v>
      </c>
      <c r="I620">
        <v>33.659999999999997</v>
      </c>
      <c r="J620">
        <v>73.81</v>
      </c>
      <c r="K620">
        <v>115.38</v>
      </c>
      <c r="L620">
        <v>4.37</v>
      </c>
      <c r="M620">
        <v>43.47</v>
      </c>
      <c r="N620">
        <f t="shared" si="9"/>
        <v>34.28</v>
      </c>
      <c r="AE620">
        <v>32.71</v>
      </c>
    </row>
    <row r="621" spans="1:31" x14ac:dyDescent="0.25">
      <c r="A621" t="s">
        <v>665</v>
      </c>
      <c r="B621">
        <v>26.47</v>
      </c>
      <c r="C621">
        <v>33.369999999999997</v>
      </c>
      <c r="D621">
        <v>104.75</v>
      </c>
      <c r="E621">
        <v>10.039999999999999</v>
      </c>
      <c r="F621">
        <v>71.67</v>
      </c>
      <c r="G621">
        <v>14.98</v>
      </c>
      <c r="H621">
        <v>15.82</v>
      </c>
      <c r="I621">
        <v>17.190000000000001</v>
      </c>
      <c r="J621">
        <v>187.62</v>
      </c>
      <c r="K621">
        <v>20.82</v>
      </c>
      <c r="L621">
        <v>88.32</v>
      </c>
      <c r="M621">
        <v>177.86</v>
      </c>
      <c r="N621">
        <f t="shared" si="9"/>
        <v>29.919999999999998</v>
      </c>
      <c r="AE621">
        <v>26.47</v>
      </c>
    </row>
    <row r="622" spans="1:31" x14ac:dyDescent="0.25">
      <c r="A622" t="s">
        <v>666</v>
      </c>
      <c r="B622">
        <v>31.9</v>
      </c>
      <c r="C622">
        <v>61.72</v>
      </c>
      <c r="D622">
        <v>170.5</v>
      </c>
      <c r="E622">
        <v>72.73</v>
      </c>
      <c r="F622">
        <v>0.99</v>
      </c>
      <c r="G622">
        <v>18.63</v>
      </c>
      <c r="H622">
        <v>1.08</v>
      </c>
      <c r="I622">
        <v>66.23</v>
      </c>
      <c r="J622">
        <v>54.18</v>
      </c>
      <c r="K622">
        <v>92.6</v>
      </c>
      <c r="L622">
        <v>17.399999999999999</v>
      </c>
      <c r="M622">
        <v>132.57</v>
      </c>
      <c r="N622">
        <f t="shared" si="9"/>
        <v>57.95</v>
      </c>
      <c r="AE622">
        <v>31.9</v>
      </c>
    </row>
    <row r="623" spans="1:31" x14ac:dyDescent="0.25">
      <c r="A623" t="s">
        <v>667</v>
      </c>
      <c r="B623">
        <v>26.38</v>
      </c>
      <c r="C623">
        <v>58.98</v>
      </c>
      <c r="D623">
        <v>14.38</v>
      </c>
      <c r="E623">
        <v>21.11</v>
      </c>
      <c r="F623">
        <v>34.950000000000003</v>
      </c>
      <c r="G623">
        <v>35.85</v>
      </c>
      <c r="H623">
        <v>13.47</v>
      </c>
      <c r="I623">
        <v>26.72</v>
      </c>
      <c r="J623">
        <v>116.24</v>
      </c>
      <c r="K623">
        <v>12.82</v>
      </c>
      <c r="L623">
        <v>19.21</v>
      </c>
      <c r="M623">
        <v>191.43</v>
      </c>
      <c r="N623">
        <f t="shared" si="9"/>
        <v>26.549999999999997</v>
      </c>
      <c r="AE623">
        <v>26.38</v>
      </c>
    </row>
    <row r="624" spans="1:31" x14ac:dyDescent="0.25">
      <c r="A624" t="s">
        <v>668</v>
      </c>
      <c r="B624">
        <v>31.64</v>
      </c>
      <c r="C624">
        <v>130.18</v>
      </c>
      <c r="D624">
        <v>302.77999999999997</v>
      </c>
      <c r="E624">
        <v>81.44</v>
      </c>
      <c r="F624">
        <v>51.13</v>
      </c>
      <c r="G624">
        <v>19.78</v>
      </c>
      <c r="H624">
        <v>0.27</v>
      </c>
      <c r="I624">
        <v>17.57</v>
      </c>
      <c r="J624">
        <v>78.849999999999994</v>
      </c>
      <c r="K624">
        <v>25.25</v>
      </c>
      <c r="L624">
        <v>144.13</v>
      </c>
      <c r="M624">
        <v>16.059999999999999</v>
      </c>
      <c r="N624">
        <f t="shared" si="9"/>
        <v>41.385000000000005</v>
      </c>
      <c r="AE624">
        <v>31.64</v>
      </c>
    </row>
    <row r="625" spans="1:31" x14ac:dyDescent="0.25">
      <c r="A625" t="s">
        <v>669</v>
      </c>
      <c r="B625">
        <v>31.47</v>
      </c>
      <c r="C625">
        <v>135.28</v>
      </c>
      <c r="D625">
        <v>37.36</v>
      </c>
      <c r="E625">
        <v>0.18</v>
      </c>
      <c r="F625">
        <v>14.63</v>
      </c>
      <c r="G625">
        <v>78.790000000000006</v>
      </c>
      <c r="H625">
        <v>12.69</v>
      </c>
      <c r="I625">
        <v>23.61</v>
      </c>
      <c r="J625">
        <v>125.85</v>
      </c>
      <c r="K625">
        <v>32.119999999999997</v>
      </c>
      <c r="L625">
        <v>29.23</v>
      </c>
      <c r="M625">
        <v>146.4</v>
      </c>
      <c r="N625">
        <f t="shared" si="9"/>
        <v>31.794999999999998</v>
      </c>
      <c r="AE625">
        <v>31.47</v>
      </c>
    </row>
    <row r="626" spans="1:31" x14ac:dyDescent="0.25">
      <c r="A626" t="s">
        <v>670</v>
      </c>
      <c r="B626">
        <v>25.78</v>
      </c>
      <c r="C626">
        <v>13.21</v>
      </c>
      <c r="D626">
        <v>54.47</v>
      </c>
      <c r="E626">
        <v>27.11</v>
      </c>
      <c r="F626">
        <v>53.11</v>
      </c>
      <c r="G626">
        <v>52.49</v>
      </c>
      <c r="H626">
        <v>33.06</v>
      </c>
      <c r="I626">
        <v>112.89</v>
      </c>
      <c r="J626">
        <v>11.22</v>
      </c>
      <c r="K626">
        <v>59.13</v>
      </c>
      <c r="L626">
        <v>32.229999999999997</v>
      </c>
      <c r="M626">
        <v>49.72</v>
      </c>
      <c r="N626">
        <f t="shared" si="9"/>
        <v>41.39</v>
      </c>
      <c r="AE626">
        <v>25.78</v>
      </c>
    </row>
    <row r="627" spans="1:31" x14ac:dyDescent="0.25">
      <c r="A627" t="s">
        <v>671</v>
      </c>
      <c r="B627">
        <v>26.38</v>
      </c>
      <c r="C627">
        <v>18.899999999999999</v>
      </c>
      <c r="D627">
        <v>20.100000000000001</v>
      </c>
      <c r="E627">
        <v>30.58</v>
      </c>
      <c r="F627">
        <v>139.63</v>
      </c>
      <c r="G627">
        <v>18.28</v>
      </c>
      <c r="H627">
        <v>77.150000000000006</v>
      </c>
      <c r="I627">
        <v>51.14</v>
      </c>
      <c r="J627">
        <v>12.18</v>
      </c>
      <c r="K627">
        <v>180.63</v>
      </c>
      <c r="L627">
        <v>65.59</v>
      </c>
      <c r="M627">
        <v>55.17</v>
      </c>
      <c r="N627">
        <f t="shared" si="9"/>
        <v>40.86</v>
      </c>
      <c r="AE627">
        <v>26.38</v>
      </c>
    </row>
    <row r="628" spans="1:31" x14ac:dyDescent="0.25">
      <c r="A628" t="s">
        <v>672</v>
      </c>
      <c r="B628">
        <v>32.020000000000003</v>
      </c>
      <c r="C628">
        <v>35.28</v>
      </c>
      <c r="D628">
        <v>198.59</v>
      </c>
      <c r="E628">
        <v>139.03</v>
      </c>
      <c r="F628">
        <v>1.08</v>
      </c>
      <c r="G628">
        <v>45.2</v>
      </c>
      <c r="H628">
        <v>98.06</v>
      </c>
      <c r="I628">
        <v>9.6300000000000008</v>
      </c>
      <c r="J628">
        <v>76.48</v>
      </c>
      <c r="K628">
        <v>104.11</v>
      </c>
      <c r="L628">
        <v>85.85</v>
      </c>
      <c r="M628">
        <v>75.209999999999994</v>
      </c>
      <c r="N628">
        <f t="shared" si="9"/>
        <v>75.844999999999999</v>
      </c>
      <c r="AE628">
        <v>32.020000000000003</v>
      </c>
    </row>
    <row r="629" spans="1:31" x14ac:dyDescent="0.25">
      <c r="A629" t="s">
        <v>673</v>
      </c>
      <c r="B629">
        <v>26.01</v>
      </c>
      <c r="C629">
        <v>10.19</v>
      </c>
      <c r="D629">
        <v>27.48</v>
      </c>
      <c r="E629">
        <v>36.700000000000003</v>
      </c>
      <c r="F629">
        <v>10.14</v>
      </c>
      <c r="G629">
        <v>10.26</v>
      </c>
      <c r="H629">
        <v>28.61</v>
      </c>
      <c r="I629">
        <v>132.37</v>
      </c>
      <c r="J629">
        <v>59.63</v>
      </c>
      <c r="K629">
        <v>16.8</v>
      </c>
      <c r="L629">
        <v>118.94</v>
      </c>
      <c r="M629">
        <v>44.16</v>
      </c>
      <c r="N629">
        <f t="shared" si="9"/>
        <v>28.045000000000002</v>
      </c>
      <c r="AE629">
        <v>26.01</v>
      </c>
    </row>
    <row r="630" spans="1:31" x14ac:dyDescent="0.25">
      <c r="A630" t="s">
        <v>674</v>
      </c>
      <c r="B630">
        <v>31.48</v>
      </c>
      <c r="C630">
        <v>30.13</v>
      </c>
      <c r="D630">
        <v>21.29</v>
      </c>
      <c r="E630">
        <v>51.87</v>
      </c>
      <c r="F630">
        <v>4.8499999999999996</v>
      </c>
      <c r="G630">
        <v>27.49</v>
      </c>
      <c r="H630">
        <v>20.66</v>
      </c>
      <c r="I630">
        <v>18.89</v>
      </c>
      <c r="J630">
        <v>465.47</v>
      </c>
      <c r="K630">
        <v>10.59</v>
      </c>
      <c r="L630">
        <v>66.290000000000006</v>
      </c>
      <c r="M630">
        <v>25.88</v>
      </c>
      <c r="N630">
        <f t="shared" si="9"/>
        <v>26.684999999999999</v>
      </c>
      <c r="AE630">
        <v>31.48</v>
      </c>
    </row>
    <row r="631" spans="1:31" x14ac:dyDescent="0.25">
      <c r="A631" t="s">
        <v>675</v>
      </c>
      <c r="B631">
        <v>31.43</v>
      </c>
      <c r="C631">
        <v>71.78</v>
      </c>
      <c r="D631">
        <v>35.51</v>
      </c>
      <c r="E631">
        <v>52.22</v>
      </c>
      <c r="F631">
        <v>56.74</v>
      </c>
      <c r="G631">
        <v>112.21</v>
      </c>
      <c r="H631">
        <v>0.81</v>
      </c>
      <c r="I631">
        <v>52.94</v>
      </c>
      <c r="J631">
        <v>55.93</v>
      </c>
      <c r="K631">
        <v>24.9</v>
      </c>
      <c r="L631">
        <v>30.25</v>
      </c>
      <c r="M631">
        <v>106.14</v>
      </c>
      <c r="N631">
        <f t="shared" si="9"/>
        <v>52.58</v>
      </c>
      <c r="AE631">
        <v>31.43</v>
      </c>
    </row>
    <row r="632" spans="1:31" x14ac:dyDescent="0.25">
      <c r="A632" t="s">
        <v>676</v>
      </c>
      <c r="B632">
        <v>30.48</v>
      </c>
      <c r="C632">
        <v>89.84</v>
      </c>
      <c r="D632">
        <v>17.45</v>
      </c>
      <c r="E632">
        <v>60.72</v>
      </c>
      <c r="F632">
        <v>19.09</v>
      </c>
      <c r="G632">
        <v>44.4</v>
      </c>
      <c r="H632">
        <v>79.92</v>
      </c>
      <c r="I632">
        <v>69.08</v>
      </c>
      <c r="J632">
        <v>82.56</v>
      </c>
      <c r="K632">
        <v>42.36</v>
      </c>
      <c r="L632">
        <v>115.07</v>
      </c>
      <c r="M632">
        <v>26.01</v>
      </c>
      <c r="N632">
        <f t="shared" si="9"/>
        <v>52.56</v>
      </c>
      <c r="AE632">
        <v>30.48</v>
      </c>
    </row>
    <row r="633" spans="1:31" x14ac:dyDescent="0.25">
      <c r="A633" t="s">
        <v>677</v>
      </c>
      <c r="B633">
        <v>31.06</v>
      </c>
      <c r="C633">
        <v>96.2</v>
      </c>
      <c r="D633">
        <v>10.88</v>
      </c>
      <c r="E633">
        <v>46.32</v>
      </c>
      <c r="F633">
        <v>43.8</v>
      </c>
      <c r="G633">
        <v>221.91</v>
      </c>
      <c r="H633">
        <v>25.22</v>
      </c>
      <c r="I633">
        <v>47.7</v>
      </c>
      <c r="J633">
        <v>218.1</v>
      </c>
      <c r="K633">
        <v>306.69</v>
      </c>
      <c r="L633">
        <v>0</v>
      </c>
      <c r="M633">
        <v>114.56</v>
      </c>
      <c r="N633">
        <f t="shared" si="9"/>
        <v>47.010000000000005</v>
      </c>
      <c r="AE633">
        <v>31.06</v>
      </c>
    </row>
    <row r="634" spans="1:31" x14ac:dyDescent="0.25">
      <c r="A634" t="s">
        <v>678</v>
      </c>
      <c r="B634">
        <v>31.85</v>
      </c>
      <c r="C634">
        <v>0.09</v>
      </c>
      <c r="D634">
        <v>11.7</v>
      </c>
      <c r="E634">
        <v>0.81</v>
      </c>
      <c r="F634">
        <v>91.23</v>
      </c>
      <c r="G634">
        <v>133.46</v>
      </c>
      <c r="H634">
        <v>440.13</v>
      </c>
      <c r="I634">
        <v>37.97</v>
      </c>
      <c r="J634">
        <v>0.63</v>
      </c>
      <c r="K634">
        <v>20.36</v>
      </c>
      <c r="L634">
        <v>75.2</v>
      </c>
      <c r="M634">
        <v>250.54</v>
      </c>
      <c r="N634">
        <f t="shared" si="9"/>
        <v>34.909999999999997</v>
      </c>
      <c r="AE634">
        <v>31.85</v>
      </c>
    </row>
    <row r="635" spans="1:31" x14ac:dyDescent="0.25">
      <c r="A635" t="s">
        <v>679</v>
      </c>
      <c r="B635">
        <v>25.17</v>
      </c>
      <c r="C635">
        <v>10.09</v>
      </c>
      <c r="D635">
        <v>100.23</v>
      </c>
      <c r="E635">
        <v>33.869999999999997</v>
      </c>
      <c r="F635">
        <v>45.21</v>
      </c>
      <c r="G635">
        <v>9.99</v>
      </c>
      <c r="H635">
        <v>11.16</v>
      </c>
      <c r="I635">
        <v>36.61</v>
      </c>
      <c r="J635">
        <v>90.43</v>
      </c>
      <c r="K635">
        <v>44.64</v>
      </c>
      <c r="L635">
        <v>87.7</v>
      </c>
      <c r="M635">
        <v>68.760000000000005</v>
      </c>
      <c r="N635">
        <f t="shared" si="9"/>
        <v>40.625</v>
      </c>
      <c r="AE635">
        <v>25.17</v>
      </c>
    </row>
    <row r="636" spans="1:31" x14ac:dyDescent="0.25">
      <c r="A636" t="s">
        <v>680</v>
      </c>
      <c r="B636">
        <v>25.24</v>
      </c>
      <c r="C636">
        <v>27.54</v>
      </c>
      <c r="D636">
        <v>149.79</v>
      </c>
      <c r="E636">
        <v>68.47</v>
      </c>
      <c r="F636">
        <v>69.290000000000006</v>
      </c>
      <c r="G636">
        <v>36.83</v>
      </c>
      <c r="H636">
        <v>31.87</v>
      </c>
      <c r="I636">
        <v>19.079999999999998</v>
      </c>
      <c r="J636">
        <v>51.59</v>
      </c>
      <c r="K636">
        <v>26.37</v>
      </c>
      <c r="L636">
        <v>60.65</v>
      </c>
      <c r="M636">
        <v>29.71</v>
      </c>
      <c r="N636">
        <f t="shared" si="9"/>
        <v>34.35</v>
      </c>
      <c r="AE636">
        <v>25.24</v>
      </c>
    </row>
    <row r="637" spans="1:31" x14ac:dyDescent="0.25">
      <c r="A637" t="s">
        <v>681</v>
      </c>
      <c r="B637">
        <v>25.14</v>
      </c>
      <c r="C637">
        <v>12</v>
      </c>
      <c r="D637">
        <v>15.79</v>
      </c>
      <c r="E637">
        <v>61.66</v>
      </c>
      <c r="F637">
        <v>24.94</v>
      </c>
      <c r="G637">
        <v>24.13</v>
      </c>
      <c r="H637">
        <v>32.54</v>
      </c>
      <c r="I637">
        <v>47.53</v>
      </c>
      <c r="J637">
        <v>110.89</v>
      </c>
      <c r="K637">
        <v>53.37</v>
      </c>
      <c r="L637">
        <v>60.33</v>
      </c>
      <c r="M637">
        <v>47.63</v>
      </c>
      <c r="N637">
        <f t="shared" si="9"/>
        <v>40.034999999999997</v>
      </c>
      <c r="AE637">
        <v>25.14</v>
      </c>
    </row>
    <row r="638" spans="1:31" x14ac:dyDescent="0.25">
      <c r="A638" t="s">
        <v>682</v>
      </c>
      <c r="B638">
        <v>25.26</v>
      </c>
      <c r="C638">
        <v>19.55</v>
      </c>
      <c r="D638">
        <v>77.41</v>
      </c>
      <c r="E638">
        <v>116.93</v>
      </c>
      <c r="F638">
        <v>31.46</v>
      </c>
      <c r="G638">
        <v>48.3</v>
      </c>
      <c r="H638">
        <v>32.17</v>
      </c>
      <c r="I638">
        <v>35.229999999999997</v>
      </c>
      <c r="J638">
        <v>83.91</v>
      </c>
      <c r="K638">
        <v>15.26</v>
      </c>
      <c r="L638">
        <v>39.64</v>
      </c>
      <c r="M638">
        <v>28.4</v>
      </c>
      <c r="N638">
        <f t="shared" si="9"/>
        <v>33.700000000000003</v>
      </c>
      <c r="AE638">
        <v>25.26</v>
      </c>
    </row>
    <row r="639" spans="1:31" x14ac:dyDescent="0.25">
      <c r="A639" t="s">
        <v>683</v>
      </c>
      <c r="B639">
        <v>25.09</v>
      </c>
      <c r="C639">
        <v>53.85</v>
      </c>
      <c r="D639">
        <v>33.049999999999997</v>
      </c>
      <c r="E639">
        <v>68.23</v>
      </c>
      <c r="F639">
        <v>26.14</v>
      </c>
      <c r="G639">
        <v>99.8</v>
      </c>
      <c r="H639">
        <v>41.95</v>
      </c>
      <c r="I639">
        <v>52.04</v>
      </c>
      <c r="J639">
        <v>222.78</v>
      </c>
      <c r="K639">
        <v>15.76</v>
      </c>
      <c r="L639">
        <v>59.83</v>
      </c>
      <c r="M639">
        <v>24.54</v>
      </c>
      <c r="N639">
        <f t="shared" si="9"/>
        <v>46.995000000000005</v>
      </c>
      <c r="AE639">
        <v>25.09</v>
      </c>
    </row>
    <row r="640" spans="1:31" x14ac:dyDescent="0.25">
      <c r="A640" t="s">
        <v>684</v>
      </c>
      <c r="B640">
        <v>30.27</v>
      </c>
      <c r="C640">
        <v>116.45</v>
      </c>
      <c r="D640">
        <v>111.41</v>
      </c>
      <c r="E640">
        <v>40.61</v>
      </c>
      <c r="F640">
        <v>124.5</v>
      </c>
      <c r="G640">
        <v>177.3</v>
      </c>
      <c r="H640">
        <v>64.540000000000006</v>
      </c>
      <c r="I640">
        <v>9.91</v>
      </c>
      <c r="J640">
        <v>192.2</v>
      </c>
      <c r="K640">
        <v>2.27</v>
      </c>
      <c r="L640">
        <v>0.18</v>
      </c>
      <c r="M640">
        <v>14.76</v>
      </c>
      <c r="N640">
        <f t="shared" si="9"/>
        <v>52.575000000000003</v>
      </c>
      <c r="AE640">
        <v>30.27</v>
      </c>
    </row>
    <row r="641" spans="1:31" x14ac:dyDescent="0.25">
      <c r="A641" t="s">
        <v>685</v>
      </c>
      <c r="B641">
        <v>30.16</v>
      </c>
      <c r="C641">
        <v>42.31</v>
      </c>
      <c r="D641">
        <v>143.72999999999999</v>
      </c>
      <c r="E641">
        <v>159.03</v>
      </c>
      <c r="F641">
        <v>15.98</v>
      </c>
      <c r="G641">
        <v>31.99</v>
      </c>
      <c r="H641">
        <v>32.979999999999997</v>
      </c>
      <c r="I641">
        <v>46.94</v>
      </c>
      <c r="J641">
        <v>20.6</v>
      </c>
      <c r="K641">
        <v>115.85</v>
      </c>
      <c r="L641">
        <v>78.569999999999993</v>
      </c>
      <c r="M641">
        <v>0.36</v>
      </c>
      <c r="N641">
        <f t="shared" si="9"/>
        <v>37.644999999999996</v>
      </c>
      <c r="AE641">
        <v>30.16</v>
      </c>
    </row>
    <row r="642" spans="1:31" x14ac:dyDescent="0.25">
      <c r="A642" t="s">
        <v>686</v>
      </c>
      <c r="B642">
        <v>29.35</v>
      </c>
      <c r="C642">
        <v>67.180000000000007</v>
      </c>
      <c r="D642">
        <v>37.74</v>
      </c>
      <c r="E642">
        <v>57.43</v>
      </c>
      <c r="F642">
        <v>88.25</v>
      </c>
      <c r="G642">
        <v>109.09</v>
      </c>
      <c r="H642">
        <v>15.47</v>
      </c>
      <c r="I642">
        <v>102.76</v>
      </c>
      <c r="J642">
        <v>78.02</v>
      </c>
      <c r="K642">
        <v>0.36</v>
      </c>
      <c r="L642">
        <v>4.2300000000000004</v>
      </c>
      <c r="M642">
        <v>69.58</v>
      </c>
      <c r="N642">
        <f t="shared" si="9"/>
        <v>62.305000000000007</v>
      </c>
      <c r="AE642">
        <v>29.35</v>
      </c>
    </row>
    <row r="643" spans="1:31" x14ac:dyDescent="0.25">
      <c r="A643" t="s">
        <v>687</v>
      </c>
      <c r="B643">
        <v>24.72</v>
      </c>
      <c r="C643">
        <v>41.4</v>
      </c>
      <c r="D643">
        <v>144.97</v>
      </c>
      <c r="E643">
        <v>18.809999999999999</v>
      </c>
      <c r="F643">
        <v>11.39</v>
      </c>
      <c r="G643">
        <v>18.73</v>
      </c>
      <c r="H643">
        <v>10.09</v>
      </c>
      <c r="I643">
        <v>25.8</v>
      </c>
      <c r="J643">
        <v>61.38</v>
      </c>
      <c r="K643">
        <v>10.14</v>
      </c>
      <c r="L643">
        <v>221.49</v>
      </c>
      <c r="M643">
        <v>43.55</v>
      </c>
      <c r="N643">
        <f t="shared" ref="N643:N706" si="10">MEDIAN(B643:M643)</f>
        <v>25.259999999999998</v>
      </c>
      <c r="AE643">
        <v>24.72</v>
      </c>
    </row>
    <row r="644" spans="1:31" x14ac:dyDescent="0.25">
      <c r="A644" t="s">
        <v>688</v>
      </c>
      <c r="B644">
        <v>24.83</v>
      </c>
      <c r="C644">
        <v>42.87</v>
      </c>
      <c r="D644">
        <v>70.17</v>
      </c>
      <c r="E644">
        <v>33.24</v>
      </c>
      <c r="F644">
        <v>10.57</v>
      </c>
      <c r="G644">
        <v>29.13</v>
      </c>
      <c r="H644">
        <v>34.44</v>
      </c>
      <c r="I644">
        <v>34.85</v>
      </c>
      <c r="J644">
        <v>34.659999999999997</v>
      </c>
      <c r="K644">
        <v>17.760000000000002</v>
      </c>
      <c r="L644">
        <v>67.89</v>
      </c>
      <c r="M644">
        <v>94.54</v>
      </c>
      <c r="N644">
        <f t="shared" si="10"/>
        <v>34.549999999999997</v>
      </c>
      <c r="AE644">
        <v>24.83</v>
      </c>
    </row>
    <row r="645" spans="1:31" x14ac:dyDescent="0.25">
      <c r="A645" t="s">
        <v>689</v>
      </c>
      <c r="B645">
        <v>24.59</v>
      </c>
      <c r="C645">
        <v>52.94</v>
      </c>
      <c r="D645">
        <v>19.43</v>
      </c>
      <c r="E645">
        <v>11.22</v>
      </c>
      <c r="F645">
        <v>41.4</v>
      </c>
      <c r="G645">
        <v>26.64</v>
      </c>
      <c r="H645">
        <v>20.3</v>
      </c>
      <c r="I645">
        <v>158.66</v>
      </c>
      <c r="J645">
        <v>21.2</v>
      </c>
      <c r="K645">
        <v>102.57</v>
      </c>
      <c r="L645">
        <v>14.4</v>
      </c>
      <c r="M645">
        <v>72.010000000000005</v>
      </c>
      <c r="N645">
        <f t="shared" si="10"/>
        <v>25.615000000000002</v>
      </c>
      <c r="AE645">
        <v>24.59</v>
      </c>
    </row>
    <row r="646" spans="1:31" x14ac:dyDescent="0.25">
      <c r="A646" t="s">
        <v>690</v>
      </c>
      <c r="B646">
        <v>24.51</v>
      </c>
      <c r="C646">
        <v>54.11</v>
      </c>
      <c r="D646">
        <v>24.67</v>
      </c>
      <c r="E646">
        <v>67.25</v>
      </c>
      <c r="F646">
        <v>88.87</v>
      </c>
      <c r="G646">
        <v>64.87</v>
      </c>
      <c r="H646">
        <v>74.73</v>
      </c>
      <c r="I646">
        <v>16.39</v>
      </c>
      <c r="J646">
        <v>93.96</v>
      </c>
      <c r="K646">
        <v>51.23</v>
      </c>
      <c r="L646">
        <v>76.67</v>
      </c>
      <c r="M646">
        <v>54.09</v>
      </c>
      <c r="N646">
        <f t="shared" si="10"/>
        <v>59.49</v>
      </c>
      <c r="AE646">
        <v>24.51</v>
      </c>
    </row>
    <row r="647" spans="1:31" x14ac:dyDescent="0.25">
      <c r="A647" t="s">
        <v>691</v>
      </c>
      <c r="B647">
        <v>28.88</v>
      </c>
      <c r="C647">
        <v>91.36</v>
      </c>
      <c r="D647">
        <v>21.86</v>
      </c>
      <c r="E647">
        <v>0.09</v>
      </c>
      <c r="F647">
        <v>20.9</v>
      </c>
      <c r="G647">
        <v>47.87</v>
      </c>
      <c r="H647">
        <v>10.86</v>
      </c>
      <c r="I647">
        <v>37.380000000000003</v>
      </c>
      <c r="J647">
        <v>79.260000000000005</v>
      </c>
      <c r="K647">
        <v>12.91</v>
      </c>
      <c r="L647">
        <v>42.93</v>
      </c>
      <c r="M647">
        <v>48.18</v>
      </c>
      <c r="N647">
        <f t="shared" si="10"/>
        <v>33.130000000000003</v>
      </c>
      <c r="AE647">
        <v>28.88</v>
      </c>
    </row>
    <row r="648" spans="1:31" x14ac:dyDescent="0.25">
      <c r="A648" t="s">
        <v>692</v>
      </c>
      <c r="B648">
        <v>24.99</v>
      </c>
      <c r="C648">
        <v>46.41</v>
      </c>
      <c r="D648">
        <v>39.01</v>
      </c>
      <c r="E648">
        <v>58.76</v>
      </c>
      <c r="F648">
        <v>57.86</v>
      </c>
      <c r="G648">
        <v>68.61</v>
      </c>
      <c r="H648">
        <v>35.97</v>
      </c>
      <c r="I648">
        <v>21.44</v>
      </c>
      <c r="J648">
        <v>115.68</v>
      </c>
      <c r="K648">
        <v>10.59</v>
      </c>
      <c r="L648">
        <v>11.25</v>
      </c>
      <c r="M648">
        <v>26.75</v>
      </c>
      <c r="N648">
        <f t="shared" si="10"/>
        <v>37.489999999999995</v>
      </c>
      <c r="AE648">
        <v>24.99</v>
      </c>
    </row>
    <row r="649" spans="1:31" x14ac:dyDescent="0.25">
      <c r="A649" t="s">
        <v>693</v>
      </c>
      <c r="B649">
        <v>24.69</v>
      </c>
      <c r="C649">
        <v>25.3</v>
      </c>
      <c r="D649">
        <v>10.19</v>
      </c>
      <c r="E649">
        <v>11.46</v>
      </c>
      <c r="F649">
        <v>121</v>
      </c>
      <c r="G649">
        <v>58.52</v>
      </c>
      <c r="H649">
        <v>45.06</v>
      </c>
      <c r="I649">
        <v>117.48</v>
      </c>
      <c r="J649">
        <v>51.27</v>
      </c>
      <c r="K649">
        <v>63.61</v>
      </c>
      <c r="L649">
        <v>30.11</v>
      </c>
      <c r="M649">
        <v>36.94</v>
      </c>
      <c r="N649">
        <f t="shared" si="10"/>
        <v>41</v>
      </c>
      <c r="AE649">
        <v>24.69</v>
      </c>
    </row>
    <row r="650" spans="1:31" x14ac:dyDescent="0.25">
      <c r="A650" t="s">
        <v>694</v>
      </c>
      <c r="B650">
        <v>24.37</v>
      </c>
      <c r="C650">
        <v>116.48</v>
      </c>
      <c r="D650">
        <v>26.81</v>
      </c>
      <c r="E650">
        <v>10.039999999999999</v>
      </c>
      <c r="F650">
        <v>141.13999999999999</v>
      </c>
      <c r="G650">
        <v>73.25</v>
      </c>
      <c r="H650">
        <v>12.24</v>
      </c>
      <c r="I650">
        <v>22.98</v>
      </c>
      <c r="J650">
        <v>89.02</v>
      </c>
      <c r="K650">
        <v>24.8</v>
      </c>
      <c r="L650">
        <v>39.97</v>
      </c>
      <c r="M650">
        <v>31.99</v>
      </c>
      <c r="N650">
        <f t="shared" si="10"/>
        <v>29.4</v>
      </c>
      <c r="AE650">
        <v>24.37</v>
      </c>
    </row>
    <row r="651" spans="1:31" x14ac:dyDescent="0.25">
      <c r="A651" t="s">
        <v>695</v>
      </c>
      <c r="B651">
        <v>28.92</v>
      </c>
      <c r="C651">
        <v>127.35</v>
      </c>
      <c r="D651">
        <v>45.98</v>
      </c>
      <c r="E651">
        <v>11.7</v>
      </c>
      <c r="F651">
        <v>0.27</v>
      </c>
      <c r="G651">
        <v>24.38</v>
      </c>
      <c r="H651">
        <v>120.9</v>
      </c>
      <c r="I651">
        <v>43.97</v>
      </c>
      <c r="J651">
        <v>0.09</v>
      </c>
      <c r="K651">
        <v>46.25</v>
      </c>
      <c r="L651">
        <v>67.58</v>
      </c>
      <c r="M651">
        <v>4.6399999999999997</v>
      </c>
      <c r="N651">
        <f t="shared" si="10"/>
        <v>36.445</v>
      </c>
      <c r="AE651">
        <v>28.92</v>
      </c>
    </row>
    <row r="652" spans="1:31" x14ac:dyDescent="0.25">
      <c r="A652" t="s">
        <v>696</v>
      </c>
      <c r="B652">
        <v>24.33</v>
      </c>
      <c r="C652">
        <v>23.84</v>
      </c>
      <c r="D652">
        <v>60.31</v>
      </c>
      <c r="E652">
        <v>30.82</v>
      </c>
      <c r="F652">
        <v>53.27</v>
      </c>
      <c r="G652">
        <v>72.62</v>
      </c>
      <c r="H652">
        <v>26.12</v>
      </c>
      <c r="I652">
        <v>37.6</v>
      </c>
      <c r="J652">
        <v>62.27</v>
      </c>
      <c r="K652">
        <v>63.76</v>
      </c>
      <c r="L652">
        <v>32.86</v>
      </c>
      <c r="M652">
        <v>20.03</v>
      </c>
      <c r="N652">
        <f t="shared" si="10"/>
        <v>35.230000000000004</v>
      </c>
      <c r="AE652">
        <v>24.33</v>
      </c>
    </row>
    <row r="653" spans="1:31" x14ac:dyDescent="0.25">
      <c r="A653" t="s">
        <v>697</v>
      </c>
      <c r="B653">
        <v>24.14</v>
      </c>
      <c r="C653">
        <v>84.18</v>
      </c>
      <c r="D653">
        <v>189.02</v>
      </c>
      <c r="E653">
        <v>23.86</v>
      </c>
      <c r="F653">
        <v>20.79</v>
      </c>
      <c r="G653">
        <v>25.42</v>
      </c>
      <c r="H653">
        <v>65.489999999999995</v>
      </c>
      <c r="I653">
        <v>20.37</v>
      </c>
      <c r="J653">
        <v>28.86</v>
      </c>
      <c r="K653">
        <v>15.18</v>
      </c>
      <c r="L653">
        <v>16.2</v>
      </c>
      <c r="M653">
        <v>22.53</v>
      </c>
      <c r="N653">
        <f t="shared" si="10"/>
        <v>24</v>
      </c>
      <c r="AE653">
        <v>24.14</v>
      </c>
    </row>
    <row r="654" spans="1:31" x14ac:dyDescent="0.25">
      <c r="A654" t="s">
        <v>698</v>
      </c>
      <c r="B654">
        <v>24.24</v>
      </c>
      <c r="C654">
        <v>31.31</v>
      </c>
      <c r="D654">
        <v>21.33</v>
      </c>
      <c r="E654">
        <v>41.82</v>
      </c>
      <c r="F654">
        <v>110.29</v>
      </c>
      <c r="G654">
        <v>10.19</v>
      </c>
      <c r="H654">
        <v>32.9</v>
      </c>
      <c r="I654">
        <v>15.78</v>
      </c>
      <c r="J654">
        <v>71.59</v>
      </c>
      <c r="K654">
        <v>48.36</v>
      </c>
      <c r="L654">
        <v>59.11</v>
      </c>
      <c r="M654">
        <v>37.36</v>
      </c>
      <c r="N654">
        <f t="shared" si="10"/>
        <v>35.129999999999995</v>
      </c>
      <c r="AE654">
        <v>24.24</v>
      </c>
    </row>
    <row r="655" spans="1:31" x14ac:dyDescent="0.25">
      <c r="A655" t="s">
        <v>699</v>
      </c>
      <c r="B655">
        <v>28.74</v>
      </c>
      <c r="C655">
        <v>71.56</v>
      </c>
      <c r="D655">
        <v>9.3800000000000008</v>
      </c>
      <c r="E655">
        <v>67.95</v>
      </c>
      <c r="F655">
        <v>75.040000000000006</v>
      </c>
      <c r="G655">
        <v>20.079999999999998</v>
      </c>
      <c r="H655">
        <v>143.97999999999999</v>
      </c>
      <c r="I655">
        <v>128.9</v>
      </c>
      <c r="J655">
        <v>0.81</v>
      </c>
      <c r="K655">
        <v>55.39</v>
      </c>
      <c r="L655">
        <v>68.77</v>
      </c>
      <c r="M655">
        <v>0.54</v>
      </c>
      <c r="N655">
        <f t="shared" si="10"/>
        <v>61.67</v>
      </c>
      <c r="AE655">
        <v>28.74</v>
      </c>
    </row>
    <row r="656" spans="1:31" x14ac:dyDescent="0.25">
      <c r="A656" t="s">
        <v>700</v>
      </c>
      <c r="B656">
        <v>24.19</v>
      </c>
      <c r="C656">
        <v>45.32</v>
      </c>
      <c r="D656">
        <v>66.64</v>
      </c>
      <c r="E656">
        <v>34.97</v>
      </c>
      <c r="F656">
        <v>17</v>
      </c>
      <c r="G656">
        <v>27.03</v>
      </c>
      <c r="H656">
        <v>62.98</v>
      </c>
      <c r="I656">
        <v>68.17</v>
      </c>
      <c r="J656">
        <v>16.489999999999998</v>
      </c>
      <c r="K656">
        <v>15.51</v>
      </c>
      <c r="L656">
        <v>102.5</v>
      </c>
      <c r="M656">
        <v>9.99</v>
      </c>
      <c r="N656">
        <f t="shared" si="10"/>
        <v>31</v>
      </c>
      <c r="AE656">
        <v>24.19</v>
      </c>
    </row>
    <row r="657" spans="1:31" x14ac:dyDescent="0.25">
      <c r="A657" t="s">
        <v>701</v>
      </c>
      <c r="B657">
        <v>24.25</v>
      </c>
      <c r="C657">
        <v>13.52</v>
      </c>
      <c r="D657">
        <v>34.26</v>
      </c>
      <c r="E657">
        <v>50.81</v>
      </c>
      <c r="F657">
        <v>58.7</v>
      </c>
      <c r="G657">
        <v>110.82</v>
      </c>
      <c r="H657">
        <v>80.13</v>
      </c>
      <c r="I657">
        <v>20.88</v>
      </c>
      <c r="J657">
        <v>31.01</v>
      </c>
      <c r="K657">
        <v>57</v>
      </c>
      <c r="L657">
        <v>89.61</v>
      </c>
      <c r="M657">
        <v>31.05</v>
      </c>
      <c r="N657">
        <f t="shared" si="10"/>
        <v>42.534999999999997</v>
      </c>
      <c r="AE657">
        <v>24.25</v>
      </c>
    </row>
    <row r="658" spans="1:31" x14ac:dyDescent="0.25">
      <c r="A658" t="s">
        <v>702</v>
      </c>
      <c r="B658">
        <v>23.92</v>
      </c>
      <c r="C658">
        <v>41.73</v>
      </c>
      <c r="D658">
        <v>19.09</v>
      </c>
      <c r="E658">
        <v>13.94</v>
      </c>
      <c r="F658">
        <v>10.24</v>
      </c>
      <c r="G658">
        <v>36.049999999999997</v>
      </c>
      <c r="H658">
        <v>160.09</v>
      </c>
      <c r="I658">
        <v>14.63</v>
      </c>
      <c r="J658">
        <v>46.24</v>
      </c>
      <c r="K658">
        <v>61.27</v>
      </c>
      <c r="L658">
        <v>10.19</v>
      </c>
      <c r="M658">
        <v>84.43</v>
      </c>
      <c r="N658">
        <f t="shared" si="10"/>
        <v>29.984999999999999</v>
      </c>
      <c r="AE658">
        <v>23.92</v>
      </c>
    </row>
    <row r="659" spans="1:31" x14ac:dyDescent="0.25">
      <c r="A659" t="s">
        <v>703</v>
      </c>
      <c r="B659">
        <v>28.25</v>
      </c>
      <c r="C659">
        <v>167.2</v>
      </c>
      <c r="D659">
        <v>42.03</v>
      </c>
      <c r="E659">
        <v>9.65</v>
      </c>
      <c r="F659">
        <v>17.04</v>
      </c>
      <c r="G659">
        <v>50.72</v>
      </c>
      <c r="H659">
        <v>10.8</v>
      </c>
      <c r="I659">
        <v>42.75</v>
      </c>
      <c r="J659">
        <v>29.58</v>
      </c>
      <c r="K659">
        <v>107.47</v>
      </c>
      <c r="L659">
        <v>25.69</v>
      </c>
      <c r="M659">
        <v>86.82</v>
      </c>
      <c r="N659">
        <f t="shared" si="10"/>
        <v>35.805</v>
      </c>
      <c r="AE659">
        <v>28.25</v>
      </c>
    </row>
    <row r="660" spans="1:31" x14ac:dyDescent="0.25">
      <c r="A660" t="s">
        <v>704</v>
      </c>
      <c r="B660">
        <v>24.23</v>
      </c>
      <c r="C660">
        <v>31.55</v>
      </c>
      <c r="D660">
        <v>22.61</v>
      </c>
      <c r="E660">
        <v>114.32</v>
      </c>
      <c r="F660">
        <v>37.4</v>
      </c>
      <c r="G660">
        <v>85.35</v>
      </c>
      <c r="H660">
        <v>71.069999999999993</v>
      </c>
      <c r="I660">
        <v>45.5</v>
      </c>
      <c r="J660">
        <v>34.99</v>
      </c>
      <c r="K660">
        <v>11.2</v>
      </c>
      <c r="L660">
        <v>46.36</v>
      </c>
      <c r="M660">
        <v>23.46</v>
      </c>
      <c r="N660">
        <f t="shared" si="10"/>
        <v>36.195</v>
      </c>
      <c r="AE660">
        <v>24.23</v>
      </c>
    </row>
    <row r="661" spans="1:31" x14ac:dyDescent="0.25">
      <c r="A661" t="s">
        <v>705</v>
      </c>
      <c r="B661">
        <v>23.98</v>
      </c>
      <c r="C661">
        <v>44.76</v>
      </c>
      <c r="D661">
        <v>19.52</v>
      </c>
      <c r="E661">
        <v>21.62</v>
      </c>
      <c r="F661">
        <v>41.52</v>
      </c>
      <c r="G661">
        <v>223.21</v>
      </c>
      <c r="H661">
        <v>38.18</v>
      </c>
      <c r="I661">
        <v>24.89</v>
      </c>
      <c r="J661">
        <v>38.76</v>
      </c>
      <c r="K661">
        <v>24.88</v>
      </c>
      <c r="L661">
        <v>10.29</v>
      </c>
      <c r="M661">
        <v>18.149999999999999</v>
      </c>
      <c r="N661">
        <f t="shared" si="10"/>
        <v>24.884999999999998</v>
      </c>
      <c r="AE661">
        <v>23.98</v>
      </c>
    </row>
    <row r="662" spans="1:31" x14ac:dyDescent="0.25">
      <c r="A662" t="s">
        <v>706</v>
      </c>
      <c r="B662">
        <v>23.99</v>
      </c>
      <c r="C662">
        <v>13.69</v>
      </c>
      <c r="D662">
        <v>26.35</v>
      </c>
      <c r="E662">
        <v>106.23</v>
      </c>
      <c r="F662">
        <v>26.54</v>
      </c>
      <c r="G662">
        <v>85.76</v>
      </c>
      <c r="H662">
        <v>24.73</v>
      </c>
      <c r="I662">
        <v>20.89</v>
      </c>
      <c r="J662">
        <v>86.34</v>
      </c>
      <c r="K662">
        <v>143.41</v>
      </c>
      <c r="L662">
        <v>29.99</v>
      </c>
      <c r="M662">
        <v>28.75</v>
      </c>
      <c r="N662">
        <f t="shared" si="10"/>
        <v>27.645</v>
      </c>
      <c r="AE662">
        <v>23.99</v>
      </c>
    </row>
    <row r="663" spans="1:31" x14ac:dyDescent="0.25">
      <c r="A663" t="s">
        <v>707</v>
      </c>
      <c r="B663">
        <v>23.99</v>
      </c>
      <c r="C663">
        <v>103.54</v>
      </c>
      <c r="D663">
        <v>33.03</v>
      </c>
      <c r="E663">
        <v>118.12</v>
      </c>
      <c r="F663">
        <v>105.22</v>
      </c>
      <c r="G663">
        <v>48.11</v>
      </c>
      <c r="H663">
        <v>10.19</v>
      </c>
      <c r="I663">
        <v>33.35</v>
      </c>
      <c r="J663">
        <v>103.35</v>
      </c>
      <c r="K663">
        <v>78.64</v>
      </c>
      <c r="L663">
        <v>15.15</v>
      </c>
      <c r="M663">
        <v>29.52</v>
      </c>
      <c r="N663">
        <f t="shared" si="10"/>
        <v>40.730000000000004</v>
      </c>
      <c r="AE663">
        <v>23.99</v>
      </c>
    </row>
    <row r="664" spans="1:31" x14ac:dyDescent="0.25">
      <c r="A664" t="s">
        <v>708</v>
      </c>
      <c r="B664">
        <v>23.81</v>
      </c>
      <c r="C664">
        <v>43.84</v>
      </c>
      <c r="D664">
        <v>62.08</v>
      </c>
      <c r="E664">
        <v>42.85</v>
      </c>
      <c r="F664">
        <v>29.61</v>
      </c>
      <c r="G664">
        <v>126.56</v>
      </c>
      <c r="H664">
        <v>37.049999999999997</v>
      </c>
      <c r="I664">
        <v>30</v>
      </c>
      <c r="J664">
        <v>12.22</v>
      </c>
      <c r="K664">
        <v>15.34</v>
      </c>
      <c r="L664">
        <v>36.49</v>
      </c>
      <c r="M664">
        <v>23.98</v>
      </c>
      <c r="N664">
        <f t="shared" si="10"/>
        <v>33.245000000000005</v>
      </c>
      <c r="AE664">
        <v>23.81</v>
      </c>
    </row>
    <row r="665" spans="1:31" x14ac:dyDescent="0.25">
      <c r="A665" t="s">
        <v>709</v>
      </c>
      <c r="B665">
        <v>23.81</v>
      </c>
      <c r="C665">
        <v>36.450000000000003</v>
      </c>
      <c r="D665">
        <v>26.22</v>
      </c>
      <c r="E665">
        <v>37.18</v>
      </c>
      <c r="F665">
        <v>45.65</v>
      </c>
      <c r="G665">
        <v>94.19</v>
      </c>
      <c r="H665">
        <v>52.22</v>
      </c>
      <c r="I665">
        <v>57.26</v>
      </c>
      <c r="J665">
        <v>38.97</v>
      </c>
      <c r="K665">
        <v>49.86</v>
      </c>
      <c r="L665">
        <v>40.01</v>
      </c>
      <c r="M665">
        <v>10.09</v>
      </c>
      <c r="N665">
        <f t="shared" si="10"/>
        <v>39.489999999999995</v>
      </c>
      <c r="AE665">
        <v>23.81</v>
      </c>
    </row>
    <row r="666" spans="1:31" x14ac:dyDescent="0.25">
      <c r="A666" t="s">
        <v>710</v>
      </c>
      <c r="B666">
        <v>27.53</v>
      </c>
      <c r="C666">
        <v>56.98</v>
      </c>
      <c r="D666">
        <v>59.11</v>
      </c>
      <c r="E666">
        <v>68.400000000000006</v>
      </c>
      <c r="F666">
        <v>29.97</v>
      </c>
      <c r="G666">
        <v>159.46</v>
      </c>
      <c r="H666">
        <v>44.84</v>
      </c>
      <c r="I666">
        <v>156.28</v>
      </c>
      <c r="J666">
        <v>0.09</v>
      </c>
      <c r="K666">
        <v>72.55</v>
      </c>
      <c r="L666">
        <v>32.01</v>
      </c>
      <c r="M666">
        <v>43.66</v>
      </c>
      <c r="N666">
        <f t="shared" si="10"/>
        <v>50.91</v>
      </c>
      <c r="AE666">
        <v>27.53</v>
      </c>
    </row>
    <row r="667" spans="1:31" x14ac:dyDescent="0.25">
      <c r="A667" t="s">
        <v>711</v>
      </c>
      <c r="B667">
        <v>23.7</v>
      </c>
      <c r="C667">
        <v>62.32</v>
      </c>
      <c r="D667">
        <v>10.28</v>
      </c>
      <c r="E667">
        <v>10.69</v>
      </c>
      <c r="F667">
        <v>63.64</v>
      </c>
      <c r="G667">
        <v>26.32</v>
      </c>
      <c r="H667">
        <v>33.82</v>
      </c>
      <c r="I667">
        <v>89.14</v>
      </c>
      <c r="J667">
        <v>97.86</v>
      </c>
      <c r="K667">
        <v>108.59</v>
      </c>
      <c r="L667">
        <v>16.47</v>
      </c>
      <c r="M667">
        <v>100.94</v>
      </c>
      <c r="N667">
        <f t="shared" si="10"/>
        <v>48.07</v>
      </c>
      <c r="AE667">
        <v>23.7</v>
      </c>
    </row>
    <row r="668" spans="1:31" x14ac:dyDescent="0.25">
      <c r="A668" t="s">
        <v>712</v>
      </c>
      <c r="B668">
        <v>23.74</v>
      </c>
      <c r="C668">
        <v>112.55</v>
      </c>
      <c r="D668">
        <v>35.79</v>
      </c>
      <c r="E668">
        <v>28.9</v>
      </c>
      <c r="F668">
        <v>57.01</v>
      </c>
      <c r="G668">
        <v>49.42</v>
      </c>
      <c r="H668">
        <v>48.75</v>
      </c>
      <c r="I668">
        <v>103.58</v>
      </c>
      <c r="J668">
        <v>20.09</v>
      </c>
      <c r="K668">
        <v>79</v>
      </c>
      <c r="L668">
        <v>21.88</v>
      </c>
      <c r="M668">
        <v>78.64</v>
      </c>
      <c r="N668">
        <f t="shared" si="10"/>
        <v>49.085000000000001</v>
      </c>
      <c r="AE668">
        <v>23.74</v>
      </c>
    </row>
    <row r="669" spans="1:31" x14ac:dyDescent="0.25">
      <c r="A669" t="s">
        <v>713</v>
      </c>
      <c r="B669">
        <v>27.35</v>
      </c>
      <c r="C669">
        <v>55.46</v>
      </c>
      <c r="D669">
        <v>12.28</v>
      </c>
      <c r="E669">
        <v>37.71</v>
      </c>
      <c r="F669">
        <v>115.55</v>
      </c>
      <c r="G669">
        <v>0.9</v>
      </c>
      <c r="H669">
        <v>0.27</v>
      </c>
      <c r="I669">
        <v>146.83000000000001</v>
      </c>
      <c r="J669">
        <v>49.96</v>
      </c>
      <c r="K669">
        <v>10.4</v>
      </c>
      <c r="L669">
        <v>108.37</v>
      </c>
      <c r="M669">
        <v>78.56</v>
      </c>
      <c r="N669">
        <f t="shared" si="10"/>
        <v>43.835000000000001</v>
      </c>
      <c r="AE669">
        <v>27.35</v>
      </c>
    </row>
    <row r="670" spans="1:31" x14ac:dyDescent="0.25">
      <c r="A670" t="s">
        <v>714</v>
      </c>
      <c r="B670">
        <v>23.73</v>
      </c>
      <c r="C670">
        <v>31.28</v>
      </c>
      <c r="D670">
        <v>78.22</v>
      </c>
      <c r="E670">
        <v>114.18</v>
      </c>
      <c r="F670">
        <v>26.09</v>
      </c>
      <c r="G670">
        <v>105</v>
      </c>
      <c r="H670">
        <v>22.12</v>
      </c>
      <c r="I670">
        <v>24.56</v>
      </c>
      <c r="J670">
        <v>124.92</v>
      </c>
      <c r="K670">
        <v>35.15</v>
      </c>
      <c r="L670">
        <v>17.87</v>
      </c>
      <c r="M670">
        <v>34.56</v>
      </c>
      <c r="N670">
        <f t="shared" si="10"/>
        <v>32.92</v>
      </c>
      <c r="AE670">
        <v>23.73</v>
      </c>
    </row>
    <row r="671" spans="1:31" x14ac:dyDescent="0.25">
      <c r="A671" t="s">
        <v>715</v>
      </c>
      <c r="B671">
        <v>23.58</v>
      </c>
      <c r="C671">
        <v>11.23</v>
      </c>
      <c r="D671">
        <v>9.99</v>
      </c>
      <c r="E671">
        <v>56.5</v>
      </c>
      <c r="F671">
        <v>43.52</v>
      </c>
      <c r="G671">
        <v>53.34</v>
      </c>
      <c r="H671">
        <v>33.71</v>
      </c>
      <c r="I671">
        <v>78.72</v>
      </c>
      <c r="J671">
        <v>46.66</v>
      </c>
      <c r="K671">
        <v>98.73</v>
      </c>
      <c r="L671">
        <v>29.06</v>
      </c>
      <c r="M671">
        <v>69.430000000000007</v>
      </c>
      <c r="N671">
        <f t="shared" si="10"/>
        <v>45.09</v>
      </c>
      <c r="AE671">
        <v>23.58</v>
      </c>
    </row>
    <row r="672" spans="1:31" x14ac:dyDescent="0.25">
      <c r="A672" t="s">
        <v>716</v>
      </c>
      <c r="B672">
        <v>23.62</v>
      </c>
      <c r="C672">
        <v>102.11</v>
      </c>
      <c r="D672">
        <v>31.44</v>
      </c>
      <c r="E672">
        <v>35.380000000000003</v>
      </c>
      <c r="F672">
        <v>87.73</v>
      </c>
      <c r="G672">
        <v>68.73</v>
      </c>
      <c r="H672">
        <v>15.48</v>
      </c>
      <c r="I672">
        <v>19.329999999999998</v>
      </c>
      <c r="J672">
        <v>32.28</v>
      </c>
      <c r="K672">
        <v>95.27</v>
      </c>
      <c r="L672">
        <v>254.56</v>
      </c>
      <c r="M672">
        <v>70.05</v>
      </c>
      <c r="N672">
        <f t="shared" si="10"/>
        <v>52.055000000000007</v>
      </c>
      <c r="AE672">
        <v>23.62</v>
      </c>
    </row>
    <row r="673" spans="1:31" x14ac:dyDescent="0.25">
      <c r="A673" t="s">
        <v>717</v>
      </c>
      <c r="B673">
        <v>23.65</v>
      </c>
      <c r="C673">
        <v>36.590000000000003</v>
      </c>
      <c r="D673">
        <v>128.69999999999999</v>
      </c>
      <c r="E673">
        <v>41.39</v>
      </c>
      <c r="F673">
        <v>95.51</v>
      </c>
      <c r="G673">
        <v>23.3</v>
      </c>
      <c r="H673">
        <v>25.02</v>
      </c>
      <c r="I673">
        <v>38.020000000000003</v>
      </c>
      <c r="J673">
        <v>48.22</v>
      </c>
      <c r="K673">
        <v>36.479999999999997</v>
      </c>
      <c r="L673">
        <v>15.82</v>
      </c>
      <c r="M673">
        <v>71.62</v>
      </c>
      <c r="N673">
        <f t="shared" si="10"/>
        <v>37.305000000000007</v>
      </c>
      <c r="AE673">
        <v>23.65</v>
      </c>
    </row>
    <row r="674" spans="1:31" x14ac:dyDescent="0.25">
      <c r="A674" t="s">
        <v>718</v>
      </c>
      <c r="B674">
        <v>23.47</v>
      </c>
      <c r="C674">
        <v>32.770000000000003</v>
      </c>
      <c r="D674">
        <v>16.420000000000002</v>
      </c>
      <c r="E674">
        <v>35.299999999999997</v>
      </c>
      <c r="F674">
        <v>38.119999999999997</v>
      </c>
      <c r="G674">
        <v>84.43</v>
      </c>
      <c r="H674">
        <v>71.14</v>
      </c>
      <c r="I674">
        <v>25.63</v>
      </c>
      <c r="J674">
        <v>10.19</v>
      </c>
      <c r="K674">
        <v>10.09</v>
      </c>
      <c r="L674">
        <v>131.97999999999999</v>
      </c>
      <c r="M674">
        <v>45.42</v>
      </c>
      <c r="N674">
        <f t="shared" si="10"/>
        <v>34.034999999999997</v>
      </c>
      <c r="AE674">
        <v>23.47</v>
      </c>
    </row>
    <row r="675" spans="1:31" x14ac:dyDescent="0.25">
      <c r="A675" t="s">
        <v>719</v>
      </c>
      <c r="B675">
        <v>26.95</v>
      </c>
      <c r="C675">
        <v>13.65</v>
      </c>
      <c r="D675">
        <v>27.44</v>
      </c>
      <c r="E675">
        <v>0.27</v>
      </c>
      <c r="F675">
        <v>16.16</v>
      </c>
      <c r="G675">
        <v>0.76</v>
      </c>
      <c r="H675">
        <v>64.14</v>
      </c>
      <c r="I675">
        <v>123.13</v>
      </c>
      <c r="J675">
        <v>151.80000000000001</v>
      </c>
      <c r="K675">
        <v>119.23</v>
      </c>
      <c r="L675">
        <v>52.97</v>
      </c>
      <c r="M675">
        <v>109.09</v>
      </c>
      <c r="N675">
        <f t="shared" si="10"/>
        <v>40.204999999999998</v>
      </c>
      <c r="AE675">
        <v>26.95</v>
      </c>
    </row>
    <row r="676" spans="1:31" x14ac:dyDescent="0.25">
      <c r="A676" t="s">
        <v>720</v>
      </c>
      <c r="B676">
        <v>23.27</v>
      </c>
      <c r="C676">
        <v>43.26</v>
      </c>
      <c r="D676">
        <v>62.68</v>
      </c>
      <c r="E676">
        <v>32.799999999999997</v>
      </c>
      <c r="F676">
        <v>21.46</v>
      </c>
      <c r="G676">
        <v>41.64</v>
      </c>
      <c r="H676">
        <v>31.26</v>
      </c>
      <c r="I676">
        <v>21.64</v>
      </c>
      <c r="J676">
        <v>18.91</v>
      </c>
      <c r="K676">
        <v>32.07</v>
      </c>
      <c r="L676">
        <v>162.6</v>
      </c>
      <c r="M676">
        <v>72.569999999999993</v>
      </c>
      <c r="N676">
        <f t="shared" si="10"/>
        <v>32.435000000000002</v>
      </c>
      <c r="AE676">
        <v>23.27</v>
      </c>
    </row>
    <row r="677" spans="1:31" x14ac:dyDescent="0.25">
      <c r="A677" t="s">
        <v>721</v>
      </c>
      <c r="B677">
        <v>26.76</v>
      </c>
      <c r="C677">
        <v>5.44</v>
      </c>
      <c r="D677">
        <v>43.76</v>
      </c>
      <c r="E677">
        <v>74.680000000000007</v>
      </c>
      <c r="F677">
        <v>43.38</v>
      </c>
      <c r="G677">
        <v>7.14</v>
      </c>
      <c r="H677">
        <v>92.68</v>
      </c>
      <c r="I677">
        <v>47.53</v>
      </c>
      <c r="J677">
        <v>79.27</v>
      </c>
      <c r="K677">
        <v>115.28</v>
      </c>
      <c r="L677">
        <v>100.84</v>
      </c>
      <c r="M677">
        <v>39.28</v>
      </c>
      <c r="N677">
        <f t="shared" si="10"/>
        <v>45.644999999999996</v>
      </c>
      <c r="AE677">
        <v>26.76</v>
      </c>
    </row>
    <row r="678" spans="1:31" x14ac:dyDescent="0.25">
      <c r="A678" t="s">
        <v>722</v>
      </c>
      <c r="B678">
        <v>26.4</v>
      </c>
      <c r="C678">
        <v>6.71</v>
      </c>
      <c r="D678">
        <v>105.88</v>
      </c>
      <c r="E678">
        <v>71.67</v>
      </c>
      <c r="F678">
        <v>1.51</v>
      </c>
      <c r="G678">
        <v>130.97</v>
      </c>
      <c r="H678">
        <v>0.72</v>
      </c>
      <c r="I678">
        <v>169.19</v>
      </c>
      <c r="J678">
        <v>33.020000000000003</v>
      </c>
      <c r="K678">
        <v>17.86</v>
      </c>
      <c r="L678">
        <v>15.12</v>
      </c>
      <c r="M678">
        <v>25.92</v>
      </c>
      <c r="N678">
        <f t="shared" si="10"/>
        <v>26.16</v>
      </c>
      <c r="AE678">
        <v>26.4</v>
      </c>
    </row>
    <row r="679" spans="1:31" x14ac:dyDescent="0.25">
      <c r="A679" t="s">
        <v>723</v>
      </c>
      <c r="B679">
        <v>26.23</v>
      </c>
      <c r="C679">
        <v>14.78</v>
      </c>
      <c r="D679">
        <v>47.63</v>
      </c>
      <c r="E679">
        <v>23.21</v>
      </c>
      <c r="F679">
        <v>55.26</v>
      </c>
      <c r="G679">
        <v>158.28</v>
      </c>
      <c r="H679">
        <v>81.52</v>
      </c>
      <c r="I679">
        <v>155.13999999999999</v>
      </c>
      <c r="J679">
        <v>5.84</v>
      </c>
      <c r="K679">
        <v>148.08000000000001</v>
      </c>
      <c r="L679">
        <v>82.32</v>
      </c>
      <c r="M679">
        <v>19.940000000000001</v>
      </c>
      <c r="N679">
        <f t="shared" si="10"/>
        <v>51.445</v>
      </c>
      <c r="AE679">
        <v>26.23</v>
      </c>
    </row>
    <row r="680" spans="1:31" x14ac:dyDescent="0.25">
      <c r="A680" t="s">
        <v>724</v>
      </c>
      <c r="B680">
        <v>23.34</v>
      </c>
      <c r="C680">
        <v>20.59</v>
      </c>
      <c r="D680">
        <v>30.41</v>
      </c>
      <c r="E680">
        <v>186.56</v>
      </c>
      <c r="F680">
        <v>33.67</v>
      </c>
      <c r="G680">
        <v>44.41</v>
      </c>
      <c r="H680">
        <v>29.18</v>
      </c>
      <c r="I680">
        <v>47.68</v>
      </c>
      <c r="J680">
        <v>125.81</v>
      </c>
      <c r="K680">
        <v>35.729999999999997</v>
      </c>
      <c r="L680">
        <v>10.44</v>
      </c>
      <c r="M680">
        <v>32.520000000000003</v>
      </c>
      <c r="N680">
        <f t="shared" si="10"/>
        <v>33.094999999999999</v>
      </c>
      <c r="AE680">
        <v>23.34</v>
      </c>
    </row>
    <row r="681" spans="1:31" x14ac:dyDescent="0.25">
      <c r="A681" t="s">
        <v>725</v>
      </c>
      <c r="B681">
        <v>22.97</v>
      </c>
      <c r="C681">
        <v>104.54</v>
      </c>
      <c r="D681">
        <v>46.21</v>
      </c>
      <c r="E681">
        <v>85.06</v>
      </c>
      <c r="F681">
        <v>60.83</v>
      </c>
      <c r="G681">
        <v>17.8</v>
      </c>
      <c r="H681">
        <v>56.7</v>
      </c>
      <c r="I681">
        <v>26.25</v>
      </c>
      <c r="J681">
        <v>19.66</v>
      </c>
      <c r="K681">
        <v>72.66</v>
      </c>
      <c r="L681">
        <v>46.61</v>
      </c>
      <c r="M681">
        <v>81.239999999999995</v>
      </c>
      <c r="N681">
        <f t="shared" si="10"/>
        <v>51.655000000000001</v>
      </c>
      <c r="AE681">
        <v>22.97</v>
      </c>
    </row>
    <row r="682" spans="1:31" x14ac:dyDescent="0.25">
      <c r="A682" t="s">
        <v>726</v>
      </c>
      <c r="B682">
        <v>23.5</v>
      </c>
      <c r="C682">
        <v>19.59</v>
      </c>
      <c r="D682">
        <v>25.44</v>
      </c>
      <c r="E682">
        <v>43.66</v>
      </c>
      <c r="F682">
        <v>130.37</v>
      </c>
      <c r="G682">
        <v>18.559999999999999</v>
      </c>
      <c r="H682">
        <v>85.28</v>
      </c>
      <c r="I682">
        <v>12.58</v>
      </c>
      <c r="J682">
        <v>108.95</v>
      </c>
      <c r="K682">
        <v>28.22</v>
      </c>
      <c r="L682">
        <v>30.52</v>
      </c>
      <c r="M682">
        <v>22.58</v>
      </c>
      <c r="N682">
        <f t="shared" si="10"/>
        <v>26.83</v>
      </c>
      <c r="AE682">
        <v>23.5</v>
      </c>
    </row>
    <row r="683" spans="1:31" x14ac:dyDescent="0.25">
      <c r="A683" t="s">
        <v>727</v>
      </c>
      <c r="B683">
        <v>22.9</v>
      </c>
      <c r="C683">
        <v>24.21</v>
      </c>
      <c r="D683">
        <v>51.78</v>
      </c>
      <c r="E683">
        <v>22.46</v>
      </c>
      <c r="F683">
        <v>58.29</v>
      </c>
      <c r="G683">
        <v>158.27000000000001</v>
      </c>
      <c r="H683">
        <v>19.05</v>
      </c>
      <c r="I683">
        <v>25.14</v>
      </c>
      <c r="J683">
        <v>22.8</v>
      </c>
      <c r="K683">
        <v>31.23</v>
      </c>
      <c r="L683">
        <v>50.28</v>
      </c>
      <c r="M683">
        <v>16.68</v>
      </c>
      <c r="N683">
        <f t="shared" si="10"/>
        <v>24.675000000000001</v>
      </c>
      <c r="AE683">
        <v>22.9</v>
      </c>
    </row>
    <row r="684" spans="1:31" x14ac:dyDescent="0.25">
      <c r="A684" t="s">
        <v>728</v>
      </c>
      <c r="B684">
        <v>22.95</v>
      </c>
      <c r="C684">
        <v>10.09</v>
      </c>
      <c r="D684">
        <v>24.07</v>
      </c>
      <c r="E684">
        <v>21.75</v>
      </c>
      <c r="F684">
        <v>27.57</v>
      </c>
      <c r="G684">
        <v>89.16</v>
      </c>
      <c r="H684">
        <v>25.75</v>
      </c>
      <c r="I684">
        <v>140.62</v>
      </c>
      <c r="J684">
        <v>68.72</v>
      </c>
      <c r="K684">
        <v>88.14</v>
      </c>
      <c r="L684">
        <v>103.28</v>
      </c>
      <c r="M684">
        <v>59.63</v>
      </c>
      <c r="N684">
        <f t="shared" si="10"/>
        <v>43.6</v>
      </c>
      <c r="AE684">
        <v>22.95</v>
      </c>
    </row>
    <row r="685" spans="1:31" x14ac:dyDescent="0.25">
      <c r="A685" t="s">
        <v>729</v>
      </c>
      <c r="B685">
        <v>25.41</v>
      </c>
      <c r="C685">
        <v>27.97</v>
      </c>
      <c r="D685">
        <v>30.63</v>
      </c>
      <c r="E685">
        <v>97.78</v>
      </c>
      <c r="F685">
        <v>241.87</v>
      </c>
      <c r="G685">
        <v>131.37</v>
      </c>
      <c r="H685">
        <v>11.93</v>
      </c>
      <c r="I685">
        <v>13.68</v>
      </c>
      <c r="J685">
        <v>2.1800000000000002</v>
      </c>
      <c r="K685">
        <v>13.04</v>
      </c>
      <c r="L685">
        <v>0.09</v>
      </c>
      <c r="M685">
        <v>21.74</v>
      </c>
      <c r="N685">
        <f t="shared" si="10"/>
        <v>23.574999999999999</v>
      </c>
      <c r="AE685">
        <v>25.41</v>
      </c>
    </row>
    <row r="686" spans="1:31" x14ac:dyDescent="0.25">
      <c r="A686" t="s">
        <v>730</v>
      </c>
      <c r="B686">
        <v>25.47</v>
      </c>
      <c r="C686">
        <v>6.56</v>
      </c>
      <c r="D686">
        <v>21.99</v>
      </c>
      <c r="E686">
        <v>18.72</v>
      </c>
      <c r="F686">
        <v>51.11</v>
      </c>
      <c r="G686">
        <v>160.09</v>
      </c>
      <c r="H686">
        <v>147.84</v>
      </c>
      <c r="I686">
        <v>81.62</v>
      </c>
      <c r="J686">
        <v>20.55</v>
      </c>
      <c r="K686">
        <v>12.89</v>
      </c>
      <c r="L686">
        <v>74.59</v>
      </c>
      <c r="M686">
        <v>25.8</v>
      </c>
      <c r="N686">
        <f t="shared" si="10"/>
        <v>25.634999999999998</v>
      </c>
      <c r="AE686">
        <v>25.47</v>
      </c>
    </row>
    <row r="687" spans="1:31" x14ac:dyDescent="0.25">
      <c r="A687" t="s">
        <v>731</v>
      </c>
      <c r="B687">
        <v>22.32</v>
      </c>
      <c r="C687">
        <v>35.5</v>
      </c>
      <c r="D687">
        <v>60.89</v>
      </c>
      <c r="E687">
        <v>23.81</v>
      </c>
      <c r="F687">
        <v>37.65</v>
      </c>
      <c r="G687">
        <v>28.88</v>
      </c>
      <c r="H687">
        <v>22.6</v>
      </c>
      <c r="I687">
        <v>65.540000000000006</v>
      </c>
      <c r="J687">
        <v>35.68</v>
      </c>
      <c r="K687">
        <v>36.44</v>
      </c>
      <c r="L687">
        <v>51.36</v>
      </c>
      <c r="M687">
        <v>61.25</v>
      </c>
      <c r="N687">
        <f t="shared" si="10"/>
        <v>36.06</v>
      </c>
      <c r="AE687">
        <v>22.32</v>
      </c>
    </row>
    <row r="688" spans="1:31" x14ac:dyDescent="0.25">
      <c r="A688" t="s">
        <v>732</v>
      </c>
      <c r="B688">
        <v>22.33</v>
      </c>
      <c r="C688">
        <v>21.14</v>
      </c>
      <c r="D688">
        <v>47.45</v>
      </c>
      <c r="E688">
        <v>51.53</v>
      </c>
      <c r="F688">
        <v>31.87</v>
      </c>
      <c r="G688">
        <v>58.48</v>
      </c>
      <c r="H688">
        <v>18.7</v>
      </c>
      <c r="I688">
        <v>56.97</v>
      </c>
      <c r="J688">
        <v>58.51</v>
      </c>
      <c r="K688">
        <v>135.41</v>
      </c>
      <c r="L688">
        <v>13.28</v>
      </c>
      <c r="M688">
        <v>10.34</v>
      </c>
      <c r="N688">
        <f t="shared" si="10"/>
        <v>39.660000000000004</v>
      </c>
      <c r="AE688">
        <v>22.33</v>
      </c>
    </row>
    <row r="689" spans="1:31" x14ac:dyDescent="0.25">
      <c r="A689" t="s">
        <v>733</v>
      </c>
      <c r="B689">
        <v>22.39</v>
      </c>
      <c r="C689">
        <v>79.84</v>
      </c>
      <c r="D689">
        <v>18.809999999999999</v>
      </c>
      <c r="E689">
        <v>18.190000000000001</v>
      </c>
      <c r="F689">
        <v>122.82</v>
      </c>
      <c r="G689">
        <v>55.22</v>
      </c>
      <c r="H689">
        <v>64.56</v>
      </c>
      <c r="I689">
        <v>60.42</v>
      </c>
      <c r="J689">
        <v>9.99</v>
      </c>
      <c r="K689">
        <v>21.33</v>
      </c>
      <c r="L689">
        <v>32.200000000000003</v>
      </c>
      <c r="M689">
        <v>21.06</v>
      </c>
      <c r="N689">
        <f t="shared" si="10"/>
        <v>27.295000000000002</v>
      </c>
      <c r="AE689">
        <v>22.39</v>
      </c>
    </row>
    <row r="690" spans="1:31" x14ac:dyDescent="0.25">
      <c r="A690" t="s">
        <v>734</v>
      </c>
      <c r="B690">
        <v>22.41</v>
      </c>
      <c r="C690">
        <v>88.16</v>
      </c>
      <c r="D690">
        <v>87.79</v>
      </c>
      <c r="E690">
        <v>57.79</v>
      </c>
      <c r="F690">
        <v>101.5</v>
      </c>
      <c r="G690">
        <v>40.32</v>
      </c>
      <c r="H690">
        <v>32.770000000000003</v>
      </c>
      <c r="I690">
        <v>130.75</v>
      </c>
      <c r="J690">
        <v>39.299999999999997</v>
      </c>
      <c r="K690">
        <v>38.369999999999997</v>
      </c>
      <c r="L690">
        <v>18.68</v>
      </c>
      <c r="M690">
        <v>56.13</v>
      </c>
      <c r="N690">
        <f t="shared" si="10"/>
        <v>48.225000000000001</v>
      </c>
      <c r="AE690">
        <v>22.41</v>
      </c>
    </row>
    <row r="691" spans="1:31" x14ac:dyDescent="0.25">
      <c r="A691" t="s">
        <v>735</v>
      </c>
      <c r="B691">
        <v>24.44</v>
      </c>
      <c r="C691">
        <v>37.369999999999997</v>
      </c>
      <c r="D691">
        <v>48.22</v>
      </c>
      <c r="E691">
        <v>61.68</v>
      </c>
      <c r="F691">
        <v>56.39</v>
      </c>
      <c r="G691">
        <v>138.94</v>
      </c>
      <c r="H691">
        <v>62.99</v>
      </c>
      <c r="I691">
        <v>8.9600000000000009</v>
      </c>
      <c r="J691">
        <v>35.33</v>
      </c>
      <c r="K691">
        <v>57.54</v>
      </c>
      <c r="L691">
        <v>94.5</v>
      </c>
      <c r="M691">
        <v>10.83</v>
      </c>
      <c r="N691">
        <f t="shared" si="10"/>
        <v>52.305</v>
      </c>
      <c r="AE691">
        <v>24.44</v>
      </c>
    </row>
    <row r="692" spans="1:31" x14ac:dyDescent="0.25">
      <c r="A692" t="s">
        <v>736</v>
      </c>
      <c r="B692">
        <v>22.15</v>
      </c>
      <c r="C692">
        <v>129.59</v>
      </c>
      <c r="D692">
        <v>32.880000000000003</v>
      </c>
      <c r="E692">
        <v>74.58</v>
      </c>
      <c r="F692">
        <v>24.95</v>
      </c>
      <c r="G692">
        <v>46.31</v>
      </c>
      <c r="H692">
        <v>11.24</v>
      </c>
      <c r="I692">
        <v>26.08</v>
      </c>
      <c r="J692">
        <v>31.01</v>
      </c>
      <c r="K692">
        <v>51.31</v>
      </c>
      <c r="L692">
        <v>10.09</v>
      </c>
      <c r="M692">
        <v>53.31</v>
      </c>
      <c r="N692">
        <f t="shared" si="10"/>
        <v>31.945</v>
      </c>
      <c r="AE692">
        <v>22.15</v>
      </c>
    </row>
    <row r="693" spans="1:31" x14ac:dyDescent="0.25">
      <c r="A693" t="s">
        <v>737</v>
      </c>
      <c r="B693">
        <v>22.07</v>
      </c>
      <c r="C693">
        <v>43.82</v>
      </c>
      <c r="D693">
        <v>91.89</v>
      </c>
      <c r="E693">
        <v>125.8</v>
      </c>
      <c r="F693">
        <v>19.98</v>
      </c>
      <c r="G693">
        <v>57.31</v>
      </c>
      <c r="H693">
        <v>98.7</v>
      </c>
      <c r="I693">
        <v>23.11</v>
      </c>
      <c r="J693">
        <v>27.8</v>
      </c>
      <c r="K693">
        <v>98.73</v>
      </c>
      <c r="L693">
        <v>17.55</v>
      </c>
      <c r="M693">
        <v>99.89</v>
      </c>
      <c r="N693">
        <f t="shared" si="10"/>
        <v>50.564999999999998</v>
      </c>
      <c r="AE693">
        <v>22.07</v>
      </c>
    </row>
    <row r="694" spans="1:31" x14ac:dyDescent="0.25">
      <c r="A694" t="s">
        <v>738</v>
      </c>
      <c r="B694">
        <v>24.24</v>
      </c>
      <c r="C694">
        <v>21.99</v>
      </c>
      <c r="D694">
        <v>0.09</v>
      </c>
      <c r="E694">
        <v>131.88999999999999</v>
      </c>
      <c r="F694">
        <v>32.53</v>
      </c>
      <c r="G694">
        <v>0.27</v>
      </c>
      <c r="H694">
        <v>52.82</v>
      </c>
      <c r="I694">
        <v>7.43</v>
      </c>
      <c r="J694">
        <v>0.18</v>
      </c>
      <c r="K694">
        <v>0.99</v>
      </c>
      <c r="L694">
        <v>0.72</v>
      </c>
      <c r="M694">
        <v>103.66</v>
      </c>
      <c r="N694">
        <f t="shared" si="10"/>
        <v>14.709999999999999</v>
      </c>
      <c r="AE694">
        <v>24.24</v>
      </c>
    </row>
    <row r="695" spans="1:31" x14ac:dyDescent="0.25">
      <c r="A695" t="s">
        <v>739</v>
      </c>
      <c r="B695">
        <v>22.18</v>
      </c>
      <c r="C695">
        <v>94.87</v>
      </c>
      <c r="D695">
        <v>25.44</v>
      </c>
      <c r="E695">
        <v>10.039999999999999</v>
      </c>
      <c r="F695">
        <v>54.89</v>
      </c>
      <c r="G695">
        <v>21.19</v>
      </c>
      <c r="H695">
        <v>25.22</v>
      </c>
      <c r="I695">
        <v>20.190000000000001</v>
      </c>
      <c r="J695">
        <v>44.38</v>
      </c>
      <c r="K695">
        <v>189.04</v>
      </c>
      <c r="L695">
        <v>12.74</v>
      </c>
      <c r="M695">
        <v>35.26</v>
      </c>
      <c r="N695">
        <f t="shared" si="10"/>
        <v>25.33</v>
      </c>
      <c r="AE695">
        <v>22.18</v>
      </c>
    </row>
    <row r="696" spans="1:31" x14ac:dyDescent="0.25">
      <c r="A696" t="s">
        <v>740</v>
      </c>
      <c r="B696">
        <v>24.25</v>
      </c>
      <c r="C696">
        <v>25.15</v>
      </c>
      <c r="D696">
        <v>18.239999999999998</v>
      </c>
      <c r="E696">
        <v>135.96</v>
      </c>
      <c r="F696">
        <v>2.39</v>
      </c>
      <c r="G696">
        <v>168.97</v>
      </c>
      <c r="H696">
        <v>75.08</v>
      </c>
      <c r="I696">
        <v>178.52</v>
      </c>
      <c r="J696">
        <v>72.209999999999994</v>
      </c>
      <c r="K696">
        <v>86.91</v>
      </c>
      <c r="L696">
        <v>86.08</v>
      </c>
      <c r="M696">
        <v>139.63999999999999</v>
      </c>
      <c r="N696">
        <f t="shared" si="10"/>
        <v>80.58</v>
      </c>
      <c r="AE696">
        <v>24.25</v>
      </c>
    </row>
    <row r="697" spans="1:31" x14ac:dyDescent="0.25">
      <c r="A697" t="s">
        <v>741</v>
      </c>
      <c r="B697">
        <v>24.22</v>
      </c>
      <c r="C697">
        <v>44.64</v>
      </c>
      <c r="D697">
        <v>33.380000000000003</v>
      </c>
      <c r="E697">
        <v>71.010000000000005</v>
      </c>
      <c r="F697">
        <v>144.54</v>
      </c>
      <c r="G697">
        <v>21.55</v>
      </c>
      <c r="H697">
        <v>35.68</v>
      </c>
      <c r="I697">
        <v>58.15</v>
      </c>
      <c r="J697">
        <v>55.9</v>
      </c>
      <c r="K697">
        <v>28.48</v>
      </c>
      <c r="L697">
        <v>80.75</v>
      </c>
      <c r="M697">
        <v>7.58</v>
      </c>
      <c r="N697">
        <f t="shared" si="10"/>
        <v>40.159999999999997</v>
      </c>
      <c r="AE697">
        <v>24.22</v>
      </c>
    </row>
    <row r="698" spans="1:31" x14ac:dyDescent="0.25">
      <c r="A698" t="s">
        <v>742</v>
      </c>
      <c r="B698">
        <v>22.11</v>
      </c>
      <c r="C698">
        <v>81.48</v>
      </c>
      <c r="D698">
        <v>94.3</v>
      </c>
      <c r="E698">
        <v>48.17</v>
      </c>
      <c r="F698">
        <v>56.98</v>
      </c>
      <c r="G698">
        <v>50.17</v>
      </c>
      <c r="H698">
        <v>36.200000000000003</v>
      </c>
      <c r="I698">
        <v>125.18</v>
      </c>
      <c r="J698">
        <v>15.49</v>
      </c>
      <c r="K698">
        <v>22.15</v>
      </c>
      <c r="L698">
        <v>26.16</v>
      </c>
      <c r="M698">
        <v>44.4</v>
      </c>
      <c r="N698">
        <f t="shared" si="10"/>
        <v>46.284999999999997</v>
      </c>
      <c r="AE698">
        <v>22.11</v>
      </c>
    </row>
    <row r="699" spans="1:31" x14ac:dyDescent="0.25">
      <c r="A699" t="s">
        <v>743</v>
      </c>
      <c r="B699">
        <v>23.77</v>
      </c>
      <c r="C699">
        <v>2.0699999999999998</v>
      </c>
      <c r="D699">
        <v>98.34</v>
      </c>
      <c r="E699">
        <v>22.02</v>
      </c>
      <c r="F699">
        <v>77.06</v>
      </c>
      <c r="G699">
        <v>144.82</v>
      </c>
      <c r="H699">
        <v>74.63</v>
      </c>
      <c r="I699">
        <v>25.34</v>
      </c>
      <c r="J699">
        <v>59.73</v>
      </c>
      <c r="K699">
        <v>20.49</v>
      </c>
      <c r="L699">
        <v>34.229999999999997</v>
      </c>
      <c r="M699">
        <v>33.020000000000003</v>
      </c>
      <c r="N699">
        <f t="shared" si="10"/>
        <v>33.625</v>
      </c>
      <c r="AE699">
        <v>23.77</v>
      </c>
    </row>
    <row r="700" spans="1:31" x14ac:dyDescent="0.25">
      <c r="A700" t="s">
        <v>744</v>
      </c>
      <c r="B700">
        <v>22.52</v>
      </c>
      <c r="C700">
        <v>47.24</v>
      </c>
      <c r="D700">
        <v>171.6</v>
      </c>
      <c r="E700">
        <v>34.6</v>
      </c>
      <c r="F700">
        <v>57.2</v>
      </c>
      <c r="G700">
        <v>24.26</v>
      </c>
      <c r="H700">
        <v>28.06</v>
      </c>
      <c r="I700">
        <v>100.87</v>
      </c>
      <c r="J700">
        <v>10.24</v>
      </c>
      <c r="K700">
        <v>21.8</v>
      </c>
      <c r="L700">
        <v>30.08</v>
      </c>
      <c r="M700">
        <v>28.2</v>
      </c>
      <c r="N700">
        <f t="shared" si="10"/>
        <v>29.14</v>
      </c>
      <c r="AE700">
        <v>22.52</v>
      </c>
    </row>
    <row r="701" spans="1:31" x14ac:dyDescent="0.25">
      <c r="A701" t="s">
        <v>745</v>
      </c>
      <c r="B701">
        <v>22.04</v>
      </c>
      <c r="C701">
        <v>96.07</v>
      </c>
      <c r="D701">
        <v>68.06</v>
      </c>
      <c r="E701">
        <v>26.38</v>
      </c>
      <c r="F701">
        <v>41.19</v>
      </c>
      <c r="G701">
        <v>98.43</v>
      </c>
      <c r="H701">
        <v>34.909999999999997</v>
      </c>
      <c r="I701">
        <v>59.1</v>
      </c>
      <c r="J701">
        <v>131.03</v>
      </c>
      <c r="K701">
        <v>47.19</v>
      </c>
      <c r="L701">
        <v>19.420000000000002</v>
      </c>
      <c r="M701">
        <v>24.59</v>
      </c>
      <c r="N701">
        <f t="shared" si="10"/>
        <v>44.19</v>
      </c>
      <c r="AE701">
        <v>22.04</v>
      </c>
    </row>
    <row r="702" spans="1:31" x14ac:dyDescent="0.25">
      <c r="A702" t="s">
        <v>746</v>
      </c>
      <c r="B702">
        <v>23.56</v>
      </c>
      <c r="C702">
        <v>10.08</v>
      </c>
      <c r="D702">
        <v>32.93</v>
      </c>
      <c r="E702">
        <v>70.900000000000006</v>
      </c>
      <c r="F702">
        <v>5.0599999999999996</v>
      </c>
      <c r="G702">
        <v>137.33000000000001</v>
      </c>
      <c r="H702">
        <v>20.65</v>
      </c>
      <c r="I702">
        <v>4.9800000000000004</v>
      </c>
      <c r="J702">
        <v>62.73</v>
      </c>
      <c r="K702">
        <v>77.75</v>
      </c>
      <c r="L702">
        <v>39.380000000000003</v>
      </c>
      <c r="M702">
        <v>86.7</v>
      </c>
      <c r="N702">
        <f t="shared" si="10"/>
        <v>36.155000000000001</v>
      </c>
      <c r="AE702">
        <v>23.56</v>
      </c>
    </row>
    <row r="703" spans="1:31" x14ac:dyDescent="0.25">
      <c r="A703" t="s">
        <v>747</v>
      </c>
      <c r="B703">
        <v>23.55</v>
      </c>
      <c r="C703">
        <v>15.59</v>
      </c>
      <c r="D703">
        <v>28.72</v>
      </c>
      <c r="E703">
        <v>41.84</v>
      </c>
      <c r="F703">
        <v>65.06</v>
      </c>
      <c r="G703">
        <v>0.18</v>
      </c>
      <c r="H703">
        <v>173.14</v>
      </c>
      <c r="I703">
        <v>0.36</v>
      </c>
      <c r="J703">
        <v>40.24</v>
      </c>
      <c r="K703">
        <v>0.72</v>
      </c>
      <c r="L703">
        <v>24.58</v>
      </c>
      <c r="M703">
        <v>145.49</v>
      </c>
      <c r="N703">
        <f t="shared" si="10"/>
        <v>26.65</v>
      </c>
      <c r="AE703">
        <v>23.55</v>
      </c>
    </row>
    <row r="704" spans="1:31" x14ac:dyDescent="0.25">
      <c r="A704" t="s">
        <v>748</v>
      </c>
      <c r="B704">
        <v>23</v>
      </c>
      <c r="C704">
        <v>36.56</v>
      </c>
      <c r="D704">
        <v>0.36</v>
      </c>
      <c r="E704">
        <v>1.44</v>
      </c>
      <c r="F704">
        <v>24.88</v>
      </c>
      <c r="G704">
        <v>107.94</v>
      </c>
      <c r="H704">
        <v>15.53</v>
      </c>
      <c r="I704">
        <v>103.32</v>
      </c>
      <c r="J704">
        <v>15.75</v>
      </c>
      <c r="K704">
        <v>172.42</v>
      </c>
      <c r="L704">
        <v>52.76</v>
      </c>
      <c r="M704">
        <v>0.09</v>
      </c>
      <c r="N704">
        <f t="shared" si="10"/>
        <v>23.939999999999998</v>
      </c>
      <c r="AE704">
        <v>23</v>
      </c>
    </row>
    <row r="705" spans="1:31" x14ac:dyDescent="0.25">
      <c r="A705" t="s">
        <v>749</v>
      </c>
      <c r="B705">
        <v>23.74</v>
      </c>
      <c r="C705">
        <v>36.090000000000003</v>
      </c>
      <c r="D705">
        <v>51.87</v>
      </c>
      <c r="E705">
        <v>15.63</v>
      </c>
      <c r="F705">
        <v>19.04</v>
      </c>
      <c r="G705">
        <v>37.58</v>
      </c>
      <c r="H705">
        <v>48.64</v>
      </c>
      <c r="I705">
        <v>19.71</v>
      </c>
      <c r="J705">
        <v>0.81</v>
      </c>
      <c r="K705">
        <v>31.82</v>
      </c>
      <c r="L705">
        <v>39.270000000000003</v>
      </c>
      <c r="M705">
        <v>0.72</v>
      </c>
      <c r="N705">
        <f t="shared" si="10"/>
        <v>27.78</v>
      </c>
      <c r="AE705">
        <v>23.74</v>
      </c>
    </row>
    <row r="706" spans="1:31" x14ac:dyDescent="0.25">
      <c r="A706" t="s">
        <v>750</v>
      </c>
      <c r="B706">
        <v>21.35</v>
      </c>
      <c r="C706">
        <v>62.04</v>
      </c>
      <c r="D706">
        <v>38.130000000000003</v>
      </c>
      <c r="E706">
        <v>18.32</v>
      </c>
      <c r="F706">
        <v>95.2</v>
      </c>
      <c r="G706">
        <v>32.29</v>
      </c>
      <c r="H706">
        <v>10.24</v>
      </c>
      <c r="I706">
        <v>38.369999999999997</v>
      </c>
      <c r="J706">
        <v>43.3</v>
      </c>
      <c r="K706">
        <v>19.100000000000001</v>
      </c>
      <c r="L706">
        <v>67.05</v>
      </c>
      <c r="M706">
        <v>55.52</v>
      </c>
      <c r="N706">
        <f t="shared" si="10"/>
        <v>38.25</v>
      </c>
      <c r="AE706">
        <v>21.35</v>
      </c>
    </row>
    <row r="707" spans="1:31" x14ac:dyDescent="0.25">
      <c r="A707" t="s">
        <v>751</v>
      </c>
      <c r="B707">
        <v>22.98</v>
      </c>
      <c r="C707">
        <v>0.45</v>
      </c>
      <c r="D707">
        <v>58.24</v>
      </c>
      <c r="E707">
        <v>24.78</v>
      </c>
      <c r="F707">
        <v>0.72</v>
      </c>
      <c r="G707">
        <v>14.33</v>
      </c>
      <c r="H707">
        <v>54.74</v>
      </c>
      <c r="I707">
        <v>23.74</v>
      </c>
      <c r="J707">
        <v>139.47999999999999</v>
      </c>
      <c r="K707">
        <v>7.46</v>
      </c>
      <c r="L707">
        <v>18.68</v>
      </c>
      <c r="M707">
        <v>61.33</v>
      </c>
      <c r="N707">
        <f t="shared" ref="N707:N770" si="11">MEDIAN(B707:M707)</f>
        <v>23.36</v>
      </c>
      <c r="AE707">
        <v>22.98</v>
      </c>
    </row>
    <row r="708" spans="1:31" x14ac:dyDescent="0.25">
      <c r="A708" t="s">
        <v>752</v>
      </c>
      <c r="B708">
        <v>21.19</v>
      </c>
      <c r="C708">
        <v>62.34</v>
      </c>
      <c r="D708">
        <v>107.84</v>
      </c>
      <c r="E708">
        <v>62.46</v>
      </c>
      <c r="F708">
        <v>43.14</v>
      </c>
      <c r="G708">
        <v>16.850000000000001</v>
      </c>
      <c r="H708">
        <v>10.34</v>
      </c>
      <c r="I708">
        <v>55.65</v>
      </c>
      <c r="J708">
        <v>13.42</v>
      </c>
      <c r="K708">
        <v>78.680000000000007</v>
      </c>
      <c r="L708">
        <v>39.07</v>
      </c>
      <c r="M708">
        <v>30.31</v>
      </c>
      <c r="N708">
        <f t="shared" si="11"/>
        <v>41.105000000000004</v>
      </c>
      <c r="AE708">
        <v>21.19</v>
      </c>
    </row>
    <row r="709" spans="1:31" x14ac:dyDescent="0.25">
      <c r="A709" t="s">
        <v>753</v>
      </c>
      <c r="B709">
        <v>21.2</v>
      </c>
      <c r="C709">
        <v>29.2</v>
      </c>
      <c r="D709">
        <v>31.69</v>
      </c>
      <c r="E709">
        <v>48.93</v>
      </c>
      <c r="F709">
        <v>33.07</v>
      </c>
      <c r="G709">
        <v>56.54</v>
      </c>
      <c r="H709">
        <v>41.8</v>
      </c>
      <c r="I709">
        <v>97.58</v>
      </c>
      <c r="J709">
        <v>10.14</v>
      </c>
      <c r="K709">
        <v>60.11</v>
      </c>
      <c r="L709">
        <v>55.17</v>
      </c>
      <c r="M709">
        <v>110.22</v>
      </c>
      <c r="N709">
        <f t="shared" si="11"/>
        <v>45.364999999999995</v>
      </c>
      <c r="AE709">
        <v>21.2</v>
      </c>
    </row>
    <row r="710" spans="1:31" x14ac:dyDescent="0.25">
      <c r="A710" t="s">
        <v>754</v>
      </c>
      <c r="B710">
        <v>21.08</v>
      </c>
      <c r="C710">
        <v>95.61</v>
      </c>
      <c r="D710">
        <v>47.94</v>
      </c>
      <c r="E710">
        <v>90.42</v>
      </c>
      <c r="F710">
        <v>29.67</v>
      </c>
      <c r="G710">
        <v>9.99</v>
      </c>
      <c r="H710">
        <v>33.97</v>
      </c>
      <c r="I710">
        <v>78.989999999999995</v>
      </c>
      <c r="J710">
        <v>25.39</v>
      </c>
      <c r="K710">
        <v>19.96</v>
      </c>
      <c r="L710">
        <v>15.5</v>
      </c>
      <c r="M710">
        <v>33.909999999999997</v>
      </c>
      <c r="N710">
        <f t="shared" si="11"/>
        <v>31.79</v>
      </c>
      <c r="AE710">
        <v>21.08</v>
      </c>
    </row>
    <row r="711" spans="1:31" x14ac:dyDescent="0.25">
      <c r="A711" t="s">
        <v>755</v>
      </c>
      <c r="B711">
        <v>21.23</v>
      </c>
      <c r="C711">
        <v>36.770000000000003</v>
      </c>
      <c r="D711">
        <v>86.95</v>
      </c>
      <c r="E711">
        <v>54.62</v>
      </c>
      <c r="F711">
        <v>40.4</v>
      </c>
      <c r="G711">
        <v>10.09</v>
      </c>
      <c r="H711">
        <v>12.5</v>
      </c>
      <c r="I711">
        <v>18.73</v>
      </c>
      <c r="J711">
        <v>123.63</v>
      </c>
      <c r="K711">
        <v>62.13</v>
      </c>
      <c r="L711">
        <v>127.47</v>
      </c>
      <c r="M711">
        <v>9.99</v>
      </c>
      <c r="N711">
        <f t="shared" si="11"/>
        <v>38.585000000000001</v>
      </c>
      <c r="AE711">
        <v>21.23</v>
      </c>
    </row>
    <row r="712" spans="1:31" x14ac:dyDescent="0.25">
      <c r="A712" t="s">
        <v>756</v>
      </c>
      <c r="B712">
        <v>21.05</v>
      </c>
      <c r="C712">
        <v>123.13</v>
      </c>
      <c r="D712">
        <v>32.69</v>
      </c>
      <c r="E712">
        <v>27.63</v>
      </c>
      <c r="F712">
        <v>46.34</v>
      </c>
      <c r="G712">
        <v>37.979999999999997</v>
      </c>
      <c r="H712">
        <v>110.38</v>
      </c>
      <c r="I712">
        <v>93.05</v>
      </c>
      <c r="J712">
        <v>32.880000000000003</v>
      </c>
      <c r="K712">
        <v>38.81</v>
      </c>
      <c r="L712">
        <v>9.99</v>
      </c>
      <c r="M712">
        <v>55.44</v>
      </c>
      <c r="N712">
        <f t="shared" si="11"/>
        <v>38.394999999999996</v>
      </c>
      <c r="AE712">
        <v>21.05</v>
      </c>
    </row>
    <row r="713" spans="1:31" x14ac:dyDescent="0.25">
      <c r="A713" t="s">
        <v>757</v>
      </c>
      <c r="B713">
        <v>22.16</v>
      </c>
      <c r="C713">
        <v>23.71</v>
      </c>
      <c r="D713">
        <v>62.83</v>
      </c>
      <c r="E713">
        <v>119.61</v>
      </c>
      <c r="F713">
        <v>26.36</v>
      </c>
      <c r="G713">
        <v>9.2899999999999991</v>
      </c>
      <c r="H713">
        <v>3.76</v>
      </c>
      <c r="I713">
        <v>35.61</v>
      </c>
      <c r="J713">
        <v>164.66</v>
      </c>
      <c r="K713">
        <v>0.27</v>
      </c>
      <c r="L713">
        <v>5.37</v>
      </c>
      <c r="M713">
        <v>70.3</v>
      </c>
      <c r="N713">
        <f t="shared" si="11"/>
        <v>25.035</v>
      </c>
      <c r="AE713">
        <v>22.16</v>
      </c>
    </row>
    <row r="714" spans="1:31" x14ac:dyDescent="0.25">
      <c r="A714" t="s">
        <v>758</v>
      </c>
      <c r="B714">
        <v>21.04</v>
      </c>
      <c r="C714">
        <v>38.15</v>
      </c>
      <c r="D714">
        <v>92.36</v>
      </c>
      <c r="E714">
        <v>126.44</v>
      </c>
      <c r="F714">
        <v>75.09</v>
      </c>
      <c r="G714">
        <v>82.09</v>
      </c>
      <c r="H714">
        <v>49.03</v>
      </c>
      <c r="I714">
        <v>13.52</v>
      </c>
      <c r="J714">
        <v>60.52</v>
      </c>
      <c r="K714">
        <v>138.94999999999999</v>
      </c>
      <c r="L714">
        <v>31.45</v>
      </c>
      <c r="M714">
        <v>29.61</v>
      </c>
      <c r="N714">
        <f t="shared" si="11"/>
        <v>54.775000000000006</v>
      </c>
      <c r="AE714">
        <v>21.04</v>
      </c>
    </row>
    <row r="715" spans="1:31" x14ac:dyDescent="0.25">
      <c r="A715" t="s">
        <v>759</v>
      </c>
      <c r="B715">
        <v>21.03</v>
      </c>
      <c r="C715">
        <v>45.98</v>
      </c>
      <c r="D715">
        <v>32.22</v>
      </c>
      <c r="E715">
        <v>39.49</v>
      </c>
      <c r="F715">
        <v>38.46</v>
      </c>
      <c r="G715">
        <v>97.54</v>
      </c>
      <c r="H715">
        <v>48.2</v>
      </c>
      <c r="I715">
        <v>103.78</v>
      </c>
      <c r="J715">
        <v>39.25</v>
      </c>
      <c r="K715">
        <v>14.46</v>
      </c>
      <c r="L715">
        <v>25.65</v>
      </c>
      <c r="M715">
        <v>45.08</v>
      </c>
      <c r="N715">
        <f t="shared" si="11"/>
        <v>39.370000000000005</v>
      </c>
      <c r="AE715">
        <v>21.03</v>
      </c>
    </row>
    <row r="716" spans="1:31" x14ac:dyDescent="0.25">
      <c r="A716" t="s">
        <v>760</v>
      </c>
      <c r="B716">
        <v>21.01</v>
      </c>
      <c r="C716">
        <v>200.47</v>
      </c>
      <c r="D716">
        <v>95.45</v>
      </c>
      <c r="E716">
        <v>54.39</v>
      </c>
      <c r="F716">
        <v>84.75</v>
      </c>
      <c r="G716">
        <v>105.85</v>
      </c>
      <c r="H716">
        <v>42.36</v>
      </c>
      <c r="I716">
        <v>40.67</v>
      </c>
      <c r="J716">
        <v>93.4</v>
      </c>
      <c r="K716">
        <v>38.32</v>
      </c>
      <c r="L716">
        <v>12.16</v>
      </c>
      <c r="M716">
        <v>30.22</v>
      </c>
      <c r="N716">
        <f t="shared" si="11"/>
        <v>48.375</v>
      </c>
      <c r="AE716">
        <v>21.01</v>
      </c>
    </row>
    <row r="717" spans="1:31" x14ac:dyDescent="0.25">
      <c r="A717" t="s">
        <v>761</v>
      </c>
      <c r="B717">
        <v>20.96</v>
      </c>
      <c r="C717">
        <v>68.459999999999994</v>
      </c>
      <c r="D717">
        <v>37.270000000000003</v>
      </c>
      <c r="E717">
        <v>13.3</v>
      </c>
      <c r="F717">
        <v>24.33</v>
      </c>
      <c r="G717">
        <v>38.130000000000003</v>
      </c>
      <c r="H717">
        <v>24.34</v>
      </c>
      <c r="I717">
        <v>67.05</v>
      </c>
      <c r="J717">
        <v>46.5</v>
      </c>
      <c r="K717">
        <v>26.61</v>
      </c>
      <c r="L717">
        <v>104.47</v>
      </c>
      <c r="M717">
        <v>29.55</v>
      </c>
      <c r="N717">
        <f t="shared" si="11"/>
        <v>33.410000000000004</v>
      </c>
      <c r="AE717">
        <v>20.96</v>
      </c>
    </row>
    <row r="718" spans="1:31" x14ac:dyDescent="0.25">
      <c r="A718" t="s">
        <v>762</v>
      </c>
      <c r="B718">
        <v>21.54</v>
      </c>
      <c r="C718">
        <v>131.38999999999999</v>
      </c>
      <c r="D718">
        <v>3.63</v>
      </c>
      <c r="E718">
        <v>20.72</v>
      </c>
      <c r="F718">
        <v>41.2</v>
      </c>
      <c r="G718">
        <v>5.76</v>
      </c>
      <c r="H718">
        <v>53.74</v>
      </c>
      <c r="I718">
        <v>162.13</v>
      </c>
      <c r="J718">
        <v>34.380000000000003</v>
      </c>
      <c r="K718">
        <v>70.61</v>
      </c>
      <c r="L718">
        <v>43.52</v>
      </c>
      <c r="M718">
        <v>0.18</v>
      </c>
      <c r="N718">
        <f t="shared" si="11"/>
        <v>37.790000000000006</v>
      </c>
      <c r="AE718">
        <v>21.54</v>
      </c>
    </row>
    <row r="719" spans="1:31" x14ac:dyDescent="0.25">
      <c r="A719" t="s">
        <v>763</v>
      </c>
      <c r="B719">
        <v>22.38</v>
      </c>
      <c r="C719">
        <v>211.81</v>
      </c>
      <c r="D719">
        <v>14.32</v>
      </c>
      <c r="E719">
        <v>24.95</v>
      </c>
      <c r="F719">
        <v>1.74</v>
      </c>
      <c r="G719">
        <v>19.77</v>
      </c>
      <c r="H719">
        <v>182.07</v>
      </c>
      <c r="I719">
        <v>275.08</v>
      </c>
      <c r="J719">
        <v>221.83</v>
      </c>
      <c r="K719">
        <v>134.74</v>
      </c>
      <c r="L719">
        <v>151.27000000000001</v>
      </c>
      <c r="M719">
        <v>58.78</v>
      </c>
      <c r="N719">
        <f t="shared" si="11"/>
        <v>96.76</v>
      </c>
      <c r="AE719">
        <v>22.38</v>
      </c>
    </row>
    <row r="720" spans="1:31" x14ac:dyDescent="0.25">
      <c r="A720" t="s">
        <v>764</v>
      </c>
      <c r="B720">
        <v>20.86</v>
      </c>
      <c r="C720">
        <v>43.6</v>
      </c>
      <c r="D720">
        <v>87.49</v>
      </c>
      <c r="E720">
        <v>137.9</v>
      </c>
      <c r="F720">
        <v>17.489999999999998</v>
      </c>
      <c r="G720">
        <v>15.1</v>
      </c>
      <c r="H720">
        <v>47.53</v>
      </c>
      <c r="I720">
        <v>22.05</v>
      </c>
      <c r="J720">
        <v>10.84</v>
      </c>
      <c r="K720">
        <v>31.78</v>
      </c>
      <c r="L720">
        <v>67.52</v>
      </c>
      <c r="M720">
        <v>68.900000000000006</v>
      </c>
      <c r="N720">
        <f t="shared" si="11"/>
        <v>37.69</v>
      </c>
      <c r="AE720">
        <v>20.86</v>
      </c>
    </row>
    <row r="721" spans="1:31" x14ac:dyDescent="0.25">
      <c r="A721" t="s">
        <v>765</v>
      </c>
      <c r="B721">
        <v>20.85</v>
      </c>
      <c r="C721">
        <v>53.3</v>
      </c>
      <c r="D721">
        <v>53.27</v>
      </c>
      <c r="E721">
        <v>34.94</v>
      </c>
      <c r="F721">
        <v>9.99</v>
      </c>
      <c r="G721">
        <v>105.76</v>
      </c>
      <c r="H721">
        <v>23.11</v>
      </c>
      <c r="I721">
        <v>64.84</v>
      </c>
      <c r="J721">
        <v>44.35</v>
      </c>
      <c r="K721">
        <v>52.06</v>
      </c>
      <c r="L721">
        <v>101.75</v>
      </c>
      <c r="M721">
        <v>58.89</v>
      </c>
      <c r="N721">
        <f t="shared" si="11"/>
        <v>52.665000000000006</v>
      </c>
      <c r="AE721">
        <v>20.85</v>
      </c>
    </row>
    <row r="722" spans="1:31" x14ac:dyDescent="0.25">
      <c r="A722" t="s">
        <v>766</v>
      </c>
      <c r="B722">
        <v>20.83</v>
      </c>
      <c r="C722">
        <v>10.34</v>
      </c>
      <c r="D722">
        <v>10.039999999999999</v>
      </c>
      <c r="E722">
        <v>72.290000000000006</v>
      </c>
      <c r="F722">
        <v>66.239999999999995</v>
      </c>
      <c r="G722">
        <v>22.57</v>
      </c>
      <c r="H722">
        <v>68.489999999999995</v>
      </c>
      <c r="I722">
        <v>16.850000000000001</v>
      </c>
      <c r="J722">
        <v>37.9</v>
      </c>
      <c r="K722">
        <v>79.94</v>
      </c>
      <c r="L722">
        <v>71.88</v>
      </c>
      <c r="M722">
        <v>33.549999999999997</v>
      </c>
      <c r="N722">
        <f t="shared" si="11"/>
        <v>35.724999999999994</v>
      </c>
      <c r="AE722">
        <v>20.83</v>
      </c>
    </row>
    <row r="723" spans="1:31" x14ac:dyDescent="0.25">
      <c r="A723" t="s">
        <v>767</v>
      </c>
      <c r="B723">
        <v>20.56</v>
      </c>
      <c r="C723">
        <v>41.5</v>
      </c>
      <c r="D723">
        <v>22.78</v>
      </c>
      <c r="E723">
        <v>65.13</v>
      </c>
      <c r="F723">
        <v>34.07</v>
      </c>
      <c r="G723">
        <v>18.61</v>
      </c>
      <c r="H723">
        <v>157.28</v>
      </c>
      <c r="I723">
        <v>21.5</v>
      </c>
      <c r="J723">
        <v>49.6</v>
      </c>
      <c r="K723">
        <v>179.78</v>
      </c>
      <c r="L723">
        <v>55.29</v>
      </c>
      <c r="M723">
        <v>65.599999999999994</v>
      </c>
      <c r="N723">
        <f t="shared" si="11"/>
        <v>45.55</v>
      </c>
      <c r="AE723">
        <v>20.56</v>
      </c>
    </row>
    <row r="724" spans="1:31" x14ac:dyDescent="0.25">
      <c r="A724" t="s">
        <v>768</v>
      </c>
      <c r="B724">
        <v>20.68</v>
      </c>
      <c r="C724">
        <v>115.27</v>
      </c>
      <c r="D724">
        <v>95.02</v>
      </c>
      <c r="E724">
        <v>13.58</v>
      </c>
      <c r="F724">
        <v>17.329999999999998</v>
      </c>
      <c r="G724">
        <v>26.66</v>
      </c>
      <c r="H724">
        <v>20.27</v>
      </c>
      <c r="I724">
        <v>94.01</v>
      </c>
      <c r="J724">
        <v>106.04</v>
      </c>
      <c r="K724">
        <v>9.99</v>
      </c>
      <c r="L724">
        <v>34.119999999999997</v>
      </c>
      <c r="M724">
        <v>42.08</v>
      </c>
      <c r="N724">
        <f t="shared" si="11"/>
        <v>30.39</v>
      </c>
      <c r="AE724">
        <v>20.68</v>
      </c>
    </row>
    <row r="725" spans="1:31" x14ac:dyDescent="0.25">
      <c r="A725" t="s">
        <v>769</v>
      </c>
      <c r="B725">
        <v>20.7</v>
      </c>
      <c r="C725">
        <v>49</v>
      </c>
      <c r="D725">
        <v>29.42</v>
      </c>
      <c r="E725">
        <v>143.1</v>
      </c>
      <c r="F725">
        <v>47.4</v>
      </c>
      <c r="G725">
        <v>78.239999999999995</v>
      </c>
      <c r="H725">
        <v>163.72999999999999</v>
      </c>
      <c r="I725">
        <v>0.36</v>
      </c>
      <c r="J725">
        <v>0.99</v>
      </c>
      <c r="K725">
        <v>20.059999999999999</v>
      </c>
      <c r="L725">
        <v>11.21</v>
      </c>
      <c r="M725">
        <v>63.46</v>
      </c>
      <c r="N725">
        <f t="shared" si="11"/>
        <v>38.409999999999997</v>
      </c>
      <c r="AE725">
        <v>20.7</v>
      </c>
    </row>
    <row r="726" spans="1:31" x14ac:dyDescent="0.25">
      <c r="A726" t="s">
        <v>770</v>
      </c>
      <c r="B726">
        <v>20.41</v>
      </c>
      <c r="C726">
        <v>15.42</v>
      </c>
      <c r="D726">
        <v>27.9</v>
      </c>
      <c r="E726">
        <v>30.91</v>
      </c>
      <c r="F726">
        <v>89.22</v>
      </c>
      <c r="G726">
        <v>27.44</v>
      </c>
      <c r="H726">
        <v>27.3</v>
      </c>
      <c r="I726">
        <v>29.82</v>
      </c>
      <c r="J726">
        <v>13.48</v>
      </c>
      <c r="K726">
        <v>102.32</v>
      </c>
      <c r="L726">
        <v>32.29</v>
      </c>
      <c r="M726">
        <v>143.99</v>
      </c>
      <c r="N726">
        <f t="shared" si="11"/>
        <v>28.86</v>
      </c>
      <c r="AE726">
        <v>20.41</v>
      </c>
    </row>
    <row r="727" spans="1:31" x14ac:dyDescent="0.25">
      <c r="A727" t="s">
        <v>771</v>
      </c>
      <c r="B727">
        <v>20.149999999999999</v>
      </c>
      <c r="C727">
        <v>123.31</v>
      </c>
      <c r="D727">
        <v>152.91</v>
      </c>
      <c r="E727">
        <v>11.47</v>
      </c>
      <c r="F727">
        <v>38.96</v>
      </c>
      <c r="G727">
        <v>112.25</v>
      </c>
      <c r="H727">
        <v>0.54</v>
      </c>
      <c r="I727">
        <v>27.37</v>
      </c>
      <c r="J727">
        <v>32.799999999999997</v>
      </c>
      <c r="K727">
        <v>30.87</v>
      </c>
      <c r="L727">
        <v>0.54</v>
      </c>
      <c r="M727">
        <v>43.73</v>
      </c>
      <c r="N727">
        <f t="shared" si="11"/>
        <v>31.835000000000001</v>
      </c>
      <c r="AE727">
        <v>20.149999999999999</v>
      </c>
    </row>
    <row r="728" spans="1:31" x14ac:dyDescent="0.25">
      <c r="A728" t="s">
        <v>772</v>
      </c>
      <c r="B728">
        <v>20.38</v>
      </c>
      <c r="C728">
        <v>141.03</v>
      </c>
      <c r="D728">
        <v>23.71</v>
      </c>
      <c r="E728">
        <v>4.96</v>
      </c>
      <c r="F728">
        <v>26.02</v>
      </c>
      <c r="G728">
        <v>16.54</v>
      </c>
      <c r="H728">
        <v>13.88</v>
      </c>
      <c r="I728">
        <v>94.22</v>
      </c>
      <c r="J728">
        <v>24.35</v>
      </c>
      <c r="K728">
        <v>195.26</v>
      </c>
      <c r="L728">
        <v>38.11</v>
      </c>
      <c r="M728">
        <v>55.88</v>
      </c>
      <c r="N728">
        <f t="shared" si="11"/>
        <v>25.185000000000002</v>
      </c>
      <c r="AE728">
        <v>20.38</v>
      </c>
    </row>
    <row r="729" spans="1:31" x14ac:dyDescent="0.25">
      <c r="A729" t="s">
        <v>773</v>
      </c>
      <c r="B729">
        <v>20</v>
      </c>
      <c r="C729">
        <v>49.88</v>
      </c>
      <c r="D729">
        <v>150.77000000000001</v>
      </c>
      <c r="E729">
        <v>52.31</v>
      </c>
      <c r="F729">
        <v>174.46</v>
      </c>
      <c r="G729">
        <v>9.0399999999999991</v>
      </c>
      <c r="H729">
        <v>100.66</v>
      </c>
      <c r="I729">
        <v>103.54</v>
      </c>
      <c r="J729">
        <v>3.83</v>
      </c>
      <c r="K729">
        <v>0.45</v>
      </c>
      <c r="L729">
        <v>52.81</v>
      </c>
      <c r="M729">
        <v>0.09</v>
      </c>
      <c r="N729">
        <f t="shared" si="11"/>
        <v>51.094999999999999</v>
      </c>
      <c r="AE729">
        <v>20</v>
      </c>
    </row>
    <row r="730" spans="1:31" x14ac:dyDescent="0.25">
      <c r="A730" t="s">
        <v>774</v>
      </c>
      <c r="B730">
        <v>19.84</v>
      </c>
      <c r="C730">
        <v>21.56</v>
      </c>
      <c r="D730">
        <v>38.56</v>
      </c>
      <c r="E730">
        <v>33.840000000000003</v>
      </c>
      <c r="F730">
        <v>100.87</v>
      </c>
      <c r="G730">
        <v>56.65</v>
      </c>
      <c r="H730">
        <v>78.95</v>
      </c>
      <c r="I730">
        <v>94.1</v>
      </c>
      <c r="J730">
        <v>77.11</v>
      </c>
      <c r="K730">
        <v>16.32</v>
      </c>
      <c r="L730">
        <v>14.45</v>
      </c>
      <c r="M730">
        <v>40.43</v>
      </c>
      <c r="N730">
        <f t="shared" si="11"/>
        <v>39.495000000000005</v>
      </c>
      <c r="AE730">
        <v>19.84</v>
      </c>
    </row>
    <row r="731" spans="1:31" x14ac:dyDescent="0.25">
      <c r="A731" t="s">
        <v>775</v>
      </c>
      <c r="B731">
        <v>20.11</v>
      </c>
      <c r="C731">
        <v>24.84</v>
      </c>
      <c r="D731">
        <v>64.069999999999993</v>
      </c>
      <c r="E731">
        <v>7.99</v>
      </c>
      <c r="F731">
        <v>2.58</v>
      </c>
      <c r="G731">
        <v>35.97</v>
      </c>
      <c r="H731">
        <v>29.65</v>
      </c>
      <c r="I731">
        <v>44.12</v>
      </c>
      <c r="J731">
        <v>58.54</v>
      </c>
      <c r="K731">
        <v>68.7</v>
      </c>
      <c r="L731">
        <v>61.52</v>
      </c>
      <c r="M731">
        <v>185.46</v>
      </c>
      <c r="N731">
        <f t="shared" si="11"/>
        <v>40.045000000000002</v>
      </c>
      <c r="AE731">
        <v>20.11</v>
      </c>
    </row>
    <row r="732" spans="1:31" x14ac:dyDescent="0.25">
      <c r="A732" t="s">
        <v>776</v>
      </c>
      <c r="B732">
        <v>19.87</v>
      </c>
      <c r="C732">
        <v>45.15</v>
      </c>
      <c r="D732">
        <v>30.22</v>
      </c>
      <c r="E732">
        <v>66.760000000000005</v>
      </c>
      <c r="F732">
        <v>62.17</v>
      </c>
      <c r="G732">
        <v>20.36</v>
      </c>
      <c r="H732">
        <v>49.34</v>
      </c>
      <c r="I732">
        <v>49.67</v>
      </c>
      <c r="J732">
        <v>49.96</v>
      </c>
      <c r="K732">
        <v>33.64</v>
      </c>
      <c r="L732">
        <v>62.8</v>
      </c>
      <c r="M732">
        <v>10.039999999999999</v>
      </c>
      <c r="N732">
        <f t="shared" si="11"/>
        <v>47.245000000000005</v>
      </c>
      <c r="AE732">
        <v>19.87</v>
      </c>
    </row>
    <row r="733" spans="1:31" x14ac:dyDescent="0.25">
      <c r="A733" t="s">
        <v>777</v>
      </c>
      <c r="B733">
        <v>20.11</v>
      </c>
      <c r="C733">
        <v>11.53</v>
      </c>
      <c r="D733">
        <v>45.56</v>
      </c>
      <c r="E733">
        <v>27.96</v>
      </c>
      <c r="F733">
        <v>76.66</v>
      </c>
      <c r="G733">
        <v>14.21</v>
      </c>
      <c r="H733">
        <v>58.41</v>
      </c>
      <c r="I733">
        <v>36.4</v>
      </c>
      <c r="J733">
        <v>8.17</v>
      </c>
      <c r="K733">
        <v>74.040000000000006</v>
      </c>
      <c r="L733">
        <v>66.73</v>
      </c>
      <c r="M733">
        <v>144.41999999999999</v>
      </c>
      <c r="N733">
        <f t="shared" si="11"/>
        <v>40.980000000000004</v>
      </c>
      <c r="AE733">
        <v>20.11</v>
      </c>
    </row>
    <row r="734" spans="1:31" x14ac:dyDescent="0.25">
      <c r="A734" t="s">
        <v>778</v>
      </c>
      <c r="B734">
        <v>19.739999999999998</v>
      </c>
      <c r="C734">
        <v>11.04</v>
      </c>
      <c r="D734">
        <v>15.99</v>
      </c>
      <c r="E734">
        <v>36.909999999999997</v>
      </c>
      <c r="F734">
        <v>60.09</v>
      </c>
      <c r="G734">
        <v>47.84</v>
      </c>
      <c r="H734">
        <v>39.32</v>
      </c>
      <c r="I734">
        <v>74.36</v>
      </c>
      <c r="J734">
        <v>40.97</v>
      </c>
      <c r="K734">
        <v>46.06</v>
      </c>
      <c r="L734">
        <v>44.82</v>
      </c>
      <c r="M734">
        <v>81.010000000000005</v>
      </c>
      <c r="N734">
        <f t="shared" si="11"/>
        <v>42.894999999999996</v>
      </c>
      <c r="AE734">
        <v>19.739999999999998</v>
      </c>
    </row>
    <row r="735" spans="1:31" x14ac:dyDescent="0.25">
      <c r="A735" t="s">
        <v>779</v>
      </c>
      <c r="B735">
        <v>20.12</v>
      </c>
      <c r="C735">
        <v>76.459999999999994</v>
      </c>
      <c r="D735">
        <v>18.91</v>
      </c>
      <c r="E735">
        <v>44</v>
      </c>
      <c r="F735">
        <v>13.48</v>
      </c>
      <c r="G735">
        <v>70.53</v>
      </c>
      <c r="H735">
        <v>35.42</v>
      </c>
      <c r="I735">
        <v>54.49</v>
      </c>
      <c r="J735">
        <v>101.97</v>
      </c>
      <c r="K735">
        <v>12.78</v>
      </c>
      <c r="L735">
        <v>15.57</v>
      </c>
      <c r="M735">
        <v>58.29</v>
      </c>
      <c r="N735">
        <f t="shared" si="11"/>
        <v>39.71</v>
      </c>
      <c r="AE735">
        <v>20.12</v>
      </c>
    </row>
    <row r="736" spans="1:31" x14ac:dyDescent="0.25">
      <c r="A736" t="s">
        <v>780</v>
      </c>
      <c r="B736">
        <v>19.68</v>
      </c>
      <c r="C736">
        <v>15.73</v>
      </c>
      <c r="D736">
        <v>67.98</v>
      </c>
      <c r="E736">
        <v>13.31</v>
      </c>
      <c r="F736">
        <v>23.53</v>
      </c>
      <c r="G736">
        <v>121.74</v>
      </c>
      <c r="H736">
        <v>79.06</v>
      </c>
      <c r="I736">
        <v>56.84</v>
      </c>
      <c r="J736">
        <v>88.49</v>
      </c>
      <c r="K736">
        <v>59.03</v>
      </c>
      <c r="L736">
        <v>11.77</v>
      </c>
      <c r="M736">
        <v>39.659999999999997</v>
      </c>
      <c r="N736">
        <f t="shared" si="11"/>
        <v>48.25</v>
      </c>
      <c r="AE736">
        <v>19.68</v>
      </c>
    </row>
    <row r="737" spans="1:31" x14ac:dyDescent="0.25">
      <c r="A737" t="s">
        <v>781</v>
      </c>
      <c r="B737">
        <v>19.82</v>
      </c>
      <c r="C737">
        <v>40.130000000000003</v>
      </c>
      <c r="D737">
        <v>54.75</v>
      </c>
      <c r="E737">
        <v>47.52</v>
      </c>
      <c r="F737">
        <v>14.61</v>
      </c>
      <c r="G737">
        <v>54.79</v>
      </c>
      <c r="H737">
        <v>22.52</v>
      </c>
      <c r="I737">
        <v>10.49</v>
      </c>
      <c r="J737">
        <v>41.42</v>
      </c>
      <c r="K737">
        <v>166.37</v>
      </c>
      <c r="L737">
        <v>33.72</v>
      </c>
      <c r="M737">
        <v>137.41999999999999</v>
      </c>
      <c r="N737">
        <f t="shared" si="11"/>
        <v>40.775000000000006</v>
      </c>
      <c r="AE737">
        <v>19.82</v>
      </c>
    </row>
    <row r="738" spans="1:31" x14ac:dyDescent="0.25">
      <c r="A738" t="s">
        <v>782</v>
      </c>
      <c r="B738">
        <v>19.600000000000001</v>
      </c>
      <c r="C738">
        <v>53.28</v>
      </c>
      <c r="D738">
        <v>50.22</v>
      </c>
      <c r="E738">
        <v>80.849999999999994</v>
      </c>
      <c r="F738">
        <v>18.11</v>
      </c>
      <c r="G738">
        <v>12.86</v>
      </c>
      <c r="H738">
        <v>10.039999999999999</v>
      </c>
      <c r="I738">
        <v>111.74</v>
      </c>
      <c r="J738">
        <v>38.54</v>
      </c>
      <c r="K738">
        <v>99.2</v>
      </c>
      <c r="L738">
        <v>27.02</v>
      </c>
      <c r="M738">
        <v>21.21</v>
      </c>
      <c r="N738">
        <f t="shared" si="11"/>
        <v>32.78</v>
      </c>
      <c r="AE738">
        <v>19.600000000000001</v>
      </c>
    </row>
    <row r="739" spans="1:31" x14ac:dyDescent="0.25">
      <c r="A739" t="s">
        <v>783</v>
      </c>
      <c r="B739">
        <v>19.440000000000001</v>
      </c>
      <c r="C739">
        <v>40.32</v>
      </c>
      <c r="D739">
        <v>119.39</v>
      </c>
      <c r="E739">
        <v>152.68</v>
      </c>
      <c r="F739">
        <v>41.41</v>
      </c>
      <c r="G739">
        <v>46.16</v>
      </c>
      <c r="H739">
        <v>20.58</v>
      </c>
      <c r="I739">
        <v>226.88</v>
      </c>
      <c r="J739">
        <v>20.49</v>
      </c>
      <c r="K739">
        <v>39.53</v>
      </c>
      <c r="L739">
        <v>10.19</v>
      </c>
      <c r="M739">
        <v>19.100000000000001</v>
      </c>
      <c r="N739">
        <f t="shared" si="11"/>
        <v>39.924999999999997</v>
      </c>
      <c r="AE739">
        <v>19.440000000000001</v>
      </c>
    </row>
    <row r="740" spans="1:31" x14ac:dyDescent="0.25">
      <c r="A740" t="s">
        <v>784</v>
      </c>
      <c r="B740">
        <v>18.64</v>
      </c>
      <c r="C740">
        <v>178.88</v>
      </c>
      <c r="D740">
        <v>85.11</v>
      </c>
      <c r="E740">
        <v>21.83</v>
      </c>
      <c r="F740">
        <v>50.81</v>
      </c>
      <c r="G740">
        <v>34.4</v>
      </c>
      <c r="H740">
        <v>53.36</v>
      </c>
      <c r="I740">
        <v>53.26</v>
      </c>
      <c r="J740">
        <v>48.14</v>
      </c>
      <c r="K740">
        <v>81.040000000000006</v>
      </c>
      <c r="L740">
        <v>70.02</v>
      </c>
      <c r="M740">
        <v>21.9</v>
      </c>
      <c r="N740">
        <f t="shared" si="11"/>
        <v>52.034999999999997</v>
      </c>
      <c r="AE740">
        <v>18.64</v>
      </c>
    </row>
    <row r="741" spans="1:31" x14ac:dyDescent="0.25">
      <c r="A741" t="s">
        <v>785</v>
      </c>
      <c r="B741">
        <v>19.62</v>
      </c>
      <c r="C741">
        <v>46.38</v>
      </c>
      <c r="D741">
        <v>50.83</v>
      </c>
      <c r="E741">
        <v>19.079999999999998</v>
      </c>
      <c r="F741">
        <v>25.47</v>
      </c>
      <c r="G741">
        <v>65.52</v>
      </c>
      <c r="H741">
        <v>25.82</v>
      </c>
      <c r="I741">
        <v>41.31</v>
      </c>
      <c r="J741">
        <v>37.53</v>
      </c>
      <c r="K741">
        <v>45.99</v>
      </c>
      <c r="L741">
        <v>57.3</v>
      </c>
      <c r="M741">
        <v>78.489999999999995</v>
      </c>
      <c r="N741">
        <f t="shared" si="11"/>
        <v>43.650000000000006</v>
      </c>
      <c r="AE741">
        <v>19.62</v>
      </c>
    </row>
    <row r="742" spans="1:31" x14ac:dyDescent="0.25">
      <c r="A742" t="s">
        <v>786</v>
      </c>
      <c r="B742">
        <v>18.670000000000002</v>
      </c>
      <c r="C742">
        <v>124.47</v>
      </c>
      <c r="D742">
        <v>6.91</v>
      </c>
      <c r="E742">
        <v>41.63</v>
      </c>
      <c r="F742">
        <v>15.81</v>
      </c>
      <c r="G742">
        <v>113.01</v>
      </c>
      <c r="H742">
        <v>34.770000000000003</v>
      </c>
      <c r="I742">
        <v>15.67</v>
      </c>
      <c r="J742">
        <v>52.36</v>
      </c>
      <c r="K742">
        <v>0</v>
      </c>
      <c r="L742">
        <v>135.04</v>
      </c>
      <c r="M742">
        <v>16.96</v>
      </c>
      <c r="N742">
        <f t="shared" si="11"/>
        <v>26.720000000000002</v>
      </c>
      <c r="AE742">
        <v>18.670000000000002</v>
      </c>
    </row>
    <row r="743" spans="1:31" x14ac:dyDescent="0.25">
      <c r="A743" t="s">
        <v>787</v>
      </c>
      <c r="B743">
        <v>19.670000000000002</v>
      </c>
      <c r="C743">
        <v>65.91</v>
      </c>
      <c r="D743">
        <v>33.06</v>
      </c>
      <c r="E743">
        <v>170.51</v>
      </c>
      <c r="F743">
        <v>14.91</v>
      </c>
      <c r="G743">
        <v>10.69</v>
      </c>
      <c r="H743">
        <v>47.64</v>
      </c>
      <c r="I743">
        <v>122.42</v>
      </c>
      <c r="J743">
        <v>42.14</v>
      </c>
      <c r="K743">
        <v>19.11</v>
      </c>
      <c r="L743">
        <v>45.58</v>
      </c>
      <c r="M743">
        <v>87.63</v>
      </c>
      <c r="N743">
        <f t="shared" si="11"/>
        <v>43.86</v>
      </c>
      <c r="AE743">
        <v>19.670000000000002</v>
      </c>
    </row>
    <row r="744" spans="1:31" x14ac:dyDescent="0.25">
      <c r="A744" t="s">
        <v>788</v>
      </c>
      <c r="B744">
        <v>19.61</v>
      </c>
      <c r="C744">
        <v>36.96</v>
      </c>
      <c r="D744">
        <v>103.06</v>
      </c>
      <c r="E744">
        <v>0.27</v>
      </c>
      <c r="F744">
        <v>47.65</v>
      </c>
      <c r="G744">
        <v>88.82</v>
      </c>
      <c r="H744">
        <v>23.43</v>
      </c>
      <c r="I744">
        <v>20.05</v>
      </c>
      <c r="J744">
        <v>56.56</v>
      </c>
      <c r="K744">
        <v>212.2</v>
      </c>
      <c r="L744">
        <v>38.49</v>
      </c>
      <c r="M744">
        <v>61</v>
      </c>
      <c r="N744">
        <f t="shared" si="11"/>
        <v>43.07</v>
      </c>
      <c r="AE744">
        <v>19.61</v>
      </c>
    </row>
    <row r="745" spans="1:31" x14ac:dyDescent="0.25">
      <c r="A745" t="s">
        <v>789</v>
      </c>
      <c r="B745">
        <v>19.489999999999998</v>
      </c>
      <c r="C745">
        <v>34.51</v>
      </c>
      <c r="D745">
        <v>76.36</v>
      </c>
      <c r="E745">
        <v>62.15</v>
      </c>
      <c r="F745">
        <v>17.920000000000002</v>
      </c>
      <c r="G745">
        <v>28.59</v>
      </c>
      <c r="H745">
        <v>9.99</v>
      </c>
      <c r="I745">
        <v>58.78</v>
      </c>
      <c r="J745">
        <v>136.86000000000001</v>
      </c>
      <c r="K745">
        <v>44.6</v>
      </c>
      <c r="L745">
        <v>20.86</v>
      </c>
      <c r="M745">
        <v>35.590000000000003</v>
      </c>
      <c r="N745">
        <f t="shared" si="11"/>
        <v>35.049999999999997</v>
      </c>
      <c r="AE745">
        <v>19.489999999999998</v>
      </c>
    </row>
    <row r="746" spans="1:31" x14ac:dyDescent="0.25">
      <c r="A746" t="s">
        <v>790</v>
      </c>
      <c r="B746">
        <v>18.510000000000002</v>
      </c>
      <c r="C746">
        <v>0</v>
      </c>
      <c r="D746">
        <v>38.869999999999997</v>
      </c>
      <c r="E746">
        <v>259.44</v>
      </c>
      <c r="F746">
        <v>176.55</v>
      </c>
      <c r="G746">
        <v>37.6</v>
      </c>
      <c r="H746">
        <v>109.09</v>
      </c>
      <c r="I746">
        <v>183.27</v>
      </c>
      <c r="J746">
        <v>31.43</v>
      </c>
      <c r="K746">
        <v>132.19</v>
      </c>
      <c r="L746">
        <v>13.77</v>
      </c>
      <c r="M746">
        <v>13.61</v>
      </c>
      <c r="N746">
        <f t="shared" si="11"/>
        <v>38.234999999999999</v>
      </c>
      <c r="AE746">
        <v>18.510000000000002</v>
      </c>
    </row>
    <row r="747" spans="1:31" x14ac:dyDescent="0.25">
      <c r="A747" t="s">
        <v>791</v>
      </c>
      <c r="B747">
        <v>19.16</v>
      </c>
      <c r="C747">
        <v>49.55</v>
      </c>
      <c r="D747">
        <v>56.08</v>
      </c>
      <c r="E747">
        <v>95.69</v>
      </c>
      <c r="F747">
        <v>25.75</v>
      </c>
      <c r="G747">
        <v>30.19</v>
      </c>
      <c r="H747">
        <v>39.520000000000003</v>
      </c>
      <c r="I747">
        <v>30.01</v>
      </c>
      <c r="J747">
        <v>50.55</v>
      </c>
      <c r="K747">
        <v>108.34</v>
      </c>
      <c r="L747">
        <v>14.77</v>
      </c>
      <c r="M747">
        <v>34.03</v>
      </c>
      <c r="N747">
        <f t="shared" si="11"/>
        <v>36.775000000000006</v>
      </c>
      <c r="AE747">
        <v>19.16</v>
      </c>
    </row>
    <row r="748" spans="1:31" x14ac:dyDescent="0.25">
      <c r="A748" t="s">
        <v>792</v>
      </c>
      <c r="B748">
        <v>19.149999999999999</v>
      </c>
      <c r="C748">
        <v>46.67</v>
      </c>
      <c r="D748">
        <v>28.63</v>
      </c>
      <c r="E748">
        <v>23.75</v>
      </c>
      <c r="F748">
        <v>27.74</v>
      </c>
      <c r="G748">
        <v>20.43</v>
      </c>
      <c r="H748">
        <v>74.81</v>
      </c>
      <c r="I748">
        <v>16.68</v>
      </c>
      <c r="J748">
        <v>45.54</v>
      </c>
      <c r="K748">
        <v>119.16</v>
      </c>
      <c r="L748">
        <v>33.69</v>
      </c>
      <c r="M748">
        <v>33.75</v>
      </c>
      <c r="N748">
        <f t="shared" si="11"/>
        <v>31.159999999999997</v>
      </c>
      <c r="AE748">
        <v>19.149999999999999</v>
      </c>
    </row>
    <row r="749" spans="1:31" x14ac:dyDescent="0.25">
      <c r="A749" t="s">
        <v>793</v>
      </c>
      <c r="B749">
        <v>19.010000000000002</v>
      </c>
      <c r="C749">
        <v>14.18</v>
      </c>
      <c r="D749">
        <v>18.72</v>
      </c>
      <c r="E749">
        <v>57.19</v>
      </c>
      <c r="F749">
        <v>17.559999999999999</v>
      </c>
      <c r="G749">
        <v>131.52000000000001</v>
      </c>
      <c r="H749">
        <v>50.06</v>
      </c>
      <c r="I749">
        <v>62.68</v>
      </c>
      <c r="J749">
        <v>25.22</v>
      </c>
      <c r="K749">
        <v>84.08</v>
      </c>
      <c r="L749">
        <v>51.06</v>
      </c>
      <c r="M749">
        <v>73.540000000000006</v>
      </c>
      <c r="N749">
        <f t="shared" si="11"/>
        <v>50.56</v>
      </c>
      <c r="AE749">
        <v>19.010000000000002</v>
      </c>
    </row>
    <row r="750" spans="1:31" x14ac:dyDescent="0.25">
      <c r="A750" t="s">
        <v>794</v>
      </c>
      <c r="B750">
        <v>19.05</v>
      </c>
      <c r="C750">
        <v>141.54</v>
      </c>
      <c r="D750">
        <v>22.04</v>
      </c>
      <c r="E750">
        <v>73.27</v>
      </c>
      <c r="F750">
        <v>60.37</v>
      </c>
      <c r="G750">
        <v>33.04</v>
      </c>
      <c r="H750">
        <v>10.49</v>
      </c>
      <c r="I750">
        <v>10.039999999999999</v>
      </c>
      <c r="J750">
        <v>17.059999999999999</v>
      </c>
      <c r="K750">
        <v>32.229999999999997</v>
      </c>
      <c r="L750">
        <v>41.42</v>
      </c>
      <c r="M750">
        <v>40.74</v>
      </c>
      <c r="N750">
        <f t="shared" si="11"/>
        <v>32.634999999999998</v>
      </c>
      <c r="AE750">
        <v>19.05</v>
      </c>
    </row>
    <row r="751" spans="1:31" x14ac:dyDescent="0.25">
      <c r="A751" t="s">
        <v>795</v>
      </c>
      <c r="B751">
        <v>19.010000000000002</v>
      </c>
      <c r="C751">
        <v>106.98</v>
      </c>
      <c r="D751">
        <v>9.99</v>
      </c>
      <c r="E751">
        <v>41.17</v>
      </c>
      <c r="F751">
        <v>47.76</v>
      </c>
      <c r="G751">
        <v>28.98</v>
      </c>
      <c r="H751">
        <v>43.32</v>
      </c>
      <c r="I751">
        <v>27.96</v>
      </c>
      <c r="J751">
        <v>87.23</v>
      </c>
      <c r="K751">
        <v>27.84</v>
      </c>
      <c r="L751">
        <v>44.68</v>
      </c>
      <c r="M751">
        <v>50.47</v>
      </c>
      <c r="N751">
        <f t="shared" si="11"/>
        <v>42.245000000000005</v>
      </c>
      <c r="AE751">
        <v>19.010000000000002</v>
      </c>
    </row>
    <row r="752" spans="1:31" x14ac:dyDescent="0.25">
      <c r="A752" t="s">
        <v>796</v>
      </c>
      <c r="B752">
        <v>18.989999999999998</v>
      </c>
      <c r="C752">
        <v>89.3</v>
      </c>
      <c r="D752">
        <v>10.19</v>
      </c>
      <c r="E752">
        <v>49.62</v>
      </c>
      <c r="F752">
        <v>81.77</v>
      </c>
      <c r="G752">
        <v>29.3</v>
      </c>
      <c r="H752">
        <v>71.48</v>
      </c>
      <c r="I752">
        <v>15.8</v>
      </c>
      <c r="J752">
        <v>69.37</v>
      </c>
      <c r="K752">
        <v>16.43</v>
      </c>
      <c r="L752">
        <v>54.5</v>
      </c>
      <c r="M752">
        <v>48.69</v>
      </c>
      <c r="N752">
        <f t="shared" si="11"/>
        <v>49.155000000000001</v>
      </c>
      <c r="AE752">
        <v>18.989999999999998</v>
      </c>
    </row>
    <row r="753" spans="1:31" x14ac:dyDescent="0.25">
      <c r="A753" t="s">
        <v>797</v>
      </c>
      <c r="B753">
        <v>18.64</v>
      </c>
      <c r="C753">
        <v>61.79</v>
      </c>
      <c r="D753">
        <v>14.43</v>
      </c>
      <c r="E753">
        <v>85.64</v>
      </c>
      <c r="F753">
        <v>29.99</v>
      </c>
      <c r="G753">
        <v>14.39</v>
      </c>
      <c r="H753">
        <v>63.98</v>
      </c>
      <c r="I753">
        <v>57.57</v>
      </c>
      <c r="J753">
        <v>5.05</v>
      </c>
      <c r="K753">
        <v>96.9</v>
      </c>
      <c r="L753">
        <v>160.30000000000001</v>
      </c>
      <c r="M753">
        <v>13.1</v>
      </c>
      <c r="N753">
        <f t="shared" si="11"/>
        <v>43.78</v>
      </c>
      <c r="AE753">
        <v>18.64</v>
      </c>
    </row>
    <row r="754" spans="1:31" x14ac:dyDescent="0.25">
      <c r="A754" t="s">
        <v>798</v>
      </c>
      <c r="B754">
        <v>17.52</v>
      </c>
      <c r="C754">
        <v>0.18</v>
      </c>
      <c r="D754">
        <v>26.35</v>
      </c>
      <c r="E754">
        <v>126.33</v>
      </c>
      <c r="F754">
        <v>137.01</v>
      </c>
      <c r="G754">
        <v>48.56</v>
      </c>
      <c r="H754">
        <v>12.43</v>
      </c>
      <c r="I754">
        <v>12.65</v>
      </c>
      <c r="J754">
        <v>126.61</v>
      </c>
      <c r="K754">
        <v>193.13</v>
      </c>
      <c r="L754">
        <v>2.31</v>
      </c>
      <c r="M754">
        <v>0.18</v>
      </c>
      <c r="N754">
        <f t="shared" si="11"/>
        <v>21.935000000000002</v>
      </c>
      <c r="AE754">
        <v>17.52</v>
      </c>
    </row>
    <row r="755" spans="1:31" x14ac:dyDescent="0.25">
      <c r="A755" t="s">
        <v>799</v>
      </c>
      <c r="B755">
        <v>19.190000000000001</v>
      </c>
      <c r="C755">
        <v>28.55</v>
      </c>
      <c r="D755">
        <v>16.11</v>
      </c>
      <c r="E755">
        <v>66.5</v>
      </c>
      <c r="F755">
        <v>23.73</v>
      </c>
      <c r="G755">
        <v>30.66</v>
      </c>
      <c r="H755">
        <v>143.19</v>
      </c>
      <c r="I755">
        <v>112.14</v>
      </c>
      <c r="J755">
        <v>128.87</v>
      </c>
      <c r="K755">
        <v>18.45</v>
      </c>
      <c r="L755">
        <v>92.76</v>
      </c>
      <c r="M755">
        <v>25.91</v>
      </c>
      <c r="N755">
        <f t="shared" si="11"/>
        <v>29.605</v>
      </c>
      <c r="AE755">
        <v>19.190000000000001</v>
      </c>
    </row>
    <row r="756" spans="1:31" x14ac:dyDescent="0.25">
      <c r="A756" t="s">
        <v>800</v>
      </c>
      <c r="B756">
        <v>17.829999999999998</v>
      </c>
      <c r="C756">
        <v>65.3</v>
      </c>
      <c r="D756">
        <v>34.049999999999997</v>
      </c>
      <c r="E756">
        <v>0</v>
      </c>
      <c r="F756">
        <v>114.34</v>
      </c>
      <c r="G756">
        <v>27.68</v>
      </c>
      <c r="H756">
        <v>79.53</v>
      </c>
      <c r="I756">
        <v>64.19</v>
      </c>
      <c r="J756">
        <v>10.71</v>
      </c>
      <c r="K756">
        <v>50.34</v>
      </c>
      <c r="L756">
        <v>173.73</v>
      </c>
      <c r="M756">
        <v>23.13</v>
      </c>
      <c r="N756">
        <f t="shared" si="11"/>
        <v>42.195</v>
      </c>
      <c r="AE756">
        <v>17.829999999999998</v>
      </c>
    </row>
    <row r="757" spans="1:31" x14ac:dyDescent="0.25">
      <c r="A757" t="s">
        <v>801</v>
      </c>
      <c r="B757">
        <v>17.79</v>
      </c>
      <c r="C757">
        <v>70.319999999999993</v>
      </c>
      <c r="D757">
        <v>0.27</v>
      </c>
      <c r="E757">
        <v>93.64</v>
      </c>
      <c r="F757">
        <v>56.42</v>
      </c>
      <c r="G757">
        <v>2.1800000000000002</v>
      </c>
      <c r="H757">
        <v>19.059999999999999</v>
      </c>
      <c r="I757">
        <v>27.08</v>
      </c>
      <c r="J757">
        <v>59.78</v>
      </c>
      <c r="K757">
        <v>45.42</v>
      </c>
      <c r="L757">
        <v>8.94</v>
      </c>
      <c r="M757">
        <v>84.6</v>
      </c>
      <c r="N757">
        <f t="shared" si="11"/>
        <v>36.25</v>
      </c>
      <c r="AE757">
        <v>17.79</v>
      </c>
    </row>
    <row r="758" spans="1:31" x14ac:dyDescent="0.25">
      <c r="A758" t="s">
        <v>802</v>
      </c>
      <c r="B758">
        <v>17.8</v>
      </c>
      <c r="C758">
        <v>26.13</v>
      </c>
      <c r="D758">
        <v>72.739999999999995</v>
      </c>
      <c r="E758">
        <v>47.43</v>
      </c>
      <c r="F758">
        <v>34.68</v>
      </c>
      <c r="G758">
        <v>29.03</v>
      </c>
      <c r="H758">
        <v>37.65</v>
      </c>
      <c r="I758">
        <v>158.29</v>
      </c>
      <c r="J758">
        <v>26.97</v>
      </c>
      <c r="K758">
        <v>7.99</v>
      </c>
      <c r="L758">
        <v>42.34</v>
      </c>
      <c r="M758">
        <v>85.48</v>
      </c>
      <c r="N758">
        <f t="shared" si="11"/>
        <v>36.164999999999999</v>
      </c>
      <c r="AE758">
        <v>17.8</v>
      </c>
    </row>
    <row r="759" spans="1:31" x14ac:dyDescent="0.25">
      <c r="A759" t="s">
        <v>803</v>
      </c>
      <c r="B759">
        <v>17.239999999999998</v>
      </c>
      <c r="C759">
        <v>0.09</v>
      </c>
      <c r="D759">
        <v>79.180000000000007</v>
      </c>
      <c r="E759">
        <v>34.17</v>
      </c>
      <c r="F759">
        <v>162.69</v>
      </c>
      <c r="G759">
        <v>54.64</v>
      </c>
      <c r="H759">
        <v>10.94</v>
      </c>
      <c r="I759">
        <v>87.14</v>
      </c>
      <c r="J759">
        <v>75.040000000000006</v>
      </c>
      <c r="K759">
        <v>97.68</v>
      </c>
      <c r="L759">
        <v>89.16</v>
      </c>
      <c r="M759">
        <v>2.16</v>
      </c>
      <c r="N759">
        <f t="shared" si="11"/>
        <v>64.84</v>
      </c>
      <c r="AE759">
        <v>17.239999999999998</v>
      </c>
    </row>
    <row r="760" spans="1:31" x14ac:dyDescent="0.25">
      <c r="A760" t="s">
        <v>804</v>
      </c>
      <c r="B760">
        <v>18.82</v>
      </c>
      <c r="C760">
        <v>20.13</v>
      </c>
      <c r="D760">
        <v>18.23</v>
      </c>
      <c r="E760">
        <v>19.61</v>
      </c>
      <c r="F760">
        <v>27.63</v>
      </c>
      <c r="G760">
        <v>10.24</v>
      </c>
      <c r="H760">
        <v>39.75</v>
      </c>
      <c r="I760">
        <v>233.87</v>
      </c>
      <c r="J760">
        <v>20.41</v>
      </c>
      <c r="K760">
        <v>79.42</v>
      </c>
      <c r="L760">
        <v>10.48</v>
      </c>
      <c r="M760">
        <v>53.56</v>
      </c>
      <c r="N760">
        <f t="shared" si="11"/>
        <v>20.27</v>
      </c>
      <c r="AE760">
        <v>18.82</v>
      </c>
    </row>
    <row r="761" spans="1:31" x14ac:dyDescent="0.25">
      <c r="A761" t="s">
        <v>805</v>
      </c>
      <c r="B761">
        <v>17.350000000000001</v>
      </c>
      <c r="C761">
        <v>39.78</v>
      </c>
      <c r="D761">
        <v>60.82</v>
      </c>
      <c r="E761">
        <v>63.7</v>
      </c>
      <c r="F761">
        <v>98.59</v>
      </c>
      <c r="G761">
        <v>126.26</v>
      </c>
      <c r="H761">
        <v>95.7</v>
      </c>
      <c r="I761">
        <v>55.73</v>
      </c>
      <c r="J761">
        <v>128.79</v>
      </c>
      <c r="K761">
        <v>159.02000000000001</v>
      </c>
      <c r="L761">
        <v>53.93</v>
      </c>
      <c r="M761">
        <v>15.47</v>
      </c>
      <c r="N761">
        <f t="shared" si="11"/>
        <v>62.260000000000005</v>
      </c>
      <c r="AE761">
        <v>17.350000000000001</v>
      </c>
    </row>
    <row r="762" spans="1:31" x14ac:dyDescent="0.25">
      <c r="A762" t="s">
        <v>806</v>
      </c>
      <c r="B762">
        <v>18.41</v>
      </c>
      <c r="C762">
        <v>98.05</v>
      </c>
      <c r="D762">
        <v>22.17</v>
      </c>
      <c r="E762">
        <v>37.33</v>
      </c>
      <c r="F762">
        <v>34.93</v>
      </c>
      <c r="G762">
        <v>92.51</v>
      </c>
      <c r="H762">
        <v>26.82</v>
      </c>
      <c r="I762">
        <v>51.38</v>
      </c>
      <c r="J762">
        <v>24.08</v>
      </c>
      <c r="K762">
        <v>111.05</v>
      </c>
      <c r="L762">
        <v>51.25</v>
      </c>
      <c r="M762">
        <v>46.71</v>
      </c>
      <c r="N762">
        <f t="shared" si="11"/>
        <v>42.019999999999996</v>
      </c>
      <c r="AE762">
        <v>18.41</v>
      </c>
    </row>
    <row r="763" spans="1:31" x14ac:dyDescent="0.25">
      <c r="A763" t="s">
        <v>807</v>
      </c>
      <c r="B763">
        <v>17.45</v>
      </c>
      <c r="C763">
        <v>45.95</v>
      </c>
      <c r="D763">
        <v>6.8</v>
      </c>
      <c r="E763">
        <v>18.010000000000002</v>
      </c>
      <c r="F763">
        <v>114.78</v>
      </c>
      <c r="G763">
        <v>69.47</v>
      </c>
      <c r="H763">
        <v>30.54</v>
      </c>
      <c r="I763">
        <v>44.36</v>
      </c>
      <c r="J763">
        <v>119.24</v>
      </c>
      <c r="K763">
        <v>103.18</v>
      </c>
      <c r="L763">
        <v>0.09</v>
      </c>
      <c r="M763">
        <v>36.17</v>
      </c>
      <c r="N763">
        <f t="shared" si="11"/>
        <v>40.265000000000001</v>
      </c>
      <c r="AE763">
        <v>17.45</v>
      </c>
    </row>
    <row r="764" spans="1:31" x14ac:dyDescent="0.25">
      <c r="A764" t="s">
        <v>808</v>
      </c>
      <c r="B764">
        <v>17</v>
      </c>
      <c r="C764">
        <v>50.01</v>
      </c>
      <c r="D764">
        <v>62.25</v>
      </c>
      <c r="E764">
        <v>57.8</v>
      </c>
      <c r="F764">
        <v>18.36</v>
      </c>
      <c r="G764">
        <v>6.62</v>
      </c>
      <c r="H764">
        <v>12.32</v>
      </c>
      <c r="I764">
        <v>39.64</v>
      </c>
      <c r="J764">
        <v>25.19</v>
      </c>
      <c r="K764">
        <v>47.55</v>
      </c>
      <c r="L764">
        <v>129.99</v>
      </c>
      <c r="M764">
        <v>9.44</v>
      </c>
      <c r="N764">
        <f t="shared" si="11"/>
        <v>32.414999999999999</v>
      </c>
      <c r="AE764">
        <v>17</v>
      </c>
    </row>
    <row r="765" spans="1:31" x14ac:dyDescent="0.25">
      <c r="A765" t="s">
        <v>809</v>
      </c>
      <c r="B765">
        <v>17.329999999999998</v>
      </c>
      <c r="C765">
        <v>32.090000000000003</v>
      </c>
      <c r="D765">
        <v>66.53</v>
      </c>
      <c r="E765">
        <v>0.81</v>
      </c>
      <c r="F765">
        <v>4.4800000000000004</v>
      </c>
      <c r="G765">
        <v>8.74</v>
      </c>
      <c r="H765">
        <v>31.29</v>
      </c>
      <c r="I765">
        <v>1.53</v>
      </c>
      <c r="J765">
        <v>34.119999999999997</v>
      </c>
      <c r="K765">
        <v>205.46</v>
      </c>
      <c r="L765">
        <v>16.82</v>
      </c>
      <c r="M765">
        <v>75.98</v>
      </c>
      <c r="N765">
        <f t="shared" si="11"/>
        <v>24.31</v>
      </c>
      <c r="AE765">
        <v>17.329999999999998</v>
      </c>
    </row>
    <row r="766" spans="1:31" x14ac:dyDescent="0.25">
      <c r="A766" t="s">
        <v>810</v>
      </c>
      <c r="B766">
        <v>18.54</v>
      </c>
      <c r="C766">
        <v>85.01</v>
      </c>
      <c r="D766">
        <v>39.1</v>
      </c>
      <c r="E766">
        <v>23.04</v>
      </c>
      <c r="F766">
        <v>21.52</v>
      </c>
      <c r="G766">
        <v>44.39</v>
      </c>
      <c r="H766">
        <v>20.92</v>
      </c>
      <c r="I766">
        <v>104.74</v>
      </c>
      <c r="J766">
        <v>10.24</v>
      </c>
      <c r="K766">
        <v>15.15</v>
      </c>
      <c r="L766">
        <v>122.94</v>
      </c>
      <c r="M766">
        <v>136.91999999999999</v>
      </c>
      <c r="N766">
        <f t="shared" si="11"/>
        <v>31.07</v>
      </c>
      <c r="AE766">
        <v>18.54</v>
      </c>
    </row>
    <row r="767" spans="1:31" x14ac:dyDescent="0.25">
      <c r="A767" t="s">
        <v>811</v>
      </c>
      <c r="B767">
        <v>18.62</v>
      </c>
      <c r="C767">
        <v>99.07</v>
      </c>
      <c r="D767">
        <v>17.170000000000002</v>
      </c>
      <c r="E767">
        <v>125.7</v>
      </c>
      <c r="F767">
        <v>20.46</v>
      </c>
      <c r="G767">
        <v>15.83</v>
      </c>
      <c r="H767">
        <v>26.26</v>
      </c>
      <c r="I767">
        <v>32.74</v>
      </c>
      <c r="J767">
        <v>52.65</v>
      </c>
      <c r="K767">
        <v>135.43</v>
      </c>
      <c r="L767">
        <v>38.65</v>
      </c>
      <c r="M767">
        <v>61.1</v>
      </c>
      <c r="N767">
        <f t="shared" si="11"/>
        <v>35.695</v>
      </c>
      <c r="AE767">
        <v>18.62</v>
      </c>
    </row>
    <row r="768" spans="1:31" x14ac:dyDescent="0.25">
      <c r="A768" t="s">
        <v>812</v>
      </c>
      <c r="B768">
        <v>18.22</v>
      </c>
      <c r="C768">
        <v>30.3</v>
      </c>
      <c r="D768">
        <v>15.04</v>
      </c>
      <c r="E768">
        <v>33.68</v>
      </c>
      <c r="F768">
        <v>27.7</v>
      </c>
      <c r="G768">
        <v>185.33</v>
      </c>
      <c r="H768">
        <v>37.31</v>
      </c>
      <c r="I768">
        <v>45.33</v>
      </c>
      <c r="J768">
        <v>12.29</v>
      </c>
      <c r="K768">
        <v>35.58</v>
      </c>
      <c r="L768">
        <v>17.63</v>
      </c>
      <c r="M768">
        <v>62.29</v>
      </c>
      <c r="N768">
        <f t="shared" si="11"/>
        <v>31.990000000000002</v>
      </c>
      <c r="AE768">
        <v>18.22</v>
      </c>
    </row>
    <row r="769" spans="1:31" x14ac:dyDescent="0.25">
      <c r="A769" t="s">
        <v>813</v>
      </c>
      <c r="B769">
        <v>18.079999999999998</v>
      </c>
      <c r="C769">
        <v>34.96</v>
      </c>
      <c r="D769">
        <v>130.75</v>
      </c>
      <c r="E769">
        <v>20.61</v>
      </c>
      <c r="F769">
        <v>38.53</v>
      </c>
      <c r="G769">
        <v>67.459999999999994</v>
      </c>
      <c r="H769">
        <v>63.63</v>
      </c>
      <c r="I769">
        <v>55.01</v>
      </c>
      <c r="J769">
        <v>59.73</v>
      </c>
      <c r="K769">
        <v>16.64</v>
      </c>
      <c r="L769">
        <v>30.96</v>
      </c>
      <c r="M769">
        <v>69.959999999999994</v>
      </c>
      <c r="N769">
        <f t="shared" si="11"/>
        <v>46.769999999999996</v>
      </c>
      <c r="AE769">
        <v>18.079999999999998</v>
      </c>
    </row>
    <row r="770" spans="1:31" x14ac:dyDescent="0.25">
      <c r="A770" t="s">
        <v>814</v>
      </c>
      <c r="B770">
        <v>18.260000000000002</v>
      </c>
      <c r="C770">
        <v>22.97</v>
      </c>
      <c r="D770">
        <v>35.520000000000003</v>
      </c>
      <c r="E770">
        <v>30.26</v>
      </c>
      <c r="F770">
        <v>146.66</v>
      </c>
      <c r="G770">
        <v>65.64</v>
      </c>
      <c r="H770">
        <v>23.94</v>
      </c>
      <c r="I770">
        <v>69.650000000000006</v>
      </c>
      <c r="J770">
        <v>36.51</v>
      </c>
      <c r="K770">
        <v>17.22</v>
      </c>
      <c r="L770">
        <v>35.15</v>
      </c>
      <c r="M770">
        <v>45.33</v>
      </c>
      <c r="N770">
        <f t="shared" si="11"/>
        <v>35.335000000000001</v>
      </c>
      <c r="AE770">
        <v>18.260000000000002</v>
      </c>
    </row>
    <row r="771" spans="1:31" x14ac:dyDescent="0.25">
      <c r="A771" t="s">
        <v>815</v>
      </c>
      <c r="B771">
        <v>16.48</v>
      </c>
      <c r="C771">
        <v>79.650000000000006</v>
      </c>
      <c r="D771">
        <v>49.27</v>
      </c>
      <c r="E771">
        <v>0.09</v>
      </c>
      <c r="F771">
        <v>14.57</v>
      </c>
      <c r="G771">
        <v>56.67</v>
      </c>
      <c r="H771">
        <v>174.69</v>
      </c>
      <c r="I771">
        <v>187.03</v>
      </c>
      <c r="J771">
        <v>6.1</v>
      </c>
      <c r="K771">
        <v>30.65</v>
      </c>
      <c r="L771">
        <v>16.11</v>
      </c>
      <c r="M771">
        <v>39.15</v>
      </c>
      <c r="N771">
        <f t="shared" ref="N771:N834" si="12">MEDIAN(B771:M771)</f>
        <v>34.9</v>
      </c>
      <c r="AE771">
        <v>16.48</v>
      </c>
    </row>
    <row r="772" spans="1:31" x14ac:dyDescent="0.25">
      <c r="A772" t="s">
        <v>816</v>
      </c>
      <c r="B772">
        <v>18.48</v>
      </c>
      <c r="C772">
        <v>20.25</v>
      </c>
      <c r="D772">
        <v>78.48</v>
      </c>
      <c r="E772">
        <v>58.4</v>
      </c>
      <c r="F772">
        <v>33.590000000000003</v>
      </c>
      <c r="G772">
        <v>120.43</v>
      </c>
      <c r="H772">
        <v>71.52</v>
      </c>
      <c r="I772">
        <v>139.69</v>
      </c>
      <c r="J772">
        <v>110.48</v>
      </c>
      <c r="K772">
        <v>26.03</v>
      </c>
      <c r="L772">
        <v>67.010000000000005</v>
      </c>
      <c r="M772">
        <v>44.87</v>
      </c>
      <c r="N772">
        <f t="shared" si="12"/>
        <v>62.704999999999998</v>
      </c>
      <c r="AE772">
        <v>18.48</v>
      </c>
    </row>
    <row r="773" spans="1:31" x14ac:dyDescent="0.25">
      <c r="A773" t="s">
        <v>817</v>
      </c>
      <c r="B773">
        <v>15.89</v>
      </c>
      <c r="C773">
        <v>27.8</v>
      </c>
      <c r="D773">
        <v>9.6</v>
      </c>
      <c r="E773">
        <v>110.34</v>
      </c>
      <c r="F773">
        <v>0.85</v>
      </c>
      <c r="G773">
        <v>12.96</v>
      </c>
      <c r="H773">
        <v>5.69</v>
      </c>
      <c r="I773">
        <v>372.76</v>
      </c>
      <c r="J773">
        <v>41.87</v>
      </c>
      <c r="K773">
        <v>26.2</v>
      </c>
      <c r="L773">
        <v>32.49</v>
      </c>
      <c r="M773">
        <v>2.52</v>
      </c>
      <c r="N773">
        <f t="shared" si="12"/>
        <v>21.045000000000002</v>
      </c>
      <c r="AE773">
        <v>15.89</v>
      </c>
    </row>
    <row r="774" spans="1:31" x14ac:dyDescent="0.25">
      <c r="A774" t="s">
        <v>818</v>
      </c>
      <c r="B774">
        <v>15.92</v>
      </c>
      <c r="C774">
        <v>29.59</v>
      </c>
      <c r="D774">
        <v>34.29</v>
      </c>
      <c r="E774">
        <v>60.45</v>
      </c>
      <c r="F774">
        <v>69.88</v>
      </c>
      <c r="G774">
        <v>100.81</v>
      </c>
      <c r="H774">
        <v>11.71</v>
      </c>
      <c r="I774">
        <v>9.68</v>
      </c>
      <c r="J774">
        <v>0.36</v>
      </c>
      <c r="K774">
        <v>48.13</v>
      </c>
      <c r="L774">
        <v>10.79</v>
      </c>
      <c r="M774">
        <v>91.39</v>
      </c>
      <c r="N774">
        <f t="shared" si="12"/>
        <v>31.939999999999998</v>
      </c>
      <c r="AE774">
        <v>15.92</v>
      </c>
    </row>
    <row r="775" spans="1:31" x14ac:dyDescent="0.25">
      <c r="A775" t="s">
        <v>819</v>
      </c>
      <c r="B775">
        <v>15.61</v>
      </c>
      <c r="C775">
        <v>359.87</v>
      </c>
      <c r="D775">
        <v>0.36</v>
      </c>
      <c r="E775">
        <v>0.9</v>
      </c>
      <c r="F775">
        <v>14.83</v>
      </c>
      <c r="G775">
        <v>135.97</v>
      </c>
      <c r="H775">
        <v>14.56</v>
      </c>
      <c r="I775">
        <v>31.24</v>
      </c>
      <c r="J775">
        <v>17.71</v>
      </c>
      <c r="K775">
        <v>24.55</v>
      </c>
      <c r="L775">
        <v>53.2</v>
      </c>
      <c r="M775">
        <v>5.05</v>
      </c>
      <c r="N775">
        <f t="shared" si="12"/>
        <v>16.66</v>
      </c>
      <c r="AE775">
        <v>15.61</v>
      </c>
    </row>
    <row r="776" spans="1:31" x14ac:dyDescent="0.25">
      <c r="A776" t="s">
        <v>820</v>
      </c>
      <c r="B776">
        <v>16.04</v>
      </c>
      <c r="C776">
        <v>22.19</v>
      </c>
      <c r="D776">
        <v>44.88</v>
      </c>
      <c r="E776">
        <v>97.63</v>
      </c>
      <c r="F776">
        <v>42.76</v>
      </c>
      <c r="G776">
        <v>58.72</v>
      </c>
      <c r="H776">
        <v>0.81</v>
      </c>
      <c r="I776">
        <v>31.02</v>
      </c>
      <c r="J776">
        <v>31.43</v>
      </c>
      <c r="K776">
        <v>271.61</v>
      </c>
      <c r="L776">
        <v>0.18</v>
      </c>
      <c r="M776">
        <v>35.36</v>
      </c>
      <c r="N776">
        <f t="shared" si="12"/>
        <v>33.394999999999996</v>
      </c>
      <c r="AE776">
        <v>16.04</v>
      </c>
    </row>
    <row r="777" spans="1:31" x14ac:dyDescent="0.25">
      <c r="A777" t="s">
        <v>821</v>
      </c>
      <c r="B777">
        <v>15.5</v>
      </c>
      <c r="C777">
        <v>73.400000000000006</v>
      </c>
      <c r="D777">
        <v>34.479999999999997</v>
      </c>
      <c r="E777">
        <v>160.76</v>
      </c>
      <c r="F777">
        <v>35.29</v>
      </c>
      <c r="G777">
        <v>183.2</v>
      </c>
      <c r="H777">
        <v>22.82</v>
      </c>
      <c r="I777">
        <v>7.82</v>
      </c>
      <c r="J777">
        <v>45.01</v>
      </c>
      <c r="K777">
        <v>46.1</v>
      </c>
      <c r="L777">
        <v>22.8</v>
      </c>
      <c r="M777">
        <v>30.6</v>
      </c>
      <c r="N777">
        <f t="shared" si="12"/>
        <v>34.884999999999998</v>
      </c>
      <c r="AE777">
        <v>15.5</v>
      </c>
    </row>
    <row r="778" spans="1:31" x14ac:dyDescent="0.25">
      <c r="A778" t="s">
        <v>822</v>
      </c>
      <c r="B778">
        <v>17.690000000000001</v>
      </c>
      <c r="C778">
        <v>31.26</v>
      </c>
      <c r="D778">
        <v>30.94</v>
      </c>
      <c r="E778">
        <v>12.57</v>
      </c>
      <c r="F778">
        <v>104.17</v>
      </c>
      <c r="G778">
        <v>12.84</v>
      </c>
      <c r="H778">
        <v>49.48</v>
      </c>
      <c r="I778">
        <v>59.45</v>
      </c>
      <c r="J778">
        <v>85.64</v>
      </c>
      <c r="K778">
        <v>40.909999999999997</v>
      </c>
      <c r="L778">
        <v>58.93</v>
      </c>
      <c r="M778">
        <v>31.66</v>
      </c>
      <c r="N778">
        <f t="shared" si="12"/>
        <v>36.284999999999997</v>
      </c>
      <c r="AE778">
        <v>17.690000000000001</v>
      </c>
    </row>
    <row r="779" spans="1:31" x14ac:dyDescent="0.25">
      <c r="A779" t="s">
        <v>823</v>
      </c>
      <c r="B779">
        <v>17.66</v>
      </c>
      <c r="C779">
        <v>14.99</v>
      </c>
      <c r="D779">
        <v>106.84</v>
      </c>
      <c r="E779">
        <v>26.44</v>
      </c>
      <c r="F779">
        <v>57.55</v>
      </c>
      <c r="G779">
        <v>21.84</v>
      </c>
      <c r="H779">
        <v>60.44</v>
      </c>
      <c r="I779">
        <v>21.8</v>
      </c>
      <c r="J779">
        <v>58.99</v>
      </c>
      <c r="K779">
        <v>45.35</v>
      </c>
      <c r="L779">
        <v>131.4</v>
      </c>
      <c r="M779">
        <v>11.56</v>
      </c>
      <c r="N779">
        <f t="shared" si="12"/>
        <v>35.895000000000003</v>
      </c>
      <c r="AE779">
        <v>17.66</v>
      </c>
    </row>
    <row r="780" spans="1:31" x14ac:dyDescent="0.25">
      <c r="A780" t="s">
        <v>824</v>
      </c>
      <c r="B780">
        <v>17.670000000000002</v>
      </c>
      <c r="C780">
        <v>34.380000000000003</v>
      </c>
      <c r="D780">
        <v>31.78</v>
      </c>
      <c r="E780">
        <v>10.49</v>
      </c>
      <c r="F780">
        <v>36.909999999999997</v>
      </c>
      <c r="G780">
        <v>196.04</v>
      </c>
      <c r="H780">
        <v>124.88</v>
      </c>
      <c r="I780">
        <v>73</v>
      </c>
      <c r="J780">
        <v>28.95</v>
      </c>
      <c r="K780">
        <v>11.84</v>
      </c>
      <c r="L780">
        <v>82.91</v>
      </c>
      <c r="M780">
        <v>20.58</v>
      </c>
      <c r="N780">
        <f t="shared" si="12"/>
        <v>33.08</v>
      </c>
      <c r="AE780">
        <v>17.670000000000002</v>
      </c>
    </row>
    <row r="781" spans="1:31" x14ac:dyDescent="0.25">
      <c r="A781" t="s">
        <v>825</v>
      </c>
      <c r="B781">
        <v>15.02</v>
      </c>
      <c r="C781">
        <v>155.49</v>
      </c>
      <c r="D781">
        <v>65.45</v>
      </c>
      <c r="E781">
        <v>275.08</v>
      </c>
      <c r="F781">
        <v>20.440000000000001</v>
      </c>
      <c r="G781">
        <v>37.83</v>
      </c>
      <c r="H781">
        <v>41.06</v>
      </c>
      <c r="I781">
        <v>34.5</v>
      </c>
      <c r="J781">
        <v>13.59</v>
      </c>
      <c r="K781">
        <v>50.53</v>
      </c>
      <c r="L781">
        <v>77.89</v>
      </c>
      <c r="M781">
        <v>9.67</v>
      </c>
      <c r="N781">
        <f t="shared" si="12"/>
        <v>39.445</v>
      </c>
      <c r="AE781">
        <v>15.02</v>
      </c>
    </row>
    <row r="782" spans="1:31" x14ac:dyDescent="0.25">
      <c r="A782" t="s">
        <v>826</v>
      </c>
      <c r="B782">
        <v>17.649999999999999</v>
      </c>
      <c r="C782">
        <v>39.83</v>
      </c>
      <c r="D782">
        <v>12.17</v>
      </c>
      <c r="E782">
        <v>84.04</v>
      </c>
      <c r="F782">
        <v>59.87</v>
      </c>
      <c r="G782">
        <v>66.3</v>
      </c>
      <c r="H782">
        <v>67.19</v>
      </c>
      <c r="I782">
        <v>15.33</v>
      </c>
      <c r="J782">
        <v>49.14</v>
      </c>
      <c r="K782">
        <v>27.25</v>
      </c>
      <c r="L782">
        <v>44.65</v>
      </c>
      <c r="M782">
        <v>10.14</v>
      </c>
      <c r="N782">
        <f t="shared" si="12"/>
        <v>42.239999999999995</v>
      </c>
      <c r="AE782">
        <v>17.649999999999999</v>
      </c>
    </row>
    <row r="783" spans="1:31" x14ac:dyDescent="0.25">
      <c r="A783" t="s">
        <v>827</v>
      </c>
      <c r="B783">
        <v>14.58</v>
      </c>
      <c r="C783">
        <v>103.83</v>
      </c>
      <c r="D783">
        <v>24.86</v>
      </c>
      <c r="E783">
        <v>83.78</v>
      </c>
      <c r="F783">
        <v>152.28</v>
      </c>
      <c r="G783">
        <v>21.41</v>
      </c>
      <c r="H783">
        <v>14.19</v>
      </c>
      <c r="I783">
        <v>0</v>
      </c>
      <c r="J783">
        <v>1.44</v>
      </c>
      <c r="K783">
        <v>4.34</v>
      </c>
      <c r="L783">
        <v>98.23</v>
      </c>
      <c r="M783">
        <v>36.57</v>
      </c>
      <c r="N783">
        <f t="shared" si="12"/>
        <v>23.134999999999998</v>
      </c>
      <c r="AE783">
        <v>14.58</v>
      </c>
    </row>
    <row r="784" spans="1:31" x14ac:dyDescent="0.25">
      <c r="A784" t="s">
        <v>828</v>
      </c>
      <c r="B784">
        <v>14.99</v>
      </c>
      <c r="C784">
        <v>126.16</v>
      </c>
      <c r="D784">
        <v>18.239999999999998</v>
      </c>
      <c r="E784">
        <v>1.26</v>
      </c>
      <c r="F784">
        <v>54.72</v>
      </c>
      <c r="G784">
        <v>51.06</v>
      </c>
      <c r="H784">
        <v>0.45</v>
      </c>
      <c r="I784">
        <v>13.03</v>
      </c>
      <c r="J784">
        <v>111.5</v>
      </c>
      <c r="K784">
        <v>55.19</v>
      </c>
      <c r="L784">
        <v>51.95</v>
      </c>
      <c r="M784">
        <v>30.17</v>
      </c>
      <c r="N784">
        <f t="shared" si="12"/>
        <v>40.615000000000002</v>
      </c>
      <c r="AE784">
        <v>14.99</v>
      </c>
    </row>
    <row r="785" spans="1:31" x14ac:dyDescent="0.25">
      <c r="A785" t="s">
        <v>829</v>
      </c>
      <c r="B785">
        <v>17.41</v>
      </c>
      <c r="C785">
        <v>14.88</v>
      </c>
      <c r="D785">
        <v>45.62</v>
      </c>
      <c r="E785">
        <v>152.63999999999999</v>
      </c>
      <c r="F785">
        <v>11.68</v>
      </c>
      <c r="G785">
        <v>164</v>
      </c>
      <c r="H785">
        <v>63.18</v>
      </c>
      <c r="I785">
        <v>80.819999999999993</v>
      </c>
      <c r="J785">
        <v>10.19</v>
      </c>
      <c r="K785">
        <v>27.14</v>
      </c>
      <c r="L785">
        <v>10.09</v>
      </c>
      <c r="M785">
        <v>19.5</v>
      </c>
      <c r="N785">
        <f t="shared" si="12"/>
        <v>23.32</v>
      </c>
      <c r="AE785">
        <v>17.41</v>
      </c>
    </row>
    <row r="786" spans="1:31" x14ac:dyDescent="0.25">
      <c r="A786" t="s">
        <v>830</v>
      </c>
      <c r="B786">
        <v>14.38</v>
      </c>
      <c r="C786">
        <v>27.07</v>
      </c>
      <c r="D786">
        <v>6.29</v>
      </c>
      <c r="E786">
        <v>13.79</v>
      </c>
      <c r="F786">
        <v>34.380000000000003</v>
      </c>
      <c r="G786">
        <v>43.98</v>
      </c>
      <c r="H786">
        <v>55.84</v>
      </c>
      <c r="I786">
        <v>106</v>
      </c>
      <c r="J786">
        <v>12.45</v>
      </c>
      <c r="K786">
        <v>117.93</v>
      </c>
      <c r="L786">
        <v>0.45</v>
      </c>
      <c r="M786">
        <v>37.29</v>
      </c>
      <c r="N786">
        <f t="shared" si="12"/>
        <v>30.725000000000001</v>
      </c>
      <c r="AE786">
        <v>14.38</v>
      </c>
    </row>
    <row r="787" spans="1:31" x14ac:dyDescent="0.25">
      <c r="A787" t="s">
        <v>831</v>
      </c>
      <c r="B787">
        <v>17.48</v>
      </c>
      <c r="C787">
        <v>10.039999999999999</v>
      </c>
      <c r="D787">
        <v>57.03</v>
      </c>
      <c r="E787">
        <v>30.68</v>
      </c>
      <c r="F787">
        <v>40.11</v>
      </c>
      <c r="G787">
        <v>84.31</v>
      </c>
      <c r="H787">
        <v>49.04</v>
      </c>
      <c r="I787">
        <v>9.99</v>
      </c>
      <c r="J787">
        <v>160.13999999999999</v>
      </c>
      <c r="K787">
        <v>37.270000000000003</v>
      </c>
      <c r="L787">
        <v>10.44</v>
      </c>
      <c r="M787">
        <v>191.32</v>
      </c>
      <c r="N787">
        <f t="shared" si="12"/>
        <v>38.69</v>
      </c>
      <c r="AE787">
        <v>17.48</v>
      </c>
    </row>
    <row r="788" spans="1:31" x14ac:dyDescent="0.25">
      <c r="A788" t="s">
        <v>832</v>
      </c>
      <c r="B788">
        <v>14.28</v>
      </c>
      <c r="C788">
        <v>12.17</v>
      </c>
      <c r="D788">
        <v>34.81</v>
      </c>
      <c r="E788">
        <v>27.04</v>
      </c>
      <c r="F788">
        <v>32.54</v>
      </c>
      <c r="G788">
        <v>136.59</v>
      </c>
      <c r="H788">
        <v>211.27</v>
      </c>
      <c r="I788">
        <v>150.55000000000001</v>
      </c>
      <c r="J788">
        <v>49.09</v>
      </c>
      <c r="K788">
        <v>149.18</v>
      </c>
      <c r="L788">
        <v>195.38</v>
      </c>
      <c r="M788">
        <v>46.75</v>
      </c>
      <c r="N788">
        <f t="shared" si="12"/>
        <v>47.92</v>
      </c>
      <c r="AE788">
        <v>14.28</v>
      </c>
    </row>
    <row r="789" spans="1:31" x14ac:dyDescent="0.25">
      <c r="A789" t="s">
        <v>833</v>
      </c>
      <c r="B789">
        <v>17.100000000000001</v>
      </c>
      <c r="C789">
        <v>49.24</v>
      </c>
      <c r="D789">
        <v>19.93</v>
      </c>
      <c r="E789">
        <v>47.36</v>
      </c>
      <c r="F789">
        <v>32.36</v>
      </c>
      <c r="G789">
        <v>10.29</v>
      </c>
      <c r="H789">
        <v>141.9</v>
      </c>
      <c r="I789">
        <v>101.41</v>
      </c>
      <c r="J789">
        <v>83.87</v>
      </c>
      <c r="K789">
        <v>60.42</v>
      </c>
      <c r="L789">
        <v>44.98</v>
      </c>
      <c r="M789">
        <v>47.56</v>
      </c>
      <c r="N789">
        <f t="shared" si="12"/>
        <v>47.46</v>
      </c>
      <c r="AE789">
        <v>17.100000000000001</v>
      </c>
    </row>
    <row r="790" spans="1:31" x14ac:dyDescent="0.25">
      <c r="A790" t="s">
        <v>834</v>
      </c>
      <c r="B790">
        <v>17.170000000000002</v>
      </c>
      <c r="C790">
        <v>22.07</v>
      </c>
      <c r="D790">
        <v>17.34</v>
      </c>
      <c r="E790">
        <v>70.73</v>
      </c>
      <c r="F790">
        <v>10.41</v>
      </c>
      <c r="G790">
        <v>40.729999999999997</v>
      </c>
      <c r="H790">
        <v>46.72</v>
      </c>
      <c r="I790">
        <v>129.31</v>
      </c>
      <c r="J790">
        <v>276.22000000000003</v>
      </c>
      <c r="K790">
        <v>124.62</v>
      </c>
      <c r="L790">
        <v>47.18</v>
      </c>
      <c r="M790">
        <v>60.9</v>
      </c>
      <c r="N790">
        <f t="shared" si="12"/>
        <v>46.95</v>
      </c>
      <c r="AE790">
        <v>17.170000000000002</v>
      </c>
    </row>
    <row r="791" spans="1:31" x14ac:dyDescent="0.25">
      <c r="A791" t="s">
        <v>835</v>
      </c>
      <c r="B791">
        <v>17.059999999999999</v>
      </c>
      <c r="C791">
        <v>104.89</v>
      </c>
      <c r="D791">
        <v>39.770000000000003</v>
      </c>
      <c r="E791">
        <v>31.82</v>
      </c>
      <c r="F791">
        <v>36.119999999999997</v>
      </c>
      <c r="G791">
        <v>10.29</v>
      </c>
      <c r="H791">
        <v>81.55</v>
      </c>
      <c r="I791">
        <v>27.35</v>
      </c>
      <c r="J791">
        <v>41.04</v>
      </c>
      <c r="K791">
        <v>47.2</v>
      </c>
      <c r="L791">
        <v>50.94</v>
      </c>
      <c r="M791">
        <v>43.8</v>
      </c>
      <c r="N791">
        <f t="shared" si="12"/>
        <v>40.405000000000001</v>
      </c>
      <c r="AE791">
        <v>17.059999999999999</v>
      </c>
    </row>
    <row r="792" spans="1:31" x14ac:dyDescent="0.25">
      <c r="A792" t="s">
        <v>836</v>
      </c>
      <c r="B792">
        <v>17.13</v>
      </c>
      <c r="C792">
        <v>44.11</v>
      </c>
      <c r="D792">
        <v>31.87</v>
      </c>
      <c r="E792">
        <v>26.33</v>
      </c>
      <c r="F792">
        <v>17.399999999999999</v>
      </c>
      <c r="G792">
        <v>33.729999999999997</v>
      </c>
      <c r="H792">
        <v>35.92</v>
      </c>
      <c r="I792">
        <v>145.13</v>
      </c>
      <c r="J792">
        <v>37.85</v>
      </c>
      <c r="K792">
        <v>36.44</v>
      </c>
      <c r="L792">
        <v>10.09</v>
      </c>
      <c r="M792">
        <v>66.930000000000007</v>
      </c>
      <c r="N792">
        <f t="shared" si="12"/>
        <v>34.825000000000003</v>
      </c>
      <c r="AE792">
        <v>17.13</v>
      </c>
    </row>
    <row r="793" spans="1:31" x14ac:dyDescent="0.25">
      <c r="A793" t="s">
        <v>837</v>
      </c>
      <c r="B793">
        <v>14.71</v>
      </c>
      <c r="C793">
        <v>66.3</v>
      </c>
      <c r="D793">
        <v>8.26</v>
      </c>
      <c r="E793">
        <v>58.28</v>
      </c>
      <c r="F793">
        <v>18.079999999999998</v>
      </c>
      <c r="G793">
        <v>94.88</v>
      </c>
      <c r="H793">
        <v>14.42</v>
      </c>
      <c r="I793">
        <v>80.8</v>
      </c>
      <c r="J793">
        <v>67.069999999999993</v>
      </c>
      <c r="K793">
        <v>238.11</v>
      </c>
      <c r="L793">
        <v>176.43</v>
      </c>
      <c r="M793">
        <v>11.57</v>
      </c>
      <c r="N793">
        <f t="shared" si="12"/>
        <v>62.29</v>
      </c>
      <c r="AE793">
        <v>14.71</v>
      </c>
    </row>
    <row r="794" spans="1:31" x14ac:dyDescent="0.25">
      <c r="A794" t="s">
        <v>838</v>
      </c>
      <c r="B794">
        <v>14.18</v>
      </c>
      <c r="C794">
        <v>24.12</v>
      </c>
      <c r="D794">
        <v>65.88</v>
      </c>
      <c r="E794">
        <v>0.54</v>
      </c>
      <c r="F794">
        <v>122.87</v>
      </c>
      <c r="G794">
        <v>0</v>
      </c>
      <c r="H794">
        <v>37.35</v>
      </c>
      <c r="I794">
        <v>101.98</v>
      </c>
      <c r="J794">
        <v>46.06</v>
      </c>
      <c r="K794">
        <v>32.04</v>
      </c>
      <c r="L794">
        <v>52.73</v>
      </c>
      <c r="M794">
        <v>125.27</v>
      </c>
      <c r="N794">
        <f t="shared" si="12"/>
        <v>41.704999999999998</v>
      </c>
      <c r="AE794">
        <v>14.18</v>
      </c>
    </row>
    <row r="795" spans="1:31" x14ac:dyDescent="0.25">
      <c r="A795" t="s">
        <v>839</v>
      </c>
      <c r="B795">
        <v>17.09</v>
      </c>
      <c r="C795">
        <v>10.039999999999999</v>
      </c>
      <c r="D795">
        <v>12.94</v>
      </c>
      <c r="E795">
        <v>24.52</v>
      </c>
      <c r="F795">
        <v>40.89</v>
      </c>
      <c r="G795">
        <v>55.62</v>
      </c>
      <c r="H795">
        <v>118.49</v>
      </c>
      <c r="I795">
        <v>112.46</v>
      </c>
      <c r="J795">
        <v>48.69</v>
      </c>
      <c r="K795">
        <v>10.29</v>
      </c>
      <c r="L795">
        <v>23.74</v>
      </c>
      <c r="M795">
        <v>40.6</v>
      </c>
      <c r="N795">
        <f t="shared" si="12"/>
        <v>32.56</v>
      </c>
      <c r="AE795">
        <v>17.09</v>
      </c>
    </row>
    <row r="796" spans="1:31" x14ac:dyDescent="0.25">
      <c r="A796" t="s">
        <v>840</v>
      </c>
      <c r="B796">
        <v>13.62</v>
      </c>
      <c r="C796">
        <v>45.75</v>
      </c>
      <c r="D796">
        <v>2.0299999999999998</v>
      </c>
      <c r="E796">
        <v>15.57</v>
      </c>
      <c r="F796">
        <v>71.790000000000006</v>
      </c>
      <c r="G796">
        <v>135.46</v>
      </c>
      <c r="H796">
        <v>33.979999999999997</v>
      </c>
      <c r="I796">
        <v>26.71</v>
      </c>
      <c r="J796">
        <v>121.92</v>
      </c>
      <c r="K796">
        <v>174.43</v>
      </c>
      <c r="L796">
        <v>36.119999999999997</v>
      </c>
      <c r="M796">
        <v>2.77</v>
      </c>
      <c r="N796">
        <f t="shared" si="12"/>
        <v>35.049999999999997</v>
      </c>
      <c r="AE796">
        <v>13.62</v>
      </c>
    </row>
    <row r="797" spans="1:31" x14ac:dyDescent="0.25">
      <c r="A797" t="s">
        <v>841</v>
      </c>
      <c r="B797">
        <v>16.88</v>
      </c>
      <c r="C797">
        <v>76.44</v>
      </c>
      <c r="D797">
        <v>21.8</v>
      </c>
      <c r="E797">
        <v>36.42</v>
      </c>
      <c r="F797">
        <v>62.86</v>
      </c>
      <c r="G797">
        <v>67.040000000000006</v>
      </c>
      <c r="H797">
        <v>54.61</v>
      </c>
      <c r="I797">
        <v>24.8</v>
      </c>
      <c r="J797">
        <v>64.180000000000007</v>
      </c>
      <c r="K797">
        <v>56.39</v>
      </c>
      <c r="L797">
        <v>61.87</v>
      </c>
      <c r="M797">
        <v>11.56</v>
      </c>
      <c r="N797">
        <f t="shared" si="12"/>
        <v>55.5</v>
      </c>
      <c r="AE797">
        <v>16.88</v>
      </c>
    </row>
    <row r="798" spans="1:31" x14ac:dyDescent="0.25">
      <c r="A798" t="s">
        <v>842</v>
      </c>
      <c r="B798">
        <v>16.78</v>
      </c>
      <c r="C798">
        <v>10.24</v>
      </c>
      <c r="D798">
        <v>25.29</v>
      </c>
      <c r="E798">
        <v>46.15</v>
      </c>
      <c r="F798">
        <v>93.19</v>
      </c>
      <c r="G798">
        <v>15.63</v>
      </c>
      <c r="H798">
        <v>37.71</v>
      </c>
      <c r="I798">
        <v>61.32</v>
      </c>
      <c r="J798">
        <v>31.14</v>
      </c>
      <c r="K798">
        <v>41.03</v>
      </c>
      <c r="L798">
        <v>55.98</v>
      </c>
      <c r="M798">
        <v>79.650000000000006</v>
      </c>
      <c r="N798">
        <f t="shared" si="12"/>
        <v>39.370000000000005</v>
      </c>
      <c r="AE798">
        <v>16.78</v>
      </c>
    </row>
    <row r="799" spans="1:31" x14ac:dyDescent="0.25">
      <c r="A799" t="s">
        <v>843</v>
      </c>
      <c r="B799">
        <v>16.920000000000002</v>
      </c>
      <c r="C799">
        <v>45.8</v>
      </c>
      <c r="D799">
        <v>88.01</v>
      </c>
      <c r="E799">
        <v>18.63</v>
      </c>
      <c r="F799">
        <v>31.84</v>
      </c>
      <c r="G799">
        <v>12.91</v>
      </c>
      <c r="H799">
        <v>22.38</v>
      </c>
      <c r="I799">
        <v>58.73</v>
      </c>
      <c r="J799">
        <v>57.86</v>
      </c>
      <c r="K799">
        <v>65.47</v>
      </c>
      <c r="L799">
        <v>29.32</v>
      </c>
      <c r="M799">
        <v>85.13</v>
      </c>
      <c r="N799">
        <f t="shared" si="12"/>
        <v>38.82</v>
      </c>
      <c r="AE799">
        <v>16.920000000000002</v>
      </c>
    </row>
    <row r="800" spans="1:31" x14ac:dyDescent="0.25">
      <c r="A800" t="s">
        <v>844</v>
      </c>
      <c r="B800">
        <v>16.649999999999999</v>
      </c>
      <c r="C800">
        <v>44.22</v>
      </c>
      <c r="D800">
        <v>180.29</v>
      </c>
      <c r="E800">
        <v>48.77</v>
      </c>
      <c r="F800">
        <v>22.31</v>
      </c>
      <c r="G800">
        <v>42.86</v>
      </c>
      <c r="H800">
        <v>9.99</v>
      </c>
      <c r="I800">
        <v>11.14</v>
      </c>
      <c r="J800">
        <v>28.97</v>
      </c>
      <c r="K800">
        <v>12.38</v>
      </c>
      <c r="L800">
        <v>64.58</v>
      </c>
      <c r="M800">
        <v>20.440000000000001</v>
      </c>
      <c r="N800">
        <f t="shared" si="12"/>
        <v>25.64</v>
      </c>
      <c r="AE800">
        <v>16.649999999999999</v>
      </c>
    </row>
    <row r="801" spans="1:31" x14ac:dyDescent="0.25">
      <c r="A801" t="s">
        <v>845</v>
      </c>
      <c r="B801">
        <v>16.84</v>
      </c>
      <c r="C801">
        <v>32.090000000000003</v>
      </c>
      <c r="D801">
        <v>57.05</v>
      </c>
      <c r="E801">
        <v>49.96</v>
      </c>
      <c r="F801">
        <v>23.59</v>
      </c>
      <c r="G801">
        <v>24.74</v>
      </c>
      <c r="H801">
        <v>26.36</v>
      </c>
      <c r="I801">
        <v>98.05</v>
      </c>
      <c r="J801">
        <v>26.21</v>
      </c>
      <c r="K801">
        <v>15.4</v>
      </c>
      <c r="L801">
        <v>12.03</v>
      </c>
      <c r="M801">
        <v>117.92</v>
      </c>
      <c r="N801">
        <f t="shared" si="12"/>
        <v>26.285</v>
      </c>
      <c r="AE801">
        <v>16.84</v>
      </c>
    </row>
    <row r="802" spans="1:31" x14ac:dyDescent="0.25">
      <c r="A802" t="s">
        <v>846</v>
      </c>
      <c r="B802">
        <v>13.3</v>
      </c>
      <c r="C802">
        <v>15.87</v>
      </c>
      <c r="D802">
        <v>18.32</v>
      </c>
      <c r="E802">
        <v>2.56</v>
      </c>
      <c r="F802">
        <v>85.94</v>
      </c>
      <c r="G802">
        <v>24.56</v>
      </c>
      <c r="H802">
        <v>6.46</v>
      </c>
      <c r="I802">
        <v>99.83</v>
      </c>
      <c r="J802">
        <v>129.49</v>
      </c>
      <c r="K802">
        <v>0.99</v>
      </c>
      <c r="L802">
        <v>22.68</v>
      </c>
      <c r="M802">
        <v>193.86</v>
      </c>
      <c r="N802">
        <f t="shared" si="12"/>
        <v>20.5</v>
      </c>
      <c r="AE802">
        <v>13.3</v>
      </c>
    </row>
    <row r="803" spans="1:31" x14ac:dyDescent="0.25">
      <c r="A803" t="s">
        <v>847</v>
      </c>
      <c r="B803">
        <v>13.24</v>
      </c>
      <c r="C803">
        <v>4.54</v>
      </c>
      <c r="D803">
        <v>166.15</v>
      </c>
      <c r="E803">
        <v>78.099999999999994</v>
      </c>
      <c r="F803">
        <v>48.66</v>
      </c>
      <c r="G803">
        <v>0.45</v>
      </c>
      <c r="H803">
        <v>49.06</v>
      </c>
      <c r="I803">
        <v>35.46</v>
      </c>
      <c r="J803">
        <v>12.82</v>
      </c>
      <c r="K803">
        <v>117.74</v>
      </c>
      <c r="L803">
        <v>0.18</v>
      </c>
      <c r="M803">
        <v>81.180000000000007</v>
      </c>
      <c r="N803">
        <f t="shared" si="12"/>
        <v>42.06</v>
      </c>
      <c r="AE803">
        <v>13.24</v>
      </c>
    </row>
    <row r="804" spans="1:31" x14ac:dyDescent="0.25">
      <c r="A804" t="s">
        <v>848</v>
      </c>
      <c r="B804">
        <v>16.77</v>
      </c>
      <c r="C804">
        <v>12.68</v>
      </c>
      <c r="D804">
        <v>60.8</v>
      </c>
      <c r="E804">
        <v>16.440000000000001</v>
      </c>
      <c r="F804">
        <v>22.43</v>
      </c>
      <c r="G804">
        <v>52.09</v>
      </c>
      <c r="H804">
        <v>30.42</v>
      </c>
      <c r="I804">
        <v>154.77000000000001</v>
      </c>
      <c r="J804">
        <v>59.98</v>
      </c>
      <c r="K804">
        <v>63.29</v>
      </c>
      <c r="L804">
        <v>17.54</v>
      </c>
      <c r="M804">
        <v>11.65</v>
      </c>
      <c r="N804">
        <f t="shared" si="12"/>
        <v>26.425000000000001</v>
      </c>
      <c r="AE804">
        <v>16.77</v>
      </c>
    </row>
    <row r="805" spans="1:31" x14ac:dyDescent="0.25">
      <c r="A805" t="s">
        <v>849</v>
      </c>
      <c r="B805">
        <v>16.45</v>
      </c>
      <c r="C805">
        <v>32.950000000000003</v>
      </c>
      <c r="D805">
        <v>19.899999999999999</v>
      </c>
      <c r="E805">
        <v>29.37</v>
      </c>
      <c r="F805">
        <v>23.5</v>
      </c>
      <c r="G805">
        <v>68.05</v>
      </c>
      <c r="H805">
        <v>16.12</v>
      </c>
      <c r="I805">
        <v>45.51</v>
      </c>
      <c r="J805">
        <v>18.53</v>
      </c>
      <c r="K805">
        <v>144.91999999999999</v>
      </c>
      <c r="L805">
        <v>25.2</v>
      </c>
      <c r="M805">
        <v>73.16</v>
      </c>
      <c r="N805">
        <f t="shared" si="12"/>
        <v>27.285</v>
      </c>
      <c r="AE805">
        <v>16.45</v>
      </c>
    </row>
    <row r="806" spans="1:31" x14ac:dyDescent="0.25">
      <c r="A806" t="s">
        <v>850</v>
      </c>
      <c r="B806">
        <v>12.34</v>
      </c>
      <c r="C806">
        <v>66.099999999999994</v>
      </c>
      <c r="D806">
        <v>12.2</v>
      </c>
      <c r="E806">
        <v>46.1</v>
      </c>
      <c r="F806">
        <v>14.59</v>
      </c>
      <c r="G806">
        <v>149.94</v>
      </c>
      <c r="H806">
        <v>23.33</v>
      </c>
      <c r="I806">
        <v>144.69999999999999</v>
      </c>
      <c r="J806">
        <v>17.64</v>
      </c>
      <c r="K806">
        <v>12.48</v>
      </c>
      <c r="L806">
        <v>5.72</v>
      </c>
      <c r="M806">
        <v>17.489999999999998</v>
      </c>
      <c r="N806">
        <f t="shared" si="12"/>
        <v>17.564999999999998</v>
      </c>
      <c r="AE806">
        <v>12.34</v>
      </c>
    </row>
    <row r="807" spans="1:31" x14ac:dyDescent="0.25">
      <c r="A807" t="s">
        <v>851</v>
      </c>
      <c r="B807">
        <v>16.32</v>
      </c>
      <c r="C807">
        <v>45.08</v>
      </c>
      <c r="D807">
        <v>27.89</v>
      </c>
      <c r="E807">
        <v>51.58</v>
      </c>
      <c r="F807">
        <v>26.24</v>
      </c>
      <c r="G807">
        <v>63.29</v>
      </c>
      <c r="H807">
        <v>11.78</v>
      </c>
      <c r="I807">
        <v>81.93</v>
      </c>
      <c r="J807">
        <v>75.489999999999995</v>
      </c>
      <c r="K807">
        <v>55.18</v>
      </c>
      <c r="L807">
        <v>10.24</v>
      </c>
      <c r="M807">
        <v>17.75</v>
      </c>
      <c r="N807">
        <f t="shared" si="12"/>
        <v>36.484999999999999</v>
      </c>
      <c r="AE807">
        <v>16.32</v>
      </c>
    </row>
    <row r="808" spans="1:31" x14ac:dyDescent="0.25">
      <c r="A808" t="s">
        <v>852</v>
      </c>
      <c r="B808">
        <v>16.27</v>
      </c>
      <c r="C808">
        <v>27.48</v>
      </c>
      <c r="D808">
        <v>45.61</v>
      </c>
      <c r="E808">
        <v>36.64</v>
      </c>
      <c r="F808">
        <v>32.4</v>
      </c>
      <c r="G808">
        <v>19.39</v>
      </c>
      <c r="H808">
        <v>40.35</v>
      </c>
      <c r="I808">
        <v>66.959999999999994</v>
      </c>
      <c r="J808">
        <v>87.32</v>
      </c>
      <c r="K808">
        <v>27.17</v>
      </c>
      <c r="L808">
        <v>37.79</v>
      </c>
      <c r="M808">
        <v>79.36</v>
      </c>
      <c r="N808">
        <f t="shared" si="12"/>
        <v>37.215000000000003</v>
      </c>
      <c r="AE808">
        <v>16.27</v>
      </c>
    </row>
    <row r="809" spans="1:31" x14ac:dyDescent="0.25">
      <c r="A809" t="s">
        <v>853</v>
      </c>
      <c r="B809">
        <v>12.24</v>
      </c>
      <c r="C809">
        <v>0.45</v>
      </c>
      <c r="D809">
        <v>48.77</v>
      </c>
      <c r="E809">
        <v>0.36</v>
      </c>
      <c r="F809">
        <v>129.5</v>
      </c>
      <c r="G809">
        <v>46.33</v>
      </c>
      <c r="H809">
        <v>34.14</v>
      </c>
      <c r="I809">
        <v>11.4</v>
      </c>
      <c r="J809">
        <v>79.36</v>
      </c>
      <c r="K809">
        <v>18.29</v>
      </c>
      <c r="L809">
        <v>115.48</v>
      </c>
      <c r="M809">
        <v>127.46</v>
      </c>
      <c r="N809">
        <f t="shared" si="12"/>
        <v>40.234999999999999</v>
      </c>
      <c r="AE809">
        <v>12.24</v>
      </c>
    </row>
    <row r="810" spans="1:31" x14ac:dyDescent="0.25">
      <c r="A810" t="s">
        <v>854</v>
      </c>
      <c r="B810">
        <v>12.23</v>
      </c>
      <c r="C810">
        <v>116.29</v>
      </c>
      <c r="D810">
        <v>21.69</v>
      </c>
      <c r="E810">
        <v>25.84</v>
      </c>
      <c r="F810">
        <v>13.12</v>
      </c>
      <c r="G810">
        <v>25.9</v>
      </c>
      <c r="H810">
        <v>31.08</v>
      </c>
      <c r="I810">
        <v>30.51</v>
      </c>
      <c r="J810">
        <v>102.43</v>
      </c>
      <c r="K810">
        <v>230.27</v>
      </c>
      <c r="L810">
        <v>109.76</v>
      </c>
      <c r="M810">
        <v>0.09</v>
      </c>
      <c r="N810">
        <f t="shared" si="12"/>
        <v>28.204999999999998</v>
      </c>
      <c r="AE810">
        <v>12.23</v>
      </c>
    </row>
    <row r="811" spans="1:31" x14ac:dyDescent="0.25">
      <c r="A811" t="s">
        <v>855</v>
      </c>
      <c r="B811">
        <v>16.850000000000001</v>
      </c>
      <c r="C811">
        <v>14.61</v>
      </c>
      <c r="D811">
        <v>60.56</v>
      </c>
      <c r="E811">
        <v>17.91</v>
      </c>
      <c r="F811">
        <v>105.3</v>
      </c>
      <c r="G811">
        <v>34.68</v>
      </c>
      <c r="H811">
        <v>21.24</v>
      </c>
      <c r="I811">
        <v>9.99</v>
      </c>
      <c r="J811">
        <v>29.35</v>
      </c>
      <c r="K811">
        <v>124</v>
      </c>
      <c r="L811">
        <v>164.88</v>
      </c>
      <c r="M811">
        <v>50.31</v>
      </c>
      <c r="N811">
        <f t="shared" si="12"/>
        <v>32.015000000000001</v>
      </c>
      <c r="AE811">
        <v>16.850000000000001</v>
      </c>
    </row>
    <row r="812" spans="1:31" x14ac:dyDescent="0.25">
      <c r="A812" t="s">
        <v>856</v>
      </c>
      <c r="B812">
        <v>16.16</v>
      </c>
      <c r="C812">
        <v>49.29</v>
      </c>
      <c r="D812">
        <v>11.45</v>
      </c>
      <c r="E812">
        <v>40.24</v>
      </c>
      <c r="F812">
        <v>14.45</v>
      </c>
      <c r="G812">
        <v>20.84</v>
      </c>
      <c r="H812">
        <v>26.2</v>
      </c>
      <c r="I812">
        <v>101.65</v>
      </c>
      <c r="J812">
        <v>55.82</v>
      </c>
      <c r="K812">
        <v>108.07</v>
      </c>
      <c r="L812">
        <v>50.73</v>
      </c>
      <c r="M812">
        <v>10.34</v>
      </c>
      <c r="N812">
        <f t="shared" si="12"/>
        <v>33.22</v>
      </c>
      <c r="AE812">
        <v>16.16</v>
      </c>
    </row>
    <row r="813" spans="1:31" x14ac:dyDescent="0.25">
      <c r="A813" t="s">
        <v>857</v>
      </c>
      <c r="B813">
        <v>12.33</v>
      </c>
      <c r="C813">
        <v>13.44</v>
      </c>
      <c r="D813">
        <v>9.08</v>
      </c>
      <c r="E813">
        <v>60.28</v>
      </c>
      <c r="F813">
        <v>77.3</v>
      </c>
      <c r="G813">
        <v>57.61</v>
      </c>
      <c r="H813">
        <v>1.1499999999999999</v>
      </c>
      <c r="I813">
        <v>41.41</v>
      </c>
      <c r="J813">
        <v>8.26</v>
      </c>
      <c r="K813">
        <v>102.46</v>
      </c>
      <c r="L813">
        <v>24.8</v>
      </c>
      <c r="M813">
        <v>66.430000000000007</v>
      </c>
      <c r="N813">
        <f t="shared" si="12"/>
        <v>33.104999999999997</v>
      </c>
      <c r="AE813">
        <v>12.33</v>
      </c>
    </row>
    <row r="814" spans="1:31" x14ac:dyDescent="0.25">
      <c r="A814" t="s">
        <v>858</v>
      </c>
      <c r="B814">
        <v>16.100000000000001</v>
      </c>
      <c r="C814">
        <v>99.24</v>
      </c>
      <c r="D814">
        <v>11.87</v>
      </c>
      <c r="E814">
        <v>29.77</v>
      </c>
      <c r="F814">
        <v>39.67</v>
      </c>
      <c r="G814">
        <v>47.56</v>
      </c>
      <c r="H814">
        <v>12.85</v>
      </c>
      <c r="I814">
        <v>73.52</v>
      </c>
      <c r="J814">
        <v>135.22999999999999</v>
      </c>
      <c r="K814">
        <v>20.94</v>
      </c>
      <c r="L814">
        <v>89.06</v>
      </c>
      <c r="M814">
        <v>30.06</v>
      </c>
      <c r="N814">
        <f t="shared" si="12"/>
        <v>34.865000000000002</v>
      </c>
      <c r="AE814">
        <v>16.100000000000001</v>
      </c>
    </row>
    <row r="815" spans="1:31" x14ac:dyDescent="0.25">
      <c r="A815" t="s">
        <v>859</v>
      </c>
      <c r="B815">
        <v>11.7</v>
      </c>
      <c r="C815">
        <v>72.56</v>
      </c>
      <c r="D815">
        <v>27.1</v>
      </c>
      <c r="E815">
        <v>7.45</v>
      </c>
      <c r="F815">
        <v>38.04</v>
      </c>
      <c r="G815">
        <v>26.21</v>
      </c>
      <c r="H815">
        <v>101.65</v>
      </c>
      <c r="I815">
        <v>26.22</v>
      </c>
      <c r="J815">
        <v>15.83</v>
      </c>
      <c r="K815">
        <v>20.100000000000001</v>
      </c>
      <c r="L815">
        <v>29.73</v>
      </c>
      <c r="M815">
        <v>67.010000000000005</v>
      </c>
      <c r="N815">
        <f t="shared" si="12"/>
        <v>26.66</v>
      </c>
      <c r="AE815">
        <v>11.7</v>
      </c>
    </row>
    <row r="816" spans="1:31" x14ac:dyDescent="0.25">
      <c r="A816" t="s">
        <v>860</v>
      </c>
      <c r="B816">
        <v>11.58</v>
      </c>
      <c r="C816">
        <v>11.63</v>
      </c>
      <c r="D816">
        <v>10.54</v>
      </c>
      <c r="E816">
        <v>70.400000000000006</v>
      </c>
      <c r="F816">
        <v>22.48</v>
      </c>
      <c r="G816">
        <v>40.5</v>
      </c>
      <c r="H816">
        <v>9.61</v>
      </c>
      <c r="I816">
        <v>22.43</v>
      </c>
      <c r="J816">
        <v>42.79</v>
      </c>
      <c r="K816">
        <v>5.15</v>
      </c>
      <c r="L816">
        <v>67.989999999999995</v>
      </c>
      <c r="M816">
        <v>0.27</v>
      </c>
      <c r="N816">
        <f t="shared" si="12"/>
        <v>17.03</v>
      </c>
      <c r="AE816">
        <v>11.58</v>
      </c>
    </row>
    <row r="817" spans="1:31" x14ac:dyDescent="0.25">
      <c r="A817" t="s">
        <v>861</v>
      </c>
      <c r="B817">
        <v>11.38</v>
      </c>
      <c r="C817">
        <v>60.07</v>
      </c>
      <c r="D817">
        <v>102.07</v>
      </c>
      <c r="E817">
        <v>176.06</v>
      </c>
      <c r="F817">
        <v>62.3</v>
      </c>
      <c r="G817">
        <v>0.45</v>
      </c>
      <c r="H817">
        <v>33.380000000000003</v>
      </c>
      <c r="I817">
        <v>73.510000000000005</v>
      </c>
      <c r="J817">
        <v>49.08</v>
      </c>
      <c r="K817">
        <v>0.18</v>
      </c>
      <c r="L817">
        <v>1.57</v>
      </c>
      <c r="M817">
        <v>64.87</v>
      </c>
      <c r="N817">
        <f t="shared" si="12"/>
        <v>54.575000000000003</v>
      </c>
      <c r="AE817">
        <v>11.38</v>
      </c>
    </row>
    <row r="818" spans="1:31" x14ac:dyDescent="0.25">
      <c r="A818" t="s">
        <v>862</v>
      </c>
      <c r="B818">
        <v>12.46</v>
      </c>
      <c r="C818">
        <v>29.14</v>
      </c>
      <c r="D818">
        <v>26.38</v>
      </c>
      <c r="E818">
        <v>106.36</v>
      </c>
      <c r="F818">
        <v>0.27</v>
      </c>
      <c r="G818">
        <v>7.85</v>
      </c>
      <c r="H818">
        <v>62.56</v>
      </c>
      <c r="I818">
        <v>70.849999999999994</v>
      </c>
      <c r="J818">
        <v>20.07</v>
      </c>
      <c r="K818">
        <v>121.44</v>
      </c>
      <c r="L818">
        <v>47.49</v>
      </c>
      <c r="M818">
        <v>42.88</v>
      </c>
      <c r="N818">
        <f t="shared" si="12"/>
        <v>36.010000000000005</v>
      </c>
      <c r="AE818">
        <v>12.46</v>
      </c>
    </row>
    <row r="819" spans="1:31" x14ac:dyDescent="0.25">
      <c r="A819" t="s">
        <v>863</v>
      </c>
      <c r="B819">
        <v>12.8</v>
      </c>
      <c r="C819">
        <v>2.38</v>
      </c>
      <c r="D819">
        <v>5.95</v>
      </c>
      <c r="E819">
        <v>0</v>
      </c>
      <c r="F819">
        <v>81.64</v>
      </c>
      <c r="G819">
        <v>126.88</v>
      </c>
      <c r="H819">
        <v>32.1</v>
      </c>
      <c r="I819">
        <v>27.1</v>
      </c>
      <c r="J819">
        <v>138.68</v>
      </c>
      <c r="K819">
        <v>23.17</v>
      </c>
      <c r="L819">
        <v>21.24</v>
      </c>
      <c r="M819">
        <v>31.27</v>
      </c>
      <c r="N819">
        <f t="shared" si="12"/>
        <v>25.135000000000002</v>
      </c>
      <c r="AE819">
        <v>12.8</v>
      </c>
    </row>
    <row r="820" spans="1:31" x14ac:dyDescent="0.25">
      <c r="A820" t="s">
        <v>864</v>
      </c>
      <c r="B820">
        <v>15.61</v>
      </c>
      <c r="C820">
        <v>44.31</v>
      </c>
      <c r="D820">
        <v>35.18</v>
      </c>
      <c r="E820">
        <v>36.270000000000003</v>
      </c>
      <c r="F820">
        <v>226.1</v>
      </c>
      <c r="G820">
        <v>162.86000000000001</v>
      </c>
      <c r="H820">
        <v>24.98</v>
      </c>
      <c r="I820">
        <v>35.93</v>
      </c>
      <c r="J820">
        <v>95.22</v>
      </c>
      <c r="K820">
        <v>10.24</v>
      </c>
      <c r="L820">
        <v>35.28</v>
      </c>
      <c r="M820">
        <v>17.850000000000001</v>
      </c>
      <c r="N820">
        <f t="shared" si="12"/>
        <v>35.605000000000004</v>
      </c>
      <c r="AE820">
        <v>15.61</v>
      </c>
    </row>
    <row r="821" spans="1:31" x14ac:dyDescent="0.25">
      <c r="A821" t="s">
        <v>865</v>
      </c>
      <c r="B821">
        <v>16.05</v>
      </c>
      <c r="C821">
        <v>23.43</v>
      </c>
      <c r="D821">
        <v>80.19</v>
      </c>
      <c r="E821">
        <v>85.57</v>
      </c>
      <c r="F821">
        <v>51.79</v>
      </c>
      <c r="G821">
        <v>190.33</v>
      </c>
      <c r="H821">
        <v>10.49</v>
      </c>
      <c r="I821">
        <v>39.33</v>
      </c>
      <c r="J821">
        <v>51.58</v>
      </c>
      <c r="K821">
        <v>55.74</v>
      </c>
      <c r="L821">
        <v>63.27</v>
      </c>
      <c r="M821">
        <v>107.84</v>
      </c>
      <c r="N821">
        <f t="shared" si="12"/>
        <v>53.765000000000001</v>
      </c>
      <c r="AE821">
        <v>16.05</v>
      </c>
    </row>
    <row r="822" spans="1:31" x14ac:dyDescent="0.25">
      <c r="A822" t="s">
        <v>866</v>
      </c>
      <c r="B822">
        <v>15.88</v>
      </c>
      <c r="C822">
        <v>19.09</v>
      </c>
      <c r="D822">
        <v>63.36</v>
      </c>
      <c r="E822">
        <v>75.22</v>
      </c>
      <c r="F822">
        <v>10.09</v>
      </c>
      <c r="G822">
        <v>24.51</v>
      </c>
      <c r="H822">
        <v>10.39</v>
      </c>
      <c r="I822">
        <v>21.47</v>
      </c>
      <c r="J822">
        <v>9.99</v>
      </c>
      <c r="K822">
        <v>135.6</v>
      </c>
      <c r="L822">
        <v>55.94</v>
      </c>
      <c r="M822">
        <v>164.02</v>
      </c>
      <c r="N822">
        <f t="shared" si="12"/>
        <v>22.990000000000002</v>
      </c>
      <c r="AE822">
        <v>15.88</v>
      </c>
    </row>
    <row r="823" spans="1:31" x14ac:dyDescent="0.25">
      <c r="A823" t="s">
        <v>867</v>
      </c>
      <c r="B823">
        <v>15.59</v>
      </c>
      <c r="C823">
        <v>49.74</v>
      </c>
      <c r="D823">
        <v>25.01</v>
      </c>
      <c r="E823">
        <v>71.73</v>
      </c>
      <c r="F823">
        <v>42.8</v>
      </c>
      <c r="G823">
        <v>48.38</v>
      </c>
      <c r="H823">
        <v>107.17</v>
      </c>
      <c r="I823">
        <v>103.37</v>
      </c>
      <c r="J823">
        <v>38.51</v>
      </c>
      <c r="K823">
        <v>43.09</v>
      </c>
      <c r="L823">
        <v>15.25</v>
      </c>
      <c r="M823">
        <v>53.12</v>
      </c>
      <c r="N823">
        <f t="shared" si="12"/>
        <v>45.734999999999999</v>
      </c>
      <c r="AE823">
        <v>15.59</v>
      </c>
    </row>
    <row r="824" spans="1:31" x14ac:dyDescent="0.25">
      <c r="A824" t="s">
        <v>868</v>
      </c>
      <c r="B824">
        <v>15.52</v>
      </c>
      <c r="C824">
        <v>30.63</v>
      </c>
      <c r="D824">
        <v>50.8</v>
      </c>
      <c r="E824">
        <v>29.6</v>
      </c>
      <c r="F824">
        <v>48.17</v>
      </c>
      <c r="G824">
        <v>14.28</v>
      </c>
      <c r="H824">
        <v>10.039999999999999</v>
      </c>
      <c r="I824">
        <v>45.93</v>
      </c>
      <c r="J824">
        <v>42.57</v>
      </c>
      <c r="K824">
        <v>53</v>
      </c>
      <c r="L824">
        <v>55.59</v>
      </c>
      <c r="M824">
        <v>100.91</v>
      </c>
      <c r="N824">
        <f t="shared" si="12"/>
        <v>44.25</v>
      </c>
      <c r="AE824">
        <v>15.52</v>
      </c>
    </row>
    <row r="825" spans="1:31" x14ac:dyDescent="0.25">
      <c r="A825" t="s">
        <v>869</v>
      </c>
      <c r="B825">
        <v>11.06</v>
      </c>
      <c r="C825">
        <v>26.27</v>
      </c>
      <c r="D825">
        <v>94.1</v>
      </c>
      <c r="E825">
        <v>15.78</v>
      </c>
      <c r="F825">
        <v>49.71</v>
      </c>
      <c r="G825">
        <v>10.37</v>
      </c>
      <c r="H825">
        <v>70.12</v>
      </c>
      <c r="I825">
        <v>36.979999999999997</v>
      </c>
      <c r="J825">
        <v>83.89</v>
      </c>
      <c r="K825">
        <v>116.43</v>
      </c>
      <c r="L825">
        <v>52.86</v>
      </c>
      <c r="M825">
        <v>20.46</v>
      </c>
      <c r="N825">
        <f t="shared" si="12"/>
        <v>43.344999999999999</v>
      </c>
      <c r="AE825">
        <v>11.06</v>
      </c>
    </row>
    <row r="826" spans="1:31" x14ac:dyDescent="0.25">
      <c r="A826" t="s">
        <v>870</v>
      </c>
      <c r="B826">
        <v>15.26</v>
      </c>
      <c r="C826">
        <v>52.29</v>
      </c>
      <c r="D826">
        <v>11.12</v>
      </c>
      <c r="E826">
        <v>17.72</v>
      </c>
      <c r="F826">
        <v>40.79</v>
      </c>
      <c r="G826">
        <v>61.57</v>
      </c>
      <c r="H826">
        <v>16.91</v>
      </c>
      <c r="I826">
        <v>34.86</v>
      </c>
      <c r="J826">
        <v>110</v>
      </c>
      <c r="K826">
        <v>113.52</v>
      </c>
      <c r="L826">
        <v>26.65</v>
      </c>
      <c r="M826">
        <v>77.53</v>
      </c>
      <c r="N826">
        <f t="shared" si="12"/>
        <v>37.825000000000003</v>
      </c>
      <c r="AE826">
        <v>15.26</v>
      </c>
    </row>
    <row r="827" spans="1:31" x14ac:dyDescent="0.25">
      <c r="A827" t="s">
        <v>871</v>
      </c>
      <c r="B827">
        <v>15.39</v>
      </c>
      <c r="C827">
        <v>54.76</v>
      </c>
      <c r="D827">
        <v>14.16</v>
      </c>
      <c r="E827">
        <v>54.79</v>
      </c>
      <c r="F827">
        <v>37.64</v>
      </c>
      <c r="G827">
        <v>155.75</v>
      </c>
      <c r="H827">
        <v>73.650000000000006</v>
      </c>
      <c r="I827">
        <v>21.02</v>
      </c>
      <c r="J827">
        <v>46.34</v>
      </c>
      <c r="K827">
        <v>13.28</v>
      </c>
      <c r="L827">
        <v>19.579999999999998</v>
      </c>
      <c r="M827">
        <v>59.51</v>
      </c>
      <c r="N827">
        <f t="shared" si="12"/>
        <v>41.99</v>
      </c>
      <c r="AE827">
        <v>15.39</v>
      </c>
    </row>
    <row r="828" spans="1:31" x14ac:dyDescent="0.25">
      <c r="A828" t="s">
        <v>872</v>
      </c>
      <c r="B828">
        <v>15.56</v>
      </c>
      <c r="C828">
        <v>25.73</v>
      </c>
      <c r="D828">
        <v>16.18</v>
      </c>
      <c r="E828">
        <v>96.91</v>
      </c>
      <c r="F828">
        <v>68.03</v>
      </c>
      <c r="G828">
        <v>10.49</v>
      </c>
      <c r="H828">
        <v>10.99</v>
      </c>
      <c r="I828">
        <v>68.260000000000005</v>
      </c>
      <c r="J828">
        <v>61.6</v>
      </c>
      <c r="K828">
        <v>122.57</v>
      </c>
      <c r="L828">
        <v>219.14</v>
      </c>
      <c r="M828">
        <v>142.01</v>
      </c>
      <c r="N828">
        <f t="shared" si="12"/>
        <v>64.814999999999998</v>
      </c>
      <c r="AE828">
        <v>15.56</v>
      </c>
    </row>
    <row r="829" spans="1:31" x14ac:dyDescent="0.25">
      <c r="A829" t="s">
        <v>873</v>
      </c>
      <c r="B829">
        <v>10.44</v>
      </c>
      <c r="C829">
        <v>0.09</v>
      </c>
      <c r="D829">
        <v>40.93</v>
      </c>
      <c r="E829">
        <v>2.4300000000000002</v>
      </c>
      <c r="F829">
        <v>209.73</v>
      </c>
      <c r="G829">
        <v>8.76</v>
      </c>
      <c r="H829">
        <v>22.53</v>
      </c>
      <c r="I829">
        <v>192.84</v>
      </c>
      <c r="J829">
        <v>49.58</v>
      </c>
      <c r="K829">
        <v>15.08</v>
      </c>
      <c r="L829">
        <v>26.48</v>
      </c>
      <c r="M829">
        <v>42.24</v>
      </c>
      <c r="N829">
        <f t="shared" si="12"/>
        <v>24.505000000000003</v>
      </c>
      <c r="AE829">
        <v>10.44</v>
      </c>
    </row>
    <row r="830" spans="1:31" x14ac:dyDescent="0.25">
      <c r="A830" t="s">
        <v>874</v>
      </c>
      <c r="B830">
        <v>14.9</v>
      </c>
      <c r="C830">
        <v>119.77</v>
      </c>
      <c r="D830">
        <v>57.31</v>
      </c>
      <c r="E830">
        <v>14.72</v>
      </c>
      <c r="F830">
        <v>73.790000000000006</v>
      </c>
      <c r="G830">
        <v>32.909999999999997</v>
      </c>
      <c r="H830">
        <v>47.86</v>
      </c>
      <c r="I830">
        <v>20.420000000000002</v>
      </c>
      <c r="J830">
        <v>57.17</v>
      </c>
      <c r="K830">
        <v>59.44</v>
      </c>
      <c r="L830">
        <v>33.020000000000003</v>
      </c>
      <c r="M830">
        <v>11.89</v>
      </c>
      <c r="N830">
        <f t="shared" si="12"/>
        <v>40.44</v>
      </c>
      <c r="AE830">
        <v>14.9</v>
      </c>
    </row>
    <row r="831" spans="1:31" x14ac:dyDescent="0.25">
      <c r="A831" t="s">
        <v>875</v>
      </c>
      <c r="B831">
        <v>9.66</v>
      </c>
      <c r="C831">
        <v>33.130000000000003</v>
      </c>
      <c r="D831">
        <v>0.54</v>
      </c>
      <c r="E831">
        <v>24.09</v>
      </c>
      <c r="F831">
        <v>2.39</v>
      </c>
      <c r="G831">
        <v>39.9</v>
      </c>
      <c r="H831">
        <v>128.32</v>
      </c>
      <c r="I831">
        <v>27.02</v>
      </c>
      <c r="J831">
        <v>122.34</v>
      </c>
      <c r="K831">
        <v>88.66</v>
      </c>
      <c r="L831">
        <v>55.02</v>
      </c>
      <c r="M831">
        <v>38.17</v>
      </c>
      <c r="N831">
        <f t="shared" si="12"/>
        <v>35.650000000000006</v>
      </c>
      <c r="AE831">
        <v>9.66</v>
      </c>
    </row>
    <row r="832" spans="1:31" x14ac:dyDescent="0.25">
      <c r="A832" t="s">
        <v>876</v>
      </c>
      <c r="B832">
        <v>9.4600000000000009</v>
      </c>
      <c r="C832">
        <v>49.63</v>
      </c>
      <c r="D832">
        <v>87.51</v>
      </c>
      <c r="E832">
        <v>0.18</v>
      </c>
      <c r="F832">
        <v>27.68</v>
      </c>
      <c r="G832">
        <v>0.09</v>
      </c>
      <c r="H832">
        <v>75.66</v>
      </c>
      <c r="I832">
        <v>8.18</v>
      </c>
      <c r="J832">
        <v>10.039999999999999</v>
      </c>
      <c r="K832">
        <v>64.400000000000006</v>
      </c>
      <c r="L832">
        <v>104.34</v>
      </c>
      <c r="M832">
        <v>29.69</v>
      </c>
      <c r="N832">
        <f t="shared" si="12"/>
        <v>28.685000000000002</v>
      </c>
      <c r="AE832">
        <v>9.4600000000000009</v>
      </c>
    </row>
    <row r="833" spans="1:31" x14ac:dyDescent="0.25">
      <c r="A833" t="s">
        <v>877</v>
      </c>
      <c r="B833">
        <v>10.210000000000001</v>
      </c>
      <c r="C833">
        <v>2.0099999999999998</v>
      </c>
      <c r="D833">
        <v>35.18</v>
      </c>
      <c r="E833">
        <v>322.73</v>
      </c>
      <c r="F833">
        <v>37.76</v>
      </c>
      <c r="G833">
        <v>78.77</v>
      </c>
      <c r="H833">
        <v>0.18</v>
      </c>
      <c r="I833">
        <v>52.26</v>
      </c>
      <c r="J833">
        <v>313.36</v>
      </c>
      <c r="K833">
        <v>7.85</v>
      </c>
      <c r="L833">
        <v>122.03</v>
      </c>
      <c r="M833">
        <v>414.68</v>
      </c>
      <c r="N833">
        <f t="shared" si="12"/>
        <v>45.01</v>
      </c>
      <c r="AE833">
        <v>10.210000000000001</v>
      </c>
    </row>
    <row r="834" spans="1:31" x14ac:dyDescent="0.25">
      <c r="A834" t="s">
        <v>878</v>
      </c>
      <c r="B834">
        <v>9.1999999999999993</v>
      </c>
      <c r="C834">
        <v>74.45</v>
      </c>
      <c r="D834">
        <v>32.31</v>
      </c>
      <c r="E834">
        <v>160.66999999999999</v>
      </c>
      <c r="F834">
        <v>45.8</v>
      </c>
      <c r="G834">
        <v>96.71</v>
      </c>
      <c r="H834">
        <v>28.27</v>
      </c>
      <c r="I834">
        <v>24.79</v>
      </c>
      <c r="J834">
        <v>40.96</v>
      </c>
      <c r="K834">
        <v>25.6</v>
      </c>
      <c r="L834">
        <v>10.79</v>
      </c>
      <c r="M834">
        <v>19.77</v>
      </c>
      <c r="N834">
        <f t="shared" si="12"/>
        <v>30.29</v>
      </c>
      <c r="AE834">
        <v>9.1999999999999993</v>
      </c>
    </row>
    <row r="835" spans="1:31" x14ac:dyDescent="0.25">
      <c r="A835" t="s">
        <v>879</v>
      </c>
      <c r="B835">
        <v>9.19</v>
      </c>
      <c r="C835">
        <v>0.09</v>
      </c>
      <c r="D835">
        <v>82.56</v>
      </c>
      <c r="E835">
        <v>45.54</v>
      </c>
      <c r="F835">
        <v>11.06</v>
      </c>
      <c r="G835">
        <v>0.18</v>
      </c>
      <c r="H835">
        <v>33.799999999999997</v>
      </c>
      <c r="I835">
        <v>5.7</v>
      </c>
      <c r="J835">
        <v>312.79000000000002</v>
      </c>
      <c r="K835">
        <v>123.99</v>
      </c>
      <c r="L835">
        <v>7.82</v>
      </c>
      <c r="M835">
        <v>52.21</v>
      </c>
      <c r="N835">
        <f t="shared" ref="N835:N898" si="13">MEDIAN(B835:M835)</f>
        <v>22.43</v>
      </c>
      <c r="AE835">
        <v>9.19</v>
      </c>
    </row>
    <row r="836" spans="1:31" x14ac:dyDescent="0.25">
      <c r="A836" t="s">
        <v>880</v>
      </c>
      <c r="B836">
        <v>9.6</v>
      </c>
      <c r="C836">
        <v>69.13</v>
      </c>
      <c r="D836">
        <v>25.82</v>
      </c>
      <c r="E836">
        <v>17.63</v>
      </c>
      <c r="F836">
        <v>48.63</v>
      </c>
      <c r="G836">
        <v>46.53</v>
      </c>
      <c r="H836">
        <v>0.36</v>
      </c>
      <c r="I836">
        <v>20.420000000000002</v>
      </c>
      <c r="J836">
        <v>6.18</v>
      </c>
      <c r="K836">
        <v>0</v>
      </c>
      <c r="L836">
        <v>6.92</v>
      </c>
      <c r="M836">
        <v>0.09</v>
      </c>
      <c r="N836">
        <f t="shared" si="13"/>
        <v>13.614999999999998</v>
      </c>
      <c r="AE836">
        <v>9.6</v>
      </c>
    </row>
    <row r="837" spans="1:31" x14ac:dyDescent="0.25">
      <c r="A837" t="s">
        <v>881</v>
      </c>
      <c r="B837">
        <v>10.69</v>
      </c>
      <c r="C837">
        <v>9.3000000000000007</v>
      </c>
      <c r="D837">
        <v>83.68</v>
      </c>
      <c r="E837">
        <v>35.99</v>
      </c>
      <c r="F837">
        <v>20.52</v>
      </c>
      <c r="G837">
        <v>2.66</v>
      </c>
      <c r="H837">
        <v>101.94</v>
      </c>
      <c r="I837">
        <v>23.59</v>
      </c>
      <c r="J837">
        <v>161.69</v>
      </c>
      <c r="K837">
        <v>37.159999999999997</v>
      </c>
      <c r="L837">
        <v>0.09</v>
      </c>
      <c r="M837">
        <v>87.69</v>
      </c>
      <c r="N837">
        <f t="shared" si="13"/>
        <v>29.79</v>
      </c>
      <c r="AE837">
        <v>10.69</v>
      </c>
    </row>
    <row r="838" spans="1:31" x14ac:dyDescent="0.25">
      <c r="A838" t="s">
        <v>882</v>
      </c>
      <c r="B838">
        <v>14.32</v>
      </c>
      <c r="C838">
        <v>26.48</v>
      </c>
      <c r="D838">
        <v>109.14</v>
      </c>
      <c r="E838">
        <v>47.77</v>
      </c>
      <c r="F838">
        <v>15.66</v>
      </c>
      <c r="G838">
        <v>20.9</v>
      </c>
      <c r="H838">
        <v>16.21</v>
      </c>
      <c r="I838">
        <v>58.85</v>
      </c>
      <c r="J838">
        <v>39.69</v>
      </c>
      <c r="K838">
        <v>184.04</v>
      </c>
      <c r="L838">
        <v>53.49</v>
      </c>
      <c r="M838">
        <v>37.4</v>
      </c>
      <c r="N838">
        <f t="shared" si="13"/>
        <v>38.545000000000002</v>
      </c>
      <c r="AE838">
        <v>14.32</v>
      </c>
    </row>
    <row r="839" spans="1:31" x14ac:dyDescent="0.25">
      <c r="A839" t="s">
        <v>883</v>
      </c>
      <c r="B839">
        <v>14.32</v>
      </c>
      <c r="C839">
        <v>37.1</v>
      </c>
      <c r="D839">
        <v>76.180000000000007</v>
      </c>
      <c r="E839">
        <v>115.21</v>
      </c>
      <c r="F839">
        <v>75.64</v>
      </c>
      <c r="G839">
        <v>50.09</v>
      </c>
      <c r="H839">
        <v>26.23</v>
      </c>
      <c r="I839">
        <v>10.09</v>
      </c>
      <c r="J839">
        <v>10.19</v>
      </c>
      <c r="K839">
        <v>51.08</v>
      </c>
      <c r="L839">
        <v>10.24</v>
      </c>
      <c r="M839">
        <v>67.25</v>
      </c>
      <c r="N839">
        <f t="shared" si="13"/>
        <v>43.594999999999999</v>
      </c>
      <c r="AE839">
        <v>14.32</v>
      </c>
    </row>
    <row r="840" spans="1:31" x14ac:dyDescent="0.25">
      <c r="A840" t="s">
        <v>884</v>
      </c>
      <c r="B840">
        <v>9</v>
      </c>
      <c r="C840">
        <v>133.72999999999999</v>
      </c>
      <c r="D840">
        <v>54.79</v>
      </c>
      <c r="E840">
        <v>57.32</v>
      </c>
      <c r="F840">
        <v>27.65</v>
      </c>
      <c r="G840">
        <v>56.96</v>
      </c>
      <c r="H840">
        <v>33.340000000000003</v>
      </c>
      <c r="I840">
        <v>43.38</v>
      </c>
      <c r="J840">
        <v>59.76</v>
      </c>
      <c r="K840">
        <v>4.5999999999999996</v>
      </c>
      <c r="L840">
        <v>61.07</v>
      </c>
      <c r="M840">
        <v>156.80000000000001</v>
      </c>
      <c r="N840">
        <f t="shared" si="13"/>
        <v>55.875</v>
      </c>
      <c r="AE840">
        <v>9</v>
      </c>
    </row>
    <row r="841" spans="1:31" x14ac:dyDescent="0.25">
      <c r="A841" t="s">
        <v>885</v>
      </c>
      <c r="B841">
        <v>14.21</v>
      </c>
      <c r="C841">
        <v>77.58</v>
      </c>
      <c r="D841">
        <v>18.8</v>
      </c>
      <c r="E841">
        <v>10.09</v>
      </c>
      <c r="F841">
        <v>129</v>
      </c>
      <c r="G841">
        <v>10.19</v>
      </c>
      <c r="H841">
        <v>79.77</v>
      </c>
      <c r="I841">
        <v>45.87</v>
      </c>
      <c r="J841">
        <v>10.19</v>
      </c>
      <c r="K841">
        <v>26.04</v>
      </c>
      <c r="L841">
        <v>43.63</v>
      </c>
      <c r="M841">
        <v>98.09</v>
      </c>
      <c r="N841">
        <f t="shared" si="13"/>
        <v>34.835000000000001</v>
      </c>
      <c r="AE841">
        <v>14.21</v>
      </c>
    </row>
    <row r="842" spans="1:31" x14ac:dyDescent="0.25">
      <c r="A842" t="s">
        <v>886</v>
      </c>
      <c r="B842">
        <v>14.32</v>
      </c>
      <c r="C842">
        <v>46.64</v>
      </c>
      <c r="D842">
        <v>10.24</v>
      </c>
      <c r="E842">
        <v>14.97</v>
      </c>
      <c r="F842">
        <v>86.43</v>
      </c>
      <c r="G842">
        <v>63.82</v>
      </c>
      <c r="H842">
        <v>49.1</v>
      </c>
      <c r="I842">
        <v>86.94</v>
      </c>
      <c r="J842">
        <v>60.23</v>
      </c>
      <c r="K842">
        <v>38.46</v>
      </c>
      <c r="L842">
        <v>154.87</v>
      </c>
      <c r="M842">
        <v>52.68</v>
      </c>
      <c r="N842">
        <f t="shared" si="13"/>
        <v>50.89</v>
      </c>
      <c r="AE842">
        <v>14.32</v>
      </c>
    </row>
    <row r="843" spans="1:31" x14ac:dyDescent="0.25">
      <c r="A843" t="s">
        <v>887</v>
      </c>
      <c r="B843">
        <v>7.96</v>
      </c>
      <c r="C843">
        <v>7.09</v>
      </c>
      <c r="D843">
        <v>55.06</v>
      </c>
      <c r="E843">
        <v>27.29</v>
      </c>
      <c r="F843">
        <v>105.29</v>
      </c>
      <c r="G843">
        <v>77.53</v>
      </c>
      <c r="H843">
        <v>79.739999999999995</v>
      </c>
      <c r="I843">
        <v>49.59</v>
      </c>
      <c r="J843">
        <v>37.450000000000003</v>
      </c>
      <c r="K843">
        <v>54.93</v>
      </c>
      <c r="L843">
        <v>87.69</v>
      </c>
      <c r="M843">
        <v>17.329999999999998</v>
      </c>
      <c r="N843">
        <f t="shared" si="13"/>
        <v>52.260000000000005</v>
      </c>
      <c r="AE843">
        <v>7.96</v>
      </c>
    </row>
    <row r="844" spans="1:31" x14ac:dyDescent="0.25">
      <c r="A844" t="s">
        <v>888</v>
      </c>
      <c r="B844">
        <v>13.98</v>
      </c>
      <c r="C844">
        <v>22.76</v>
      </c>
      <c r="D844">
        <v>30.12</v>
      </c>
      <c r="E844">
        <v>56.71</v>
      </c>
      <c r="F844">
        <v>27.79</v>
      </c>
      <c r="G844">
        <v>33.700000000000003</v>
      </c>
      <c r="H844">
        <v>40.08</v>
      </c>
      <c r="I844">
        <v>94.44</v>
      </c>
      <c r="J844">
        <v>14.19</v>
      </c>
      <c r="K844">
        <v>52.83</v>
      </c>
      <c r="L844">
        <v>106.71</v>
      </c>
      <c r="M844">
        <v>11.65</v>
      </c>
      <c r="N844">
        <f t="shared" si="13"/>
        <v>31.910000000000004</v>
      </c>
      <c r="AE844">
        <v>13.98</v>
      </c>
    </row>
    <row r="845" spans="1:31" x14ac:dyDescent="0.25">
      <c r="A845" t="s">
        <v>889</v>
      </c>
      <c r="B845">
        <v>7.66</v>
      </c>
      <c r="C845">
        <v>127.13</v>
      </c>
      <c r="D845">
        <v>75.819999999999993</v>
      </c>
      <c r="E845">
        <v>76.44</v>
      </c>
      <c r="F845">
        <v>55.83</v>
      </c>
      <c r="G845">
        <v>23.17</v>
      </c>
      <c r="H845">
        <v>134.4</v>
      </c>
      <c r="I845">
        <v>110.29</v>
      </c>
      <c r="J845">
        <v>77.63</v>
      </c>
      <c r="K845">
        <v>161.04</v>
      </c>
      <c r="L845">
        <v>4.55</v>
      </c>
      <c r="M845">
        <v>99.23</v>
      </c>
      <c r="N845">
        <f t="shared" si="13"/>
        <v>77.034999999999997</v>
      </c>
      <c r="AE845">
        <v>7.66</v>
      </c>
    </row>
    <row r="846" spans="1:31" x14ac:dyDescent="0.25">
      <c r="A846" t="s">
        <v>890</v>
      </c>
      <c r="B846">
        <v>13.73</v>
      </c>
      <c r="C846">
        <v>14.54</v>
      </c>
      <c r="D846">
        <v>53.16</v>
      </c>
      <c r="E846">
        <v>29.11</v>
      </c>
      <c r="F846">
        <v>60.66</v>
      </c>
      <c r="G846">
        <v>30.79</v>
      </c>
      <c r="H846">
        <v>53.31</v>
      </c>
      <c r="I846">
        <v>15.38</v>
      </c>
      <c r="J846">
        <v>43.55</v>
      </c>
      <c r="K846">
        <v>129.63</v>
      </c>
      <c r="L846">
        <v>42.16</v>
      </c>
      <c r="M846">
        <v>16.29</v>
      </c>
      <c r="N846">
        <f t="shared" si="13"/>
        <v>36.474999999999994</v>
      </c>
      <c r="AE846">
        <v>13.73</v>
      </c>
    </row>
    <row r="847" spans="1:31" x14ac:dyDescent="0.25">
      <c r="A847" t="s">
        <v>891</v>
      </c>
      <c r="B847">
        <v>7.32</v>
      </c>
      <c r="C847">
        <v>36.130000000000003</v>
      </c>
      <c r="D847">
        <v>101.78</v>
      </c>
      <c r="E847">
        <v>112.36</v>
      </c>
      <c r="F847">
        <v>37.520000000000003</v>
      </c>
      <c r="G847">
        <v>21.4</v>
      </c>
      <c r="H847">
        <v>0.27</v>
      </c>
      <c r="I847">
        <v>0.38</v>
      </c>
      <c r="J847">
        <v>96.06</v>
      </c>
      <c r="K847">
        <v>72.22</v>
      </c>
      <c r="L847">
        <v>32.119999999999997</v>
      </c>
      <c r="M847">
        <v>26.54</v>
      </c>
      <c r="N847">
        <f t="shared" si="13"/>
        <v>34.125</v>
      </c>
      <c r="AE847">
        <v>7.32</v>
      </c>
    </row>
    <row r="848" spans="1:31" x14ac:dyDescent="0.25">
      <c r="A848" t="s">
        <v>892</v>
      </c>
      <c r="B848">
        <v>13.7</v>
      </c>
      <c r="C848">
        <v>95.41</v>
      </c>
      <c r="D848">
        <v>31.73</v>
      </c>
      <c r="E848">
        <v>85.44</v>
      </c>
      <c r="F848">
        <v>21.66</v>
      </c>
      <c r="G848">
        <v>19.25</v>
      </c>
      <c r="H848">
        <v>9.99</v>
      </c>
      <c r="I848">
        <v>14.69</v>
      </c>
      <c r="J848">
        <v>37.28</v>
      </c>
      <c r="K848">
        <v>108.36</v>
      </c>
      <c r="L848">
        <v>27.54</v>
      </c>
      <c r="M848">
        <v>50.67</v>
      </c>
      <c r="N848">
        <f t="shared" si="13"/>
        <v>29.634999999999998</v>
      </c>
      <c r="AE848">
        <v>13.7</v>
      </c>
    </row>
    <row r="849" spans="1:31" x14ac:dyDescent="0.25">
      <c r="A849" t="s">
        <v>893</v>
      </c>
      <c r="B849">
        <v>7.35</v>
      </c>
      <c r="C849">
        <v>0.36</v>
      </c>
      <c r="D849">
        <v>161.51</v>
      </c>
      <c r="E849">
        <v>151.6</v>
      </c>
      <c r="F849">
        <v>15.01</v>
      </c>
      <c r="G849">
        <v>91.19</v>
      </c>
      <c r="H849">
        <v>0.09</v>
      </c>
      <c r="I849">
        <v>8.66</v>
      </c>
      <c r="J849">
        <v>52.52</v>
      </c>
      <c r="K849">
        <v>102.54</v>
      </c>
      <c r="L849">
        <v>0</v>
      </c>
      <c r="M849">
        <v>45.32</v>
      </c>
      <c r="N849">
        <f t="shared" si="13"/>
        <v>30.164999999999999</v>
      </c>
      <c r="AE849">
        <v>7.35</v>
      </c>
    </row>
    <row r="850" spans="1:31" x14ac:dyDescent="0.25">
      <c r="A850" t="s">
        <v>894</v>
      </c>
      <c r="B850">
        <v>13.74</v>
      </c>
      <c r="C850">
        <v>35.479999999999997</v>
      </c>
      <c r="D850">
        <v>14.68</v>
      </c>
      <c r="E850">
        <v>24.24</v>
      </c>
      <c r="F850">
        <v>28.59</v>
      </c>
      <c r="G850">
        <v>46.07</v>
      </c>
      <c r="H850">
        <v>34.33</v>
      </c>
      <c r="I850">
        <v>59.59</v>
      </c>
      <c r="J850">
        <v>66.67</v>
      </c>
      <c r="K850">
        <v>47.89</v>
      </c>
      <c r="L850">
        <v>169.75</v>
      </c>
      <c r="M850">
        <v>22.2</v>
      </c>
      <c r="N850">
        <f t="shared" si="13"/>
        <v>34.905000000000001</v>
      </c>
      <c r="AE850">
        <v>13.74</v>
      </c>
    </row>
    <row r="851" spans="1:31" x14ac:dyDescent="0.25">
      <c r="A851" t="s">
        <v>895</v>
      </c>
      <c r="B851">
        <v>13.38</v>
      </c>
      <c r="C851">
        <v>22.01</v>
      </c>
      <c r="D851">
        <v>22.28</v>
      </c>
      <c r="E851">
        <v>23.58</v>
      </c>
      <c r="F851">
        <v>14.43</v>
      </c>
      <c r="G851">
        <v>18.79</v>
      </c>
      <c r="H851">
        <v>21.29</v>
      </c>
      <c r="I851">
        <v>25.74</v>
      </c>
      <c r="J851">
        <v>141.16999999999999</v>
      </c>
      <c r="K851">
        <v>111.43</v>
      </c>
      <c r="L851">
        <v>39.159999999999997</v>
      </c>
      <c r="M851">
        <v>149.53</v>
      </c>
      <c r="N851">
        <f t="shared" si="13"/>
        <v>22.93</v>
      </c>
      <c r="AE851">
        <v>13.38</v>
      </c>
    </row>
    <row r="852" spans="1:31" x14ac:dyDescent="0.25">
      <c r="A852" t="s">
        <v>896</v>
      </c>
      <c r="B852">
        <v>6.74</v>
      </c>
      <c r="C852">
        <v>18.25</v>
      </c>
      <c r="D852">
        <v>23.55</v>
      </c>
      <c r="E852">
        <v>38.04</v>
      </c>
      <c r="F852">
        <v>80.34</v>
      </c>
      <c r="G852">
        <v>53.34</v>
      </c>
      <c r="H852">
        <v>92.78</v>
      </c>
      <c r="I852">
        <v>16.02</v>
      </c>
      <c r="J852">
        <v>48.54</v>
      </c>
      <c r="K852">
        <v>14.28</v>
      </c>
      <c r="L852">
        <v>127.78</v>
      </c>
      <c r="M852">
        <v>90.7</v>
      </c>
      <c r="N852">
        <f t="shared" si="13"/>
        <v>43.29</v>
      </c>
      <c r="AE852">
        <v>6.74</v>
      </c>
    </row>
    <row r="853" spans="1:31" x14ac:dyDescent="0.25">
      <c r="A853" t="s">
        <v>897</v>
      </c>
      <c r="B853">
        <v>13.52</v>
      </c>
      <c r="C853">
        <v>48.56</v>
      </c>
      <c r="D853">
        <v>106.18</v>
      </c>
      <c r="E853">
        <v>27.99</v>
      </c>
      <c r="F853">
        <v>18.489999999999998</v>
      </c>
      <c r="G853">
        <v>41.38</v>
      </c>
      <c r="H853">
        <v>105.13</v>
      </c>
      <c r="I853">
        <v>15.98</v>
      </c>
      <c r="J853">
        <v>27.99</v>
      </c>
      <c r="K853">
        <v>19.05</v>
      </c>
      <c r="L853">
        <v>39.17</v>
      </c>
      <c r="M853">
        <v>28.91</v>
      </c>
      <c r="N853">
        <f t="shared" si="13"/>
        <v>28.45</v>
      </c>
      <c r="AE853">
        <v>13.52</v>
      </c>
    </row>
    <row r="854" spans="1:31" x14ac:dyDescent="0.25">
      <c r="A854" t="s">
        <v>898</v>
      </c>
      <c r="B854">
        <v>13.26</v>
      </c>
      <c r="C854">
        <v>19.71</v>
      </c>
      <c r="D854">
        <v>44.03</v>
      </c>
      <c r="E854">
        <v>78.75</v>
      </c>
      <c r="F854">
        <v>65.63</v>
      </c>
      <c r="G854">
        <v>22.61</v>
      </c>
      <c r="H854">
        <v>90.55</v>
      </c>
      <c r="I854">
        <v>15.28</v>
      </c>
      <c r="J854">
        <v>53.09</v>
      </c>
      <c r="K854">
        <v>42.28</v>
      </c>
      <c r="L854">
        <v>100.8</v>
      </c>
      <c r="M854">
        <v>72.34</v>
      </c>
      <c r="N854">
        <f t="shared" si="13"/>
        <v>48.56</v>
      </c>
      <c r="AE854">
        <v>13.26</v>
      </c>
    </row>
    <row r="855" spans="1:31" x14ac:dyDescent="0.25">
      <c r="A855" t="s">
        <v>899</v>
      </c>
      <c r="B855">
        <v>6.62</v>
      </c>
      <c r="C855">
        <v>22.91</v>
      </c>
      <c r="D855">
        <v>69.180000000000007</v>
      </c>
      <c r="E855">
        <v>29.61</v>
      </c>
      <c r="F855">
        <v>80.31</v>
      </c>
      <c r="G855">
        <v>66.72</v>
      </c>
      <c r="H855">
        <v>74.03</v>
      </c>
      <c r="I855">
        <v>8.56</v>
      </c>
      <c r="J855">
        <v>40.21</v>
      </c>
      <c r="K855">
        <v>121.11</v>
      </c>
      <c r="L855">
        <v>10.88</v>
      </c>
      <c r="M855">
        <v>58.47</v>
      </c>
      <c r="N855">
        <f t="shared" si="13"/>
        <v>49.34</v>
      </c>
      <c r="AE855">
        <v>6.62</v>
      </c>
    </row>
    <row r="856" spans="1:31" x14ac:dyDescent="0.25">
      <c r="A856" t="s">
        <v>900</v>
      </c>
      <c r="B856">
        <v>13.23</v>
      </c>
      <c r="C856">
        <v>10.09</v>
      </c>
      <c r="D856">
        <v>29.8</v>
      </c>
      <c r="E856">
        <v>131.9</v>
      </c>
      <c r="F856">
        <v>38.04</v>
      </c>
      <c r="G856">
        <v>26.2</v>
      </c>
      <c r="H856">
        <v>227.34</v>
      </c>
      <c r="I856">
        <v>29.94</v>
      </c>
      <c r="J856">
        <v>20.25</v>
      </c>
      <c r="K856">
        <v>28.05</v>
      </c>
      <c r="L856">
        <v>14.11</v>
      </c>
      <c r="M856">
        <v>27.03</v>
      </c>
      <c r="N856">
        <f t="shared" si="13"/>
        <v>27.54</v>
      </c>
      <c r="AE856">
        <v>13.23</v>
      </c>
    </row>
    <row r="857" spans="1:31" x14ac:dyDescent="0.25">
      <c r="A857" t="s">
        <v>901</v>
      </c>
      <c r="B857">
        <v>13.17</v>
      </c>
      <c r="C857">
        <v>194.57</v>
      </c>
      <c r="D857">
        <v>58.46</v>
      </c>
      <c r="E857">
        <v>23.44</v>
      </c>
      <c r="F857">
        <v>74.760000000000005</v>
      </c>
      <c r="G857">
        <v>34.619999999999997</v>
      </c>
      <c r="H857">
        <v>81.010000000000005</v>
      </c>
      <c r="I857">
        <v>24.26</v>
      </c>
      <c r="J857">
        <v>28.11</v>
      </c>
      <c r="K857">
        <v>20.05</v>
      </c>
      <c r="L857">
        <v>43.94</v>
      </c>
      <c r="M857">
        <v>17.510000000000002</v>
      </c>
      <c r="N857">
        <f t="shared" si="13"/>
        <v>31.364999999999998</v>
      </c>
      <c r="AE857">
        <v>13.17</v>
      </c>
    </row>
    <row r="858" spans="1:31" x14ac:dyDescent="0.25">
      <c r="A858" t="s">
        <v>902</v>
      </c>
      <c r="B858">
        <v>6.53</v>
      </c>
      <c r="C858">
        <v>1.45</v>
      </c>
      <c r="D858">
        <v>30.67</v>
      </c>
      <c r="E858">
        <v>70.099999999999994</v>
      </c>
      <c r="F858">
        <v>21.36</v>
      </c>
      <c r="G858">
        <v>40.01</v>
      </c>
      <c r="H858">
        <v>100.05</v>
      </c>
      <c r="I858">
        <v>82</v>
      </c>
      <c r="J858">
        <v>8.02</v>
      </c>
      <c r="K858">
        <v>149.76</v>
      </c>
      <c r="L858">
        <v>96.72</v>
      </c>
      <c r="M858">
        <v>42.41</v>
      </c>
      <c r="N858">
        <f t="shared" si="13"/>
        <v>41.209999999999994</v>
      </c>
      <c r="AE858">
        <v>6.53</v>
      </c>
    </row>
    <row r="859" spans="1:31" x14ac:dyDescent="0.25">
      <c r="A859" t="s">
        <v>903</v>
      </c>
      <c r="B859">
        <v>13.03</v>
      </c>
      <c r="C859">
        <v>41.53</v>
      </c>
      <c r="D859">
        <v>38.43</v>
      </c>
      <c r="E859">
        <v>36.630000000000003</v>
      </c>
      <c r="F859">
        <v>72.69</v>
      </c>
      <c r="G859">
        <v>59.47</v>
      </c>
      <c r="H859">
        <v>159.63</v>
      </c>
      <c r="I859">
        <v>10.93</v>
      </c>
      <c r="J859">
        <v>10.09</v>
      </c>
      <c r="K859">
        <v>30.16</v>
      </c>
      <c r="L859">
        <v>10.24</v>
      </c>
      <c r="M859">
        <v>99.58</v>
      </c>
      <c r="N859">
        <f t="shared" si="13"/>
        <v>37.53</v>
      </c>
      <c r="AE859">
        <v>13.03</v>
      </c>
    </row>
    <row r="860" spans="1:31" x14ac:dyDescent="0.25">
      <c r="A860" t="s">
        <v>904</v>
      </c>
      <c r="B860">
        <v>5.84</v>
      </c>
      <c r="C860">
        <v>1.42</v>
      </c>
      <c r="D860">
        <v>33.950000000000003</v>
      </c>
      <c r="E860">
        <v>146.66</v>
      </c>
      <c r="F860">
        <v>45.57</v>
      </c>
      <c r="G860">
        <v>66.38</v>
      </c>
      <c r="H860">
        <v>189.26</v>
      </c>
      <c r="I860">
        <v>64.41</v>
      </c>
      <c r="J860">
        <v>132.69</v>
      </c>
      <c r="K860">
        <v>13.99</v>
      </c>
      <c r="L860">
        <v>268.8</v>
      </c>
      <c r="M860">
        <v>0.27</v>
      </c>
      <c r="N860">
        <f t="shared" si="13"/>
        <v>54.989999999999995</v>
      </c>
      <c r="AE860">
        <v>5.84</v>
      </c>
    </row>
    <row r="861" spans="1:31" x14ac:dyDescent="0.25">
      <c r="A861" t="s">
        <v>905</v>
      </c>
      <c r="B861">
        <v>6.83</v>
      </c>
      <c r="C861">
        <v>39.590000000000003</v>
      </c>
      <c r="D861">
        <v>102.35</v>
      </c>
      <c r="E861">
        <v>42.49</v>
      </c>
      <c r="F861">
        <v>18.46</v>
      </c>
      <c r="G861">
        <v>51.38</v>
      </c>
      <c r="H861">
        <v>22.92</v>
      </c>
      <c r="I861">
        <v>69.680000000000007</v>
      </c>
      <c r="J861">
        <v>3.09</v>
      </c>
      <c r="K861">
        <v>132.72999999999999</v>
      </c>
      <c r="L861">
        <v>39.94</v>
      </c>
      <c r="M861">
        <v>52.32</v>
      </c>
      <c r="N861">
        <f t="shared" si="13"/>
        <v>41.215000000000003</v>
      </c>
      <c r="AE861">
        <v>6.83</v>
      </c>
    </row>
    <row r="862" spans="1:31" x14ac:dyDescent="0.25">
      <c r="A862" t="s">
        <v>906</v>
      </c>
      <c r="B862">
        <v>12.91</v>
      </c>
      <c r="C862">
        <v>39.119999999999997</v>
      </c>
      <c r="D862">
        <v>39.020000000000003</v>
      </c>
      <c r="E862">
        <v>10.44</v>
      </c>
      <c r="F862">
        <v>58.79</v>
      </c>
      <c r="G862">
        <v>14.8</v>
      </c>
      <c r="H862">
        <v>105.99</v>
      </c>
      <c r="I862">
        <v>48.03</v>
      </c>
      <c r="J862">
        <v>20.32</v>
      </c>
      <c r="K862">
        <v>130.83000000000001</v>
      </c>
      <c r="L862">
        <v>18.579999999999998</v>
      </c>
      <c r="M862">
        <v>22.19</v>
      </c>
      <c r="N862">
        <f t="shared" si="13"/>
        <v>30.605000000000004</v>
      </c>
      <c r="AE862">
        <v>12.91</v>
      </c>
    </row>
    <row r="863" spans="1:31" x14ac:dyDescent="0.25">
      <c r="A863" t="s">
        <v>907</v>
      </c>
      <c r="B863">
        <v>5.52</v>
      </c>
      <c r="C863">
        <v>81.38</v>
      </c>
      <c r="D863">
        <v>55.53</v>
      </c>
      <c r="E863">
        <v>225.74</v>
      </c>
      <c r="F863">
        <v>14.23</v>
      </c>
      <c r="G863">
        <v>1.35</v>
      </c>
      <c r="H863">
        <v>66.61</v>
      </c>
      <c r="I863">
        <v>103.16</v>
      </c>
      <c r="J863">
        <v>8.98</v>
      </c>
      <c r="K863">
        <v>78.45</v>
      </c>
      <c r="L863">
        <v>0.45</v>
      </c>
      <c r="M863">
        <v>223.18</v>
      </c>
      <c r="N863">
        <f t="shared" si="13"/>
        <v>61.07</v>
      </c>
      <c r="AE863">
        <v>5.52</v>
      </c>
    </row>
    <row r="864" spans="1:31" x14ac:dyDescent="0.25">
      <c r="A864" t="s">
        <v>908</v>
      </c>
      <c r="B864">
        <v>6.21</v>
      </c>
      <c r="C864">
        <v>13.33</v>
      </c>
      <c r="D864">
        <v>46.68</v>
      </c>
      <c r="E864">
        <v>145.27000000000001</v>
      </c>
      <c r="F864">
        <v>100.19</v>
      </c>
      <c r="G864">
        <v>145.87</v>
      </c>
      <c r="H864">
        <v>10.56</v>
      </c>
      <c r="I864">
        <v>0</v>
      </c>
      <c r="J864">
        <v>33.71</v>
      </c>
      <c r="K864">
        <v>14.81</v>
      </c>
      <c r="L864">
        <v>73.84</v>
      </c>
      <c r="M864">
        <v>0.45</v>
      </c>
      <c r="N864">
        <f t="shared" si="13"/>
        <v>24.259999999999998</v>
      </c>
      <c r="AE864">
        <v>6.21</v>
      </c>
    </row>
    <row r="865" spans="1:31" x14ac:dyDescent="0.25">
      <c r="A865" t="s">
        <v>909</v>
      </c>
      <c r="B865">
        <v>5.25</v>
      </c>
      <c r="C865">
        <v>141.71</v>
      </c>
      <c r="D865">
        <v>1.51</v>
      </c>
      <c r="E865">
        <v>17.11</v>
      </c>
      <c r="F865">
        <v>13.68</v>
      </c>
      <c r="G865">
        <v>50.23</v>
      </c>
      <c r="H865">
        <v>136.37</v>
      </c>
      <c r="I865">
        <v>21.83</v>
      </c>
      <c r="J865">
        <v>49.62</v>
      </c>
      <c r="K865">
        <v>23.56</v>
      </c>
      <c r="L865">
        <v>11.49</v>
      </c>
      <c r="M865">
        <v>3.38</v>
      </c>
      <c r="N865">
        <f t="shared" si="13"/>
        <v>19.47</v>
      </c>
      <c r="AE865">
        <v>5.25</v>
      </c>
    </row>
    <row r="866" spans="1:31" x14ac:dyDescent="0.25">
      <c r="A866" t="s">
        <v>910</v>
      </c>
      <c r="B866">
        <v>5.1100000000000003</v>
      </c>
      <c r="C866">
        <v>132.99</v>
      </c>
      <c r="D866">
        <v>23.75</v>
      </c>
      <c r="E866">
        <v>2.2599999999999998</v>
      </c>
      <c r="F866">
        <v>32.880000000000003</v>
      </c>
      <c r="G866">
        <v>50.49</v>
      </c>
      <c r="H866">
        <v>49.32</v>
      </c>
      <c r="I866">
        <v>183.39</v>
      </c>
      <c r="J866">
        <v>94.03</v>
      </c>
      <c r="K866">
        <v>23.81</v>
      </c>
      <c r="L866">
        <v>5.84</v>
      </c>
      <c r="M866">
        <v>39.9</v>
      </c>
      <c r="N866">
        <f t="shared" si="13"/>
        <v>36.39</v>
      </c>
      <c r="AE866">
        <v>5.1100000000000003</v>
      </c>
    </row>
    <row r="867" spans="1:31" x14ac:dyDescent="0.25">
      <c r="A867" t="s">
        <v>911</v>
      </c>
      <c r="B867">
        <v>5.41</v>
      </c>
      <c r="C867">
        <v>75.569999999999993</v>
      </c>
      <c r="D867">
        <v>21.8</v>
      </c>
      <c r="E867">
        <v>0.99</v>
      </c>
      <c r="F867">
        <v>44.19</v>
      </c>
      <c r="G867">
        <v>17.29</v>
      </c>
      <c r="H867">
        <v>97.59</v>
      </c>
      <c r="I867">
        <v>15.24</v>
      </c>
      <c r="J867">
        <v>261.81</v>
      </c>
      <c r="K867">
        <v>96.65</v>
      </c>
      <c r="L867">
        <v>8.7100000000000009</v>
      </c>
      <c r="M867">
        <v>37.61</v>
      </c>
      <c r="N867">
        <f t="shared" si="13"/>
        <v>29.704999999999998</v>
      </c>
      <c r="AE867">
        <v>5.41</v>
      </c>
    </row>
    <row r="868" spans="1:31" x14ac:dyDescent="0.25">
      <c r="A868" t="s">
        <v>912</v>
      </c>
      <c r="B868">
        <v>12.5</v>
      </c>
      <c r="C868">
        <v>37.28</v>
      </c>
      <c r="D868">
        <v>27.92</v>
      </c>
      <c r="E868">
        <v>100.13</v>
      </c>
      <c r="F868">
        <v>28.55</v>
      </c>
      <c r="G868">
        <v>44.81</v>
      </c>
      <c r="H868">
        <v>57.49</v>
      </c>
      <c r="I868">
        <v>65.400000000000006</v>
      </c>
      <c r="J868">
        <v>52.04</v>
      </c>
      <c r="K868">
        <v>27.73</v>
      </c>
      <c r="L868">
        <v>51.63</v>
      </c>
      <c r="M868">
        <v>48.34</v>
      </c>
      <c r="N868">
        <f t="shared" si="13"/>
        <v>46.575000000000003</v>
      </c>
      <c r="AE868">
        <v>12.5</v>
      </c>
    </row>
    <row r="869" spans="1:31" x14ac:dyDescent="0.25">
      <c r="A869" t="s">
        <v>913</v>
      </c>
      <c r="B869">
        <v>12.52</v>
      </c>
      <c r="C869">
        <v>28.35</v>
      </c>
      <c r="D869">
        <v>30.07</v>
      </c>
      <c r="E869">
        <v>38.380000000000003</v>
      </c>
      <c r="F869">
        <v>18.57</v>
      </c>
      <c r="G869">
        <v>10.09</v>
      </c>
      <c r="H869">
        <v>126.14</v>
      </c>
      <c r="I869">
        <v>156.38999999999999</v>
      </c>
      <c r="J869">
        <v>34.51</v>
      </c>
      <c r="K869">
        <v>70.209999999999994</v>
      </c>
      <c r="L869">
        <v>43.86</v>
      </c>
      <c r="M869">
        <v>20.149999999999999</v>
      </c>
      <c r="N869">
        <f t="shared" si="13"/>
        <v>32.29</v>
      </c>
      <c r="AE869">
        <v>12.52</v>
      </c>
    </row>
    <row r="870" spans="1:31" x14ac:dyDescent="0.25">
      <c r="A870" t="s">
        <v>914</v>
      </c>
      <c r="B870">
        <v>12.45</v>
      </c>
      <c r="C870">
        <v>11.17</v>
      </c>
      <c r="D870">
        <v>17.09</v>
      </c>
      <c r="E870">
        <v>18.47</v>
      </c>
      <c r="F870">
        <v>33.68</v>
      </c>
      <c r="G870">
        <v>72.150000000000006</v>
      </c>
      <c r="H870">
        <v>27.93</v>
      </c>
      <c r="I870">
        <v>120.58</v>
      </c>
      <c r="J870">
        <v>67.52</v>
      </c>
      <c r="K870">
        <v>154.08000000000001</v>
      </c>
      <c r="L870">
        <v>92.61</v>
      </c>
      <c r="M870">
        <v>44.38</v>
      </c>
      <c r="N870">
        <f t="shared" si="13"/>
        <v>39.03</v>
      </c>
      <c r="AE870">
        <v>12.45</v>
      </c>
    </row>
    <row r="871" spans="1:31" x14ac:dyDescent="0.25">
      <c r="A871" t="s">
        <v>915</v>
      </c>
      <c r="B871">
        <v>4.82</v>
      </c>
      <c r="C871">
        <v>0.27</v>
      </c>
      <c r="D871">
        <v>48.88</v>
      </c>
      <c r="E871">
        <v>19.309999999999999</v>
      </c>
      <c r="F871">
        <v>26.94</v>
      </c>
      <c r="G871">
        <v>35.29</v>
      </c>
      <c r="H871">
        <v>13.62</v>
      </c>
      <c r="I871">
        <v>67.42</v>
      </c>
      <c r="J871">
        <v>91.61</v>
      </c>
      <c r="K871">
        <v>75.150000000000006</v>
      </c>
      <c r="L871">
        <v>54.76</v>
      </c>
      <c r="M871">
        <v>212.06</v>
      </c>
      <c r="N871">
        <f t="shared" si="13"/>
        <v>42.085000000000001</v>
      </c>
      <c r="AE871">
        <v>4.82</v>
      </c>
    </row>
    <row r="872" spans="1:31" x14ac:dyDescent="0.25">
      <c r="A872" t="s">
        <v>916</v>
      </c>
      <c r="B872">
        <v>4.46</v>
      </c>
      <c r="C872">
        <v>54.26</v>
      </c>
      <c r="D872">
        <v>45.08</v>
      </c>
      <c r="E872">
        <v>50.32</v>
      </c>
      <c r="F872">
        <v>65.25</v>
      </c>
      <c r="G872">
        <v>1.03</v>
      </c>
      <c r="H872">
        <v>50.69</v>
      </c>
      <c r="I872">
        <v>117.13</v>
      </c>
      <c r="J872">
        <v>33.869999999999997</v>
      </c>
      <c r="K872">
        <v>36.369999999999997</v>
      </c>
      <c r="L872">
        <v>38.200000000000003</v>
      </c>
      <c r="M872">
        <v>122.8</v>
      </c>
      <c r="N872">
        <f t="shared" si="13"/>
        <v>47.7</v>
      </c>
      <c r="AE872">
        <v>4.46</v>
      </c>
    </row>
    <row r="873" spans="1:31" x14ac:dyDescent="0.25">
      <c r="A873" t="s">
        <v>917</v>
      </c>
      <c r="B873">
        <v>6.66</v>
      </c>
      <c r="C873">
        <v>0.27</v>
      </c>
      <c r="D873">
        <v>138.43</v>
      </c>
      <c r="E873">
        <v>9.01</v>
      </c>
      <c r="F873">
        <v>27.58</v>
      </c>
      <c r="G873">
        <v>174.04</v>
      </c>
      <c r="H873">
        <v>84.38</v>
      </c>
      <c r="I873">
        <v>0.81</v>
      </c>
      <c r="J873">
        <v>0.83</v>
      </c>
      <c r="K873">
        <v>28.81</v>
      </c>
      <c r="L873">
        <v>56.5</v>
      </c>
      <c r="M873">
        <v>101.93</v>
      </c>
      <c r="N873">
        <f t="shared" si="13"/>
        <v>28.195</v>
      </c>
      <c r="AE873">
        <v>6.66</v>
      </c>
    </row>
    <row r="874" spans="1:31" x14ac:dyDescent="0.25">
      <c r="A874" t="s">
        <v>918</v>
      </c>
      <c r="B874">
        <v>11.87</v>
      </c>
      <c r="C874">
        <v>49.39</v>
      </c>
      <c r="D874">
        <v>17.71</v>
      </c>
      <c r="E874">
        <v>11.88</v>
      </c>
      <c r="F874">
        <v>29.99</v>
      </c>
      <c r="G874">
        <v>90.82</v>
      </c>
      <c r="H874">
        <v>60.37</v>
      </c>
      <c r="I874">
        <v>64.260000000000005</v>
      </c>
      <c r="J874">
        <v>17.98</v>
      </c>
      <c r="K874">
        <v>85.73</v>
      </c>
      <c r="L874">
        <v>23.34</v>
      </c>
      <c r="M874">
        <v>87.21</v>
      </c>
      <c r="N874">
        <f t="shared" si="13"/>
        <v>39.69</v>
      </c>
      <c r="AE874">
        <v>11.87</v>
      </c>
    </row>
    <row r="875" spans="1:31" x14ac:dyDescent="0.25">
      <c r="A875" t="s">
        <v>919</v>
      </c>
      <c r="B875">
        <v>12.16</v>
      </c>
      <c r="C875">
        <v>80.900000000000006</v>
      </c>
      <c r="D875">
        <v>17.93</v>
      </c>
      <c r="E875">
        <v>43.54</v>
      </c>
      <c r="F875">
        <v>87.93</v>
      </c>
      <c r="G875">
        <v>10.14</v>
      </c>
      <c r="H875">
        <v>72.599999999999994</v>
      </c>
      <c r="I875">
        <v>63.66</v>
      </c>
      <c r="J875">
        <v>33.21</v>
      </c>
      <c r="K875">
        <v>31.55</v>
      </c>
      <c r="L875">
        <v>26.09</v>
      </c>
      <c r="M875">
        <v>135.02000000000001</v>
      </c>
      <c r="N875">
        <f t="shared" si="13"/>
        <v>38.375</v>
      </c>
      <c r="AE875">
        <v>12.16</v>
      </c>
    </row>
    <row r="876" spans="1:31" x14ac:dyDescent="0.25">
      <c r="A876" t="s">
        <v>920</v>
      </c>
      <c r="B876">
        <v>11.77</v>
      </c>
      <c r="C876">
        <v>45.91</v>
      </c>
      <c r="D876">
        <v>14.44</v>
      </c>
      <c r="E876">
        <v>18.03</v>
      </c>
      <c r="F876">
        <v>70.73</v>
      </c>
      <c r="G876">
        <v>30.64</v>
      </c>
      <c r="H876">
        <v>165.66</v>
      </c>
      <c r="I876">
        <v>43.58</v>
      </c>
      <c r="J876">
        <v>37.36</v>
      </c>
      <c r="K876">
        <v>18.36</v>
      </c>
      <c r="L876">
        <v>120.76</v>
      </c>
      <c r="M876">
        <v>10.19</v>
      </c>
      <c r="N876">
        <f t="shared" si="13"/>
        <v>34</v>
      </c>
      <c r="AE876">
        <v>11.77</v>
      </c>
    </row>
    <row r="877" spans="1:31" x14ac:dyDescent="0.25">
      <c r="A877" t="s">
        <v>921</v>
      </c>
      <c r="B877">
        <v>11.56</v>
      </c>
      <c r="C877">
        <v>10.039999999999999</v>
      </c>
      <c r="D877">
        <v>15.01</v>
      </c>
      <c r="E877">
        <v>190.14</v>
      </c>
      <c r="F877">
        <v>140.22</v>
      </c>
      <c r="G877">
        <v>19.940000000000001</v>
      </c>
      <c r="H877">
        <v>18.09</v>
      </c>
      <c r="I877">
        <v>10.19</v>
      </c>
      <c r="J877">
        <v>18.940000000000001</v>
      </c>
      <c r="K877">
        <v>24.75</v>
      </c>
      <c r="L877">
        <v>68.12</v>
      </c>
      <c r="M877">
        <v>89.9</v>
      </c>
      <c r="N877">
        <f t="shared" si="13"/>
        <v>19.440000000000001</v>
      </c>
      <c r="AE877">
        <v>11.56</v>
      </c>
    </row>
    <row r="878" spans="1:31" x14ac:dyDescent="0.25">
      <c r="A878" t="s">
        <v>922</v>
      </c>
      <c r="B878">
        <v>11.74</v>
      </c>
      <c r="C878">
        <v>133.6</v>
      </c>
      <c r="D878">
        <v>17.04</v>
      </c>
      <c r="E878">
        <v>106.42</v>
      </c>
      <c r="F878">
        <v>42.66</v>
      </c>
      <c r="G878">
        <v>54.15</v>
      </c>
      <c r="H878">
        <v>12.83</v>
      </c>
      <c r="I878">
        <v>47.91</v>
      </c>
      <c r="J878">
        <v>93.12</v>
      </c>
      <c r="K878">
        <v>14.36</v>
      </c>
      <c r="L878">
        <v>10.19</v>
      </c>
      <c r="M878">
        <v>14.06</v>
      </c>
      <c r="N878">
        <f t="shared" si="13"/>
        <v>29.849999999999998</v>
      </c>
      <c r="AE878">
        <v>11.74</v>
      </c>
    </row>
    <row r="879" spans="1:31" x14ac:dyDescent="0.25">
      <c r="A879" t="s">
        <v>923</v>
      </c>
      <c r="B879">
        <v>3.29</v>
      </c>
      <c r="C879">
        <v>6.09</v>
      </c>
      <c r="D879">
        <v>65</v>
      </c>
      <c r="E879">
        <v>53.03</v>
      </c>
      <c r="F879">
        <v>4.1399999999999997</v>
      </c>
      <c r="G879">
        <v>76.489999999999995</v>
      </c>
      <c r="H879">
        <v>20.48</v>
      </c>
      <c r="I879">
        <v>61.53</v>
      </c>
      <c r="J879">
        <v>57.01</v>
      </c>
      <c r="K879">
        <v>43.5</v>
      </c>
      <c r="L879">
        <v>10.87</v>
      </c>
      <c r="M879">
        <v>62.15</v>
      </c>
      <c r="N879">
        <f t="shared" si="13"/>
        <v>48.265000000000001</v>
      </c>
      <c r="AE879">
        <v>3.29</v>
      </c>
    </row>
    <row r="880" spans="1:31" x14ac:dyDescent="0.25">
      <c r="A880" t="s">
        <v>924</v>
      </c>
      <c r="B880">
        <v>2.52</v>
      </c>
      <c r="C880">
        <v>57.59</v>
      </c>
      <c r="D880">
        <v>6.31</v>
      </c>
      <c r="E880">
        <v>98.04</v>
      </c>
      <c r="F880">
        <v>51.11</v>
      </c>
      <c r="G880">
        <v>57.18</v>
      </c>
      <c r="H880">
        <v>28.15</v>
      </c>
      <c r="I880">
        <v>29.89</v>
      </c>
      <c r="J880">
        <v>20.329999999999998</v>
      </c>
      <c r="K880">
        <v>79.89</v>
      </c>
      <c r="L880">
        <v>0.09</v>
      </c>
      <c r="M880">
        <v>68.52</v>
      </c>
      <c r="N880">
        <f t="shared" si="13"/>
        <v>40.5</v>
      </c>
      <c r="AE880">
        <v>2.52</v>
      </c>
    </row>
    <row r="881" spans="1:31" x14ac:dyDescent="0.25">
      <c r="A881" t="s">
        <v>925</v>
      </c>
      <c r="B881">
        <v>11.22</v>
      </c>
      <c r="C881">
        <v>25.21</v>
      </c>
      <c r="D881">
        <v>41.24</v>
      </c>
      <c r="E881">
        <v>67.55</v>
      </c>
      <c r="F881">
        <v>82.95</v>
      </c>
      <c r="G881">
        <v>54.72</v>
      </c>
      <c r="H881">
        <v>24.32</v>
      </c>
      <c r="I881">
        <v>47.62</v>
      </c>
      <c r="J881">
        <v>14.63</v>
      </c>
      <c r="K881">
        <v>23.9</v>
      </c>
      <c r="L881">
        <v>29.06</v>
      </c>
      <c r="M881">
        <v>60.11</v>
      </c>
      <c r="N881">
        <f t="shared" si="13"/>
        <v>35.15</v>
      </c>
      <c r="AE881">
        <v>11.22</v>
      </c>
    </row>
    <row r="882" spans="1:31" x14ac:dyDescent="0.25">
      <c r="A882" t="s">
        <v>926</v>
      </c>
      <c r="B882">
        <v>2.48</v>
      </c>
      <c r="C882">
        <v>23.59</v>
      </c>
      <c r="D882">
        <v>0.81</v>
      </c>
      <c r="E882">
        <v>157.88</v>
      </c>
      <c r="F882">
        <v>16.5</v>
      </c>
      <c r="G882">
        <v>26.18</v>
      </c>
      <c r="H882">
        <v>11.11</v>
      </c>
      <c r="I882">
        <v>24.5</v>
      </c>
      <c r="J882">
        <v>105.42</v>
      </c>
      <c r="K882">
        <v>130.06</v>
      </c>
      <c r="L882">
        <v>0.63</v>
      </c>
      <c r="M882">
        <v>74.08</v>
      </c>
      <c r="N882">
        <f t="shared" si="13"/>
        <v>24.045000000000002</v>
      </c>
      <c r="AE882">
        <v>2.48</v>
      </c>
    </row>
    <row r="883" spans="1:31" x14ac:dyDescent="0.25">
      <c r="A883" t="s">
        <v>927</v>
      </c>
      <c r="B883">
        <v>2.34</v>
      </c>
      <c r="C883">
        <v>1.08</v>
      </c>
      <c r="D883">
        <v>60.05</v>
      </c>
      <c r="E883">
        <v>0</v>
      </c>
      <c r="F883">
        <v>95.79</v>
      </c>
      <c r="G883">
        <v>9.57</v>
      </c>
      <c r="H883">
        <v>24.81</v>
      </c>
      <c r="I883">
        <v>26.98</v>
      </c>
      <c r="J883">
        <v>28.76</v>
      </c>
      <c r="K883">
        <v>15.36</v>
      </c>
      <c r="L883">
        <v>0.63</v>
      </c>
      <c r="M883">
        <v>45.08</v>
      </c>
      <c r="N883">
        <f t="shared" si="13"/>
        <v>20.085000000000001</v>
      </c>
      <c r="AE883">
        <v>2.34</v>
      </c>
    </row>
    <row r="884" spans="1:31" x14ac:dyDescent="0.25">
      <c r="A884" t="s">
        <v>928</v>
      </c>
      <c r="B884">
        <v>11.04</v>
      </c>
      <c r="C884">
        <v>21.66</v>
      </c>
      <c r="D884">
        <v>121.42</v>
      </c>
      <c r="E884">
        <v>66.900000000000006</v>
      </c>
      <c r="F884">
        <v>33.520000000000003</v>
      </c>
      <c r="G884">
        <v>9.99</v>
      </c>
      <c r="H884">
        <v>52.97</v>
      </c>
      <c r="I884">
        <v>24.25</v>
      </c>
      <c r="J884">
        <v>58.37</v>
      </c>
      <c r="K884">
        <v>38.76</v>
      </c>
      <c r="L884">
        <v>41.31</v>
      </c>
      <c r="M884">
        <v>134.69</v>
      </c>
      <c r="N884">
        <f t="shared" si="13"/>
        <v>40.034999999999997</v>
      </c>
      <c r="AE884">
        <v>11.04</v>
      </c>
    </row>
    <row r="885" spans="1:31" x14ac:dyDescent="0.25">
      <c r="A885" t="s">
        <v>929</v>
      </c>
      <c r="B885">
        <v>11.13</v>
      </c>
      <c r="C885">
        <v>258.88</v>
      </c>
      <c r="D885">
        <v>42.46</v>
      </c>
      <c r="E885">
        <v>31.12</v>
      </c>
      <c r="F885">
        <v>9.99</v>
      </c>
      <c r="G885">
        <v>49.3</v>
      </c>
      <c r="H885">
        <v>38.57</v>
      </c>
      <c r="I885">
        <v>80.78</v>
      </c>
      <c r="J885">
        <v>13.51</v>
      </c>
      <c r="K885">
        <v>147.85</v>
      </c>
      <c r="L885">
        <v>30.59</v>
      </c>
      <c r="M885">
        <v>27.57</v>
      </c>
      <c r="N885">
        <f t="shared" si="13"/>
        <v>34.844999999999999</v>
      </c>
      <c r="AE885">
        <v>11.13</v>
      </c>
    </row>
    <row r="886" spans="1:31" x14ac:dyDescent="0.25">
      <c r="A886" t="s">
        <v>930</v>
      </c>
      <c r="B886">
        <v>11.24</v>
      </c>
      <c r="C886">
        <v>10.09</v>
      </c>
      <c r="D886">
        <v>40.29</v>
      </c>
      <c r="E886">
        <v>119.44</v>
      </c>
      <c r="F886">
        <v>98.25</v>
      </c>
      <c r="G886">
        <v>186.94</v>
      </c>
      <c r="H886">
        <v>27.31</v>
      </c>
      <c r="I886">
        <v>10.19</v>
      </c>
      <c r="J886">
        <v>13.46</v>
      </c>
      <c r="K886">
        <v>46.03</v>
      </c>
      <c r="L886">
        <v>10.09</v>
      </c>
      <c r="M886">
        <v>32.28</v>
      </c>
      <c r="N886">
        <f t="shared" si="13"/>
        <v>29.795000000000002</v>
      </c>
      <c r="AE886">
        <v>11.24</v>
      </c>
    </row>
    <row r="887" spans="1:31" x14ac:dyDescent="0.25">
      <c r="A887" t="s">
        <v>931</v>
      </c>
      <c r="B887">
        <v>10.88</v>
      </c>
      <c r="C887">
        <v>24.63</v>
      </c>
      <c r="D887">
        <v>73.75</v>
      </c>
      <c r="E887">
        <v>27.02</v>
      </c>
      <c r="F887">
        <v>45.93</v>
      </c>
      <c r="G887">
        <v>138.08000000000001</v>
      </c>
      <c r="H887">
        <v>45.69</v>
      </c>
      <c r="I887">
        <v>15.72</v>
      </c>
      <c r="J887">
        <v>25.04</v>
      </c>
      <c r="K887">
        <v>69.89</v>
      </c>
      <c r="L887">
        <v>26.62</v>
      </c>
      <c r="M887">
        <v>48.18</v>
      </c>
      <c r="N887">
        <f t="shared" si="13"/>
        <v>36.354999999999997</v>
      </c>
      <c r="AE887">
        <v>10.88</v>
      </c>
    </row>
    <row r="888" spans="1:31" x14ac:dyDescent="0.25">
      <c r="A888" t="s">
        <v>932</v>
      </c>
      <c r="B888">
        <v>1.76</v>
      </c>
      <c r="C888">
        <v>37.67</v>
      </c>
      <c r="D888">
        <v>57.27</v>
      </c>
      <c r="E888">
        <v>8.6199999999999992</v>
      </c>
      <c r="F888">
        <v>91.7</v>
      </c>
      <c r="G888">
        <v>0</v>
      </c>
      <c r="H888">
        <v>92</v>
      </c>
      <c r="I888">
        <v>44.24</v>
      </c>
      <c r="J888">
        <v>76.44</v>
      </c>
      <c r="K888">
        <v>32.82</v>
      </c>
      <c r="L888">
        <v>266.77</v>
      </c>
      <c r="M888">
        <v>34.659999999999997</v>
      </c>
      <c r="N888">
        <f t="shared" si="13"/>
        <v>40.954999999999998</v>
      </c>
      <c r="AE888">
        <v>1.76</v>
      </c>
    </row>
    <row r="889" spans="1:31" x14ac:dyDescent="0.25">
      <c r="A889" t="s">
        <v>933</v>
      </c>
      <c r="B889">
        <v>11.26</v>
      </c>
      <c r="C889">
        <v>28.95</v>
      </c>
      <c r="D889">
        <v>25.26</v>
      </c>
      <c r="E889">
        <v>40.619999999999997</v>
      </c>
      <c r="F889">
        <v>84.1</v>
      </c>
      <c r="G889">
        <v>43.56</v>
      </c>
      <c r="H889">
        <v>24.86</v>
      </c>
      <c r="I889">
        <v>85.96</v>
      </c>
      <c r="J889">
        <v>52.36</v>
      </c>
      <c r="K889">
        <v>24.47</v>
      </c>
      <c r="L889">
        <v>31.42</v>
      </c>
      <c r="M889">
        <v>61.22</v>
      </c>
      <c r="N889">
        <f t="shared" si="13"/>
        <v>36.019999999999996</v>
      </c>
      <c r="AE889">
        <v>11.26</v>
      </c>
    </row>
    <row r="890" spans="1:31" x14ac:dyDescent="0.25">
      <c r="A890" t="s">
        <v>934</v>
      </c>
      <c r="B890">
        <v>1.8</v>
      </c>
      <c r="C890">
        <v>24.78</v>
      </c>
      <c r="D890">
        <v>50.4</v>
      </c>
      <c r="E890">
        <v>130.86000000000001</v>
      </c>
      <c r="F890">
        <v>58.97</v>
      </c>
      <c r="G890">
        <v>1.98</v>
      </c>
      <c r="H890">
        <v>22.76</v>
      </c>
      <c r="I890">
        <v>66.180000000000007</v>
      </c>
      <c r="J890">
        <v>32.6</v>
      </c>
      <c r="K890">
        <v>5.23</v>
      </c>
      <c r="L890">
        <v>72.209999999999994</v>
      </c>
      <c r="M890">
        <v>31.47</v>
      </c>
      <c r="N890">
        <f t="shared" si="13"/>
        <v>32.034999999999997</v>
      </c>
      <c r="AE890">
        <v>1.8</v>
      </c>
    </row>
    <row r="891" spans="1:31" x14ac:dyDescent="0.25">
      <c r="A891" t="s">
        <v>935</v>
      </c>
      <c r="B891">
        <v>10.98</v>
      </c>
      <c r="C891">
        <v>40.67</v>
      </c>
      <c r="D891">
        <v>85.79</v>
      </c>
      <c r="E891">
        <v>10.220000000000001</v>
      </c>
      <c r="F891">
        <v>54.5</v>
      </c>
      <c r="G891">
        <v>10.24</v>
      </c>
      <c r="H891">
        <v>99.31</v>
      </c>
      <c r="I891">
        <v>155.03</v>
      </c>
      <c r="J891">
        <v>23.51</v>
      </c>
      <c r="K891">
        <v>19.72</v>
      </c>
      <c r="L891">
        <v>56.98</v>
      </c>
      <c r="M891">
        <v>10.09</v>
      </c>
      <c r="N891">
        <f t="shared" si="13"/>
        <v>32.090000000000003</v>
      </c>
      <c r="AE891">
        <v>10.98</v>
      </c>
    </row>
    <row r="892" spans="1:31" x14ac:dyDescent="0.25">
      <c r="A892" t="s">
        <v>936</v>
      </c>
      <c r="B892">
        <v>0.47</v>
      </c>
      <c r="C892">
        <v>77.349999999999994</v>
      </c>
      <c r="D892">
        <v>43.76</v>
      </c>
      <c r="E892">
        <v>69.760000000000005</v>
      </c>
      <c r="F892">
        <v>91.83</v>
      </c>
      <c r="G892">
        <v>91.91</v>
      </c>
      <c r="H892">
        <v>70.55</v>
      </c>
      <c r="I892">
        <v>66.98</v>
      </c>
      <c r="J892">
        <v>16.03</v>
      </c>
      <c r="K892">
        <v>18.28</v>
      </c>
      <c r="L892">
        <v>64.91</v>
      </c>
      <c r="M892">
        <v>45.18</v>
      </c>
      <c r="N892">
        <f t="shared" si="13"/>
        <v>65.944999999999993</v>
      </c>
      <c r="AE892">
        <v>0.47</v>
      </c>
    </row>
    <row r="893" spans="1:31" x14ac:dyDescent="0.25">
      <c r="A893" t="s">
        <v>937</v>
      </c>
      <c r="C893">
        <v>259.24</v>
      </c>
      <c r="D893">
        <v>126.95</v>
      </c>
      <c r="E893">
        <v>0.45</v>
      </c>
      <c r="F893">
        <v>565.79</v>
      </c>
      <c r="G893">
        <v>58.8</v>
      </c>
      <c r="H893">
        <v>126.92</v>
      </c>
      <c r="I893">
        <v>4.7</v>
      </c>
      <c r="J893">
        <v>28.91</v>
      </c>
      <c r="K893">
        <v>96.14</v>
      </c>
      <c r="L893">
        <v>5.92</v>
      </c>
      <c r="M893">
        <v>44.89</v>
      </c>
      <c r="N893">
        <f t="shared" si="13"/>
        <v>58.8</v>
      </c>
    </row>
    <row r="894" spans="1:31" x14ac:dyDescent="0.25">
      <c r="A894" t="s">
        <v>938</v>
      </c>
      <c r="B894">
        <v>0.27</v>
      </c>
      <c r="C894">
        <v>170.63</v>
      </c>
      <c r="D894">
        <v>214.07</v>
      </c>
      <c r="E894">
        <v>337.61</v>
      </c>
      <c r="F894">
        <v>137.71</v>
      </c>
      <c r="G894">
        <v>12.51</v>
      </c>
      <c r="H894">
        <v>95.06</v>
      </c>
      <c r="I894">
        <v>10.34</v>
      </c>
      <c r="J894">
        <v>155.36000000000001</v>
      </c>
      <c r="K894">
        <v>21.13</v>
      </c>
      <c r="L894">
        <v>10.63</v>
      </c>
      <c r="M894">
        <v>170.76</v>
      </c>
      <c r="N894">
        <f t="shared" si="13"/>
        <v>116.38500000000001</v>
      </c>
      <c r="AE894">
        <v>0.27</v>
      </c>
    </row>
    <row r="895" spans="1:31" x14ac:dyDescent="0.25">
      <c r="A895" t="s">
        <v>939</v>
      </c>
      <c r="C895">
        <v>135.77000000000001</v>
      </c>
      <c r="D895">
        <v>35.409999999999997</v>
      </c>
      <c r="E895">
        <v>27.23</v>
      </c>
      <c r="F895">
        <v>64.95</v>
      </c>
      <c r="G895">
        <v>42.53</v>
      </c>
      <c r="H895">
        <v>68.150000000000006</v>
      </c>
      <c r="I895">
        <v>64.88</v>
      </c>
      <c r="J895">
        <v>82.79</v>
      </c>
      <c r="K895">
        <v>126.78</v>
      </c>
      <c r="L895">
        <v>17.739999999999998</v>
      </c>
      <c r="M895">
        <v>38.380000000000003</v>
      </c>
      <c r="N895">
        <f t="shared" si="13"/>
        <v>64.88</v>
      </c>
    </row>
    <row r="896" spans="1:31" x14ac:dyDescent="0.25">
      <c r="A896" t="s">
        <v>940</v>
      </c>
      <c r="C896">
        <v>109.79</v>
      </c>
      <c r="D896">
        <v>0.99</v>
      </c>
      <c r="E896">
        <v>25</v>
      </c>
      <c r="F896">
        <v>78.02</v>
      </c>
      <c r="G896">
        <v>78.819999999999993</v>
      </c>
      <c r="H896">
        <v>101.47</v>
      </c>
      <c r="I896">
        <v>57.54</v>
      </c>
      <c r="J896">
        <v>54.5</v>
      </c>
      <c r="K896">
        <v>175.35</v>
      </c>
      <c r="L896">
        <v>47.28</v>
      </c>
      <c r="M896">
        <v>0.15</v>
      </c>
      <c r="N896">
        <f t="shared" si="13"/>
        <v>57.54</v>
      </c>
    </row>
    <row r="897" spans="1:31" x14ac:dyDescent="0.25">
      <c r="A897" t="s">
        <v>941</v>
      </c>
      <c r="B897">
        <v>0.63</v>
      </c>
      <c r="C897">
        <v>101.78</v>
      </c>
      <c r="D897">
        <v>61.4</v>
      </c>
      <c r="E897">
        <v>93.47</v>
      </c>
      <c r="F897">
        <v>7.83</v>
      </c>
      <c r="G897">
        <v>225.58</v>
      </c>
      <c r="H897">
        <v>0.72</v>
      </c>
      <c r="I897">
        <v>33.89</v>
      </c>
      <c r="J897">
        <v>66.16</v>
      </c>
      <c r="K897">
        <v>0</v>
      </c>
      <c r="L897">
        <v>6.84</v>
      </c>
      <c r="M897">
        <v>11.28</v>
      </c>
      <c r="N897">
        <f t="shared" si="13"/>
        <v>22.585000000000001</v>
      </c>
      <c r="AE897">
        <v>0.63</v>
      </c>
    </row>
    <row r="898" spans="1:31" x14ac:dyDescent="0.25">
      <c r="A898" t="s">
        <v>942</v>
      </c>
      <c r="B898">
        <v>0.09</v>
      </c>
      <c r="C898">
        <v>100.3</v>
      </c>
      <c r="D898">
        <v>15.07</v>
      </c>
      <c r="E898">
        <v>68.069999999999993</v>
      </c>
      <c r="F898">
        <v>14.83</v>
      </c>
      <c r="G898">
        <v>47.56</v>
      </c>
      <c r="H898">
        <v>129.52000000000001</v>
      </c>
      <c r="I898">
        <v>109.2</v>
      </c>
      <c r="J898">
        <v>18.36</v>
      </c>
      <c r="K898">
        <v>56.16</v>
      </c>
      <c r="L898">
        <v>54.4</v>
      </c>
      <c r="M898">
        <v>18.64</v>
      </c>
      <c r="N898">
        <f t="shared" si="13"/>
        <v>50.980000000000004</v>
      </c>
      <c r="AE898">
        <v>0.09</v>
      </c>
    </row>
    <row r="899" spans="1:31" x14ac:dyDescent="0.25">
      <c r="A899" t="s">
        <v>943</v>
      </c>
      <c r="B899">
        <v>0.36</v>
      </c>
      <c r="C899">
        <v>96.82</v>
      </c>
      <c r="D899">
        <v>49.31</v>
      </c>
      <c r="E899">
        <v>0.27</v>
      </c>
      <c r="F899">
        <v>106.71</v>
      </c>
      <c r="G899">
        <v>99.57</v>
      </c>
      <c r="H899">
        <v>28.47</v>
      </c>
      <c r="I899">
        <v>11.27</v>
      </c>
      <c r="J899">
        <v>28.85</v>
      </c>
      <c r="K899">
        <v>56.25</v>
      </c>
      <c r="L899">
        <v>149.41999999999999</v>
      </c>
      <c r="M899">
        <v>32.72</v>
      </c>
      <c r="N899">
        <f t="shared" ref="N899:N962" si="14">MEDIAN(B899:M899)</f>
        <v>41.015000000000001</v>
      </c>
      <c r="AE899">
        <v>0.36</v>
      </c>
    </row>
    <row r="900" spans="1:31" x14ac:dyDescent="0.25">
      <c r="A900" t="s">
        <v>944</v>
      </c>
      <c r="B900">
        <v>0.18</v>
      </c>
      <c r="C900">
        <v>92.78</v>
      </c>
      <c r="D900">
        <v>38.19</v>
      </c>
      <c r="E900">
        <v>0.27</v>
      </c>
      <c r="F900">
        <v>29.26</v>
      </c>
      <c r="G900">
        <v>0</v>
      </c>
      <c r="H900">
        <v>110.57</v>
      </c>
      <c r="I900">
        <v>95.9</v>
      </c>
      <c r="J900">
        <v>152.33000000000001</v>
      </c>
      <c r="K900">
        <v>49.84</v>
      </c>
      <c r="L900">
        <v>17.37</v>
      </c>
      <c r="M900">
        <v>7.06</v>
      </c>
      <c r="N900">
        <f t="shared" si="14"/>
        <v>33.725000000000001</v>
      </c>
      <c r="AE900">
        <v>0.18</v>
      </c>
    </row>
    <row r="901" spans="1:31" x14ac:dyDescent="0.25">
      <c r="A901" t="s">
        <v>945</v>
      </c>
      <c r="B901">
        <v>0.63</v>
      </c>
      <c r="C901">
        <v>92.66</v>
      </c>
      <c r="D901">
        <v>66.58</v>
      </c>
      <c r="E901">
        <v>64.94</v>
      </c>
      <c r="F901">
        <v>24.53</v>
      </c>
      <c r="G901">
        <v>4.5599999999999996</v>
      </c>
      <c r="H901">
        <v>109.59</v>
      </c>
      <c r="I901">
        <v>142.54</v>
      </c>
      <c r="J901">
        <v>40.76</v>
      </c>
      <c r="K901">
        <v>19.62</v>
      </c>
      <c r="L901">
        <v>0.18</v>
      </c>
      <c r="M901">
        <v>99.05</v>
      </c>
      <c r="N901">
        <f t="shared" si="14"/>
        <v>52.849999999999994</v>
      </c>
      <c r="AE901">
        <v>0.63</v>
      </c>
    </row>
    <row r="902" spans="1:31" x14ac:dyDescent="0.25">
      <c r="A902" t="s">
        <v>946</v>
      </c>
      <c r="B902">
        <v>0.81</v>
      </c>
      <c r="C902">
        <v>73.569999999999993</v>
      </c>
      <c r="D902">
        <v>168.24</v>
      </c>
      <c r="E902">
        <v>9.2799999999999994</v>
      </c>
      <c r="F902">
        <v>32.770000000000003</v>
      </c>
      <c r="G902">
        <v>111.31</v>
      </c>
      <c r="H902">
        <v>36.08</v>
      </c>
      <c r="I902">
        <v>0</v>
      </c>
      <c r="J902">
        <v>24.7</v>
      </c>
      <c r="K902">
        <v>28.83</v>
      </c>
      <c r="L902">
        <v>141.11000000000001</v>
      </c>
      <c r="M902">
        <v>56.62</v>
      </c>
      <c r="N902">
        <f t="shared" si="14"/>
        <v>34.424999999999997</v>
      </c>
      <c r="AE902">
        <v>0.81</v>
      </c>
    </row>
    <row r="903" spans="1:31" x14ac:dyDescent="0.25">
      <c r="A903" t="s">
        <v>947</v>
      </c>
      <c r="B903">
        <v>0.81</v>
      </c>
      <c r="C903">
        <v>73.349999999999994</v>
      </c>
      <c r="D903">
        <v>65.05</v>
      </c>
      <c r="E903">
        <v>156.56</v>
      </c>
      <c r="F903">
        <v>1.02</v>
      </c>
      <c r="G903">
        <v>33.32</v>
      </c>
      <c r="H903">
        <v>12.78</v>
      </c>
      <c r="I903">
        <v>233.39</v>
      </c>
      <c r="J903">
        <v>27.43</v>
      </c>
      <c r="K903">
        <v>6.81</v>
      </c>
      <c r="L903">
        <v>49.55</v>
      </c>
      <c r="M903">
        <v>49.6</v>
      </c>
      <c r="N903">
        <f t="shared" si="14"/>
        <v>41.435000000000002</v>
      </c>
      <c r="AE903">
        <v>0.81</v>
      </c>
    </row>
    <row r="904" spans="1:31" x14ac:dyDescent="0.25">
      <c r="A904" t="s">
        <v>948</v>
      </c>
      <c r="B904">
        <v>0.36</v>
      </c>
      <c r="C904">
        <v>69.09</v>
      </c>
      <c r="D904">
        <v>63.99</v>
      </c>
      <c r="E904">
        <v>18.97</v>
      </c>
      <c r="F904">
        <v>121.01</v>
      </c>
      <c r="G904">
        <v>2.96</v>
      </c>
      <c r="H904">
        <v>108.5</v>
      </c>
      <c r="I904">
        <v>16.420000000000002</v>
      </c>
      <c r="J904">
        <v>83.09</v>
      </c>
      <c r="K904">
        <v>19.88</v>
      </c>
      <c r="L904">
        <v>12</v>
      </c>
      <c r="M904">
        <v>97.28</v>
      </c>
      <c r="N904">
        <f t="shared" si="14"/>
        <v>41.935000000000002</v>
      </c>
      <c r="AE904">
        <v>0.36</v>
      </c>
    </row>
    <row r="905" spans="1:31" x14ac:dyDescent="0.25">
      <c r="A905" t="s">
        <v>949</v>
      </c>
      <c r="B905">
        <v>0.63</v>
      </c>
      <c r="C905">
        <v>68.09</v>
      </c>
      <c r="D905">
        <v>43.53</v>
      </c>
      <c r="E905">
        <v>117.82</v>
      </c>
      <c r="F905">
        <v>61.95</v>
      </c>
      <c r="G905">
        <v>140.57</v>
      </c>
      <c r="H905">
        <v>13.61</v>
      </c>
      <c r="I905">
        <v>63.87</v>
      </c>
      <c r="J905">
        <v>19.8</v>
      </c>
      <c r="K905">
        <v>33.130000000000003</v>
      </c>
      <c r="L905">
        <v>156.72999999999999</v>
      </c>
      <c r="M905">
        <v>27.47</v>
      </c>
      <c r="N905">
        <f t="shared" si="14"/>
        <v>52.74</v>
      </c>
      <c r="AE905">
        <v>0.63</v>
      </c>
    </row>
    <row r="906" spans="1:31" x14ac:dyDescent="0.25">
      <c r="A906" t="s">
        <v>950</v>
      </c>
      <c r="B906">
        <v>0.45</v>
      </c>
      <c r="C906">
        <v>64.209999999999994</v>
      </c>
      <c r="D906">
        <v>163.97</v>
      </c>
      <c r="E906">
        <v>10.43</v>
      </c>
      <c r="F906">
        <v>47.54</v>
      </c>
      <c r="G906">
        <v>105.57</v>
      </c>
      <c r="H906">
        <v>13.01</v>
      </c>
      <c r="I906">
        <v>0.45</v>
      </c>
      <c r="J906">
        <v>50.66</v>
      </c>
      <c r="K906">
        <v>102.22</v>
      </c>
      <c r="L906">
        <v>3.58</v>
      </c>
      <c r="M906">
        <v>122.71</v>
      </c>
      <c r="N906">
        <f t="shared" si="14"/>
        <v>49.099999999999994</v>
      </c>
      <c r="AE906">
        <v>0.45</v>
      </c>
    </row>
    <row r="907" spans="1:31" x14ac:dyDescent="0.25">
      <c r="A907" t="s">
        <v>951</v>
      </c>
      <c r="B907">
        <v>0.9</v>
      </c>
      <c r="C907">
        <v>55.45</v>
      </c>
      <c r="D907">
        <v>40.89</v>
      </c>
      <c r="E907">
        <v>39.15</v>
      </c>
      <c r="F907">
        <v>104.35</v>
      </c>
      <c r="G907">
        <v>30.21</v>
      </c>
      <c r="H907">
        <v>146.57</v>
      </c>
      <c r="I907">
        <v>0.36</v>
      </c>
      <c r="J907">
        <v>35.479999999999997</v>
      </c>
      <c r="K907">
        <v>87.65</v>
      </c>
      <c r="L907">
        <v>48.64</v>
      </c>
      <c r="M907">
        <v>0.99</v>
      </c>
      <c r="N907">
        <f t="shared" si="14"/>
        <v>40.019999999999996</v>
      </c>
      <c r="AE907">
        <v>0.9</v>
      </c>
    </row>
    <row r="908" spans="1:31" x14ac:dyDescent="0.25">
      <c r="A908" t="s">
        <v>952</v>
      </c>
      <c r="B908">
        <v>1.08</v>
      </c>
      <c r="C908">
        <v>50.2</v>
      </c>
      <c r="D908">
        <v>25.59</v>
      </c>
      <c r="E908">
        <v>57.96</v>
      </c>
      <c r="F908">
        <v>1.08</v>
      </c>
      <c r="G908">
        <v>69.19</v>
      </c>
      <c r="H908">
        <v>85.49</v>
      </c>
      <c r="I908">
        <v>35.99</v>
      </c>
      <c r="J908">
        <v>26</v>
      </c>
      <c r="K908">
        <v>0.09</v>
      </c>
      <c r="L908">
        <v>8.18</v>
      </c>
      <c r="M908">
        <v>45.82</v>
      </c>
      <c r="N908">
        <f t="shared" si="14"/>
        <v>30.995000000000001</v>
      </c>
      <c r="AE908">
        <v>1.08</v>
      </c>
    </row>
    <row r="909" spans="1:31" x14ac:dyDescent="0.25">
      <c r="A909" t="s">
        <v>953</v>
      </c>
      <c r="B909">
        <v>0.9</v>
      </c>
      <c r="C909">
        <v>49.9</v>
      </c>
      <c r="D909">
        <v>58.68</v>
      </c>
      <c r="E909">
        <v>19.510000000000002</v>
      </c>
      <c r="F909">
        <v>41.02</v>
      </c>
      <c r="G909">
        <v>105.14</v>
      </c>
      <c r="H909">
        <v>15.67</v>
      </c>
      <c r="I909">
        <v>17.579999999999998</v>
      </c>
      <c r="J909">
        <v>37.71</v>
      </c>
      <c r="K909">
        <v>184.36</v>
      </c>
      <c r="L909">
        <v>14.16</v>
      </c>
      <c r="M909">
        <v>31.08</v>
      </c>
      <c r="N909">
        <f t="shared" si="14"/>
        <v>34.394999999999996</v>
      </c>
      <c r="AE909">
        <v>0.9</v>
      </c>
    </row>
    <row r="910" spans="1:31" x14ac:dyDescent="0.25">
      <c r="A910" t="s">
        <v>954</v>
      </c>
      <c r="B910">
        <v>0.54</v>
      </c>
      <c r="C910">
        <v>37.67</v>
      </c>
      <c r="D910">
        <v>42.25</v>
      </c>
      <c r="E910">
        <v>45.01</v>
      </c>
      <c r="F910">
        <v>58.55</v>
      </c>
      <c r="G910">
        <v>0.45</v>
      </c>
      <c r="H910">
        <v>60.24</v>
      </c>
      <c r="I910">
        <v>81.99</v>
      </c>
      <c r="J910">
        <v>91.44</v>
      </c>
      <c r="K910">
        <v>0.27</v>
      </c>
      <c r="L910">
        <v>29.06</v>
      </c>
      <c r="M910">
        <v>58.17</v>
      </c>
      <c r="N910">
        <f t="shared" si="14"/>
        <v>43.629999999999995</v>
      </c>
      <c r="AE910">
        <v>0.54</v>
      </c>
    </row>
    <row r="911" spans="1:31" x14ac:dyDescent="0.25">
      <c r="A911" t="s">
        <v>955</v>
      </c>
      <c r="B911">
        <v>0.27</v>
      </c>
      <c r="C911">
        <v>35</v>
      </c>
      <c r="D911">
        <v>48.07</v>
      </c>
      <c r="E911">
        <v>103.62</v>
      </c>
      <c r="F911">
        <v>38.1</v>
      </c>
      <c r="G911">
        <v>0</v>
      </c>
      <c r="H911">
        <v>8.9</v>
      </c>
      <c r="I911">
        <v>90.37</v>
      </c>
      <c r="J911">
        <v>135.56</v>
      </c>
      <c r="K911">
        <v>190.58</v>
      </c>
      <c r="L911">
        <v>30.67</v>
      </c>
      <c r="M911">
        <v>15.52</v>
      </c>
      <c r="N911">
        <f t="shared" si="14"/>
        <v>36.549999999999997</v>
      </c>
      <c r="AE911">
        <v>0.27</v>
      </c>
    </row>
    <row r="912" spans="1:31" x14ac:dyDescent="0.25">
      <c r="A912" t="s">
        <v>956</v>
      </c>
      <c r="B912">
        <v>0.45</v>
      </c>
      <c r="C912">
        <v>34.94</v>
      </c>
      <c r="D912">
        <v>103.45</v>
      </c>
      <c r="E912">
        <v>80.98</v>
      </c>
      <c r="F912">
        <v>12.48</v>
      </c>
      <c r="G912">
        <v>40.549999999999997</v>
      </c>
      <c r="H912">
        <v>27.47</v>
      </c>
      <c r="I912">
        <v>17.55</v>
      </c>
      <c r="J912">
        <v>38.4</v>
      </c>
      <c r="K912">
        <v>24.59</v>
      </c>
      <c r="L912">
        <v>67.760000000000005</v>
      </c>
      <c r="M912">
        <v>171.87</v>
      </c>
      <c r="N912">
        <f t="shared" si="14"/>
        <v>36.67</v>
      </c>
      <c r="AE912">
        <v>0.45</v>
      </c>
    </row>
    <row r="913" spans="1:31" x14ac:dyDescent="0.25">
      <c r="A913" t="s">
        <v>957</v>
      </c>
      <c r="B913">
        <v>0.09</v>
      </c>
      <c r="C913">
        <v>33.619999999999997</v>
      </c>
      <c r="D913">
        <v>42.57</v>
      </c>
      <c r="E913">
        <v>17.690000000000001</v>
      </c>
      <c r="F913">
        <v>71.959999999999994</v>
      </c>
      <c r="G913">
        <v>45.32</v>
      </c>
      <c r="H913">
        <v>102.93</v>
      </c>
      <c r="I913">
        <v>1.23</v>
      </c>
      <c r="J913">
        <v>99.07</v>
      </c>
      <c r="K913">
        <v>33.76</v>
      </c>
      <c r="L913">
        <v>14.79</v>
      </c>
      <c r="M913">
        <v>235.54</v>
      </c>
      <c r="N913">
        <f t="shared" si="14"/>
        <v>38.164999999999999</v>
      </c>
      <c r="AE913">
        <v>0.09</v>
      </c>
    </row>
    <row r="914" spans="1:31" x14ac:dyDescent="0.25">
      <c r="A914" t="s">
        <v>958</v>
      </c>
      <c r="B914">
        <v>0.36</v>
      </c>
      <c r="C914">
        <v>29.02</v>
      </c>
      <c r="D914">
        <v>0</v>
      </c>
      <c r="E914">
        <v>15.4</v>
      </c>
      <c r="F914">
        <v>161.97999999999999</v>
      </c>
      <c r="G914">
        <v>74.52</v>
      </c>
      <c r="H914">
        <v>20.079999999999998</v>
      </c>
      <c r="I914">
        <v>109.05</v>
      </c>
      <c r="J914">
        <v>48.43</v>
      </c>
      <c r="K914">
        <v>15.1</v>
      </c>
      <c r="L914">
        <v>158.44999999999999</v>
      </c>
      <c r="M914">
        <v>35.21</v>
      </c>
      <c r="N914">
        <f t="shared" si="14"/>
        <v>32.115000000000002</v>
      </c>
      <c r="AE914">
        <v>0.36</v>
      </c>
    </row>
    <row r="915" spans="1:31" x14ac:dyDescent="0.25">
      <c r="A915" t="s">
        <v>959</v>
      </c>
      <c r="B915">
        <v>0.27</v>
      </c>
      <c r="C915">
        <v>28.48</v>
      </c>
      <c r="D915">
        <v>11.29</v>
      </c>
      <c r="E915">
        <v>152.57</v>
      </c>
      <c r="F915">
        <v>4.4400000000000004</v>
      </c>
      <c r="G915">
        <v>0</v>
      </c>
      <c r="H915">
        <v>62.09</v>
      </c>
      <c r="I915">
        <v>24.56</v>
      </c>
      <c r="J915">
        <v>56.54</v>
      </c>
      <c r="K915">
        <v>23.86</v>
      </c>
      <c r="L915">
        <v>111.87</v>
      </c>
      <c r="M915">
        <v>66.02</v>
      </c>
      <c r="N915">
        <f t="shared" si="14"/>
        <v>26.52</v>
      </c>
      <c r="AE915">
        <v>0.27</v>
      </c>
    </row>
    <row r="916" spans="1:31" x14ac:dyDescent="0.25">
      <c r="A916" t="s">
        <v>960</v>
      </c>
      <c r="B916">
        <v>0.18</v>
      </c>
      <c r="C916">
        <v>28.08</v>
      </c>
      <c r="D916">
        <v>12.04</v>
      </c>
      <c r="E916">
        <v>11.75</v>
      </c>
      <c r="F916">
        <v>32.4</v>
      </c>
      <c r="G916">
        <v>85.41</v>
      </c>
      <c r="H916">
        <v>98.39</v>
      </c>
      <c r="I916">
        <v>214.8</v>
      </c>
      <c r="J916">
        <v>91.72</v>
      </c>
      <c r="K916">
        <v>100.65</v>
      </c>
      <c r="L916">
        <v>97.08</v>
      </c>
      <c r="M916">
        <v>165.43</v>
      </c>
      <c r="N916">
        <f t="shared" si="14"/>
        <v>88.564999999999998</v>
      </c>
      <c r="AE916">
        <v>0.18</v>
      </c>
    </row>
    <row r="917" spans="1:31" x14ac:dyDescent="0.25">
      <c r="A917" t="s">
        <v>961</v>
      </c>
      <c r="B917">
        <v>0.18</v>
      </c>
      <c r="C917">
        <v>15.75</v>
      </c>
      <c r="D917">
        <v>67.86</v>
      </c>
      <c r="E917">
        <v>158.36000000000001</v>
      </c>
      <c r="F917">
        <v>150.4</v>
      </c>
      <c r="G917">
        <v>149.96</v>
      </c>
      <c r="H917">
        <v>5.2</v>
      </c>
      <c r="I917">
        <v>117.9</v>
      </c>
      <c r="J917">
        <v>121.41</v>
      </c>
      <c r="K917">
        <v>177.76</v>
      </c>
      <c r="L917">
        <v>22.88</v>
      </c>
      <c r="M917">
        <v>190.26</v>
      </c>
      <c r="N917">
        <f t="shared" si="14"/>
        <v>119.655</v>
      </c>
      <c r="AE917">
        <v>0.18</v>
      </c>
    </row>
    <row r="918" spans="1:31" x14ac:dyDescent="0.25">
      <c r="A918" t="s">
        <v>962</v>
      </c>
      <c r="B918">
        <v>0.18</v>
      </c>
      <c r="C918">
        <v>14.43</v>
      </c>
      <c r="D918">
        <v>37.94</v>
      </c>
      <c r="E918">
        <v>97.11</v>
      </c>
      <c r="F918">
        <v>75.040000000000006</v>
      </c>
      <c r="G918">
        <v>78.17</v>
      </c>
      <c r="H918">
        <v>141.52000000000001</v>
      </c>
      <c r="I918">
        <v>23.11</v>
      </c>
      <c r="J918">
        <v>37.049999999999997</v>
      </c>
      <c r="K918">
        <v>112.06</v>
      </c>
      <c r="L918">
        <v>72.08</v>
      </c>
      <c r="M918">
        <v>31.01</v>
      </c>
      <c r="N918">
        <f t="shared" si="14"/>
        <v>55.01</v>
      </c>
      <c r="AE918">
        <v>0.18</v>
      </c>
    </row>
    <row r="919" spans="1:31" x14ac:dyDescent="0.25">
      <c r="A919" t="s">
        <v>963</v>
      </c>
      <c r="B919">
        <v>0.72</v>
      </c>
      <c r="C919">
        <v>12.55</v>
      </c>
      <c r="D919">
        <v>15.64</v>
      </c>
      <c r="E919">
        <v>83.89</v>
      </c>
      <c r="F919">
        <v>13.95</v>
      </c>
      <c r="G919">
        <v>103.96</v>
      </c>
      <c r="H919">
        <v>8.61</v>
      </c>
      <c r="I919">
        <v>9.23</v>
      </c>
      <c r="J919">
        <v>27.3</v>
      </c>
      <c r="K919">
        <v>24.93</v>
      </c>
      <c r="L919">
        <v>19.350000000000001</v>
      </c>
      <c r="M919">
        <v>361.5</v>
      </c>
      <c r="N919">
        <f t="shared" si="14"/>
        <v>17.495000000000001</v>
      </c>
      <c r="AE919">
        <v>0.72</v>
      </c>
    </row>
    <row r="920" spans="1:31" x14ac:dyDescent="0.25">
      <c r="A920" t="s">
        <v>964</v>
      </c>
      <c r="B920">
        <v>0.09</v>
      </c>
      <c r="C920">
        <v>10.36</v>
      </c>
      <c r="D920">
        <v>56.65</v>
      </c>
      <c r="E920">
        <v>58.58</v>
      </c>
      <c r="F920">
        <v>27.05</v>
      </c>
      <c r="G920">
        <v>122.41</v>
      </c>
      <c r="H920">
        <v>53.4</v>
      </c>
      <c r="I920">
        <v>18.32</v>
      </c>
      <c r="J920">
        <v>0.81</v>
      </c>
      <c r="K920">
        <v>116.54</v>
      </c>
      <c r="L920">
        <v>60.35</v>
      </c>
      <c r="M920">
        <v>21.95</v>
      </c>
      <c r="N920">
        <f t="shared" si="14"/>
        <v>40.225000000000001</v>
      </c>
      <c r="AE920">
        <v>0.09</v>
      </c>
    </row>
    <row r="921" spans="1:31" x14ac:dyDescent="0.25">
      <c r="A921" t="s">
        <v>965</v>
      </c>
      <c r="B921">
        <v>0.45</v>
      </c>
      <c r="C921">
        <v>10.43</v>
      </c>
      <c r="D921">
        <v>28.61</v>
      </c>
      <c r="E921">
        <v>77.819999999999993</v>
      </c>
      <c r="F921">
        <v>79.44</v>
      </c>
      <c r="G921">
        <v>20.85</v>
      </c>
      <c r="H921">
        <v>57.93</v>
      </c>
      <c r="I921">
        <v>24.72</v>
      </c>
      <c r="J921">
        <v>44.18</v>
      </c>
      <c r="K921">
        <v>136.33000000000001</v>
      </c>
      <c r="L921">
        <v>23.36</v>
      </c>
      <c r="M921">
        <v>9.2100000000000009</v>
      </c>
      <c r="N921">
        <f t="shared" si="14"/>
        <v>26.664999999999999</v>
      </c>
      <c r="AE921">
        <v>0.45</v>
      </c>
    </row>
    <row r="922" spans="1:31" x14ac:dyDescent="0.25">
      <c r="A922" t="s">
        <v>966</v>
      </c>
      <c r="B922">
        <v>0.27</v>
      </c>
      <c r="C922">
        <v>6.6</v>
      </c>
      <c r="D922">
        <v>39.549999999999997</v>
      </c>
      <c r="E922">
        <v>32.74</v>
      </c>
      <c r="F922">
        <v>73.87</v>
      </c>
      <c r="G922">
        <v>58.18</v>
      </c>
      <c r="H922">
        <v>47.61</v>
      </c>
      <c r="I922">
        <v>17.61</v>
      </c>
      <c r="J922">
        <v>130.52000000000001</v>
      </c>
      <c r="K922">
        <v>26.16</v>
      </c>
      <c r="L922">
        <v>26.66</v>
      </c>
      <c r="M922">
        <v>0.18</v>
      </c>
      <c r="N922">
        <f t="shared" si="14"/>
        <v>29.700000000000003</v>
      </c>
      <c r="AE922">
        <v>0.27</v>
      </c>
    </row>
    <row r="923" spans="1:31" x14ac:dyDescent="0.25">
      <c r="A923" t="s">
        <v>967</v>
      </c>
      <c r="B923">
        <v>1.35</v>
      </c>
      <c r="C923">
        <v>5.56</v>
      </c>
      <c r="D923">
        <v>130.55000000000001</v>
      </c>
      <c r="E923">
        <v>224.17</v>
      </c>
      <c r="F923">
        <v>2.9</v>
      </c>
      <c r="G923">
        <v>23.45</v>
      </c>
      <c r="H923">
        <v>1.26</v>
      </c>
      <c r="I923">
        <v>153.07</v>
      </c>
      <c r="J923">
        <v>0</v>
      </c>
      <c r="K923">
        <v>9.0399999999999991</v>
      </c>
      <c r="L923">
        <v>30.78</v>
      </c>
      <c r="M923">
        <v>38.619999999999997</v>
      </c>
      <c r="N923">
        <f t="shared" si="14"/>
        <v>16.244999999999997</v>
      </c>
      <c r="AE923">
        <v>1.35</v>
      </c>
    </row>
    <row r="924" spans="1:31" x14ac:dyDescent="0.25">
      <c r="A924" t="s">
        <v>968</v>
      </c>
      <c r="B924">
        <v>0.81</v>
      </c>
      <c r="C924">
        <v>5.57</v>
      </c>
      <c r="D924">
        <v>0</v>
      </c>
      <c r="E924">
        <v>21.55</v>
      </c>
      <c r="F924">
        <v>39.32</v>
      </c>
      <c r="G924">
        <v>58.59</v>
      </c>
      <c r="H924">
        <v>38.42</v>
      </c>
      <c r="I924">
        <v>76.010000000000005</v>
      </c>
      <c r="J924">
        <v>62.77</v>
      </c>
      <c r="K924">
        <v>34.270000000000003</v>
      </c>
      <c r="L924">
        <v>233.78</v>
      </c>
      <c r="M924">
        <v>10.49</v>
      </c>
      <c r="N924">
        <f t="shared" si="14"/>
        <v>36.344999999999999</v>
      </c>
      <c r="AE924">
        <v>0.81</v>
      </c>
    </row>
    <row r="925" spans="1:31" x14ac:dyDescent="0.25">
      <c r="A925" t="s">
        <v>969</v>
      </c>
      <c r="B925">
        <v>10.24</v>
      </c>
      <c r="C925">
        <v>50.78</v>
      </c>
      <c r="D925">
        <v>75.760000000000005</v>
      </c>
      <c r="E925">
        <v>70.069999999999993</v>
      </c>
      <c r="F925">
        <v>47.82</v>
      </c>
      <c r="G925">
        <v>12.22</v>
      </c>
      <c r="H925">
        <v>14.41</v>
      </c>
      <c r="I925">
        <v>22.55</v>
      </c>
      <c r="J925">
        <v>76.37</v>
      </c>
      <c r="K925">
        <v>122.87</v>
      </c>
      <c r="L925">
        <v>21.08</v>
      </c>
      <c r="M925">
        <v>60.52</v>
      </c>
      <c r="N925">
        <f t="shared" si="14"/>
        <v>49.3</v>
      </c>
      <c r="AE925">
        <v>10.24</v>
      </c>
    </row>
    <row r="926" spans="1:31" x14ac:dyDescent="0.25">
      <c r="A926" t="s">
        <v>970</v>
      </c>
      <c r="B926">
        <v>10.14</v>
      </c>
      <c r="C926">
        <v>32.56</v>
      </c>
      <c r="D926">
        <v>39.229999999999997</v>
      </c>
      <c r="E926">
        <v>27.5</v>
      </c>
      <c r="F926">
        <v>55.05</v>
      </c>
      <c r="G926">
        <v>16.18</v>
      </c>
      <c r="H926">
        <v>51.94</v>
      </c>
      <c r="I926">
        <v>72.239999999999995</v>
      </c>
      <c r="J926">
        <v>12.44</v>
      </c>
      <c r="K926">
        <v>39.880000000000003</v>
      </c>
      <c r="L926">
        <v>120.34</v>
      </c>
      <c r="M926">
        <v>21.93</v>
      </c>
      <c r="N926">
        <f t="shared" si="14"/>
        <v>35.894999999999996</v>
      </c>
      <c r="AE926">
        <v>10.14</v>
      </c>
    </row>
    <row r="927" spans="1:31" x14ac:dyDescent="0.25">
      <c r="A927" t="s">
        <v>971</v>
      </c>
      <c r="B927">
        <v>0.36</v>
      </c>
      <c r="C927">
        <v>1.89</v>
      </c>
      <c r="D927">
        <v>0.53</v>
      </c>
      <c r="E927">
        <v>35.22</v>
      </c>
      <c r="F927">
        <v>0.63</v>
      </c>
      <c r="G927">
        <v>79.92</v>
      </c>
      <c r="H927">
        <v>156.55000000000001</v>
      </c>
      <c r="I927">
        <v>32.659999999999997</v>
      </c>
      <c r="J927">
        <v>68.73</v>
      </c>
      <c r="K927">
        <v>0.63</v>
      </c>
      <c r="L927">
        <v>27.6</v>
      </c>
      <c r="M927">
        <v>27.7</v>
      </c>
      <c r="N927">
        <f t="shared" si="14"/>
        <v>27.65</v>
      </c>
      <c r="AE927">
        <v>0.36</v>
      </c>
    </row>
    <row r="928" spans="1:31" x14ac:dyDescent="0.25">
      <c r="A928" t="s">
        <v>972</v>
      </c>
      <c r="B928">
        <v>10.039999999999999</v>
      </c>
      <c r="C928">
        <v>30.16</v>
      </c>
      <c r="D928">
        <v>110.32</v>
      </c>
      <c r="E928">
        <v>42.89</v>
      </c>
      <c r="F928">
        <v>53.98</v>
      </c>
      <c r="G928">
        <v>69.55</v>
      </c>
      <c r="H928">
        <v>26.28</v>
      </c>
      <c r="I928">
        <v>10.19</v>
      </c>
      <c r="J928">
        <v>60.58</v>
      </c>
      <c r="K928">
        <v>59.55</v>
      </c>
      <c r="L928">
        <v>10.09</v>
      </c>
      <c r="M928">
        <v>21.9</v>
      </c>
      <c r="N928">
        <f t="shared" si="14"/>
        <v>36.524999999999999</v>
      </c>
      <c r="AE928">
        <v>10.039999999999999</v>
      </c>
    </row>
    <row r="929" spans="1:31" x14ac:dyDescent="0.25">
      <c r="A929" t="s">
        <v>973</v>
      </c>
      <c r="B929">
        <v>10.039999999999999</v>
      </c>
      <c r="C929">
        <v>109.05</v>
      </c>
      <c r="D929">
        <v>31.67</v>
      </c>
      <c r="E929">
        <v>15.47</v>
      </c>
      <c r="F929">
        <v>110.36</v>
      </c>
      <c r="G929">
        <v>12.63</v>
      </c>
      <c r="H929">
        <v>63.15</v>
      </c>
      <c r="I929">
        <v>43.89</v>
      </c>
      <c r="J929">
        <v>14.8</v>
      </c>
      <c r="K929">
        <v>21.47</v>
      </c>
      <c r="L929">
        <v>20</v>
      </c>
      <c r="M929">
        <v>46.41</v>
      </c>
      <c r="N929">
        <f t="shared" si="14"/>
        <v>26.57</v>
      </c>
      <c r="AE929">
        <v>10.039999999999999</v>
      </c>
    </row>
    <row r="930" spans="1:31" x14ac:dyDescent="0.25">
      <c r="A930" t="s">
        <v>974</v>
      </c>
      <c r="B930">
        <v>10.19</v>
      </c>
      <c r="C930">
        <v>92.32</v>
      </c>
      <c r="D930">
        <v>105.87</v>
      </c>
      <c r="E930">
        <v>44.3</v>
      </c>
      <c r="F930">
        <v>12.2</v>
      </c>
      <c r="G930">
        <v>62.08</v>
      </c>
      <c r="H930">
        <v>30.66</v>
      </c>
      <c r="I930">
        <v>66.760000000000005</v>
      </c>
      <c r="J930">
        <v>67.72</v>
      </c>
      <c r="K930">
        <v>19.98</v>
      </c>
      <c r="L930">
        <v>39.08</v>
      </c>
      <c r="M930">
        <v>24.65</v>
      </c>
      <c r="N930">
        <f t="shared" si="14"/>
        <v>41.69</v>
      </c>
      <c r="AE930">
        <v>10.19</v>
      </c>
    </row>
    <row r="931" spans="1:31" x14ac:dyDescent="0.25">
      <c r="A931" t="s">
        <v>975</v>
      </c>
      <c r="B931">
        <v>10.14</v>
      </c>
      <c r="C931">
        <v>22.42</v>
      </c>
      <c r="D931">
        <v>50.18</v>
      </c>
      <c r="E931">
        <v>134.93</v>
      </c>
      <c r="F931">
        <v>22.55</v>
      </c>
      <c r="G931">
        <v>29.82</v>
      </c>
      <c r="H931">
        <v>81</v>
      </c>
      <c r="I931">
        <v>16.420000000000002</v>
      </c>
      <c r="J931">
        <v>10.09</v>
      </c>
      <c r="K931">
        <v>24.44</v>
      </c>
      <c r="L931">
        <v>94.34</v>
      </c>
      <c r="M931">
        <v>9.99</v>
      </c>
      <c r="N931">
        <f t="shared" si="14"/>
        <v>23.495000000000001</v>
      </c>
      <c r="AE931">
        <v>10.14</v>
      </c>
    </row>
    <row r="932" spans="1:31" x14ac:dyDescent="0.25">
      <c r="A932" t="s">
        <v>976</v>
      </c>
      <c r="B932">
        <v>10.039999999999999</v>
      </c>
      <c r="C932">
        <v>51.21</v>
      </c>
      <c r="D932">
        <v>57.92</v>
      </c>
      <c r="E932">
        <v>28.44</v>
      </c>
      <c r="F932">
        <v>35.700000000000003</v>
      </c>
      <c r="G932">
        <v>132.55000000000001</v>
      </c>
      <c r="H932">
        <v>14.59</v>
      </c>
      <c r="I932">
        <v>23.9</v>
      </c>
      <c r="J932">
        <v>22.47</v>
      </c>
      <c r="K932">
        <v>42.16</v>
      </c>
      <c r="L932">
        <v>113.18</v>
      </c>
      <c r="M932">
        <v>52.55</v>
      </c>
      <c r="N932">
        <f t="shared" si="14"/>
        <v>38.93</v>
      </c>
      <c r="AE932">
        <v>10.039999999999999</v>
      </c>
    </row>
    <row r="933" spans="1:31" x14ac:dyDescent="0.25">
      <c r="A933" t="s">
        <v>977</v>
      </c>
      <c r="B933">
        <v>10.14</v>
      </c>
      <c r="C933">
        <v>88.38</v>
      </c>
      <c r="D933">
        <v>24.27</v>
      </c>
      <c r="E933">
        <v>17.940000000000001</v>
      </c>
      <c r="F933">
        <v>75.98</v>
      </c>
      <c r="G933">
        <v>19.89</v>
      </c>
      <c r="H933">
        <v>58.02</v>
      </c>
      <c r="I933">
        <v>80.94</v>
      </c>
      <c r="J933">
        <v>72.41</v>
      </c>
      <c r="K933">
        <v>73.86</v>
      </c>
      <c r="L933">
        <v>9.99</v>
      </c>
      <c r="M933">
        <v>17.98</v>
      </c>
      <c r="N933">
        <f t="shared" si="14"/>
        <v>41.144999999999996</v>
      </c>
      <c r="AE933">
        <v>10.14</v>
      </c>
    </row>
    <row r="934" spans="1:31" x14ac:dyDescent="0.25">
      <c r="A934" t="s">
        <v>978</v>
      </c>
      <c r="B934">
        <v>10.29</v>
      </c>
      <c r="C934">
        <v>20.9</v>
      </c>
      <c r="D934">
        <v>65.31</v>
      </c>
      <c r="E934">
        <v>81.84</v>
      </c>
      <c r="F934">
        <v>35.36</v>
      </c>
      <c r="G934">
        <v>28.04</v>
      </c>
      <c r="H934">
        <v>70.319999999999993</v>
      </c>
      <c r="I934">
        <v>57.47</v>
      </c>
      <c r="J934">
        <v>42.29</v>
      </c>
      <c r="K934">
        <v>27.9</v>
      </c>
      <c r="L934">
        <v>25.39</v>
      </c>
      <c r="M934">
        <v>28.91</v>
      </c>
      <c r="N934">
        <f t="shared" si="14"/>
        <v>32.134999999999998</v>
      </c>
      <c r="AE934">
        <v>10.29</v>
      </c>
    </row>
    <row r="935" spans="1:31" x14ac:dyDescent="0.25">
      <c r="A935" t="s">
        <v>979</v>
      </c>
      <c r="B935">
        <v>0.45</v>
      </c>
      <c r="C935">
        <v>0.54</v>
      </c>
      <c r="D935">
        <v>0.36</v>
      </c>
      <c r="E935">
        <v>24.17</v>
      </c>
      <c r="F935">
        <v>11.28</v>
      </c>
      <c r="G935">
        <v>25.61</v>
      </c>
      <c r="H935">
        <v>21.43</v>
      </c>
      <c r="I935">
        <v>121.99</v>
      </c>
      <c r="J935">
        <v>150.16999999999999</v>
      </c>
      <c r="K935">
        <v>27.64</v>
      </c>
      <c r="L935">
        <v>36.99</v>
      </c>
      <c r="M935">
        <v>201.38</v>
      </c>
      <c r="N935">
        <f t="shared" si="14"/>
        <v>24.89</v>
      </c>
      <c r="AE935">
        <v>0.45</v>
      </c>
    </row>
    <row r="936" spans="1:31" x14ac:dyDescent="0.25">
      <c r="A936" t="s">
        <v>980</v>
      </c>
      <c r="B936">
        <v>10.24</v>
      </c>
      <c r="C936">
        <v>73.38</v>
      </c>
      <c r="D936">
        <v>41.51</v>
      </c>
      <c r="E936">
        <v>53.21</v>
      </c>
      <c r="F936">
        <v>70.67</v>
      </c>
      <c r="G936">
        <v>89.93</v>
      </c>
      <c r="H936">
        <v>23.73</v>
      </c>
      <c r="I936">
        <v>71.72</v>
      </c>
      <c r="J936">
        <v>27.47</v>
      </c>
      <c r="K936">
        <v>42.66</v>
      </c>
      <c r="L936">
        <v>10.34</v>
      </c>
      <c r="M936">
        <v>10.14</v>
      </c>
      <c r="N936">
        <f t="shared" si="14"/>
        <v>42.084999999999994</v>
      </c>
      <c r="AE936">
        <v>10.24</v>
      </c>
    </row>
    <row r="937" spans="1:31" x14ac:dyDescent="0.25">
      <c r="A937" t="s">
        <v>981</v>
      </c>
      <c r="B937">
        <v>10.14</v>
      </c>
      <c r="C937">
        <v>10.34</v>
      </c>
      <c r="D937">
        <v>50.2</v>
      </c>
      <c r="E937">
        <v>66.36</v>
      </c>
      <c r="F937">
        <v>79.77</v>
      </c>
      <c r="G937">
        <v>51.02</v>
      </c>
      <c r="H937">
        <v>81.14</v>
      </c>
      <c r="I937">
        <v>56.25</v>
      </c>
      <c r="J937">
        <v>17.059999999999999</v>
      </c>
      <c r="K937">
        <v>64.12</v>
      </c>
      <c r="L937">
        <v>26.96</v>
      </c>
      <c r="M937">
        <v>15.85</v>
      </c>
      <c r="N937">
        <f t="shared" si="14"/>
        <v>50.61</v>
      </c>
      <c r="AE937">
        <v>10.14</v>
      </c>
    </row>
    <row r="938" spans="1:31" x14ac:dyDescent="0.25">
      <c r="A938" t="s">
        <v>982</v>
      </c>
      <c r="B938">
        <v>9.99</v>
      </c>
      <c r="C938">
        <v>88.78</v>
      </c>
      <c r="D938">
        <v>38.049999999999997</v>
      </c>
      <c r="E938">
        <v>10.09</v>
      </c>
      <c r="F938">
        <v>24.66</v>
      </c>
      <c r="G938">
        <v>207.24</v>
      </c>
      <c r="H938">
        <v>31.27</v>
      </c>
      <c r="I938">
        <v>30.41</v>
      </c>
      <c r="J938">
        <v>18.22</v>
      </c>
      <c r="K938">
        <v>48.82</v>
      </c>
      <c r="L938">
        <v>20.45</v>
      </c>
      <c r="M938">
        <v>65.61</v>
      </c>
      <c r="N938">
        <f t="shared" si="14"/>
        <v>30.84</v>
      </c>
      <c r="AE938">
        <v>9.99</v>
      </c>
    </row>
    <row r="939" spans="1:31" x14ac:dyDescent="0.25">
      <c r="A939" t="s">
        <v>983</v>
      </c>
      <c r="B939">
        <v>10.14</v>
      </c>
      <c r="C939">
        <v>24.4</v>
      </c>
      <c r="D939">
        <v>146.5</v>
      </c>
      <c r="E939">
        <v>70.64</v>
      </c>
      <c r="F939">
        <v>72.05</v>
      </c>
      <c r="G939">
        <v>75.84</v>
      </c>
      <c r="H939">
        <v>47.3</v>
      </c>
      <c r="I939">
        <v>50.31</v>
      </c>
      <c r="J939">
        <v>24.7</v>
      </c>
      <c r="K939">
        <v>242.48</v>
      </c>
      <c r="L939">
        <v>18.55</v>
      </c>
      <c r="M939">
        <v>48.31</v>
      </c>
      <c r="N939">
        <f t="shared" si="14"/>
        <v>49.31</v>
      </c>
      <c r="AE939">
        <v>10.14</v>
      </c>
    </row>
    <row r="940" spans="1:31" x14ac:dyDescent="0.25">
      <c r="A940" t="s">
        <v>984</v>
      </c>
      <c r="B940">
        <v>10.34</v>
      </c>
      <c r="C940">
        <v>117.32</v>
      </c>
      <c r="D940">
        <v>28.47</v>
      </c>
      <c r="E940">
        <v>30.7</v>
      </c>
      <c r="F940">
        <v>97.71</v>
      </c>
      <c r="G940">
        <v>38.83</v>
      </c>
      <c r="H940">
        <v>38.64</v>
      </c>
      <c r="I940">
        <v>25.54</v>
      </c>
      <c r="J940">
        <v>34.69</v>
      </c>
      <c r="K940">
        <v>90.65</v>
      </c>
      <c r="L940">
        <v>36.799999999999997</v>
      </c>
      <c r="M940">
        <v>14.53</v>
      </c>
      <c r="N940">
        <f t="shared" si="14"/>
        <v>35.744999999999997</v>
      </c>
      <c r="AE940">
        <v>10.34</v>
      </c>
    </row>
    <row r="941" spans="1:31" x14ac:dyDescent="0.25">
      <c r="A941" t="s">
        <v>985</v>
      </c>
      <c r="B941">
        <v>10.039999999999999</v>
      </c>
      <c r="C941">
        <v>27.92</v>
      </c>
      <c r="D941">
        <v>106.21</v>
      </c>
      <c r="E941">
        <v>47.69</v>
      </c>
      <c r="F941">
        <v>90.84</v>
      </c>
      <c r="G941">
        <v>25.2</v>
      </c>
      <c r="H941">
        <v>117.51</v>
      </c>
      <c r="I941">
        <v>40.51</v>
      </c>
      <c r="J941">
        <v>17.670000000000002</v>
      </c>
      <c r="K941">
        <v>12.4</v>
      </c>
      <c r="L941">
        <v>188.99</v>
      </c>
      <c r="M941">
        <v>32.36</v>
      </c>
      <c r="N941">
        <f t="shared" si="14"/>
        <v>36.435000000000002</v>
      </c>
      <c r="AE941">
        <v>10.039999999999999</v>
      </c>
    </row>
    <row r="942" spans="1:31" x14ac:dyDescent="0.25">
      <c r="A942" t="s">
        <v>986</v>
      </c>
      <c r="B942">
        <v>10.039999999999999</v>
      </c>
      <c r="C942">
        <v>55.45</v>
      </c>
      <c r="D942">
        <v>108.11</v>
      </c>
      <c r="E942">
        <v>63.92</v>
      </c>
      <c r="F942">
        <v>77.680000000000007</v>
      </c>
      <c r="G942">
        <v>45.3</v>
      </c>
      <c r="H942">
        <v>27.12</v>
      </c>
      <c r="I942">
        <v>48.32</v>
      </c>
      <c r="J942">
        <v>59.89</v>
      </c>
      <c r="K942">
        <v>58.2</v>
      </c>
      <c r="L942">
        <v>114.74</v>
      </c>
      <c r="M942">
        <v>17.170000000000002</v>
      </c>
      <c r="N942">
        <f t="shared" si="14"/>
        <v>56.825000000000003</v>
      </c>
      <c r="AE942">
        <v>10.039999999999999</v>
      </c>
    </row>
    <row r="943" spans="1:31" x14ac:dyDescent="0.25">
      <c r="A943" t="s">
        <v>987</v>
      </c>
      <c r="B943">
        <v>10.19</v>
      </c>
      <c r="C943">
        <v>28.08</v>
      </c>
      <c r="D943">
        <v>11.79</v>
      </c>
      <c r="E943">
        <v>60.45</v>
      </c>
      <c r="F943">
        <v>18.079999999999998</v>
      </c>
      <c r="G943">
        <v>39.76</v>
      </c>
      <c r="H943">
        <v>66.930000000000007</v>
      </c>
      <c r="I943">
        <v>118.44</v>
      </c>
      <c r="J943">
        <v>46.49</v>
      </c>
      <c r="K943">
        <v>17.98</v>
      </c>
      <c r="L943">
        <v>13.52</v>
      </c>
      <c r="M943">
        <v>60.11</v>
      </c>
      <c r="N943">
        <f t="shared" si="14"/>
        <v>33.92</v>
      </c>
      <c r="AE943">
        <v>10.19</v>
      </c>
    </row>
    <row r="944" spans="1:31" x14ac:dyDescent="0.25">
      <c r="A944" t="s">
        <v>988</v>
      </c>
      <c r="B944">
        <v>10.74</v>
      </c>
      <c r="C944">
        <v>61.05</v>
      </c>
      <c r="D944">
        <v>46.45</v>
      </c>
      <c r="E944">
        <v>26.54</v>
      </c>
      <c r="F944">
        <v>86.25</v>
      </c>
      <c r="G944">
        <v>37.700000000000003</v>
      </c>
      <c r="H944">
        <v>53.09</v>
      </c>
      <c r="I944">
        <v>88.41</v>
      </c>
      <c r="J944">
        <v>75.650000000000006</v>
      </c>
      <c r="K944">
        <v>29.58</v>
      </c>
      <c r="L944">
        <v>45.36</v>
      </c>
      <c r="M944">
        <v>25.03</v>
      </c>
      <c r="N944">
        <f t="shared" si="14"/>
        <v>45.905000000000001</v>
      </c>
      <c r="AE944">
        <v>10.74</v>
      </c>
    </row>
    <row r="945" spans="1:31" x14ac:dyDescent="0.25">
      <c r="A945" t="s">
        <v>989</v>
      </c>
      <c r="B945">
        <v>10.039999999999999</v>
      </c>
      <c r="C945">
        <v>10.73</v>
      </c>
      <c r="D945">
        <v>33.520000000000003</v>
      </c>
      <c r="E945">
        <v>51.95</v>
      </c>
      <c r="F945">
        <v>39.99</v>
      </c>
      <c r="G945">
        <v>10.29</v>
      </c>
      <c r="H945">
        <v>103.58</v>
      </c>
      <c r="I945">
        <v>78.010000000000005</v>
      </c>
      <c r="J945">
        <v>132.03</v>
      </c>
      <c r="K945">
        <v>18.190000000000001</v>
      </c>
      <c r="L945">
        <v>50.51</v>
      </c>
      <c r="M945">
        <v>24.2</v>
      </c>
      <c r="N945">
        <f t="shared" si="14"/>
        <v>36.755000000000003</v>
      </c>
      <c r="AE945">
        <v>10.039999999999999</v>
      </c>
    </row>
    <row r="946" spans="1:31" x14ac:dyDescent="0.25">
      <c r="A946" t="s">
        <v>990</v>
      </c>
      <c r="B946">
        <v>10.19</v>
      </c>
      <c r="C946">
        <v>95.69</v>
      </c>
      <c r="D946">
        <v>13.03</v>
      </c>
      <c r="E946">
        <v>134.68</v>
      </c>
      <c r="F946">
        <v>10.19</v>
      </c>
      <c r="G946">
        <v>38.549999999999997</v>
      </c>
      <c r="H946">
        <v>277.56</v>
      </c>
      <c r="I946">
        <v>15.08</v>
      </c>
      <c r="J946">
        <v>28.04</v>
      </c>
      <c r="K946">
        <v>69.34</v>
      </c>
      <c r="L946">
        <v>12.53</v>
      </c>
      <c r="M946">
        <v>56.1</v>
      </c>
      <c r="N946">
        <f t="shared" si="14"/>
        <v>33.295000000000002</v>
      </c>
      <c r="AE946">
        <v>10.19</v>
      </c>
    </row>
    <row r="947" spans="1:31" x14ac:dyDescent="0.25">
      <c r="A947" t="s">
        <v>991</v>
      </c>
      <c r="B947">
        <v>10.039999999999999</v>
      </c>
      <c r="C947">
        <v>30.78</v>
      </c>
      <c r="D947">
        <v>16.95</v>
      </c>
      <c r="E947">
        <v>45.87</v>
      </c>
      <c r="F947">
        <v>155.47</v>
      </c>
      <c r="G947">
        <v>35.270000000000003</v>
      </c>
      <c r="H947">
        <v>30.31</v>
      </c>
      <c r="I947">
        <v>24.95</v>
      </c>
      <c r="J947">
        <v>59.38</v>
      </c>
      <c r="K947">
        <v>12.02</v>
      </c>
      <c r="L947">
        <v>129.37</v>
      </c>
      <c r="M947">
        <v>38.520000000000003</v>
      </c>
      <c r="N947">
        <f t="shared" si="14"/>
        <v>33.025000000000006</v>
      </c>
      <c r="AE947">
        <v>10.039999999999999</v>
      </c>
    </row>
    <row r="948" spans="1:31" x14ac:dyDescent="0.25">
      <c r="A948" t="s">
        <v>992</v>
      </c>
      <c r="B948">
        <v>10.09</v>
      </c>
      <c r="C948">
        <v>67.84</v>
      </c>
      <c r="D948">
        <v>69.62</v>
      </c>
      <c r="E948">
        <v>59.4</v>
      </c>
      <c r="F948">
        <v>14.32</v>
      </c>
      <c r="G948">
        <v>52.47</v>
      </c>
      <c r="H948">
        <v>23.5</v>
      </c>
      <c r="I948">
        <v>30.53</v>
      </c>
      <c r="J948">
        <v>17.59</v>
      </c>
      <c r="K948">
        <v>104.08</v>
      </c>
      <c r="L948">
        <v>19.47</v>
      </c>
      <c r="M948">
        <v>39.76</v>
      </c>
      <c r="N948">
        <f t="shared" si="14"/>
        <v>35.144999999999996</v>
      </c>
      <c r="AE948">
        <v>10.09</v>
      </c>
    </row>
    <row r="949" spans="1:31" x14ac:dyDescent="0.25">
      <c r="A949" t="s">
        <v>993</v>
      </c>
      <c r="C949">
        <v>110.1</v>
      </c>
      <c r="D949">
        <v>51.42</v>
      </c>
      <c r="E949">
        <v>65</v>
      </c>
      <c r="F949">
        <v>19.8</v>
      </c>
      <c r="G949">
        <v>101.98</v>
      </c>
      <c r="H949">
        <v>0.27</v>
      </c>
      <c r="I949">
        <v>11.88</v>
      </c>
      <c r="J949">
        <v>81.17</v>
      </c>
      <c r="K949">
        <v>162.44999999999999</v>
      </c>
      <c r="L949">
        <v>6.61</v>
      </c>
      <c r="M949">
        <v>73.44</v>
      </c>
      <c r="N949">
        <f t="shared" si="14"/>
        <v>65</v>
      </c>
    </row>
    <row r="950" spans="1:31" x14ac:dyDescent="0.25">
      <c r="A950" t="s">
        <v>994</v>
      </c>
      <c r="C950">
        <v>104.27</v>
      </c>
      <c r="D950">
        <v>27.12</v>
      </c>
      <c r="E950">
        <v>47.53</v>
      </c>
      <c r="F950">
        <v>44.84</v>
      </c>
      <c r="G950">
        <v>59.67</v>
      </c>
      <c r="H950">
        <v>8.1300000000000008</v>
      </c>
      <c r="I950">
        <v>16.170000000000002</v>
      </c>
      <c r="J950">
        <v>71.239999999999995</v>
      </c>
      <c r="K950">
        <v>50.02</v>
      </c>
      <c r="L950">
        <v>66.38</v>
      </c>
      <c r="M950">
        <v>68.150000000000006</v>
      </c>
      <c r="N950">
        <f t="shared" si="14"/>
        <v>50.02</v>
      </c>
    </row>
    <row r="951" spans="1:31" x14ac:dyDescent="0.25">
      <c r="A951" t="s">
        <v>995</v>
      </c>
      <c r="C951">
        <v>100.48</v>
      </c>
      <c r="D951">
        <v>64.5</v>
      </c>
      <c r="E951">
        <v>3.2</v>
      </c>
      <c r="F951">
        <v>22.85</v>
      </c>
      <c r="G951">
        <v>89.17</v>
      </c>
      <c r="H951">
        <v>13</v>
      </c>
      <c r="I951">
        <v>11.25</v>
      </c>
      <c r="J951">
        <v>47.72</v>
      </c>
      <c r="K951">
        <v>132.63</v>
      </c>
      <c r="L951">
        <v>22.56</v>
      </c>
      <c r="M951">
        <v>14.68</v>
      </c>
      <c r="N951">
        <f t="shared" si="14"/>
        <v>22.85</v>
      </c>
    </row>
    <row r="952" spans="1:31" x14ac:dyDescent="0.25">
      <c r="A952" t="s">
        <v>996</v>
      </c>
      <c r="C952">
        <v>83.71</v>
      </c>
      <c r="D952">
        <v>47.22</v>
      </c>
      <c r="E952">
        <v>21.61</v>
      </c>
      <c r="F952">
        <v>31.11</v>
      </c>
      <c r="G952">
        <v>29.16</v>
      </c>
      <c r="H952">
        <v>13.69</v>
      </c>
      <c r="I952">
        <v>103.51</v>
      </c>
      <c r="J952">
        <v>85.4</v>
      </c>
      <c r="K952">
        <v>36.520000000000003</v>
      </c>
      <c r="L952">
        <v>47.8</v>
      </c>
      <c r="M952">
        <v>38.35</v>
      </c>
      <c r="N952">
        <f t="shared" si="14"/>
        <v>38.35</v>
      </c>
    </row>
    <row r="953" spans="1:31" x14ac:dyDescent="0.25">
      <c r="A953" t="s">
        <v>997</v>
      </c>
      <c r="C953">
        <v>80.55</v>
      </c>
      <c r="D953">
        <v>125.23</v>
      </c>
      <c r="E953">
        <v>45.71</v>
      </c>
      <c r="F953">
        <v>34.36</v>
      </c>
      <c r="G953">
        <v>8.15</v>
      </c>
      <c r="H953">
        <v>109.49</v>
      </c>
      <c r="I953">
        <v>12.03</v>
      </c>
      <c r="J953">
        <v>44.26</v>
      </c>
      <c r="K953">
        <v>21.23</v>
      </c>
      <c r="L953">
        <v>63.86</v>
      </c>
      <c r="M953">
        <v>91.25</v>
      </c>
      <c r="N953">
        <f t="shared" si="14"/>
        <v>45.71</v>
      </c>
    </row>
    <row r="954" spans="1:31" x14ac:dyDescent="0.25">
      <c r="A954" t="s">
        <v>998</v>
      </c>
      <c r="C954">
        <v>63.98</v>
      </c>
      <c r="D954">
        <v>0.18</v>
      </c>
      <c r="E954">
        <v>2.35</v>
      </c>
      <c r="F954">
        <v>46.83</v>
      </c>
      <c r="G954">
        <v>19.93</v>
      </c>
      <c r="H954">
        <v>127.19</v>
      </c>
      <c r="I954">
        <v>33.32</v>
      </c>
      <c r="J954">
        <v>288.02</v>
      </c>
      <c r="K954">
        <v>91.39</v>
      </c>
      <c r="L954">
        <v>0.09</v>
      </c>
      <c r="M954">
        <v>30.24</v>
      </c>
      <c r="N954">
        <f t="shared" si="14"/>
        <v>33.32</v>
      </c>
    </row>
    <row r="955" spans="1:31" x14ac:dyDescent="0.25">
      <c r="A955" t="s">
        <v>999</v>
      </c>
      <c r="C955">
        <v>63.52</v>
      </c>
      <c r="D955">
        <v>80.3</v>
      </c>
      <c r="E955">
        <v>65.849999999999994</v>
      </c>
      <c r="F955">
        <v>33.020000000000003</v>
      </c>
      <c r="G955">
        <v>17.75</v>
      </c>
      <c r="H955">
        <v>37.06</v>
      </c>
      <c r="I955">
        <v>31.22</v>
      </c>
      <c r="J955">
        <v>0.18</v>
      </c>
      <c r="K955">
        <v>136.15</v>
      </c>
      <c r="L955">
        <v>33.94</v>
      </c>
      <c r="M955">
        <v>187.04</v>
      </c>
      <c r="N955">
        <f t="shared" si="14"/>
        <v>37.06</v>
      </c>
    </row>
    <row r="956" spans="1:31" x14ac:dyDescent="0.25">
      <c r="A956" t="s">
        <v>1000</v>
      </c>
      <c r="C956">
        <v>53.3</v>
      </c>
      <c r="D956">
        <v>61.37</v>
      </c>
      <c r="E956">
        <v>37.54</v>
      </c>
      <c r="F956">
        <v>61.07</v>
      </c>
      <c r="G956">
        <v>14.82</v>
      </c>
      <c r="H956">
        <v>21.4</v>
      </c>
      <c r="I956">
        <v>54.64</v>
      </c>
      <c r="J956">
        <v>159.05000000000001</v>
      </c>
      <c r="K956">
        <v>15.19</v>
      </c>
      <c r="L956">
        <v>59.07</v>
      </c>
      <c r="M956">
        <v>6.69</v>
      </c>
      <c r="N956">
        <f t="shared" si="14"/>
        <v>53.3</v>
      </c>
    </row>
    <row r="957" spans="1:31" x14ac:dyDescent="0.25">
      <c r="A957" t="s">
        <v>1001</v>
      </c>
      <c r="C957">
        <v>53.01</v>
      </c>
      <c r="D957">
        <v>30.1</v>
      </c>
      <c r="E957">
        <v>22.87</v>
      </c>
      <c r="F957">
        <v>36.81</v>
      </c>
      <c r="G957">
        <v>167.3</v>
      </c>
      <c r="H957">
        <v>24.33</v>
      </c>
      <c r="I957">
        <v>49.17</v>
      </c>
      <c r="J957">
        <v>35.06</v>
      </c>
      <c r="K957">
        <v>133.61000000000001</v>
      </c>
      <c r="L957">
        <v>89.55</v>
      </c>
      <c r="M957">
        <v>27.32</v>
      </c>
      <c r="N957">
        <f t="shared" si="14"/>
        <v>36.81</v>
      </c>
    </row>
    <row r="958" spans="1:31" x14ac:dyDescent="0.25">
      <c r="A958" t="s">
        <v>1002</v>
      </c>
      <c r="C958">
        <v>37.68</v>
      </c>
      <c r="D958">
        <v>50.9</v>
      </c>
      <c r="E958">
        <v>153.55000000000001</v>
      </c>
      <c r="F958">
        <v>7.85</v>
      </c>
      <c r="G958">
        <v>25.97</v>
      </c>
      <c r="H958">
        <v>90.12</v>
      </c>
      <c r="I958">
        <v>23.7</v>
      </c>
      <c r="J958">
        <v>1.81</v>
      </c>
      <c r="K958">
        <v>9.16</v>
      </c>
      <c r="L958">
        <v>45.23</v>
      </c>
      <c r="M958">
        <v>26.05</v>
      </c>
      <c r="N958">
        <f t="shared" si="14"/>
        <v>26.05</v>
      </c>
    </row>
    <row r="959" spans="1:31" x14ac:dyDescent="0.25">
      <c r="A959" t="s">
        <v>1003</v>
      </c>
      <c r="B959">
        <v>9.99</v>
      </c>
      <c r="C959">
        <v>97.69</v>
      </c>
      <c r="D959">
        <v>56.15</v>
      </c>
      <c r="E959">
        <v>21.1</v>
      </c>
      <c r="F959">
        <v>53.96</v>
      </c>
      <c r="G959">
        <v>57.82</v>
      </c>
      <c r="H959">
        <v>88.67</v>
      </c>
      <c r="I959">
        <v>15.3</v>
      </c>
      <c r="J959">
        <v>178.94</v>
      </c>
      <c r="K959">
        <v>22.21</v>
      </c>
      <c r="L959">
        <v>48.83</v>
      </c>
      <c r="M959">
        <v>47.31</v>
      </c>
      <c r="N959">
        <f t="shared" si="14"/>
        <v>51.394999999999996</v>
      </c>
      <c r="AE959">
        <v>9.99</v>
      </c>
    </row>
    <row r="960" spans="1:31" x14ac:dyDescent="0.25">
      <c r="A960" t="s">
        <v>1004</v>
      </c>
      <c r="C960">
        <v>19.87</v>
      </c>
      <c r="D960">
        <v>6.74</v>
      </c>
      <c r="E960">
        <v>156.72999999999999</v>
      </c>
      <c r="F960">
        <v>15.67</v>
      </c>
      <c r="G960">
        <v>35.17</v>
      </c>
      <c r="H960">
        <v>22.48</v>
      </c>
      <c r="I960">
        <v>30.08</v>
      </c>
      <c r="J960">
        <v>23.41</v>
      </c>
      <c r="K960">
        <v>72.88</v>
      </c>
      <c r="L960">
        <v>1.21</v>
      </c>
      <c r="M960">
        <v>238.58</v>
      </c>
      <c r="N960">
        <f t="shared" si="14"/>
        <v>23.41</v>
      </c>
    </row>
    <row r="961" spans="1:31" x14ac:dyDescent="0.25">
      <c r="A961" t="s">
        <v>1005</v>
      </c>
      <c r="C961">
        <v>2</v>
      </c>
      <c r="D961">
        <v>34.729999999999997</v>
      </c>
      <c r="E961">
        <v>127.1</v>
      </c>
      <c r="F961">
        <v>43.77</v>
      </c>
      <c r="G961">
        <v>101.36</v>
      </c>
      <c r="H961">
        <v>47.24</v>
      </c>
      <c r="I961">
        <v>33.71</v>
      </c>
      <c r="J961">
        <v>251.21</v>
      </c>
      <c r="K961">
        <v>60.07</v>
      </c>
      <c r="L961">
        <v>2.17</v>
      </c>
      <c r="M961">
        <v>34.33</v>
      </c>
      <c r="N961">
        <f t="shared" si="14"/>
        <v>43.77</v>
      </c>
    </row>
    <row r="962" spans="1:31" x14ac:dyDescent="0.25">
      <c r="A962" t="s">
        <v>1006</v>
      </c>
      <c r="C962">
        <v>1.4</v>
      </c>
      <c r="D962">
        <v>10.19</v>
      </c>
      <c r="E962">
        <v>50.52</v>
      </c>
      <c r="F962">
        <v>36.25</v>
      </c>
      <c r="G962">
        <v>42.18</v>
      </c>
      <c r="H962">
        <v>68.28</v>
      </c>
      <c r="I962">
        <v>75.180000000000007</v>
      </c>
      <c r="J962">
        <v>9.57</v>
      </c>
      <c r="K962">
        <v>98.23</v>
      </c>
      <c r="L962">
        <v>0.09</v>
      </c>
      <c r="M962">
        <v>11.56</v>
      </c>
      <c r="N962">
        <f t="shared" si="14"/>
        <v>36.25</v>
      </c>
    </row>
    <row r="963" spans="1:31" x14ac:dyDescent="0.25">
      <c r="A963" t="s">
        <v>1007</v>
      </c>
      <c r="C963">
        <v>0.27</v>
      </c>
      <c r="D963">
        <v>29.02</v>
      </c>
      <c r="E963">
        <v>199.32</v>
      </c>
      <c r="F963">
        <v>28.14</v>
      </c>
      <c r="G963">
        <v>60.03</v>
      </c>
      <c r="H963">
        <v>11.88</v>
      </c>
      <c r="I963">
        <v>7.91</v>
      </c>
      <c r="J963">
        <v>33</v>
      </c>
      <c r="K963">
        <v>59.7</v>
      </c>
      <c r="L963">
        <v>174.48</v>
      </c>
      <c r="M963">
        <v>36.950000000000003</v>
      </c>
      <c r="N963">
        <f t="shared" ref="N963:N1001" si="15">MEDIAN(B963:M963)</f>
        <v>33</v>
      </c>
    </row>
    <row r="964" spans="1:31" x14ac:dyDescent="0.25">
      <c r="A964" t="s">
        <v>1008</v>
      </c>
      <c r="B964">
        <v>9.99</v>
      </c>
      <c r="C964">
        <v>50.47</v>
      </c>
      <c r="D964">
        <v>33.22</v>
      </c>
      <c r="E964">
        <v>67.75</v>
      </c>
      <c r="F964">
        <v>56.42</v>
      </c>
      <c r="G964">
        <v>87.53</v>
      </c>
      <c r="H964">
        <v>83.32</v>
      </c>
      <c r="I964">
        <v>32.43</v>
      </c>
      <c r="J964">
        <v>20.75</v>
      </c>
      <c r="K964">
        <v>53.49</v>
      </c>
      <c r="L964">
        <v>80.16</v>
      </c>
      <c r="M964">
        <v>10.59</v>
      </c>
      <c r="N964">
        <f t="shared" si="15"/>
        <v>51.980000000000004</v>
      </c>
      <c r="AE964">
        <v>9.99</v>
      </c>
    </row>
    <row r="965" spans="1:31" x14ac:dyDescent="0.25">
      <c r="A965" t="s">
        <v>1009</v>
      </c>
      <c r="C965">
        <v>0.54</v>
      </c>
      <c r="D965">
        <v>0.92</v>
      </c>
      <c r="E965">
        <v>22.87</v>
      </c>
      <c r="F965">
        <v>9.23</v>
      </c>
      <c r="G965">
        <v>152.57</v>
      </c>
      <c r="H965">
        <v>73.16</v>
      </c>
      <c r="I965">
        <v>88.35</v>
      </c>
      <c r="J965">
        <v>54.26</v>
      </c>
      <c r="K965">
        <v>23.89</v>
      </c>
      <c r="L965">
        <v>23.81</v>
      </c>
      <c r="M965">
        <v>175.73</v>
      </c>
      <c r="N965">
        <f t="shared" si="15"/>
        <v>23.89</v>
      </c>
    </row>
    <row r="966" spans="1:31" x14ac:dyDescent="0.25">
      <c r="A966" t="s">
        <v>1010</v>
      </c>
      <c r="B966">
        <v>9.99</v>
      </c>
      <c r="C966">
        <v>10.24</v>
      </c>
      <c r="D966">
        <v>10.34</v>
      </c>
      <c r="E966">
        <v>46.22</v>
      </c>
      <c r="F966">
        <v>136.84</v>
      </c>
      <c r="G966">
        <v>76.33</v>
      </c>
      <c r="H966">
        <v>20.65</v>
      </c>
      <c r="I966">
        <v>22.34</v>
      </c>
      <c r="J966">
        <v>40.89</v>
      </c>
      <c r="K966">
        <v>64.3</v>
      </c>
      <c r="L966">
        <v>25.13</v>
      </c>
      <c r="M966">
        <v>22.5</v>
      </c>
      <c r="N966">
        <f t="shared" si="15"/>
        <v>23.814999999999998</v>
      </c>
      <c r="AE966">
        <v>9.99</v>
      </c>
    </row>
    <row r="967" spans="1:31" x14ac:dyDescent="0.25">
      <c r="A967" t="s">
        <v>1011</v>
      </c>
      <c r="B967">
        <v>9.99</v>
      </c>
      <c r="C967">
        <v>9.99</v>
      </c>
      <c r="D967">
        <v>9.99</v>
      </c>
      <c r="E967">
        <v>108.14</v>
      </c>
      <c r="F967">
        <v>69.83</v>
      </c>
      <c r="G967">
        <v>118.91</v>
      </c>
      <c r="H967">
        <v>25.32</v>
      </c>
      <c r="I967">
        <v>71.77</v>
      </c>
      <c r="J967">
        <v>33.83</v>
      </c>
      <c r="K967">
        <v>24.03</v>
      </c>
      <c r="L967">
        <v>54.48</v>
      </c>
      <c r="M967">
        <v>58.58</v>
      </c>
      <c r="N967">
        <f t="shared" si="15"/>
        <v>44.155000000000001</v>
      </c>
      <c r="AE967">
        <v>9.99</v>
      </c>
    </row>
    <row r="968" spans="1:31" x14ac:dyDescent="0.25">
      <c r="A968" t="s">
        <v>1012</v>
      </c>
      <c r="B968">
        <v>9.99</v>
      </c>
      <c r="C968">
        <v>52.31</v>
      </c>
      <c r="D968">
        <v>30.77</v>
      </c>
      <c r="E968">
        <v>27.02</v>
      </c>
      <c r="F968">
        <v>30.33</v>
      </c>
      <c r="G968">
        <v>19.489999999999998</v>
      </c>
      <c r="H968">
        <v>73.739999999999995</v>
      </c>
      <c r="I968">
        <v>48.22</v>
      </c>
      <c r="J968">
        <v>47.16</v>
      </c>
      <c r="K968">
        <v>19.43</v>
      </c>
      <c r="L968">
        <v>127.71</v>
      </c>
      <c r="M968">
        <v>40.89</v>
      </c>
      <c r="N968">
        <f t="shared" si="15"/>
        <v>35.83</v>
      </c>
      <c r="AE968">
        <v>9.99</v>
      </c>
    </row>
    <row r="969" spans="1:31" x14ac:dyDescent="0.25">
      <c r="A969" t="s">
        <v>1013</v>
      </c>
      <c r="E969">
        <v>139.25</v>
      </c>
      <c r="F969">
        <v>16.16</v>
      </c>
      <c r="G969">
        <v>69.91</v>
      </c>
      <c r="H969">
        <v>17.329999999999998</v>
      </c>
      <c r="I969">
        <v>80.22</v>
      </c>
      <c r="J969">
        <v>255.9</v>
      </c>
      <c r="K969">
        <v>132.96</v>
      </c>
      <c r="L969">
        <v>54.2</v>
      </c>
      <c r="M969">
        <v>93.87</v>
      </c>
      <c r="N969">
        <f t="shared" si="15"/>
        <v>80.22</v>
      </c>
    </row>
    <row r="970" spans="1:31" x14ac:dyDescent="0.25">
      <c r="A970" t="s">
        <v>1014</v>
      </c>
      <c r="B970">
        <v>9.99</v>
      </c>
      <c r="C970">
        <v>143.41</v>
      </c>
      <c r="D970">
        <v>29</v>
      </c>
      <c r="E970">
        <v>18.309999999999999</v>
      </c>
      <c r="F970">
        <v>33.590000000000003</v>
      </c>
      <c r="G970">
        <v>11.93</v>
      </c>
      <c r="H970">
        <v>15.44</v>
      </c>
      <c r="I970">
        <v>56.95</v>
      </c>
      <c r="J970">
        <v>62.69</v>
      </c>
      <c r="K970">
        <v>38.93</v>
      </c>
      <c r="L970">
        <v>46.26</v>
      </c>
      <c r="M970">
        <v>41.59</v>
      </c>
      <c r="N970">
        <f t="shared" si="15"/>
        <v>36.260000000000005</v>
      </c>
      <c r="AE970">
        <v>9.99</v>
      </c>
    </row>
    <row r="971" spans="1:31" x14ac:dyDescent="0.25">
      <c r="A971" t="s">
        <v>1015</v>
      </c>
      <c r="B971">
        <v>9.99</v>
      </c>
      <c r="C971">
        <v>54.57</v>
      </c>
      <c r="D971">
        <v>124.2</v>
      </c>
      <c r="E971">
        <v>50.43</v>
      </c>
      <c r="F971">
        <v>82.96</v>
      </c>
      <c r="G971">
        <v>46.47</v>
      </c>
      <c r="H971">
        <v>36.29</v>
      </c>
      <c r="I971">
        <v>13.86</v>
      </c>
      <c r="J971">
        <v>13.2</v>
      </c>
      <c r="K971">
        <v>43.19</v>
      </c>
      <c r="L971">
        <v>25.47</v>
      </c>
      <c r="M971">
        <v>71.97</v>
      </c>
      <c r="N971">
        <f t="shared" si="15"/>
        <v>44.83</v>
      </c>
      <c r="AE971">
        <v>9.99</v>
      </c>
    </row>
    <row r="972" spans="1:31" x14ac:dyDescent="0.25">
      <c r="A972" t="s">
        <v>1016</v>
      </c>
      <c r="B972">
        <v>9.99</v>
      </c>
      <c r="C972">
        <v>81.7</v>
      </c>
      <c r="D972">
        <v>86.75</v>
      </c>
      <c r="E972">
        <v>33.81</v>
      </c>
      <c r="F972">
        <v>10.09</v>
      </c>
      <c r="G972">
        <v>17.809999999999999</v>
      </c>
      <c r="H972">
        <v>14.01</v>
      </c>
      <c r="I972">
        <v>17.54</v>
      </c>
      <c r="J972">
        <v>93.51</v>
      </c>
      <c r="K972">
        <v>157.49</v>
      </c>
      <c r="L972">
        <v>68.709999999999994</v>
      </c>
      <c r="M972">
        <v>62.83</v>
      </c>
      <c r="N972">
        <f t="shared" si="15"/>
        <v>48.32</v>
      </c>
      <c r="AE972">
        <v>9.99</v>
      </c>
    </row>
    <row r="973" spans="1:31" x14ac:dyDescent="0.25">
      <c r="A973" t="s">
        <v>1017</v>
      </c>
      <c r="E973">
        <v>98.67</v>
      </c>
      <c r="F973">
        <v>11.49</v>
      </c>
      <c r="G973">
        <v>181.24</v>
      </c>
      <c r="H973">
        <v>4.3099999999999996</v>
      </c>
      <c r="I973">
        <v>70.33</v>
      </c>
      <c r="J973">
        <v>0.18</v>
      </c>
      <c r="K973">
        <v>19.489999999999998</v>
      </c>
      <c r="L973">
        <v>0.18</v>
      </c>
      <c r="M973">
        <v>70.8</v>
      </c>
      <c r="N973">
        <f t="shared" si="15"/>
        <v>19.489999999999998</v>
      </c>
    </row>
    <row r="974" spans="1:31" x14ac:dyDescent="0.25">
      <c r="A974" t="s">
        <v>1018</v>
      </c>
      <c r="E974">
        <v>48.52</v>
      </c>
      <c r="F974">
        <v>18.88</v>
      </c>
      <c r="G974">
        <v>43.84</v>
      </c>
      <c r="H974">
        <v>11.43</v>
      </c>
      <c r="I974">
        <v>45.43</v>
      </c>
      <c r="J974">
        <v>49.23</v>
      </c>
      <c r="K974">
        <v>14.44</v>
      </c>
      <c r="L974">
        <v>45.35</v>
      </c>
      <c r="M974">
        <v>41.33</v>
      </c>
      <c r="N974">
        <f t="shared" si="15"/>
        <v>43.84</v>
      </c>
    </row>
    <row r="975" spans="1:31" x14ac:dyDescent="0.25">
      <c r="A975" t="s">
        <v>1019</v>
      </c>
      <c r="B975">
        <v>9.99</v>
      </c>
      <c r="C975">
        <v>41.62</v>
      </c>
      <c r="D975">
        <v>56.08</v>
      </c>
      <c r="E975">
        <v>144.77000000000001</v>
      </c>
      <c r="F975">
        <v>27.5</v>
      </c>
      <c r="G975">
        <v>61.94</v>
      </c>
      <c r="H975">
        <v>25.24</v>
      </c>
      <c r="I975">
        <v>79.489999999999995</v>
      </c>
      <c r="J975">
        <v>79.7</v>
      </c>
      <c r="K975">
        <v>91.49</v>
      </c>
      <c r="L975">
        <v>10.09</v>
      </c>
      <c r="M975">
        <v>15.39</v>
      </c>
      <c r="N975">
        <f t="shared" si="15"/>
        <v>48.849999999999994</v>
      </c>
      <c r="AE975">
        <v>9.99</v>
      </c>
    </row>
    <row r="976" spans="1:31" x14ac:dyDescent="0.25">
      <c r="A976" t="s">
        <v>1020</v>
      </c>
      <c r="E976">
        <v>167.48</v>
      </c>
      <c r="F976">
        <v>96.66</v>
      </c>
      <c r="G976">
        <v>0.54</v>
      </c>
      <c r="H976">
        <v>21.17</v>
      </c>
      <c r="I976">
        <v>81.44</v>
      </c>
      <c r="J976">
        <v>43.45</v>
      </c>
      <c r="K976">
        <v>66</v>
      </c>
      <c r="L976">
        <v>42.1</v>
      </c>
      <c r="M976">
        <v>104.12</v>
      </c>
      <c r="N976">
        <f t="shared" si="15"/>
        <v>66</v>
      </c>
    </row>
    <row r="977" spans="1:31" x14ac:dyDescent="0.25">
      <c r="A977" t="s">
        <v>1021</v>
      </c>
      <c r="B977">
        <v>9.99</v>
      </c>
      <c r="C977">
        <v>9.99</v>
      </c>
      <c r="D977">
        <v>9.99</v>
      </c>
      <c r="E977">
        <v>77.75</v>
      </c>
      <c r="F977">
        <v>90.38</v>
      </c>
      <c r="G977">
        <v>22.93</v>
      </c>
      <c r="H977">
        <v>23.74</v>
      </c>
      <c r="I977">
        <v>38.44</v>
      </c>
      <c r="J977">
        <v>129.55000000000001</v>
      </c>
      <c r="K977">
        <v>32.01</v>
      </c>
      <c r="L977">
        <v>87.65</v>
      </c>
      <c r="M977">
        <v>35.56</v>
      </c>
      <c r="N977">
        <f t="shared" si="15"/>
        <v>33.784999999999997</v>
      </c>
      <c r="AE977">
        <v>9.99</v>
      </c>
    </row>
    <row r="978" spans="1:31" x14ac:dyDescent="0.25">
      <c r="A978" t="s">
        <v>1022</v>
      </c>
      <c r="E978">
        <v>22.67</v>
      </c>
      <c r="F978">
        <v>41.14</v>
      </c>
      <c r="G978">
        <v>34.11</v>
      </c>
      <c r="H978">
        <v>34.5</v>
      </c>
      <c r="I978">
        <v>20.56</v>
      </c>
      <c r="J978">
        <v>64.75</v>
      </c>
      <c r="K978">
        <v>22.31</v>
      </c>
      <c r="L978">
        <v>115.31</v>
      </c>
      <c r="M978">
        <v>83.85</v>
      </c>
      <c r="N978">
        <f t="shared" si="15"/>
        <v>34.5</v>
      </c>
    </row>
    <row r="979" spans="1:31" x14ac:dyDescent="0.25">
      <c r="A979" t="s">
        <v>1023</v>
      </c>
      <c r="B979">
        <v>9.99</v>
      </c>
      <c r="C979">
        <v>9.99</v>
      </c>
      <c r="D979">
        <v>9.99</v>
      </c>
      <c r="E979">
        <v>64.7</v>
      </c>
      <c r="F979">
        <v>77.13</v>
      </c>
      <c r="G979">
        <v>79.510000000000005</v>
      </c>
      <c r="H979">
        <v>37.299999999999997</v>
      </c>
      <c r="I979">
        <v>33.42</v>
      </c>
      <c r="J979">
        <v>10.24</v>
      </c>
      <c r="K979">
        <v>108.07</v>
      </c>
      <c r="L979">
        <v>12.44</v>
      </c>
      <c r="M979">
        <v>67.260000000000005</v>
      </c>
      <c r="N979">
        <f t="shared" si="15"/>
        <v>35.36</v>
      </c>
      <c r="AE979">
        <v>9.99</v>
      </c>
    </row>
    <row r="980" spans="1:31" x14ac:dyDescent="0.25">
      <c r="A980" t="s">
        <v>1024</v>
      </c>
      <c r="D980">
        <v>125.55</v>
      </c>
      <c r="E980">
        <v>130.28</v>
      </c>
      <c r="F980">
        <v>42.69</v>
      </c>
      <c r="G980">
        <v>16.100000000000001</v>
      </c>
      <c r="H980">
        <v>93.64</v>
      </c>
      <c r="I980">
        <v>19.64</v>
      </c>
      <c r="J980">
        <v>7.75</v>
      </c>
      <c r="K980">
        <v>28.65</v>
      </c>
      <c r="L980">
        <v>33.9</v>
      </c>
      <c r="M980">
        <v>7.9</v>
      </c>
      <c r="N980">
        <f t="shared" si="15"/>
        <v>31.274999999999999</v>
      </c>
    </row>
    <row r="981" spans="1:31" x14ac:dyDescent="0.25">
      <c r="A981" t="s">
        <v>1025</v>
      </c>
      <c r="B981">
        <v>9.99</v>
      </c>
      <c r="C981">
        <v>9.99</v>
      </c>
      <c r="D981">
        <v>142.63</v>
      </c>
      <c r="E981">
        <v>28.47</v>
      </c>
      <c r="F981">
        <v>123.8</v>
      </c>
      <c r="G981">
        <v>37.97</v>
      </c>
      <c r="H981">
        <v>31.89</v>
      </c>
      <c r="I981">
        <v>66.89</v>
      </c>
      <c r="J981">
        <v>65.2</v>
      </c>
      <c r="K981">
        <v>39.85</v>
      </c>
      <c r="L981">
        <v>26.38</v>
      </c>
      <c r="M981">
        <v>57.33</v>
      </c>
      <c r="N981">
        <f t="shared" si="15"/>
        <v>38.909999999999997</v>
      </c>
      <c r="AE981">
        <v>9.99</v>
      </c>
    </row>
    <row r="982" spans="1:31" x14ac:dyDescent="0.25">
      <c r="A982" t="s">
        <v>1026</v>
      </c>
      <c r="B982">
        <v>9.99</v>
      </c>
      <c r="C982">
        <v>9.99</v>
      </c>
      <c r="D982">
        <v>116.97</v>
      </c>
      <c r="E982">
        <v>37.32</v>
      </c>
      <c r="F982">
        <v>126.4</v>
      </c>
      <c r="G982">
        <v>117.84</v>
      </c>
      <c r="H982">
        <v>96.66</v>
      </c>
      <c r="I982">
        <v>90.71</v>
      </c>
      <c r="J982">
        <v>85.58</v>
      </c>
      <c r="K982">
        <v>69.040000000000006</v>
      </c>
      <c r="L982">
        <v>49.91</v>
      </c>
      <c r="M982">
        <v>10.24</v>
      </c>
      <c r="N982">
        <f t="shared" si="15"/>
        <v>77.31</v>
      </c>
      <c r="AE982">
        <v>9.99</v>
      </c>
    </row>
    <row r="983" spans="1:31" x14ac:dyDescent="0.25">
      <c r="A983" t="s">
        <v>1027</v>
      </c>
      <c r="E983">
        <v>77.819999999999993</v>
      </c>
      <c r="F983">
        <v>107.58</v>
      </c>
      <c r="G983">
        <v>20.62</v>
      </c>
      <c r="H983">
        <v>86.93</v>
      </c>
      <c r="I983">
        <v>45.35</v>
      </c>
      <c r="J983">
        <v>64.94</v>
      </c>
      <c r="K983">
        <v>32.89</v>
      </c>
      <c r="L983">
        <v>221.53</v>
      </c>
      <c r="M983">
        <v>7.06</v>
      </c>
      <c r="N983">
        <f t="shared" si="15"/>
        <v>64.94</v>
      </c>
    </row>
    <row r="984" spans="1:31" x14ac:dyDescent="0.25">
      <c r="A984" t="s">
        <v>1028</v>
      </c>
      <c r="B984">
        <v>9.99</v>
      </c>
      <c r="C984">
        <v>51.52</v>
      </c>
      <c r="D984">
        <v>41.37</v>
      </c>
      <c r="E984">
        <v>23.25</v>
      </c>
      <c r="F984">
        <v>49.99</v>
      </c>
      <c r="G984">
        <v>27.47</v>
      </c>
      <c r="H984">
        <v>77.25</v>
      </c>
      <c r="I984">
        <v>50.14</v>
      </c>
      <c r="J984">
        <v>38.69</v>
      </c>
      <c r="K984">
        <v>93.4</v>
      </c>
      <c r="L984">
        <v>81.58</v>
      </c>
      <c r="M984">
        <v>44.38</v>
      </c>
      <c r="N984">
        <f t="shared" si="15"/>
        <v>47.185000000000002</v>
      </c>
      <c r="AE984">
        <v>9.99</v>
      </c>
    </row>
    <row r="985" spans="1:31" x14ac:dyDescent="0.25">
      <c r="A985" t="s">
        <v>1029</v>
      </c>
      <c r="D985">
        <v>24.08</v>
      </c>
      <c r="E985">
        <v>12.11</v>
      </c>
      <c r="F985">
        <v>0</v>
      </c>
      <c r="G985">
        <v>81.87</v>
      </c>
      <c r="H985">
        <v>70.73</v>
      </c>
      <c r="I985">
        <v>40.92</v>
      </c>
      <c r="J985">
        <v>74.58</v>
      </c>
      <c r="K985">
        <v>119.62</v>
      </c>
      <c r="L985">
        <v>192.92</v>
      </c>
      <c r="M985">
        <v>49.42</v>
      </c>
      <c r="N985">
        <f t="shared" si="15"/>
        <v>60.075000000000003</v>
      </c>
    </row>
    <row r="986" spans="1:31" x14ac:dyDescent="0.25">
      <c r="A986" t="s">
        <v>1030</v>
      </c>
      <c r="D986">
        <v>80.66</v>
      </c>
      <c r="E986">
        <v>0.09</v>
      </c>
      <c r="F986">
        <v>53.61</v>
      </c>
      <c r="G986">
        <v>80.989999999999995</v>
      </c>
      <c r="H986">
        <v>39.29</v>
      </c>
      <c r="I986">
        <v>80.25</v>
      </c>
      <c r="J986">
        <v>48.15</v>
      </c>
      <c r="K986">
        <v>18.03</v>
      </c>
      <c r="L986">
        <v>40.47</v>
      </c>
      <c r="M986">
        <v>181.91</v>
      </c>
      <c r="N986">
        <f t="shared" si="15"/>
        <v>50.879999999999995</v>
      </c>
    </row>
    <row r="987" spans="1:31" x14ac:dyDescent="0.25">
      <c r="A987" t="s">
        <v>1031</v>
      </c>
      <c r="E987">
        <v>88.19</v>
      </c>
      <c r="F987">
        <v>9.75</v>
      </c>
      <c r="G987">
        <v>0.09</v>
      </c>
      <c r="H987">
        <v>23.86</v>
      </c>
      <c r="I987">
        <v>127.47</v>
      </c>
      <c r="J987">
        <v>52.98</v>
      </c>
      <c r="K987">
        <v>33.94</v>
      </c>
      <c r="L987">
        <v>94.5</v>
      </c>
      <c r="M987">
        <v>17.34</v>
      </c>
      <c r="N987">
        <f t="shared" si="15"/>
        <v>33.94</v>
      </c>
    </row>
    <row r="988" spans="1:31" x14ac:dyDescent="0.25">
      <c r="A988" t="s">
        <v>1032</v>
      </c>
      <c r="B988">
        <v>9.99</v>
      </c>
      <c r="C988">
        <v>91.74</v>
      </c>
      <c r="D988">
        <v>14.42</v>
      </c>
      <c r="E988">
        <v>28.82</v>
      </c>
      <c r="F988">
        <v>21.11</v>
      </c>
      <c r="G988">
        <v>25.82</v>
      </c>
      <c r="H988">
        <v>97.68</v>
      </c>
      <c r="I988">
        <v>68.34</v>
      </c>
      <c r="J988">
        <v>52.75</v>
      </c>
      <c r="K988">
        <v>46.87</v>
      </c>
      <c r="L988">
        <v>94.68</v>
      </c>
      <c r="M988">
        <v>27.61</v>
      </c>
      <c r="N988">
        <f t="shared" si="15"/>
        <v>37.844999999999999</v>
      </c>
      <c r="AE988">
        <v>9.99</v>
      </c>
    </row>
    <row r="989" spans="1:31" x14ac:dyDescent="0.25">
      <c r="A989" t="s">
        <v>1033</v>
      </c>
      <c r="B989">
        <v>9.99</v>
      </c>
      <c r="C989">
        <v>9.99</v>
      </c>
      <c r="D989">
        <v>46.86</v>
      </c>
      <c r="E989">
        <v>48.34</v>
      </c>
      <c r="F989">
        <v>35.32</v>
      </c>
      <c r="G989">
        <v>19.45</v>
      </c>
      <c r="H989">
        <v>24.96</v>
      </c>
      <c r="I989">
        <v>85.56</v>
      </c>
      <c r="J989">
        <v>70.599999999999994</v>
      </c>
      <c r="K989">
        <v>120.41</v>
      </c>
      <c r="L989">
        <v>26.25</v>
      </c>
      <c r="M989">
        <v>24.63</v>
      </c>
      <c r="N989">
        <f t="shared" si="15"/>
        <v>30.785</v>
      </c>
      <c r="AE989">
        <v>9.99</v>
      </c>
    </row>
    <row r="990" spans="1:31" x14ac:dyDescent="0.25">
      <c r="A990" t="s">
        <v>1034</v>
      </c>
      <c r="D990">
        <v>16.48</v>
      </c>
      <c r="E990">
        <v>16.96</v>
      </c>
      <c r="F990">
        <v>6.98</v>
      </c>
      <c r="G990">
        <v>154.51</v>
      </c>
      <c r="H990">
        <v>82.75</v>
      </c>
      <c r="I990">
        <v>123.28</v>
      </c>
      <c r="J990">
        <v>52.55</v>
      </c>
      <c r="K990">
        <v>22.3</v>
      </c>
      <c r="L990">
        <v>13.59</v>
      </c>
      <c r="M990">
        <v>25.23</v>
      </c>
      <c r="N990">
        <f t="shared" si="15"/>
        <v>23.765000000000001</v>
      </c>
    </row>
    <row r="991" spans="1:31" x14ac:dyDescent="0.25">
      <c r="A991" t="s">
        <v>1035</v>
      </c>
      <c r="D991">
        <v>5.39</v>
      </c>
      <c r="E991">
        <v>0.63</v>
      </c>
      <c r="F991">
        <v>84.16</v>
      </c>
      <c r="G991">
        <v>94.26</v>
      </c>
      <c r="H991">
        <v>101.49</v>
      </c>
      <c r="I991">
        <v>162.13</v>
      </c>
      <c r="J991">
        <v>32.700000000000003</v>
      </c>
      <c r="K991">
        <v>51.26</v>
      </c>
      <c r="L991">
        <v>77.06</v>
      </c>
      <c r="M991">
        <v>280.97000000000003</v>
      </c>
      <c r="N991">
        <f t="shared" si="15"/>
        <v>80.61</v>
      </c>
    </row>
    <row r="992" spans="1:31" x14ac:dyDescent="0.25">
      <c r="A992" t="s">
        <v>1036</v>
      </c>
      <c r="B992">
        <v>9.99</v>
      </c>
      <c r="C992">
        <v>9.99</v>
      </c>
      <c r="D992">
        <v>79.510000000000005</v>
      </c>
      <c r="E992">
        <v>53.32</v>
      </c>
      <c r="F992">
        <v>124.49</v>
      </c>
      <c r="G992">
        <v>97.01</v>
      </c>
      <c r="H992">
        <v>19.11</v>
      </c>
      <c r="I992">
        <v>10.09</v>
      </c>
      <c r="J992">
        <v>25.97</v>
      </c>
      <c r="K992">
        <v>29.45</v>
      </c>
      <c r="L992">
        <v>44.27</v>
      </c>
      <c r="M992">
        <v>20.329999999999998</v>
      </c>
      <c r="N992">
        <f t="shared" si="15"/>
        <v>27.71</v>
      </c>
      <c r="AE992">
        <v>9.99</v>
      </c>
    </row>
    <row r="993" spans="1:31" x14ac:dyDescent="0.25">
      <c r="A993" t="s">
        <v>1037</v>
      </c>
      <c r="B993">
        <v>9.99</v>
      </c>
      <c r="C993">
        <v>39.97</v>
      </c>
      <c r="D993">
        <v>14.2</v>
      </c>
      <c r="E993">
        <v>32.68</v>
      </c>
      <c r="F993">
        <v>76.680000000000007</v>
      </c>
      <c r="G993">
        <v>68.67</v>
      </c>
      <c r="H993">
        <v>62.31</v>
      </c>
      <c r="I993">
        <v>20.75</v>
      </c>
      <c r="J993">
        <v>58.07</v>
      </c>
      <c r="K993">
        <v>64.25</v>
      </c>
      <c r="L993">
        <v>48.98</v>
      </c>
      <c r="M993">
        <v>93.93</v>
      </c>
      <c r="N993">
        <f t="shared" si="15"/>
        <v>53.524999999999999</v>
      </c>
      <c r="AE993">
        <v>9.99</v>
      </c>
    </row>
    <row r="994" spans="1:31" x14ac:dyDescent="0.25">
      <c r="A994" t="s">
        <v>1038</v>
      </c>
      <c r="D994">
        <v>62.56</v>
      </c>
      <c r="E994">
        <v>9.9499999999999993</v>
      </c>
      <c r="F994">
        <v>21.17</v>
      </c>
      <c r="G994">
        <v>39.340000000000003</v>
      </c>
      <c r="H994">
        <v>41.23</v>
      </c>
      <c r="I994">
        <v>13.11</v>
      </c>
      <c r="J994">
        <v>238.41</v>
      </c>
      <c r="K994">
        <v>32.15</v>
      </c>
      <c r="L994">
        <v>28.22</v>
      </c>
      <c r="M994">
        <v>0.27</v>
      </c>
      <c r="N994">
        <f t="shared" si="15"/>
        <v>30.184999999999999</v>
      </c>
    </row>
    <row r="995" spans="1:31" x14ac:dyDescent="0.25">
      <c r="A995" t="s">
        <v>1039</v>
      </c>
      <c r="B995">
        <v>9.99</v>
      </c>
      <c r="C995">
        <v>20.38</v>
      </c>
      <c r="D995">
        <v>12.47</v>
      </c>
      <c r="E995">
        <v>49.68</v>
      </c>
      <c r="F995">
        <v>18.329999999999998</v>
      </c>
      <c r="G995">
        <v>39.9</v>
      </c>
      <c r="H995">
        <v>59.83</v>
      </c>
      <c r="I995">
        <v>19.5</v>
      </c>
      <c r="J995">
        <v>39.299999999999997</v>
      </c>
      <c r="K995">
        <v>111.57</v>
      </c>
      <c r="L995">
        <v>42.31</v>
      </c>
      <c r="M995">
        <v>214.96</v>
      </c>
      <c r="N995">
        <f t="shared" si="15"/>
        <v>39.599999999999994</v>
      </c>
      <c r="AE995">
        <v>9.99</v>
      </c>
    </row>
    <row r="996" spans="1:31" x14ac:dyDescent="0.25">
      <c r="A996" t="s">
        <v>1040</v>
      </c>
      <c r="D996">
        <v>0.36</v>
      </c>
      <c r="E996">
        <v>8.1300000000000008</v>
      </c>
      <c r="F996">
        <v>90.54</v>
      </c>
      <c r="G996">
        <v>6.41</v>
      </c>
      <c r="H996">
        <v>62.06</v>
      </c>
      <c r="I996">
        <v>73.64</v>
      </c>
      <c r="J996">
        <v>19.05</v>
      </c>
      <c r="K996">
        <v>36.21</v>
      </c>
      <c r="L996">
        <v>27.7</v>
      </c>
      <c r="M996">
        <v>209.41</v>
      </c>
      <c r="N996">
        <f t="shared" si="15"/>
        <v>31.954999999999998</v>
      </c>
    </row>
    <row r="997" spans="1:31" x14ac:dyDescent="0.25">
      <c r="A997" t="s">
        <v>1041</v>
      </c>
      <c r="E997">
        <v>34.049999999999997</v>
      </c>
      <c r="F997">
        <v>38.32</v>
      </c>
      <c r="G997">
        <v>91.83</v>
      </c>
      <c r="H997">
        <v>39.14</v>
      </c>
      <c r="I997">
        <v>305.79000000000002</v>
      </c>
      <c r="J997">
        <v>89.18</v>
      </c>
      <c r="K997">
        <v>53.42</v>
      </c>
      <c r="L997">
        <v>22.68</v>
      </c>
      <c r="M997">
        <v>0.77</v>
      </c>
      <c r="N997">
        <f t="shared" si="15"/>
        <v>39.14</v>
      </c>
    </row>
    <row r="998" spans="1:31" x14ac:dyDescent="0.25">
      <c r="A998" t="s">
        <v>1042</v>
      </c>
      <c r="B998">
        <v>9.99</v>
      </c>
      <c r="C998">
        <v>27</v>
      </c>
      <c r="D998">
        <v>69.3</v>
      </c>
      <c r="E998">
        <v>96.4</v>
      </c>
      <c r="F998">
        <v>45.68</v>
      </c>
      <c r="G998">
        <v>52.43</v>
      </c>
      <c r="H998">
        <v>17.55</v>
      </c>
      <c r="I998">
        <v>39.64</v>
      </c>
      <c r="J998">
        <v>52.37</v>
      </c>
      <c r="K998">
        <v>37.99</v>
      </c>
      <c r="L998">
        <v>43.71</v>
      </c>
      <c r="M998">
        <v>89.04</v>
      </c>
      <c r="N998">
        <f t="shared" si="15"/>
        <v>44.695</v>
      </c>
      <c r="AE998">
        <v>9.99</v>
      </c>
    </row>
    <row r="999" spans="1:31" x14ac:dyDescent="0.25">
      <c r="A999" t="s">
        <v>1043</v>
      </c>
      <c r="B999">
        <v>9.99</v>
      </c>
      <c r="C999">
        <v>9.99</v>
      </c>
      <c r="D999">
        <v>56.51</v>
      </c>
      <c r="E999">
        <v>53.6</v>
      </c>
      <c r="F999">
        <v>113.3</v>
      </c>
      <c r="G999">
        <v>28.02</v>
      </c>
      <c r="H999">
        <v>76.89</v>
      </c>
      <c r="I999">
        <v>93.24</v>
      </c>
      <c r="J999">
        <v>43.09</v>
      </c>
      <c r="K999">
        <v>55.74</v>
      </c>
      <c r="L999">
        <v>24.63</v>
      </c>
      <c r="M999">
        <v>24.3</v>
      </c>
      <c r="N999">
        <f t="shared" si="15"/>
        <v>48.344999999999999</v>
      </c>
      <c r="AE999">
        <v>9.99</v>
      </c>
    </row>
    <row r="1000" spans="1:31" x14ac:dyDescent="0.25">
      <c r="A1000" t="s">
        <v>1044</v>
      </c>
      <c r="E1000">
        <v>231.28</v>
      </c>
      <c r="F1000">
        <v>48.38</v>
      </c>
      <c r="G1000">
        <v>79.739999999999995</v>
      </c>
      <c r="H1000">
        <v>24.55</v>
      </c>
      <c r="I1000">
        <v>55.12</v>
      </c>
      <c r="J1000">
        <v>69.349999999999994</v>
      </c>
      <c r="K1000">
        <v>46.62</v>
      </c>
      <c r="L1000">
        <v>40.479999999999997</v>
      </c>
      <c r="M1000">
        <v>21.06</v>
      </c>
      <c r="N1000">
        <f t="shared" si="15"/>
        <v>48.38</v>
      </c>
    </row>
    <row r="1001" spans="1:31" x14ac:dyDescent="0.25">
      <c r="A1001" t="s">
        <v>1045</v>
      </c>
      <c r="D1001">
        <v>0.27</v>
      </c>
      <c r="E1001">
        <v>341.92</v>
      </c>
      <c r="F1001">
        <v>86.08</v>
      </c>
      <c r="G1001">
        <v>27.31</v>
      </c>
      <c r="H1001">
        <v>0</v>
      </c>
      <c r="I1001">
        <v>7.36</v>
      </c>
      <c r="J1001">
        <v>66.64</v>
      </c>
      <c r="K1001">
        <v>30.21</v>
      </c>
      <c r="L1001">
        <v>27.58</v>
      </c>
      <c r="M1001">
        <v>35.909999999999997</v>
      </c>
      <c r="N1001">
        <f t="shared" si="15"/>
        <v>28.895</v>
      </c>
    </row>
    <row r="1002" spans="1:31" x14ac:dyDescent="0.25">
      <c r="AE1002">
        <v>39.299999999999997</v>
      </c>
    </row>
    <row r="1003" spans="1:31" x14ac:dyDescent="0.25">
      <c r="AE1003">
        <v>14.17</v>
      </c>
    </row>
    <row r="1004" spans="1:31" x14ac:dyDescent="0.25">
      <c r="AE1004">
        <v>30.7</v>
      </c>
    </row>
    <row r="1005" spans="1:31" x14ac:dyDescent="0.25">
      <c r="AE1005">
        <v>37.9</v>
      </c>
    </row>
    <row r="1006" spans="1:31" x14ac:dyDescent="0.25">
      <c r="AE1006">
        <v>31.27</v>
      </c>
    </row>
    <row r="1007" spans="1:31" x14ac:dyDescent="0.25">
      <c r="AE1007">
        <v>25.38</v>
      </c>
    </row>
    <row r="1008" spans="1:31" x14ac:dyDescent="0.25">
      <c r="AE1008">
        <v>57.81</v>
      </c>
    </row>
    <row r="1009" spans="31:31" x14ac:dyDescent="0.25">
      <c r="AE1009">
        <v>25.93</v>
      </c>
    </row>
    <row r="1010" spans="31:31" x14ac:dyDescent="0.25">
      <c r="AE1010">
        <v>26.1</v>
      </c>
    </row>
    <row r="1011" spans="31:31" x14ac:dyDescent="0.25">
      <c r="AE1011">
        <v>71.31</v>
      </c>
    </row>
    <row r="1012" spans="31:31" x14ac:dyDescent="0.25">
      <c r="AE1012">
        <v>49.54</v>
      </c>
    </row>
    <row r="1013" spans="31:31" x14ac:dyDescent="0.25">
      <c r="AE1013">
        <v>30.81</v>
      </c>
    </row>
    <row r="1014" spans="31:31" x14ac:dyDescent="0.25">
      <c r="AE1014">
        <v>22.53</v>
      </c>
    </row>
    <row r="1015" spans="31:31" x14ac:dyDescent="0.25">
      <c r="AE1015">
        <v>14.29</v>
      </c>
    </row>
    <row r="1016" spans="31:31" x14ac:dyDescent="0.25">
      <c r="AE1016">
        <v>66.41</v>
      </c>
    </row>
    <row r="1017" spans="31:31" x14ac:dyDescent="0.25">
      <c r="AE1017">
        <v>9.99</v>
      </c>
    </row>
    <row r="1018" spans="31:31" x14ac:dyDescent="0.25">
      <c r="AE1018">
        <v>48.93</v>
      </c>
    </row>
    <row r="1019" spans="31:31" x14ac:dyDescent="0.25">
      <c r="AE1019">
        <v>13.45</v>
      </c>
    </row>
    <row r="1020" spans="31:31" x14ac:dyDescent="0.25">
      <c r="AE1020">
        <v>0.45</v>
      </c>
    </row>
    <row r="1021" spans="31:31" x14ac:dyDescent="0.25">
      <c r="AE1021">
        <v>81.31</v>
      </c>
    </row>
    <row r="1022" spans="31:31" x14ac:dyDescent="0.25">
      <c r="AE1022">
        <v>15.01</v>
      </c>
    </row>
    <row r="1023" spans="31:31" x14ac:dyDescent="0.25">
      <c r="AE1023">
        <v>75.459999999999994</v>
      </c>
    </row>
    <row r="1024" spans="31:31" x14ac:dyDescent="0.25">
      <c r="AE1024">
        <v>16.059999999999999</v>
      </c>
    </row>
    <row r="1025" spans="31:31" x14ac:dyDescent="0.25">
      <c r="AE1025">
        <v>11.18</v>
      </c>
    </row>
    <row r="1026" spans="31:31" x14ac:dyDescent="0.25">
      <c r="AE1026">
        <v>32.619999999999997</v>
      </c>
    </row>
    <row r="1027" spans="31:31" x14ac:dyDescent="0.25">
      <c r="AE1027">
        <v>91.17</v>
      </c>
    </row>
    <row r="1028" spans="31:31" x14ac:dyDescent="0.25">
      <c r="AE1028">
        <v>24.76</v>
      </c>
    </row>
    <row r="1029" spans="31:31" x14ac:dyDescent="0.25">
      <c r="AE1029">
        <v>16.12</v>
      </c>
    </row>
    <row r="1030" spans="31:31" x14ac:dyDescent="0.25">
      <c r="AE1030">
        <v>36.479999999999997</v>
      </c>
    </row>
    <row r="1031" spans="31:31" x14ac:dyDescent="0.25">
      <c r="AE1031">
        <v>63.52</v>
      </c>
    </row>
    <row r="1032" spans="31:31" x14ac:dyDescent="0.25">
      <c r="AE1032">
        <v>22.87</v>
      </c>
    </row>
    <row r="1033" spans="31:31" x14ac:dyDescent="0.25">
      <c r="AE1033">
        <v>42.72</v>
      </c>
    </row>
    <row r="1034" spans="31:31" x14ac:dyDescent="0.25">
      <c r="AE1034">
        <v>54.17</v>
      </c>
    </row>
    <row r="1035" spans="31:31" x14ac:dyDescent="0.25">
      <c r="AE1035">
        <v>43.32</v>
      </c>
    </row>
    <row r="1036" spans="31:31" x14ac:dyDescent="0.25">
      <c r="AE1036">
        <v>43.1</v>
      </c>
    </row>
    <row r="1037" spans="31:31" x14ac:dyDescent="0.25">
      <c r="AE1037">
        <v>0.81</v>
      </c>
    </row>
    <row r="1038" spans="31:31" x14ac:dyDescent="0.25">
      <c r="AE1038">
        <v>10.24</v>
      </c>
    </row>
    <row r="1039" spans="31:31" x14ac:dyDescent="0.25">
      <c r="AE1039">
        <v>27.88</v>
      </c>
    </row>
    <row r="1040" spans="31:31" x14ac:dyDescent="0.25">
      <c r="AE1040">
        <v>17.45</v>
      </c>
    </row>
    <row r="1041" spans="31:31" x14ac:dyDescent="0.25">
      <c r="AE1041">
        <v>39.53</v>
      </c>
    </row>
    <row r="1042" spans="31:31" x14ac:dyDescent="0.25">
      <c r="AE1042">
        <v>138.51</v>
      </c>
    </row>
    <row r="1043" spans="31:31" x14ac:dyDescent="0.25">
      <c r="AE1043">
        <v>17.670000000000002</v>
      </c>
    </row>
    <row r="1044" spans="31:31" x14ac:dyDescent="0.25">
      <c r="AE1044">
        <v>38.799999999999997</v>
      </c>
    </row>
    <row r="1045" spans="31:31" x14ac:dyDescent="0.25">
      <c r="AE1045">
        <v>30.01</v>
      </c>
    </row>
    <row r="1046" spans="31:31" x14ac:dyDescent="0.25">
      <c r="AE1046">
        <v>0</v>
      </c>
    </row>
    <row r="1047" spans="31:31" x14ac:dyDescent="0.25">
      <c r="AE1047">
        <v>88.83</v>
      </c>
    </row>
    <row r="1048" spans="31:31" x14ac:dyDescent="0.25">
      <c r="AE1048">
        <v>8.06</v>
      </c>
    </row>
    <row r="1049" spans="31:31" x14ac:dyDescent="0.25">
      <c r="AE1049">
        <v>14.87</v>
      </c>
    </row>
    <row r="1050" spans="31:31" x14ac:dyDescent="0.25">
      <c r="AE1050">
        <v>72.03</v>
      </c>
    </row>
    <row r="1051" spans="31:31" x14ac:dyDescent="0.25">
      <c r="AE1051">
        <v>23.34</v>
      </c>
    </row>
    <row r="1052" spans="31:31" x14ac:dyDescent="0.25">
      <c r="AE1052">
        <v>10.14</v>
      </c>
    </row>
    <row r="1053" spans="31:31" x14ac:dyDescent="0.25">
      <c r="AE1053">
        <v>165.06</v>
      </c>
    </row>
    <row r="1054" spans="31:31" x14ac:dyDescent="0.25">
      <c r="AE1054">
        <v>25.78</v>
      </c>
    </row>
    <row r="1055" spans="31:31" x14ac:dyDescent="0.25">
      <c r="AE1055">
        <v>51.97</v>
      </c>
    </row>
    <row r="1056" spans="31:31" x14ac:dyDescent="0.25">
      <c r="AE1056">
        <v>12.71</v>
      </c>
    </row>
    <row r="1057" spans="31:31" x14ac:dyDescent="0.25">
      <c r="AE1057">
        <v>42.26</v>
      </c>
    </row>
    <row r="1058" spans="31:31" x14ac:dyDescent="0.25">
      <c r="AE1058">
        <v>10.29</v>
      </c>
    </row>
    <row r="1059" spans="31:31" x14ac:dyDescent="0.25">
      <c r="AE1059">
        <v>21.03</v>
      </c>
    </row>
    <row r="1060" spans="31:31" x14ac:dyDescent="0.25">
      <c r="AE1060">
        <v>15.15</v>
      </c>
    </row>
    <row r="1061" spans="31:31" x14ac:dyDescent="0.25">
      <c r="AE1061">
        <v>26.24</v>
      </c>
    </row>
    <row r="1062" spans="31:31" x14ac:dyDescent="0.25">
      <c r="AE1062">
        <v>67.33</v>
      </c>
    </row>
    <row r="1063" spans="31:31" x14ac:dyDescent="0.25">
      <c r="AE1063">
        <v>178.93</v>
      </c>
    </row>
    <row r="1064" spans="31:31" x14ac:dyDescent="0.25">
      <c r="AE1064">
        <v>16.2</v>
      </c>
    </row>
    <row r="1065" spans="31:31" x14ac:dyDescent="0.25">
      <c r="AE1065">
        <v>17.96</v>
      </c>
    </row>
    <row r="1066" spans="31:31" x14ac:dyDescent="0.25">
      <c r="AE1066">
        <v>15.65</v>
      </c>
    </row>
    <row r="1067" spans="31:31" x14ac:dyDescent="0.25">
      <c r="AE1067">
        <v>25.01</v>
      </c>
    </row>
    <row r="1068" spans="31:31" x14ac:dyDescent="0.25">
      <c r="AE1068">
        <v>57.46</v>
      </c>
    </row>
    <row r="1069" spans="31:31" x14ac:dyDescent="0.25">
      <c r="AE1069">
        <v>22.81</v>
      </c>
    </row>
    <row r="1070" spans="31:31" x14ac:dyDescent="0.25">
      <c r="AE1070">
        <v>25.08</v>
      </c>
    </row>
    <row r="1071" spans="31:31" x14ac:dyDescent="0.25">
      <c r="AE1071">
        <v>49.3</v>
      </c>
    </row>
    <row r="1072" spans="31:31" x14ac:dyDescent="0.25">
      <c r="AE1072">
        <v>48.31</v>
      </c>
    </row>
    <row r="1073" spans="31:31" x14ac:dyDescent="0.25">
      <c r="AE1073">
        <v>9.99</v>
      </c>
    </row>
    <row r="1074" spans="31:31" x14ac:dyDescent="0.25">
      <c r="AE1074">
        <v>26.53</v>
      </c>
    </row>
    <row r="1075" spans="31:31" x14ac:dyDescent="0.25">
      <c r="AE1075">
        <v>43.99</v>
      </c>
    </row>
    <row r="1076" spans="31:31" x14ac:dyDescent="0.25">
      <c r="AE1076">
        <v>181.83</v>
      </c>
    </row>
    <row r="1077" spans="31:31" x14ac:dyDescent="0.25">
      <c r="AE1077">
        <v>87.66</v>
      </c>
    </row>
    <row r="1078" spans="31:31" x14ac:dyDescent="0.25">
      <c r="AE1078">
        <v>39.340000000000003</v>
      </c>
    </row>
    <row r="1079" spans="31:31" x14ac:dyDescent="0.25">
      <c r="AE1079">
        <v>23.2</v>
      </c>
    </row>
    <row r="1080" spans="31:31" x14ac:dyDescent="0.25">
      <c r="AE1080">
        <v>53.52</v>
      </c>
    </row>
    <row r="1081" spans="31:31" x14ac:dyDescent="0.25">
      <c r="AE1081">
        <v>11.4</v>
      </c>
    </row>
    <row r="1082" spans="31:31" x14ac:dyDescent="0.25">
      <c r="AE1082">
        <v>99.66</v>
      </c>
    </row>
    <row r="1083" spans="31:31" x14ac:dyDescent="0.25">
      <c r="AE1083">
        <v>20.64</v>
      </c>
    </row>
    <row r="1084" spans="31:31" x14ac:dyDescent="0.25">
      <c r="AE1084">
        <v>26.23</v>
      </c>
    </row>
    <row r="1085" spans="31:31" x14ac:dyDescent="0.25">
      <c r="AE1085">
        <v>46.2</v>
      </c>
    </row>
    <row r="1086" spans="31:31" x14ac:dyDescent="0.25">
      <c r="AE1086">
        <v>18.88</v>
      </c>
    </row>
    <row r="1087" spans="31:31" x14ac:dyDescent="0.25">
      <c r="AE1087">
        <v>55.49</v>
      </c>
    </row>
    <row r="1088" spans="31:31" x14ac:dyDescent="0.25">
      <c r="AE1088">
        <v>96.55</v>
      </c>
    </row>
    <row r="1089" spans="31:31" x14ac:dyDescent="0.25">
      <c r="AE1089">
        <v>29.31</v>
      </c>
    </row>
    <row r="1090" spans="31:31" x14ac:dyDescent="0.25">
      <c r="AE1090">
        <v>0.18</v>
      </c>
    </row>
    <row r="1091" spans="31:31" x14ac:dyDescent="0.25">
      <c r="AE1091">
        <v>32.840000000000003</v>
      </c>
    </row>
    <row r="1092" spans="31:31" x14ac:dyDescent="0.25">
      <c r="AE1092">
        <v>76.39</v>
      </c>
    </row>
    <row r="1093" spans="31:31" x14ac:dyDescent="0.25">
      <c r="AE1093">
        <v>24.46</v>
      </c>
    </row>
    <row r="1094" spans="31:31" x14ac:dyDescent="0.25">
      <c r="AE1094">
        <v>0.27</v>
      </c>
    </row>
    <row r="1095" spans="31:31" x14ac:dyDescent="0.25">
      <c r="AE1095">
        <v>10.39</v>
      </c>
    </row>
    <row r="1096" spans="31:31" x14ac:dyDescent="0.25">
      <c r="AE1096">
        <v>12</v>
      </c>
    </row>
    <row r="1097" spans="31:31" x14ac:dyDescent="0.25">
      <c r="AE1097">
        <v>121.18</v>
      </c>
    </row>
    <row r="1098" spans="31:31" x14ac:dyDescent="0.25">
      <c r="AE1098">
        <v>38.4</v>
      </c>
    </row>
    <row r="1099" spans="31:31" x14ac:dyDescent="0.25">
      <c r="AE1099">
        <v>40.56</v>
      </c>
    </row>
    <row r="1100" spans="31:31" x14ac:dyDescent="0.25">
      <c r="AE1100">
        <v>24.41</v>
      </c>
    </row>
    <row r="1101" spans="31:31" x14ac:dyDescent="0.25">
      <c r="AE1101">
        <v>10.46</v>
      </c>
    </row>
    <row r="1102" spans="31:31" x14ac:dyDescent="0.25">
      <c r="AE1102">
        <v>56.86</v>
      </c>
    </row>
    <row r="1103" spans="31:31" x14ac:dyDescent="0.25">
      <c r="AE1103">
        <v>45.97</v>
      </c>
    </row>
    <row r="1104" spans="31:31" x14ac:dyDescent="0.25">
      <c r="AE1104">
        <v>18.21</v>
      </c>
    </row>
    <row r="1105" spans="31:31" x14ac:dyDescent="0.25">
      <c r="AE1105">
        <v>0.81</v>
      </c>
    </row>
    <row r="1106" spans="31:31" x14ac:dyDescent="0.25">
      <c r="AE1106">
        <v>63.99</v>
      </c>
    </row>
    <row r="1107" spans="31:31" x14ac:dyDescent="0.25">
      <c r="AE1107">
        <v>26.67</v>
      </c>
    </row>
    <row r="1108" spans="31:31" x14ac:dyDescent="0.25">
      <c r="AE1108">
        <v>40.21</v>
      </c>
    </row>
    <row r="1109" spans="31:31" x14ac:dyDescent="0.25">
      <c r="AE1109">
        <v>118.38</v>
      </c>
    </row>
    <row r="1110" spans="31:31" x14ac:dyDescent="0.25">
      <c r="AE1110">
        <v>103.14</v>
      </c>
    </row>
    <row r="1111" spans="31:31" x14ac:dyDescent="0.25">
      <c r="AE1111">
        <v>51.31</v>
      </c>
    </row>
    <row r="1112" spans="31:31" x14ac:dyDescent="0.25">
      <c r="AE1112">
        <v>27.19</v>
      </c>
    </row>
    <row r="1113" spans="31:31" x14ac:dyDescent="0.25">
      <c r="AE1113">
        <v>25.67</v>
      </c>
    </row>
    <row r="1114" spans="31:31" x14ac:dyDescent="0.25">
      <c r="AE1114">
        <v>97.88</v>
      </c>
    </row>
    <row r="1115" spans="31:31" x14ac:dyDescent="0.25">
      <c r="AE1115">
        <v>21.43</v>
      </c>
    </row>
    <row r="1116" spans="31:31" x14ac:dyDescent="0.25">
      <c r="AE1116">
        <v>55.26</v>
      </c>
    </row>
    <row r="1117" spans="31:31" x14ac:dyDescent="0.25">
      <c r="AE1117">
        <v>127.96</v>
      </c>
    </row>
    <row r="1118" spans="31:31" x14ac:dyDescent="0.25">
      <c r="AE1118">
        <v>150.97999999999999</v>
      </c>
    </row>
    <row r="1119" spans="31:31" x14ac:dyDescent="0.25">
      <c r="AE1119">
        <v>125.7</v>
      </c>
    </row>
    <row r="1120" spans="31:31" x14ac:dyDescent="0.25">
      <c r="AE1120">
        <v>152.54</v>
      </c>
    </row>
    <row r="1121" spans="31:31" x14ac:dyDescent="0.25">
      <c r="AE1121">
        <v>68.28</v>
      </c>
    </row>
    <row r="1122" spans="31:31" x14ac:dyDescent="0.25">
      <c r="AE1122">
        <v>85.67</v>
      </c>
    </row>
    <row r="1123" spans="31:31" x14ac:dyDescent="0.25">
      <c r="AE1123">
        <v>17.96</v>
      </c>
    </row>
    <row r="1124" spans="31:31" x14ac:dyDescent="0.25">
      <c r="AE1124">
        <v>39.369999999999997</v>
      </c>
    </row>
    <row r="1125" spans="31:31" x14ac:dyDescent="0.25">
      <c r="AE1125">
        <v>34.67</v>
      </c>
    </row>
    <row r="1126" spans="31:31" x14ac:dyDescent="0.25">
      <c r="AE1126">
        <v>94.77</v>
      </c>
    </row>
    <row r="1127" spans="31:31" x14ac:dyDescent="0.25">
      <c r="AE1127">
        <v>24.66</v>
      </c>
    </row>
    <row r="1128" spans="31:31" x14ac:dyDescent="0.25">
      <c r="AE1128">
        <v>10.59</v>
      </c>
    </row>
    <row r="1129" spans="31:31" x14ac:dyDescent="0.25">
      <c r="AE1129">
        <v>42.48</v>
      </c>
    </row>
    <row r="1130" spans="31:31" x14ac:dyDescent="0.25">
      <c r="AE1130">
        <v>23.34</v>
      </c>
    </row>
    <row r="1131" spans="31:31" x14ac:dyDescent="0.25">
      <c r="AE1131">
        <v>36.56</v>
      </c>
    </row>
    <row r="1132" spans="31:31" x14ac:dyDescent="0.25">
      <c r="AE1132">
        <v>100.7</v>
      </c>
    </row>
    <row r="1133" spans="31:31" x14ac:dyDescent="0.25">
      <c r="AE1133">
        <v>63.86</v>
      </c>
    </row>
    <row r="1134" spans="31:31" x14ac:dyDescent="0.25">
      <c r="AE1134">
        <v>25.09</v>
      </c>
    </row>
    <row r="1135" spans="31:31" x14ac:dyDescent="0.25">
      <c r="AE1135">
        <v>21.39</v>
      </c>
    </row>
    <row r="1136" spans="31:31" x14ac:dyDescent="0.25">
      <c r="AE1136">
        <v>70.27</v>
      </c>
    </row>
    <row r="1137" spans="31:31" x14ac:dyDescent="0.25">
      <c r="AE1137">
        <v>14.21</v>
      </c>
    </row>
    <row r="1138" spans="31:31" x14ac:dyDescent="0.25">
      <c r="AE1138">
        <v>8.5500000000000007</v>
      </c>
    </row>
    <row r="1139" spans="31:31" x14ac:dyDescent="0.25">
      <c r="AE1139">
        <v>18.329999999999998</v>
      </c>
    </row>
    <row r="1140" spans="31:31" x14ac:dyDescent="0.25">
      <c r="AE1140">
        <v>11.79</v>
      </c>
    </row>
    <row r="1141" spans="31:31" x14ac:dyDescent="0.25">
      <c r="AE1141">
        <v>54.34</v>
      </c>
    </row>
    <row r="1142" spans="31:31" x14ac:dyDescent="0.25">
      <c r="AE1142">
        <v>104.94</v>
      </c>
    </row>
    <row r="1143" spans="31:31" x14ac:dyDescent="0.25">
      <c r="AE1143">
        <v>12.46</v>
      </c>
    </row>
    <row r="1144" spans="31:31" x14ac:dyDescent="0.25">
      <c r="AE1144">
        <v>20.97</v>
      </c>
    </row>
    <row r="1145" spans="31:31" x14ac:dyDescent="0.25">
      <c r="AE1145">
        <v>10.39</v>
      </c>
    </row>
    <row r="1146" spans="31:31" x14ac:dyDescent="0.25">
      <c r="AE1146">
        <v>43.75</v>
      </c>
    </row>
    <row r="1147" spans="31:31" x14ac:dyDescent="0.25">
      <c r="AE1147">
        <v>22.6</v>
      </c>
    </row>
    <row r="1148" spans="31:31" x14ac:dyDescent="0.25">
      <c r="AE1148">
        <v>151.49</v>
      </c>
    </row>
    <row r="1149" spans="31:31" x14ac:dyDescent="0.25">
      <c r="AE1149">
        <v>10.76</v>
      </c>
    </row>
    <row r="1150" spans="31:31" x14ac:dyDescent="0.25">
      <c r="AE1150">
        <v>9.07</v>
      </c>
    </row>
    <row r="1151" spans="31:31" x14ac:dyDescent="0.25">
      <c r="AE1151">
        <v>26.44</v>
      </c>
    </row>
    <row r="1152" spans="31:31" x14ac:dyDescent="0.25">
      <c r="AE1152">
        <v>109.54</v>
      </c>
    </row>
    <row r="1153" spans="31:31" x14ac:dyDescent="0.25">
      <c r="AE1153">
        <v>0.18</v>
      </c>
    </row>
    <row r="1154" spans="31:31" x14ac:dyDescent="0.25">
      <c r="AE1154">
        <v>19.760000000000002</v>
      </c>
    </row>
    <row r="1155" spans="31:31" x14ac:dyDescent="0.25">
      <c r="AE1155">
        <v>43.72</v>
      </c>
    </row>
    <row r="1156" spans="31:31" x14ac:dyDescent="0.25">
      <c r="AE1156">
        <v>87.16</v>
      </c>
    </row>
    <row r="1157" spans="31:31" x14ac:dyDescent="0.25">
      <c r="AE1157">
        <v>79.75</v>
      </c>
    </row>
    <row r="1158" spans="31:31" x14ac:dyDescent="0.25">
      <c r="AE1158">
        <v>30.96</v>
      </c>
    </row>
    <row r="1159" spans="31:31" x14ac:dyDescent="0.25">
      <c r="AE1159">
        <v>24.36</v>
      </c>
    </row>
    <row r="1160" spans="31:31" x14ac:dyDescent="0.25">
      <c r="AE1160">
        <v>107.94</v>
      </c>
    </row>
    <row r="1161" spans="31:31" x14ac:dyDescent="0.25">
      <c r="AE1161">
        <v>27.51</v>
      </c>
    </row>
    <row r="1162" spans="31:31" x14ac:dyDescent="0.25">
      <c r="AE1162">
        <v>35.590000000000003</v>
      </c>
    </row>
    <row r="1163" spans="31:31" x14ac:dyDescent="0.25">
      <c r="AE1163">
        <v>43.45</v>
      </c>
    </row>
    <row r="1164" spans="31:31" x14ac:dyDescent="0.25">
      <c r="AE1164">
        <v>34.799999999999997</v>
      </c>
    </row>
    <row r="1165" spans="31:31" x14ac:dyDescent="0.25">
      <c r="AE1165">
        <v>157.37</v>
      </c>
    </row>
    <row r="1166" spans="31:31" x14ac:dyDescent="0.25">
      <c r="AE1166">
        <v>37.82</v>
      </c>
    </row>
    <row r="1167" spans="31:31" x14ac:dyDescent="0.25">
      <c r="AE1167">
        <v>16.78</v>
      </c>
    </row>
    <row r="1168" spans="31:31" x14ac:dyDescent="0.25">
      <c r="AE1168">
        <v>20.03</v>
      </c>
    </row>
    <row r="1169" spans="31:31" x14ac:dyDescent="0.25">
      <c r="AE1169">
        <v>18.670000000000002</v>
      </c>
    </row>
    <row r="1170" spans="31:31" x14ac:dyDescent="0.25">
      <c r="AE1170">
        <v>36.130000000000003</v>
      </c>
    </row>
    <row r="1171" spans="31:31" x14ac:dyDescent="0.25">
      <c r="AE1171">
        <v>44.85</v>
      </c>
    </row>
    <row r="1172" spans="31:31" x14ac:dyDescent="0.25">
      <c r="AE1172">
        <v>2.87</v>
      </c>
    </row>
    <row r="1173" spans="31:31" x14ac:dyDescent="0.25">
      <c r="AE1173">
        <v>0.92</v>
      </c>
    </row>
    <row r="1174" spans="31:31" x14ac:dyDescent="0.25">
      <c r="AE1174">
        <v>43.42</v>
      </c>
    </row>
    <row r="1175" spans="31:31" x14ac:dyDescent="0.25">
      <c r="AE1175">
        <v>42.1</v>
      </c>
    </row>
    <row r="1176" spans="31:31" x14ac:dyDescent="0.25">
      <c r="AE1176">
        <v>44.17</v>
      </c>
    </row>
    <row r="1177" spans="31:31" x14ac:dyDescent="0.25">
      <c r="AE1177">
        <v>15.69</v>
      </c>
    </row>
    <row r="1178" spans="31:31" x14ac:dyDescent="0.25">
      <c r="AE1178">
        <v>37.86</v>
      </c>
    </row>
    <row r="1179" spans="31:31" x14ac:dyDescent="0.25">
      <c r="AE1179">
        <v>40.5</v>
      </c>
    </row>
    <row r="1180" spans="31:31" x14ac:dyDescent="0.25">
      <c r="AE1180">
        <v>186.96</v>
      </c>
    </row>
    <row r="1181" spans="31:31" x14ac:dyDescent="0.25">
      <c r="AE1181">
        <v>7.26</v>
      </c>
    </row>
    <row r="1182" spans="31:31" x14ac:dyDescent="0.25">
      <c r="AE1182">
        <v>100.22</v>
      </c>
    </row>
    <row r="1183" spans="31:31" x14ac:dyDescent="0.25">
      <c r="AE1183">
        <v>47.26</v>
      </c>
    </row>
    <row r="1184" spans="31:31" x14ac:dyDescent="0.25">
      <c r="AE1184">
        <v>184.56</v>
      </c>
    </row>
    <row r="1185" spans="31:31" x14ac:dyDescent="0.25">
      <c r="AE1185">
        <v>12.37</v>
      </c>
    </row>
    <row r="1186" spans="31:31" x14ac:dyDescent="0.25">
      <c r="AE1186">
        <v>39.01</v>
      </c>
    </row>
    <row r="1187" spans="31:31" x14ac:dyDescent="0.25">
      <c r="AE1187">
        <v>34.18</v>
      </c>
    </row>
    <row r="1188" spans="31:31" x14ac:dyDescent="0.25">
      <c r="AE1188">
        <v>21.64</v>
      </c>
    </row>
    <row r="1189" spans="31:31" x14ac:dyDescent="0.25">
      <c r="AE1189">
        <v>94.86</v>
      </c>
    </row>
    <row r="1190" spans="31:31" x14ac:dyDescent="0.25">
      <c r="AE1190">
        <v>36</v>
      </c>
    </row>
    <row r="1191" spans="31:31" x14ac:dyDescent="0.25">
      <c r="AE1191">
        <v>62.11</v>
      </c>
    </row>
    <row r="1192" spans="31:31" x14ac:dyDescent="0.25">
      <c r="AE1192">
        <v>24.42</v>
      </c>
    </row>
    <row r="1193" spans="31:31" x14ac:dyDescent="0.25">
      <c r="AE1193">
        <v>25.56</v>
      </c>
    </row>
    <row r="1194" spans="31:31" x14ac:dyDescent="0.25">
      <c r="AE1194">
        <v>84</v>
      </c>
    </row>
    <row r="1195" spans="31:31" x14ac:dyDescent="0.25">
      <c r="AE1195">
        <v>102.43</v>
      </c>
    </row>
    <row r="1196" spans="31:31" x14ac:dyDescent="0.25">
      <c r="AE1196">
        <v>91.36</v>
      </c>
    </row>
    <row r="1197" spans="31:31" x14ac:dyDescent="0.25">
      <c r="AE1197">
        <v>59.03</v>
      </c>
    </row>
    <row r="1198" spans="31:31" x14ac:dyDescent="0.25">
      <c r="AE1198">
        <v>77.709999999999994</v>
      </c>
    </row>
    <row r="1199" spans="31:31" x14ac:dyDescent="0.25">
      <c r="AE1199">
        <v>10.44</v>
      </c>
    </row>
    <row r="1200" spans="31:31" x14ac:dyDescent="0.25">
      <c r="AE1200">
        <v>32.18</v>
      </c>
    </row>
    <row r="1201" spans="31:31" x14ac:dyDescent="0.25">
      <c r="AE1201">
        <v>72.19</v>
      </c>
    </row>
    <row r="1202" spans="31:31" x14ac:dyDescent="0.25">
      <c r="AE1202">
        <v>29.34</v>
      </c>
    </row>
    <row r="1203" spans="31:31" x14ac:dyDescent="0.25">
      <c r="AE1203">
        <v>25.05</v>
      </c>
    </row>
    <row r="1204" spans="31:31" x14ac:dyDescent="0.25">
      <c r="AE1204">
        <v>11.57</v>
      </c>
    </row>
    <row r="1205" spans="31:31" x14ac:dyDescent="0.25">
      <c r="AE1205">
        <v>67.599999999999994</v>
      </c>
    </row>
    <row r="1206" spans="31:31" x14ac:dyDescent="0.25">
      <c r="AE1206">
        <v>13.14</v>
      </c>
    </row>
    <row r="1207" spans="31:31" x14ac:dyDescent="0.25">
      <c r="AE1207">
        <v>25.43</v>
      </c>
    </row>
    <row r="1208" spans="31:31" x14ac:dyDescent="0.25">
      <c r="AE1208">
        <v>30.72</v>
      </c>
    </row>
    <row r="1209" spans="31:31" x14ac:dyDescent="0.25">
      <c r="AE1209">
        <v>76.61</v>
      </c>
    </row>
    <row r="1210" spans="31:31" x14ac:dyDescent="0.25">
      <c r="AE1210">
        <v>16.52</v>
      </c>
    </row>
    <row r="1211" spans="31:31" x14ac:dyDescent="0.25">
      <c r="AE1211">
        <v>28.16</v>
      </c>
    </row>
    <row r="1212" spans="31:31" x14ac:dyDescent="0.25">
      <c r="AE1212">
        <v>74.59</v>
      </c>
    </row>
    <row r="1213" spans="31:31" x14ac:dyDescent="0.25">
      <c r="AE1213">
        <v>0.9</v>
      </c>
    </row>
    <row r="1214" spans="31:31" x14ac:dyDescent="0.25">
      <c r="AE1214">
        <v>94.27</v>
      </c>
    </row>
    <row r="1215" spans="31:31" x14ac:dyDescent="0.25">
      <c r="AE1215">
        <v>115.57</v>
      </c>
    </row>
    <row r="1216" spans="31:31" x14ac:dyDescent="0.25">
      <c r="AE1216">
        <v>153.84</v>
      </c>
    </row>
    <row r="1217" spans="31:31" x14ac:dyDescent="0.25">
      <c r="AE1217">
        <v>217.43</v>
      </c>
    </row>
    <row r="1218" spans="31:31" x14ac:dyDescent="0.25">
      <c r="AE1218">
        <v>0.36</v>
      </c>
    </row>
    <row r="1219" spans="31:31" x14ac:dyDescent="0.25">
      <c r="AE1219">
        <v>105.21</v>
      </c>
    </row>
    <row r="1220" spans="31:31" x14ac:dyDescent="0.25">
      <c r="AE1220">
        <v>51.15</v>
      </c>
    </row>
    <row r="1221" spans="31:31" x14ac:dyDescent="0.25">
      <c r="AE1221">
        <v>10.44</v>
      </c>
    </row>
    <row r="1222" spans="31:31" x14ac:dyDescent="0.25">
      <c r="AE1222">
        <v>13.42</v>
      </c>
    </row>
    <row r="1223" spans="31:31" x14ac:dyDescent="0.25">
      <c r="AE1223">
        <v>0.81</v>
      </c>
    </row>
    <row r="1224" spans="31:31" x14ac:dyDescent="0.25">
      <c r="AE1224">
        <v>19.66</v>
      </c>
    </row>
    <row r="1225" spans="31:31" x14ac:dyDescent="0.25">
      <c r="AE1225">
        <v>29.95</v>
      </c>
    </row>
    <row r="1226" spans="31:31" x14ac:dyDescent="0.25">
      <c r="AE1226">
        <v>30.15</v>
      </c>
    </row>
    <row r="1227" spans="31:31" x14ac:dyDescent="0.25">
      <c r="AE1227">
        <v>41.93</v>
      </c>
    </row>
    <row r="1228" spans="31:31" x14ac:dyDescent="0.25">
      <c r="AE1228">
        <v>49.74</v>
      </c>
    </row>
    <row r="1229" spans="31:31" x14ac:dyDescent="0.25">
      <c r="AE1229">
        <v>47.4</v>
      </c>
    </row>
    <row r="1230" spans="31:31" x14ac:dyDescent="0.25">
      <c r="AE1230">
        <v>33.24</v>
      </c>
    </row>
    <row r="1231" spans="31:31" x14ac:dyDescent="0.25">
      <c r="AE1231">
        <v>18.23</v>
      </c>
    </row>
    <row r="1232" spans="31:31" x14ac:dyDescent="0.25">
      <c r="AE1232">
        <v>97.43</v>
      </c>
    </row>
    <row r="1233" spans="31:31" x14ac:dyDescent="0.25">
      <c r="AE1233">
        <v>10.24</v>
      </c>
    </row>
    <row r="1234" spans="31:31" x14ac:dyDescent="0.25">
      <c r="AE1234">
        <v>12.56</v>
      </c>
    </row>
    <row r="1235" spans="31:31" x14ac:dyDescent="0.25">
      <c r="AE1235">
        <v>34.68</v>
      </c>
    </row>
    <row r="1236" spans="31:31" x14ac:dyDescent="0.25">
      <c r="AE1236">
        <v>11.19</v>
      </c>
    </row>
    <row r="1237" spans="31:31" x14ac:dyDescent="0.25">
      <c r="AE1237">
        <v>0.09</v>
      </c>
    </row>
    <row r="1238" spans="31:31" x14ac:dyDescent="0.25">
      <c r="AE1238">
        <v>38.46</v>
      </c>
    </row>
    <row r="1239" spans="31:31" x14ac:dyDescent="0.25">
      <c r="AE1239">
        <v>10.89</v>
      </c>
    </row>
    <row r="1240" spans="31:31" x14ac:dyDescent="0.25">
      <c r="AE1240">
        <v>81.599999999999994</v>
      </c>
    </row>
    <row r="1241" spans="31:31" x14ac:dyDescent="0.25">
      <c r="AE1241">
        <v>26.01</v>
      </c>
    </row>
    <row r="1242" spans="31:31" x14ac:dyDescent="0.25">
      <c r="AE1242">
        <v>303.27</v>
      </c>
    </row>
    <row r="1243" spans="31:31" x14ac:dyDescent="0.25">
      <c r="AE1243">
        <v>39.21</v>
      </c>
    </row>
    <row r="1244" spans="31:31" x14ac:dyDescent="0.25">
      <c r="AE1244">
        <v>81.349999999999994</v>
      </c>
    </row>
    <row r="1245" spans="31:31" x14ac:dyDescent="0.25">
      <c r="AE1245">
        <v>59.59</v>
      </c>
    </row>
    <row r="1246" spans="31:31" x14ac:dyDescent="0.25">
      <c r="AE1246">
        <v>10.37</v>
      </c>
    </row>
    <row r="1247" spans="31:31" x14ac:dyDescent="0.25">
      <c r="AE1247">
        <v>120.65</v>
      </c>
    </row>
    <row r="1248" spans="31:31" x14ac:dyDescent="0.25">
      <c r="AE1248">
        <v>104.57</v>
      </c>
    </row>
    <row r="1249" spans="31:31" x14ac:dyDescent="0.25">
      <c r="AE1249">
        <v>15.82</v>
      </c>
    </row>
    <row r="1250" spans="31:31" x14ac:dyDescent="0.25">
      <c r="AE1250">
        <v>38.74</v>
      </c>
    </row>
    <row r="1251" spans="31:31" x14ac:dyDescent="0.25">
      <c r="AE1251">
        <v>15.44</v>
      </c>
    </row>
    <row r="1252" spans="31:31" x14ac:dyDescent="0.25">
      <c r="AE1252">
        <v>135.21</v>
      </c>
    </row>
    <row r="1253" spans="31:31" x14ac:dyDescent="0.25">
      <c r="AE1253">
        <v>0.18</v>
      </c>
    </row>
    <row r="1254" spans="31:31" x14ac:dyDescent="0.25">
      <c r="AE1254">
        <v>19.13</v>
      </c>
    </row>
    <row r="1255" spans="31:31" x14ac:dyDescent="0.25">
      <c r="AE1255">
        <v>40.49</v>
      </c>
    </row>
    <row r="1256" spans="31:31" x14ac:dyDescent="0.25">
      <c r="AE1256">
        <v>57.21</v>
      </c>
    </row>
    <row r="1257" spans="31:31" x14ac:dyDescent="0.25">
      <c r="AE1257">
        <v>0.09</v>
      </c>
    </row>
    <row r="1258" spans="31:31" x14ac:dyDescent="0.25">
      <c r="AE1258">
        <v>17.010000000000002</v>
      </c>
    </row>
    <row r="1259" spans="31:31" x14ac:dyDescent="0.25">
      <c r="AE1259">
        <v>20.48</v>
      </c>
    </row>
    <row r="1260" spans="31:31" x14ac:dyDescent="0.25">
      <c r="AE1260">
        <v>39.82</v>
      </c>
    </row>
    <row r="1261" spans="31:31" x14ac:dyDescent="0.25">
      <c r="AE1261">
        <v>77.930000000000007</v>
      </c>
    </row>
    <row r="1262" spans="31:31" x14ac:dyDescent="0.25">
      <c r="AE1262">
        <v>58.47</v>
      </c>
    </row>
    <row r="1263" spans="31:31" x14ac:dyDescent="0.25">
      <c r="AE1263">
        <v>90.67</v>
      </c>
    </row>
    <row r="1264" spans="31:31" x14ac:dyDescent="0.25">
      <c r="AE1264">
        <v>17.64</v>
      </c>
    </row>
    <row r="1265" spans="31:31" x14ac:dyDescent="0.25">
      <c r="AE1265">
        <v>17.88</v>
      </c>
    </row>
    <row r="1266" spans="31:31" x14ac:dyDescent="0.25">
      <c r="AE1266">
        <v>243.31</v>
      </c>
    </row>
    <row r="1267" spans="31:31" x14ac:dyDescent="0.25">
      <c r="AE1267">
        <v>10.24</v>
      </c>
    </row>
    <row r="1268" spans="31:31" x14ac:dyDescent="0.25">
      <c r="AE1268">
        <v>33.14</v>
      </c>
    </row>
    <row r="1269" spans="31:31" x14ac:dyDescent="0.25">
      <c r="AE1269">
        <v>0.36</v>
      </c>
    </row>
    <row r="1270" spans="31:31" x14ac:dyDescent="0.25">
      <c r="AE1270">
        <v>59.09</v>
      </c>
    </row>
    <row r="1271" spans="31:31" x14ac:dyDescent="0.25">
      <c r="AE1271">
        <v>14.33</v>
      </c>
    </row>
    <row r="1272" spans="31:31" x14ac:dyDescent="0.25">
      <c r="AE1272">
        <v>50.28</v>
      </c>
    </row>
    <row r="1273" spans="31:31" x14ac:dyDescent="0.25">
      <c r="AE1273">
        <v>109.01</v>
      </c>
    </row>
    <row r="1274" spans="31:31" x14ac:dyDescent="0.25">
      <c r="AE1274">
        <v>59.84</v>
      </c>
    </row>
    <row r="1275" spans="31:31" x14ac:dyDescent="0.25">
      <c r="AE1275">
        <v>58.23</v>
      </c>
    </row>
    <row r="1276" spans="31:31" x14ac:dyDescent="0.25">
      <c r="AE1276">
        <v>23.05</v>
      </c>
    </row>
    <row r="1277" spans="31:31" x14ac:dyDescent="0.25">
      <c r="AE1277">
        <v>93.08</v>
      </c>
    </row>
    <row r="1278" spans="31:31" x14ac:dyDescent="0.25">
      <c r="AE1278">
        <v>29.44</v>
      </c>
    </row>
    <row r="1279" spans="31:31" x14ac:dyDescent="0.25">
      <c r="AE1279">
        <v>41.98</v>
      </c>
    </row>
    <row r="1280" spans="31:31" x14ac:dyDescent="0.25">
      <c r="AE1280">
        <v>59.74</v>
      </c>
    </row>
    <row r="1281" spans="31:31" x14ac:dyDescent="0.25">
      <c r="AE1281">
        <v>0.27</v>
      </c>
    </row>
    <row r="1282" spans="31:31" x14ac:dyDescent="0.25">
      <c r="AE1282">
        <v>135.01</v>
      </c>
    </row>
    <row r="1283" spans="31:31" x14ac:dyDescent="0.25">
      <c r="AE1283">
        <v>0.99</v>
      </c>
    </row>
    <row r="1284" spans="31:31" x14ac:dyDescent="0.25">
      <c r="AE1284">
        <v>20.07</v>
      </c>
    </row>
    <row r="1285" spans="31:31" x14ac:dyDescent="0.25">
      <c r="AE1285">
        <v>58.57</v>
      </c>
    </row>
    <row r="1286" spans="31:31" x14ac:dyDescent="0.25">
      <c r="AE1286">
        <v>25.89</v>
      </c>
    </row>
    <row r="1287" spans="31:31" x14ac:dyDescent="0.25">
      <c r="AE1287">
        <v>192.48</v>
      </c>
    </row>
    <row r="1288" spans="31:31" x14ac:dyDescent="0.25">
      <c r="AE1288">
        <v>54.29</v>
      </c>
    </row>
    <row r="1289" spans="31:31" x14ac:dyDescent="0.25">
      <c r="AE1289">
        <v>0.15</v>
      </c>
    </row>
    <row r="1290" spans="31:31" x14ac:dyDescent="0.25">
      <c r="AE1290">
        <v>35.67</v>
      </c>
    </row>
    <row r="1291" spans="31:31" x14ac:dyDescent="0.25">
      <c r="AE1291">
        <v>69.540000000000006</v>
      </c>
    </row>
    <row r="1292" spans="31:31" x14ac:dyDescent="0.25">
      <c r="AE1292">
        <v>19.05</v>
      </c>
    </row>
    <row r="1293" spans="31:31" x14ac:dyDescent="0.25">
      <c r="AE1293">
        <v>10.14</v>
      </c>
    </row>
    <row r="1294" spans="31:31" x14ac:dyDescent="0.25">
      <c r="AE1294">
        <v>73.55</v>
      </c>
    </row>
    <row r="1295" spans="31:31" x14ac:dyDescent="0.25">
      <c r="AE1295">
        <v>51.24</v>
      </c>
    </row>
    <row r="1296" spans="31:31" x14ac:dyDescent="0.25">
      <c r="AE1296">
        <v>64.510000000000005</v>
      </c>
    </row>
    <row r="1297" spans="31:31" x14ac:dyDescent="0.25">
      <c r="AE1297">
        <v>10.039999999999999</v>
      </c>
    </row>
    <row r="1298" spans="31:31" x14ac:dyDescent="0.25">
      <c r="AE1298">
        <v>12.19</v>
      </c>
    </row>
    <row r="1299" spans="31:31" x14ac:dyDescent="0.25">
      <c r="AE1299">
        <v>43.44</v>
      </c>
    </row>
    <row r="1300" spans="31:31" x14ac:dyDescent="0.25">
      <c r="AE1300">
        <v>0.27</v>
      </c>
    </row>
    <row r="1301" spans="31:31" x14ac:dyDescent="0.25">
      <c r="AE1301">
        <v>58.32</v>
      </c>
    </row>
    <row r="1302" spans="31:31" x14ac:dyDescent="0.25">
      <c r="AE1302">
        <v>32.880000000000003</v>
      </c>
    </row>
    <row r="1303" spans="31:31" x14ac:dyDescent="0.25">
      <c r="AE1303">
        <v>84.05</v>
      </c>
    </row>
    <row r="1304" spans="31:31" x14ac:dyDescent="0.25">
      <c r="AE1304">
        <v>66.55</v>
      </c>
    </row>
    <row r="1305" spans="31:31" x14ac:dyDescent="0.25">
      <c r="AE1305">
        <v>19.79</v>
      </c>
    </row>
    <row r="1306" spans="31:31" x14ac:dyDescent="0.25">
      <c r="AE1306">
        <v>86.98</v>
      </c>
    </row>
    <row r="1307" spans="31:31" x14ac:dyDescent="0.25">
      <c r="AE1307">
        <v>10.34</v>
      </c>
    </row>
    <row r="1308" spans="31:31" x14ac:dyDescent="0.25">
      <c r="AE1308">
        <v>30.8</v>
      </c>
    </row>
    <row r="1309" spans="31:31" x14ac:dyDescent="0.25">
      <c r="AE1309">
        <v>41.66</v>
      </c>
    </row>
    <row r="1310" spans="31:31" x14ac:dyDescent="0.25">
      <c r="AE1310">
        <v>98.21</v>
      </c>
    </row>
    <row r="1311" spans="31:31" x14ac:dyDescent="0.25">
      <c r="AE1311">
        <v>110.26</v>
      </c>
    </row>
    <row r="1312" spans="31:31" x14ac:dyDescent="0.25">
      <c r="AE1312">
        <v>26.79</v>
      </c>
    </row>
    <row r="1313" spans="31:31" x14ac:dyDescent="0.25">
      <c r="AE1313">
        <v>18.09</v>
      </c>
    </row>
    <row r="1314" spans="31:31" x14ac:dyDescent="0.25">
      <c r="AE1314">
        <v>68.3</v>
      </c>
    </row>
    <row r="1315" spans="31:31" x14ac:dyDescent="0.25">
      <c r="AE1315">
        <v>134.47</v>
      </c>
    </row>
    <row r="1316" spans="31:31" x14ac:dyDescent="0.25">
      <c r="AE1316">
        <v>77.69</v>
      </c>
    </row>
    <row r="1317" spans="31:31" x14ac:dyDescent="0.25">
      <c r="AE1317">
        <v>8.0500000000000007</v>
      </c>
    </row>
    <row r="1318" spans="31:31" x14ac:dyDescent="0.25">
      <c r="AE1318">
        <v>81.23</v>
      </c>
    </row>
    <row r="1319" spans="31:31" x14ac:dyDescent="0.25">
      <c r="AE1319">
        <v>9.4600000000000009</v>
      </c>
    </row>
    <row r="1320" spans="31:31" x14ac:dyDescent="0.25">
      <c r="AE1320">
        <v>140.19999999999999</v>
      </c>
    </row>
    <row r="1321" spans="31:31" x14ac:dyDescent="0.25">
      <c r="AE1321">
        <v>95.39</v>
      </c>
    </row>
    <row r="1322" spans="31:31" x14ac:dyDescent="0.25">
      <c r="AE1322">
        <v>11.89</v>
      </c>
    </row>
    <row r="1323" spans="31:31" x14ac:dyDescent="0.25">
      <c r="AE1323">
        <v>17.98</v>
      </c>
    </row>
    <row r="1324" spans="31:31" x14ac:dyDescent="0.25">
      <c r="AE1324">
        <v>24.11</v>
      </c>
    </row>
    <row r="1325" spans="31:31" x14ac:dyDescent="0.25">
      <c r="AE1325">
        <v>29.27</v>
      </c>
    </row>
    <row r="1326" spans="31:31" x14ac:dyDescent="0.25">
      <c r="AE1326">
        <v>10.34</v>
      </c>
    </row>
    <row r="1327" spans="31:31" x14ac:dyDescent="0.25">
      <c r="AE1327">
        <v>191.41</v>
      </c>
    </row>
    <row r="1328" spans="31:31" x14ac:dyDescent="0.25">
      <c r="AE1328">
        <v>145.49</v>
      </c>
    </row>
    <row r="1329" spans="31:31" x14ac:dyDescent="0.25">
      <c r="AE1329">
        <v>32.36</v>
      </c>
    </row>
    <row r="1330" spans="31:31" x14ac:dyDescent="0.25">
      <c r="AE1330">
        <v>73.540000000000006</v>
      </c>
    </row>
    <row r="1331" spans="31:31" x14ac:dyDescent="0.25">
      <c r="AE1331">
        <v>23.22</v>
      </c>
    </row>
    <row r="1332" spans="31:31" x14ac:dyDescent="0.25">
      <c r="AE1332">
        <v>24.92</v>
      </c>
    </row>
    <row r="1333" spans="31:31" x14ac:dyDescent="0.25">
      <c r="AE1333">
        <v>33.9</v>
      </c>
    </row>
    <row r="1334" spans="31:31" x14ac:dyDescent="0.25">
      <c r="AE1334">
        <v>36.090000000000003</v>
      </c>
    </row>
    <row r="1335" spans="31:31" x14ac:dyDescent="0.25">
      <c r="AE1335">
        <v>65.349999999999994</v>
      </c>
    </row>
    <row r="1336" spans="31:31" x14ac:dyDescent="0.25">
      <c r="AE1336">
        <v>56.21</v>
      </c>
    </row>
    <row r="1337" spans="31:31" x14ac:dyDescent="0.25">
      <c r="AE1337">
        <v>17.010000000000002</v>
      </c>
    </row>
    <row r="1338" spans="31:31" x14ac:dyDescent="0.25">
      <c r="AE1338">
        <v>100.4</v>
      </c>
    </row>
    <row r="1339" spans="31:31" x14ac:dyDescent="0.25">
      <c r="AE1339">
        <v>80.48</v>
      </c>
    </row>
    <row r="1340" spans="31:31" x14ac:dyDescent="0.25">
      <c r="AE1340">
        <v>31.79</v>
      </c>
    </row>
    <row r="1341" spans="31:31" x14ac:dyDescent="0.25">
      <c r="AE1341">
        <v>72.25</v>
      </c>
    </row>
    <row r="1342" spans="31:31" x14ac:dyDescent="0.25">
      <c r="AE1342">
        <v>23.02</v>
      </c>
    </row>
    <row r="1343" spans="31:31" x14ac:dyDescent="0.25">
      <c r="AE1343">
        <v>108.61</v>
      </c>
    </row>
    <row r="1344" spans="31:31" x14ac:dyDescent="0.25">
      <c r="AE1344">
        <v>88.21</v>
      </c>
    </row>
    <row r="1345" spans="31:31" x14ac:dyDescent="0.25">
      <c r="AE1345">
        <v>112.24</v>
      </c>
    </row>
    <row r="1346" spans="31:31" x14ac:dyDescent="0.25">
      <c r="AE1346">
        <v>20.23</v>
      </c>
    </row>
    <row r="1347" spans="31:31" x14ac:dyDescent="0.25">
      <c r="AE1347">
        <v>78.06</v>
      </c>
    </row>
    <row r="1348" spans="31:31" x14ac:dyDescent="0.25">
      <c r="AE1348">
        <v>68.8</v>
      </c>
    </row>
    <row r="1349" spans="31:31" x14ac:dyDescent="0.25">
      <c r="AE1349">
        <v>0.45</v>
      </c>
    </row>
    <row r="1350" spans="31:31" x14ac:dyDescent="0.25">
      <c r="AE1350">
        <v>65.52</v>
      </c>
    </row>
    <row r="1351" spans="31:31" x14ac:dyDescent="0.25">
      <c r="AE1351">
        <v>27.9</v>
      </c>
    </row>
    <row r="1352" spans="31:31" x14ac:dyDescent="0.25">
      <c r="AE1352">
        <v>24.13</v>
      </c>
    </row>
    <row r="1353" spans="31:31" x14ac:dyDescent="0.25">
      <c r="AE1353">
        <v>173.61</v>
      </c>
    </row>
    <row r="1354" spans="31:31" x14ac:dyDescent="0.25">
      <c r="AE1354">
        <v>29.83</v>
      </c>
    </row>
    <row r="1355" spans="31:31" x14ac:dyDescent="0.25">
      <c r="AE1355">
        <v>31.03</v>
      </c>
    </row>
    <row r="1356" spans="31:31" x14ac:dyDescent="0.25">
      <c r="AE1356">
        <v>54.66</v>
      </c>
    </row>
    <row r="1357" spans="31:31" x14ac:dyDescent="0.25">
      <c r="AE1357">
        <v>12.86</v>
      </c>
    </row>
    <row r="1358" spans="31:31" x14ac:dyDescent="0.25">
      <c r="AE1358">
        <v>26.64</v>
      </c>
    </row>
    <row r="1359" spans="31:31" x14ac:dyDescent="0.25">
      <c r="AE1359">
        <v>163.16</v>
      </c>
    </row>
    <row r="1360" spans="31:31" x14ac:dyDescent="0.25">
      <c r="AE1360">
        <v>4.0199999999999996</v>
      </c>
    </row>
    <row r="1361" spans="31:31" x14ac:dyDescent="0.25">
      <c r="AE1361">
        <v>25.13</v>
      </c>
    </row>
    <row r="1362" spans="31:31" x14ac:dyDescent="0.25">
      <c r="AE1362">
        <v>26.5</v>
      </c>
    </row>
    <row r="1363" spans="31:31" x14ac:dyDescent="0.25">
      <c r="AE1363">
        <v>56.27</v>
      </c>
    </row>
    <row r="1364" spans="31:31" x14ac:dyDescent="0.25">
      <c r="AE1364">
        <v>21.92</v>
      </c>
    </row>
    <row r="1365" spans="31:31" x14ac:dyDescent="0.25">
      <c r="AE1365">
        <v>64.89</v>
      </c>
    </row>
    <row r="1366" spans="31:31" x14ac:dyDescent="0.25">
      <c r="AE1366">
        <v>59.62</v>
      </c>
    </row>
    <row r="1367" spans="31:31" x14ac:dyDescent="0.25">
      <c r="AE1367">
        <v>22.25</v>
      </c>
    </row>
    <row r="1368" spans="31:31" x14ac:dyDescent="0.25">
      <c r="AE1368">
        <v>10.19</v>
      </c>
    </row>
    <row r="1369" spans="31:31" x14ac:dyDescent="0.25">
      <c r="AE1369">
        <v>157.88</v>
      </c>
    </row>
    <row r="1370" spans="31:31" x14ac:dyDescent="0.25">
      <c r="AE1370">
        <v>137.05000000000001</v>
      </c>
    </row>
    <row r="1371" spans="31:31" x14ac:dyDescent="0.25">
      <c r="AE1371">
        <v>22.98</v>
      </c>
    </row>
    <row r="1372" spans="31:31" x14ac:dyDescent="0.25">
      <c r="AE1372">
        <v>10.92</v>
      </c>
    </row>
    <row r="1373" spans="31:31" x14ac:dyDescent="0.25">
      <c r="AE1373">
        <v>32.619999999999997</v>
      </c>
    </row>
    <row r="1374" spans="31:31" x14ac:dyDescent="0.25">
      <c r="AE1374">
        <v>12.23</v>
      </c>
    </row>
    <row r="1375" spans="31:31" x14ac:dyDescent="0.25">
      <c r="AE1375">
        <v>180.86</v>
      </c>
    </row>
    <row r="1376" spans="31:31" x14ac:dyDescent="0.25">
      <c r="AE1376">
        <v>22.9</v>
      </c>
    </row>
    <row r="1377" spans="31:31" x14ac:dyDescent="0.25">
      <c r="AE1377">
        <v>25.25</v>
      </c>
    </row>
    <row r="1378" spans="31:31" x14ac:dyDescent="0.25">
      <c r="AE1378">
        <v>13.77</v>
      </c>
    </row>
    <row r="1379" spans="31:31" x14ac:dyDescent="0.25">
      <c r="AE1379">
        <v>12.32</v>
      </c>
    </row>
    <row r="1380" spans="31:31" x14ac:dyDescent="0.25">
      <c r="AE1380">
        <v>120.75</v>
      </c>
    </row>
    <row r="1381" spans="31:31" x14ac:dyDescent="0.25">
      <c r="AE1381">
        <v>7.46</v>
      </c>
    </row>
    <row r="1382" spans="31:31" x14ac:dyDescent="0.25">
      <c r="AE1382">
        <v>95.11</v>
      </c>
    </row>
    <row r="1383" spans="31:31" x14ac:dyDescent="0.25">
      <c r="AE1383">
        <v>203.07</v>
      </c>
    </row>
    <row r="1384" spans="31:31" x14ac:dyDescent="0.25">
      <c r="AE1384">
        <v>39.69</v>
      </c>
    </row>
    <row r="1385" spans="31:31" x14ac:dyDescent="0.25">
      <c r="AE1385">
        <v>110.01</v>
      </c>
    </row>
    <row r="1386" spans="31:31" x14ac:dyDescent="0.25">
      <c r="AE1386">
        <v>18.57</v>
      </c>
    </row>
    <row r="1387" spans="31:31" x14ac:dyDescent="0.25">
      <c r="AE1387">
        <v>90.93</v>
      </c>
    </row>
    <row r="1388" spans="31:31" x14ac:dyDescent="0.25">
      <c r="AE1388">
        <v>15.65</v>
      </c>
    </row>
    <row r="1389" spans="31:31" x14ac:dyDescent="0.25">
      <c r="AE1389">
        <v>18.399999999999999</v>
      </c>
    </row>
    <row r="1390" spans="31:31" x14ac:dyDescent="0.25">
      <c r="AE1390">
        <v>119.3</v>
      </c>
    </row>
    <row r="1391" spans="31:31" x14ac:dyDescent="0.25">
      <c r="AE1391">
        <v>41.96</v>
      </c>
    </row>
    <row r="1392" spans="31:31" x14ac:dyDescent="0.25">
      <c r="AE1392">
        <v>26.98</v>
      </c>
    </row>
    <row r="1393" spans="31:31" x14ac:dyDescent="0.25">
      <c r="AE1393">
        <v>62.26</v>
      </c>
    </row>
    <row r="1394" spans="31:31" x14ac:dyDescent="0.25">
      <c r="AE1394">
        <v>31.86</v>
      </c>
    </row>
    <row r="1395" spans="31:31" x14ac:dyDescent="0.25">
      <c r="AE1395">
        <v>13.46</v>
      </c>
    </row>
    <row r="1396" spans="31:31" x14ac:dyDescent="0.25">
      <c r="AE1396">
        <v>109.01</v>
      </c>
    </row>
    <row r="1397" spans="31:31" x14ac:dyDescent="0.25">
      <c r="AE1397">
        <v>16.18</v>
      </c>
    </row>
    <row r="1398" spans="31:31" x14ac:dyDescent="0.25">
      <c r="AE1398">
        <v>54.26</v>
      </c>
    </row>
    <row r="1399" spans="31:31" x14ac:dyDescent="0.25">
      <c r="AE1399">
        <v>50.68</v>
      </c>
    </row>
    <row r="1400" spans="31:31" x14ac:dyDescent="0.25">
      <c r="AE1400">
        <v>66.430000000000007</v>
      </c>
    </row>
    <row r="1401" spans="31:31" x14ac:dyDescent="0.25">
      <c r="AE1401">
        <v>27.91</v>
      </c>
    </row>
    <row r="1402" spans="31:31" x14ac:dyDescent="0.25">
      <c r="AE1402">
        <v>109.31</v>
      </c>
    </row>
    <row r="1403" spans="31:31" x14ac:dyDescent="0.25">
      <c r="AE1403">
        <v>27.91</v>
      </c>
    </row>
    <row r="1404" spans="31:31" x14ac:dyDescent="0.25">
      <c r="AE1404">
        <v>30.45</v>
      </c>
    </row>
    <row r="1405" spans="31:31" x14ac:dyDescent="0.25">
      <c r="AE1405">
        <v>23.06</v>
      </c>
    </row>
    <row r="1406" spans="31:31" x14ac:dyDescent="0.25">
      <c r="AE1406">
        <v>40.409999999999997</v>
      </c>
    </row>
    <row r="1407" spans="31:31" x14ac:dyDescent="0.25">
      <c r="AE1407">
        <v>10.97</v>
      </c>
    </row>
    <row r="1408" spans="31:31" x14ac:dyDescent="0.25">
      <c r="AE1408">
        <v>37.85</v>
      </c>
    </row>
    <row r="1409" spans="31:31" x14ac:dyDescent="0.25">
      <c r="AE1409">
        <v>55.8</v>
      </c>
    </row>
    <row r="1410" spans="31:31" x14ac:dyDescent="0.25">
      <c r="AE1410">
        <v>50.73</v>
      </c>
    </row>
    <row r="1411" spans="31:31" x14ac:dyDescent="0.25">
      <c r="AE1411">
        <v>12.15</v>
      </c>
    </row>
    <row r="1412" spans="31:31" x14ac:dyDescent="0.25">
      <c r="AE1412">
        <v>45.33</v>
      </c>
    </row>
    <row r="1413" spans="31:31" x14ac:dyDescent="0.25">
      <c r="AE1413">
        <v>22.03</v>
      </c>
    </row>
    <row r="1414" spans="31:31" x14ac:dyDescent="0.25">
      <c r="AE1414">
        <v>16.440000000000001</v>
      </c>
    </row>
    <row r="1415" spans="31:31" x14ac:dyDescent="0.25">
      <c r="AE1415">
        <v>23.67</v>
      </c>
    </row>
    <row r="1416" spans="31:31" x14ac:dyDescent="0.25">
      <c r="AE1416">
        <v>14.06</v>
      </c>
    </row>
    <row r="1417" spans="31:31" x14ac:dyDescent="0.25">
      <c r="AE1417">
        <v>82.82</v>
      </c>
    </row>
    <row r="1418" spans="31:31" x14ac:dyDescent="0.25">
      <c r="AE1418">
        <v>21</v>
      </c>
    </row>
    <row r="1419" spans="31:31" x14ac:dyDescent="0.25">
      <c r="AE1419">
        <v>10.039999999999999</v>
      </c>
    </row>
    <row r="1420" spans="31:31" x14ac:dyDescent="0.25">
      <c r="AE1420">
        <v>19.100000000000001</v>
      </c>
    </row>
    <row r="1421" spans="31:31" x14ac:dyDescent="0.25">
      <c r="AE1421">
        <v>10.59</v>
      </c>
    </row>
    <row r="1422" spans="31:31" x14ac:dyDescent="0.25">
      <c r="AE1422">
        <v>31.78</v>
      </c>
    </row>
    <row r="1423" spans="31:31" x14ac:dyDescent="0.25">
      <c r="AE1423">
        <v>52.57</v>
      </c>
    </row>
    <row r="1424" spans="31:31" x14ac:dyDescent="0.25">
      <c r="AE1424">
        <v>0</v>
      </c>
    </row>
    <row r="1425" spans="31:31" x14ac:dyDescent="0.25">
      <c r="AE1425">
        <v>58.56</v>
      </c>
    </row>
    <row r="1426" spans="31:31" x14ac:dyDescent="0.25">
      <c r="AE1426">
        <v>43.73</v>
      </c>
    </row>
    <row r="1427" spans="31:31" x14ac:dyDescent="0.25">
      <c r="AE1427">
        <v>28.87</v>
      </c>
    </row>
    <row r="1428" spans="31:31" x14ac:dyDescent="0.25">
      <c r="AE1428">
        <v>4.3600000000000003</v>
      </c>
    </row>
    <row r="1429" spans="31:31" x14ac:dyDescent="0.25">
      <c r="AE1429">
        <v>65.97</v>
      </c>
    </row>
    <row r="1430" spans="31:31" x14ac:dyDescent="0.25">
      <c r="AE1430">
        <v>107.92</v>
      </c>
    </row>
    <row r="1431" spans="31:31" x14ac:dyDescent="0.25">
      <c r="AE1431">
        <v>89.75</v>
      </c>
    </row>
    <row r="1432" spans="31:31" x14ac:dyDescent="0.25">
      <c r="AE1432">
        <v>20.89</v>
      </c>
    </row>
    <row r="1433" spans="31:31" x14ac:dyDescent="0.25">
      <c r="AE1433">
        <v>87.15</v>
      </c>
    </row>
    <row r="1434" spans="31:31" x14ac:dyDescent="0.25">
      <c r="AE1434">
        <v>5.12</v>
      </c>
    </row>
    <row r="1435" spans="31:31" x14ac:dyDescent="0.25">
      <c r="AE1435">
        <v>40.53</v>
      </c>
    </row>
    <row r="1436" spans="31:31" x14ac:dyDescent="0.25">
      <c r="AE1436">
        <v>35.44</v>
      </c>
    </row>
    <row r="1437" spans="31:31" x14ac:dyDescent="0.25">
      <c r="AE1437">
        <v>83.18</v>
      </c>
    </row>
    <row r="1438" spans="31:31" x14ac:dyDescent="0.25">
      <c r="AE1438">
        <v>83.91</v>
      </c>
    </row>
    <row r="1439" spans="31:31" x14ac:dyDescent="0.25">
      <c r="AE1439">
        <v>46.55</v>
      </c>
    </row>
    <row r="1440" spans="31:31" x14ac:dyDescent="0.25">
      <c r="AE1440">
        <v>32.96</v>
      </c>
    </row>
    <row r="1441" spans="31:31" x14ac:dyDescent="0.25">
      <c r="AE1441">
        <v>76.44</v>
      </c>
    </row>
    <row r="1442" spans="31:31" x14ac:dyDescent="0.25">
      <c r="AE1442">
        <v>32.119999999999997</v>
      </c>
    </row>
    <row r="1443" spans="31:31" x14ac:dyDescent="0.25">
      <c r="AE1443">
        <v>199.99</v>
      </c>
    </row>
    <row r="1444" spans="31:31" x14ac:dyDescent="0.25">
      <c r="AE1444">
        <v>108.81</v>
      </c>
    </row>
    <row r="1445" spans="31:31" x14ac:dyDescent="0.25">
      <c r="AE1445">
        <v>40.700000000000003</v>
      </c>
    </row>
    <row r="1446" spans="31:31" x14ac:dyDescent="0.25">
      <c r="AE1446">
        <v>76.400000000000006</v>
      </c>
    </row>
    <row r="1447" spans="31:31" x14ac:dyDescent="0.25">
      <c r="AE1447">
        <v>70.75</v>
      </c>
    </row>
    <row r="1448" spans="31:31" x14ac:dyDescent="0.25">
      <c r="AE1448">
        <v>104.39</v>
      </c>
    </row>
    <row r="1449" spans="31:31" x14ac:dyDescent="0.25">
      <c r="AE1449">
        <v>44.8</v>
      </c>
    </row>
    <row r="1450" spans="31:31" x14ac:dyDescent="0.25">
      <c r="AE1450">
        <v>9.99</v>
      </c>
    </row>
    <row r="1451" spans="31:31" x14ac:dyDescent="0.25">
      <c r="AE1451">
        <v>37.67</v>
      </c>
    </row>
    <row r="1452" spans="31:31" x14ac:dyDescent="0.25">
      <c r="AE1452">
        <v>34.869999999999997</v>
      </c>
    </row>
    <row r="1453" spans="31:31" x14ac:dyDescent="0.25">
      <c r="AE1453">
        <v>60.55</v>
      </c>
    </row>
    <row r="1454" spans="31:31" x14ac:dyDescent="0.25">
      <c r="AE1454">
        <v>19.14</v>
      </c>
    </row>
    <row r="1455" spans="31:31" x14ac:dyDescent="0.25">
      <c r="AE1455">
        <v>9.99</v>
      </c>
    </row>
    <row r="1456" spans="31:31" x14ac:dyDescent="0.25">
      <c r="AE1456">
        <v>11.08</v>
      </c>
    </row>
    <row r="1457" spans="31:31" x14ac:dyDescent="0.25">
      <c r="AE1457">
        <v>286.77999999999997</v>
      </c>
    </row>
    <row r="1458" spans="31:31" x14ac:dyDescent="0.25">
      <c r="AE1458">
        <v>43.51</v>
      </c>
    </row>
    <row r="1459" spans="31:31" x14ac:dyDescent="0.25">
      <c r="AE1459">
        <v>38.58</v>
      </c>
    </row>
    <row r="1460" spans="31:31" x14ac:dyDescent="0.25">
      <c r="AE1460">
        <v>36.049999999999997</v>
      </c>
    </row>
    <row r="1461" spans="31:31" x14ac:dyDescent="0.25">
      <c r="AE1461">
        <v>37.83</v>
      </c>
    </row>
    <row r="1462" spans="31:31" x14ac:dyDescent="0.25">
      <c r="AE1462">
        <v>281.56</v>
      </c>
    </row>
    <row r="1463" spans="31:31" x14ac:dyDescent="0.25">
      <c r="AE1463">
        <v>44.95</v>
      </c>
    </row>
    <row r="1464" spans="31:31" x14ac:dyDescent="0.25">
      <c r="AE1464">
        <v>14.26</v>
      </c>
    </row>
    <row r="1465" spans="31:31" x14ac:dyDescent="0.25">
      <c r="AE1465">
        <v>100.78</v>
      </c>
    </row>
    <row r="1466" spans="31:31" x14ac:dyDescent="0.25">
      <c r="AE1466">
        <v>53.49</v>
      </c>
    </row>
    <row r="1467" spans="31:31" x14ac:dyDescent="0.25">
      <c r="AE1467">
        <v>12.71</v>
      </c>
    </row>
    <row r="1468" spans="31:31" x14ac:dyDescent="0.25">
      <c r="AE1468">
        <v>0.54</v>
      </c>
    </row>
    <row r="1469" spans="31:31" x14ac:dyDescent="0.25">
      <c r="AE1469">
        <v>28.4</v>
      </c>
    </row>
    <row r="1470" spans="31:31" x14ac:dyDescent="0.25">
      <c r="AE1470">
        <v>94.32</v>
      </c>
    </row>
    <row r="1471" spans="31:31" x14ac:dyDescent="0.25">
      <c r="AE1471">
        <v>31.84</v>
      </c>
    </row>
    <row r="1472" spans="31:31" x14ac:dyDescent="0.25">
      <c r="AE1472">
        <v>82.37</v>
      </c>
    </row>
    <row r="1473" spans="31:31" x14ac:dyDescent="0.25">
      <c r="AE1473">
        <v>27.55</v>
      </c>
    </row>
    <row r="1474" spans="31:31" x14ac:dyDescent="0.25">
      <c r="AE1474">
        <v>24.61</v>
      </c>
    </row>
    <row r="1475" spans="31:31" x14ac:dyDescent="0.25">
      <c r="AE1475">
        <v>9.43</v>
      </c>
    </row>
    <row r="1476" spans="31:31" x14ac:dyDescent="0.25">
      <c r="AE1476">
        <v>23.14</v>
      </c>
    </row>
    <row r="1477" spans="31:31" x14ac:dyDescent="0.25">
      <c r="AE1477">
        <v>22.48</v>
      </c>
    </row>
    <row r="1478" spans="31:31" x14ac:dyDescent="0.25">
      <c r="AE1478">
        <v>1.43</v>
      </c>
    </row>
    <row r="1479" spans="31:31" x14ac:dyDescent="0.25">
      <c r="AE1479">
        <v>10.64</v>
      </c>
    </row>
    <row r="1480" spans="31:31" x14ac:dyDescent="0.25">
      <c r="AE1480">
        <v>0.18</v>
      </c>
    </row>
    <row r="1481" spans="31:31" x14ac:dyDescent="0.25">
      <c r="AE1481">
        <v>73.37</v>
      </c>
    </row>
    <row r="1482" spans="31:31" x14ac:dyDescent="0.25">
      <c r="AE1482">
        <v>68.19</v>
      </c>
    </row>
    <row r="1483" spans="31:31" x14ac:dyDescent="0.25">
      <c r="AE1483">
        <v>92.73</v>
      </c>
    </row>
    <row r="1484" spans="31:31" x14ac:dyDescent="0.25">
      <c r="AE1484">
        <v>131.84</v>
      </c>
    </row>
    <row r="1485" spans="31:31" x14ac:dyDescent="0.25">
      <c r="AE1485">
        <v>40.270000000000003</v>
      </c>
    </row>
    <row r="1486" spans="31:31" x14ac:dyDescent="0.25">
      <c r="AE1486">
        <v>13.93</v>
      </c>
    </row>
    <row r="1487" spans="31:31" x14ac:dyDescent="0.25">
      <c r="AE1487">
        <v>0.72</v>
      </c>
    </row>
    <row r="1488" spans="31:31" x14ac:dyDescent="0.25">
      <c r="AE1488">
        <v>35.01</v>
      </c>
    </row>
    <row r="1489" spans="31:31" x14ac:dyDescent="0.25">
      <c r="AE1489">
        <v>49.08</v>
      </c>
    </row>
    <row r="1490" spans="31:31" x14ac:dyDescent="0.25">
      <c r="AE1490">
        <v>42.35</v>
      </c>
    </row>
    <row r="1491" spans="31:31" x14ac:dyDescent="0.25">
      <c r="AE1491">
        <v>65.97</v>
      </c>
    </row>
    <row r="1492" spans="31:31" x14ac:dyDescent="0.25">
      <c r="AE1492">
        <v>20.87</v>
      </c>
    </row>
    <row r="1493" spans="31:31" x14ac:dyDescent="0.25">
      <c r="AE1493">
        <v>30.31</v>
      </c>
    </row>
    <row r="1494" spans="31:31" x14ac:dyDescent="0.25">
      <c r="AE1494">
        <v>161.76</v>
      </c>
    </row>
    <row r="1495" spans="31:31" x14ac:dyDescent="0.25">
      <c r="AE1495">
        <v>20.13</v>
      </c>
    </row>
    <row r="1496" spans="31:31" x14ac:dyDescent="0.25">
      <c r="AE1496">
        <v>19.16</v>
      </c>
    </row>
    <row r="1497" spans="31:31" x14ac:dyDescent="0.25">
      <c r="AE1497">
        <v>3.23</v>
      </c>
    </row>
    <row r="1498" spans="31:31" x14ac:dyDescent="0.25">
      <c r="AE1498">
        <v>99.52</v>
      </c>
    </row>
    <row r="1499" spans="31:31" x14ac:dyDescent="0.25">
      <c r="AE1499">
        <v>14.64</v>
      </c>
    </row>
    <row r="1500" spans="31:31" x14ac:dyDescent="0.25">
      <c r="AE1500">
        <v>46.82</v>
      </c>
    </row>
    <row r="1501" spans="31:31" x14ac:dyDescent="0.25">
      <c r="AE1501">
        <v>11.34</v>
      </c>
    </row>
    <row r="1502" spans="31:31" x14ac:dyDescent="0.25">
      <c r="AE1502">
        <v>100.32</v>
      </c>
    </row>
    <row r="1503" spans="31:31" x14ac:dyDescent="0.25">
      <c r="AE1503">
        <v>36.65</v>
      </c>
    </row>
    <row r="1504" spans="31:31" x14ac:dyDescent="0.25">
      <c r="AE1504">
        <v>35.22</v>
      </c>
    </row>
    <row r="1505" spans="31:31" x14ac:dyDescent="0.25">
      <c r="AE1505">
        <v>26.58</v>
      </c>
    </row>
    <row r="1506" spans="31:31" x14ac:dyDescent="0.25">
      <c r="AE1506">
        <v>34.51</v>
      </c>
    </row>
    <row r="1507" spans="31:31" x14ac:dyDescent="0.25">
      <c r="AE1507">
        <v>7.01</v>
      </c>
    </row>
    <row r="1508" spans="31:31" x14ac:dyDescent="0.25">
      <c r="AE1508">
        <v>54.27</v>
      </c>
    </row>
    <row r="1509" spans="31:31" x14ac:dyDescent="0.25">
      <c r="AE1509">
        <v>135.93</v>
      </c>
    </row>
    <row r="1510" spans="31:31" x14ac:dyDescent="0.25">
      <c r="AE1510">
        <v>70.75</v>
      </c>
    </row>
    <row r="1511" spans="31:31" x14ac:dyDescent="0.25">
      <c r="AE1511">
        <v>56.44</v>
      </c>
    </row>
    <row r="1512" spans="31:31" x14ac:dyDescent="0.25">
      <c r="AE1512">
        <v>37.659999999999997</v>
      </c>
    </row>
    <row r="1513" spans="31:31" x14ac:dyDescent="0.25">
      <c r="AE1513">
        <v>42.44</v>
      </c>
    </row>
    <row r="1514" spans="31:31" x14ac:dyDescent="0.25">
      <c r="AE1514">
        <v>4.4000000000000004</v>
      </c>
    </row>
    <row r="1515" spans="31:31" x14ac:dyDescent="0.25">
      <c r="AE1515">
        <v>3.12</v>
      </c>
    </row>
    <row r="1516" spans="31:31" x14ac:dyDescent="0.25">
      <c r="AE1516">
        <v>29.43</v>
      </c>
    </row>
    <row r="1517" spans="31:31" x14ac:dyDescent="0.25">
      <c r="AE1517">
        <v>69.239999999999995</v>
      </c>
    </row>
    <row r="1518" spans="31:31" x14ac:dyDescent="0.25">
      <c r="AE1518">
        <v>104.27</v>
      </c>
    </row>
    <row r="1519" spans="31:31" x14ac:dyDescent="0.25">
      <c r="AE1519">
        <v>103.89</v>
      </c>
    </row>
    <row r="1520" spans="31:31" x14ac:dyDescent="0.25">
      <c r="AE1520">
        <v>27.52</v>
      </c>
    </row>
    <row r="1521" spans="31:31" x14ac:dyDescent="0.25">
      <c r="AE1521">
        <v>27.15</v>
      </c>
    </row>
    <row r="1522" spans="31:31" x14ac:dyDescent="0.25">
      <c r="AE1522">
        <v>113.33</v>
      </c>
    </row>
    <row r="1523" spans="31:31" x14ac:dyDescent="0.25">
      <c r="AE1523">
        <v>95.12</v>
      </c>
    </row>
    <row r="1524" spans="31:31" x14ac:dyDescent="0.25">
      <c r="AE1524">
        <v>0.18</v>
      </c>
    </row>
    <row r="1525" spans="31:31" x14ac:dyDescent="0.25">
      <c r="AE1525">
        <v>12.94</v>
      </c>
    </row>
    <row r="1526" spans="31:31" x14ac:dyDescent="0.25">
      <c r="AE1526">
        <v>14.63</v>
      </c>
    </row>
    <row r="1527" spans="31:31" x14ac:dyDescent="0.25">
      <c r="AE1527">
        <v>168.23</v>
      </c>
    </row>
    <row r="1528" spans="31:31" x14ac:dyDescent="0.25">
      <c r="AE1528">
        <v>10.49</v>
      </c>
    </row>
    <row r="1529" spans="31:31" x14ac:dyDescent="0.25">
      <c r="AE1529">
        <v>22.42</v>
      </c>
    </row>
    <row r="1530" spans="31:31" x14ac:dyDescent="0.25">
      <c r="AE1530">
        <v>187.18</v>
      </c>
    </row>
    <row r="1531" spans="31:31" x14ac:dyDescent="0.25">
      <c r="AE1531">
        <v>60.92</v>
      </c>
    </row>
    <row r="1532" spans="31:31" x14ac:dyDescent="0.25">
      <c r="AE1532">
        <v>132.97999999999999</v>
      </c>
    </row>
    <row r="1533" spans="31:31" x14ac:dyDescent="0.25">
      <c r="AE1533">
        <v>8.69</v>
      </c>
    </row>
    <row r="1534" spans="31:31" x14ac:dyDescent="0.25">
      <c r="AE1534">
        <v>56.46</v>
      </c>
    </row>
    <row r="1535" spans="31:31" x14ac:dyDescent="0.25">
      <c r="AE1535">
        <v>75.739999999999995</v>
      </c>
    </row>
    <row r="1536" spans="31:31" x14ac:dyDescent="0.25">
      <c r="AE1536">
        <v>78.64</v>
      </c>
    </row>
    <row r="1537" spans="31:31" x14ac:dyDescent="0.25">
      <c r="AE1537">
        <v>0.27</v>
      </c>
    </row>
    <row r="1538" spans="31:31" x14ac:dyDescent="0.25">
      <c r="AE1538">
        <v>87.2</v>
      </c>
    </row>
    <row r="1539" spans="31:31" x14ac:dyDescent="0.25">
      <c r="AE1539">
        <v>67.38</v>
      </c>
    </row>
    <row r="1540" spans="31:31" x14ac:dyDescent="0.25">
      <c r="AE1540">
        <v>32.08</v>
      </c>
    </row>
    <row r="1541" spans="31:31" x14ac:dyDescent="0.25">
      <c r="AE1541">
        <v>1.73</v>
      </c>
    </row>
    <row r="1542" spans="31:31" x14ac:dyDescent="0.25">
      <c r="AE1542">
        <v>28.72</v>
      </c>
    </row>
    <row r="1543" spans="31:31" x14ac:dyDescent="0.25">
      <c r="AE1543">
        <v>52.05</v>
      </c>
    </row>
    <row r="1544" spans="31:31" x14ac:dyDescent="0.25">
      <c r="AE1544">
        <v>7.04</v>
      </c>
    </row>
    <row r="1545" spans="31:31" x14ac:dyDescent="0.25">
      <c r="AE1545">
        <v>87.78</v>
      </c>
    </row>
    <row r="1546" spans="31:31" x14ac:dyDescent="0.25">
      <c r="AE1546">
        <v>44.85</v>
      </c>
    </row>
    <row r="1547" spans="31:31" x14ac:dyDescent="0.25">
      <c r="AE1547">
        <v>15.23</v>
      </c>
    </row>
    <row r="1548" spans="31:31" x14ac:dyDescent="0.25">
      <c r="AE1548">
        <v>30.57</v>
      </c>
    </row>
    <row r="1549" spans="31:31" x14ac:dyDescent="0.25">
      <c r="AE1549">
        <v>17.28</v>
      </c>
    </row>
    <row r="1550" spans="31:31" x14ac:dyDescent="0.25">
      <c r="AE1550">
        <v>27.76</v>
      </c>
    </row>
    <row r="1551" spans="31:31" x14ac:dyDescent="0.25">
      <c r="AE1551">
        <v>5.53</v>
      </c>
    </row>
    <row r="1552" spans="31:31" x14ac:dyDescent="0.25">
      <c r="AE1552">
        <v>48.47</v>
      </c>
    </row>
    <row r="1553" spans="31:31" x14ac:dyDescent="0.25">
      <c r="AE1553">
        <v>22.82</v>
      </c>
    </row>
    <row r="1554" spans="31:31" x14ac:dyDescent="0.25">
      <c r="AE1554">
        <v>45.76</v>
      </c>
    </row>
    <row r="1555" spans="31:31" x14ac:dyDescent="0.25">
      <c r="AE1555">
        <v>32.26</v>
      </c>
    </row>
    <row r="1556" spans="31:31" x14ac:dyDescent="0.25">
      <c r="AE1556">
        <v>22.56</v>
      </c>
    </row>
    <row r="1557" spans="31:31" x14ac:dyDescent="0.25">
      <c r="AE1557">
        <v>147.34</v>
      </c>
    </row>
    <row r="1558" spans="31:31" x14ac:dyDescent="0.25">
      <c r="AE1558">
        <v>51.52</v>
      </c>
    </row>
    <row r="1559" spans="31:31" x14ac:dyDescent="0.25">
      <c r="AE1559">
        <v>13.57</v>
      </c>
    </row>
    <row r="1560" spans="31:31" x14ac:dyDescent="0.25">
      <c r="AE1560">
        <v>13.68</v>
      </c>
    </row>
    <row r="1561" spans="31:31" x14ac:dyDescent="0.25">
      <c r="AE1561">
        <v>213.18</v>
      </c>
    </row>
    <row r="1562" spans="31:31" x14ac:dyDescent="0.25">
      <c r="AE1562">
        <v>134.28</v>
      </c>
    </row>
    <row r="1563" spans="31:31" x14ac:dyDescent="0.25">
      <c r="AE1563">
        <v>10.19</v>
      </c>
    </row>
    <row r="1564" spans="31:31" x14ac:dyDescent="0.25">
      <c r="AE1564">
        <v>24.33</v>
      </c>
    </row>
    <row r="1565" spans="31:31" x14ac:dyDescent="0.25">
      <c r="AE1565">
        <v>102.98</v>
      </c>
    </row>
    <row r="1566" spans="31:31" x14ac:dyDescent="0.25">
      <c r="AE1566">
        <v>101.11</v>
      </c>
    </row>
    <row r="1567" spans="31:31" x14ac:dyDescent="0.25">
      <c r="AE1567">
        <v>36.020000000000003</v>
      </c>
    </row>
    <row r="1568" spans="31:31" x14ac:dyDescent="0.25">
      <c r="AE1568">
        <v>21.39</v>
      </c>
    </row>
    <row r="1569" spans="31:31" x14ac:dyDescent="0.25">
      <c r="AE1569">
        <v>47.47</v>
      </c>
    </row>
    <row r="1570" spans="31:31" x14ac:dyDescent="0.25">
      <c r="AE1570">
        <v>84.89</v>
      </c>
    </row>
    <row r="1571" spans="31:31" x14ac:dyDescent="0.25">
      <c r="AE1571">
        <v>31.83</v>
      </c>
    </row>
    <row r="1572" spans="31:31" x14ac:dyDescent="0.25">
      <c r="AE1572">
        <v>30.26</v>
      </c>
    </row>
    <row r="1573" spans="31:31" x14ac:dyDescent="0.25">
      <c r="AE1573">
        <v>19.010000000000002</v>
      </c>
    </row>
    <row r="1574" spans="31:31" x14ac:dyDescent="0.25">
      <c r="AE1574">
        <v>39.65</v>
      </c>
    </row>
    <row r="1575" spans="31:31" x14ac:dyDescent="0.25">
      <c r="AE1575">
        <v>57.44</v>
      </c>
    </row>
    <row r="1576" spans="31:31" x14ac:dyDescent="0.25">
      <c r="AE1576">
        <v>58.87</v>
      </c>
    </row>
    <row r="1577" spans="31:31" x14ac:dyDescent="0.25">
      <c r="AE1577">
        <v>24.69</v>
      </c>
    </row>
    <row r="1578" spans="31:31" x14ac:dyDescent="0.25">
      <c r="AE1578">
        <v>39.24</v>
      </c>
    </row>
    <row r="1579" spans="31:31" x14ac:dyDescent="0.25">
      <c r="AE1579">
        <v>14.33</v>
      </c>
    </row>
    <row r="1580" spans="31:31" x14ac:dyDescent="0.25">
      <c r="AE1580">
        <v>168.97</v>
      </c>
    </row>
    <row r="1581" spans="31:31" x14ac:dyDescent="0.25">
      <c r="AE1581">
        <v>66.819999999999993</v>
      </c>
    </row>
    <row r="1582" spans="31:31" x14ac:dyDescent="0.25">
      <c r="AE1582">
        <v>25.3</v>
      </c>
    </row>
    <row r="1583" spans="31:31" x14ac:dyDescent="0.25">
      <c r="AE1583">
        <v>51.63</v>
      </c>
    </row>
    <row r="1584" spans="31:31" x14ac:dyDescent="0.25">
      <c r="AE1584">
        <v>24.33</v>
      </c>
    </row>
    <row r="1585" spans="31:31" x14ac:dyDescent="0.25">
      <c r="AE1585">
        <v>29.15</v>
      </c>
    </row>
    <row r="1586" spans="31:31" x14ac:dyDescent="0.25">
      <c r="AE1586">
        <v>16.149999999999999</v>
      </c>
    </row>
    <row r="1587" spans="31:31" x14ac:dyDescent="0.25">
      <c r="AE1587">
        <v>0.45</v>
      </c>
    </row>
    <row r="1588" spans="31:31" x14ac:dyDescent="0.25">
      <c r="AE1588">
        <v>26.85</v>
      </c>
    </row>
    <row r="1589" spans="31:31" x14ac:dyDescent="0.25">
      <c r="AE1589">
        <v>44.89</v>
      </c>
    </row>
    <row r="1590" spans="31:31" x14ac:dyDescent="0.25">
      <c r="AE1590">
        <v>42.68</v>
      </c>
    </row>
    <row r="1591" spans="31:31" x14ac:dyDescent="0.25">
      <c r="AE1591">
        <v>28.22</v>
      </c>
    </row>
    <row r="1592" spans="31:31" x14ac:dyDescent="0.25">
      <c r="AE1592">
        <v>4.2699999999999996</v>
      </c>
    </row>
    <row r="1593" spans="31:31" x14ac:dyDescent="0.25">
      <c r="AE1593">
        <v>307.42</v>
      </c>
    </row>
    <row r="1594" spans="31:31" x14ac:dyDescent="0.25">
      <c r="AE1594">
        <v>51.14</v>
      </c>
    </row>
    <row r="1595" spans="31:31" x14ac:dyDescent="0.25">
      <c r="AE1595">
        <v>24.65</v>
      </c>
    </row>
    <row r="1596" spans="31:31" x14ac:dyDescent="0.25">
      <c r="AE1596">
        <v>96.98</v>
      </c>
    </row>
    <row r="1597" spans="31:31" x14ac:dyDescent="0.25">
      <c r="AE1597">
        <v>125.53</v>
      </c>
    </row>
    <row r="1598" spans="31:31" x14ac:dyDescent="0.25">
      <c r="AE1598">
        <v>120.02</v>
      </c>
    </row>
    <row r="1599" spans="31:31" x14ac:dyDescent="0.25">
      <c r="AE1599">
        <v>19.850000000000001</v>
      </c>
    </row>
    <row r="1600" spans="31:31" x14ac:dyDescent="0.25">
      <c r="AE1600">
        <v>69.06</v>
      </c>
    </row>
    <row r="1601" spans="31:31" x14ac:dyDescent="0.25">
      <c r="AE1601">
        <v>77.819999999999993</v>
      </c>
    </row>
    <row r="1602" spans="31:31" x14ac:dyDescent="0.25">
      <c r="AE1602">
        <v>56.52</v>
      </c>
    </row>
    <row r="1603" spans="31:31" x14ac:dyDescent="0.25">
      <c r="AE1603">
        <v>19.22</v>
      </c>
    </row>
    <row r="1604" spans="31:31" x14ac:dyDescent="0.25">
      <c r="AE1604">
        <v>37.4</v>
      </c>
    </row>
    <row r="1605" spans="31:31" x14ac:dyDescent="0.25">
      <c r="AE1605">
        <v>75.89</v>
      </c>
    </row>
    <row r="1606" spans="31:31" x14ac:dyDescent="0.25">
      <c r="AE1606">
        <v>58.02</v>
      </c>
    </row>
    <row r="1607" spans="31:31" x14ac:dyDescent="0.25">
      <c r="AE1607">
        <v>56.67</v>
      </c>
    </row>
    <row r="1608" spans="31:31" x14ac:dyDescent="0.25">
      <c r="AE1608">
        <v>16.809999999999999</v>
      </c>
    </row>
    <row r="1609" spans="31:31" x14ac:dyDescent="0.25">
      <c r="AE1609">
        <v>44.77</v>
      </c>
    </row>
    <row r="1610" spans="31:31" x14ac:dyDescent="0.25">
      <c r="AE1610">
        <v>16.920000000000002</v>
      </c>
    </row>
    <row r="1611" spans="31:31" x14ac:dyDescent="0.25">
      <c r="AE1611">
        <v>34.14</v>
      </c>
    </row>
    <row r="1612" spans="31:31" x14ac:dyDescent="0.25">
      <c r="AE1612">
        <v>36.229999999999997</v>
      </c>
    </row>
    <row r="1613" spans="31:31" x14ac:dyDescent="0.25">
      <c r="AE1613">
        <v>66.16</v>
      </c>
    </row>
    <row r="1614" spans="31:31" x14ac:dyDescent="0.25">
      <c r="AE1614">
        <v>15.17</v>
      </c>
    </row>
    <row r="1615" spans="31:31" x14ac:dyDescent="0.25">
      <c r="AE1615">
        <v>35.869999999999997</v>
      </c>
    </row>
    <row r="1616" spans="31:31" x14ac:dyDescent="0.25">
      <c r="AE1616">
        <v>88.46</v>
      </c>
    </row>
    <row r="1617" spans="31:31" x14ac:dyDescent="0.25">
      <c r="AE1617">
        <v>159.25</v>
      </c>
    </row>
    <row r="1618" spans="31:31" x14ac:dyDescent="0.25">
      <c r="AE1618">
        <v>52.67</v>
      </c>
    </row>
    <row r="1619" spans="31:31" x14ac:dyDescent="0.25">
      <c r="AE1619">
        <v>127.43</v>
      </c>
    </row>
    <row r="1620" spans="31:31" x14ac:dyDescent="0.25">
      <c r="AE1620">
        <v>102.23</v>
      </c>
    </row>
    <row r="1621" spans="31:31" x14ac:dyDescent="0.25">
      <c r="AE1621">
        <v>33.369999999999997</v>
      </c>
    </row>
    <row r="1622" spans="31:31" x14ac:dyDescent="0.25">
      <c r="AE1622">
        <v>61.72</v>
      </c>
    </row>
    <row r="1623" spans="31:31" x14ac:dyDescent="0.25">
      <c r="AE1623">
        <v>58.98</v>
      </c>
    </row>
    <row r="1624" spans="31:31" x14ac:dyDescent="0.25">
      <c r="AE1624">
        <v>130.18</v>
      </c>
    </row>
    <row r="1625" spans="31:31" x14ac:dyDescent="0.25">
      <c r="AE1625">
        <v>135.28</v>
      </c>
    </row>
    <row r="1626" spans="31:31" x14ac:dyDescent="0.25">
      <c r="AE1626">
        <v>13.21</v>
      </c>
    </row>
    <row r="1627" spans="31:31" x14ac:dyDescent="0.25">
      <c r="AE1627">
        <v>18.899999999999999</v>
      </c>
    </row>
    <row r="1628" spans="31:31" x14ac:dyDescent="0.25">
      <c r="AE1628">
        <v>35.28</v>
      </c>
    </row>
    <row r="1629" spans="31:31" x14ac:dyDescent="0.25">
      <c r="AE1629">
        <v>10.19</v>
      </c>
    </row>
    <row r="1630" spans="31:31" x14ac:dyDescent="0.25">
      <c r="AE1630">
        <v>30.13</v>
      </c>
    </row>
    <row r="1631" spans="31:31" x14ac:dyDescent="0.25">
      <c r="AE1631">
        <v>71.78</v>
      </c>
    </row>
    <row r="1632" spans="31:31" x14ac:dyDescent="0.25">
      <c r="AE1632">
        <v>89.84</v>
      </c>
    </row>
    <row r="1633" spans="31:31" x14ac:dyDescent="0.25">
      <c r="AE1633">
        <v>96.2</v>
      </c>
    </row>
    <row r="1634" spans="31:31" x14ac:dyDescent="0.25">
      <c r="AE1634">
        <v>0.09</v>
      </c>
    </row>
    <row r="1635" spans="31:31" x14ac:dyDescent="0.25">
      <c r="AE1635">
        <v>10.09</v>
      </c>
    </row>
    <row r="1636" spans="31:31" x14ac:dyDescent="0.25">
      <c r="AE1636">
        <v>27.54</v>
      </c>
    </row>
    <row r="1637" spans="31:31" x14ac:dyDescent="0.25">
      <c r="AE1637">
        <v>12</v>
      </c>
    </row>
    <row r="1638" spans="31:31" x14ac:dyDescent="0.25">
      <c r="AE1638">
        <v>19.55</v>
      </c>
    </row>
    <row r="1639" spans="31:31" x14ac:dyDescent="0.25">
      <c r="AE1639">
        <v>53.85</v>
      </c>
    </row>
    <row r="1640" spans="31:31" x14ac:dyDescent="0.25">
      <c r="AE1640">
        <v>116.45</v>
      </c>
    </row>
    <row r="1641" spans="31:31" x14ac:dyDescent="0.25">
      <c r="AE1641">
        <v>42.31</v>
      </c>
    </row>
    <row r="1642" spans="31:31" x14ac:dyDescent="0.25">
      <c r="AE1642">
        <v>67.180000000000007</v>
      </c>
    </row>
    <row r="1643" spans="31:31" x14ac:dyDescent="0.25">
      <c r="AE1643">
        <v>41.4</v>
      </c>
    </row>
    <row r="1644" spans="31:31" x14ac:dyDescent="0.25">
      <c r="AE1644">
        <v>42.87</v>
      </c>
    </row>
    <row r="1645" spans="31:31" x14ac:dyDescent="0.25">
      <c r="AE1645">
        <v>52.94</v>
      </c>
    </row>
    <row r="1646" spans="31:31" x14ac:dyDescent="0.25">
      <c r="AE1646">
        <v>54.11</v>
      </c>
    </row>
    <row r="1647" spans="31:31" x14ac:dyDescent="0.25">
      <c r="AE1647">
        <v>91.36</v>
      </c>
    </row>
    <row r="1648" spans="31:31" x14ac:dyDescent="0.25">
      <c r="AE1648">
        <v>46.41</v>
      </c>
    </row>
    <row r="1649" spans="31:31" x14ac:dyDescent="0.25">
      <c r="AE1649">
        <v>25.3</v>
      </c>
    </row>
    <row r="1650" spans="31:31" x14ac:dyDescent="0.25">
      <c r="AE1650">
        <v>116.48</v>
      </c>
    </row>
    <row r="1651" spans="31:31" x14ac:dyDescent="0.25">
      <c r="AE1651">
        <v>127.35</v>
      </c>
    </row>
    <row r="1652" spans="31:31" x14ac:dyDescent="0.25">
      <c r="AE1652">
        <v>23.84</v>
      </c>
    </row>
    <row r="1653" spans="31:31" x14ac:dyDescent="0.25">
      <c r="AE1653">
        <v>84.18</v>
      </c>
    </row>
    <row r="1654" spans="31:31" x14ac:dyDescent="0.25">
      <c r="AE1654">
        <v>31.31</v>
      </c>
    </row>
    <row r="1655" spans="31:31" x14ac:dyDescent="0.25">
      <c r="AE1655">
        <v>71.56</v>
      </c>
    </row>
    <row r="1656" spans="31:31" x14ac:dyDescent="0.25">
      <c r="AE1656">
        <v>45.32</v>
      </c>
    </row>
    <row r="1657" spans="31:31" x14ac:dyDescent="0.25">
      <c r="AE1657">
        <v>13.52</v>
      </c>
    </row>
    <row r="1658" spans="31:31" x14ac:dyDescent="0.25">
      <c r="AE1658">
        <v>41.73</v>
      </c>
    </row>
    <row r="1659" spans="31:31" x14ac:dyDescent="0.25">
      <c r="AE1659">
        <v>167.2</v>
      </c>
    </row>
    <row r="1660" spans="31:31" x14ac:dyDescent="0.25">
      <c r="AE1660">
        <v>31.55</v>
      </c>
    </row>
    <row r="1661" spans="31:31" x14ac:dyDescent="0.25">
      <c r="AE1661">
        <v>44.76</v>
      </c>
    </row>
    <row r="1662" spans="31:31" x14ac:dyDescent="0.25">
      <c r="AE1662">
        <v>13.69</v>
      </c>
    </row>
    <row r="1663" spans="31:31" x14ac:dyDescent="0.25">
      <c r="AE1663">
        <v>103.54</v>
      </c>
    </row>
    <row r="1664" spans="31:31" x14ac:dyDescent="0.25">
      <c r="AE1664">
        <v>43.84</v>
      </c>
    </row>
    <row r="1665" spans="31:31" x14ac:dyDescent="0.25">
      <c r="AE1665">
        <v>36.450000000000003</v>
      </c>
    </row>
    <row r="1666" spans="31:31" x14ac:dyDescent="0.25">
      <c r="AE1666">
        <v>56.98</v>
      </c>
    </row>
    <row r="1667" spans="31:31" x14ac:dyDescent="0.25">
      <c r="AE1667">
        <v>62.32</v>
      </c>
    </row>
    <row r="1668" spans="31:31" x14ac:dyDescent="0.25">
      <c r="AE1668">
        <v>112.55</v>
      </c>
    </row>
    <row r="1669" spans="31:31" x14ac:dyDescent="0.25">
      <c r="AE1669">
        <v>55.46</v>
      </c>
    </row>
    <row r="1670" spans="31:31" x14ac:dyDescent="0.25">
      <c r="AE1670">
        <v>31.28</v>
      </c>
    </row>
    <row r="1671" spans="31:31" x14ac:dyDescent="0.25">
      <c r="AE1671">
        <v>11.23</v>
      </c>
    </row>
    <row r="1672" spans="31:31" x14ac:dyDescent="0.25">
      <c r="AE1672">
        <v>102.11</v>
      </c>
    </row>
    <row r="1673" spans="31:31" x14ac:dyDescent="0.25">
      <c r="AE1673">
        <v>36.590000000000003</v>
      </c>
    </row>
    <row r="1674" spans="31:31" x14ac:dyDescent="0.25">
      <c r="AE1674">
        <v>32.770000000000003</v>
      </c>
    </row>
    <row r="1675" spans="31:31" x14ac:dyDescent="0.25">
      <c r="AE1675">
        <v>13.65</v>
      </c>
    </row>
    <row r="1676" spans="31:31" x14ac:dyDescent="0.25">
      <c r="AE1676">
        <v>43.26</v>
      </c>
    </row>
    <row r="1677" spans="31:31" x14ac:dyDescent="0.25">
      <c r="AE1677">
        <v>5.44</v>
      </c>
    </row>
    <row r="1678" spans="31:31" x14ac:dyDescent="0.25">
      <c r="AE1678">
        <v>6.71</v>
      </c>
    </row>
    <row r="1679" spans="31:31" x14ac:dyDescent="0.25">
      <c r="AE1679">
        <v>14.78</v>
      </c>
    </row>
    <row r="1680" spans="31:31" x14ac:dyDescent="0.25">
      <c r="AE1680">
        <v>20.59</v>
      </c>
    </row>
    <row r="1681" spans="31:31" x14ac:dyDescent="0.25">
      <c r="AE1681">
        <v>104.54</v>
      </c>
    </row>
    <row r="1682" spans="31:31" x14ac:dyDescent="0.25">
      <c r="AE1682">
        <v>19.59</v>
      </c>
    </row>
    <row r="1683" spans="31:31" x14ac:dyDescent="0.25">
      <c r="AE1683">
        <v>24.21</v>
      </c>
    </row>
    <row r="1684" spans="31:31" x14ac:dyDescent="0.25">
      <c r="AE1684">
        <v>10.09</v>
      </c>
    </row>
    <row r="1685" spans="31:31" x14ac:dyDescent="0.25">
      <c r="AE1685">
        <v>27.97</v>
      </c>
    </row>
    <row r="1686" spans="31:31" x14ac:dyDescent="0.25">
      <c r="AE1686">
        <v>6.56</v>
      </c>
    </row>
    <row r="1687" spans="31:31" x14ac:dyDescent="0.25">
      <c r="AE1687">
        <v>35.5</v>
      </c>
    </row>
    <row r="1688" spans="31:31" x14ac:dyDescent="0.25">
      <c r="AE1688">
        <v>21.14</v>
      </c>
    </row>
    <row r="1689" spans="31:31" x14ac:dyDescent="0.25">
      <c r="AE1689">
        <v>79.84</v>
      </c>
    </row>
    <row r="1690" spans="31:31" x14ac:dyDescent="0.25">
      <c r="AE1690">
        <v>88.16</v>
      </c>
    </row>
    <row r="1691" spans="31:31" x14ac:dyDescent="0.25">
      <c r="AE1691">
        <v>37.369999999999997</v>
      </c>
    </row>
    <row r="1692" spans="31:31" x14ac:dyDescent="0.25">
      <c r="AE1692">
        <v>129.59</v>
      </c>
    </row>
    <row r="1693" spans="31:31" x14ac:dyDescent="0.25">
      <c r="AE1693">
        <v>43.82</v>
      </c>
    </row>
    <row r="1694" spans="31:31" x14ac:dyDescent="0.25">
      <c r="AE1694">
        <v>21.99</v>
      </c>
    </row>
    <row r="1695" spans="31:31" x14ac:dyDescent="0.25">
      <c r="AE1695">
        <v>94.87</v>
      </c>
    </row>
    <row r="1696" spans="31:31" x14ac:dyDescent="0.25">
      <c r="AE1696">
        <v>25.15</v>
      </c>
    </row>
    <row r="1697" spans="31:31" x14ac:dyDescent="0.25">
      <c r="AE1697">
        <v>44.64</v>
      </c>
    </row>
    <row r="1698" spans="31:31" x14ac:dyDescent="0.25">
      <c r="AE1698">
        <v>81.48</v>
      </c>
    </row>
    <row r="1699" spans="31:31" x14ac:dyDescent="0.25">
      <c r="AE1699">
        <v>2.0699999999999998</v>
      </c>
    </row>
    <row r="1700" spans="31:31" x14ac:dyDescent="0.25">
      <c r="AE1700">
        <v>47.24</v>
      </c>
    </row>
    <row r="1701" spans="31:31" x14ac:dyDescent="0.25">
      <c r="AE1701">
        <v>96.07</v>
      </c>
    </row>
    <row r="1702" spans="31:31" x14ac:dyDescent="0.25">
      <c r="AE1702">
        <v>10.08</v>
      </c>
    </row>
    <row r="1703" spans="31:31" x14ac:dyDescent="0.25">
      <c r="AE1703">
        <v>15.59</v>
      </c>
    </row>
    <row r="1704" spans="31:31" x14ac:dyDescent="0.25">
      <c r="AE1704">
        <v>36.56</v>
      </c>
    </row>
    <row r="1705" spans="31:31" x14ac:dyDescent="0.25">
      <c r="AE1705">
        <v>36.090000000000003</v>
      </c>
    </row>
    <row r="1706" spans="31:31" x14ac:dyDescent="0.25">
      <c r="AE1706">
        <v>62.04</v>
      </c>
    </row>
    <row r="1707" spans="31:31" x14ac:dyDescent="0.25">
      <c r="AE1707">
        <v>0.45</v>
      </c>
    </row>
    <row r="1708" spans="31:31" x14ac:dyDescent="0.25">
      <c r="AE1708">
        <v>62.34</v>
      </c>
    </row>
    <row r="1709" spans="31:31" x14ac:dyDescent="0.25">
      <c r="AE1709">
        <v>29.2</v>
      </c>
    </row>
    <row r="1710" spans="31:31" x14ac:dyDescent="0.25">
      <c r="AE1710">
        <v>95.61</v>
      </c>
    </row>
    <row r="1711" spans="31:31" x14ac:dyDescent="0.25">
      <c r="AE1711">
        <v>36.770000000000003</v>
      </c>
    </row>
    <row r="1712" spans="31:31" x14ac:dyDescent="0.25">
      <c r="AE1712">
        <v>123.13</v>
      </c>
    </row>
    <row r="1713" spans="31:31" x14ac:dyDescent="0.25">
      <c r="AE1713">
        <v>23.71</v>
      </c>
    </row>
    <row r="1714" spans="31:31" x14ac:dyDescent="0.25">
      <c r="AE1714">
        <v>38.15</v>
      </c>
    </row>
    <row r="1715" spans="31:31" x14ac:dyDescent="0.25">
      <c r="AE1715">
        <v>45.98</v>
      </c>
    </row>
    <row r="1716" spans="31:31" x14ac:dyDescent="0.25">
      <c r="AE1716">
        <v>200.47</v>
      </c>
    </row>
    <row r="1717" spans="31:31" x14ac:dyDescent="0.25">
      <c r="AE1717">
        <v>68.459999999999994</v>
      </c>
    </row>
    <row r="1718" spans="31:31" x14ac:dyDescent="0.25">
      <c r="AE1718">
        <v>131.38999999999999</v>
      </c>
    </row>
    <row r="1719" spans="31:31" x14ac:dyDescent="0.25">
      <c r="AE1719">
        <v>211.81</v>
      </c>
    </row>
    <row r="1720" spans="31:31" x14ac:dyDescent="0.25">
      <c r="AE1720">
        <v>43.6</v>
      </c>
    </row>
    <row r="1721" spans="31:31" x14ac:dyDescent="0.25">
      <c r="AE1721">
        <v>53.3</v>
      </c>
    </row>
    <row r="1722" spans="31:31" x14ac:dyDescent="0.25">
      <c r="AE1722">
        <v>10.34</v>
      </c>
    </row>
    <row r="1723" spans="31:31" x14ac:dyDescent="0.25">
      <c r="AE1723">
        <v>41.5</v>
      </c>
    </row>
    <row r="1724" spans="31:31" x14ac:dyDescent="0.25">
      <c r="AE1724">
        <v>115.27</v>
      </c>
    </row>
    <row r="1725" spans="31:31" x14ac:dyDescent="0.25">
      <c r="AE1725">
        <v>49</v>
      </c>
    </row>
    <row r="1726" spans="31:31" x14ac:dyDescent="0.25">
      <c r="AE1726">
        <v>15.42</v>
      </c>
    </row>
    <row r="1727" spans="31:31" x14ac:dyDescent="0.25">
      <c r="AE1727">
        <v>123.31</v>
      </c>
    </row>
    <row r="1728" spans="31:31" x14ac:dyDescent="0.25">
      <c r="AE1728">
        <v>141.03</v>
      </c>
    </row>
    <row r="1729" spans="31:31" x14ac:dyDescent="0.25">
      <c r="AE1729">
        <v>49.88</v>
      </c>
    </row>
    <row r="1730" spans="31:31" x14ac:dyDescent="0.25">
      <c r="AE1730">
        <v>21.56</v>
      </c>
    </row>
    <row r="1731" spans="31:31" x14ac:dyDescent="0.25">
      <c r="AE1731">
        <v>24.84</v>
      </c>
    </row>
    <row r="1732" spans="31:31" x14ac:dyDescent="0.25">
      <c r="AE1732">
        <v>45.15</v>
      </c>
    </row>
    <row r="1733" spans="31:31" x14ac:dyDescent="0.25">
      <c r="AE1733">
        <v>11.53</v>
      </c>
    </row>
    <row r="1734" spans="31:31" x14ac:dyDescent="0.25">
      <c r="AE1734">
        <v>11.04</v>
      </c>
    </row>
    <row r="1735" spans="31:31" x14ac:dyDescent="0.25">
      <c r="AE1735">
        <v>76.459999999999994</v>
      </c>
    </row>
    <row r="1736" spans="31:31" x14ac:dyDescent="0.25">
      <c r="AE1736">
        <v>15.73</v>
      </c>
    </row>
    <row r="1737" spans="31:31" x14ac:dyDescent="0.25">
      <c r="AE1737">
        <v>40.130000000000003</v>
      </c>
    </row>
    <row r="1738" spans="31:31" x14ac:dyDescent="0.25">
      <c r="AE1738">
        <v>53.28</v>
      </c>
    </row>
    <row r="1739" spans="31:31" x14ac:dyDescent="0.25">
      <c r="AE1739">
        <v>40.32</v>
      </c>
    </row>
    <row r="1740" spans="31:31" x14ac:dyDescent="0.25">
      <c r="AE1740">
        <v>178.88</v>
      </c>
    </row>
    <row r="1741" spans="31:31" x14ac:dyDescent="0.25">
      <c r="AE1741">
        <v>46.38</v>
      </c>
    </row>
    <row r="1742" spans="31:31" x14ac:dyDescent="0.25">
      <c r="AE1742">
        <v>124.47</v>
      </c>
    </row>
    <row r="1743" spans="31:31" x14ac:dyDescent="0.25">
      <c r="AE1743">
        <v>65.91</v>
      </c>
    </row>
    <row r="1744" spans="31:31" x14ac:dyDescent="0.25">
      <c r="AE1744">
        <v>36.96</v>
      </c>
    </row>
    <row r="1745" spans="31:31" x14ac:dyDescent="0.25">
      <c r="AE1745">
        <v>34.51</v>
      </c>
    </row>
    <row r="1746" spans="31:31" x14ac:dyDescent="0.25">
      <c r="AE1746">
        <v>0</v>
      </c>
    </row>
    <row r="1747" spans="31:31" x14ac:dyDescent="0.25">
      <c r="AE1747">
        <v>49.55</v>
      </c>
    </row>
    <row r="1748" spans="31:31" x14ac:dyDescent="0.25">
      <c r="AE1748">
        <v>46.67</v>
      </c>
    </row>
    <row r="1749" spans="31:31" x14ac:dyDescent="0.25">
      <c r="AE1749">
        <v>14.18</v>
      </c>
    </row>
    <row r="1750" spans="31:31" x14ac:dyDescent="0.25">
      <c r="AE1750">
        <v>141.54</v>
      </c>
    </row>
    <row r="1751" spans="31:31" x14ac:dyDescent="0.25">
      <c r="AE1751">
        <v>106.98</v>
      </c>
    </row>
    <row r="1752" spans="31:31" x14ac:dyDescent="0.25">
      <c r="AE1752">
        <v>89.3</v>
      </c>
    </row>
    <row r="1753" spans="31:31" x14ac:dyDescent="0.25">
      <c r="AE1753">
        <v>61.79</v>
      </c>
    </row>
    <row r="1754" spans="31:31" x14ac:dyDescent="0.25">
      <c r="AE1754">
        <v>0.18</v>
      </c>
    </row>
    <row r="1755" spans="31:31" x14ac:dyDescent="0.25">
      <c r="AE1755">
        <v>28.55</v>
      </c>
    </row>
    <row r="1756" spans="31:31" x14ac:dyDescent="0.25">
      <c r="AE1756">
        <v>65.3</v>
      </c>
    </row>
    <row r="1757" spans="31:31" x14ac:dyDescent="0.25">
      <c r="AE1757">
        <v>70.319999999999993</v>
      </c>
    </row>
    <row r="1758" spans="31:31" x14ac:dyDescent="0.25">
      <c r="AE1758">
        <v>26.13</v>
      </c>
    </row>
    <row r="1759" spans="31:31" x14ac:dyDescent="0.25">
      <c r="AE1759">
        <v>0.09</v>
      </c>
    </row>
    <row r="1760" spans="31:31" x14ac:dyDescent="0.25">
      <c r="AE1760">
        <v>20.13</v>
      </c>
    </row>
    <row r="1761" spans="31:31" x14ac:dyDescent="0.25">
      <c r="AE1761">
        <v>39.78</v>
      </c>
    </row>
    <row r="1762" spans="31:31" x14ac:dyDescent="0.25">
      <c r="AE1762">
        <v>98.05</v>
      </c>
    </row>
    <row r="1763" spans="31:31" x14ac:dyDescent="0.25">
      <c r="AE1763">
        <v>45.95</v>
      </c>
    </row>
    <row r="1764" spans="31:31" x14ac:dyDescent="0.25">
      <c r="AE1764">
        <v>50.01</v>
      </c>
    </row>
    <row r="1765" spans="31:31" x14ac:dyDescent="0.25">
      <c r="AE1765">
        <v>32.090000000000003</v>
      </c>
    </row>
    <row r="1766" spans="31:31" x14ac:dyDescent="0.25">
      <c r="AE1766">
        <v>85.01</v>
      </c>
    </row>
    <row r="1767" spans="31:31" x14ac:dyDescent="0.25">
      <c r="AE1767">
        <v>99.07</v>
      </c>
    </row>
    <row r="1768" spans="31:31" x14ac:dyDescent="0.25">
      <c r="AE1768">
        <v>30.3</v>
      </c>
    </row>
    <row r="1769" spans="31:31" x14ac:dyDescent="0.25">
      <c r="AE1769">
        <v>34.96</v>
      </c>
    </row>
    <row r="1770" spans="31:31" x14ac:dyDescent="0.25">
      <c r="AE1770">
        <v>22.97</v>
      </c>
    </row>
    <row r="1771" spans="31:31" x14ac:dyDescent="0.25">
      <c r="AE1771">
        <v>79.650000000000006</v>
      </c>
    </row>
    <row r="1772" spans="31:31" x14ac:dyDescent="0.25">
      <c r="AE1772">
        <v>20.25</v>
      </c>
    </row>
    <row r="1773" spans="31:31" x14ac:dyDescent="0.25">
      <c r="AE1773">
        <v>27.8</v>
      </c>
    </row>
    <row r="1774" spans="31:31" x14ac:dyDescent="0.25">
      <c r="AE1774">
        <v>29.59</v>
      </c>
    </row>
    <row r="1775" spans="31:31" x14ac:dyDescent="0.25">
      <c r="AE1775">
        <v>359.87</v>
      </c>
    </row>
    <row r="1776" spans="31:31" x14ac:dyDescent="0.25">
      <c r="AE1776">
        <v>22.19</v>
      </c>
    </row>
    <row r="1777" spans="31:31" x14ac:dyDescent="0.25">
      <c r="AE1777">
        <v>73.400000000000006</v>
      </c>
    </row>
    <row r="1778" spans="31:31" x14ac:dyDescent="0.25">
      <c r="AE1778">
        <v>31.26</v>
      </c>
    </row>
    <row r="1779" spans="31:31" x14ac:dyDescent="0.25">
      <c r="AE1779">
        <v>14.99</v>
      </c>
    </row>
    <row r="1780" spans="31:31" x14ac:dyDescent="0.25">
      <c r="AE1780">
        <v>34.380000000000003</v>
      </c>
    </row>
    <row r="1781" spans="31:31" x14ac:dyDescent="0.25">
      <c r="AE1781">
        <v>155.49</v>
      </c>
    </row>
    <row r="1782" spans="31:31" x14ac:dyDescent="0.25">
      <c r="AE1782">
        <v>39.83</v>
      </c>
    </row>
    <row r="1783" spans="31:31" x14ac:dyDescent="0.25">
      <c r="AE1783">
        <v>103.83</v>
      </c>
    </row>
    <row r="1784" spans="31:31" x14ac:dyDescent="0.25">
      <c r="AE1784">
        <v>126.16</v>
      </c>
    </row>
    <row r="1785" spans="31:31" x14ac:dyDescent="0.25">
      <c r="AE1785">
        <v>14.88</v>
      </c>
    </row>
    <row r="1786" spans="31:31" x14ac:dyDescent="0.25">
      <c r="AE1786">
        <v>27.07</v>
      </c>
    </row>
    <row r="1787" spans="31:31" x14ac:dyDescent="0.25">
      <c r="AE1787">
        <v>10.039999999999999</v>
      </c>
    </row>
    <row r="1788" spans="31:31" x14ac:dyDescent="0.25">
      <c r="AE1788">
        <v>12.17</v>
      </c>
    </row>
    <row r="1789" spans="31:31" x14ac:dyDescent="0.25">
      <c r="AE1789">
        <v>49.24</v>
      </c>
    </row>
    <row r="1790" spans="31:31" x14ac:dyDescent="0.25">
      <c r="AE1790">
        <v>22.07</v>
      </c>
    </row>
    <row r="1791" spans="31:31" x14ac:dyDescent="0.25">
      <c r="AE1791">
        <v>104.89</v>
      </c>
    </row>
    <row r="1792" spans="31:31" x14ac:dyDescent="0.25">
      <c r="AE1792">
        <v>44.11</v>
      </c>
    </row>
    <row r="1793" spans="31:31" x14ac:dyDescent="0.25">
      <c r="AE1793">
        <v>66.3</v>
      </c>
    </row>
    <row r="1794" spans="31:31" x14ac:dyDescent="0.25">
      <c r="AE1794">
        <v>24.12</v>
      </c>
    </row>
    <row r="1795" spans="31:31" x14ac:dyDescent="0.25">
      <c r="AE1795">
        <v>10.039999999999999</v>
      </c>
    </row>
    <row r="1796" spans="31:31" x14ac:dyDescent="0.25">
      <c r="AE1796">
        <v>45.75</v>
      </c>
    </row>
    <row r="1797" spans="31:31" x14ac:dyDescent="0.25">
      <c r="AE1797">
        <v>76.44</v>
      </c>
    </row>
    <row r="1798" spans="31:31" x14ac:dyDescent="0.25">
      <c r="AE1798">
        <v>10.24</v>
      </c>
    </row>
    <row r="1799" spans="31:31" x14ac:dyDescent="0.25">
      <c r="AE1799">
        <v>45.8</v>
      </c>
    </row>
    <row r="1800" spans="31:31" x14ac:dyDescent="0.25">
      <c r="AE1800">
        <v>44.22</v>
      </c>
    </row>
    <row r="1801" spans="31:31" x14ac:dyDescent="0.25">
      <c r="AE1801">
        <v>32.090000000000003</v>
      </c>
    </row>
    <row r="1802" spans="31:31" x14ac:dyDescent="0.25">
      <c r="AE1802">
        <v>15.87</v>
      </c>
    </row>
    <row r="1803" spans="31:31" x14ac:dyDescent="0.25">
      <c r="AE1803">
        <v>4.54</v>
      </c>
    </row>
    <row r="1804" spans="31:31" x14ac:dyDescent="0.25">
      <c r="AE1804">
        <v>12.68</v>
      </c>
    </row>
    <row r="1805" spans="31:31" x14ac:dyDescent="0.25">
      <c r="AE1805">
        <v>32.950000000000003</v>
      </c>
    </row>
    <row r="1806" spans="31:31" x14ac:dyDescent="0.25">
      <c r="AE1806">
        <v>66.099999999999994</v>
      </c>
    </row>
    <row r="1807" spans="31:31" x14ac:dyDescent="0.25">
      <c r="AE1807">
        <v>45.08</v>
      </c>
    </row>
    <row r="1808" spans="31:31" x14ac:dyDescent="0.25">
      <c r="AE1808">
        <v>27.48</v>
      </c>
    </row>
    <row r="1809" spans="31:31" x14ac:dyDescent="0.25">
      <c r="AE1809">
        <v>0.45</v>
      </c>
    </row>
    <row r="1810" spans="31:31" x14ac:dyDescent="0.25">
      <c r="AE1810">
        <v>116.29</v>
      </c>
    </row>
    <row r="1811" spans="31:31" x14ac:dyDescent="0.25">
      <c r="AE1811">
        <v>14.61</v>
      </c>
    </row>
    <row r="1812" spans="31:31" x14ac:dyDescent="0.25">
      <c r="AE1812">
        <v>49.29</v>
      </c>
    </row>
    <row r="1813" spans="31:31" x14ac:dyDescent="0.25">
      <c r="AE1813">
        <v>13.44</v>
      </c>
    </row>
    <row r="1814" spans="31:31" x14ac:dyDescent="0.25">
      <c r="AE1814">
        <v>99.24</v>
      </c>
    </row>
    <row r="1815" spans="31:31" x14ac:dyDescent="0.25">
      <c r="AE1815">
        <v>72.56</v>
      </c>
    </row>
    <row r="1816" spans="31:31" x14ac:dyDescent="0.25">
      <c r="AE1816">
        <v>11.63</v>
      </c>
    </row>
    <row r="1817" spans="31:31" x14ac:dyDescent="0.25">
      <c r="AE1817">
        <v>60.07</v>
      </c>
    </row>
    <row r="1818" spans="31:31" x14ac:dyDescent="0.25">
      <c r="AE1818">
        <v>29.14</v>
      </c>
    </row>
    <row r="1819" spans="31:31" x14ac:dyDescent="0.25">
      <c r="AE1819">
        <v>2.38</v>
      </c>
    </row>
    <row r="1820" spans="31:31" x14ac:dyDescent="0.25">
      <c r="AE1820">
        <v>44.31</v>
      </c>
    </row>
    <row r="1821" spans="31:31" x14ac:dyDescent="0.25">
      <c r="AE1821">
        <v>23.43</v>
      </c>
    </row>
    <row r="1822" spans="31:31" x14ac:dyDescent="0.25">
      <c r="AE1822">
        <v>19.09</v>
      </c>
    </row>
    <row r="1823" spans="31:31" x14ac:dyDescent="0.25">
      <c r="AE1823">
        <v>49.74</v>
      </c>
    </row>
    <row r="1824" spans="31:31" x14ac:dyDescent="0.25">
      <c r="AE1824">
        <v>30.63</v>
      </c>
    </row>
    <row r="1825" spans="31:31" x14ac:dyDescent="0.25">
      <c r="AE1825">
        <v>26.27</v>
      </c>
    </row>
    <row r="1826" spans="31:31" x14ac:dyDescent="0.25">
      <c r="AE1826">
        <v>52.29</v>
      </c>
    </row>
    <row r="1827" spans="31:31" x14ac:dyDescent="0.25">
      <c r="AE1827">
        <v>54.76</v>
      </c>
    </row>
    <row r="1828" spans="31:31" x14ac:dyDescent="0.25">
      <c r="AE1828">
        <v>25.73</v>
      </c>
    </row>
    <row r="1829" spans="31:31" x14ac:dyDescent="0.25">
      <c r="AE1829">
        <v>0.09</v>
      </c>
    </row>
    <row r="1830" spans="31:31" x14ac:dyDescent="0.25">
      <c r="AE1830">
        <v>119.77</v>
      </c>
    </row>
    <row r="1831" spans="31:31" x14ac:dyDescent="0.25">
      <c r="AE1831">
        <v>33.130000000000003</v>
      </c>
    </row>
    <row r="1832" spans="31:31" x14ac:dyDescent="0.25">
      <c r="AE1832">
        <v>49.63</v>
      </c>
    </row>
    <row r="1833" spans="31:31" x14ac:dyDescent="0.25">
      <c r="AE1833">
        <v>2.0099999999999998</v>
      </c>
    </row>
    <row r="1834" spans="31:31" x14ac:dyDescent="0.25">
      <c r="AE1834">
        <v>74.45</v>
      </c>
    </row>
    <row r="1835" spans="31:31" x14ac:dyDescent="0.25">
      <c r="AE1835">
        <v>0.09</v>
      </c>
    </row>
    <row r="1836" spans="31:31" x14ac:dyDescent="0.25">
      <c r="AE1836">
        <v>69.13</v>
      </c>
    </row>
    <row r="1837" spans="31:31" x14ac:dyDescent="0.25">
      <c r="AE1837">
        <v>9.3000000000000007</v>
      </c>
    </row>
    <row r="1838" spans="31:31" x14ac:dyDescent="0.25">
      <c r="AE1838">
        <v>26.48</v>
      </c>
    </row>
    <row r="1839" spans="31:31" x14ac:dyDescent="0.25">
      <c r="AE1839">
        <v>37.1</v>
      </c>
    </row>
    <row r="1840" spans="31:31" x14ac:dyDescent="0.25">
      <c r="AE1840">
        <v>133.72999999999999</v>
      </c>
    </row>
    <row r="1841" spans="31:31" x14ac:dyDescent="0.25">
      <c r="AE1841">
        <v>77.58</v>
      </c>
    </row>
    <row r="1842" spans="31:31" x14ac:dyDescent="0.25">
      <c r="AE1842">
        <v>46.64</v>
      </c>
    </row>
    <row r="1843" spans="31:31" x14ac:dyDescent="0.25">
      <c r="AE1843">
        <v>7.09</v>
      </c>
    </row>
    <row r="1844" spans="31:31" x14ac:dyDescent="0.25">
      <c r="AE1844">
        <v>22.76</v>
      </c>
    </row>
    <row r="1845" spans="31:31" x14ac:dyDescent="0.25">
      <c r="AE1845">
        <v>127.13</v>
      </c>
    </row>
    <row r="1846" spans="31:31" x14ac:dyDescent="0.25">
      <c r="AE1846">
        <v>14.54</v>
      </c>
    </row>
    <row r="1847" spans="31:31" x14ac:dyDescent="0.25">
      <c r="AE1847">
        <v>36.130000000000003</v>
      </c>
    </row>
    <row r="1848" spans="31:31" x14ac:dyDescent="0.25">
      <c r="AE1848">
        <v>95.41</v>
      </c>
    </row>
    <row r="1849" spans="31:31" x14ac:dyDescent="0.25">
      <c r="AE1849">
        <v>0.36</v>
      </c>
    </row>
    <row r="1850" spans="31:31" x14ac:dyDescent="0.25">
      <c r="AE1850">
        <v>35.479999999999997</v>
      </c>
    </row>
    <row r="1851" spans="31:31" x14ac:dyDescent="0.25">
      <c r="AE1851">
        <v>22.01</v>
      </c>
    </row>
    <row r="1852" spans="31:31" x14ac:dyDescent="0.25">
      <c r="AE1852">
        <v>18.25</v>
      </c>
    </row>
    <row r="1853" spans="31:31" x14ac:dyDescent="0.25">
      <c r="AE1853">
        <v>48.56</v>
      </c>
    </row>
    <row r="1854" spans="31:31" x14ac:dyDescent="0.25">
      <c r="AE1854">
        <v>19.71</v>
      </c>
    </row>
    <row r="1855" spans="31:31" x14ac:dyDescent="0.25">
      <c r="AE1855">
        <v>22.91</v>
      </c>
    </row>
    <row r="1856" spans="31:31" x14ac:dyDescent="0.25">
      <c r="AE1856">
        <v>10.09</v>
      </c>
    </row>
    <row r="1857" spans="31:31" x14ac:dyDescent="0.25">
      <c r="AE1857">
        <v>194.57</v>
      </c>
    </row>
    <row r="1858" spans="31:31" x14ac:dyDescent="0.25">
      <c r="AE1858">
        <v>1.45</v>
      </c>
    </row>
    <row r="1859" spans="31:31" x14ac:dyDescent="0.25">
      <c r="AE1859">
        <v>41.53</v>
      </c>
    </row>
    <row r="1860" spans="31:31" x14ac:dyDescent="0.25">
      <c r="AE1860">
        <v>1.42</v>
      </c>
    </row>
    <row r="1861" spans="31:31" x14ac:dyDescent="0.25">
      <c r="AE1861">
        <v>39.590000000000003</v>
      </c>
    </row>
    <row r="1862" spans="31:31" x14ac:dyDescent="0.25">
      <c r="AE1862">
        <v>39.119999999999997</v>
      </c>
    </row>
    <row r="1863" spans="31:31" x14ac:dyDescent="0.25">
      <c r="AE1863">
        <v>81.38</v>
      </c>
    </row>
    <row r="1864" spans="31:31" x14ac:dyDescent="0.25">
      <c r="AE1864">
        <v>13.33</v>
      </c>
    </row>
    <row r="1865" spans="31:31" x14ac:dyDescent="0.25">
      <c r="AE1865">
        <v>141.71</v>
      </c>
    </row>
    <row r="1866" spans="31:31" x14ac:dyDescent="0.25">
      <c r="AE1866">
        <v>132.99</v>
      </c>
    </row>
    <row r="1867" spans="31:31" x14ac:dyDescent="0.25">
      <c r="AE1867">
        <v>75.569999999999993</v>
      </c>
    </row>
    <row r="1868" spans="31:31" x14ac:dyDescent="0.25">
      <c r="AE1868">
        <v>37.28</v>
      </c>
    </row>
    <row r="1869" spans="31:31" x14ac:dyDescent="0.25">
      <c r="AE1869">
        <v>28.35</v>
      </c>
    </row>
    <row r="1870" spans="31:31" x14ac:dyDescent="0.25">
      <c r="AE1870">
        <v>11.17</v>
      </c>
    </row>
    <row r="1871" spans="31:31" x14ac:dyDescent="0.25">
      <c r="AE1871">
        <v>0.27</v>
      </c>
    </row>
    <row r="1872" spans="31:31" x14ac:dyDescent="0.25">
      <c r="AE1872">
        <v>54.26</v>
      </c>
    </row>
    <row r="1873" spans="31:31" x14ac:dyDescent="0.25">
      <c r="AE1873">
        <v>0.27</v>
      </c>
    </row>
    <row r="1874" spans="31:31" x14ac:dyDescent="0.25">
      <c r="AE1874">
        <v>49.39</v>
      </c>
    </row>
    <row r="1875" spans="31:31" x14ac:dyDescent="0.25">
      <c r="AE1875">
        <v>80.900000000000006</v>
      </c>
    </row>
    <row r="1876" spans="31:31" x14ac:dyDescent="0.25">
      <c r="AE1876">
        <v>45.91</v>
      </c>
    </row>
    <row r="1877" spans="31:31" x14ac:dyDescent="0.25">
      <c r="AE1877">
        <v>10.039999999999999</v>
      </c>
    </row>
    <row r="1878" spans="31:31" x14ac:dyDescent="0.25">
      <c r="AE1878">
        <v>133.6</v>
      </c>
    </row>
    <row r="1879" spans="31:31" x14ac:dyDescent="0.25">
      <c r="AE1879">
        <v>6.09</v>
      </c>
    </row>
    <row r="1880" spans="31:31" x14ac:dyDescent="0.25">
      <c r="AE1880">
        <v>57.59</v>
      </c>
    </row>
    <row r="1881" spans="31:31" x14ac:dyDescent="0.25">
      <c r="AE1881">
        <v>25.21</v>
      </c>
    </row>
    <row r="1882" spans="31:31" x14ac:dyDescent="0.25">
      <c r="AE1882">
        <v>23.59</v>
      </c>
    </row>
    <row r="1883" spans="31:31" x14ac:dyDescent="0.25">
      <c r="AE1883">
        <v>1.08</v>
      </c>
    </row>
    <row r="1884" spans="31:31" x14ac:dyDescent="0.25">
      <c r="AE1884">
        <v>21.66</v>
      </c>
    </row>
    <row r="1885" spans="31:31" x14ac:dyDescent="0.25">
      <c r="AE1885">
        <v>258.88</v>
      </c>
    </row>
    <row r="1886" spans="31:31" x14ac:dyDescent="0.25">
      <c r="AE1886">
        <v>10.09</v>
      </c>
    </row>
    <row r="1887" spans="31:31" x14ac:dyDescent="0.25">
      <c r="AE1887">
        <v>24.63</v>
      </c>
    </row>
    <row r="1888" spans="31:31" x14ac:dyDescent="0.25">
      <c r="AE1888">
        <v>37.67</v>
      </c>
    </row>
    <row r="1889" spans="31:31" x14ac:dyDescent="0.25">
      <c r="AE1889">
        <v>28.95</v>
      </c>
    </row>
    <row r="1890" spans="31:31" x14ac:dyDescent="0.25">
      <c r="AE1890">
        <v>24.78</v>
      </c>
    </row>
    <row r="1891" spans="31:31" x14ac:dyDescent="0.25">
      <c r="AE1891">
        <v>40.67</v>
      </c>
    </row>
    <row r="1892" spans="31:31" x14ac:dyDescent="0.25">
      <c r="AE1892">
        <v>77.349999999999994</v>
      </c>
    </row>
    <row r="1893" spans="31:31" x14ac:dyDescent="0.25">
      <c r="AE1893">
        <v>259.24</v>
      </c>
    </row>
    <row r="1894" spans="31:31" x14ac:dyDescent="0.25">
      <c r="AE1894">
        <v>170.63</v>
      </c>
    </row>
    <row r="1895" spans="31:31" x14ac:dyDescent="0.25">
      <c r="AE1895">
        <v>135.77000000000001</v>
      </c>
    </row>
    <row r="1896" spans="31:31" x14ac:dyDescent="0.25">
      <c r="AE1896">
        <v>109.79</v>
      </c>
    </row>
    <row r="1897" spans="31:31" x14ac:dyDescent="0.25">
      <c r="AE1897">
        <v>101.78</v>
      </c>
    </row>
    <row r="1898" spans="31:31" x14ac:dyDescent="0.25">
      <c r="AE1898">
        <v>100.3</v>
      </c>
    </row>
    <row r="1899" spans="31:31" x14ac:dyDescent="0.25">
      <c r="AE1899">
        <v>96.82</v>
      </c>
    </row>
    <row r="1900" spans="31:31" x14ac:dyDescent="0.25">
      <c r="AE1900">
        <v>92.78</v>
      </c>
    </row>
    <row r="1901" spans="31:31" x14ac:dyDescent="0.25">
      <c r="AE1901">
        <v>92.66</v>
      </c>
    </row>
    <row r="1902" spans="31:31" x14ac:dyDescent="0.25">
      <c r="AE1902">
        <v>73.569999999999993</v>
      </c>
    </row>
    <row r="1903" spans="31:31" x14ac:dyDescent="0.25">
      <c r="AE1903">
        <v>73.349999999999994</v>
      </c>
    </row>
    <row r="1904" spans="31:31" x14ac:dyDescent="0.25">
      <c r="AE1904">
        <v>69.09</v>
      </c>
    </row>
    <row r="1905" spans="31:31" x14ac:dyDescent="0.25">
      <c r="AE1905">
        <v>68.09</v>
      </c>
    </row>
    <row r="1906" spans="31:31" x14ac:dyDescent="0.25">
      <c r="AE1906">
        <v>64.209999999999994</v>
      </c>
    </row>
    <row r="1907" spans="31:31" x14ac:dyDescent="0.25">
      <c r="AE1907">
        <v>55.45</v>
      </c>
    </row>
    <row r="1908" spans="31:31" x14ac:dyDescent="0.25">
      <c r="AE1908">
        <v>50.2</v>
      </c>
    </row>
    <row r="1909" spans="31:31" x14ac:dyDescent="0.25">
      <c r="AE1909">
        <v>49.9</v>
      </c>
    </row>
    <row r="1910" spans="31:31" x14ac:dyDescent="0.25">
      <c r="AE1910">
        <v>37.67</v>
      </c>
    </row>
    <row r="1911" spans="31:31" x14ac:dyDescent="0.25">
      <c r="AE1911">
        <v>35</v>
      </c>
    </row>
    <row r="1912" spans="31:31" x14ac:dyDescent="0.25">
      <c r="AE1912">
        <v>34.94</v>
      </c>
    </row>
    <row r="1913" spans="31:31" x14ac:dyDescent="0.25">
      <c r="AE1913">
        <v>33.619999999999997</v>
      </c>
    </row>
    <row r="1914" spans="31:31" x14ac:dyDescent="0.25">
      <c r="AE1914">
        <v>29.02</v>
      </c>
    </row>
    <row r="1915" spans="31:31" x14ac:dyDescent="0.25">
      <c r="AE1915">
        <v>28.48</v>
      </c>
    </row>
    <row r="1916" spans="31:31" x14ac:dyDescent="0.25">
      <c r="AE1916">
        <v>28.08</v>
      </c>
    </row>
    <row r="1917" spans="31:31" x14ac:dyDescent="0.25">
      <c r="AE1917">
        <v>15.75</v>
      </c>
    </row>
    <row r="1918" spans="31:31" x14ac:dyDescent="0.25">
      <c r="AE1918">
        <v>14.43</v>
      </c>
    </row>
    <row r="1919" spans="31:31" x14ac:dyDescent="0.25">
      <c r="AE1919">
        <v>12.55</v>
      </c>
    </row>
    <row r="1920" spans="31:31" x14ac:dyDescent="0.25">
      <c r="AE1920">
        <v>10.36</v>
      </c>
    </row>
    <row r="1921" spans="31:31" x14ac:dyDescent="0.25">
      <c r="AE1921">
        <v>10.43</v>
      </c>
    </row>
    <row r="1922" spans="31:31" x14ac:dyDescent="0.25">
      <c r="AE1922">
        <v>6.6</v>
      </c>
    </row>
    <row r="1923" spans="31:31" x14ac:dyDescent="0.25">
      <c r="AE1923">
        <v>5.56</v>
      </c>
    </row>
    <row r="1924" spans="31:31" x14ac:dyDescent="0.25">
      <c r="AE1924">
        <v>5.57</v>
      </c>
    </row>
    <row r="1925" spans="31:31" x14ac:dyDescent="0.25">
      <c r="AE1925">
        <v>50.78</v>
      </c>
    </row>
    <row r="1926" spans="31:31" x14ac:dyDescent="0.25">
      <c r="AE1926">
        <v>32.56</v>
      </c>
    </row>
    <row r="1927" spans="31:31" x14ac:dyDescent="0.25">
      <c r="AE1927">
        <v>1.89</v>
      </c>
    </row>
    <row r="1928" spans="31:31" x14ac:dyDescent="0.25">
      <c r="AE1928">
        <v>30.16</v>
      </c>
    </row>
    <row r="1929" spans="31:31" x14ac:dyDescent="0.25">
      <c r="AE1929">
        <v>109.05</v>
      </c>
    </row>
    <row r="1930" spans="31:31" x14ac:dyDescent="0.25">
      <c r="AE1930">
        <v>92.32</v>
      </c>
    </row>
    <row r="1931" spans="31:31" x14ac:dyDescent="0.25">
      <c r="AE1931">
        <v>22.42</v>
      </c>
    </row>
    <row r="1932" spans="31:31" x14ac:dyDescent="0.25">
      <c r="AE1932">
        <v>51.21</v>
      </c>
    </row>
    <row r="1933" spans="31:31" x14ac:dyDescent="0.25">
      <c r="AE1933">
        <v>88.38</v>
      </c>
    </row>
    <row r="1934" spans="31:31" x14ac:dyDescent="0.25">
      <c r="AE1934">
        <v>20.9</v>
      </c>
    </row>
    <row r="1935" spans="31:31" x14ac:dyDescent="0.25">
      <c r="AE1935">
        <v>0.54</v>
      </c>
    </row>
    <row r="1936" spans="31:31" x14ac:dyDescent="0.25">
      <c r="AE1936">
        <v>73.38</v>
      </c>
    </row>
    <row r="1937" spans="31:31" x14ac:dyDescent="0.25">
      <c r="AE1937">
        <v>10.34</v>
      </c>
    </row>
    <row r="1938" spans="31:31" x14ac:dyDescent="0.25">
      <c r="AE1938">
        <v>88.78</v>
      </c>
    </row>
    <row r="1939" spans="31:31" x14ac:dyDescent="0.25">
      <c r="AE1939">
        <v>24.4</v>
      </c>
    </row>
    <row r="1940" spans="31:31" x14ac:dyDescent="0.25">
      <c r="AE1940">
        <v>117.32</v>
      </c>
    </row>
    <row r="1941" spans="31:31" x14ac:dyDescent="0.25">
      <c r="AE1941">
        <v>27.92</v>
      </c>
    </row>
    <row r="1942" spans="31:31" x14ac:dyDescent="0.25">
      <c r="AE1942">
        <v>55.45</v>
      </c>
    </row>
    <row r="1943" spans="31:31" x14ac:dyDescent="0.25">
      <c r="AE1943">
        <v>28.08</v>
      </c>
    </row>
    <row r="1944" spans="31:31" x14ac:dyDescent="0.25">
      <c r="AE1944">
        <v>61.05</v>
      </c>
    </row>
    <row r="1945" spans="31:31" x14ac:dyDescent="0.25">
      <c r="AE1945">
        <v>10.73</v>
      </c>
    </row>
    <row r="1946" spans="31:31" x14ac:dyDescent="0.25">
      <c r="AE1946">
        <v>95.69</v>
      </c>
    </row>
    <row r="1947" spans="31:31" x14ac:dyDescent="0.25">
      <c r="AE1947">
        <v>30.78</v>
      </c>
    </row>
    <row r="1948" spans="31:31" x14ac:dyDescent="0.25">
      <c r="AE1948">
        <v>67.84</v>
      </c>
    </row>
    <row r="1949" spans="31:31" x14ac:dyDescent="0.25">
      <c r="AE1949">
        <v>110.1</v>
      </c>
    </row>
    <row r="1950" spans="31:31" x14ac:dyDescent="0.25">
      <c r="AE1950">
        <v>104.27</v>
      </c>
    </row>
    <row r="1951" spans="31:31" x14ac:dyDescent="0.25">
      <c r="AE1951">
        <v>100.48</v>
      </c>
    </row>
    <row r="1952" spans="31:31" x14ac:dyDescent="0.25">
      <c r="AE1952">
        <v>83.71</v>
      </c>
    </row>
    <row r="1953" spans="31:31" x14ac:dyDescent="0.25">
      <c r="AE1953">
        <v>80.55</v>
      </c>
    </row>
    <row r="1954" spans="31:31" x14ac:dyDescent="0.25">
      <c r="AE1954">
        <v>63.98</v>
      </c>
    </row>
    <row r="1955" spans="31:31" x14ac:dyDescent="0.25">
      <c r="AE1955">
        <v>63.52</v>
      </c>
    </row>
    <row r="1956" spans="31:31" x14ac:dyDescent="0.25">
      <c r="AE1956">
        <v>53.3</v>
      </c>
    </row>
    <row r="1957" spans="31:31" x14ac:dyDescent="0.25">
      <c r="AE1957">
        <v>53.01</v>
      </c>
    </row>
    <row r="1958" spans="31:31" x14ac:dyDescent="0.25">
      <c r="AE1958">
        <v>37.68</v>
      </c>
    </row>
    <row r="1959" spans="31:31" x14ac:dyDescent="0.25">
      <c r="AE1959">
        <v>97.69</v>
      </c>
    </row>
    <row r="1960" spans="31:31" x14ac:dyDescent="0.25">
      <c r="AE1960">
        <v>19.87</v>
      </c>
    </row>
    <row r="1961" spans="31:31" x14ac:dyDescent="0.25">
      <c r="AE1961">
        <v>2</v>
      </c>
    </row>
    <row r="1962" spans="31:31" x14ac:dyDescent="0.25">
      <c r="AE1962">
        <v>1.4</v>
      </c>
    </row>
    <row r="1963" spans="31:31" x14ac:dyDescent="0.25">
      <c r="AE1963">
        <v>0.27</v>
      </c>
    </row>
    <row r="1964" spans="31:31" x14ac:dyDescent="0.25">
      <c r="AE1964">
        <v>50.47</v>
      </c>
    </row>
    <row r="1965" spans="31:31" x14ac:dyDescent="0.25">
      <c r="AE1965">
        <v>0.54</v>
      </c>
    </row>
    <row r="1966" spans="31:31" x14ac:dyDescent="0.25">
      <c r="AE1966">
        <v>10.24</v>
      </c>
    </row>
    <row r="1967" spans="31:31" x14ac:dyDescent="0.25">
      <c r="AE1967">
        <v>9.99</v>
      </c>
    </row>
    <row r="1968" spans="31:31" x14ac:dyDescent="0.25">
      <c r="AE1968">
        <v>52.31</v>
      </c>
    </row>
    <row r="1970" spans="31:31" x14ac:dyDescent="0.25">
      <c r="AE1970">
        <v>143.41</v>
      </c>
    </row>
    <row r="1971" spans="31:31" x14ac:dyDescent="0.25">
      <c r="AE1971">
        <v>54.57</v>
      </c>
    </row>
    <row r="1972" spans="31:31" x14ac:dyDescent="0.25">
      <c r="AE1972">
        <v>81.7</v>
      </c>
    </row>
    <row r="1975" spans="31:31" x14ac:dyDescent="0.25">
      <c r="AE1975">
        <v>41.62</v>
      </c>
    </row>
    <row r="1977" spans="31:31" x14ac:dyDescent="0.25">
      <c r="AE1977">
        <v>9.99</v>
      </c>
    </row>
    <row r="1979" spans="31:31" x14ac:dyDescent="0.25">
      <c r="AE1979">
        <v>9.99</v>
      </c>
    </row>
    <row r="1981" spans="31:31" x14ac:dyDescent="0.25">
      <c r="AE1981">
        <v>9.99</v>
      </c>
    </row>
    <row r="1982" spans="31:31" x14ac:dyDescent="0.25">
      <c r="AE1982">
        <v>9.99</v>
      </c>
    </row>
    <row r="1984" spans="31:31" x14ac:dyDescent="0.25">
      <c r="AE1984">
        <v>51.52</v>
      </c>
    </row>
    <row r="1988" spans="31:31" x14ac:dyDescent="0.25">
      <c r="AE1988">
        <v>91.74</v>
      </c>
    </row>
    <row r="1989" spans="31:31" x14ac:dyDescent="0.25">
      <c r="AE1989">
        <v>9.99</v>
      </c>
    </row>
    <row r="1992" spans="31:31" x14ac:dyDescent="0.25">
      <c r="AE1992">
        <v>9.99</v>
      </c>
    </row>
    <row r="1993" spans="31:31" x14ac:dyDescent="0.25">
      <c r="AE1993">
        <v>39.97</v>
      </c>
    </row>
    <row r="1995" spans="31:31" x14ac:dyDescent="0.25">
      <c r="AE1995">
        <v>20.38</v>
      </c>
    </row>
    <row r="1998" spans="31:31" x14ac:dyDescent="0.25">
      <c r="AE1998">
        <v>27</v>
      </c>
    </row>
    <row r="1999" spans="31:31" x14ac:dyDescent="0.25">
      <c r="AE1999">
        <v>9.99</v>
      </c>
    </row>
    <row r="2002" spans="31:31" x14ac:dyDescent="0.25">
      <c r="AE2002">
        <v>23.61</v>
      </c>
    </row>
    <row r="2003" spans="31:31" x14ac:dyDescent="0.25">
      <c r="AE2003">
        <v>18.72</v>
      </c>
    </row>
    <row r="2004" spans="31:31" x14ac:dyDescent="0.25">
      <c r="AE2004">
        <v>17.07</v>
      </c>
    </row>
    <row r="2005" spans="31:31" x14ac:dyDescent="0.25">
      <c r="AE2005">
        <v>13.09</v>
      </c>
    </row>
    <row r="2006" spans="31:31" x14ac:dyDescent="0.25">
      <c r="AE2006">
        <v>18.91</v>
      </c>
    </row>
    <row r="2007" spans="31:31" x14ac:dyDescent="0.25">
      <c r="AE2007">
        <v>25.3</v>
      </c>
    </row>
    <row r="2008" spans="31:31" x14ac:dyDescent="0.25">
      <c r="AE2008">
        <v>40.83</v>
      </c>
    </row>
    <row r="2009" spans="31:31" x14ac:dyDescent="0.25">
      <c r="AE2009">
        <v>28.93</v>
      </c>
    </row>
    <row r="2010" spans="31:31" x14ac:dyDescent="0.25">
      <c r="AE2010">
        <v>51.01</v>
      </c>
    </row>
    <row r="2011" spans="31:31" x14ac:dyDescent="0.25">
      <c r="AE2011">
        <v>40.020000000000003</v>
      </c>
    </row>
    <row r="2012" spans="31:31" x14ac:dyDescent="0.25">
      <c r="AE2012">
        <v>67.27</v>
      </c>
    </row>
    <row r="2013" spans="31:31" x14ac:dyDescent="0.25">
      <c r="AE2013">
        <v>23.34</v>
      </c>
    </row>
    <row r="2014" spans="31:31" x14ac:dyDescent="0.25">
      <c r="AE2014">
        <v>51.48</v>
      </c>
    </row>
    <row r="2015" spans="31:31" x14ac:dyDescent="0.25">
      <c r="AE2015">
        <v>45.08</v>
      </c>
    </row>
    <row r="2016" spans="31:31" x14ac:dyDescent="0.25">
      <c r="AE2016">
        <v>9.99</v>
      </c>
    </row>
    <row r="2017" spans="31:31" x14ac:dyDescent="0.25">
      <c r="AE2017">
        <v>54.66</v>
      </c>
    </row>
    <row r="2018" spans="31:31" x14ac:dyDescent="0.25">
      <c r="AE2018">
        <v>21.2</v>
      </c>
    </row>
    <row r="2019" spans="31:31" x14ac:dyDescent="0.25">
      <c r="AE2019">
        <v>45.05</v>
      </c>
    </row>
    <row r="2020" spans="31:31" x14ac:dyDescent="0.25">
      <c r="AE2020">
        <v>70.989999999999995</v>
      </c>
    </row>
    <row r="2021" spans="31:31" x14ac:dyDescent="0.25">
      <c r="AE2021">
        <v>66.39</v>
      </c>
    </row>
    <row r="2022" spans="31:31" x14ac:dyDescent="0.25">
      <c r="AE2022">
        <v>48.44</v>
      </c>
    </row>
    <row r="2023" spans="31:31" x14ac:dyDescent="0.25">
      <c r="AE2023">
        <v>54.49</v>
      </c>
    </row>
    <row r="2024" spans="31:31" x14ac:dyDescent="0.25">
      <c r="AE2024">
        <v>48.65</v>
      </c>
    </row>
    <row r="2025" spans="31:31" x14ac:dyDescent="0.25">
      <c r="AE2025">
        <v>32.64</v>
      </c>
    </row>
    <row r="2026" spans="31:31" x14ac:dyDescent="0.25">
      <c r="AE2026">
        <v>28.28</v>
      </c>
    </row>
    <row r="2027" spans="31:31" x14ac:dyDescent="0.25">
      <c r="AE2027">
        <v>46.35</v>
      </c>
    </row>
    <row r="2028" spans="31:31" x14ac:dyDescent="0.25">
      <c r="AE2028">
        <v>26.94</v>
      </c>
    </row>
    <row r="2029" spans="31:31" x14ac:dyDescent="0.25">
      <c r="AE2029">
        <v>10.29</v>
      </c>
    </row>
    <row r="2030" spans="31:31" x14ac:dyDescent="0.25">
      <c r="AE2030">
        <v>64.989999999999995</v>
      </c>
    </row>
    <row r="2031" spans="31:31" x14ac:dyDescent="0.25">
      <c r="AE2031">
        <v>42.15</v>
      </c>
    </row>
    <row r="2032" spans="31:31" x14ac:dyDescent="0.25">
      <c r="AE2032">
        <v>9.99</v>
      </c>
    </row>
    <row r="2033" spans="31:31" x14ac:dyDescent="0.25">
      <c r="AE2033">
        <v>81.349999999999994</v>
      </c>
    </row>
    <row r="2034" spans="31:31" x14ac:dyDescent="0.25">
      <c r="AE2034">
        <v>78.36</v>
      </c>
    </row>
    <row r="2035" spans="31:31" x14ac:dyDescent="0.25">
      <c r="AE2035">
        <v>27.83</v>
      </c>
    </row>
    <row r="2036" spans="31:31" x14ac:dyDescent="0.25">
      <c r="AE2036">
        <v>28.44</v>
      </c>
    </row>
    <row r="2037" spans="31:31" x14ac:dyDescent="0.25">
      <c r="AE2037">
        <v>0.18</v>
      </c>
    </row>
    <row r="2038" spans="31:31" x14ac:dyDescent="0.25">
      <c r="AE2038">
        <v>152.38</v>
      </c>
    </row>
    <row r="2039" spans="31:31" x14ac:dyDescent="0.25">
      <c r="AE2039">
        <v>10.24</v>
      </c>
    </row>
    <row r="2040" spans="31:31" x14ac:dyDescent="0.25">
      <c r="AE2040">
        <v>26.26</v>
      </c>
    </row>
    <row r="2041" spans="31:31" x14ac:dyDescent="0.25">
      <c r="AE2041">
        <v>53.4</v>
      </c>
    </row>
    <row r="2042" spans="31:31" x14ac:dyDescent="0.25">
      <c r="AE2042">
        <v>60.3</v>
      </c>
    </row>
    <row r="2043" spans="31:31" x14ac:dyDescent="0.25">
      <c r="AE2043">
        <v>88.98</v>
      </c>
    </row>
    <row r="2044" spans="31:31" x14ac:dyDescent="0.25">
      <c r="AE2044">
        <v>32.85</v>
      </c>
    </row>
    <row r="2045" spans="31:31" x14ac:dyDescent="0.25">
      <c r="AE2045">
        <v>18.21</v>
      </c>
    </row>
    <row r="2046" spans="31:31" x14ac:dyDescent="0.25">
      <c r="AE2046">
        <v>103.23</v>
      </c>
    </row>
    <row r="2047" spans="31:31" x14ac:dyDescent="0.25">
      <c r="AE2047">
        <v>51.24</v>
      </c>
    </row>
    <row r="2048" spans="31:31" x14ac:dyDescent="0.25">
      <c r="AE2048">
        <v>49.98</v>
      </c>
    </row>
    <row r="2049" spans="31:31" x14ac:dyDescent="0.25">
      <c r="AE2049">
        <v>41.32</v>
      </c>
    </row>
    <row r="2050" spans="31:31" x14ac:dyDescent="0.25">
      <c r="AE2050">
        <v>54.22</v>
      </c>
    </row>
    <row r="2051" spans="31:31" x14ac:dyDescent="0.25">
      <c r="AE2051">
        <v>45.49</v>
      </c>
    </row>
    <row r="2052" spans="31:31" x14ac:dyDescent="0.25">
      <c r="AE2052">
        <v>10.97</v>
      </c>
    </row>
    <row r="2053" spans="31:31" x14ac:dyDescent="0.25">
      <c r="AE2053">
        <v>65.64</v>
      </c>
    </row>
    <row r="2054" spans="31:31" x14ac:dyDescent="0.25">
      <c r="AE2054">
        <v>15.2</v>
      </c>
    </row>
    <row r="2055" spans="31:31" x14ac:dyDescent="0.25">
      <c r="AE2055">
        <v>35.11</v>
      </c>
    </row>
    <row r="2056" spans="31:31" x14ac:dyDescent="0.25">
      <c r="AE2056">
        <v>10.29</v>
      </c>
    </row>
    <row r="2057" spans="31:31" x14ac:dyDescent="0.25">
      <c r="AE2057">
        <v>13.06</v>
      </c>
    </row>
    <row r="2058" spans="31:31" x14ac:dyDescent="0.25">
      <c r="AE2058">
        <v>34.15</v>
      </c>
    </row>
    <row r="2059" spans="31:31" x14ac:dyDescent="0.25">
      <c r="AE2059">
        <v>120</v>
      </c>
    </row>
    <row r="2060" spans="31:31" x14ac:dyDescent="0.25">
      <c r="AE2060">
        <v>19.73</v>
      </c>
    </row>
    <row r="2061" spans="31:31" x14ac:dyDescent="0.25">
      <c r="AE2061">
        <v>60.59</v>
      </c>
    </row>
    <row r="2062" spans="31:31" x14ac:dyDescent="0.25">
      <c r="AE2062">
        <v>14.03</v>
      </c>
    </row>
    <row r="2063" spans="31:31" x14ac:dyDescent="0.25">
      <c r="AE2063">
        <v>51.54</v>
      </c>
    </row>
    <row r="2064" spans="31:31" x14ac:dyDescent="0.25">
      <c r="AE2064">
        <v>21.53</v>
      </c>
    </row>
    <row r="2065" spans="31:31" x14ac:dyDescent="0.25">
      <c r="AE2065">
        <v>60.17</v>
      </c>
    </row>
    <row r="2066" spans="31:31" x14ac:dyDescent="0.25">
      <c r="AE2066">
        <v>103.01</v>
      </c>
    </row>
    <row r="2067" spans="31:31" x14ac:dyDescent="0.25">
      <c r="AE2067">
        <v>49.11</v>
      </c>
    </row>
    <row r="2068" spans="31:31" x14ac:dyDescent="0.25">
      <c r="AE2068">
        <v>19.829999999999998</v>
      </c>
    </row>
    <row r="2069" spans="31:31" x14ac:dyDescent="0.25">
      <c r="AE2069">
        <v>43.08</v>
      </c>
    </row>
    <row r="2070" spans="31:31" x14ac:dyDescent="0.25">
      <c r="AE2070">
        <v>57.44</v>
      </c>
    </row>
    <row r="2071" spans="31:31" x14ac:dyDescent="0.25">
      <c r="AE2071">
        <v>83.05</v>
      </c>
    </row>
    <row r="2072" spans="31:31" x14ac:dyDescent="0.25">
      <c r="AE2072">
        <v>53.94</v>
      </c>
    </row>
    <row r="2073" spans="31:31" x14ac:dyDescent="0.25">
      <c r="AE2073">
        <v>53.43</v>
      </c>
    </row>
    <row r="2074" spans="31:31" x14ac:dyDescent="0.25">
      <c r="AE2074">
        <v>161.74</v>
      </c>
    </row>
    <row r="2075" spans="31:31" x14ac:dyDescent="0.25">
      <c r="AE2075">
        <v>10.09</v>
      </c>
    </row>
    <row r="2076" spans="31:31" x14ac:dyDescent="0.25">
      <c r="AE2076">
        <v>167.41</v>
      </c>
    </row>
    <row r="2077" spans="31:31" x14ac:dyDescent="0.25">
      <c r="AE2077">
        <v>204.59</v>
      </c>
    </row>
    <row r="2078" spans="31:31" x14ac:dyDescent="0.25">
      <c r="AE2078">
        <v>17.16</v>
      </c>
    </row>
    <row r="2079" spans="31:31" x14ac:dyDescent="0.25">
      <c r="AE2079">
        <v>28.56</v>
      </c>
    </row>
    <row r="2080" spans="31:31" x14ac:dyDescent="0.25">
      <c r="AE2080">
        <v>109.08</v>
      </c>
    </row>
    <row r="2081" spans="31:31" x14ac:dyDescent="0.25">
      <c r="AE2081">
        <v>134.11000000000001</v>
      </c>
    </row>
    <row r="2082" spans="31:31" x14ac:dyDescent="0.25">
      <c r="AE2082">
        <v>10.24</v>
      </c>
    </row>
    <row r="2083" spans="31:31" x14ac:dyDescent="0.25">
      <c r="AE2083">
        <v>10.039999999999999</v>
      </c>
    </row>
    <row r="2084" spans="31:31" x14ac:dyDescent="0.25">
      <c r="AE2084">
        <v>41.55</v>
      </c>
    </row>
    <row r="2085" spans="31:31" x14ac:dyDescent="0.25">
      <c r="AE2085">
        <v>34.270000000000003</v>
      </c>
    </row>
    <row r="2086" spans="31:31" x14ac:dyDescent="0.25">
      <c r="AE2086">
        <v>41.85</v>
      </c>
    </row>
    <row r="2087" spans="31:31" x14ac:dyDescent="0.25">
      <c r="AE2087">
        <v>77.510000000000005</v>
      </c>
    </row>
    <row r="2088" spans="31:31" x14ac:dyDescent="0.25">
      <c r="AE2088">
        <v>98.21</v>
      </c>
    </row>
    <row r="2089" spans="31:31" x14ac:dyDescent="0.25">
      <c r="AE2089">
        <v>36.72</v>
      </c>
    </row>
    <row r="2090" spans="31:31" x14ac:dyDescent="0.25">
      <c r="AE2090">
        <v>78.33</v>
      </c>
    </row>
    <row r="2091" spans="31:31" x14ac:dyDescent="0.25">
      <c r="AE2091">
        <v>76.2</v>
      </c>
    </row>
    <row r="2092" spans="31:31" x14ac:dyDescent="0.25">
      <c r="AE2092">
        <v>37.409999999999997</v>
      </c>
    </row>
    <row r="2093" spans="31:31" x14ac:dyDescent="0.25">
      <c r="AE2093">
        <v>61.72</v>
      </c>
    </row>
    <row r="2094" spans="31:31" x14ac:dyDescent="0.25">
      <c r="AE2094">
        <v>28.43</v>
      </c>
    </row>
    <row r="2095" spans="31:31" x14ac:dyDescent="0.25">
      <c r="AE2095">
        <v>20.21</v>
      </c>
    </row>
    <row r="2096" spans="31:31" x14ac:dyDescent="0.25">
      <c r="AE2096">
        <v>43.18</v>
      </c>
    </row>
    <row r="2097" spans="31:31" x14ac:dyDescent="0.25">
      <c r="AE2097">
        <v>52.03</v>
      </c>
    </row>
    <row r="2098" spans="31:31" x14ac:dyDescent="0.25">
      <c r="AE2098">
        <v>54.56</v>
      </c>
    </row>
    <row r="2099" spans="31:31" x14ac:dyDescent="0.25">
      <c r="AE2099">
        <v>60.58</v>
      </c>
    </row>
    <row r="2100" spans="31:31" x14ac:dyDescent="0.25">
      <c r="AE2100">
        <v>36.54</v>
      </c>
    </row>
    <row r="2101" spans="31:31" x14ac:dyDescent="0.25">
      <c r="AE2101">
        <v>92.46</v>
      </c>
    </row>
    <row r="2102" spans="31:31" x14ac:dyDescent="0.25">
      <c r="AE2102">
        <v>16.97</v>
      </c>
    </row>
    <row r="2103" spans="31:31" x14ac:dyDescent="0.25">
      <c r="AE2103">
        <v>13.05</v>
      </c>
    </row>
    <row r="2104" spans="31:31" x14ac:dyDescent="0.25">
      <c r="AE2104">
        <v>17.489999999999998</v>
      </c>
    </row>
    <row r="2105" spans="31:31" x14ac:dyDescent="0.25">
      <c r="AE2105">
        <v>35.770000000000003</v>
      </c>
    </row>
    <row r="2106" spans="31:31" x14ac:dyDescent="0.25">
      <c r="AE2106">
        <v>74.84</v>
      </c>
    </row>
    <row r="2107" spans="31:31" x14ac:dyDescent="0.25">
      <c r="AE2107">
        <v>10.14</v>
      </c>
    </row>
    <row r="2108" spans="31:31" x14ac:dyDescent="0.25">
      <c r="AE2108">
        <v>47.52</v>
      </c>
    </row>
    <row r="2109" spans="31:31" x14ac:dyDescent="0.25">
      <c r="AE2109">
        <v>35.94</v>
      </c>
    </row>
    <row r="2110" spans="31:31" x14ac:dyDescent="0.25">
      <c r="AE2110">
        <v>87.3</v>
      </c>
    </row>
    <row r="2111" spans="31:31" x14ac:dyDescent="0.25">
      <c r="AE2111">
        <v>10.039999999999999</v>
      </c>
    </row>
    <row r="2112" spans="31:31" x14ac:dyDescent="0.25">
      <c r="AE2112">
        <v>20.43</v>
      </c>
    </row>
    <row r="2113" spans="31:31" x14ac:dyDescent="0.25">
      <c r="AE2113">
        <v>47.36</v>
      </c>
    </row>
    <row r="2114" spans="31:31" x14ac:dyDescent="0.25">
      <c r="AE2114">
        <v>201.57</v>
      </c>
    </row>
    <row r="2115" spans="31:31" x14ac:dyDescent="0.25">
      <c r="AE2115">
        <v>66.33</v>
      </c>
    </row>
    <row r="2116" spans="31:31" x14ac:dyDescent="0.25">
      <c r="AE2116">
        <v>78.12</v>
      </c>
    </row>
    <row r="2117" spans="31:31" x14ac:dyDescent="0.25">
      <c r="AE2117">
        <v>35.68</v>
      </c>
    </row>
    <row r="2118" spans="31:31" x14ac:dyDescent="0.25">
      <c r="AE2118">
        <v>31.41</v>
      </c>
    </row>
    <row r="2119" spans="31:31" x14ac:dyDescent="0.25">
      <c r="AE2119">
        <v>29.22</v>
      </c>
    </row>
    <row r="2120" spans="31:31" x14ac:dyDescent="0.25">
      <c r="AE2120">
        <v>51.03</v>
      </c>
    </row>
    <row r="2121" spans="31:31" x14ac:dyDescent="0.25">
      <c r="AE2121">
        <v>131.87</v>
      </c>
    </row>
    <row r="2122" spans="31:31" x14ac:dyDescent="0.25">
      <c r="AE2122">
        <v>13.65</v>
      </c>
    </row>
    <row r="2123" spans="31:31" x14ac:dyDescent="0.25">
      <c r="AE2123">
        <v>34.270000000000003</v>
      </c>
    </row>
    <row r="2124" spans="31:31" x14ac:dyDescent="0.25">
      <c r="AE2124">
        <v>138.19999999999999</v>
      </c>
    </row>
    <row r="2125" spans="31:31" x14ac:dyDescent="0.25">
      <c r="AE2125">
        <v>16.43</v>
      </c>
    </row>
    <row r="2126" spans="31:31" x14ac:dyDescent="0.25">
      <c r="AE2126">
        <v>18.88</v>
      </c>
    </row>
    <row r="2127" spans="31:31" x14ac:dyDescent="0.25">
      <c r="AE2127">
        <v>140.01</v>
      </c>
    </row>
    <row r="2128" spans="31:31" x14ac:dyDescent="0.25">
      <c r="AE2128">
        <v>43.08</v>
      </c>
    </row>
    <row r="2129" spans="31:31" x14ac:dyDescent="0.25">
      <c r="AE2129">
        <v>81.17</v>
      </c>
    </row>
    <row r="2130" spans="31:31" x14ac:dyDescent="0.25">
      <c r="AE2130">
        <v>22.71</v>
      </c>
    </row>
    <row r="2131" spans="31:31" x14ac:dyDescent="0.25">
      <c r="AE2131">
        <v>48.69</v>
      </c>
    </row>
    <row r="2132" spans="31:31" x14ac:dyDescent="0.25">
      <c r="AE2132">
        <v>24.41</v>
      </c>
    </row>
    <row r="2133" spans="31:31" x14ac:dyDescent="0.25">
      <c r="AE2133">
        <v>37.090000000000003</v>
      </c>
    </row>
    <row r="2134" spans="31:31" x14ac:dyDescent="0.25">
      <c r="AE2134">
        <v>41.17</v>
      </c>
    </row>
    <row r="2135" spans="31:31" x14ac:dyDescent="0.25">
      <c r="AE2135">
        <v>25.59</v>
      </c>
    </row>
    <row r="2136" spans="31:31" x14ac:dyDescent="0.25">
      <c r="AE2136">
        <v>63.74</v>
      </c>
    </row>
    <row r="2137" spans="31:31" x14ac:dyDescent="0.25">
      <c r="AE2137">
        <v>57.43</v>
      </c>
    </row>
    <row r="2138" spans="31:31" x14ac:dyDescent="0.25">
      <c r="AE2138">
        <v>175.86</v>
      </c>
    </row>
    <row r="2139" spans="31:31" x14ac:dyDescent="0.25">
      <c r="AE2139">
        <v>24.15</v>
      </c>
    </row>
    <row r="2140" spans="31:31" x14ac:dyDescent="0.25">
      <c r="AE2140">
        <v>70.709999999999994</v>
      </c>
    </row>
    <row r="2141" spans="31:31" x14ac:dyDescent="0.25">
      <c r="AE2141">
        <v>1.37</v>
      </c>
    </row>
    <row r="2142" spans="31:31" x14ac:dyDescent="0.25">
      <c r="AE2142">
        <v>0</v>
      </c>
    </row>
    <row r="2143" spans="31:31" x14ac:dyDescent="0.25">
      <c r="AE2143">
        <v>156.28</v>
      </c>
    </row>
    <row r="2144" spans="31:31" x14ac:dyDescent="0.25">
      <c r="AE2144">
        <v>0.27</v>
      </c>
    </row>
    <row r="2145" spans="31:31" x14ac:dyDescent="0.25">
      <c r="AE2145">
        <v>105.19</v>
      </c>
    </row>
    <row r="2146" spans="31:31" x14ac:dyDescent="0.25">
      <c r="AE2146">
        <v>22.83</v>
      </c>
    </row>
    <row r="2147" spans="31:31" x14ac:dyDescent="0.25">
      <c r="AE2147">
        <v>24.26</v>
      </c>
    </row>
    <row r="2148" spans="31:31" x14ac:dyDescent="0.25">
      <c r="AE2148">
        <v>115.43</v>
      </c>
    </row>
    <row r="2149" spans="31:31" x14ac:dyDescent="0.25">
      <c r="AE2149">
        <v>27.99</v>
      </c>
    </row>
    <row r="2150" spans="31:31" x14ac:dyDescent="0.25">
      <c r="AE2150">
        <v>0.43</v>
      </c>
    </row>
    <row r="2151" spans="31:31" x14ac:dyDescent="0.25">
      <c r="AE2151">
        <v>1.1399999999999999</v>
      </c>
    </row>
    <row r="2152" spans="31:31" x14ac:dyDescent="0.25">
      <c r="AE2152">
        <v>112.12</v>
      </c>
    </row>
    <row r="2153" spans="31:31" x14ac:dyDescent="0.25">
      <c r="AE2153">
        <v>2.57</v>
      </c>
    </row>
    <row r="2154" spans="31:31" x14ac:dyDescent="0.25">
      <c r="AE2154">
        <v>16.48</v>
      </c>
    </row>
    <row r="2155" spans="31:31" x14ac:dyDescent="0.25">
      <c r="AE2155">
        <v>10.39</v>
      </c>
    </row>
    <row r="2156" spans="31:31" x14ac:dyDescent="0.25">
      <c r="AE2156">
        <v>46.09</v>
      </c>
    </row>
    <row r="2157" spans="31:31" x14ac:dyDescent="0.25">
      <c r="AE2157">
        <v>78.010000000000005</v>
      </c>
    </row>
    <row r="2158" spans="31:31" x14ac:dyDescent="0.25">
      <c r="AE2158">
        <v>56.71</v>
      </c>
    </row>
    <row r="2159" spans="31:31" x14ac:dyDescent="0.25">
      <c r="AE2159">
        <v>72.739999999999995</v>
      </c>
    </row>
    <row r="2160" spans="31:31" x14ac:dyDescent="0.25">
      <c r="AE2160">
        <v>6.08</v>
      </c>
    </row>
    <row r="2161" spans="31:31" x14ac:dyDescent="0.25">
      <c r="AE2161">
        <v>53.7</v>
      </c>
    </row>
    <row r="2162" spans="31:31" x14ac:dyDescent="0.25">
      <c r="AE2162">
        <v>42.19</v>
      </c>
    </row>
    <row r="2163" spans="31:31" x14ac:dyDescent="0.25">
      <c r="AE2163">
        <v>22.67</v>
      </c>
    </row>
    <row r="2164" spans="31:31" x14ac:dyDescent="0.25">
      <c r="AE2164">
        <v>10.44</v>
      </c>
    </row>
    <row r="2165" spans="31:31" x14ac:dyDescent="0.25">
      <c r="AE2165">
        <v>29.62</v>
      </c>
    </row>
    <row r="2166" spans="31:31" x14ac:dyDescent="0.25">
      <c r="AE2166">
        <v>10.46</v>
      </c>
    </row>
    <row r="2167" spans="31:31" x14ac:dyDescent="0.25">
      <c r="AE2167">
        <v>82.36</v>
      </c>
    </row>
    <row r="2168" spans="31:31" x14ac:dyDescent="0.25">
      <c r="AE2168">
        <v>86.49</v>
      </c>
    </row>
    <row r="2169" spans="31:31" x14ac:dyDescent="0.25">
      <c r="AE2169">
        <v>12.69</v>
      </c>
    </row>
    <row r="2170" spans="31:31" x14ac:dyDescent="0.25">
      <c r="AE2170">
        <v>238.5</v>
      </c>
    </row>
    <row r="2171" spans="31:31" x14ac:dyDescent="0.25">
      <c r="AE2171">
        <v>56.86</v>
      </c>
    </row>
    <row r="2172" spans="31:31" x14ac:dyDescent="0.25">
      <c r="AE2172">
        <v>31.54</v>
      </c>
    </row>
    <row r="2173" spans="31:31" x14ac:dyDescent="0.25">
      <c r="AE2173">
        <v>48.75</v>
      </c>
    </row>
    <row r="2174" spans="31:31" x14ac:dyDescent="0.25">
      <c r="AE2174">
        <v>103.26</v>
      </c>
    </row>
    <row r="2175" spans="31:31" x14ac:dyDescent="0.25">
      <c r="AE2175">
        <v>122.03</v>
      </c>
    </row>
    <row r="2176" spans="31:31" x14ac:dyDescent="0.25">
      <c r="AE2176">
        <v>75.83</v>
      </c>
    </row>
    <row r="2177" spans="31:31" x14ac:dyDescent="0.25">
      <c r="AE2177">
        <v>73.08</v>
      </c>
    </row>
    <row r="2178" spans="31:31" x14ac:dyDescent="0.25">
      <c r="AE2178">
        <v>16.829999999999998</v>
      </c>
    </row>
    <row r="2179" spans="31:31" x14ac:dyDescent="0.25">
      <c r="AE2179">
        <v>52.92</v>
      </c>
    </row>
    <row r="2180" spans="31:31" x14ac:dyDescent="0.25">
      <c r="AE2180">
        <v>65.19</v>
      </c>
    </row>
    <row r="2181" spans="31:31" x14ac:dyDescent="0.25">
      <c r="AE2181">
        <v>29.36</v>
      </c>
    </row>
    <row r="2182" spans="31:31" x14ac:dyDescent="0.25">
      <c r="AE2182">
        <v>28.72</v>
      </c>
    </row>
    <row r="2183" spans="31:31" x14ac:dyDescent="0.25">
      <c r="AE2183">
        <v>10.09</v>
      </c>
    </row>
    <row r="2184" spans="31:31" x14ac:dyDescent="0.25">
      <c r="AE2184">
        <v>18.95</v>
      </c>
    </row>
    <row r="2185" spans="31:31" x14ac:dyDescent="0.25">
      <c r="AE2185">
        <v>19.61</v>
      </c>
    </row>
    <row r="2186" spans="31:31" x14ac:dyDescent="0.25">
      <c r="AE2186">
        <v>0.36</v>
      </c>
    </row>
    <row r="2187" spans="31:31" x14ac:dyDescent="0.25">
      <c r="AE2187">
        <v>16.72</v>
      </c>
    </row>
    <row r="2188" spans="31:31" x14ac:dyDescent="0.25">
      <c r="AE2188">
        <v>15.05</v>
      </c>
    </row>
    <row r="2189" spans="31:31" x14ac:dyDescent="0.25">
      <c r="AE2189">
        <v>53.42</v>
      </c>
    </row>
    <row r="2190" spans="31:31" x14ac:dyDescent="0.25">
      <c r="AE2190">
        <v>17.170000000000002</v>
      </c>
    </row>
    <row r="2191" spans="31:31" x14ac:dyDescent="0.25">
      <c r="AE2191">
        <v>72.75</v>
      </c>
    </row>
    <row r="2192" spans="31:31" x14ac:dyDescent="0.25">
      <c r="AE2192">
        <v>26.77</v>
      </c>
    </row>
    <row r="2193" spans="31:31" x14ac:dyDescent="0.25">
      <c r="AE2193">
        <v>36.630000000000003</v>
      </c>
    </row>
    <row r="2194" spans="31:31" x14ac:dyDescent="0.25">
      <c r="AE2194">
        <v>10.85</v>
      </c>
    </row>
    <row r="2195" spans="31:31" x14ac:dyDescent="0.25">
      <c r="AE2195">
        <v>63.87</v>
      </c>
    </row>
    <row r="2196" spans="31:31" x14ac:dyDescent="0.25">
      <c r="AE2196">
        <v>48.76</v>
      </c>
    </row>
    <row r="2197" spans="31:31" x14ac:dyDescent="0.25">
      <c r="AE2197">
        <v>44.76</v>
      </c>
    </row>
    <row r="2198" spans="31:31" x14ac:dyDescent="0.25">
      <c r="AE2198">
        <v>43.56</v>
      </c>
    </row>
    <row r="2199" spans="31:31" x14ac:dyDescent="0.25">
      <c r="AE2199">
        <v>97.14</v>
      </c>
    </row>
    <row r="2200" spans="31:31" x14ac:dyDescent="0.25">
      <c r="AE2200">
        <v>190.83</v>
      </c>
    </row>
    <row r="2201" spans="31:31" x14ac:dyDescent="0.25">
      <c r="AE2201">
        <v>61.57</v>
      </c>
    </row>
    <row r="2202" spans="31:31" x14ac:dyDescent="0.25">
      <c r="AE2202">
        <v>32.08</v>
      </c>
    </row>
    <row r="2203" spans="31:31" x14ac:dyDescent="0.25">
      <c r="AE2203">
        <v>124.22</v>
      </c>
    </row>
    <row r="2204" spans="31:31" x14ac:dyDescent="0.25">
      <c r="AE2204">
        <v>24.28</v>
      </c>
    </row>
    <row r="2205" spans="31:31" x14ac:dyDescent="0.25">
      <c r="AE2205">
        <v>153.5</v>
      </c>
    </row>
    <row r="2206" spans="31:31" x14ac:dyDescent="0.25">
      <c r="AE2206">
        <v>74.38</v>
      </c>
    </row>
    <row r="2207" spans="31:31" x14ac:dyDescent="0.25">
      <c r="AE2207">
        <v>29.51</v>
      </c>
    </row>
    <row r="2208" spans="31:31" x14ac:dyDescent="0.25">
      <c r="AE2208">
        <v>46.29</v>
      </c>
    </row>
    <row r="2209" spans="31:31" x14ac:dyDescent="0.25">
      <c r="AE2209">
        <v>49.25</v>
      </c>
    </row>
    <row r="2210" spans="31:31" x14ac:dyDescent="0.25">
      <c r="AE2210">
        <v>95.26</v>
      </c>
    </row>
    <row r="2211" spans="31:31" x14ac:dyDescent="0.25">
      <c r="AE2211">
        <v>35.78</v>
      </c>
    </row>
    <row r="2212" spans="31:31" x14ac:dyDescent="0.25">
      <c r="AE2212">
        <v>13.9</v>
      </c>
    </row>
    <row r="2213" spans="31:31" x14ac:dyDescent="0.25">
      <c r="AE2213">
        <v>156.69</v>
      </c>
    </row>
    <row r="2214" spans="31:31" x14ac:dyDescent="0.25">
      <c r="AE2214">
        <v>57.2</v>
      </c>
    </row>
    <row r="2215" spans="31:31" x14ac:dyDescent="0.25">
      <c r="AE2215">
        <v>22.91</v>
      </c>
    </row>
    <row r="2216" spans="31:31" x14ac:dyDescent="0.25">
      <c r="AE2216">
        <v>104.29</v>
      </c>
    </row>
    <row r="2217" spans="31:31" x14ac:dyDescent="0.25">
      <c r="AE2217">
        <v>10.09</v>
      </c>
    </row>
    <row r="2218" spans="31:31" x14ac:dyDescent="0.25">
      <c r="AE2218">
        <v>43.36</v>
      </c>
    </row>
    <row r="2219" spans="31:31" x14ac:dyDescent="0.25">
      <c r="AE2219">
        <v>87.32</v>
      </c>
    </row>
    <row r="2220" spans="31:31" x14ac:dyDescent="0.25">
      <c r="AE2220">
        <v>38.049999999999997</v>
      </c>
    </row>
    <row r="2221" spans="31:31" x14ac:dyDescent="0.25">
      <c r="AE2221">
        <v>112.92</v>
      </c>
    </row>
    <row r="2222" spans="31:31" x14ac:dyDescent="0.25">
      <c r="AE2222">
        <v>28.99</v>
      </c>
    </row>
    <row r="2223" spans="31:31" x14ac:dyDescent="0.25">
      <c r="AE2223">
        <v>7.01</v>
      </c>
    </row>
    <row r="2224" spans="31:31" x14ac:dyDescent="0.25">
      <c r="AE2224">
        <v>13.06</v>
      </c>
    </row>
    <row r="2225" spans="31:31" x14ac:dyDescent="0.25">
      <c r="AE2225">
        <v>51.88</v>
      </c>
    </row>
    <row r="2226" spans="31:31" x14ac:dyDescent="0.25">
      <c r="AE2226">
        <v>39.83</v>
      </c>
    </row>
    <row r="2227" spans="31:31" x14ac:dyDescent="0.25">
      <c r="AE2227">
        <v>10.24</v>
      </c>
    </row>
    <row r="2228" spans="31:31" x14ac:dyDescent="0.25">
      <c r="AE2228">
        <v>154.44999999999999</v>
      </c>
    </row>
    <row r="2229" spans="31:31" x14ac:dyDescent="0.25">
      <c r="AE2229">
        <v>113.16</v>
      </c>
    </row>
    <row r="2230" spans="31:31" x14ac:dyDescent="0.25">
      <c r="AE2230">
        <v>68.81</v>
      </c>
    </row>
    <row r="2231" spans="31:31" x14ac:dyDescent="0.25">
      <c r="AE2231">
        <v>34.19</v>
      </c>
    </row>
    <row r="2232" spans="31:31" x14ac:dyDescent="0.25">
      <c r="AE2232">
        <v>67.55</v>
      </c>
    </row>
    <row r="2233" spans="31:31" x14ac:dyDescent="0.25">
      <c r="AE2233">
        <v>31.22</v>
      </c>
    </row>
    <row r="2234" spans="31:31" x14ac:dyDescent="0.25">
      <c r="AE2234">
        <v>77.41</v>
      </c>
    </row>
    <row r="2235" spans="31:31" x14ac:dyDescent="0.25">
      <c r="AE2235">
        <v>78.22</v>
      </c>
    </row>
    <row r="2236" spans="31:31" x14ac:dyDescent="0.25">
      <c r="AE2236">
        <v>64.459999999999994</v>
      </c>
    </row>
    <row r="2237" spans="31:31" x14ac:dyDescent="0.25">
      <c r="AE2237">
        <v>33.57</v>
      </c>
    </row>
    <row r="2238" spans="31:31" x14ac:dyDescent="0.25">
      <c r="AE2238">
        <v>18.09</v>
      </c>
    </row>
    <row r="2239" spans="31:31" x14ac:dyDescent="0.25">
      <c r="AE2239">
        <v>23.02</v>
      </c>
    </row>
    <row r="2240" spans="31:31" x14ac:dyDescent="0.25">
      <c r="AE2240">
        <v>19.02</v>
      </c>
    </row>
    <row r="2241" spans="31:31" x14ac:dyDescent="0.25">
      <c r="AE2241">
        <v>0.4</v>
      </c>
    </row>
    <row r="2242" spans="31:31" x14ac:dyDescent="0.25">
      <c r="AE2242">
        <v>19.690000000000001</v>
      </c>
    </row>
    <row r="2243" spans="31:31" x14ac:dyDescent="0.25">
      <c r="AE2243">
        <v>51.23</v>
      </c>
    </row>
    <row r="2244" spans="31:31" x14ac:dyDescent="0.25">
      <c r="AE2244">
        <v>123.56</v>
      </c>
    </row>
    <row r="2245" spans="31:31" x14ac:dyDescent="0.25">
      <c r="AE2245">
        <v>126.11</v>
      </c>
    </row>
    <row r="2246" spans="31:31" x14ac:dyDescent="0.25">
      <c r="AE2246">
        <v>13.95</v>
      </c>
    </row>
    <row r="2247" spans="31:31" x14ac:dyDescent="0.25">
      <c r="AE2247">
        <v>57.29</v>
      </c>
    </row>
    <row r="2248" spans="31:31" x14ac:dyDescent="0.25">
      <c r="AE2248">
        <v>15.94</v>
      </c>
    </row>
    <row r="2249" spans="31:31" x14ac:dyDescent="0.25">
      <c r="AE2249">
        <v>26.85</v>
      </c>
    </row>
    <row r="2250" spans="31:31" x14ac:dyDescent="0.25">
      <c r="AE2250">
        <v>10.039999999999999</v>
      </c>
    </row>
    <row r="2251" spans="31:31" x14ac:dyDescent="0.25">
      <c r="AE2251">
        <v>1.61</v>
      </c>
    </row>
    <row r="2252" spans="31:31" x14ac:dyDescent="0.25">
      <c r="AE2252">
        <v>66.849999999999994</v>
      </c>
    </row>
    <row r="2253" spans="31:31" x14ac:dyDescent="0.25">
      <c r="AE2253">
        <v>120.21</v>
      </c>
    </row>
    <row r="2254" spans="31:31" x14ac:dyDescent="0.25">
      <c r="AE2254">
        <v>21.14</v>
      </c>
    </row>
    <row r="2255" spans="31:31" x14ac:dyDescent="0.25">
      <c r="AE2255">
        <v>63.66</v>
      </c>
    </row>
    <row r="2256" spans="31:31" x14ac:dyDescent="0.25">
      <c r="AE2256">
        <v>21.17</v>
      </c>
    </row>
    <row r="2257" spans="31:31" x14ac:dyDescent="0.25">
      <c r="AE2257">
        <v>58.39</v>
      </c>
    </row>
    <row r="2258" spans="31:31" x14ac:dyDescent="0.25">
      <c r="AE2258">
        <v>67.67</v>
      </c>
    </row>
    <row r="2259" spans="31:31" x14ac:dyDescent="0.25">
      <c r="AE2259">
        <v>159.04</v>
      </c>
    </row>
    <row r="2260" spans="31:31" x14ac:dyDescent="0.25">
      <c r="AE2260">
        <v>124.92</v>
      </c>
    </row>
    <row r="2261" spans="31:31" x14ac:dyDescent="0.25">
      <c r="AE2261">
        <v>10.79</v>
      </c>
    </row>
    <row r="2262" spans="31:31" x14ac:dyDescent="0.25">
      <c r="AE2262">
        <v>71.7</v>
      </c>
    </row>
    <row r="2263" spans="31:31" x14ac:dyDescent="0.25">
      <c r="AE2263">
        <v>52.76</v>
      </c>
    </row>
    <row r="2264" spans="31:31" x14ac:dyDescent="0.25">
      <c r="AE2264">
        <v>54.91</v>
      </c>
    </row>
    <row r="2265" spans="31:31" x14ac:dyDescent="0.25">
      <c r="AE2265">
        <v>55.62</v>
      </c>
    </row>
    <row r="2266" spans="31:31" x14ac:dyDescent="0.25">
      <c r="AE2266">
        <v>53.2</v>
      </c>
    </row>
    <row r="2267" spans="31:31" x14ac:dyDescent="0.25">
      <c r="AE2267">
        <v>81.44</v>
      </c>
    </row>
    <row r="2268" spans="31:31" x14ac:dyDescent="0.25">
      <c r="AE2268">
        <v>27.85</v>
      </c>
    </row>
    <row r="2269" spans="31:31" x14ac:dyDescent="0.25">
      <c r="AE2269">
        <v>9.74</v>
      </c>
    </row>
    <row r="2270" spans="31:31" x14ac:dyDescent="0.25">
      <c r="AE2270">
        <v>48.04</v>
      </c>
    </row>
    <row r="2271" spans="31:31" x14ac:dyDescent="0.25">
      <c r="AE2271">
        <v>44.63</v>
      </c>
    </row>
    <row r="2272" spans="31:31" x14ac:dyDescent="0.25">
      <c r="AE2272">
        <v>30.95</v>
      </c>
    </row>
    <row r="2273" spans="31:31" x14ac:dyDescent="0.25">
      <c r="AE2273">
        <v>72.14</v>
      </c>
    </row>
    <row r="2274" spans="31:31" x14ac:dyDescent="0.25">
      <c r="AE2274">
        <v>43.51</v>
      </c>
    </row>
    <row r="2275" spans="31:31" x14ac:dyDescent="0.25">
      <c r="AE2275">
        <v>16.66</v>
      </c>
    </row>
    <row r="2276" spans="31:31" x14ac:dyDescent="0.25">
      <c r="AE2276">
        <v>84.36</v>
      </c>
    </row>
    <row r="2277" spans="31:31" x14ac:dyDescent="0.25">
      <c r="AE2277">
        <v>37.049999999999997</v>
      </c>
    </row>
    <row r="2278" spans="31:31" x14ac:dyDescent="0.25">
      <c r="AE2278">
        <v>55.13</v>
      </c>
    </row>
    <row r="2279" spans="31:31" x14ac:dyDescent="0.25">
      <c r="AE2279">
        <v>77.040000000000006</v>
      </c>
    </row>
    <row r="2280" spans="31:31" x14ac:dyDescent="0.25">
      <c r="AE2280">
        <v>43.88</v>
      </c>
    </row>
    <row r="2281" spans="31:31" x14ac:dyDescent="0.25">
      <c r="AE2281">
        <v>125.22</v>
      </c>
    </row>
    <row r="2282" spans="31:31" x14ac:dyDescent="0.25">
      <c r="AE2282">
        <v>33.49</v>
      </c>
    </row>
    <row r="2283" spans="31:31" x14ac:dyDescent="0.25">
      <c r="AE2283">
        <v>98.38</v>
      </c>
    </row>
    <row r="2284" spans="31:31" x14ac:dyDescent="0.25">
      <c r="AE2284">
        <v>27.8</v>
      </c>
    </row>
    <row r="2285" spans="31:31" x14ac:dyDescent="0.25">
      <c r="AE2285">
        <v>23.27</v>
      </c>
    </row>
    <row r="2286" spans="31:31" x14ac:dyDescent="0.25">
      <c r="AE2286">
        <v>10.24</v>
      </c>
    </row>
    <row r="2287" spans="31:31" x14ac:dyDescent="0.25">
      <c r="AE2287">
        <v>1.08</v>
      </c>
    </row>
    <row r="2288" spans="31:31" x14ac:dyDescent="0.25">
      <c r="AE2288">
        <v>10.039999999999999</v>
      </c>
    </row>
    <row r="2289" spans="31:31" x14ac:dyDescent="0.25">
      <c r="AE2289">
        <v>0.27</v>
      </c>
    </row>
    <row r="2290" spans="31:31" x14ac:dyDescent="0.25">
      <c r="AE2290">
        <v>70.12</v>
      </c>
    </row>
    <row r="2291" spans="31:31" x14ac:dyDescent="0.25">
      <c r="AE2291">
        <v>449.79</v>
      </c>
    </row>
    <row r="2292" spans="31:31" x14ac:dyDescent="0.25">
      <c r="AE2292">
        <v>22.92</v>
      </c>
    </row>
    <row r="2293" spans="31:31" x14ac:dyDescent="0.25">
      <c r="AE2293">
        <v>64.16</v>
      </c>
    </row>
    <row r="2294" spans="31:31" x14ac:dyDescent="0.25">
      <c r="AE2294">
        <v>0.18</v>
      </c>
    </row>
    <row r="2295" spans="31:31" x14ac:dyDescent="0.25">
      <c r="AE2295">
        <v>66.2</v>
      </c>
    </row>
    <row r="2296" spans="31:31" x14ac:dyDescent="0.25">
      <c r="AE2296">
        <v>32.229999999999997</v>
      </c>
    </row>
    <row r="2297" spans="31:31" x14ac:dyDescent="0.25">
      <c r="AE2297">
        <v>69.150000000000006</v>
      </c>
    </row>
    <row r="2298" spans="31:31" x14ac:dyDescent="0.25">
      <c r="AE2298">
        <v>87.18</v>
      </c>
    </row>
    <row r="2299" spans="31:31" x14ac:dyDescent="0.25">
      <c r="AE2299">
        <v>47.36</v>
      </c>
    </row>
    <row r="2300" spans="31:31" x14ac:dyDescent="0.25">
      <c r="AE2300">
        <v>88.49</v>
      </c>
    </row>
    <row r="2301" spans="31:31" x14ac:dyDescent="0.25">
      <c r="AE2301">
        <v>165.06</v>
      </c>
    </row>
    <row r="2302" spans="31:31" x14ac:dyDescent="0.25">
      <c r="AE2302">
        <v>30.25</v>
      </c>
    </row>
    <row r="2303" spans="31:31" x14ac:dyDescent="0.25">
      <c r="AE2303">
        <v>3.82</v>
      </c>
    </row>
    <row r="2304" spans="31:31" x14ac:dyDescent="0.25">
      <c r="AE2304">
        <v>111.06</v>
      </c>
    </row>
    <row r="2305" spans="31:31" x14ac:dyDescent="0.25">
      <c r="AE2305">
        <v>35.659999999999997</v>
      </c>
    </row>
    <row r="2306" spans="31:31" x14ac:dyDescent="0.25">
      <c r="AE2306">
        <v>131.54</v>
      </c>
    </row>
    <row r="2307" spans="31:31" x14ac:dyDescent="0.25">
      <c r="AE2307">
        <v>10.039999999999999</v>
      </c>
    </row>
    <row r="2308" spans="31:31" x14ac:dyDescent="0.25">
      <c r="AE2308">
        <v>119.58</v>
      </c>
    </row>
    <row r="2309" spans="31:31" x14ac:dyDescent="0.25">
      <c r="AE2309">
        <v>39.86</v>
      </c>
    </row>
    <row r="2310" spans="31:31" x14ac:dyDescent="0.25">
      <c r="AE2310">
        <v>56.69</v>
      </c>
    </row>
    <row r="2311" spans="31:31" x14ac:dyDescent="0.25">
      <c r="AE2311">
        <v>5.61</v>
      </c>
    </row>
    <row r="2312" spans="31:31" x14ac:dyDescent="0.25">
      <c r="AE2312">
        <v>66.849999999999994</v>
      </c>
    </row>
    <row r="2313" spans="31:31" x14ac:dyDescent="0.25">
      <c r="AE2313">
        <v>55.61</v>
      </c>
    </row>
    <row r="2314" spans="31:31" x14ac:dyDescent="0.25">
      <c r="AE2314">
        <v>27.89</v>
      </c>
    </row>
    <row r="2315" spans="31:31" x14ac:dyDescent="0.25">
      <c r="AE2315">
        <v>11.77</v>
      </c>
    </row>
    <row r="2316" spans="31:31" x14ac:dyDescent="0.25">
      <c r="AE2316">
        <v>35.94</v>
      </c>
    </row>
    <row r="2317" spans="31:31" x14ac:dyDescent="0.25">
      <c r="AE2317">
        <v>81.540000000000006</v>
      </c>
    </row>
    <row r="2318" spans="31:31" x14ac:dyDescent="0.25">
      <c r="AE2318">
        <v>33.44</v>
      </c>
    </row>
    <row r="2319" spans="31:31" x14ac:dyDescent="0.25">
      <c r="AE2319">
        <v>165.15</v>
      </c>
    </row>
    <row r="2320" spans="31:31" x14ac:dyDescent="0.25">
      <c r="AE2320">
        <v>114.86</v>
      </c>
    </row>
    <row r="2321" spans="31:31" x14ac:dyDescent="0.25">
      <c r="AE2321">
        <v>46.92</v>
      </c>
    </row>
    <row r="2322" spans="31:31" x14ac:dyDescent="0.25">
      <c r="AE2322">
        <v>26.6</v>
      </c>
    </row>
    <row r="2323" spans="31:31" x14ac:dyDescent="0.25">
      <c r="AE2323">
        <v>38.99</v>
      </c>
    </row>
    <row r="2324" spans="31:31" x14ac:dyDescent="0.25">
      <c r="AE2324">
        <v>111.62</v>
      </c>
    </row>
    <row r="2325" spans="31:31" x14ac:dyDescent="0.25">
      <c r="AE2325">
        <v>123.25</v>
      </c>
    </row>
    <row r="2326" spans="31:31" x14ac:dyDescent="0.25">
      <c r="AE2326">
        <v>21.9</v>
      </c>
    </row>
    <row r="2327" spans="31:31" x14ac:dyDescent="0.25">
      <c r="AE2327">
        <v>21.41</v>
      </c>
    </row>
    <row r="2328" spans="31:31" x14ac:dyDescent="0.25">
      <c r="AE2328">
        <v>128.29</v>
      </c>
    </row>
    <row r="2329" spans="31:31" x14ac:dyDescent="0.25">
      <c r="AE2329">
        <v>39.29</v>
      </c>
    </row>
    <row r="2330" spans="31:31" x14ac:dyDescent="0.25">
      <c r="AE2330">
        <v>61.06</v>
      </c>
    </row>
    <row r="2331" spans="31:31" x14ac:dyDescent="0.25">
      <c r="AE2331">
        <v>29.79</v>
      </c>
    </row>
    <row r="2332" spans="31:31" x14ac:dyDescent="0.25">
      <c r="AE2332">
        <v>56.72</v>
      </c>
    </row>
    <row r="2333" spans="31:31" x14ac:dyDescent="0.25">
      <c r="AE2333">
        <v>38.17</v>
      </c>
    </row>
    <row r="2334" spans="31:31" x14ac:dyDescent="0.25">
      <c r="AE2334">
        <v>5.54</v>
      </c>
    </row>
    <row r="2335" spans="31:31" x14ac:dyDescent="0.25">
      <c r="AE2335">
        <v>30.57</v>
      </c>
    </row>
    <row r="2336" spans="31:31" x14ac:dyDescent="0.25">
      <c r="AE2336">
        <v>45.63</v>
      </c>
    </row>
    <row r="2337" spans="31:31" x14ac:dyDescent="0.25">
      <c r="AE2337">
        <v>95.15</v>
      </c>
    </row>
    <row r="2338" spans="31:31" x14ac:dyDescent="0.25">
      <c r="AE2338">
        <v>53.35</v>
      </c>
    </row>
    <row r="2339" spans="31:31" x14ac:dyDescent="0.25">
      <c r="AE2339">
        <v>83.56</v>
      </c>
    </row>
    <row r="2340" spans="31:31" x14ac:dyDescent="0.25">
      <c r="AE2340">
        <v>19.2</v>
      </c>
    </row>
    <row r="2341" spans="31:31" x14ac:dyDescent="0.25">
      <c r="AE2341">
        <v>66.81</v>
      </c>
    </row>
    <row r="2342" spans="31:31" x14ac:dyDescent="0.25">
      <c r="AE2342">
        <v>17.559999999999999</v>
      </c>
    </row>
    <row r="2343" spans="31:31" x14ac:dyDescent="0.25">
      <c r="AE2343">
        <v>33.61</v>
      </c>
    </row>
    <row r="2344" spans="31:31" x14ac:dyDescent="0.25">
      <c r="AE2344">
        <v>13.66</v>
      </c>
    </row>
    <row r="2345" spans="31:31" x14ac:dyDescent="0.25">
      <c r="AE2345">
        <v>25.89</v>
      </c>
    </row>
    <row r="2346" spans="31:31" x14ac:dyDescent="0.25">
      <c r="AE2346">
        <v>76.91</v>
      </c>
    </row>
    <row r="2347" spans="31:31" x14ac:dyDescent="0.25">
      <c r="AE2347">
        <v>2.96</v>
      </c>
    </row>
    <row r="2348" spans="31:31" x14ac:dyDescent="0.25">
      <c r="AE2348">
        <v>12.18</v>
      </c>
    </row>
    <row r="2349" spans="31:31" x14ac:dyDescent="0.25">
      <c r="AE2349">
        <v>20.13</v>
      </c>
    </row>
    <row r="2350" spans="31:31" x14ac:dyDescent="0.25">
      <c r="AE2350">
        <v>122.25</v>
      </c>
    </row>
    <row r="2351" spans="31:31" x14ac:dyDescent="0.25">
      <c r="AE2351">
        <v>28.21</v>
      </c>
    </row>
    <row r="2352" spans="31:31" x14ac:dyDescent="0.25">
      <c r="AE2352">
        <v>78.75</v>
      </c>
    </row>
    <row r="2353" spans="31:31" x14ac:dyDescent="0.25">
      <c r="AE2353">
        <v>43.58</v>
      </c>
    </row>
    <row r="2354" spans="31:31" x14ac:dyDescent="0.25">
      <c r="AE2354">
        <v>79.55</v>
      </c>
    </row>
    <row r="2355" spans="31:31" x14ac:dyDescent="0.25">
      <c r="AE2355">
        <v>17.670000000000002</v>
      </c>
    </row>
    <row r="2356" spans="31:31" x14ac:dyDescent="0.25">
      <c r="AE2356">
        <v>35.61</v>
      </c>
    </row>
    <row r="2357" spans="31:31" x14ac:dyDescent="0.25">
      <c r="AE2357">
        <v>44.44</v>
      </c>
    </row>
    <row r="2358" spans="31:31" x14ac:dyDescent="0.25">
      <c r="AE2358">
        <v>8.23</v>
      </c>
    </row>
    <row r="2359" spans="31:31" x14ac:dyDescent="0.25">
      <c r="AE2359">
        <v>79.22</v>
      </c>
    </row>
    <row r="2360" spans="31:31" x14ac:dyDescent="0.25">
      <c r="AE2360">
        <v>35.979999999999997</v>
      </c>
    </row>
    <row r="2361" spans="31:31" x14ac:dyDescent="0.25">
      <c r="AE2361">
        <v>169.8</v>
      </c>
    </row>
    <row r="2362" spans="31:31" x14ac:dyDescent="0.25">
      <c r="AE2362">
        <v>98.35</v>
      </c>
    </row>
    <row r="2363" spans="31:31" x14ac:dyDescent="0.25">
      <c r="AE2363">
        <v>110.31</v>
      </c>
    </row>
    <row r="2364" spans="31:31" x14ac:dyDescent="0.25">
      <c r="AE2364">
        <v>18.059999999999999</v>
      </c>
    </row>
    <row r="2365" spans="31:31" x14ac:dyDescent="0.25">
      <c r="AE2365">
        <v>2.82</v>
      </c>
    </row>
    <row r="2366" spans="31:31" x14ac:dyDescent="0.25">
      <c r="AE2366">
        <v>35.35</v>
      </c>
    </row>
    <row r="2367" spans="31:31" x14ac:dyDescent="0.25">
      <c r="AE2367">
        <v>17.88</v>
      </c>
    </row>
    <row r="2368" spans="31:31" x14ac:dyDescent="0.25">
      <c r="AE2368">
        <v>49.86</v>
      </c>
    </row>
    <row r="2369" spans="31:31" x14ac:dyDescent="0.25">
      <c r="AE2369">
        <v>0.36</v>
      </c>
    </row>
    <row r="2370" spans="31:31" x14ac:dyDescent="0.25">
      <c r="AE2370">
        <v>169.7</v>
      </c>
    </row>
    <row r="2371" spans="31:31" x14ac:dyDescent="0.25">
      <c r="AE2371">
        <v>80.61</v>
      </c>
    </row>
    <row r="2372" spans="31:31" x14ac:dyDescent="0.25">
      <c r="AE2372">
        <v>84.08</v>
      </c>
    </row>
    <row r="2373" spans="31:31" x14ac:dyDescent="0.25">
      <c r="AE2373">
        <v>60.82</v>
      </c>
    </row>
    <row r="2374" spans="31:31" x14ac:dyDescent="0.25">
      <c r="AE2374">
        <v>33.229999999999997</v>
      </c>
    </row>
    <row r="2375" spans="31:31" x14ac:dyDescent="0.25">
      <c r="AE2375">
        <v>3.24</v>
      </c>
    </row>
    <row r="2376" spans="31:31" x14ac:dyDescent="0.25">
      <c r="AE2376">
        <v>30.94</v>
      </c>
    </row>
    <row r="2377" spans="31:31" x14ac:dyDescent="0.25">
      <c r="AE2377">
        <v>89.59</v>
      </c>
    </row>
    <row r="2378" spans="31:31" x14ac:dyDescent="0.25">
      <c r="AE2378">
        <v>9.99</v>
      </c>
    </row>
    <row r="2379" spans="31:31" x14ac:dyDescent="0.25">
      <c r="AE2379">
        <v>149.66999999999999</v>
      </c>
    </row>
    <row r="2380" spans="31:31" x14ac:dyDescent="0.25">
      <c r="AE2380">
        <v>70.75</v>
      </c>
    </row>
    <row r="2381" spans="31:31" x14ac:dyDescent="0.25">
      <c r="AE2381">
        <v>78.489999999999995</v>
      </c>
    </row>
    <row r="2382" spans="31:31" x14ac:dyDescent="0.25">
      <c r="AE2382">
        <v>75.56</v>
      </c>
    </row>
    <row r="2383" spans="31:31" x14ac:dyDescent="0.25">
      <c r="AE2383">
        <v>15.43</v>
      </c>
    </row>
    <row r="2384" spans="31:31" x14ac:dyDescent="0.25">
      <c r="AE2384">
        <v>48.48</v>
      </c>
    </row>
    <row r="2385" spans="31:31" x14ac:dyDescent="0.25">
      <c r="AE2385">
        <v>10.14</v>
      </c>
    </row>
    <row r="2386" spans="31:31" x14ac:dyDescent="0.25">
      <c r="AE2386">
        <v>15.12</v>
      </c>
    </row>
    <row r="2387" spans="31:31" x14ac:dyDescent="0.25">
      <c r="AE2387">
        <v>50.46</v>
      </c>
    </row>
    <row r="2388" spans="31:31" x14ac:dyDescent="0.25">
      <c r="AE2388">
        <v>0.09</v>
      </c>
    </row>
    <row r="2389" spans="31:31" x14ac:dyDescent="0.25">
      <c r="AE2389">
        <v>47.67</v>
      </c>
    </row>
    <row r="2390" spans="31:31" x14ac:dyDescent="0.25">
      <c r="AE2390">
        <v>50.44</v>
      </c>
    </row>
    <row r="2391" spans="31:31" x14ac:dyDescent="0.25">
      <c r="AE2391">
        <v>106.27</v>
      </c>
    </row>
    <row r="2392" spans="31:31" x14ac:dyDescent="0.25">
      <c r="AE2392">
        <v>7.19</v>
      </c>
    </row>
    <row r="2393" spans="31:31" x14ac:dyDescent="0.25">
      <c r="AE2393">
        <v>10.49</v>
      </c>
    </row>
    <row r="2394" spans="31:31" x14ac:dyDescent="0.25">
      <c r="AE2394">
        <v>70.34</v>
      </c>
    </row>
    <row r="2395" spans="31:31" x14ac:dyDescent="0.25">
      <c r="AE2395">
        <v>26.78</v>
      </c>
    </row>
    <row r="2396" spans="31:31" x14ac:dyDescent="0.25">
      <c r="AE2396">
        <v>150.71</v>
      </c>
    </row>
    <row r="2397" spans="31:31" x14ac:dyDescent="0.25">
      <c r="AE2397">
        <v>51.87</v>
      </c>
    </row>
    <row r="2398" spans="31:31" x14ac:dyDescent="0.25">
      <c r="AE2398">
        <v>61.41</v>
      </c>
    </row>
    <row r="2399" spans="31:31" x14ac:dyDescent="0.25">
      <c r="AE2399">
        <v>181.71</v>
      </c>
    </row>
    <row r="2400" spans="31:31" x14ac:dyDescent="0.25">
      <c r="AE2400">
        <v>28.25</v>
      </c>
    </row>
    <row r="2401" spans="31:31" x14ac:dyDescent="0.25">
      <c r="AE2401">
        <v>61.86</v>
      </c>
    </row>
    <row r="2402" spans="31:31" x14ac:dyDescent="0.25">
      <c r="AE2402">
        <v>53.37</v>
      </c>
    </row>
    <row r="2403" spans="31:31" x14ac:dyDescent="0.25">
      <c r="AE2403">
        <v>67.790000000000006</v>
      </c>
    </row>
    <row r="2404" spans="31:31" x14ac:dyDescent="0.25">
      <c r="AE2404">
        <v>53.02</v>
      </c>
    </row>
    <row r="2405" spans="31:31" x14ac:dyDescent="0.25">
      <c r="AE2405">
        <v>319.38</v>
      </c>
    </row>
    <row r="2406" spans="31:31" x14ac:dyDescent="0.25">
      <c r="AE2406">
        <v>53.53</v>
      </c>
    </row>
    <row r="2407" spans="31:31" x14ac:dyDescent="0.25">
      <c r="AE2407">
        <v>139.31</v>
      </c>
    </row>
    <row r="2408" spans="31:31" x14ac:dyDescent="0.25">
      <c r="AE2408">
        <v>0.82</v>
      </c>
    </row>
    <row r="2409" spans="31:31" x14ac:dyDescent="0.25">
      <c r="AE2409">
        <v>43.99</v>
      </c>
    </row>
    <row r="2410" spans="31:31" x14ac:dyDescent="0.25">
      <c r="AE2410">
        <v>25.46</v>
      </c>
    </row>
    <row r="2411" spans="31:31" x14ac:dyDescent="0.25">
      <c r="AE2411">
        <v>29.6</v>
      </c>
    </row>
    <row r="2412" spans="31:31" x14ac:dyDescent="0.25">
      <c r="AE2412">
        <v>34.340000000000003</v>
      </c>
    </row>
    <row r="2413" spans="31:31" x14ac:dyDescent="0.25">
      <c r="AE2413">
        <v>65.53</v>
      </c>
    </row>
    <row r="2414" spans="31:31" x14ac:dyDescent="0.25">
      <c r="AE2414">
        <v>72.540000000000006</v>
      </c>
    </row>
    <row r="2415" spans="31:31" x14ac:dyDescent="0.25">
      <c r="AE2415">
        <v>0.72</v>
      </c>
    </row>
    <row r="2416" spans="31:31" x14ac:dyDescent="0.25">
      <c r="AE2416">
        <v>48.6</v>
      </c>
    </row>
    <row r="2417" spans="31:31" x14ac:dyDescent="0.25">
      <c r="AE2417">
        <v>49.58</v>
      </c>
    </row>
    <row r="2418" spans="31:31" x14ac:dyDescent="0.25">
      <c r="AE2418">
        <v>84.36</v>
      </c>
    </row>
    <row r="2419" spans="31:31" x14ac:dyDescent="0.25">
      <c r="AE2419">
        <v>30.35</v>
      </c>
    </row>
    <row r="2420" spans="31:31" x14ac:dyDescent="0.25">
      <c r="AE2420">
        <v>43.98</v>
      </c>
    </row>
    <row r="2421" spans="31:31" x14ac:dyDescent="0.25">
      <c r="AE2421">
        <v>25.27</v>
      </c>
    </row>
    <row r="2422" spans="31:31" x14ac:dyDescent="0.25">
      <c r="AE2422">
        <v>379.96</v>
      </c>
    </row>
    <row r="2423" spans="31:31" x14ac:dyDescent="0.25">
      <c r="AE2423">
        <v>87.42</v>
      </c>
    </row>
    <row r="2424" spans="31:31" x14ac:dyDescent="0.25">
      <c r="AE2424">
        <v>35</v>
      </c>
    </row>
    <row r="2425" spans="31:31" x14ac:dyDescent="0.25">
      <c r="AE2425">
        <v>31.49</v>
      </c>
    </row>
    <row r="2426" spans="31:31" x14ac:dyDescent="0.25">
      <c r="AE2426">
        <v>22.37</v>
      </c>
    </row>
    <row r="2427" spans="31:31" x14ac:dyDescent="0.25">
      <c r="AE2427">
        <v>43.9</v>
      </c>
    </row>
    <row r="2428" spans="31:31" x14ac:dyDescent="0.25">
      <c r="AE2428">
        <v>112.93</v>
      </c>
    </row>
    <row r="2429" spans="31:31" x14ac:dyDescent="0.25">
      <c r="AE2429">
        <v>82.98</v>
      </c>
    </row>
    <row r="2430" spans="31:31" x14ac:dyDescent="0.25">
      <c r="AE2430">
        <v>59.23</v>
      </c>
    </row>
    <row r="2431" spans="31:31" x14ac:dyDescent="0.25">
      <c r="AE2431">
        <v>26.97</v>
      </c>
    </row>
    <row r="2432" spans="31:31" x14ac:dyDescent="0.25">
      <c r="AE2432">
        <v>50.28</v>
      </c>
    </row>
    <row r="2433" spans="31:31" x14ac:dyDescent="0.25">
      <c r="AE2433">
        <v>140.57</v>
      </c>
    </row>
    <row r="2434" spans="31:31" x14ac:dyDescent="0.25">
      <c r="AE2434">
        <v>90.68</v>
      </c>
    </row>
    <row r="2435" spans="31:31" x14ac:dyDescent="0.25">
      <c r="AE2435">
        <v>0.09</v>
      </c>
    </row>
    <row r="2436" spans="31:31" x14ac:dyDescent="0.25">
      <c r="AE2436">
        <v>18.47</v>
      </c>
    </row>
    <row r="2437" spans="31:31" x14ac:dyDescent="0.25">
      <c r="AE2437">
        <v>36.97</v>
      </c>
    </row>
    <row r="2438" spans="31:31" x14ac:dyDescent="0.25">
      <c r="AE2438">
        <v>56.58</v>
      </c>
    </row>
    <row r="2439" spans="31:31" x14ac:dyDescent="0.25">
      <c r="AE2439">
        <v>56.62</v>
      </c>
    </row>
    <row r="2440" spans="31:31" x14ac:dyDescent="0.25">
      <c r="AE2440">
        <v>86.77</v>
      </c>
    </row>
    <row r="2441" spans="31:31" x14ac:dyDescent="0.25">
      <c r="AE2441">
        <v>71.14</v>
      </c>
    </row>
    <row r="2442" spans="31:31" x14ac:dyDescent="0.25">
      <c r="AE2442">
        <v>36.75</v>
      </c>
    </row>
    <row r="2443" spans="31:31" x14ac:dyDescent="0.25">
      <c r="AE2443">
        <v>60.72</v>
      </c>
    </row>
    <row r="2444" spans="31:31" x14ac:dyDescent="0.25">
      <c r="AE2444">
        <v>19.23</v>
      </c>
    </row>
    <row r="2445" spans="31:31" x14ac:dyDescent="0.25">
      <c r="AE2445">
        <v>36.6</v>
      </c>
    </row>
    <row r="2446" spans="31:31" x14ac:dyDescent="0.25">
      <c r="AE2446">
        <v>10.79</v>
      </c>
    </row>
    <row r="2447" spans="31:31" x14ac:dyDescent="0.25">
      <c r="AE2447">
        <v>217.87</v>
      </c>
    </row>
    <row r="2448" spans="31:31" x14ac:dyDescent="0.25">
      <c r="AE2448">
        <v>26</v>
      </c>
    </row>
    <row r="2449" spans="31:31" x14ac:dyDescent="0.25">
      <c r="AE2449">
        <v>30.22</v>
      </c>
    </row>
    <row r="2450" spans="31:31" x14ac:dyDescent="0.25">
      <c r="AE2450">
        <v>17.739999999999998</v>
      </c>
    </row>
    <row r="2451" spans="31:31" x14ac:dyDescent="0.25">
      <c r="AE2451">
        <v>10.14</v>
      </c>
    </row>
    <row r="2452" spans="31:31" x14ac:dyDescent="0.25">
      <c r="AE2452">
        <v>31.33</v>
      </c>
    </row>
    <row r="2453" spans="31:31" x14ac:dyDescent="0.25">
      <c r="AE2453">
        <v>79.52</v>
      </c>
    </row>
    <row r="2454" spans="31:31" x14ac:dyDescent="0.25">
      <c r="AE2454">
        <v>35.81</v>
      </c>
    </row>
    <row r="2455" spans="31:31" x14ac:dyDescent="0.25">
      <c r="AE2455">
        <v>41.4</v>
      </c>
    </row>
    <row r="2456" spans="31:31" x14ac:dyDescent="0.25">
      <c r="AE2456">
        <v>25.77</v>
      </c>
    </row>
    <row r="2457" spans="31:31" x14ac:dyDescent="0.25">
      <c r="AE2457">
        <v>71.95</v>
      </c>
    </row>
    <row r="2458" spans="31:31" x14ac:dyDescent="0.25">
      <c r="AE2458">
        <v>13.26</v>
      </c>
    </row>
    <row r="2459" spans="31:31" x14ac:dyDescent="0.25">
      <c r="AE2459">
        <v>15.01</v>
      </c>
    </row>
    <row r="2460" spans="31:31" x14ac:dyDescent="0.25">
      <c r="AE2460">
        <v>129.47</v>
      </c>
    </row>
    <row r="2461" spans="31:31" x14ac:dyDescent="0.25">
      <c r="AE2461">
        <v>42.39</v>
      </c>
    </row>
    <row r="2462" spans="31:31" x14ac:dyDescent="0.25">
      <c r="AE2462">
        <v>42.44</v>
      </c>
    </row>
    <row r="2463" spans="31:31" x14ac:dyDescent="0.25">
      <c r="AE2463">
        <v>10.77</v>
      </c>
    </row>
    <row r="2464" spans="31:31" x14ac:dyDescent="0.25">
      <c r="AE2464">
        <v>107.76</v>
      </c>
    </row>
    <row r="2465" spans="31:31" x14ac:dyDescent="0.25">
      <c r="AE2465">
        <v>27.3</v>
      </c>
    </row>
    <row r="2466" spans="31:31" x14ac:dyDescent="0.25">
      <c r="AE2466">
        <v>43</v>
      </c>
    </row>
    <row r="2467" spans="31:31" x14ac:dyDescent="0.25">
      <c r="AE2467">
        <v>139.63</v>
      </c>
    </row>
    <row r="2468" spans="31:31" x14ac:dyDescent="0.25">
      <c r="AE2468">
        <v>20.07</v>
      </c>
    </row>
    <row r="2469" spans="31:31" x14ac:dyDescent="0.25">
      <c r="AE2469">
        <v>22.7</v>
      </c>
    </row>
    <row r="2470" spans="31:31" x14ac:dyDescent="0.25">
      <c r="AE2470">
        <v>69.09</v>
      </c>
    </row>
    <row r="2471" spans="31:31" x14ac:dyDescent="0.25">
      <c r="AE2471">
        <v>21.41</v>
      </c>
    </row>
    <row r="2472" spans="31:31" x14ac:dyDescent="0.25">
      <c r="AE2472">
        <v>48.3</v>
      </c>
    </row>
    <row r="2473" spans="31:31" x14ac:dyDescent="0.25">
      <c r="AE2473">
        <v>104.36</v>
      </c>
    </row>
    <row r="2474" spans="31:31" x14ac:dyDescent="0.25">
      <c r="AE2474">
        <v>41.59</v>
      </c>
    </row>
    <row r="2475" spans="31:31" x14ac:dyDescent="0.25">
      <c r="AE2475">
        <v>68.59</v>
      </c>
    </row>
    <row r="2476" spans="31:31" x14ac:dyDescent="0.25">
      <c r="AE2476">
        <v>100.86</v>
      </c>
    </row>
    <row r="2477" spans="31:31" x14ac:dyDescent="0.25">
      <c r="AE2477">
        <v>38.06</v>
      </c>
    </row>
    <row r="2478" spans="31:31" x14ac:dyDescent="0.25">
      <c r="AE2478">
        <v>41.48</v>
      </c>
    </row>
    <row r="2479" spans="31:31" x14ac:dyDescent="0.25">
      <c r="AE2479">
        <v>142.41</v>
      </c>
    </row>
    <row r="2480" spans="31:31" x14ac:dyDescent="0.25">
      <c r="AE2480">
        <v>42.68</v>
      </c>
    </row>
    <row r="2481" spans="31:31" x14ac:dyDescent="0.25">
      <c r="AE2481">
        <v>31.02</v>
      </c>
    </row>
    <row r="2482" spans="31:31" x14ac:dyDescent="0.25">
      <c r="AE2482">
        <v>21.33</v>
      </c>
    </row>
    <row r="2483" spans="31:31" x14ac:dyDescent="0.25">
      <c r="AE2483">
        <v>33.5</v>
      </c>
    </row>
    <row r="2484" spans="31:31" x14ac:dyDescent="0.25">
      <c r="AE2484">
        <v>17.07</v>
      </c>
    </row>
    <row r="2485" spans="31:31" x14ac:dyDescent="0.25">
      <c r="AE2485">
        <v>56.15</v>
      </c>
    </row>
    <row r="2486" spans="31:31" x14ac:dyDescent="0.25">
      <c r="AE2486">
        <v>109.45</v>
      </c>
    </row>
    <row r="2487" spans="31:31" x14ac:dyDescent="0.25">
      <c r="AE2487">
        <v>51.71</v>
      </c>
    </row>
    <row r="2488" spans="31:31" x14ac:dyDescent="0.25">
      <c r="AE2488">
        <v>113.99</v>
      </c>
    </row>
    <row r="2489" spans="31:31" x14ac:dyDescent="0.25">
      <c r="AE2489">
        <v>16.670000000000002</v>
      </c>
    </row>
    <row r="2490" spans="31:31" x14ac:dyDescent="0.25">
      <c r="AE2490">
        <v>21.46</v>
      </c>
    </row>
    <row r="2491" spans="31:31" x14ac:dyDescent="0.25">
      <c r="AE2491">
        <v>44.78</v>
      </c>
    </row>
    <row r="2492" spans="31:31" x14ac:dyDescent="0.25">
      <c r="AE2492">
        <v>6.06</v>
      </c>
    </row>
    <row r="2493" spans="31:31" x14ac:dyDescent="0.25">
      <c r="AE2493">
        <v>84.31</v>
      </c>
    </row>
    <row r="2494" spans="31:31" x14ac:dyDescent="0.25">
      <c r="AE2494">
        <v>33.24</v>
      </c>
    </row>
    <row r="2495" spans="31:31" x14ac:dyDescent="0.25">
      <c r="AE2495">
        <v>68.48</v>
      </c>
    </row>
    <row r="2496" spans="31:31" x14ac:dyDescent="0.25">
      <c r="AE2496">
        <v>145.22999999999999</v>
      </c>
    </row>
    <row r="2497" spans="31:31" x14ac:dyDescent="0.25">
      <c r="AE2497">
        <v>79.97</v>
      </c>
    </row>
    <row r="2498" spans="31:31" x14ac:dyDescent="0.25">
      <c r="AE2498">
        <v>10.91</v>
      </c>
    </row>
    <row r="2499" spans="31:31" x14ac:dyDescent="0.25">
      <c r="AE2499">
        <v>22.73</v>
      </c>
    </row>
    <row r="2500" spans="31:31" x14ac:dyDescent="0.25">
      <c r="AE2500">
        <v>63.18</v>
      </c>
    </row>
    <row r="2501" spans="31:31" x14ac:dyDescent="0.25">
      <c r="AE2501">
        <v>27.91</v>
      </c>
    </row>
    <row r="2502" spans="31:31" x14ac:dyDescent="0.25">
      <c r="AE2502">
        <v>8.33</v>
      </c>
    </row>
    <row r="2503" spans="31:31" x14ac:dyDescent="0.25">
      <c r="AE2503">
        <v>19.07</v>
      </c>
    </row>
    <row r="2504" spans="31:31" x14ac:dyDescent="0.25">
      <c r="AE2504">
        <v>41.2</v>
      </c>
    </row>
    <row r="2505" spans="31:31" x14ac:dyDescent="0.25">
      <c r="AE2505">
        <v>60.62</v>
      </c>
    </row>
    <row r="2506" spans="31:31" x14ac:dyDescent="0.25">
      <c r="AE2506">
        <v>54.68</v>
      </c>
    </row>
    <row r="2507" spans="31:31" x14ac:dyDescent="0.25">
      <c r="AE2507">
        <v>44.18</v>
      </c>
    </row>
    <row r="2508" spans="31:31" x14ac:dyDescent="0.25">
      <c r="AE2508">
        <v>112.94</v>
      </c>
    </row>
    <row r="2509" spans="31:31" x14ac:dyDescent="0.25">
      <c r="AE2509">
        <v>20.58</v>
      </c>
    </row>
    <row r="2510" spans="31:31" x14ac:dyDescent="0.25">
      <c r="AE2510">
        <v>26.02</v>
      </c>
    </row>
    <row r="2511" spans="31:31" x14ac:dyDescent="0.25">
      <c r="AE2511">
        <v>74.31</v>
      </c>
    </row>
    <row r="2512" spans="31:31" x14ac:dyDescent="0.25">
      <c r="AE2512">
        <v>59.62</v>
      </c>
    </row>
    <row r="2513" spans="31:31" x14ac:dyDescent="0.25">
      <c r="AE2513">
        <v>21.14</v>
      </c>
    </row>
    <row r="2514" spans="31:31" x14ac:dyDescent="0.25">
      <c r="AE2514">
        <v>67.08</v>
      </c>
    </row>
    <row r="2515" spans="31:31" x14ac:dyDescent="0.25">
      <c r="AE2515">
        <v>92.14</v>
      </c>
    </row>
    <row r="2516" spans="31:31" x14ac:dyDescent="0.25">
      <c r="AE2516">
        <v>116.18</v>
      </c>
    </row>
    <row r="2517" spans="31:31" x14ac:dyDescent="0.25">
      <c r="AE2517">
        <v>44.58</v>
      </c>
    </row>
    <row r="2518" spans="31:31" x14ac:dyDescent="0.25">
      <c r="AE2518">
        <v>20.8</v>
      </c>
    </row>
    <row r="2519" spans="31:31" x14ac:dyDescent="0.25">
      <c r="AE2519">
        <v>18.96</v>
      </c>
    </row>
    <row r="2520" spans="31:31" x14ac:dyDescent="0.25">
      <c r="AE2520">
        <v>61.75</v>
      </c>
    </row>
    <row r="2521" spans="31:31" x14ac:dyDescent="0.25">
      <c r="AE2521">
        <v>46.13</v>
      </c>
    </row>
    <row r="2522" spans="31:31" x14ac:dyDescent="0.25">
      <c r="AE2522">
        <v>15.28</v>
      </c>
    </row>
    <row r="2523" spans="31:31" x14ac:dyDescent="0.25">
      <c r="AE2523">
        <v>36.659999999999997</v>
      </c>
    </row>
    <row r="2524" spans="31:31" x14ac:dyDescent="0.25">
      <c r="AE2524">
        <v>72.08</v>
      </c>
    </row>
    <row r="2525" spans="31:31" x14ac:dyDescent="0.25">
      <c r="AE2525">
        <v>134.44</v>
      </c>
    </row>
    <row r="2526" spans="31:31" x14ac:dyDescent="0.25">
      <c r="AE2526">
        <v>86.5</v>
      </c>
    </row>
    <row r="2527" spans="31:31" x14ac:dyDescent="0.25">
      <c r="AE2527">
        <v>192.28</v>
      </c>
    </row>
    <row r="2528" spans="31:31" x14ac:dyDescent="0.25">
      <c r="AE2528">
        <v>145.66999999999999</v>
      </c>
    </row>
    <row r="2529" spans="31:31" x14ac:dyDescent="0.25">
      <c r="AE2529">
        <v>42.22</v>
      </c>
    </row>
    <row r="2530" spans="31:31" x14ac:dyDescent="0.25">
      <c r="AE2530">
        <v>57.82</v>
      </c>
    </row>
    <row r="2531" spans="31:31" x14ac:dyDescent="0.25">
      <c r="AE2531">
        <v>54.85</v>
      </c>
    </row>
    <row r="2532" spans="31:31" x14ac:dyDescent="0.25">
      <c r="AE2532">
        <v>41.31</v>
      </c>
    </row>
    <row r="2533" spans="31:31" x14ac:dyDescent="0.25">
      <c r="AE2533">
        <v>124.25</v>
      </c>
    </row>
    <row r="2534" spans="31:31" x14ac:dyDescent="0.25">
      <c r="AE2534">
        <v>26.36</v>
      </c>
    </row>
    <row r="2535" spans="31:31" x14ac:dyDescent="0.25">
      <c r="AE2535">
        <v>40.049999999999997</v>
      </c>
    </row>
    <row r="2536" spans="31:31" x14ac:dyDescent="0.25">
      <c r="AE2536">
        <v>23.89</v>
      </c>
    </row>
    <row r="2537" spans="31:31" x14ac:dyDescent="0.25">
      <c r="AE2537">
        <v>17.8</v>
      </c>
    </row>
    <row r="2538" spans="31:31" x14ac:dyDescent="0.25">
      <c r="AE2538">
        <v>35.76</v>
      </c>
    </row>
    <row r="2539" spans="31:31" x14ac:dyDescent="0.25">
      <c r="AE2539">
        <v>40.39</v>
      </c>
    </row>
    <row r="2540" spans="31:31" x14ac:dyDescent="0.25">
      <c r="AE2540">
        <v>84.5</v>
      </c>
    </row>
    <row r="2541" spans="31:31" x14ac:dyDescent="0.25">
      <c r="AE2541">
        <v>28.05</v>
      </c>
    </row>
    <row r="2542" spans="31:31" x14ac:dyDescent="0.25">
      <c r="AE2542">
        <v>162.27000000000001</v>
      </c>
    </row>
    <row r="2543" spans="31:31" x14ac:dyDescent="0.25">
      <c r="AE2543">
        <v>26.67</v>
      </c>
    </row>
    <row r="2544" spans="31:31" x14ac:dyDescent="0.25">
      <c r="AE2544">
        <v>0.45</v>
      </c>
    </row>
    <row r="2545" spans="31:31" x14ac:dyDescent="0.25">
      <c r="AE2545">
        <v>20.350000000000001</v>
      </c>
    </row>
    <row r="2546" spans="31:31" x14ac:dyDescent="0.25">
      <c r="AE2546">
        <v>3.96</v>
      </c>
    </row>
    <row r="2547" spans="31:31" x14ac:dyDescent="0.25">
      <c r="AE2547">
        <v>44.86</v>
      </c>
    </row>
    <row r="2548" spans="31:31" x14ac:dyDescent="0.25">
      <c r="AE2548">
        <v>83.09</v>
      </c>
    </row>
    <row r="2549" spans="31:31" x14ac:dyDescent="0.25">
      <c r="AE2549">
        <v>28.9</v>
      </c>
    </row>
    <row r="2550" spans="31:31" x14ac:dyDescent="0.25">
      <c r="AE2550">
        <v>95.37</v>
      </c>
    </row>
    <row r="2551" spans="31:31" x14ac:dyDescent="0.25">
      <c r="AE2551">
        <v>124.19</v>
      </c>
    </row>
    <row r="2552" spans="31:31" x14ac:dyDescent="0.25">
      <c r="AE2552">
        <v>12.26</v>
      </c>
    </row>
    <row r="2553" spans="31:31" x14ac:dyDescent="0.25">
      <c r="AE2553">
        <v>29.76</v>
      </c>
    </row>
    <row r="2554" spans="31:31" x14ac:dyDescent="0.25">
      <c r="AE2554">
        <v>32.18</v>
      </c>
    </row>
    <row r="2555" spans="31:31" x14ac:dyDescent="0.25">
      <c r="AE2555">
        <v>29.12</v>
      </c>
    </row>
    <row r="2556" spans="31:31" x14ac:dyDescent="0.25">
      <c r="AE2556">
        <v>68.41</v>
      </c>
    </row>
    <row r="2557" spans="31:31" x14ac:dyDescent="0.25">
      <c r="AE2557">
        <v>0</v>
      </c>
    </row>
    <row r="2558" spans="31:31" x14ac:dyDescent="0.25">
      <c r="AE2558">
        <v>232.65</v>
      </c>
    </row>
    <row r="2559" spans="31:31" x14ac:dyDescent="0.25">
      <c r="AE2559">
        <v>89.21</v>
      </c>
    </row>
    <row r="2560" spans="31:31" x14ac:dyDescent="0.25">
      <c r="AE2560">
        <v>107.5</v>
      </c>
    </row>
    <row r="2561" spans="31:31" x14ac:dyDescent="0.25">
      <c r="AE2561">
        <v>62.98</v>
      </c>
    </row>
    <row r="2562" spans="31:31" x14ac:dyDescent="0.25">
      <c r="AE2562">
        <v>104.16</v>
      </c>
    </row>
    <row r="2563" spans="31:31" x14ac:dyDescent="0.25">
      <c r="AE2563">
        <v>95.67</v>
      </c>
    </row>
    <row r="2564" spans="31:31" x14ac:dyDescent="0.25">
      <c r="AE2564">
        <v>56.53</v>
      </c>
    </row>
    <row r="2565" spans="31:31" x14ac:dyDescent="0.25">
      <c r="AE2565">
        <v>26.19</v>
      </c>
    </row>
    <row r="2566" spans="31:31" x14ac:dyDescent="0.25">
      <c r="AE2566">
        <v>79.23</v>
      </c>
    </row>
    <row r="2567" spans="31:31" x14ac:dyDescent="0.25">
      <c r="AE2567">
        <v>37.08</v>
      </c>
    </row>
    <row r="2568" spans="31:31" x14ac:dyDescent="0.25">
      <c r="AE2568">
        <v>24</v>
      </c>
    </row>
    <row r="2569" spans="31:31" x14ac:dyDescent="0.25">
      <c r="AE2569">
        <v>44.83</v>
      </c>
    </row>
    <row r="2570" spans="31:31" x14ac:dyDescent="0.25">
      <c r="AE2570">
        <v>145.38999999999999</v>
      </c>
    </row>
    <row r="2571" spans="31:31" x14ac:dyDescent="0.25">
      <c r="AE2571">
        <v>97.35</v>
      </c>
    </row>
    <row r="2572" spans="31:31" x14ac:dyDescent="0.25">
      <c r="AE2572">
        <v>15.91</v>
      </c>
    </row>
    <row r="2573" spans="31:31" x14ac:dyDescent="0.25">
      <c r="AE2573">
        <v>42.76</v>
      </c>
    </row>
    <row r="2574" spans="31:31" x14ac:dyDescent="0.25">
      <c r="AE2574">
        <v>96.04</v>
      </c>
    </row>
    <row r="2575" spans="31:31" x14ac:dyDescent="0.25">
      <c r="AE2575">
        <v>92.32</v>
      </c>
    </row>
    <row r="2576" spans="31:31" x14ac:dyDescent="0.25">
      <c r="AE2576">
        <v>10.19</v>
      </c>
    </row>
    <row r="2577" spans="31:31" x14ac:dyDescent="0.25">
      <c r="AE2577">
        <v>109.22</v>
      </c>
    </row>
    <row r="2578" spans="31:31" x14ac:dyDescent="0.25">
      <c r="AE2578">
        <v>109.35</v>
      </c>
    </row>
    <row r="2579" spans="31:31" x14ac:dyDescent="0.25">
      <c r="AE2579">
        <v>98.04</v>
      </c>
    </row>
    <row r="2580" spans="31:31" x14ac:dyDescent="0.25">
      <c r="AE2580">
        <v>30.41</v>
      </c>
    </row>
    <row r="2581" spans="31:31" x14ac:dyDescent="0.25">
      <c r="AE2581">
        <v>214</v>
      </c>
    </row>
    <row r="2582" spans="31:31" x14ac:dyDescent="0.25">
      <c r="AE2582">
        <v>1.65</v>
      </c>
    </row>
    <row r="2583" spans="31:31" x14ac:dyDescent="0.25">
      <c r="AE2583">
        <v>21.06</v>
      </c>
    </row>
    <row r="2584" spans="31:31" x14ac:dyDescent="0.25">
      <c r="AE2584">
        <v>83.84</v>
      </c>
    </row>
    <row r="2585" spans="31:31" x14ac:dyDescent="0.25">
      <c r="AE2585">
        <v>77.05</v>
      </c>
    </row>
    <row r="2586" spans="31:31" x14ac:dyDescent="0.25">
      <c r="AE2586">
        <v>64.7</v>
      </c>
    </row>
    <row r="2587" spans="31:31" x14ac:dyDescent="0.25">
      <c r="AE2587">
        <v>10.92</v>
      </c>
    </row>
    <row r="2588" spans="31:31" x14ac:dyDescent="0.25">
      <c r="AE2588">
        <v>30.89</v>
      </c>
    </row>
    <row r="2589" spans="31:31" x14ac:dyDescent="0.25">
      <c r="AE2589">
        <v>47.09</v>
      </c>
    </row>
    <row r="2590" spans="31:31" x14ac:dyDescent="0.25">
      <c r="AE2590">
        <v>32.479999999999997</v>
      </c>
    </row>
    <row r="2591" spans="31:31" x14ac:dyDescent="0.25">
      <c r="AE2591">
        <v>67.52</v>
      </c>
    </row>
    <row r="2592" spans="31:31" x14ac:dyDescent="0.25">
      <c r="AE2592">
        <v>1.44</v>
      </c>
    </row>
    <row r="2593" spans="31:31" x14ac:dyDescent="0.25">
      <c r="AE2593">
        <v>0.27</v>
      </c>
    </row>
    <row r="2594" spans="31:31" x14ac:dyDescent="0.25">
      <c r="AE2594">
        <v>10.09</v>
      </c>
    </row>
    <row r="2595" spans="31:31" x14ac:dyDescent="0.25">
      <c r="AE2595">
        <v>65.099999999999994</v>
      </c>
    </row>
    <row r="2596" spans="31:31" x14ac:dyDescent="0.25">
      <c r="AE2596">
        <v>37.25</v>
      </c>
    </row>
    <row r="2597" spans="31:31" x14ac:dyDescent="0.25">
      <c r="AE2597">
        <v>23.62</v>
      </c>
    </row>
    <row r="2598" spans="31:31" x14ac:dyDescent="0.25">
      <c r="AE2598">
        <v>0.39</v>
      </c>
    </row>
    <row r="2599" spans="31:31" x14ac:dyDescent="0.25">
      <c r="AE2599">
        <v>198.89</v>
      </c>
    </row>
    <row r="2600" spans="31:31" x14ac:dyDescent="0.25">
      <c r="AE2600">
        <v>82.67</v>
      </c>
    </row>
    <row r="2601" spans="31:31" x14ac:dyDescent="0.25">
      <c r="AE2601">
        <v>29.04</v>
      </c>
    </row>
    <row r="2602" spans="31:31" x14ac:dyDescent="0.25">
      <c r="AE2602">
        <v>11.74</v>
      </c>
    </row>
    <row r="2603" spans="31:31" x14ac:dyDescent="0.25">
      <c r="AE2603">
        <v>62.03</v>
      </c>
    </row>
    <row r="2604" spans="31:31" x14ac:dyDescent="0.25">
      <c r="AE2604">
        <v>30.66</v>
      </c>
    </row>
    <row r="2605" spans="31:31" x14ac:dyDescent="0.25">
      <c r="AE2605">
        <v>28.24</v>
      </c>
    </row>
    <row r="2606" spans="31:31" x14ac:dyDescent="0.25">
      <c r="AE2606">
        <v>12.24</v>
      </c>
    </row>
    <row r="2607" spans="31:31" x14ac:dyDescent="0.25">
      <c r="AE2607">
        <v>10.09</v>
      </c>
    </row>
    <row r="2608" spans="31:31" x14ac:dyDescent="0.25">
      <c r="AE2608">
        <v>67.180000000000007</v>
      </c>
    </row>
    <row r="2609" spans="31:31" x14ac:dyDescent="0.25">
      <c r="AE2609">
        <v>27.74</v>
      </c>
    </row>
    <row r="2610" spans="31:31" x14ac:dyDescent="0.25">
      <c r="AE2610">
        <v>170.34</v>
      </c>
    </row>
    <row r="2611" spans="31:31" x14ac:dyDescent="0.25">
      <c r="AE2611">
        <v>30.61</v>
      </c>
    </row>
    <row r="2612" spans="31:31" x14ac:dyDescent="0.25">
      <c r="AE2612">
        <v>22.16</v>
      </c>
    </row>
    <row r="2613" spans="31:31" x14ac:dyDescent="0.25">
      <c r="AE2613">
        <v>16.57</v>
      </c>
    </row>
    <row r="2614" spans="31:31" x14ac:dyDescent="0.25">
      <c r="AE2614">
        <v>36.67</v>
      </c>
    </row>
    <row r="2615" spans="31:31" x14ac:dyDescent="0.25">
      <c r="AE2615">
        <v>42.58</v>
      </c>
    </row>
    <row r="2616" spans="31:31" x14ac:dyDescent="0.25">
      <c r="AE2616">
        <v>17.47</v>
      </c>
    </row>
    <row r="2617" spans="31:31" x14ac:dyDescent="0.25">
      <c r="AE2617">
        <v>10.75</v>
      </c>
    </row>
    <row r="2618" spans="31:31" x14ac:dyDescent="0.25">
      <c r="AE2618">
        <v>94.62</v>
      </c>
    </row>
    <row r="2619" spans="31:31" x14ac:dyDescent="0.25">
      <c r="AE2619">
        <v>121.98</v>
      </c>
    </row>
    <row r="2620" spans="31:31" x14ac:dyDescent="0.25">
      <c r="AE2620">
        <v>101.83</v>
      </c>
    </row>
    <row r="2621" spans="31:31" x14ac:dyDescent="0.25">
      <c r="AE2621">
        <v>104.75</v>
      </c>
    </row>
    <row r="2622" spans="31:31" x14ac:dyDescent="0.25">
      <c r="AE2622">
        <v>170.5</v>
      </c>
    </row>
    <row r="2623" spans="31:31" x14ac:dyDescent="0.25">
      <c r="AE2623">
        <v>14.38</v>
      </c>
    </row>
    <row r="2624" spans="31:31" x14ac:dyDescent="0.25">
      <c r="AE2624">
        <v>302.77999999999997</v>
      </c>
    </row>
    <row r="2625" spans="31:31" x14ac:dyDescent="0.25">
      <c r="AE2625">
        <v>37.36</v>
      </c>
    </row>
    <row r="2626" spans="31:31" x14ac:dyDescent="0.25">
      <c r="AE2626">
        <v>54.47</v>
      </c>
    </row>
    <row r="2627" spans="31:31" x14ac:dyDescent="0.25">
      <c r="AE2627">
        <v>20.100000000000001</v>
      </c>
    </row>
    <row r="2628" spans="31:31" x14ac:dyDescent="0.25">
      <c r="AE2628">
        <v>198.59</v>
      </c>
    </row>
    <row r="2629" spans="31:31" x14ac:dyDescent="0.25">
      <c r="AE2629">
        <v>27.48</v>
      </c>
    </row>
    <row r="2630" spans="31:31" x14ac:dyDescent="0.25">
      <c r="AE2630">
        <v>21.29</v>
      </c>
    </row>
    <row r="2631" spans="31:31" x14ac:dyDescent="0.25">
      <c r="AE2631">
        <v>35.51</v>
      </c>
    </row>
    <row r="2632" spans="31:31" x14ac:dyDescent="0.25">
      <c r="AE2632">
        <v>17.45</v>
      </c>
    </row>
    <row r="2633" spans="31:31" x14ac:dyDescent="0.25">
      <c r="AE2633">
        <v>10.88</v>
      </c>
    </row>
    <row r="2634" spans="31:31" x14ac:dyDescent="0.25">
      <c r="AE2634">
        <v>11.7</v>
      </c>
    </row>
    <row r="2635" spans="31:31" x14ac:dyDescent="0.25">
      <c r="AE2635">
        <v>100.23</v>
      </c>
    </row>
    <row r="2636" spans="31:31" x14ac:dyDescent="0.25">
      <c r="AE2636">
        <v>149.79</v>
      </c>
    </row>
    <row r="2637" spans="31:31" x14ac:dyDescent="0.25">
      <c r="AE2637">
        <v>15.79</v>
      </c>
    </row>
    <row r="2638" spans="31:31" x14ac:dyDescent="0.25">
      <c r="AE2638">
        <v>77.41</v>
      </c>
    </row>
    <row r="2639" spans="31:31" x14ac:dyDescent="0.25">
      <c r="AE2639">
        <v>33.049999999999997</v>
      </c>
    </row>
    <row r="2640" spans="31:31" x14ac:dyDescent="0.25">
      <c r="AE2640">
        <v>111.41</v>
      </c>
    </row>
    <row r="2641" spans="31:31" x14ac:dyDescent="0.25">
      <c r="AE2641">
        <v>143.72999999999999</v>
      </c>
    </row>
    <row r="2642" spans="31:31" x14ac:dyDescent="0.25">
      <c r="AE2642">
        <v>37.74</v>
      </c>
    </row>
    <row r="2643" spans="31:31" x14ac:dyDescent="0.25">
      <c r="AE2643">
        <v>144.97</v>
      </c>
    </row>
    <row r="2644" spans="31:31" x14ac:dyDescent="0.25">
      <c r="AE2644">
        <v>70.17</v>
      </c>
    </row>
    <row r="2645" spans="31:31" x14ac:dyDescent="0.25">
      <c r="AE2645">
        <v>19.43</v>
      </c>
    </row>
    <row r="2646" spans="31:31" x14ac:dyDescent="0.25">
      <c r="AE2646">
        <v>24.67</v>
      </c>
    </row>
    <row r="2647" spans="31:31" x14ac:dyDescent="0.25">
      <c r="AE2647">
        <v>21.86</v>
      </c>
    </row>
    <row r="2648" spans="31:31" x14ac:dyDescent="0.25">
      <c r="AE2648">
        <v>39.01</v>
      </c>
    </row>
    <row r="2649" spans="31:31" x14ac:dyDescent="0.25">
      <c r="AE2649">
        <v>10.19</v>
      </c>
    </row>
    <row r="2650" spans="31:31" x14ac:dyDescent="0.25">
      <c r="AE2650">
        <v>26.81</v>
      </c>
    </row>
    <row r="2651" spans="31:31" x14ac:dyDescent="0.25">
      <c r="AE2651">
        <v>45.98</v>
      </c>
    </row>
    <row r="2652" spans="31:31" x14ac:dyDescent="0.25">
      <c r="AE2652">
        <v>60.31</v>
      </c>
    </row>
    <row r="2653" spans="31:31" x14ac:dyDescent="0.25">
      <c r="AE2653">
        <v>189.02</v>
      </c>
    </row>
    <row r="2654" spans="31:31" x14ac:dyDescent="0.25">
      <c r="AE2654">
        <v>21.33</v>
      </c>
    </row>
    <row r="2655" spans="31:31" x14ac:dyDescent="0.25">
      <c r="AE2655">
        <v>9.3800000000000008</v>
      </c>
    </row>
    <row r="2656" spans="31:31" x14ac:dyDescent="0.25">
      <c r="AE2656">
        <v>66.64</v>
      </c>
    </row>
    <row r="2657" spans="31:31" x14ac:dyDescent="0.25">
      <c r="AE2657">
        <v>34.26</v>
      </c>
    </row>
    <row r="2658" spans="31:31" x14ac:dyDescent="0.25">
      <c r="AE2658">
        <v>19.09</v>
      </c>
    </row>
    <row r="2659" spans="31:31" x14ac:dyDescent="0.25">
      <c r="AE2659">
        <v>42.03</v>
      </c>
    </row>
    <row r="2660" spans="31:31" x14ac:dyDescent="0.25">
      <c r="AE2660">
        <v>22.61</v>
      </c>
    </row>
    <row r="2661" spans="31:31" x14ac:dyDescent="0.25">
      <c r="AE2661">
        <v>19.52</v>
      </c>
    </row>
    <row r="2662" spans="31:31" x14ac:dyDescent="0.25">
      <c r="AE2662">
        <v>26.35</v>
      </c>
    </row>
    <row r="2663" spans="31:31" x14ac:dyDescent="0.25">
      <c r="AE2663">
        <v>33.03</v>
      </c>
    </row>
    <row r="2664" spans="31:31" x14ac:dyDescent="0.25">
      <c r="AE2664">
        <v>62.08</v>
      </c>
    </row>
    <row r="2665" spans="31:31" x14ac:dyDescent="0.25">
      <c r="AE2665">
        <v>26.22</v>
      </c>
    </row>
    <row r="2666" spans="31:31" x14ac:dyDescent="0.25">
      <c r="AE2666">
        <v>59.11</v>
      </c>
    </row>
    <row r="2667" spans="31:31" x14ac:dyDescent="0.25">
      <c r="AE2667">
        <v>10.28</v>
      </c>
    </row>
    <row r="2668" spans="31:31" x14ac:dyDescent="0.25">
      <c r="AE2668">
        <v>35.79</v>
      </c>
    </row>
    <row r="2669" spans="31:31" x14ac:dyDescent="0.25">
      <c r="AE2669">
        <v>12.28</v>
      </c>
    </row>
    <row r="2670" spans="31:31" x14ac:dyDescent="0.25">
      <c r="AE2670">
        <v>78.22</v>
      </c>
    </row>
    <row r="2671" spans="31:31" x14ac:dyDescent="0.25">
      <c r="AE2671">
        <v>9.99</v>
      </c>
    </row>
    <row r="2672" spans="31:31" x14ac:dyDescent="0.25">
      <c r="AE2672">
        <v>31.44</v>
      </c>
    </row>
    <row r="2673" spans="31:31" x14ac:dyDescent="0.25">
      <c r="AE2673">
        <v>128.69999999999999</v>
      </c>
    </row>
    <row r="2674" spans="31:31" x14ac:dyDescent="0.25">
      <c r="AE2674">
        <v>16.420000000000002</v>
      </c>
    </row>
    <row r="2675" spans="31:31" x14ac:dyDescent="0.25">
      <c r="AE2675">
        <v>27.44</v>
      </c>
    </row>
    <row r="2676" spans="31:31" x14ac:dyDescent="0.25">
      <c r="AE2676">
        <v>62.68</v>
      </c>
    </row>
    <row r="2677" spans="31:31" x14ac:dyDescent="0.25">
      <c r="AE2677">
        <v>43.76</v>
      </c>
    </row>
    <row r="2678" spans="31:31" x14ac:dyDescent="0.25">
      <c r="AE2678">
        <v>105.88</v>
      </c>
    </row>
    <row r="2679" spans="31:31" x14ac:dyDescent="0.25">
      <c r="AE2679">
        <v>47.63</v>
      </c>
    </row>
    <row r="2680" spans="31:31" x14ac:dyDescent="0.25">
      <c r="AE2680">
        <v>30.41</v>
      </c>
    </row>
    <row r="2681" spans="31:31" x14ac:dyDescent="0.25">
      <c r="AE2681">
        <v>46.21</v>
      </c>
    </row>
    <row r="2682" spans="31:31" x14ac:dyDescent="0.25">
      <c r="AE2682">
        <v>25.44</v>
      </c>
    </row>
    <row r="2683" spans="31:31" x14ac:dyDescent="0.25">
      <c r="AE2683">
        <v>51.78</v>
      </c>
    </row>
    <row r="2684" spans="31:31" x14ac:dyDescent="0.25">
      <c r="AE2684">
        <v>24.07</v>
      </c>
    </row>
    <row r="2685" spans="31:31" x14ac:dyDescent="0.25">
      <c r="AE2685">
        <v>30.63</v>
      </c>
    </row>
    <row r="2686" spans="31:31" x14ac:dyDescent="0.25">
      <c r="AE2686">
        <v>21.99</v>
      </c>
    </row>
    <row r="2687" spans="31:31" x14ac:dyDescent="0.25">
      <c r="AE2687">
        <v>60.89</v>
      </c>
    </row>
    <row r="2688" spans="31:31" x14ac:dyDescent="0.25">
      <c r="AE2688">
        <v>47.45</v>
      </c>
    </row>
    <row r="2689" spans="31:31" x14ac:dyDescent="0.25">
      <c r="AE2689">
        <v>18.809999999999999</v>
      </c>
    </row>
    <row r="2690" spans="31:31" x14ac:dyDescent="0.25">
      <c r="AE2690">
        <v>87.79</v>
      </c>
    </row>
    <row r="2691" spans="31:31" x14ac:dyDescent="0.25">
      <c r="AE2691">
        <v>48.22</v>
      </c>
    </row>
    <row r="2692" spans="31:31" x14ac:dyDescent="0.25">
      <c r="AE2692">
        <v>32.880000000000003</v>
      </c>
    </row>
    <row r="2693" spans="31:31" x14ac:dyDescent="0.25">
      <c r="AE2693">
        <v>91.89</v>
      </c>
    </row>
    <row r="2694" spans="31:31" x14ac:dyDescent="0.25">
      <c r="AE2694">
        <v>0.09</v>
      </c>
    </row>
    <row r="2695" spans="31:31" x14ac:dyDescent="0.25">
      <c r="AE2695">
        <v>25.44</v>
      </c>
    </row>
    <row r="2696" spans="31:31" x14ac:dyDescent="0.25">
      <c r="AE2696">
        <v>18.239999999999998</v>
      </c>
    </row>
    <row r="2697" spans="31:31" x14ac:dyDescent="0.25">
      <c r="AE2697">
        <v>33.380000000000003</v>
      </c>
    </row>
    <row r="2698" spans="31:31" x14ac:dyDescent="0.25">
      <c r="AE2698">
        <v>94.3</v>
      </c>
    </row>
    <row r="2699" spans="31:31" x14ac:dyDescent="0.25">
      <c r="AE2699">
        <v>98.34</v>
      </c>
    </row>
    <row r="2700" spans="31:31" x14ac:dyDescent="0.25">
      <c r="AE2700">
        <v>171.6</v>
      </c>
    </row>
    <row r="2701" spans="31:31" x14ac:dyDescent="0.25">
      <c r="AE2701">
        <v>68.06</v>
      </c>
    </row>
    <row r="2702" spans="31:31" x14ac:dyDescent="0.25">
      <c r="AE2702">
        <v>32.93</v>
      </c>
    </row>
    <row r="2703" spans="31:31" x14ac:dyDescent="0.25">
      <c r="AE2703">
        <v>28.72</v>
      </c>
    </row>
    <row r="2704" spans="31:31" x14ac:dyDescent="0.25">
      <c r="AE2704">
        <v>0.36</v>
      </c>
    </row>
    <row r="2705" spans="31:31" x14ac:dyDescent="0.25">
      <c r="AE2705">
        <v>51.87</v>
      </c>
    </row>
    <row r="2706" spans="31:31" x14ac:dyDescent="0.25">
      <c r="AE2706">
        <v>38.130000000000003</v>
      </c>
    </row>
    <row r="2707" spans="31:31" x14ac:dyDescent="0.25">
      <c r="AE2707">
        <v>58.24</v>
      </c>
    </row>
    <row r="2708" spans="31:31" x14ac:dyDescent="0.25">
      <c r="AE2708">
        <v>107.84</v>
      </c>
    </row>
    <row r="2709" spans="31:31" x14ac:dyDescent="0.25">
      <c r="AE2709">
        <v>31.69</v>
      </c>
    </row>
    <row r="2710" spans="31:31" x14ac:dyDescent="0.25">
      <c r="AE2710">
        <v>47.94</v>
      </c>
    </row>
    <row r="2711" spans="31:31" x14ac:dyDescent="0.25">
      <c r="AE2711">
        <v>86.95</v>
      </c>
    </row>
    <row r="2712" spans="31:31" x14ac:dyDescent="0.25">
      <c r="AE2712">
        <v>32.69</v>
      </c>
    </row>
    <row r="2713" spans="31:31" x14ac:dyDescent="0.25">
      <c r="AE2713">
        <v>62.83</v>
      </c>
    </row>
    <row r="2714" spans="31:31" x14ac:dyDescent="0.25">
      <c r="AE2714">
        <v>92.36</v>
      </c>
    </row>
    <row r="2715" spans="31:31" x14ac:dyDescent="0.25">
      <c r="AE2715">
        <v>32.22</v>
      </c>
    </row>
    <row r="2716" spans="31:31" x14ac:dyDescent="0.25">
      <c r="AE2716">
        <v>95.45</v>
      </c>
    </row>
    <row r="2717" spans="31:31" x14ac:dyDescent="0.25">
      <c r="AE2717">
        <v>37.270000000000003</v>
      </c>
    </row>
    <row r="2718" spans="31:31" x14ac:dyDescent="0.25">
      <c r="AE2718">
        <v>3.63</v>
      </c>
    </row>
    <row r="2719" spans="31:31" x14ac:dyDescent="0.25">
      <c r="AE2719">
        <v>14.32</v>
      </c>
    </row>
    <row r="2720" spans="31:31" x14ac:dyDescent="0.25">
      <c r="AE2720">
        <v>87.49</v>
      </c>
    </row>
    <row r="2721" spans="31:31" x14ac:dyDescent="0.25">
      <c r="AE2721">
        <v>53.27</v>
      </c>
    </row>
    <row r="2722" spans="31:31" x14ac:dyDescent="0.25">
      <c r="AE2722">
        <v>10.039999999999999</v>
      </c>
    </row>
    <row r="2723" spans="31:31" x14ac:dyDescent="0.25">
      <c r="AE2723">
        <v>22.78</v>
      </c>
    </row>
    <row r="2724" spans="31:31" x14ac:dyDescent="0.25">
      <c r="AE2724">
        <v>95.02</v>
      </c>
    </row>
    <row r="2725" spans="31:31" x14ac:dyDescent="0.25">
      <c r="AE2725">
        <v>29.42</v>
      </c>
    </row>
    <row r="2726" spans="31:31" x14ac:dyDescent="0.25">
      <c r="AE2726">
        <v>27.9</v>
      </c>
    </row>
    <row r="2727" spans="31:31" x14ac:dyDescent="0.25">
      <c r="AE2727">
        <v>152.91</v>
      </c>
    </row>
    <row r="2728" spans="31:31" x14ac:dyDescent="0.25">
      <c r="AE2728">
        <v>23.71</v>
      </c>
    </row>
    <row r="2729" spans="31:31" x14ac:dyDescent="0.25">
      <c r="AE2729">
        <v>150.77000000000001</v>
      </c>
    </row>
    <row r="2730" spans="31:31" x14ac:dyDescent="0.25">
      <c r="AE2730">
        <v>38.56</v>
      </c>
    </row>
    <row r="2731" spans="31:31" x14ac:dyDescent="0.25">
      <c r="AE2731">
        <v>64.069999999999993</v>
      </c>
    </row>
    <row r="2732" spans="31:31" x14ac:dyDescent="0.25">
      <c r="AE2732">
        <v>30.22</v>
      </c>
    </row>
    <row r="2733" spans="31:31" x14ac:dyDescent="0.25">
      <c r="AE2733">
        <v>45.56</v>
      </c>
    </row>
    <row r="2734" spans="31:31" x14ac:dyDescent="0.25">
      <c r="AE2734">
        <v>15.99</v>
      </c>
    </row>
    <row r="2735" spans="31:31" x14ac:dyDescent="0.25">
      <c r="AE2735">
        <v>18.91</v>
      </c>
    </row>
    <row r="2736" spans="31:31" x14ac:dyDescent="0.25">
      <c r="AE2736">
        <v>67.98</v>
      </c>
    </row>
    <row r="2737" spans="31:31" x14ac:dyDescent="0.25">
      <c r="AE2737">
        <v>54.75</v>
      </c>
    </row>
    <row r="2738" spans="31:31" x14ac:dyDescent="0.25">
      <c r="AE2738">
        <v>50.22</v>
      </c>
    </row>
    <row r="2739" spans="31:31" x14ac:dyDescent="0.25">
      <c r="AE2739">
        <v>119.39</v>
      </c>
    </row>
    <row r="2740" spans="31:31" x14ac:dyDescent="0.25">
      <c r="AE2740">
        <v>85.11</v>
      </c>
    </row>
    <row r="2741" spans="31:31" x14ac:dyDescent="0.25">
      <c r="AE2741">
        <v>50.83</v>
      </c>
    </row>
    <row r="2742" spans="31:31" x14ac:dyDescent="0.25">
      <c r="AE2742">
        <v>6.91</v>
      </c>
    </row>
    <row r="2743" spans="31:31" x14ac:dyDescent="0.25">
      <c r="AE2743">
        <v>33.06</v>
      </c>
    </row>
    <row r="2744" spans="31:31" x14ac:dyDescent="0.25">
      <c r="AE2744">
        <v>103.06</v>
      </c>
    </row>
    <row r="2745" spans="31:31" x14ac:dyDescent="0.25">
      <c r="AE2745">
        <v>76.36</v>
      </c>
    </row>
    <row r="2746" spans="31:31" x14ac:dyDescent="0.25">
      <c r="AE2746">
        <v>38.869999999999997</v>
      </c>
    </row>
    <row r="2747" spans="31:31" x14ac:dyDescent="0.25">
      <c r="AE2747">
        <v>56.08</v>
      </c>
    </row>
    <row r="2748" spans="31:31" x14ac:dyDescent="0.25">
      <c r="AE2748">
        <v>28.63</v>
      </c>
    </row>
    <row r="2749" spans="31:31" x14ac:dyDescent="0.25">
      <c r="AE2749">
        <v>18.72</v>
      </c>
    </row>
    <row r="2750" spans="31:31" x14ac:dyDescent="0.25">
      <c r="AE2750">
        <v>22.04</v>
      </c>
    </row>
    <row r="2751" spans="31:31" x14ac:dyDescent="0.25">
      <c r="AE2751">
        <v>9.99</v>
      </c>
    </row>
    <row r="2752" spans="31:31" x14ac:dyDescent="0.25">
      <c r="AE2752">
        <v>10.19</v>
      </c>
    </row>
    <row r="2753" spans="31:31" x14ac:dyDescent="0.25">
      <c r="AE2753">
        <v>14.43</v>
      </c>
    </row>
    <row r="2754" spans="31:31" x14ac:dyDescent="0.25">
      <c r="AE2754">
        <v>26.35</v>
      </c>
    </row>
    <row r="2755" spans="31:31" x14ac:dyDescent="0.25">
      <c r="AE2755">
        <v>16.11</v>
      </c>
    </row>
    <row r="2756" spans="31:31" x14ac:dyDescent="0.25">
      <c r="AE2756">
        <v>34.049999999999997</v>
      </c>
    </row>
    <row r="2757" spans="31:31" x14ac:dyDescent="0.25">
      <c r="AE2757">
        <v>0.27</v>
      </c>
    </row>
    <row r="2758" spans="31:31" x14ac:dyDescent="0.25">
      <c r="AE2758">
        <v>72.739999999999995</v>
      </c>
    </row>
    <row r="2759" spans="31:31" x14ac:dyDescent="0.25">
      <c r="AE2759">
        <v>79.180000000000007</v>
      </c>
    </row>
    <row r="2760" spans="31:31" x14ac:dyDescent="0.25">
      <c r="AE2760">
        <v>18.23</v>
      </c>
    </row>
    <row r="2761" spans="31:31" x14ac:dyDescent="0.25">
      <c r="AE2761">
        <v>60.82</v>
      </c>
    </row>
    <row r="2762" spans="31:31" x14ac:dyDescent="0.25">
      <c r="AE2762">
        <v>22.17</v>
      </c>
    </row>
    <row r="2763" spans="31:31" x14ac:dyDescent="0.25">
      <c r="AE2763">
        <v>6.8</v>
      </c>
    </row>
    <row r="2764" spans="31:31" x14ac:dyDescent="0.25">
      <c r="AE2764">
        <v>62.25</v>
      </c>
    </row>
    <row r="2765" spans="31:31" x14ac:dyDescent="0.25">
      <c r="AE2765">
        <v>66.53</v>
      </c>
    </row>
    <row r="2766" spans="31:31" x14ac:dyDescent="0.25">
      <c r="AE2766">
        <v>39.1</v>
      </c>
    </row>
    <row r="2767" spans="31:31" x14ac:dyDescent="0.25">
      <c r="AE2767">
        <v>17.170000000000002</v>
      </c>
    </row>
    <row r="2768" spans="31:31" x14ac:dyDescent="0.25">
      <c r="AE2768">
        <v>15.04</v>
      </c>
    </row>
    <row r="2769" spans="31:31" x14ac:dyDescent="0.25">
      <c r="AE2769">
        <v>130.75</v>
      </c>
    </row>
    <row r="2770" spans="31:31" x14ac:dyDescent="0.25">
      <c r="AE2770">
        <v>35.520000000000003</v>
      </c>
    </row>
    <row r="2771" spans="31:31" x14ac:dyDescent="0.25">
      <c r="AE2771">
        <v>49.27</v>
      </c>
    </row>
    <row r="2772" spans="31:31" x14ac:dyDescent="0.25">
      <c r="AE2772">
        <v>78.48</v>
      </c>
    </row>
    <row r="2773" spans="31:31" x14ac:dyDescent="0.25">
      <c r="AE2773">
        <v>9.6</v>
      </c>
    </row>
    <row r="2774" spans="31:31" x14ac:dyDescent="0.25">
      <c r="AE2774">
        <v>34.29</v>
      </c>
    </row>
    <row r="2775" spans="31:31" x14ac:dyDescent="0.25">
      <c r="AE2775">
        <v>0.36</v>
      </c>
    </row>
    <row r="2776" spans="31:31" x14ac:dyDescent="0.25">
      <c r="AE2776">
        <v>44.88</v>
      </c>
    </row>
    <row r="2777" spans="31:31" x14ac:dyDescent="0.25">
      <c r="AE2777">
        <v>34.479999999999997</v>
      </c>
    </row>
    <row r="2778" spans="31:31" x14ac:dyDescent="0.25">
      <c r="AE2778">
        <v>30.94</v>
      </c>
    </row>
    <row r="2779" spans="31:31" x14ac:dyDescent="0.25">
      <c r="AE2779">
        <v>106.84</v>
      </c>
    </row>
    <row r="2780" spans="31:31" x14ac:dyDescent="0.25">
      <c r="AE2780">
        <v>31.78</v>
      </c>
    </row>
    <row r="2781" spans="31:31" x14ac:dyDescent="0.25">
      <c r="AE2781">
        <v>65.45</v>
      </c>
    </row>
    <row r="2782" spans="31:31" x14ac:dyDescent="0.25">
      <c r="AE2782">
        <v>12.17</v>
      </c>
    </row>
    <row r="2783" spans="31:31" x14ac:dyDescent="0.25">
      <c r="AE2783">
        <v>24.86</v>
      </c>
    </row>
    <row r="2784" spans="31:31" x14ac:dyDescent="0.25">
      <c r="AE2784">
        <v>18.239999999999998</v>
      </c>
    </row>
    <row r="2785" spans="31:31" x14ac:dyDescent="0.25">
      <c r="AE2785">
        <v>45.62</v>
      </c>
    </row>
    <row r="2786" spans="31:31" x14ac:dyDescent="0.25">
      <c r="AE2786">
        <v>6.29</v>
      </c>
    </row>
    <row r="2787" spans="31:31" x14ac:dyDescent="0.25">
      <c r="AE2787">
        <v>57.03</v>
      </c>
    </row>
    <row r="2788" spans="31:31" x14ac:dyDescent="0.25">
      <c r="AE2788">
        <v>34.81</v>
      </c>
    </row>
    <row r="2789" spans="31:31" x14ac:dyDescent="0.25">
      <c r="AE2789">
        <v>19.93</v>
      </c>
    </row>
    <row r="2790" spans="31:31" x14ac:dyDescent="0.25">
      <c r="AE2790">
        <v>17.34</v>
      </c>
    </row>
    <row r="2791" spans="31:31" x14ac:dyDescent="0.25">
      <c r="AE2791">
        <v>39.770000000000003</v>
      </c>
    </row>
    <row r="2792" spans="31:31" x14ac:dyDescent="0.25">
      <c r="AE2792">
        <v>31.87</v>
      </c>
    </row>
    <row r="2793" spans="31:31" x14ac:dyDescent="0.25">
      <c r="AE2793">
        <v>8.26</v>
      </c>
    </row>
    <row r="2794" spans="31:31" x14ac:dyDescent="0.25">
      <c r="AE2794">
        <v>65.88</v>
      </c>
    </row>
    <row r="2795" spans="31:31" x14ac:dyDescent="0.25">
      <c r="AE2795">
        <v>12.94</v>
      </c>
    </row>
    <row r="2796" spans="31:31" x14ac:dyDescent="0.25">
      <c r="AE2796">
        <v>2.0299999999999998</v>
      </c>
    </row>
    <row r="2797" spans="31:31" x14ac:dyDescent="0.25">
      <c r="AE2797">
        <v>21.8</v>
      </c>
    </row>
    <row r="2798" spans="31:31" x14ac:dyDescent="0.25">
      <c r="AE2798">
        <v>25.29</v>
      </c>
    </row>
    <row r="2799" spans="31:31" x14ac:dyDescent="0.25">
      <c r="AE2799">
        <v>88.01</v>
      </c>
    </row>
    <row r="2800" spans="31:31" x14ac:dyDescent="0.25">
      <c r="AE2800">
        <v>180.29</v>
      </c>
    </row>
    <row r="2801" spans="31:31" x14ac:dyDescent="0.25">
      <c r="AE2801">
        <v>57.05</v>
      </c>
    </row>
    <row r="2802" spans="31:31" x14ac:dyDescent="0.25">
      <c r="AE2802">
        <v>18.32</v>
      </c>
    </row>
    <row r="2803" spans="31:31" x14ac:dyDescent="0.25">
      <c r="AE2803">
        <v>166.15</v>
      </c>
    </row>
    <row r="2804" spans="31:31" x14ac:dyDescent="0.25">
      <c r="AE2804">
        <v>60.8</v>
      </c>
    </row>
    <row r="2805" spans="31:31" x14ac:dyDescent="0.25">
      <c r="AE2805">
        <v>19.899999999999999</v>
      </c>
    </row>
    <row r="2806" spans="31:31" x14ac:dyDescent="0.25">
      <c r="AE2806">
        <v>12.2</v>
      </c>
    </row>
    <row r="2807" spans="31:31" x14ac:dyDescent="0.25">
      <c r="AE2807">
        <v>27.89</v>
      </c>
    </row>
    <row r="2808" spans="31:31" x14ac:dyDescent="0.25">
      <c r="AE2808">
        <v>45.61</v>
      </c>
    </row>
    <row r="2809" spans="31:31" x14ac:dyDescent="0.25">
      <c r="AE2809">
        <v>48.77</v>
      </c>
    </row>
    <row r="2810" spans="31:31" x14ac:dyDescent="0.25">
      <c r="AE2810">
        <v>21.69</v>
      </c>
    </row>
    <row r="2811" spans="31:31" x14ac:dyDescent="0.25">
      <c r="AE2811">
        <v>60.56</v>
      </c>
    </row>
    <row r="2812" spans="31:31" x14ac:dyDescent="0.25">
      <c r="AE2812">
        <v>11.45</v>
      </c>
    </row>
    <row r="2813" spans="31:31" x14ac:dyDescent="0.25">
      <c r="AE2813">
        <v>9.08</v>
      </c>
    </row>
    <row r="2814" spans="31:31" x14ac:dyDescent="0.25">
      <c r="AE2814">
        <v>11.87</v>
      </c>
    </row>
    <row r="2815" spans="31:31" x14ac:dyDescent="0.25">
      <c r="AE2815">
        <v>27.1</v>
      </c>
    </row>
    <row r="2816" spans="31:31" x14ac:dyDescent="0.25">
      <c r="AE2816">
        <v>10.54</v>
      </c>
    </row>
    <row r="2817" spans="31:31" x14ac:dyDescent="0.25">
      <c r="AE2817">
        <v>102.07</v>
      </c>
    </row>
    <row r="2818" spans="31:31" x14ac:dyDescent="0.25">
      <c r="AE2818">
        <v>26.38</v>
      </c>
    </row>
    <row r="2819" spans="31:31" x14ac:dyDescent="0.25">
      <c r="AE2819">
        <v>5.95</v>
      </c>
    </row>
    <row r="2820" spans="31:31" x14ac:dyDescent="0.25">
      <c r="AE2820">
        <v>35.18</v>
      </c>
    </row>
    <row r="2821" spans="31:31" x14ac:dyDescent="0.25">
      <c r="AE2821">
        <v>80.19</v>
      </c>
    </row>
    <row r="2822" spans="31:31" x14ac:dyDescent="0.25">
      <c r="AE2822">
        <v>63.36</v>
      </c>
    </row>
    <row r="2823" spans="31:31" x14ac:dyDescent="0.25">
      <c r="AE2823">
        <v>25.01</v>
      </c>
    </row>
    <row r="2824" spans="31:31" x14ac:dyDescent="0.25">
      <c r="AE2824">
        <v>50.8</v>
      </c>
    </row>
    <row r="2825" spans="31:31" x14ac:dyDescent="0.25">
      <c r="AE2825">
        <v>94.1</v>
      </c>
    </row>
    <row r="2826" spans="31:31" x14ac:dyDescent="0.25">
      <c r="AE2826">
        <v>11.12</v>
      </c>
    </row>
    <row r="2827" spans="31:31" x14ac:dyDescent="0.25">
      <c r="AE2827">
        <v>14.16</v>
      </c>
    </row>
    <row r="2828" spans="31:31" x14ac:dyDescent="0.25">
      <c r="AE2828">
        <v>16.18</v>
      </c>
    </row>
    <row r="2829" spans="31:31" x14ac:dyDescent="0.25">
      <c r="AE2829">
        <v>40.93</v>
      </c>
    </row>
    <row r="2830" spans="31:31" x14ac:dyDescent="0.25">
      <c r="AE2830">
        <v>57.31</v>
      </c>
    </row>
    <row r="2831" spans="31:31" x14ac:dyDescent="0.25">
      <c r="AE2831">
        <v>0.54</v>
      </c>
    </row>
    <row r="2832" spans="31:31" x14ac:dyDescent="0.25">
      <c r="AE2832">
        <v>87.51</v>
      </c>
    </row>
    <row r="2833" spans="31:31" x14ac:dyDescent="0.25">
      <c r="AE2833">
        <v>35.18</v>
      </c>
    </row>
    <row r="2834" spans="31:31" x14ac:dyDescent="0.25">
      <c r="AE2834">
        <v>32.31</v>
      </c>
    </row>
    <row r="2835" spans="31:31" x14ac:dyDescent="0.25">
      <c r="AE2835">
        <v>82.56</v>
      </c>
    </row>
    <row r="2836" spans="31:31" x14ac:dyDescent="0.25">
      <c r="AE2836">
        <v>25.82</v>
      </c>
    </row>
    <row r="2837" spans="31:31" x14ac:dyDescent="0.25">
      <c r="AE2837">
        <v>83.68</v>
      </c>
    </row>
    <row r="2838" spans="31:31" x14ac:dyDescent="0.25">
      <c r="AE2838">
        <v>109.14</v>
      </c>
    </row>
    <row r="2839" spans="31:31" x14ac:dyDescent="0.25">
      <c r="AE2839">
        <v>76.180000000000007</v>
      </c>
    </row>
    <row r="2840" spans="31:31" x14ac:dyDescent="0.25">
      <c r="AE2840">
        <v>54.79</v>
      </c>
    </row>
    <row r="2841" spans="31:31" x14ac:dyDescent="0.25">
      <c r="AE2841">
        <v>18.8</v>
      </c>
    </row>
    <row r="2842" spans="31:31" x14ac:dyDescent="0.25">
      <c r="AE2842">
        <v>10.24</v>
      </c>
    </row>
    <row r="2843" spans="31:31" x14ac:dyDescent="0.25">
      <c r="AE2843">
        <v>55.06</v>
      </c>
    </row>
    <row r="2844" spans="31:31" x14ac:dyDescent="0.25">
      <c r="AE2844">
        <v>30.12</v>
      </c>
    </row>
    <row r="2845" spans="31:31" x14ac:dyDescent="0.25">
      <c r="AE2845">
        <v>75.819999999999993</v>
      </c>
    </row>
    <row r="2846" spans="31:31" x14ac:dyDescent="0.25">
      <c r="AE2846">
        <v>53.16</v>
      </c>
    </row>
    <row r="2847" spans="31:31" x14ac:dyDescent="0.25">
      <c r="AE2847">
        <v>101.78</v>
      </c>
    </row>
    <row r="2848" spans="31:31" x14ac:dyDescent="0.25">
      <c r="AE2848">
        <v>31.73</v>
      </c>
    </row>
    <row r="2849" spans="31:31" x14ac:dyDescent="0.25">
      <c r="AE2849">
        <v>161.51</v>
      </c>
    </row>
    <row r="2850" spans="31:31" x14ac:dyDescent="0.25">
      <c r="AE2850">
        <v>14.68</v>
      </c>
    </row>
    <row r="2851" spans="31:31" x14ac:dyDescent="0.25">
      <c r="AE2851">
        <v>22.28</v>
      </c>
    </row>
    <row r="2852" spans="31:31" x14ac:dyDescent="0.25">
      <c r="AE2852">
        <v>23.55</v>
      </c>
    </row>
    <row r="2853" spans="31:31" x14ac:dyDescent="0.25">
      <c r="AE2853">
        <v>106.18</v>
      </c>
    </row>
    <row r="2854" spans="31:31" x14ac:dyDescent="0.25">
      <c r="AE2854">
        <v>44.03</v>
      </c>
    </row>
    <row r="2855" spans="31:31" x14ac:dyDescent="0.25">
      <c r="AE2855">
        <v>69.180000000000007</v>
      </c>
    </row>
    <row r="2856" spans="31:31" x14ac:dyDescent="0.25">
      <c r="AE2856">
        <v>29.8</v>
      </c>
    </row>
    <row r="2857" spans="31:31" x14ac:dyDescent="0.25">
      <c r="AE2857">
        <v>58.46</v>
      </c>
    </row>
    <row r="2858" spans="31:31" x14ac:dyDescent="0.25">
      <c r="AE2858">
        <v>30.67</v>
      </c>
    </row>
    <row r="2859" spans="31:31" x14ac:dyDescent="0.25">
      <c r="AE2859">
        <v>38.43</v>
      </c>
    </row>
    <row r="2860" spans="31:31" x14ac:dyDescent="0.25">
      <c r="AE2860">
        <v>33.950000000000003</v>
      </c>
    </row>
    <row r="2861" spans="31:31" x14ac:dyDescent="0.25">
      <c r="AE2861">
        <v>102.35</v>
      </c>
    </row>
    <row r="2862" spans="31:31" x14ac:dyDescent="0.25">
      <c r="AE2862">
        <v>39.020000000000003</v>
      </c>
    </row>
    <row r="2863" spans="31:31" x14ac:dyDescent="0.25">
      <c r="AE2863">
        <v>55.53</v>
      </c>
    </row>
    <row r="2864" spans="31:31" x14ac:dyDescent="0.25">
      <c r="AE2864">
        <v>46.68</v>
      </c>
    </row>
    <row r="2865" spans="31:31" x14ac:dyDescent="0.25">
      <c r="AE2865">
        <v>1.51</v>
      </c>
    </row>
    <row r="2866" spans="31:31" x14ac:dyDescent="0.25">
      <c r="AE2866">
        <v>23.75</v>
      </c>
    </row>
    <row r="2867" spans="31:31" x14ac:dyDescent="0.25">
      <c r="AE2867">
        <v>21.8</v>
      </c>
    </row>
    <row r="2868" spans="31:31" x14ac:dyDescent="0.25">
      <c r="AE2868">
        <v>27.92</v>
      </c>
    </row>
    <row r="2869" spans="31:31" x14ac:dyDescent="0.25">
      <c r="AE2869">
        <v>30.07</v>
      </c>
    </row>
    <row r="2870" spans="31:31" x14ac:dyDescent="0.25">
      <c r="AE2870">
        <v>17.09</v>
      </c>
    </row>
    <row r="2871" spans="31:31" x14ac:dyDescent="0.25">
      <c r="AE2871">
        <v>48.88</v>
      </c>
    </row>
    <row r="2872" spans="31:31" x14ac:dyDescent="0.25">
      <c r="AE2872">
        <v>45.08</v>
      </c>
    </row>
    <row r="2873" spans="31:31" x14ac:dyDescent="0.25">
      <c r="AE2873">
        <v>138.43</v>
      </c>
    </row>
    <row r="2874" spans="31:31" x14ac:dyDescent="0.25">
      <c r="AE2874">
        <v>17.71</v>
      </c>
    </row>
    <row r="2875" spans="31:31" x14ac:dyDescent="0.25">
      <c r="AE2875">
        <v>17.93</v>
      </c>
    </row>
    <row r="2876" spans="31:31" x14ac:dyDescent="0.25">
      <c r="AE2876">
        <v>14.44</v>
      </c>
    </row>
    <row r="2877" spans="31:31" x14ac:dyDescent="0.25">
      <c r="AE2877">
        <v>15.01</v>
      </c>
    </row>
    <row r="2878" spans="31:31" x14ac:dyDescent="0.25">
      <c r="AE2878">
        <v>17.04</v>
      </c>
    </row>
    <row r="2879" spans="31:31" x14ac:dyDescent="0.25">
      <c r="AE2879">
        <v>65</v>
      </c>
    </row>
    <row r="2880" spans="31:31" x14ac:dyDescent="0.25">
      <c r="AE2880">
        <v>6.31</v>
      </c>
    </row>
    <row r="2881" spans="31:31" x14ac:dyDescent="0.25">
      <c r="AE2881">
        <v>41.24</v>
      </c>
    </row>
    <row r="2882" spans="31:31" x14ac:dyDescent="0.25">
      <c r="AE2882">
        <v>0.81</v>
      </c>
    </row>
    <row r="2883" spans="31:31" x14ac:dyDescent="0.25">
      <c r="AE2883">
        <v>60.05</v>
      </c>
    </row>
    <row r="2884" spans="31:31" x14ac:dyDescent="0.25">
      <c r="AE2884">
        <v>121.42</v>
      </c>
    </row>
    <row r="2885" spans="31:31" x14ac:dyDescent="0.25">
      <c r="AE2885">
        <v>42.46</v>
      </c>
    </row>
    <row r="2886" spans="31:31" x14ac:dyDescent="0.25">
      <c r="AE2886">
        <v>40.29</v>
      </c>
    </row>
    <row r="2887" spans="31:31" x14ac:dyDescent="0.25">
      <c r="AE2887">
        <v>73.75</v>
      </c>
    </row>
    <row r="2888" spans="31:31" x14ac:dyDescent="0.25">
      <c r="AE2888">
        <v>57.27</v>
      </c>
    </row>
    <row r="2889" spans="31:31" x14ac:dyDescent="0.25">
      <c r="AE2889">
        <v>25.26</v>
      </c>
    </row>
    <row r="2890" spans="31:31" x14ac:dyDescent="0.25">
      <c r="AE2890">
        <v>50.4</v>
      </c>
    </row>
    <row r="2891" spans="31:31" x14ac:dyDescent="0.25">
      <c r="AE2891">
        <v>85.79</v>
      </c>
    </row>
    <row r="2892" spans="31:31" x14ac:dyDescent="0.25">
      <c r="AE2892">
        <v>43.76</v>
      </c>
    </row>
    <row r="2893" spans="31:31" x14ac:dyDescent="0.25">
      <c r="AE2893">
        <v>126.95</v>
      </c>
    </row>
    <row r="2894" spans="31:31" x14ac:dyDescent="0.25">
      <c r="AE2894">
        <v>214.07</v>
      </c>
    </row>
    <row r="2895" spans="31:31" x14ac:dyDescent="0.25">
      <c r="AE2895">
        <v>35.409999999999997</v>
      </c>
    </row>
    <row r="2896" spans="31:31" x14ac:dyDescent="0.25">
      <c r="AE2896">
        <v>0.99</v>
      </c>
    </row>
    <row r="2897" spans="31:31" x14ac:dyDescent="0.25">
      <c r="AE2897">
        <v>61.4</v>
      </c>
    </row>
    <row r="2898" spans="31:31" x14ac:dyDescent="0.25">
      <c r="AE2898">
        <v>15.07</v>
      </c>
    </row>
    <row r="2899" spans="31:31" x14ac:dyDescent="0.25">
      <c r="AE2899">
        <v>49.31</v>
      </c>
    </row>
    <row r="2900" spans="31:31" x14ac:dyDescent="0.25">
      <c r="AE2900">
        <v>38.19</v>
      </c>
    </row>
    <row r="2901" spans="31:31" x14ac:dyDescent="0.25">
      <c r="AE2901">
        <v>66.58</v>
      </c>
    </row>
    <row r="2902" spans="31:31" x14ac:dyDescent="0.25">
      <c r="AE2902">
        <v>168.24</v>
      </c>
    </row>
    <row r="2903" spans="31:31" x14ac:dyDescent="0.25">
      <c r="AE2903">
        <v>65.05</v>
      </c>
    </row>
    <row r="2904" spans="31:31" x14ac:dyDescent="0.25">
      <c r="AE2904">
        <v>63.99</v>
      </c>
    </row>
    <row r="2905" spans="31:31" x14ac:dyDescent="0.25">
      <c r="AE2905">
        <v>43.53</v>
      </c>
    </row>
    <row r="2906" spans="31:31" x14ac:dyDescent="0.25">
      <c r="AE2906">
        <v>163.97</v>
      </c>
    </row>
    <row r="2907" spans="31:31" x14ac:dyDescent="0.25">
      <c r="AE2907">
        <v>40.89</v>
      </c>
    </row>
    <row r="2908" spans="31:31" x14ac:dyDescent="0.25">
      <c r="AE2908">
        <v>25.59</v>
      </c>
    </row>
    <row r="2909" spans="31:31" x14ac:dyDescent="0.25">
      <c r="AE2909">
        <v>58.68</v>
      </c>
    </row>
    <row r="2910" spans="31:31" x14ac:dyDescent="0.25">
      <c r="AE2910">
        <v>42.25</v>
      </c>
    </row>
    <row r="2911" spans="31:31" x14ac:dyDescent="0.25">
      <c r="AE2911">
        <v>48.07</v>
      </c>
    </row>
    <row r="2912" spans="31:31" x14ac:dyDescent="0.25">
      <c r="AE2912">
        <v>103.45</v>
      </c>
    </row>
    <row r="2913" spans="31:31" x14ac:dyDescent="0.25">
      <c r="AE2913">
        <v>42.57</v>
      </c>
    </row>
    <row r="2914" spans="31:31" x14ac:dyDescent="0.25">
      <c r="AE2914">
        <v>0</v>
      </c>
    </row>
    <row r="2915" spans="31:31" x14ac:dyDescent="0.25">
      <c r="AE2915">
        <v>11.29</v>
      </c>
    </row>
    <row r="2916" spans="31:31" x14ac:dyDescent="0.25">
      <c r="AE2916">
        <v>12.04</v>
      </c>
    </row>
    <row r="2917" spans="31:31" x14ac:dyDescent="0.25">
      <c r="AE2917">
        <v>67.86</v>
      </c>
    </row>
    <row r="2918" spans="31:31" x14ac:dyDescent="0.25">
      <c r="AE2918">
        <v>37.94</v>
      </c>
    </row>
    <row r="2919" spans="31:31" x14ac:dyDescent="0.25">
      <c r="AE2919">
        <v>15.64</v>
      </c>
    </row>
    <row r="2920" spans="31:31" x14ac:dyDescent="0.25">
      <c r="AE2920">
        <v>56.65</v>
      </c>
    </row>
    <row r="2921" spans="31:31" x14ac:dyDescent="0.25">
      <c r="AE2921">
        <v>28.61</v>
      </c>
    </row>
    <row r="2922" spans="31:31" x14ac:dyDescent="0.25">
      <c r="AE2922">
        <v>39.549999999999997</v>
      </c>
    </row>
    <row r="2923" spans="31:31" x14ac:dyDescent="0.25">
      <c r="AE2923">
        <v>130.55000000000001</v>
      </c>
    </row>
    <row r="2924" spans="31:31" x14ac:dyDescent="0.25">
      <c r="AE2924">
        <v>0</v>
      </c>
    </row>
    <row r="2925" spans="31:31" x14ac:dyDescent="0.25">
      <c r="AE2925">
        <v>75.760000000000005</v>
      </c>
    </row>
    <row r="2926" spans="31:31" x14ac:dyDescent="0.25">
      <c r="AE2926">
        <v>39.229999999999997</v>
      </c>
    </row>
    <row r="2927" spans="31:31" x14ac:dyDescent="0.25">
      <c r="AE2927">
        <v>0.53</v>
      </c>
    </row>
    <row r="2928" spans="31:31" x14ac:dyDescent="0.25">
      <c r="AE2928">
        <v>110.32</v>
      </c>
    </row>
    <row r="2929" spans="31:31" x14ac:dyDescent="0.25">
      <c r="AE2929">
        <v>31.67</v>
      </c>
    </row>
    <row r="2930" spans="31:31" x14ac:dyDescent="0.25">
      <c r="AE2930">
        <v>105.87</v>
      </c>
    </row>
    <row r="2931" spans="31:31" x14ac:dyDescent="0.25">
      <c r="AE2931">
        <v>50.18</v>
      </c>
    </row>
    <row r="2932" spans="31:31" x14ac:dyDescent="0.25">
      <c r="AE2932">
        <v>57.92</v>
      </c>
    </row>
    <row r="2933" spans="31:31" x14ac:dyDescent="0.25">
      <c r="AE2933">
        <v>24.27</v>
      </c>
    </row>
    <row r="2934" spans="31:31" x14ac:dyDescent="0.25">
      <c r="AE2934">
        <v>65.31</v>
      </c>
    </row>
    <row r="2935" spans="31:31" x14ac:dyDescent="0.25">
      <c r="AE2935">
        <v>0.36</v>
      </c>
    </row>
    <row r="2936" spans="31:31" x14ac:dyDescent="0.25">
      <c r="AE2936">
        <v>41.51</v>
      </c>
    </row>
    <row r="2937" spans="31:31" x14ac:dyDescent="0.25">
      <c r="AE2937">
        <v>50.2</v>
      </c>
    </row>
    <row r="2938" spans="31:31" x14ac:dyDescent="0.25">
      <c r="AE2938">
        <v>38.049999999999997</v>
      </c>
    </row>
    <row r="2939" spans="31:31" x14ac:dyDescent="0.25">
      <c r="AE2939">
        <v>146.5</v>
      </c>
    </row>
    <row r="2940" spans="31:31" x14ac:dyDescent="0.25">
      <c r="AE2940">
        <v>28.47</v>
      </c>
    </row>
    <row r="2941" spans="31:31" x14ac:dyDescent="0.25">
      <c r="AE2941">
        <v>106.21</v>
      </c>
    </row>
    <row r="2942" spans="31:31" x14ac:dyDescent="0.25">
      <c r="AE2942">
        <v>108.11</v>
      </c>
    </row>
    <row r="2943" spans="31:31" x14ac:dyDescent="0.25">
      <c r="AE2943">
        <v>11.79</v>
      </c>
    </row>
    <row r="2944" spans="31:31" x14ac:dyDescent="0.25">
      <c r="AE2944">
        <v>46.45</v>
      </c>
    </row>
    <row r="2945" spans="31:31" x14ac:dyDescent="0.25">
      <c r="AE2945">
        <v>33.520000000000003</v>
      </c>
    </row>
    <row r="2946" spans="31:31" x14ac:dyDescent="0.25">
      <c r="AE2946">
        <v>13.03</v>
      </c>
    </row>
    <row r="2947" spans="31:31" x14ac:dyDescent="0.25">
      <c r="AE2947">
        <v>16.95</v>
      </c>
    </row>
    <row r="2948" spans="31:31" x14ac:dyDescent="0.25">
      <c r="AE2948">
        <v>69.62</v>
      </c>
    </row>
    <row r="2949" spans="31:31" x14ac:dyDescent="0.25">
      <c r="AE2949">
        <v>51.42</v>
      </c>
    </row>
    <row r="2950" spans="31:31" x14ac:dyDescent="0.25">
      <c r="AE2950">
        <v>27.12</v>
      </c>
    </row>
    <row r="2951" spans="31:31" x14ac:dyDescent="0.25">
      <c r="AE2951">
        <v>64.5</v>
      </c>
    </row>
    <row r="2952" spans="31:31" x14ac:dyDescent="0.25">
      <c r="AE2952">
        <v>47.22</v>
      </c>
    </row>
    <row r="2953" spans="31:31" x14ac:dyDescent="0.25">
      <c r="AE2953">
        <v>125.23</v>
      </c>
    </row>
    <row r="2954" spans="31:31" x14ac:dyDescent="0.25">
      <c r="AE2954">
        <v>0.18</v>
      </c>
    </row>
    <row r="2955" spans="31:31" x14ac:dyDescent="0.25">
      <c r="AE2955">
        <v>80.3</v>
      </c>
    </row>
    <row r="2956" spans="31:31" x14ac:dyDescent="0.25">
      <c r="AE2956">
        <v>61.37</v>
      </c>
    </row>
    <row r="2957" spans="31:31" x14ac:dyDescent="0.25">
      <c r="AE2957">
        <v>30.1</v>
      </c>
    </row>
    <row r="2958" spans="31:31" x14ac:dyDescent="0.25">
      <c r="AE2958">
        <v>50.9</v>
      </c>
    </row>
    <row r="2959" spans="31:31" x14ac:dyDescent="0.25">
      <c r="AE2959">
        <v>56.15</v>
      </c>
    </row>
    <row r="2960" spans="31:31" x14ac:dyDescent="0.25">
      <c r="AE2960">
        <v>6.74</v>
      </c>
    </row>
    <row r="2961" spans="31:31" x14ac:dyDescent="0.25">
      <c r="AE2961">
        <v>34.729999999999997</v>
      </c>
    </row>
    <row r="2962" spans="31:31" x14ac:dyDescent="0.25">
      <c r="AE2962">
        <v>10.19</v>
      </c>
    </row>
    <row r="2963" spans="31:31" x14ac:dyDescent="0.25">
      <c r="AE2963">
        <v>29.02</v>
      </c>
    </row>
    <row r="2964" spans="31:31" x14ac:dyDescent="0.25">
      <c r="AE2964">
        <v>33.22</v>
      </c>
    </row>
    <row r="2965" spans="31:31" x14ac:dyDescent="0.25">
      <c r="AE2965">
        <v>0.92</v>
      </c>
    </row>
    <row r="2966" spans="31:31" x14ac:dyDescent="0.25">
      <c r="AE2966">
        <v>10.34</v>
      </c>
    </row>
    <row r="2967" spans="31:31" x14ac:dyDescent="0.25">
      <c r="AE2967">
        <v>9.99</v>
      </c>
    </row>
    <row r="2968" spans="31:31" x14ac:dyDescent="0.25">
      <c r="AE2968">
        <v>30.77</v>
      </c>
    </row>
    <row r="2970" spans="31:31" x14ac:dyDescent="0.25">
      <c r="AE2970">
        <v>29</v>
      </c>
    </row>
    <row r="2971" spans="31:31" x14ac:dyDescent="0.25">
      <c r="AE2971">
        <v>124.2</v>
      </c>
    </row>
    <row r="2972" spans="31:31" x14ac:dyDescent="0.25">
      <c r="AE2972">
        <v>86.75</v>
      </c>
    </row>
    <row r="2975" spans="31:31" x14ac:dyDescent="0.25">
      <c r="AE2975">
        <v>56.08</v>
      </c>
    </row>
    <row r="2977" spans="31:31" x14ac:dyDescent="0.25">
      <c r="AE2977">
        <v>9.99</v>
      </c>
    </row>
    <row r="2979" spans="31:31" x14ac:dyDescent="0.25">
      <c r="AE2979">
        <v>9.99</v>
      </c>
    </row>
    <row r="2980" spans="31:31" x14ac:dyDescent="0.25">
      <c r="AE2980">
        <v>125.55</v>
      </c>
    </row>
    <row r="2981" spans="31:31" x14ac:dyDescent="0.25">
      <c r="AE2981">
        <v>142.63</v>
      </c>
    </row>
    <row r="2982" spans="31:31" x14ac:dyDescent="0.25">
      <c r="AE2982">
        <v>116.97</v>
      </c>
    </row>
    <row r="2984" spans="31:31" x14ac:dyDescent="0.25">
      <c r="AE2984">
        <v>41.37</v>
      </c>
    </row>
    <row r="2985" spans="31:31" x14ac:dyDescent="0.25">
      <c r="AE2985">
        <v>24.08</v>
      </c>
    </row>
    <row r="2986" spans="31:31" x14ac:dyDescent="0.25">
      <c r="AE2986">
        <v>80.66</v>
      </c>
    </row>
    <row r="2988" spans="31:31" x14ac:dyDescent="0.25">
      <c r="AE2988">
        <v>14.42</v>
      </c>
    </row>
    <row r="2989" spans="31:31" x14ac:dyDescent="0.25">
      <c r="AE2989">
        <v>46.86</v>
      </c>
    </row>
    <row r="2990" spans="31:31" x14ac:dyDescent="0.25">
      <c r="AE2990">
        <v>16.48</v>
      </c>
    </row>
    <row r="2991" spans="31:31" x14ac:dyDescent="0.25">
      <c r="AE2991">
        <v>5.39</v>
      </c>
    </row>
    <row r="2992" spans="31:31" x14ac:dyDescent="0.25">
      <c r="AE2992">
        <v>79.510000000000005</v>
      </c>
    </row>
    <row r="2993" spans="31:31" x14ac:dyDescent="0.25">
      <c r="AE2993">
        <v>14.2</v>
      </c>
    </row>
    <row r="2994" spans="31:31" x14ac:dyDescent="0.25">
      <c r="AE2994">
        <v>62.56</v>
      </c>
    </row>
    <row r="2995" spans="31:31" x14ac:dyDescent="0.25">
      <c r="AE2995">
        <v>12.47</v>
      </c>
    </row>
    <row r="2996" spans="31:31" x14ac:dyDescent="0.25">
      <c r="AE2996">
        <v>0.36</v>
      </c>
    </row>
    <row r="2998" spans="31:31" x14ac:dyDescent="0.25">
      <c r="AE2998">
        <v>69.3</v>
      </c>
    </row>
    <row r="2999" spans="31:31" x14ac:dyDescent="0.25">
      <c r="AE2999">
        <v>56.51</v>
      </c>
    </row>
    <row r="3001" spans="31:31" x14ac:dyDescent="0.25">
      <c r="AE3001">
        <v>0.27</v>
      </c>
    </row>
    <row r="3002" spans="31:31" x14ac:dyDescent="0.25">
      <c r="AE3002">
        <v>47.61</v>
      </c>
    </row>
    <row r="3003" spans="31:31" x14ac:dyDescent="0.25">
      <c r="AE3003">
        <v>17.05</v>
      </c>
    </row>
    <row r="3004" spans="31:31" x14ac:dyDescent="0.25">
      <c r="AE3004">
        <v>39.96</v>
      </c>
    </row>
    <row r="3005" spans="31:31" x14ac:dyDescent="0.25">
      <c r="AE3005">
        <v>43.08</v>
      </c>
    </row>
    <row r="3006" spans="31:31" x14ac:dyDescent="0.25">
      <c r="AE3006">
        <v>66.38</v>
      </c>
    </row>
    <row r="3007" spans="31:31" x14ac:dyDescent="0.25">
      <c r="AE3007">
        <v>52.38</v>
      </c>
    </row>
    <row r="3008" spans="31:31" x14ac:dyDescent="0.25">
      <c r="AE3008">
        <v>104.29</v>
      </c>
    </row>
    <row r="3009" spans="31:31" x14ac:dyDescent="0.25">
      <c r="AE3009">
        <v>132.11000000000001</v>
      </c>
    </row>
    <row r="3010" spans="31:31" x14ac:dyDescent="0.25">
      <c r="AE3010">
        <v>18.38</v>
      </c>
    </row>
    <row r="3011" spans="31:31" x14ac:dyDescent="0.25">
      <c r="AE3011">
        <v>54.93</v>
      </c>
    </row>
    <row r="3012" spans="31:31" x14ac:dyDescent="0.25">
      <c r="AE3012">
        <v>10.54</v>
      </c>
    </row>
    <row r="3013" spans="31:31" x14ac:dyDescent="0.25">
      <c r="AE3013">
        <v>78.95</v>
      </c>
    </row>
    <row r="3014" spans="31:31" x14ac:dyDescent="0.25">
      <c r="AE3014">
        <v>45.9</v>
      </c>
    </row>
    <row r="3015" spans="31:31" x14ac:dyDescent="0.25">
      <c r="AE3015">
        <v>46.11</v>
      </c>
    </row>
    <row r="3016" spans="31:31" x14ac:dyDescent="0.25">
      <c r="AE3016">
        <v>15.63</v>
      </c>
    </row>
    <row r="3017" spans="31:31" x14ac:dyDescent="0.25">
      <c r="AE3017">
        <v>25.43</v>
      </c>
    </row>
    <row r="3018" spans="31:31" x14ac:dyDescent="0.25">
      <c r="AE3018">
        <v>10.14</v>
      </c>
    </row>
    <row r="3019" spans="31:31" x14ac:dyDescent="0.25">
      <c r="AE3019">
        <v>0.74</v>
      </c>
    </row>
    <row r="3020" spans="31:31" x14ac:dyDescent="0.25">
      <c r="AE3020">
        <v>17.37</v>
      </c>
    </row>
    <row r="3021" spans="31:31" x14ac:dyDescent="0.25">
      <c r="AE3021">
        <v>13.8</v>
      </c>
    </row>
    <row r="3022" spans="31:31" x14ac:dyDescent="0.25">
      <c r="AE3022">
        <v>37.78</v>
      </c>
    </row>
    <row r="3023" spans="31:31" x14ac:dyDescent="0.25">
      <c r="AE3023">
        <v>10.09</v>
      </c>
    </row>
    <row r="3024" spans="31:31" x14ac:dyDescent="0.25">
      <c r="AE3024">
        <v>97.69</v>
      </c>
    </row>
    <row r="3025" spans="31:31" x14ac:dyDescent="0.25">
      <c r="AE3025">
        <v>22.43</v>
      </c>
    </row>
    <row r="3026" spans="31:31" x14ac:dyDescent="0.25">
      <c r="AE3026">
        <v>16.63</v>
      </c>
    </row>
    <row r="3027" spans="31:31" x14ac:dyDescent="0.25">
      <c r="AE3027">
        <v>23.76</v>
      </c>
    </row>
    <row r="3028" spans="31:31" x14ac:dyDescent="0.25">
      <c r="AE3028">
        <v>29.95</v>
      </c>
    </row>
    <row r="3029" spans="31:31" x14ac:dyDescent="0.25">
      <c r="AE3029">
        <v>50.58</v>
      </c>
    </row>
    <row r="3030" spans="31:31" x14ac:dyDescent="0.25">
      <c r="AE3030">
        <v>38.51</v>
      </c>
    </row>
    <row r="3031" spans="31:31" x14ac:dyDescent="0.25">
      <c r="AE3031">
        <v>47.9</v>
      </c>
    </row>
    <row r="3032" spans="31:31" x14ac:dyDescent="0.25">
      <c r="AE3032">
        <v>33.53</v>
      </c>
    </row>
    <row r="3033" spans="31:31" x14ac:dyDescent="0.25">
      <c r="AE3033">
        <v>17.62</v>
      </c>
    </row>
    <row r="3034" spans="31:31" x14ac:dyDescent="0.25">
      <c r="AE3034">
        <v>14.09</v>
      </c>
    </row>
    <row r="3035" spans="31:31" x14ac:dyDescent="0.25">
      <c r="AE3035">
        <v>12.26</v>
      </c>
    </row>
    <row r="3036" spans="31:31" x14ac:dyDescent="0.25">
      <c r="AE3036">
        <v>52.21</v>
      </c>
    </row>
    <row r="3037" spans="31:31" x14ac:dyDescent="0.25">
      <c r="AE3037">
        <v>0.81</v>
      </c>
    </row>
    <row r="3038" spans="31:31" x14ac:dyDescent="0.25">
      <c r="AE3038">
        <v>72.069999999999993</v>
      </c>
    </row>
    <row r="3039" spans="31:31" x14ac:dyDescent="0.25">
      <c r="AE3039">
        <v>62.01</v>
      </c>
    </row>
    <row r="3040" spans="31:31" x14ac:dyDescent="0.25">
      <c r="AE3040">
        <v>85.76</v>
      </c>
    </row>
    <row r="3041" spans="31:31" x14ac:dyDescent="0.25">
      <c r="AE3041">
        <v>75.209999999999994</v>
      </c>
    </row>
    <row r="3042" spans="31:31" x14ac:dyDescent="0.25">
      <c r="AE3042">
        <v>65.67</v>
      </c>
    </row>
    <row r="3043" spans="31:31" x14ac:dyDescent="0.25">
      <c r="AE3043">
        <v>129.25</v>
      </c>
    </row>
    <row r="3044" spans="31:31" x14ac:dyDescent="0.25">
      <c r="AE3044">
        <v>90.69</v>
      </c>
    </row>
    <row r="3045" spans="31:31" x14ac:dyDescent="0.25">
      <c r="AE3045">
        <v>87.64</v>
      </c>
    </row>
    <row r="3046" spans="31:31" x14ac:dyDescent="0.25">
      <c r="AE3046">
        <v>16.670000000000002</v>
      </c>
    </row>
    <row r="3047" spans="31:31" x14ac:dyDescent="0.25">
      <c r="AE3047">
        <v>50.3</v>
      </c>
    </row>
    <row r="3048" spans="31:31" x14ac:dyDescent="0.25">
      <c r="AE3048">
        <v>17.93</v>
      </c>
    </row>
    <row r="3049" spans="31:31" x14ac:dyDescent="0.25">
      <c r="AE3049">
        <v>23.75</v>
      </c>
    </row>
    <row r="3050" spans="31:31" x14ac:dyDescent="0.25">
      <c r="AE3050">
        <v>58.64</v>
      </c>
    </row>
    <row r="3051" spans="31:31" x14ac:dyDescent="0.25">
      <c r="AE3051">
        <v>10.19</v>
      </c>
    </row>
    <row r="3052" spans="31:31" x14ac:dyDescent="0.25">
      <c r="AE3052">
        <v>72.239999999999995</v>
      </c>
    </row>
    <row r="3053" spans="31:31" x14ac:dyDescent="0.25">
      <c r="AE3053">
        <v>9.99</v>
      </c>
    </row>
    <row r="3054" spans="31:31" x14ac:dyDescent="0.25">
      <c r="AE3054">
        <v>26.64</v>
      </c>
    </row>
    <row r="3055" spans="31:31" x14ac:dyDescent="0.25">
      <c r="AE3055">
        <v>63.59</v>
      </c>
    </row>
    <row r="3056" spans="31:31" x14ac:dyDescent="0.25">
      <c r="AE3056">
        <v>38.75</v>
      </c>
    </row>
    <row r="3057" spans="31:31" x14ac:dyDescent="0.25">
      <c r="AE3057">
        <v>39.68</v>
      </c>
    </row>
    <row r="3058" spans="31:31" x14ac:dyDescent="0.25">
      <c r="AE3058">
        <v>72.64</v>
      </c>
    </row>
    <row r="3059" spans="31:31" x14ac:dyDescent="0.25">
      <c r="AE3059">
        <v>65.98</v>
      </c>
    </row>
    <row r="3060" spans="31:31" x14ac:dyDescent="0.25">
      <c r="AE3060">
        <v>63.16</v>
      </c>
    </row>
    <row r="3061" spans="31:31" x14ac:dyDescent="0.25">
      <c r="AE3061">
        <v>22.3</v>
      </c>
    </row>
    <row r="3062" spans="31:31" x14ac:dyDescent="0.25">
      <c r="AE3062">
        <v>30.27</v>
      </c>
    </row>
    <row r="3063" spans="31:31" x14ac:dyDescent="0.25">
      <c r="AE3063">
        <v>38.83</v>
      </c>
    </row>
    <row r="3064" spans="31:31" x14ac:dyDescent="0.25">
      <c r="AE3064">
        <v>25.45</v>
      </c>
    </row>
    <row r="3065" spans="31:31" x14ac:dyDescent="0.25">
      <c r="AE3065">
        <v>10.34</v>
      </c>
    </row>
    <row r="3066" spans="31:31" x14ac:dyDescent="0.25">
      <c r="AE3066">
        <v>15.97</v>
      </c>
    </row>
    <row r="3067" spans="31:31" x14ac:dyDescent="0.25">
      <c r="AE3067">
        <v>10.85</v>
      </c>
    </row>
    <row r="3068" spans="31:31" x14ac:dyDescent="0.25">
      <c r="AE3068">
        <v>25.8</v>
      </c>
    </row>
    <row r="3069" spans="31:31" x14ac:dyDescent="0.25">
      <c r="AE3069">
        <v>58.93</v>
      </c>
    </row>
    <row r="3070" spans="31:31" x14ac:dyDescent="0.25">
      <c r="AE3070">
        <v>48.64</v>
      </c>
    </row>
    <row r="3071" spans="31:31" x14ac:dyDescent="0.25">
      <c r="AE3071">
        <v>28.3</v>
      </c>
    </row>
    <row r="3072" spans="31:31" x14ac:dyDescent="0.25">
      <c r="AE3072">
        <v>28.91</v>
      </c>
    </row>
    <row r="3073" spans="31:31" x14ac:dyDescent="0.25">
      <c r="AE3073">
        <v>28.39</v>
      </c>
    </row>
    <row r="3074" spans="31:31" x14ac:dyDescent="0.25">
      <c r="AE3074">
        <v>46.7</v>
      </c>
    </row>
    <row r="3075" spans="31:31" x14ac:dyDescent="0.25">
      <c r="AE3075">
        <v>33.07</v>
      </c>
    </row>
    <row r="3076" spans="31:31" x14ac:dyDescent="0.25">
      <c r="AE3076">
        <v>74.94</v>
      </c>
    </row>
    <row r="3077" spans="31:31" x14ac:dyDescent="0.25">
      <c r="AE3077">
        <v>12.1</v>
      </c>
    </row>
    <row r="3078" spans="31:31" x14ac:dyDescent="0.25">
      <c r="AE3078">
        <v>52.79</v>
      </c>
    </row>
    <row r="3079" spans="31:31" x14ac:dyDescent="0.25">
      <c r="AE3079">
        <v>139.44999999999999</v>
      </c>
    </row>
    <row r="3080" spans="31:31" x14ac:dyDescent="0.25">
      <c r="AE3080">
        <v>21.73</v>
      </c>
    </row>
    <row r="3081" spans="31:31" x14ac:dyDescent="0.25">
      <c r="AE3081">
        <v>10.32</v>
      </c>
    </row>
    <row r="3082" spans="31:31" x14ac:dyDescent="0.25">
      <c r="AE3082">
        <v>46.48</v>
      </c>
    </row>
    <row r="3083" spans="31:31" x14ac:dyDescent="0.25">
      <c r="AE3083">
        <v>41.01</v>
      </c>
    </row>
    <row r="3084" spans="31:31" x14ac:dyDescent="0.25">
      <c r="AE3084">
        <v>50.73</v>
      </c>
    </row>
    <row r="3085" spans="31:31" x14ac:dyDescent="0.25">
      <c r="AE3085">
        <v>60.09</v>
      </c>
    </row>
    <row r="3086" spans="31:31" x14ac:dyDescent="0.25">
      <c r="AE3086">
        <v>68.61</v>
      </c>
    </row>
    <row r="3087" spans="31:31" x14ac:dyDescent="0.25">
      <c r="AE3087">
        <v>3.83</v>
      </c>
    </row>
    <row r="3088" spans="31:31" x14ac:dyDescent="0.25">
      <c r="AE3088">
        <v>0.36</v>
      </c>
    </row>
    <row r="3089" spans="31:31" x14ac:dyDescent="0.25">
      <c r="AE3089">
        <v>53.28</v>
      </c>
    </row>
    <row r="3090" spans="31:31" x14ac:dyDescent="0.25">
      <c r="AE3090">
        <v>56.46</v>
      </c>
    </row>
    <row r="3091" spans="31:31" x14ac:dyDescent="0.25">
      <c r="AE3091">
        <v>13.16</v>
      </c>
    </row>
    <row r="3092" spans="31:31" x14ac:dyDescent="0.25">
      <c r="AE3092">
        <v>35.92</v>
      </c>
    </row>
    <row r="3093" spans="31:31" x14ac:dyDescent="0.25">
      <c r="AE3093">
        <v>75.25</v>
      </c>
    </row>
    <row r="3094" spans="31:31" x14ac:dyDescent="0.25">
      <c r="AE3094">
        <v>48.43</v>
      </c>
    </row>
    <row r="3095" spans="31:31" x14ac:dyDescent="0.25">
      <c r="AE3095">
        <v>31.45</v>
      </c>
    </row>
    <row r="3096" spans="31:31" x14ac:dyDescent="0.25">
      <c r="AE3096">
        <v>80.62</v>
      </c>
    </row>
    <row r="3097" spans="31:31" x14ac:dyDescent="0.25">
      <c r="AE3097">
        <v>51.65</v>
      </c>
    </row>
    <row r="3098" spans="31:31" x14ac:dyDescent="0.25">
      <c r="AE3098">
        <v>17.14</v>
      </c>
    </row>
    <row r="3099" spans="31:31" x14ac:dyDescent="0.25">
      <c r="AE3099">
        <v>71.72</v>
      </c>
    </row>
    <row r="3100" spans="31:31" x14ac:dyDescent="0.25">
      <c r="AE3100">
        <v>56.94</v>
      </c>
    </row>
    <row r="3101" spans="31:31" x14ac:dyDescent="0.25">
      <c r="AE3101">
        <v>56.71</v>
      </c>
    </row>
    <row r="3102" spans="31:31" x14ac:dyDescent="0.25">
      <c r="AE3102">
        <v>33.11</v>
      </c>
    </row>
    <row r="3103" spans="31:31" x14ac:dyDescent="0.25">
      <c r="AE3103">
        <v>27.84</v>
      </c>
    </row>
    <row r="3104" spans="31:31" x14ac:dyDescent="0.25">
      <c r="AE3104">
        <v>19.68</v>
      </c>
    </row>
    <row r="3105" spans="31:31" x14ac:dyDescent="0.25">
      <c r="AE3105">
        <v>78.53</v>
      </c>
    </row>
    <row r="3106" spans="31:31" x14ac:dyDescent="0.25">
      <c r="AE3106">
        <v>44.77</v>
      </c>
    </row>
    <row r="3107" spans="31:31" x14ac:dyDescent="0.25">
      <c r="AE3107">
        <v>89.19</v>
      </c>
    </row>
    <row r="3108" spans="31:31" x14ac:dyDescent="0.25">
      <c r="AE3108">
        <v>28.72</v>
      </c>
    </row>
    <row r="3109" spans="31:31" x14ac:dyDescent="0.25">
      <c r="AE3109">
        <v>108.21</v>
      </c>
    </row>
    <row r="3110" spans="31:31" x14ac:dyDescent="0.25">
      <c r="AE3110">
        <v>66.900000000000006</v>
      </c>
    </row>
    <row r="3111" spans="31:31" x14ac:dyDescent="0.25">
      <c r="AE3111">
        <v>55.13</v>
      </c>
    </row>
    <row r="3112" spans="31:31" x14ac:dyDescent="0.25">
      <c r="AE3112">
        <v>20.72</v>
      </c>
    </row>
    <row r="3113" spans="31:31" x14ac:dyDescent="0.25">
      <c r="AE3113">
        <v>116.43</v>
      </c>
    </row>
    <row r="3114" spans="31:31" x14ac:dyDescent="0.25">
      <c r="AE3114">
        <v>32.630000000000003</v>
      </c>
    </row>
    <row r="3115" spans="31:31" x14ac:dyDescent="0.25">
      <c r="AE3115">
        <v>43.45</v>
      </c>
    </row>
    <row r="3116" spans="31:31" x14ac:dyDescent="0.25">
      <c r="AE3116">
        <v>13.86</v>
      </c>
    </row>
    <row r="3117" spans="31:31" x14ac:dyDescent="0.25">
      <c r="AE3117">
        <v>136.80000000000001</v>
      </c>
    </row>
    <row r="3118" spans="31:31" x14ac:dyDescent="0.25">
      <c r="AE3118">
        <v>76.97</v>
      </c>
    </row>
    <row r="3119" spans="31:31" x14ac:dyDescent="0.25">
      <c r="AE3119">
        <v>90.58</v>
      </c>
    </row>
    <row r="3120" spans="31:31" x14ac:dyDescent="0.25">
      <c r="AE3120">
        <v>64.69</v>
      </c>
    </row>
    <row r="3121" spans="31:31" x14ac:dyDescent="0.25">
      <c r="AE3121">
        <v>10.19</v>
      </c>
    </row>
    <row r="3122" spans="31:31" x14ac:dyDescent="0.25">
      <c r="AE3122">
        <v>5.77</v>
      </c>
    </row>
    <row r="3123" spans="31:31" x14ac:dyDescent="0.25">
      <c r="AE3123">
        <v>26.57</v>
      </c>
    </row>
    <row r="3124" spans="31:31" x14ac:dyDescent="0.25">
      <c r="AE3124">
        <v>66.150000000000006</v>
      </c>
    </row>
    <row r="3125" spans="31:31" x14ac:dyDescent="0.25">
      <c r="AE3125">
        <v>83.69</v>
      </c>
    </row>
    <row r="3126" spans="31:31" x14ac:dyDescent="0.25">
      <c r="AE3126">
        <v>40.35</v>
      </c>
    </row>
    <row r="3127" spans="31:31" x14ac:dyDescent="0.25">
      <c r="AE3127">
        <v>209.74</v>
      </c>
    </row>
    <row r="3128" spans="31:31" x14ac:dyDescent="0.25">
      <c r="AE3128">
        <v>78.650000000000006</v>
      </c>
    </row>
    <row r="3129" spans="31:31" x14ac:dyDescent="0.25">
      <c r="AE3129">
        <v>82.35</v>
      </c>
    </row>
    <row r="3130" spans="31:31" x14ac:dyDescent="0.25">
      <c r="AE3130">
        <v>88.49</v>
      </c>
    </row>
    <row r="3131" spans="31:31" x14ac:dyDescent="0.25">
      <c r="AE3131">
        <v>44.03</v>
      </c>
    </row>
    <row r="3132" spans="31:31" x14ac:dyDescent="0.25">
      <c r="AE3132">
        <v>78.290000000000006</v>
      </c>
    </row>
    <row r="3133" spans="31:31" x14ac:dyDescent="0.25">
      <c r="AE3133">
        <v>48.95</v>
      </c>
    </row>
    <row r="3134" spans="31:31" x14ac:dyDescent="0.25">
      <c r="AE3134">
        <v>97.04</v>
      </c>
    </row>
    <row r="3135" spans="31:31" x14ac:dyDescent="0.25">
      <c r="AE3135">
        <v>41.81</v>
      </c>
    </row>
    <row r="3136" spans="31:31" x14ac:dyDescent="0.25">
      <c r="AE3136">
        <v>9.99</v>
      </c>
    </row>
    <row r="3137" spans="31:31" x14ac:dyDescent="0.25">
      <c r="AE3137">
        <v>10.52</v>
      </c>
    </row>
    <row r="3138" spans="31:31" x14ac:dyDescent="0.25">
      <c r="AE3138">
        <v>28.74</v>
      </c>
    </row>
    <row r="3139" spans="31:31" x14ac:dyDescent="0.25">
      <c r="AE3139">
        <v>20.399999999999999</v>
      </c>
    </row>
    <row r="3140" spans="31:31" x14ac:dyDescent="0.25">
      <c r="AE3140">
        <v>48.46</v>
      </c>
    </row>
    <row r="3141" spans="31:31" x14ac:dyDescent="0.25">
      <c r="AE3141">
        <v>31.62</v>
      </c>
    </row>
    <row r="3142" spans="31:31" x14ac:dyDescent="0.25">
      <c r="AE3142">
        <v>22.99</v>
      </c>
    </row>
    <row r="3143" spans="31:31" x14ac:dyDescent="0.25">
      <c r="AE3143">
        <v>8.7899999999999991</v>
      </c>
    </row>
    <row r="3144" spans="31:31" x14ac:dyDescent="0.25">
      <c r="AE3144">
        <v>64.77</v>
      </c>
    </row>
    <row r="3145" spans="31:31" x14ac:dyDescent="0.25">
      <c r="AE3145">
        <v>15.31</v>
      </c>
    </row>
    <row r="3146" spans="31:31" x14ac:dyDescent="0.25">
      <c r="AE3146">
        <v>45.6</v>
      </c>
    </row>
    <row r="3147" spans="31:31" x14ac:dyDescent="0.25">
      <c r="AE3147">
        <v>71.989999999999995</v>
      </c>
    </row>
    <row r="3148" spans="31:31" x14ac:dyDescent="0.25">
      <c r="AE3148">
        <v>70.930000000000007</v>
      </c>
    </row>
    <row r="3149" spans="31:31" x14ac:dyDescent="0.25">
      <c r="AE3149">
        <v>48.43</v>
      </c>
    </row>
    <row r="3150" spans="31:31" x14ac:dyDescent="0.25">
      <c r="AE3150">
        <v>162.33000000000001</v>
      </c>
    </row>
    <row r="3151" spans="31:31" x14ac:dyDescent="0.25">
      <c r="AE3151">
        <v>175.71</v>
      </c>
    </row>
    <row r="3152" spans="31:31" x14ac:dyDescent="0.25">
      <c r="AE3152">
        <v>57.18</v>
      </c>
    </row>
    <row r="3153" spans="31:31" x14ac:dyDescent="0.25">
      <c r="AE3153">
        <v>30.97</v>
      </c>
    </row>
    <row r="3154" spans="31:31" x14ac:dyDescent="0.25">
      <c r="AE3154">
        <v>157.57</v>
      </c>
    </row>
    <row r="3155" spans="31:31" x14ac:dyDescent="0.25">
      <c r="AE3155">
        <v>49.46</v>
      </c>
    </row>
    <row r="3156" spans="31:31" x14ac:dyDescent="0.25">
      <c r="AE3156">
        <v>21.93</v>
      </c>
    </row>
    <row r="3157" spans="31:31" x14ac:dyDescent="0.25">
      <c r="AE3157">
        <v>33.72</v>
      </c>
    </row>
    <row r="3158" spans="31:31" x14ac:dyDescent="0.25">
      <c r="AE3158">
        <v>98.79</v>
      </c>
    </row>
    <row r="3159" spans="31:31" x14ac:dyDescent="0.25">
      <c r="AE3159">
        <v>37.619999999999997</v>
      </c>
    </row>
    <row r="3160" spans="31:31" x14ac:dyDescent="0.25">
      <c r="AE3160">
        <v>11.77</v>
      </c>
    </row>
    <row r="3161" spans="31:31" x14ac:dyDescent="0.25">
      <c r="AE3161">
        <v>32.880000000000003</v>
      </c>
    </row>
    <row r="3162" spans="31:31" x14ac:dyDescent="0.25">
      <c r="AE3162">
        <v>96.39</v>
      </c>
    </row>
    <row r="3163" spans="31:31" x14ac:dyDescent="0.25">
      <c r="AE3163">
        <v>18.3</v>
      </c>
    </row>
    <row r="3164" spans="31:31" x14ac:dyDescent="0.25">
      <c r="AE3164">
        <v>71.94</v>
      </c>
    </row>
    <row r="3165" spans="31:31" x14ac:dyDescent="0.25">
      <c r="AE3165">
        <v>10.09</v>
      </c>
    </row>
    <row r="3166" spans="31:31" x14ac:dyDescent="0.25">
      <c r="AE3166">
        <v>24.31</v>
      </c>
    </row>
    <row r="3167" spans="31:31" x14ac:dyDescent="0.25">
      <c r="AE3167">
        <v>72.489999999999995</v>
      </c>
    </row>
    <row r="3168" spans="31:31" x14ac:dyDescent="0.25">
      <c r="AE3168">
        <v>36.979999999999997</v>
      </c>
    </row>
    <row r="3169" spans="31:31" x14ac:dyDescent="0.25">
      <c r="AE3169">
        <v>10.039999999999999</v>
      </c>
    </row>
    <row r="3170" spans="31:31" x14ac:dyDescent="0.25">
      <c r="AE3170">
        <v>10.44</v>
      </c>
    </row>
    <row r="3171" spans="31:31" x14ac:dyDescent="0.25">
      <c r="AE3171">
        <v>29.63</v>
      </c>
    </row>
    <row r="3172" spans="31:31" x14ac:dyDescent="0.25">
      <c r="AE3172">
        <v>26.99</v>
      </c>
    </row>
    <row r="3173" spans="31:31" x14ac:dyDescent="0.25">
      <c r="AE3173">
        <v>9.7100000000000009</v>
      </c>
    </row>
    <row r="3174" spans="31:31" x14ac:dyDescent="0.25">
      <c r="AE3174">
        <v>80.97</v>
      </c>
    </row>
    <row r="3175" spans="31:31" x14ac:dyDescent="0.25">
      <c r="AE3175">
        <v>87.35</v>
      </c>
    </row>
    <row r="3176" spans="31:31" x14ac:dyDescent="0.25">
      <c r="AE3176">
        <v>82.32</v>
      </c>
    </row>
    <row r="3177" spans="31:31" x14ac:dyDescent="0.25">
      <c r="AE3177">
        <v>3.62</v>
      </c>
    </row>
    <row r="3178" spans="31:31" x14ac:dyDescent="0.25">
      <c r="AE3178">
        <v>41.3</v>
      </c>
    </row>
    <row r="3179" spans="31:31" x14ac:dyDescent="0.25">
      <c r="AE3179">
        <v>50.55</v>
      </c>
    </row>
    <row r="3180" spans="31:31" x14ac:dyDescent="0.25">
      <c r="AE3180">
        <v>0.36</v>
      </c>
    </row>
    <row r="3181" spans="31:31" x14ac:dyDescent="0.25">
      <c r="AE3181">
        <v>6.1</v>
      </c>
    </row>
    <row r="3182" spans="31:31" x14ac:dyDescent="0.25">
      <c r="AE3182">
        <v>45.57</v>
      </c>
    </row>
    <row r="3183" spans="31:31" x14ac:dyDescent="0.25">
      <c r="AE3183">
        <v>14.87</v>
      </c>
    </row>
    <row r="3184" spans="31:31" x14ac:dyDescent="0.25">
      <c r="AE3184">
        <v>54.3</v>
      </c>
    </row>
    <row r="3185" spans="31:31" x14ac:dyDescent="0.25">
      <c r="AE3185">
        <v>126.69</v>
      </c>
    </row>
    <row r="3186" spans="31:31" x14ac:dyDescent="0.25">
      <c r="AE3186">
        <v>0.27</v>
      </c>
    </row>
    <row r="3187" spans="31:31" x14ac:dyDescent="0.25">
      <c r="AE3187">
        <v>56.06</v>
      </c>
    </row>
    <row r="3188" spans="31:31" x14ac:dyDescent="0.25">
      <c r="AE3188">
        <v>34.700000000000003</v>
      </c>
    </row>
    <row r="3189" spans="31:31" x14ac:dyDescent="0.25">
      <c r="AE3189">
        <v>261.12</v>
      </c>
    </row>
    <row r="3190" spans="31:31" x14ac:dyDescent="0.25">
      <c r="AE3190">
        <v>85.73</v>
      </c>
    </row>
    <row r="3191" spans="31:31" x14ac:dyDescent="0.25">
      <c r="AE3191">
        <v>16.940000000000001</v>
      </c>
    </row>
    <row r="3192" spans="31:31" x14ac:dyDescent="0.25">
      <c r="AE3192">
        <v>81.75</v>
      </c>
    </row>
    <row r="3193" spans="31:31" x14ac:dyDescent="0.25">
      <c r="AE3193">
        <v>10.039999999999999</v>
      </c>
    </row>
    <row r="3194" spans="31:31" x14ac:dyDescent="0.25">
      <c r="AE3194">
        <v>10.94</v>
      </c>
    </row>
    <row r="3195" spans="31:31" x14ac:dyDescent="0.25">
      <c r="AE3195">
        <v>19.86</v>
      </c>
    </row>
    <row r="3196" spans="31:31" x14ac:dyDescent="0.25">
      <c r="AE3196">
        <v>161.72999999999999</v>
      </c>
    </row>
    <row r="3197" spans="31:31" x14ac:dyDescent="0.25">
      <c r="AE3197">
        <v>19.2</v>
      </c>
    </row>
    <row r="3198" spans="31:31" x14ac:dyDescent="0.25">
      <c r="AE3198">
        <v>15.95</v>
      </c>
    </row>
    <row r="3199" spans="31:31" x14ac:dyDescent="0.25">
      <c r="AE3199">
        <v>27.27</v>
      </c>
    </row>
    <row r="3200" spans="31:31" x14ac:dyDescent="0.25">
      <c r="AE3200">
        <v>40.549999999999997</v>
      </c>
    </row>
    <row r="3201" spans="31:31" x14ac:dyDescent="0.25">
      <c r="AE3201">
        <v>10.19</v>
      </c>
    </row>
    <row r="3202" spans="31:31" x14ac:dyDescent="0.25">
      <c r="AE3202">
        <v>98.6</v>
      </c>
    </row>
    <row r="3203" spans="31:31" x14ac:dyDescent="0.25">
      <c r="AE3203">
        <v>18.13</v>
      </c>
    </row>
    <row r="3204" spans="31:31" x14ac:dyDescent="0.25">
      <c r="AE3204">
        <v>67.650000000000006</v>
      </c>
    </row>
    <row r="3205" spans="31:31" x14ac:dyDescent="0.25">
      <c r="AE3205">
        <v>12.39</v>
      </c>
    </row>
    <row r="3206" spans="31:31" x14ac:dyDescent="0.25">
      <c r="AE3206">
        <v>102.55</v>
      </c>
    </row>
    <row r="3207" spans="31:31" x14ac:dyDescent="0.25">
      <c r="AE3207">
        <v>23.32</v>
      </c>
    </row>
    <row r="3208" spans="31:31" x14ac:dyDescent="0.25">
      <c r="AE3208">
        <v>49.79</v>
      </c>
    </row>
    <row r="3209" spans="31:31" x14ac:dyDescent="0.25">
      <c r="AE3209">
        <v>107.3</v>
      </c>
    </row>
    <row r="3210" spans="31:31" x14ac:dyDescent="0.25">
      <c r="AE3210">
        <v>10.29</v>
      </c>
    </row>
    <row r="3211" spans="31:31" x14ac:dyDescent="0.25">
      <c r="AE3211">
        <v>149.72999999999999</v>
      </c>
    </row>
    <row r="3212" spans="31:31" x14ac:dyDescent="0.25">
      <c r="AE3212">
        <v>51.73</v>
      </c>
    </row>
    <row r="3213" spans="31:31" x14ac:dyDescent="0.25">
      <c r="AE3213">
        <v>88.65</v>
      </c>
    </row>
    <row r="3214" spans="31:31" x14ac:dyDescent="0.25">
      <c r="AE3214">
        <v>63.35</v>
      </c>
    </row>
    <row r="3215" spans="31:31" x14ac:dyDescent="0.25">
      <c r="AE3215">
        <v>23.32</v>
      </c>
    </row>
    <row r="3216" spans="31:31" x14ac:dyDescent="0.25">
      <c r="AE3216">
        <v>21.49</v>
      </c>
    </row>
    <row r="3217" spans="31:31" x14ac:dyDescent="0.25">
      <c r="AE3217">
        <v>35.380000000000003</v>
      </c>
    </row>
    <row r="3218" spans="31:31" x14ac:dyDescent="0.25">
      <c r="AE3218">
        <v>64.63</v>
      </c>
    </row>
    <row r="3219" spans="31:31" x14ac:dyDescent="0.25">
      <c r="AE3219">
        <v>79.69</v>
      </c>
    </row>
    <row r="3220" spans="31:31" x14ac:dyDescent="0.25">
      <c r="AE3220">
        <v>21.57</v>
      </c>
    </row>
    <row r="3221" spans="31:31" x14ac:dyDescent="0.25">
      <c r="AE3221">
        <v>33.479999999999997</v>
      </c>
    </row>
    <row r="3222" spans="31:31" x14ac:dyDescent="0.25">
      <c r="AE3222">
        <v>124.33</v>
      </c>
    </row>
    <row r="3223" spans="31:31" x14ac:dyDescent="0.25">
      <c r="AE3223">
        <v>40.08</v>
      </c>
    </row>
    <row r="3224" spans="31:31" x14ac:dyDescent="0.25">
      <c r="AE3224">
        <v>15.47</v>
      </c>
    </row>
    <row r="3225" spans="31:31" x14ac:dyDescent="0.25">
      <c r="AE3225">
        <v>59.84</v>
      </c>
    </row>
    <row r="3226" spans="31:31" x14ac:dyDescent="0.25">
      <c r="AE3226">
        <v>62.59</v>
      </c>
    </row>
    <row r="3227" spans="31:31" x14ac:dyDescent="0.25">
      <c r="AE3227">
        <v>96.53</v>
      </c>
    </row>
    <row r="3228" spans="31:31" x14ac:dyDescent="0.25">
      <c r="AE3228">
        <v>14.51</v>
      </c>
    </row>
    <row r="3229" spans="31:31" x14ac:dyDescent="0.25">
      <c r="AE3229">
        <v>149.53</v>
      </c>
    </row>
    <row r="3230" spans="31:31" x14ac:dyDescent="0.25">
      <c r="AE3230">
        <v>45.54</v>
      </c>
    </row>
    <row r="3231" spans="31:31" x14ac:dyDescent="0.25">
      <c r="AE3231">
        <v>24.71</v>
      </c>
    </row>
    <row r="3232" spans="31:31" x14ac:dyDescent="0.25">
      <c r="AE3232">
        <v>89</v>
      </c>
    </row>
    <row r="3233" spans="31:31" x14ac:dyDescent="0.25">
      <c r="AE3233">
        <v>71.540000000000006</v>
      </c>
    </row>
    <row r="3234" spans="31:31" x14ac:dyDescent="0.25">
      <c r="AE3234">
        <v>40.869999999999997</v>
      </c>
    </row>
    <row r="3235" spans="31:31" x14ac:dyDescent="0.25">
      <c r="AE3235">
        <v>106.86</v>
      </c>
    </row>
    <row r="3236" spans="31:31" x14ac:dyDescent="0.25">
      <c r="AE3236">
        <v>14.65</v>
      </c>
    </row>
    <row r="3237" spans="31:31" x14ac:dyDescent="0.25">
      <c r="AE3237">
        <v>30.86</v>
      </c>
    </row>
    <row r="3238" spans="31:31" x14ac:dyDescent="0.25">
      <c r="AE3238">
        <v>33.83</v>
      </c>
    </row>
    <row r="3239" spans="31:31" x14ac:dyDescent="0.25">
      <c r="AE3239">
        <v>100.56</v>
      </c>
    </row>
    <row r="3240" spans="31:31" x14ac:dyDescent="0.25">
      <c r="AE3240">
        <v>10.14</v>
      </c>
    </row>
    <row r="3241" spans="31:31" x14ac:dyDescent="0.25">
      <c r="AE3241">
        <v>96.25</v>
      </c>
    </row>
    <row r="3242" spans="31:31" x14ac:dyDescent="0.25">
      <c r="AE3242">
        <v>170.32</v>
      </c>
    </row>
    <row r="3243" spans="31:31" x14ac:dyDescent="0.25">
      <c r="AE3243">
        <v>24.65</v>
      </c>
    </row>
    <row r="3244" spans="31:31" x14ac:dyDescent="0.25">
      <c r="AE3244">
        <v>31.72</v>
      </c>
    </row>
    <row r="3245" spans="31:31" x14ac:dyDescent="0.25">
      <c r="AE3245">
        <v>9.99</v>
      </c>
    </row>
    <row r="3246" spans="31:31" x14ac:dyDescent="0.25">
      <c r="AE3246">
        <v>29.46</v>
      </c>
    </row>
    <row r="3247" spans="31:31" x14ac:dyDescent="0.25">
      <c r="AE3247">
        <v>66.47</v>
      </c>
    </row>
    <row r="3248" spans="31:31" x14ac:dyDescent="0.25">
      <c r="AE3248">
        <v>65.11</v>
      </c>
    </row>
    <row r="3249" spans="31:31" x14ac:dyDescent="0.25">
      <c r="AE3249">
        <v>10.14</v>
      </c>
    </row>
    <row r="3250" spans="31:31" x14ac:dyDescent="0.25">
      <c r="AE3250">
        <v>68.83</v>
      </c>
    </row>
    <row r="3251" spans="31:31" x14ac:dyDescent="0.25">
      <c r="AE3251">
        <v>29.02</v>
      </c>
    </row>
    <row r="3252" spans="31:31" x14ac:dyDescent="0.25">
      <c r="AE3252">
        <v>34.99</v>
      </c>
    </row>
    <row r="3253" spans="31:31" x14ac:dyDescent="0.25">
      <c r="AE3253">
        <v>35.89</v>
      </c>
    </row>
    <row r="3254" spans="31:31" x14ac:dyDescent="0.25">
      <c r="AE3254">
        <v>19.34</v>
      </c>
    </row>
    <row r="3255" spans="31:31" x14ac:dyDescent="0.25">
      <c r="AE3255">
        <v>33.450000000000003</v>
      </c>
    </row>
    <row r="3256" spans="31:31" x14ac:dyDescent="0.25">
      <c r="AE3256">
        <v>83.71</v>
      </c>
    </row>
    <row r="3257" spans="31:31" x14ac:dyDescent="0.25">
      <c r="AE3257">
        <v>16.47</v>
      </c>
    </row>
    <row r="3258" spans="31:31" x14ac:dyDescent="0.25">
      <c r="AE3258">
        <v>68.790000000000006</v>
      </c>
    </row>
    <row r="3259" spans="31:31" x14ac:dyDescent="0.25">
      <c r="AE3259">
        <v>127.22</v>
      </c>
    </row>
    <row r="3260" spans="31:31" x14ac:dyDescent="0.25">
      <c r="AE3260">
        <v>14.47</v>
      </c>
    </row>
    <row r="3261" spans="31:31" x14ac:dyDescent="0.25">
      <c r="AE3261">
        <v>37.5</v>
      </c>
    </row>
    <row r="3262" spans="31:31" x14ac:dyDescent="0.25">
      <c r="AE3262">
        <v>12.05</v>
      </c>
    </row>
    <row r="3263" spans="31:31" x14ac:dyDescent="0.25">
      <c r="AE3263">
        <v>100.6</v>
      </c>
    </row>
    <row r="3264" spans="31:31" x14ac:dyDescent="0.25">
      <c r="AE3264">
        <v>230.25</v>
      </c>
    </row>
    <row r="3265" spans="31:31" x14ac:dyDescent="0.25">
      <c r="AE3265">
        <v>22.39</v>
      </c>
    </row>
    <row r="3266" spans="31:31" x14ac:dyDescent="0.25">
      <c r="AE3266">
        <v>17.82</v>
      </c>
    </row>
    <row r="3267" spans="31:31" x14ac:dyDescent="0.25">
      <c r="AE3267">
        <v>29.81</v>
      </c>
    </row>
    <row r="3268" spans="31:31" x14ac:dyDescent="0.25">
      <c r="AE3268">
        <v>97.86</v>
      </c>
    </row>
    <row r="3269" spans="31:31" x14ac:dyDescent="0.25">
      <c r="AE3269">
        <v>47.45</v>
      </c>
    </row>
    <row r="3270" spans="31:31" x14ac:dyDescent="0.25">
      <c r="AE3270">
        <v>105.1</v>
      </c>
    </row>
    <row r="3271" spans="31:31" x14ac:dyDescent="0.25">
      <c r="AE3271">
        <v>107.81</v>
      </c>
    </row>
    <row r="3272" spans="31:31" x14ac:dyDescent="0.25">
      <c r="AE3272">
        <v>38.42</v>
      </c>
    </row>
    <row r="3273" spans="31:31" x14ac:dyDescent="0.25">
      <c r="AE3273">
        <v>42.92</v>
      </c>
    </row>
    <row r="3274" spans="31:31" x14ac:dyDescent="0.25">
      <c r="AE3274">
        <v>19.78</v>
      </c>
    </row>
    <row r="3275" spans="31:31" x14ac:dyDescent="0.25">
      <c r="AE3275">
        <v>13.47</v>
      </c>
    </row>
    <row r="3276" spans="31:31" x14ac:dyDescent="0.25">
      <c r="AE3276">
        <v>23.57</v>
      </c>
    </row>
    <row r="3277" spans="31:31" x14ac:dyDescent="0.25">
      <c r="AE3277">
        <v>33.72</v>
      </c>
    </row>
    <row r="3278" spans="31:31" x14ac:dyDescent="0.25">
      <c r="AE3278">
        <v>37.229999999999997</v>
      </c>
    </row>
    <row r="3279" spans="31:31" x14ac:dyDescent="0.25">
      <c r="AE3279">
        <v>48.82</v>
      </c>
    </row>
    <row r="3280" spans="31:31" x14ac:dyDescent="0.25">
      <c r="AE3280">
        <v>22.42</v>
      </c>
    </row>
    <row r="3281" spans="31:31" x14ac:dyDescent="0.25">
      <c r="AE3281">
        <v>151.66999999999999</v>
      </c>
    </row>
    <row r="3282" spans="31:31" x14ac:dyDescent="0.25">
      <c r="AE3282">
        <v>96.05</v>
      </c>
    </row>
    <row r="3283" spans="31:31" x14ac:dyDescent="0.25">
      <c r="AE3283">
        <v>77.44</v>
      </c>
    </row>
    <row r="3284" spans="31:31" x14ac:dyDescent="0.25">
      <c r="AE3284">
        <v>79.650000000000006</v>
      </c>
    </row>
    <row r="3285" spans="31:31" x14ac:dyDescent="0.25">
      <c r="AE3285">
        <v>81.69</v>
      </c>
    </row>
    <row r="3286" spans="31:31" x14ac:dyDescent="0.25">
      <c r="AE3286">
        <v>52.5</v>
      </c>
    </row>
    <row r="3287" spans="31:31" x14ac:dyDescent="0.25">
      <c r="AE3287">
        <v>0.18</v>
      </c>
    </row>
    <row r="3288" spans="31:31" x14ac:dyDescent="0.25">
      <c r="AE3288">
        <v>24.27</v>
      </c>
    </row>
    <row r="3289" spans="31:31" x14ac:dyDescent="0.25">
      <c r="AE3289">
        <v>27.98</v>
      </c>
    </row>
    <row r="3290" spans="31:31" x14ac:dyDescent="0.25">
      <c r="AE3290">
        <v>54.52</v>
      </c>
    </row>
    <row r="3291" spans="31:31" x14ac:dyDescent="0.25">
      <c r="AE3291">
        <v>40.67</v>
      </c>
    </row>
    <row r="3292" spans="31:31" x14ac:dyDescent="0.25">
      <c r="AE3292">
        <v>0.45</v>
      </c>
    </row>
    <row r="3293" spans="31:31" x14ac:dyDescent="0.25">
      <c r="AE3293">
        <v>41.45</v>
      </c>
    </row>
    <row r="3294" spans="31:31" x14ac:dyDescent="0.25">
      <c r="AE3294">
        <v>135.66999999999999</v>
      </c>
    </row>
    <row r="3295" spans="31:31" x14ac:dyDescent="0.25">
      <c r="AE3295">
        <v>69.239999999999995</v>
      </c>
    </row>
    <row r="3296" spans="31:31" x14ac:dyDescent="0.25">
      <c r="AE3296">
        <v>14.48</v>
      </c>
    </row>
    <row r="3297" spans="31:31" x14ac:dyDescent="0.25">
      <c r="AE3297">
        <v>40.47</v>
      </c>
    </row>
    <row r="3298" spans="31:31" x14ac:dyDescent="0.25">
      <c r="AE3298">
        <v>46.06</v>
      </c>
    </row>
    <row r="3299" spans="31:31" x14ac:dyDescent="0.25">
      <c r="AE3299">
        <v>74.78</v>
      </c>
    </row>
    <row r="3300" spans="31:31" x14ac:dyDescent="0.25">
      <c r="AE3300">
        <v>10.37</v>
      </c>
    </row>
    <row r="3301" spans="31:31" x14ac:dyDescent="0.25">
      <c r="AE3301">
        <v>9.75</v>
      </c>
    </row>
    <row r="3302" spans="31:31" x14ac:dyDescent="0.25">
      <c r="AE3302">
        <v>82.65</v>
      </c>
    </row>
    <row r="3303" spans="31:31" x14ac:dyDescent="0.25">
      <c r="AE3303">
        <v>88.52</v>
      </c>
    </row>
    <row r="3304" spans="31:31" x14ac:dyDescent="0.25">
      <c r="AE3304">
        <v>94.35</v>
      </c>
    </row>
    <row r="3305" spans="31:31" x14ac:dyDescent="0.25">
      <c r="AE3305">
        <v>33.83</v>
      </c>
    </row>
    <row r="3306" spans="31:31" x14ac:dyDescent="0.25">
      <c r="AE3306">
        <v>79.819999999999993</v>
      </c>
    </row>
    <row r="3307" spans="31:31" x14ac:dyDescent="0.25">
      <c r="AE3307">
        <v>92.01</v>
      </c>
    </row>
    <row r="3308" spans="31:31" x14ac:dyDescent="0.25">
      <c r="AE3308">
        <v>36.15</v>
      </c>
    </row>
    <row r="3309" spans="31:31" x14ac:dyDescent="0.25">
      <c r="AE3309">
        <v>23.99</v>
      </c>
    </row>
    <row r="3310" spans="31:31" x14ac:dyDescent="0.25">
      <c r="AE3310">
        <v>110.83</v>
      </c>
    </row>
    <row r="3311" spans="31:31" x14ac:dyDescent="0.25">
      <c r="AE3311">
        <v>82.7</v>
      </c>
    </row>
    <row r="3312" spans="31:31" x14ac:dyDescent="0.25">
      <c r="AE3312">
        <v>49.5</v>
      </c>
    </row>
    <row r="3313" spans="31:31" x14ac:dyDescent="0.25">
      <c r="AE3313">
        <v>80.14</v>
      </c>
    </row>
    <row r="3314" spans="31:31" x14ac:dyDescent="0.25">
      <c r="AE3314">
        <v>40.93</v>
      </c>
    </row>
    <row r="3315" spans="31:31" x14ac:dyDescent="0.25">
      <c r="AE3315">
        <v>11.8</v>
      </c>
    </row>
    <row r="3316" spans="31:31" x14ac:dyDescent="0.25">
      <c r="AE3316">
        <v>19.05</v>
      </c>
    </row>
    <row r="3317" spans="31:31" x14ac:dyDescent="0.25">
      <c r="AE3317">
        <v>0.54</v>
      </c>
    </row>
    <row r="3318" spans="31:31" x14ac:dyDescent="0.25">
      <c r="AE3318">
        <v>48.68</v>
      </c>
    </row>
    <row r="3319" spans="31:31" x14ac:dyDescent="0.25">
      <c r="AE3319">
        <v>109.76</v>
      </c>
    </row>
    <row r="3320" spans="31:31" x14ac:dyDescent="0.25">
      <c r="AE3320">
        <v>26.67</v>
      </c>
    </row>
    <row r="3321" spans="31:31" x14ac:dyDescent="0.25">
      <c r="AE3321">
        <v>75.75</v>
      </c>
    </row>
    <row r="3322" spans="31:31" x14ac:dyDescent="0.25">
      <c r="AE3322">
        <v>97.08</v>
      </c>
    </row>
    <row r="3323" spans="31:31" x14ac:dyDescent="0.25">
      <c r="AE3323">
        <v>21.69</v>
      </c>
    </row>
    <row r="3324" spans="31:31" x14ac:dyDescent="0.25">
      <c r="AE3324">
        <v>11.81</v>
      </c>
    </row>
    <row r="3325" spans="31:31" x14ac:dyDescent="0.25">
      <c r="AE3325">
        <v>22.31</v>
      </c>
    </row>
    <row r="3326" spans="31:31" x14ac:dyDescent="0.25">
      <c r="AE3326">
        <v>45.71</v>
      </c>
    </row>
    <row r="3327" spans="31:31" x14ac:dyDescent="0.25">
      <c r="AE3327">
        <v>0.09</v>
      </c>
    </row>
    <row r="3328" spans="31:31" x14ac:dyDescent="0.25">
      <c r="AE3328">
        <v>0.27</v>
      </c>
    </row>
    <row r="3329" spans="31:31" x14ac:dyDescent="0.25">
      <c r="AE3329">
        <v>111.94</v>
      </c>
    </row>
    <row r="3330" spans="31:31" x14ac:dyDescent="0.25">
      <c r="AE3330">
        <v>46.07</v>
      </c>
    </row>
    <row r="3331" spans="31:31" x14ac:dyDescent="0.25">
      <c r="AE3331">
        <v>61.01</v>
      </c>
    </row>
    <row r="3332" spans="31:31" x14ac:dyDescent="0.25">
      <c r="AE3332">
        <v>58.65</v>
      </c>
    </row>
    <row r="3333" spans="31:31" x14ac:dyDescent="0.25">
      <c r="AE3333">
        <v>47.51</v>
      </c>
    </row>
    <row r="3334" spans="31:31" x14ac:dyDescent="0.25">
      <c r="AE3334">
        <v>3.74</v>
      </c>
    </row>
    <row r="3335" spans="31:31" x14ac:dyDescent="0.25">
      <c r="AE3335">
        <v>23.99</v>
      </c>
    </row>
    <row r="3336" spans="31:31" x14ac:dyDescent="0.25">
      <c r="AE3336">
        <v>9.99</v>
      </c>
    </row>
    <row r="3337" spans="31:31" x14ac:dyDescent="0.25">
      <c r="AE3337">
        <v>49.32</v>
      </c>
    </row>
    <row r="3338" spans="31:31" x14ac:dyDescent="0.25">
      <c r="AE3338">
        <v>74.27</v>
      </c>
    </row>
    <row r="3339" spans="31:31" x14ac:dyDescent="0.25">
      <c r="AE3339">
        <v>13.85</v>
      </c>
    </row>
    <row r="3340" spans="31:31" x14ac:dyDescent="0.25">
      <c r="AE3340">
        <v>10.44</v>
      </c>
    </row>
    <row r="3341" spans="31:31" x14ac:dyDescent="0.25">
      <c r="AE3341">
        <v>16.47</v>
      </c>
    </row>
    <row r="3342" spans="31:31" x14ac:dyDescent="0.25">
      <c r="AE3342">
        <v>22.12</v>
      </c>
    </row>
    <row r="3343" spans="31:31" x14ac:dyDescent="0.25">
      <c r="AE3343">
        <v>154.46</v>
      </c>
    </row>
    <row r="3344" spans="31:31" x14ac:dyDescent="0.25">
      <c r="AE3344">
        <v>57.77</v>
      </c>
    </row>
    <row r="3345" spans="31:31" x14ac:dyDescent="0.25">
      <c r="AE3345">
        <v>27.92</v>
      </c>
    </row>
    <row r="3346" spans="31:31" x14ac:dyDescent="0.25">
      <c r="AE3346">
        <v>127.65</v>
      </c>
    </row>
    <row r="3347" spans="31:31" x14ac:dyDescent="0.25">
      <c r="AE3347">
        <v>177.06</v>
      </c>
    </row>
    <row r="3348" spans="31:31" x14ac:dyDescent="0.25">
      <c r="AE3348">
        <v>45.58</v>
      </c>
    </row>
    <row r="3349" spans="31:31" x14ac:dyDescent="0.25">
      <c r="AE3349">
        <v>29.89</v>
      </c>
    </row>
    <row r="3350" spans="31:31" x14ac:dyDescent="0.25">
      <c r="AE3350">
        <v>33.76</v>
      </c>
    </row>
    <row r="3351" spans="31:31" x14ac:dyDescent="0.25">
      <c r="AE3351">
        <v>104.54</v>
      </c>
    </row>
    <row r="3352" spans="31:31" x14ac:dyDescent="0.25">
      <c r="AE3352">
        <v>79.790000000000006</v>
      </c>
    </row>
    <row r="3353" spans="31:31" x14ac:dyDescent="0.25">
      <c r="AE3353">
        <v>45.09</v>
      </c>
    </row>
    <row r="3354" spans="31:31" x14ac:dyDescent="0.25">
      <c r="AE3354">
        <v>85.6</v>
      </c>
    </row>
    <row r="3355" spans="31:31" x14ac:dyDescent="0.25">
      <c r="AE3355">
        <v>66.42</v>
      </c>
    </row>
    <row r="3356" spans="31:31" x14ac:dyDescent="0.25">
      <c r="AE3356">
        <v>126.25</v>
      </c>
    </row>
    <row r="3357" spans="31:31" x14ac:dyDescent="0.25">
      <c r="AE3357">
        <v>10.39</v>
      </c>
    </row>
    <row r="3358" spans="31:31" x14ac:dyDescent="0.25">
      <c r="AE3358">
        <v>63.64</v>
      </c>
    </row>
    <row r="3359" spans="31:31" x14ac:dyDescent="0.25">
      <c r="AE3359">
        <v>9.99</v>
      </c>
    </row>
    <row r="3360" spans="31:31" x14ac:dyDescent="0.25">
      <c r="AE3360">
        <v>63.16</v>
      </c>
    </row>
    <row r="3361" spans="31:31" x14ac:dyDescent="0.25">
      <c r="AE3361">
        <v>39.520000000000003</v>
      </c>
    </row>
    <row r="3362" spans="31:31" x14ac:dyDescent="0.25">
      <c r="AE3362">
        <v>30.86</v>
      </c>
    </row>
    <row r="3363" spans="31:31" x14ac:dyDescent="0.25">
      <c r="AE3363">
        <v>77.64</v>
      </c>
    </row>
    <row r="3364" spans="31:31" x14ac:dyDescent="0.25">
      <c r="AE3364">
        <v>63.74</v>
      </c>
    </row>
    <row r="3365" spans="31:31" x14ac:dyDescent="0.25">
      <c r="AE3365">
        <v>0.81</v>
      </c>
    </row>
    <row r="3366" spans="31:31" x14ac:dyDescent="0.25">
      <c r="AE3366">
        <v>53.1</v>
      </c>
    </row>
    <row r="3367" spans="31:31" x14ac:dyDescent="0.25">
      <c r="AE3367">
        <v>314.44</v>
      </c>
    </row>
    <row r="3368" spans="31:31" x14ac:dyDescent="0.25">
      <c r="AE3368">
        <v>99.54</v>
      </c>
    </row>
    <row r="3369" spans="31:31" x14ac:dyDescent="0.25">
      <c r="AE3369">
        <v>129.30000000000001</v>
      </c>
    </row>
    <row r="3370" spans="31:31" x14ac:dyDescent="0.25">
      <c r="AE3370">
        <v>64.45</v>
      </c>
    </row>
    <row r="3371" spans="31:31" x14ac:dyDescent="0.25">
      <c r="AE3371">
        <v>11.85</v>
      </c>
    </row>
    <row r="3372" spans="31:31" x14ac:dyDescent="0.25">
      <c r="AE3372">
        <v>10.14</v>
      </c>
    </row>
    <row r="3373" spans="31:31" x14ac:dyDescent="0.25">
      <c r="AE3373">
        <v>19.989999999999998</v>
      </c>
    </row>
    <row r="3374" spans="31:31" x14ac:dyDescent="0.25">
      <c r="AE3374">
        <v>23.13</v>
      </c>
    </row>
    <row r="3375" spans="31:31" x14ac:dyDescent="0.25">
      <c r="AE3375">
        <v>32.19</v>
      </c>
    </row>
    <row r="3376" spans="31:31" x14ac:dyDescent="0.25">
      <c r="AE3376">
        <v>99.88</v>
      </c>
    </row>
    <row r="3377" spans="31:31" x14ac:dyDescent="0.25">
      <c r="AE3377">
        <v>59.26</v>
      </c>
    </row>
    <row r="3378" spans="31:31" x14ac:dyDescent="0.25">
      <c r="AE3378">
        <v>49.47</v>
      </c>
    </row>
    <row r="3379" spans="31:31" x14ac:dyDescent="0.25">
      <c r="AE3379">
        <v>102.4</v>
      </c>
    </row>
    <row r="3380" spans="31:31" x14ac:dyDescent="0.25">
      <c r="AE3380">
        <v>104.43</v>
      </c>
    </row>
    <row r="3381" spans="31:31" x14ac:dyDescent="0.25">
      <c r="AE3381">
        <v>98.34</v>
      </c>
    </row>
    <row r="3382" spans="31:31" x14ac:dyDescent="0.25">
      <c r="AE3382">
        <v>22.95</v>
      </c>
    </row>
    <row r="3383" spans="31:31" x14ac:dyDescent="0.25">
      <c r="AE3383">
        <v>73.459999999999994</v>
      </c>
    </row>
    <row r="3384" spans="31:31" x14ac:dyDescent="0.25">
      <c r="AE3384">
        <v>188.75</v>
      </c>
    </row>
    <row r="3385" spans="31:31" x14ac:dyDescent="0.25">
      <c r="AE3385">
        <v>14.26</v>
      </c>
    </row>
    <row r="3386" spans="31:31" x14ac:dyDescent="0.25">
      <c r="AE3386">
        <v>20.71</v>
      </c>
    </row>
    <row r="3387" spans="31:31" x14ac:dyDescent="0.25">
      <c r="AE3387">
        <v>21.2</v>
      </c>
    </row>
    <row r="3388" spans="31:31" x14ac:dyDescent="0.25">
      <c r="AE3388">
        <v>54.09</v>
      </c>
    </row>
    <row r="3389" spans="31:31" x14ac:dyDescent="0.25">
      <c r="AE3389">
        <v>33.799999999999997</v>
      </c>
    </row>
    <row r="3390" spans="31:31" x14ac:dyDescent="0.25">
      <c r="AE3390">
        <v>31.6</v>
      </c>
    </row>
    <row r="3391" spans="31:31" x14ac:dyDescent="0.25">
      <c r="AE3391">
        <v>23.55</v>
      </c>
    </row>
    <row r="3392" spans="31:31" x14ac:dyDescent="0.25">
      <c r="AE3392">
        <v>27.62</v>
      </c>
    </row>
    <row r="3393" spans="31:31" x14ac:dyDescent="0.25">
      <c r="AE3393">
        <v>89.79</v>
      </c>
    </row>
    <row r="3394" spans="31:31" x14ac:dyDescent="0.25">
      <c r="AE3394">
        <v>149.15</v>
      </c>
    </row>
    <row r="3395" spans="31:31" x14ac:dyDescent="0.25">
      <c r="AE3395">
        <v>43.68</v>
      </c>
    </row>
    <row r="3396" spans="31:31" x14ac:dyDescent="0.25">
      <c r="AE3396">
        <v>22.4</v>
      </c>
    </row>
    <row r="3397" spans="31:31" x14ac:dyDescent="0.25">
      <c r="AE3397">
        <v>181.73</v>
      </c>
    </row>
    <row r="3398" spans="31:31" x14ac:dyDescent="0.25">
      <c r="AE3398">
        <v>10.09</v>
      </c>
    </row>
    <row r="3399" spans="31:31" x14ac:dyDescent="0.25">
      <c r="AE3399">
        <v>11.45</v>
      </c>
    </row>
    <row r="3400" spans="31:31" x14ac:dyDescent="0.25">
      <c r="AE3400">
        <v>75.61</v>
      </c>
    </row>
    <row r="3401" spans="31:31" x14ac:dyDescent="0.25">
      <c r="AE3401">
        <v>134.27000000000001</v>
      </c>
    </row>
    <row r="3402" spans="31:31" x14ac:dyDescent="0.25">
      <c r="AE3402">
        <v>19.07</v>
      </c>
    </row>
    <row r="3403" spans="31:31" x14ac:dyDescent="0.25">
      <c r="AE3403">
        <v>10.39</v>
      </c>
    </row>
    <row r="3404" spans="31:31" x14ac:dyDescent="0.25">
      <c r="AE3404">
        <v>13.1</v>
      </c>
    </row>
    <row r="3405" spans="31:31" x14ac:dyDescent="0.25">
      <c r="AE3405">
        <v>58.36</v>
      </c>
    </row>
    <row r="3406" spans="31:31" x14ac:dyDescent="0.25">
      <c r="AE3406">
        <v>21.35</v>
      </c>
    </row>
    <row r="3407" spans="31:31" x14ac:dyDescent="0.25">
      <c r="AE3407">
        <v>33.229999999999997</v>
      </c>
    </row>
    <row r="3408" spans="31:31" x14ac:dyDescent="0.25">
      <c r="AE3408">
        <v>79.38</v>
      </c>
    </row>
    <row r="3409" spans="31:31" x14ac:dyDescent="0.25">
      <c r="AE3409">
        <v>15.85</v>
      </c>
    </row>
    <row r="3410" spans="31:31" x14ac:dyDescent="0.25">
      <c r="AE3410">
        <v>23.56</v>
      </c>
    </row>
    <row r="3411" spans="31:31" x14ac:dyDescent="0.25">
      <c r="AE3411">
        <v>34.17</v>
      </c>
    </row>
    <row r="3412" spans="31:31" x14ac:dyDescent="0.25">
      <c r="AE3412">
        <v>23.71</v>
      </c>
    </row>
    <row r="3413" spans="31:31" x14ac:dyDescent="0.25">
      <c r="AE3413">
        <v>58.57</v>
      </c>
    </row>
    <row r="3414" spans="31:31" x14ac:dyDescent="0.25">
      <c r="AE3414">
        <v>29.87</v>
      </c>
    </row>
    <row r="3415" spans="31:31" x14ac:dyDescent="0.25">
      <c r="AE3415">
        <v>78.790000000000006</v>
      </c>
    </row>
    <row r="3416" spans="31:31" x14ac:dyDescent="0.25">
      <c r="AE3416">
        <v>60.95</v>
      </c>
    </row>
    <row r="3417" spans="31:31" x14ac:dyDescent="0.25">
      <c r="AE3417">
        <v>64.63</v>
      </c>
    </row>
    <row r="3418" spans="31:31" x14ac:dyDescent="0.25">
      <c r="AE3418">
        <v>303.87</v>
      </c>
    </row>
    <row r="3419" spans="31:31" x14ac:dyDescent="0.25">
      <c r="AE3419">
        <v>28.38</v>
      </c>
    </row>
    <row r="3420" spans="31:31" x14ac:dyDescent="0.25">
      <c r="AE3420">
        <v>82.89</v>
      </c>
    </row>
    <row r="3421" spans="31:31" x14ac:dyDescent="0.25">
      <c r="AE3421">
        <v>14.9</v>
      </c>
    </row>
    <row r="3422" spans="31:31" x14ac:dyDescent="0.25">
      <c r="AE3422">
        <v>48.86</v>
      </c>
    </row>
    <row r="3423" spans="31:31" x14ac:dyDescent="0.25">
      <c r="AE3423">
        <v>32.799999999999997</v>
      </c>
    </row>
    <row r="3424" spans="31:31" x14ac:dyDescent="0.25">
      <c r="AE3424">
        <v>21.82</v>
      </c>
    </row>
    <row r="3425" spans="31:31" x14ac:dyDescent="0.25">
      <c r="AE3425">
        <v>31.92</v>
      </c>
    </row>
    <row r="3426" spans="31:31" x14ac:dyDescent="0.25">
      <c r="AE3426">
        <v>107.59</v>
      </c>
    </row>
    <row r="3427" spans="31:31" x14ac:dyDescent="0.25">
      <c r="AE3427">
        <v>303.23</v>
      </c>
    </row>
    <row r="3428" spans="31:31" x14ac:dyDescent="0.25">
      <c r="AE3428">
        <v>89.88</v>
      </c>
    </row>
    <row r="3429" spans="31:31" x14ac:dyDescent="0.25">
      <c r="AE3429">
        <v>2.85</v>
      </c>
    </row>
    <row r="3430" spans="31:31" x14ac:dyDescent="0.25">
      <c r="AE3430">
        <v>5.15</v>
      </c>
    </row>
    <row r="3431" spans="31:31" x14ac:dyDescent="0.25">
      <c r="AE3431">
        <v>4.26</v>
      </c>
    </row>
    <row r="3432" spans="31:31" x14ac:dyDescent="0.25">
      <c r="AE3432">
        <v>11.59</v>
      </c>
    </row>
    <row r="3433" spans="31:31" x14ac:dyDescent="0.25">
      <c r="AE3433">
        <v>9.99</v>
      </c>
    </row>
    <row r="3434" spans="31:31" x14ac:dyDescent="0.25">
      <c r="AE3434">
        <v>81.290000000000006</v>
      </c>
    </row>
    <row r="3435" spans="31:31" x14ac:dyDescent="0.25">
      <c r="AE3435">
        <v>3.85</v>
      </c>
    </row>
    <row r="3436" spans="31:31" x14ac:dyDescent="0.25">
      <c r="AE3436">
        <v>58.89</v>
      </c>
    </row>
    <row r="3437" spans="31:31" x14ac:dyDescent="0.25">
      <c r="AE3437">
        <v>178.47</v>
      </c>
    </row>
    <row r="3438" spans="31:31" x14ac:dyDescent="0.25">
      <c r="AE3438">
        <v>23.47</v>
      </c>
    </row>
    <row r="3439" spans="31:31" x14ac:dyDescent="0.25">
      <c r="AE3439">
        <v>84.72</v>
      </c>
    </row>
    <row r="3440" spans="31:31" x14ac:dyDescent="0.25">
      <c r="AE3440">
        <v>11.03</v>
      </c>
    </row>
    <row r="3441" spans="31:31" x14ac:dyDescent="0.25">
      <c r="AE3441">
        <v>44.45</v>
      </c>
    </row>
    <row r="3442" spans="31:31" x14ac:dyDescent="0.25">
      <c r="AE3442">
        <v>35.130000000000003</v>
      </c>
    </row>
    <row r="3443" spans="31:31" x14ac:dyDescent="0.25">
      <c r="AE3443">
        <v>162.28</v>
      </c>
    </row>
    <row r="3444" spans="31:31" x14ac:dyDescent="0.25">
      <c r="AE3444">
        <v>37.82</v>
      </c>
    </row>
    <row r="3445" spans="31:31" x14ac:dyDescent="0.25">
      <c r="AE3445">
        <v>70.78</v>
      </c>
    </row>
    <row r="3446" spans="31:31" x14ac:dyDescent="0.25">
      <c r="AE3446">
        <v>31.26</v>
      </c>
    </row>
    <row r="3447" spans="31:31" x14ac:dyDescent="0.25">
      <c r="AE3447">
        <v>72.849999999999994</v>
      </c>
    </row>
    <row r="3448" spans="31:31" x14ac:dyDescent="0.25">
      <c r="AE3448">
        <v>91.01</v>
      </c>
    </row>
    <row r="3449" spans="31:31" x14ac:dyDescent="0.25">
      <c r="AE3449">
        <v>85.28</v>
      </c>
    </row>
    <row r="3450" spans="31:31" x14ac:dyDescent="0.25">
      <c r="AE3450">
        <v>20.27</v>
      </c>
    </row>
    <row r="3451" spans="31:31" x14ac:dyDescent="0.25">
      <c r="AE3451">
        <v>38.76</v>
      </c>
    </row>
    <row r="3452" spans="31:31" x14ac:dyDescent="0.25">
      <c r="AE3452">
        <v>34.950000000000003</v>
      </c>
    </row>
    <row r="3453" spans="31:31" x14ac:dyDescent="0.25">
      <c r="AE3453">
        <v>18.260000000000002</v>
      </c>
    </row>
    <row r="3454" spans="31:31" x14ac:dyDescent="0.25">
      <c r="AE3454">
        <v>23.93</v>
      </c>
    </row>
    <row r="3455" spans="31:31" x14ac:dyDescent="0.25">
      <c r="AE3455">
        <v>28.74</v>
      </c>
    </row>
    <row r="3456" spans="31:31" x14ac:dyDescent="0.25">
      <c r="AE3456">
        <v>86.51</v>
      </c>
    </row>
    <row r="3457" spans="31:31" x14ac:dyDescent="0.25">
      <c r="AE3457">
        <v>216.28</v>
      </c>
    </row>
    <row r="3458" spans="31:31" x14ac:dyDescent="0.25">
      <c r="AE3458">
        <v>47.41</v>
      </c>
    </row>
    <row r="3459" spans="31:31" x14ac:dyDescent="0.25">
      <c r="AE3459">
        <v>61.1</v>
      </c>
    </row>
    <row r="3460" spans="31:31" x14ac:dyDescent="0.25">
      <c r="AE3460">
        <v>16.13</v>
      </c>
    </row>
    <row r="3461" spans="31:31" x14ac:dyDescent="0.25">
      <c r="AE3461">
        <v>10.34</v>
      </c>
    </row>
    <row r="3462" spans="31:31" x14ac:dyDescent="0.25">
      <c r="AE3462">
        <v>120.53</v>
      </c>
    </row>
    <row r="3463" spans="31:31" x14ac:dyDescent="0.25">
      <c r="AE3463">
        <v>35.590000000000003</v>
      </c>
    </row>
    <row r="3464" spans="31:31" x14ac:dyDescent="0.25">
      <c r="AE3464">
        <v>19.28</v>
      </c>
    </row>
    <row r="3465" spans="31:31" x14ac:dyDescent="0.25">
      <c r="AE3465">
        <v>46.21</v>
      </c>
    </row>
    <row r="3466" spans="31:31" x14ac:dyDescent="0.25">
      <c r="AE3466">
        <v>27.55</v>
      </c>
    </row>
    <row r="3467" spans="31:31" x14ac:dyDescent="0.25">
      <c r="AE3467">
        <v>21.01</v>
      </c>
    </row>
    <row r="3468" spans="31:31" x14ac:dyDescent="0.25">
      <c r="AE3468">
        <v>95.96</v>
      </c>
    </row>
    <row r="3469" spans="31:31" x14ac:dyDescent="0.25">
      <c r="AE3469">
        <v>59.42</v>
      </c>
    </row>
    <row r="3470" spans="31:31" x14ac:dyDescent="0.25">
      <c r="AE3470">
        <v>23.34</v>
      </c>
    </row>
    <row r="3471" spans="31:31" x14ac:dyDescent="0.25">
      <c r="AE3471">
        <v>51.76</v>
      </c>
    </row>
    <row r="3472" spans="31:31" x14ac:dyDescent="0.25">
      <c r="AE3472">
        <v>34.130000000000003</v>
      </c>
    </row>
    <row r="3473" spans="31:31" x14ac:dyDescent="0.25">
      <c r="AE3473">
        <v>21.19</v>
      </c>
    </row>
    <row r="3474" spans="31:31" x14ac:dyDescent="0.25">
      <c r="AE3474">
        <v>67.56</v>
      </c>
    </row>
    <row r="3475" spans="31:31" x14ac:dyDescent="0.25">
      <c r="AE3475">
        <v>1.93</v>
      </c>
    </row>
    <row r="3476" spans="31:31" x14ac:dyDescent="0.25">
      <c r="AE3476">
        <v>11.93</v>
      </c>
    </row>
    <row r="3477" spans="31:31" x14ac:dyDescent="0.25">
      <c r="AE3477">
        <v>35.020000000000003</v>
      </c>
    </row>
    <row r="3478" spans="31:31" x14ac:dyDescent="0.25">
      <c r="AE3478">
        <v>42.78</v>
      </c>
    </row>
    <row r="3479" spans="31:31" x14ac:dyDescent="0.25">
      <c r="AE3479">
        <v>0.81</v>
      </c>
    </row>
    <row r="3480" spans="31:31" x14ac:dyDescent="0.25">
      <c r="AE3480">
        <v>99.77</v>
      </c>
    </row>
    <row r="3481" spans="31:31" x14ac:dyDescent="0.25">
      <c r="AE3481">
        <v>17.14</v>
      </c>
    </row>
    <row r="3482" spans="31:31" x14ac:dyDescent="0.25">
      <c r="AE3482">
        <v>59.37</v>
      </c>
    </row>
    <row r="3483" spans="31:31" x14ac:dyDescent="0.25">
      <c r="AE3483">
        <v>15.08</v>
      </c>
    </row>
    <row r="3484" spans="31:31" x14ac:dyDescent="0.25">
      <c r="AE3484">
        <v>39.46</v>
      </c>
    </row>
    <row r="3485" spans="31:31" x14ac:dyDescent="0.25">
      <c r="AE3485">
        <v>30.56</v>
      </c>
    </row>
    <row r="3486" spans="31:31" x14ac:dyDescent="0.25">
      <c r="AE3486">
        <v>29.23</v>
      </c>
    </row>
    <row r="3487" spans="31:31" x14ac:dyDescent="0.25">
      <c r="AE3487">
        <v>143.54</v>
      </c>
    </row>
    <row r="3488" spans="31:31" x14ac:dyDescent="0.25">
      <c r="AE3488">
        <v>62.15</v>
      </c>
    </row>
    <row r="3489" spans="31:31" x14ac:dyDescent="0.25">
      <c r="AE3489">
        <v>20.62</v>
      </c>
    </row>
    <row r="3490" spans="31:31" x14ac:dyDescent="0.25">
      <c r="AE3490">
        <v>24.18</v>
      </c>
    </row>
    <row r="3491" spans="31:31" x14ac:dyDescent="0.25">
      <c r="AE3491">
        <v>70.05</v>
      </c>
    </row>
    <row r="3492" spans="31:31" x14ac:dyDescent="0.25">
      <c r="AE3492">
        <v>27.1</v>
      </c>
    </row>
    <row r="3493" spans="31:31" x14ac:dyDescent="0.25">
      <c r="AE3493">
        <v>34.799999999999997</v>
      </c>
    </row>
    <row r="3494" spans="31:31" x14ac:dyDescent="0.25">
      <c r="AE3494">
        <v>18</v>
      </c>
    </row>
    <row r="3495" spans="31:31" x14ac:dyDescent="0.25">
      <c r="AE3495">
        <v>63.61</v>
      </c>
    </row>
    <row r="3496" spans="31:31" x14ac:dyDescent="0.25">
      <c r="AE3496">
        <v>25.63</v>
      </c>
    </row>
    <row r="3497" spans="31:31" x14ac:dyDescent="0.25">
      <c r="AE3497">
        <v>5.75</v>
      </c>
    </row>
    <row r="3498" spans="31:31" x14ac:dyDescent="0.25">
      <c r="AE3498">
        <v>9.99</v>
      </c>
    </row>
    <row r="3499" spans="31:31" x14ac:dyDescent="0.25">
      <c r="AE3499">
        <v>34.97</v>
      </c>
    </row>
    <row r="3500" spans="31:31" x14ac:dyDescent="0.25">
      <c r="AE3500">
        <v>25.24</v>
      </c>
    </row>
    <row r="3501" spans="31:31" x14ac:dyDescent="0.25">
      <c r="AE3501">
        <v>137.78</v>
      </c>
    </row>
    <row r="3502" spans="31:31" x14ac:dyDescent="0.25">
      <c r="AE3502">
        <v>56.62</v>
      </c>
    </row>
    <row r="3503" spans="31:31" x14ac:dyDescent="0.25">
      <c r="AE3503">
        <v>68.349999999999994</v>
      </c>
    </row>
    <row r="3504" spans="31:31" x14ac:dyDescent="0.25">
      <c r="AE3504">
        <v>89.58</v>
      </c>
    </row>
    <row r="3505" spans="31:31" x14ac:dyDescent="0.25">
      <c r="AE3505">
        <v>17.21</v>
      </c>
    </row>
    <row r="3506" spans="31:31" x14ac:dyDescent="0.25">
      <c r="AE3506">
        <v>42.94</v>
      </c>
    </row>
    <row r="3507" spans="31:31" x14ac:dyDescent="0.25">
      <c r="AE3507">
        <v>97.22</v>
      </c>
    </row>
    <row r="3508" spans="31:31" x14ac:dyDescent="0.25">
      <c r="AE3508">
        <v>7.77</v>
      </c>
    </row>
    <row r="3509" spans="31:31" x14ac:dyDescent="0.25">
      <c r="AE3509">
        <v>0.54</v>
      </c>
    </row>
    <row r="3510" spans="31:31" x14ac:dyDescent="0.25">
      <c r="AE3510">
        <v>109.08</v>
      </c>
    </row>
    <row r="3511" spans="31:31" x14ac:dyDescent="0.25">
      <c r="AE3511">
        <v>19.510000000000002</v>
      </c>
    </row>
    <row r="3512" spans="31:31" x14ac:dyDescent="0.25">
      <c r="AE3512">
        <v>24.74</v>
      </c>
    </row>
    <row r="3513" spans="31:31" x14ac:dyDescent="0.25">
      <c r="AE3513">
        <v>33.409999999999997</v>
      </c>
    </row>
    <row r="3514" spans="31:31" x14ac:dyDescent="0.25">
      <c r="AE3514">
        <v>104.26</v>
      </c>
    </row>
    <row r="3515" spans="31:31" x14ac:dyDescent="0.25">
      <c r="AE3515">
        <v>66.150000000000006</v>
      </c>
    </row>
    <row r="3516" spans="31:31" x14ac:dyDescent="0.25">
      <c r="AE3516">
        <v>25.99</v>
      </c>
    </row>
    <row r="3517" spans="31:31" x14ac:dyDescent="0.25">
      <c r="AE3517">
        <v>26.92</v>
      </c>
    </row>
    <row r="3518" spans="31:31" x14ac:dyDescent="0.25">
      <c r="AE3518">
        <v>58.05</v>
      </c>
    </row>
    <row r="3519" spans="31:31" x14ac:dyDescent="0.25">
      <c r="AE3519">
        <v>24.4</v>
      </c>
    </row>
    <row r="3520" spans="31:31" x14ac:dyDescent="0.25">
      <c r="AE3520">
        <v>61.97</v>
      </c>
    </row>
    <row r="3521" spans="31:31" x14ac:dyDescent="0.25">
      <c r="AE3521">
        <v>53.68</v>
      </c>
    </row>
    <row r="3522" spans="31:31" x14ac:dyDescent="0.25">
      <c r="AE3522">
        <v>56.29</v>
      </c>
    </row>
    <row r="3523" spans="31:31" x14ac:dyDescent="0.25">
      <c r="AE3523">
        <v>117.77</v>
      </c>
    </row>
    <row r="3524" spans="31:31" x14ac:dyDescent="0.25">
      <c r="AE3524">
        <v>99.72</v>
      </c>
    </row>
    <row r="3525" spans="31:31" x14ac:dyDescent="0.25">
      <c r="AE3525">
        <v>21.15</v>
      </c>
    </row>
    <row r="3526" spans="31:31" x14ac:dyDescent="0.25">
      <c r="AE3526">
        <v>81.16</v>
      </c>
    </row>
    <row r="3527" spans="31:31" x14ac:dyDescent="0.25">
      <c r="AE3527">
        <v>30.5</v>
      </c>
    </row>
    <row r="3528" spans="31:31" x14ac:dyDescent="0.25">
      <c r="AE3528">
        <v>34.17</v>
      </c>
    </row>
    <row r="3529" spans="31:31" x14ac:dyDescent="0.25">
      <c r="AE3529">
        <v>18.86</v>
      </c>
    </row>
    <row r="3530" spans="31:31" x14ac:dyDescent="0.25">
      <c r="AE3530">
        <v>39.6</v>
      </c>
    </row>
    <row r="3531" spans="31:31" x14ac:dyDescent="0.25">
      <c r="AE3531">
        <v>187.66</v>
      </c>
    </row>
    <row r="3532" spans="31:31" x14ac:dyDescent="0.25">
      <c r="AE3532">
        <v>106.17</v>
      </c>
    </row>
    <row r="3533" spans="31:31" x14ac:dyDescent="0.25">
      <c r="AE3533">
        <v>36.619999999999997</v>
      </c>
    </row>
    <row r="3534" spans="31:31" x14ac:dyDescent="0.25">
      <c r="AE3534">
        <v>51.72</v>
      </c>
    </row>
    <row r="3535" spans="31:31" x14ac:dyDescent="0.25">
      <c r="AE3535">
        <v>26.46</v>
      </c>
    </row>
    <row r="3536" spans="31:31" x14ac:dyDescent="0.25">
      <c r="AE3536">
        <v>18.88</v>
      </c>
    </row>
    <row r="3537" spans="31:31" x14ac:dyDescent="0.25">
      <c r="AE3537">
        <v>83.62</v>
      </c>
    </row>
    <row r="3538" spans="31:31" x14ac:dyDescent="0.25">
      <c r="AE3538">
        <v>26.48</v>
      </c>
    </row>
    <row r="3539" spans="31:31" x14ac:dyDescent="0.25">
      <c r="AE3539">
        <v>35.44</v>
      </c>
    </row>
    <row r="3540" spans="31:31" x14ac:dyDescent="0.25">
      <c r="AE3540">
        <v>42.01</v>
      </c>
    </row>
    <row r="3541" spans="31:31" x14ac:dyDescent="0.25">
      <c r="AE3541">
        <v>61.59</v>
      </c>
    </row>
    <row r="3542" spans="31:31" x14ac:dyDescent="0.25">
      <c r="AE3542">
        <v>21.14</v>
      </c>
    </row>
    <row r="3543" spans="31:31" x14ac:dyDescent="0.25">
      <c r="AE3543">
        <v>26.41</v>
      </c>
    </row>
    <row r="3544" spans="31:31" x14ac:dyDescent="0.25">
      <c r="AE3544">
        <v>25.98</v>
      </c>
    </row>
    <row r="3545" spans="31:31" x14ac:dyDescent="0.25">
      <c r="AE3545">
        <v>23.23</v>
      </c>
    </row>
    <row r="3546" spans="31:31" x14ac:dyDescent="0.25">
      <c r="AE3546">
        <v>59.48</v>
      </c>
    </row>
    <row r="3547" spans="31:31" x14ac:dyDescent="0.25">
      <c r="AE3547">
        <v>39.61</v>
      </c>
    </row>
    <row r="3548" spans="31:31" x14ac:dyDescent="0.25">
      <c r="AE3548">
        <v>2.79</v>
      </c>
    </row>
    <row r="3549" spans="31:31" x14ac:dyDescent="0.25">
      <c r="AE3549">
        <v>37.119999999999997</v>
      </c>
    </row>
    <row r="3550" spans="31:31" x14ac:dyDescent="0.25">
      <c r="AE3550">
        <v>16.79</v>
      </c>
    </row>
    <row r="3551" spans="31:31" x14ac:dyDescent="0.25">
      <c r="AE3551">
        <v>0.9</v>
      </c>
    </row>
    <row r="3552" spans="31:31" x14ac:dyDescent="0.25">
      <c r="AE3552">
        <v>27.33</v>
      </c>
    </row>
    <row r="3553" spans="31:31" x14ac:dyDescent="0.25">
      <c r="AE3553">
        <v>115.48</v>
      </c>
    </row>
    <row r="3554" spans="31:31" x14ac:dyDescent="0.25">
      <c r="AE3554">
        <v>17.3</v>
      </c>
    </row>
    <row r="3555" spans="31:31" x14ac:dyDescent="0.25">
      <c r="AE3555">
        <v>30.6</v>
      </c>
    </row>
    <row r="3556" spans="31:31" x14ac:dyDescent="0.25">
      <c r="AE3556">
        <v>18.559999999999999</v>
      </c>
    </row>
    <row r="3557" spans="31:31" x14ac:dyDescent="0.25">
      <c r="AE3557">
        <v>0.97</v>
      </c>
    </row>
    <row r="3558" spans="31:31" x14ac:dyDescent="0.25">
      <c r="AE3558">
        <v>157.05000000000001</v>
      </c>
    </row>
    <row r="3559" spans="31:31" x14ac:dyDescent="0.25">
      <c r="AE3559">
        <v>39.86</v>
      </c>
    </row>
    <row r="3560" spans="31:31" x14ac:dyDescent="0.25">
      <c r="AE3560">
        <v>120.7</v>
      </c>
    </row>
    <row r="3561" spans="31:31" x14ac:dyDescent="0.25">
      <c r="AE3561">
        <v>96.81</v>
      </c>
    </row>
    <row r="3562" spans="31:31" x14ac:dyDescent="0.25">
      <c r="AE3562">
        <v>38.630000000000003</v>
      </c>
    </row>
    <row r="3563" spans="31:31" x14ac:dyDescent="0.25">
      <c r="AE3563">
        <v>16.03</v>
      </c>
    </row>
    <row r="3564" spans="31:31" x14ac:dyDescent="0.25">
      <c r="AE3564">
        <v>27.92</v>
      </c>
    </row>
    <row r="3565" spans="31:31" x14ac:dyDescent="0.25">
      <c r="AE3565">
        <v>15.11</v>
      </c>
    </row>
    <row r="3566" spans="31:31" x14ac:dyDescent="0.25">
      <c r="AE3566">
        <v>54.93</v>
      </c>
    </row>
    <row r="3567" spans="31:31" x14ac:dyDescent="0.25">
      <c r="AE3567">
        <v>20.85</v>
      </c>
    </row>
    <row r="3568" spans="31:31" x14ac:dyDescent="0.25">
      <c r="AE3568">
        <v>113.87</v>
      </c>
    </row>
    <row r="3569" spans="31:31" x14ac:dyDescent="0.25">
      <c r="AE3569">
        <v>25.93</v>
      </c>
    </row>
    <row r="3570" spans="31:31" x14ac:dyDescent="0.25">
      <c r="AE3570">
        <v>10.89</v>
      </c>
    </row>
    <row r="3571" spans="31:31" x14ac:dyDescent="0.25">
      <c r="AE3571">
        <v>96.86</v>
      </c>
    </row>
    <row r="3572" spans="31:31" x14ac:dyDescent="0.25">
      <c r="AE3572">
        <v>122.29</v>
      </c>
    </row>
    <row r="3573" spans="31:31" x14ac:dyDescent="0.25">
      <c r="AE3573">
        <v>32.19</v>
      </c>
    </row>
    <row r="3574" spans="31:31" x14ac:dyDescent="0.25">
      <c r="AE3574">
        <v>26.46</v>
      </c>
    </row>
    <row r="3575" spans="31:31" x14ac:dyDescent="0.25">
      <c r="AE3575">
        <v>38.36</v>
      </c>
    </row>
    <row r="3576" spans="31:31" x14ac:dyDescent="0.25">
      <c r="AE3576">
        <v>23.02</v>
      </c>
    </row>
    <row r="3577" spans="31:31" x14ac:dyDescent="0.25">
      <c r="AE3577">
        <v>20.99</v>
      </c>
    </row>
    <row r="3578" spans="31:31" x14ac:dyDescent="0.25">
      <c r="AE3578">
        <v>66.3</v>
      </c>
    </row>
    <row r="3579" spans="31:31" x14ac:dyDescent="0.25">
      <c r="AE3579">
        <v>52.44</v>
      </c>
    </row>
    <row r="3580" spans="31:31" x14ac:dyDescent="0.25">
      <c r="AE3580">
        <v>21.46</v>
      </c>
    </row>
    <row r="3581" spans="31:31" x14ac:dyDescent="0.25">
      <c r="AE3581">
        <v>0.09</v>
      </c>
    </row>
    <row r="3582" spans="31:31" x14ac:dyDescent="0.25">
      <c r="AE3582">
        <v>28.32</v>
      </c>
    </row>
    <row r="3583" spans="31:31" x14ac:dyDescent="0.25">
      <c r="AE3583">
        <v>19</v>
      </c>
    </row>
    <row r="3584" spans="31:31" x14ac:dyDescent="0.25">
      <c r="AE3584">
        <v>32.49</v>
      </c>
    </row>
    <row r="3585" spans="31:31" x14ac:dyDescent="0.25">
      <c r="AE3585">
        <v>11.45</v>
      </c>
    </row>
    <row r="3586" spans="31:31" x14ac:dyDescent="0.25">
      <c r="AE3586">
        <v>79.790000000000006</v>
      </c>
    </row>
    <row r="3587" spans="31:31" x14ac:dyDescent="0.25">
      <c r="AE3587">
        <v>50.8</v>
      </c>
    </row>
    <row r="3588" spans="31:31" x14ac:dyDescent="0.25">
      <c r="AE3588">
        <v>46.66</v>
      </c>
    </row>
    <row r="3589" spans="31:31" x14ac:dyDescent="0.25">
      <c r="AE3589">
        <v>15.19</v>
      </c>
    </row>
    <row r="3590" spans="31:31" x14ac:dyDescent="0.25">
      <c r="AE3590">
        <v>156.83000000000001</v>
      </c>
    </row>
    <row r="3591" spans="31:31" x14ac:dyDescent="0.25">
      <c r="AE3591">
        <v>21.2</v>
      </c>
    </row>
    <row r="3592" spans="31:31" x14ac:dyDescent="0.25">
      <c r="AE3592">
        <v>23.59</v>
      </c>
    </row>
    <row r="3593" spans="31:31" x14ac:dyDescent="0.25">
      <c r="AE3593">
        <v>40.4</v>
      </c>
    </row>
    <row r="3594" spans="31:31" x14ac:dyDescent="0.25">
      <c r="AE3594">
        <v>34.729999999999997</v>
      </c>
    </row>
    <row r="3595" spans="31:31" x14ac:dyDescent="0.25">
      <c r="AE3595">
        <v>136.31</v>
      </c>
    </row>
    <row r="3596" spans="31:31" x14ac:dyDescent="0.25">
      <c r="AE3596">
        <v>43.38</v>
      </c>
    </row>
    <row r="3597" spans="31:31" x14ac:dyDescent="0.25">
      <c r="AE3597">
        <v>68.17</v>
      </c>
    </row>
    <row r="3598" spans="31:31" x14ac:dyDescent="0.25">
      <c r="AE3598">
        <v>70.25</v>
      </c>
    </row>
    <row r="3599" spans="31:31" x14ac:dyDescent="0.25">
      <c r="AE3599">
        <v>18.5</v>
      </c>
    </row>
    <row r="3600" spans="31:31" x14ac:dyDescent="0.25">
      <c r="AE3600">
        <v>20.93</v>
      </c>
    </row>
    <row r="3601" spans="31:31" x14ac:dyDescent="0.25">
      <c r="AE3601">
        <v>11.52</v>
      </c>
    </row>
    <row r="3602" spans="31:31" x14ac:dyDescent="0.25">
      <c r="AE3602">
        <v>17.27</v>
      </c>
    </row>
    <row r="3603" spans="31:31" x14ac:dyDescent="0.25">
      <c r="AE3603">
        <v>49.93</v>
      </c>
    </row>
    <row r="3604" spans="31:31" x14ac:dyDescent="0.25">
      <c r="AE3604">
        <v>112.59</v>
      </c>
    </row>
    <row r="3605" spans="31:31" x14ac:dyDescent="0.25">
      <c r="AE3605">
        <v>20.54</v>
      </c>
    </row>
    <row r="3606" spans="31:31" x14ac:dyDescent="0.25">
      <c r="AE3606">
        <v>4.8099999999999996</v>
      </c>
    </row>
    <row r="3607" spans="31:31" x14ac:dyDescent="0.25">
      <c r="AE3607">
        <v>81.239999999999995</v>
      </c>
    </row>
    <row r="3608" spans="31:31" x14ac:dyDescent="0.25">
      <c r="AE3608">
        <v>27.54</v>
      </c>
    </row>
    <row r="3609" spans="31:31" x14ac:dyDescent="0.25">
      <c r="AE3609">
        <v>28.59</v>
      </c>
    </row>
    <row r="3610" spans="31:31" x14ac:dyDescent="0.25">
      <c r="AE3610">
        <v>7.57</v>
      </c>
    </row>
    <row r="3611" spans="31:31" x14ac:dyDescent="0.25">
      <c r="AE3611">
        <v>81.44</v>
      </c>
    </row>
    <row r="3612" spans="31:31" x14ac:dyDescent="0.25">
      <c r="AE3612">
        <v>94.47</v>
      </c>
    </row>
    <row r="3613" spans="31:31" x14ac:dyDescent="0.25">
      <c r="AE3613">
        <v>48.76</v>
      </c>
    </row>
    <row r="3614" spans="31:31" x14ac:dyDescent="0.25">
      <c r="AE3614">
        <v>11.35</v>
      </c>
    </row>
    <row r="3615" spans="31:31" x14ac:dyDescent="0.25">
      <c r="AE3615">
        <v>129.15</v>
      </c>
    </row>
    <row r="3616" spans="31:31" x14ac:dyDescent="0.25">
      <c r="AE3616">
        <v>30.82</v>
      </c>
    </row>
    <row r="3617" spans="31:31" x14ac:dyDescent="0.25">
      <c r="AE3617">
        <v>15.02</v>
      </c>
    </row>
    <row r="3618" spans="31:31" x14ac:dyDescent="0.25">
      <c r="AE3618">
        <v>49.6</v>
      </c>
    </row>
    <row r="3619" spans="31:31" x14ac:dyDescent="0.25">
      <c r="AE3619">
        <v>74.319999999999993</v>
      </c>
    </row>
    <row r="3620" spans="31:31" x14ac:dyDescent="0.25">
      <c r="AE3620">
        <v>0</v>
      </c>
    </row>
    <row r="3621" spans="31:31" x14ac:dyDescent="0.25">
      <c r="AE3621">
        <v>10.039999999999999</v>
      </c>
    </row>
    <row r="3622" spans="31:31" x14ac:dyDescent="0.25">
      <c r="AE3622">
        <v>72.73</v>
      </c>
    </row>
    <row r="3623" spans="31:31" x14ac:dyDescent="0.25">
      <c r="AE3623">
        <v>21.11</v>
      </c>
    </row>
    <row r="3624" spans="31:31" x14ac:dyDescent="0.25">
      <c r="AE3624">
        <v>81.44</v>
      </c>
    </row>
    <row r="3625" spans="31:31" x14ac:dyDescent="0.25">
      <c r="AE3625">
        <v>0.18</v>
      </c>
    </row>
    <row r="3626" spans="31:31" x14ac:dyDescent="0.25">
      <c r="AE3626">
        <v>27.11</v>
      </c>
    </row>
    <row r="3627" spans="31:31" x14ac:dyDescent="0.25">
      <c r="AE3627">
        <v>30.58</v>
      </c>
    </row>
    <row r="3628" spans="31:31" x14ac:dyDescent="0.25">
      <c r="AE3628">
        <v>139.03</v>
      </c>
    </row>
    <row r="3629" spans="31:31" x14ac:dyDescent="0.25">
      <c r="AE3629">
        <v>36.700000000000003</v>
      </c>
    </row>
    <row r="3630" spans="31:31" x14ac:dyDescent="0.25">
      <c r="AE3630">
        <v>51.87</v>
      </c>
    </row>
    <row r="3631" spans="31:31" x14ac:dyDescent="0.25">
      <c r="AE3631">
        <v>52.22</v>
      </c>
    </row>
    <row r="3632" spans="31:31" x14ac:dyDescent="0.25">
      <c r="AE3632">
        <v>60.72</v>
      </c>
    </row>
    <row r="3633" spans="31:31" x14ac:dyDescent="0.25">
      <c r="AE3633">
        <v>46.32</v>
      </c>
    </row>
    <row r="3634" spans="31:31" x14ac:dyDescent="0.25">
      <c r="AE3634">
        <v>0.81</v>
      </c>
    </row>
    <row r="3635" spans="31:31" x14ac:dyDescent="0.25">
      <c r="AE3635">
        <v>33.869999999999997</v>
      </c>
    </row>
    <row r="3636" spans="31:31" x14ac:dyDescent="0.25">
      <c r="AE3636">
        <v>68.47</v>
      </c>
    </row>
    <row r="3637" spans="31:31" x14ac:dyDescent="0.25">
      <c r="AE3637">
        <v>61.66</v>
      </c>
    </row>
    <row r="3638" spans="31:31" x14ac:dyDescent="0.25">
      <c r="AE3638">
        <v>116.93</v>
      </c>
    </row>
    <row r="3639" spans="31:31" x14ac:dyDescent="0.25">
      <c r="AE3639">
        <v>68.23</v>
      </c>
    </row>
    <row r="3640" spans="31:31" x14ac:dyDescent="0.25">
      <c r="AE3640">
        <v>40.61</v>
      </c>
    </row>
    <row r="3641" spans="31:31" x14ac:dyDescent="0.25">
      <c r="AE3641">
        <v>159.03</v>
      </c>
    </row>
    <row r="3642" spans="31:31" x14ac:dyDescent="0.25">
      <c r="AE3642">
        <v>57.43</v>
      </c>
    </row>
    <row r="3643" spans="31:31" x14ac:dyDescent="0.25">
      <c r="AE3643">
        <v>18.809999999999999</v>
      </c>
    </row>
    <row r="3644" spans="31:31" x14ac:dyDescent="0.25">
      <c r="AE3644">
        <v>33.24</v>
      </c>
    </row>
    <row r="3645" spans="31:31" x14ac:dyDescent="0.25">
      <c r="AE3645">
        <v>11.22</v>
      </c>
    </row>
    <row r="3646" spans="31:31" x14ac:dyDescent="0.25">
      <c r="AE3646">
        <v>67.25</v>
      </c>
    </row>
    <row r="3647" spans="31:31" x14ac:dyDescent="0.25">
      <c r="AE3647">
        <v>0.09</v>
      </c>
    </row>
    <row r="3648" spans="31:31" x14ac:dyDescent="0.25">
      <c r="AE3648">
        <v>58.76</v>
      </c>
    </row>
    <row r="3649" spans="31:31" x14ac:dyDescent="0.25">
      <c r="AE3649">
        <v>11.46</v>
      </c>
    </row>
    <row r="3650" spans="31:31" x14ac:dyDescent="0.25">
      <c r="AE3650">
        <v>10.039999999999999</v>
      </c>
    </row>
    <row r="3651" spans="31:31" x14ac:dyDescent="0.25">
      <c r="AE3651">
        <v>11.7</v>
      </c>
    </row>
    <row r="3652" spans="31:31" x14ac:dyDescent="0.25">
      <c r="AE3652">
        <v>30.82</v>
      </c>
    </row>
    <row r="3653" spans="31:31" x14ac:dyDescent="0.25">
      <c r="AE3653">
        <v>23.86</v>
      </c>
    </row>
    <row r="3654" spans="31:31" x14ac:dyDescent="0.25">
      <c r="AE3654">
        <v>41.82</v>
      </c>
    </row>
    <row r="3655" spans="31:31" x14ac:dyDescent="0.25">
      <c r="AE3655">
        <v>67.95</v>
      </c>
    </row>
    <row r="3656" spans="31:31" x14ac:dyDescent="0.25">
      <c r="AE3656">
        <v>34.97</v>
      </c>
    </row>
    <row r="3657" spans="31:31" x14ac:dyDescent="0.25">
      <c r="AE3657">
        <v>50.81</v>
      </c>
    </row>
    <row r="3658" spans="31:31" x14ac:dyDescent="0.25">
      <c r="AE3658">
        <v>13.94</v>
      </c>
    </row>
    <row r="3659" spans="31:31" x14ac:dyDescent="0.25">
      <c r="AE3659">
        <v>9.65</v>
      </c>
    </row>
    <row r="3660" spans="31:31" x14ac:dyDescent="0.25">
      <c r="AE3660">
        <v>114.32</v>
      </c>
    </row>
    <row r="3661" spans="31:31" x14ac:dyDescent="0.25">
      <c r="AE3661">
        <v>21.62</v>
      </c>
    </row>
    <row r="3662" spans="31:31" x14ac:dyDescent="0.25">
      <c r="AE3662">
        <v>106.23</v>
      </c>
    </row>
    <row r="3663" spans="31:31" x14ac:dyDescent="0.25">
      <c r="AE3663">
        <v>118.12</v>
      </c>
    </row>
    <row r="3664" spans="31:31" x14ac:dyDescent="0.25">
      <c r="AE3664">
        <v>42.85</v>
      </c>
    </row>
    <row r="3665" spans="31:31" x14ac:dyDescent="0.25">
      <c r="AE3665">
        <v>37.18</v>
      </c>
    </row>
    <row r="3666" spans="31:31" x14ac:dyDescent="0.25">
      <c r="AE3666">
        <v>68.400000000000006</v>
      </c>
    </row>
    <row r="3667" spans="31:31" x14ac:dyDescent="0.25">
      <c r="AE3667">
        <v>10.69</v>
      </c>
    </row>
    <row r="3668" spans="31:31" x14ac:dyDescent="0.25">
      <c r="AE3668">
        <v>28.9</v>
      </c>
    </row>
    <row r="3669" spans="31:31" x14ac:dyDescent="0.25">
      <c r="AE3669">
        <v>37.71</v>
      </c>
    </row>
    <row r="3670" spans="31:31" x14ac:dyDescent="0.25">
      <c r="AE3670">
        <v>114.18</v>
      </c>
    </row>
    <row r="3671" spans="31:31" x14ac:dyDescent="0.25">
      <c r="AE3671">
        <v>56.5</v>
      </c>
    </row>
    <row r="3672" spans="31:31" x14ac:dyDescent="0.25">
      <c r="AE3672">
        <v>35.380000000000003</v>
      </c>
    </row>
    <row r="3673" spans="31:31" x14ac:dyDescent="0.25">
      <c r="AE3673">
        <v>41.39</v>
      </c>
    </row>
    <row r="3674" spans="31:31" x14ac:dyDescent="0.25">
      <c r="AE3674">
        <v>35.299999999999997</v>
      </c>
    </row>
    <row r="3675" spans="31:31" x14ac:dyDescent="0.25">
      <c r="AE3675">
        <v>0.27</v>
      </c>
    </row>
    <row r="3676" spans="31:31" x14ac:dyDescent="0.25">
      <c r="AE3676">
        <v>32.799999999999997</v>
      </c>
    </row>
    <row r="3677" spans="31:31" x14ac:dyDescent="0.25">
      <c r="AE3677">
        <v>74.680000000000007</v>
      </c>
    </row>
    <row r="3678" spans="31:31" x14ac:dyDescent="0.25">
      <c r="AE3678">
        <v>71.67</v>
      </c>
    </row>
    <row r="3679" spans="31:31" x14ac:dyDescent="0.25">
      <c r="AE3679">
        <v>23.21</v>
      </c>
    </row>
    <row r="3680" spans="31:31" x14ac:dyDescent="0.25">
      <c r="AE3680">
        <v>186.56</v>
      </c>
    </row>
    <row r="3681" spans="31:31" x14ac:dyDescent="0.25">
      <c r="AE3681">
        <v>85.06</v>
      </c>
    </row>
    <row r="3682" spans="31:31" x14ac:dyDescent="0.25">
      <c r="AE3682">
        <v>43.66</v>
      </c>
    </row>
    <row r="3683" spans="31:31" x14ac:dyDescent="0.25">
      <c r="AE3683">
        <v>22.46</v>
      </c>
    </row>
    <row r="3684" spans="31:31" x14ac:dyDescent="0.25">
      <c r="AE3684">
        <v>21.75</v>
      </c>
    </row>
    <row r="3685" spans="31:31" x14ac:dyDescent="0.25">
      <c r="AE3685">
        <v>97.78</v>
      </c>
    </row>
    <row r="3686" spans="31:31" x14ac:dyDescent="0.25">
      <c r="AE3686">
        <v>18.72</v>
      </c>
    </row>
    <row r="3687" spans="31:31" x14ac:dyDescent="0.25">
      <c r="AE3687">
        <v>23.81</v>
      </c>
    </row>
    <row r="3688" spans="31:31" x14ac:dyDescent="0.25">
      <c r="AE3688">
        <v>51.53</v>
      </c>
    </row>
    <row r="3689" spans="31:31" x14ac:dyDescent="0.25">
      <c r="AE3689">
        <v>18.190000000000001</v>
      </c>
    </row>
    <row r="3690" spans="31:31" x14ac:dyDescent="0.25">
      <c r="AE3690">
        <v>57.79</v>
      </c>
    </row>
    <row r="3691" spans="31:31" x14ac:dyDescent="0.25">
      <c r="AE3691">
        <v>61.68</v>
      </c>
    </row>
    <row r="3692" spans="31:31" x14ac:dyDescent="0.25">
      <c r="AE3692">
        <v>74.58</v>
      </c>
    </row>
    <row r="3693" spans="31:31" x14ac:dyDescent="0.25">
      <c r="AE3693">
        <v>125.8</v>
      </c>
    </row>
    <row r="3694" spans="31:31" x14ac:dyDescent="0.25">
      <c r="AE3694">
        <v>131.88999999999999</v>
      </c>
    </row>
    <row r="3695" spans="31:31" x14ac:dyDescent="0.25">
      <c r="AE3695">
        <v>10.039999999999999</v>
      </c>
    </row>
    <row r="3696" spans="31:31" x14ac:dyDescent="0.25">
      <c r="AE3696">
        <v>135.96</v>
      </c>
    </row>
    <row r="3697" spans="31:31" x14ac:dyDescent="0.25">
      <c r="AE3697">
        <v>71.010000000000005</v>
      </c>
    </row>
    <row r="3698" spans="31:31" x14ac:dyDescent="0.25">
      <c r="AE3698">
        <v>48.17</v>
      </c>
    </row>
    <row r="3699" spans="31:31" x14ac:dyDescent="0.25">
      <c r="AE3699">
        <v>22.02</v>
      </c>
    </row>
    <row r="3700" spans="31:31" x14ac:dyDescent="0.25">
      <c r="AE3700">
        <v>34.6</v>
      </c>
    </row>
    <row r="3701" spans="31:31" x14ac:dyDescent="0.25">
      <c r="AE3701">
        <v>26.38</v>
      </c>
    </row>
    <row r="3702" spans="31:31" x14ac:dyDescent="0.25">
      <c r="AE3702">
        <v>70.900000000000006</v>
      </c>
    </row>
    <row r="3703" spans="31:31" x14ac:dyDescent="0.25">
      <c r="AE3703">
        <v>41.84</v>
      </c>
    </row>
    <row r="3704" spans="31:31" x14ac:dyDescent="0.25">
      <c r="AE3704">
        <v>1.44</v>
      </c>
    </row>
    <row r="3705" spans="31:31" x14ac:dyDescent="0.25">
      <c r="AE3705">
        <v>15.63</v>
      </c>
    </row>
    <row r="3706" spans="31:31" x14ac:dyDescent="0.25">
      <c r="AE3706">
        <v>18.32</v>
      </c>
    </row>
    <row r="3707" spans="31:31" x14ac:dyDescent="0.25">
      <c r="AE3707">
        <v>24.78</v>
      </c>
    </row>
    <row r="3708" spans="31:31" x14ac:dyDescent="0.25">
      <c r="AE3708">
        <v>62.46</v>
      </c>
    </row>
    <row r="3709" spans="31:31" x14ac:dyDescent="0.25">
      <c r="AE3709">
        <v>48.93</v>
      </c>
    </row>
    <row r="3710" spans="31:31" x14ac:dyDescent="0.25">
      <c r="AE3710">
        <v>90.42</v>
      </c>
    </row>
    <row r="3711" spans="31:31" x14ac:dyDescent="0.25">
      <c r="AE3711">
        <v>54.62</v>
      </c>
    </row>
    <row r="3712" spans="31:31" x14ac:dyDescent="0.25">
      <c r="AE3712">
        <v>27.63</v>
      </c>
    </row>
    <row r="3713" spans="31:31" x14ac:dyDescent="0.25">
      <c r="AE3713">
        <v>119.61</v>
      </c>
    </row>
    <row r="3714" spans="31:31" x14ac:dyDescent="0.25">
      <c r="AE3714">
        <v>126.44</v>
      </c>
    </row>
    <row r="3715" spans="31:31" x14ac:dyDescent="0.25">
      <c r="AE3715">
        <v>39.49</v>
      </c>
    </row>
    <row r="3716" spans="31:31" x14ac:dyDescent="0.25">
      <c r="AE3716">
        <v>54.39</v>
      </c>
    </row>
    <row r="3717" spans="31:31" x14ac:dyDescent="0.25">
      <c r="AE3717">
        <v>13.3</v>
      </c>
    </row>
    <row r="3718" spans="31:31" x14ac:dyDescent="0.25">
      <c r="AE3718">
        <v>20.72</v>
      </c>
    </row>
    <row r="3719" spans="31:31" x14ac:dyDescent="0.25">
      <c r="AE3719">
        <v>24.95</v>
      </c>
    </row>
    <row r="3720" spans="31:31" x14ac:dyDescent="0.25">
      <c r="AE3720">
        <v>137.9</v>
      </c>
    </row>
    <row r="3721" spans="31:31" x14ac:dyDescent="0.25">
      <c r="AE3721">
        <v>34.94</v>
      </c>
    </row>
    <row r="3722" spans="31:31" x14ac:dyDescent="0.25">
      <c r="AE3722">
        <v>72.290000000000006</v>
      </c>
    </row>
    <row r="3723" spans="31:31" x14ac:dyDescent="0.25">
      <c r="AE3723">
        <v>65.13</v>
      </c>
    </row>
    <row r="3724" spans="31:31" x14ac:dyDescent="0.25">
      <c r="AE3724">
        <v>13.58</v>
      </c>
    </row>
    <row r="3725" spans="31:31" x14ac:dyDescent="0.25">
      <c r="AE3725">
        <v>143.1</v>
      </c>
    </row>
    <row r="3726" spans="31:31" x14ac:dyDescent="0.25">
      <c r="AE3726">
        <v>30.91</v>
      </c>
    </row>
    <row r="3727" spans="31:31" x14ac:dyDescent="0.25">
      <c r="AE3727">
        <v>11.47</v>
      </c>
    </row>
    <row r="3728" spans="31:31" x14ac:dyDescent="0.25">
      <c r="AE3728">
        <v>4.96</v>
      </c>
    </row>
    <row r="3729" spans="31:31" x14ac:dyDescent="0.25">
      <c r="AE3729">
        <v>52.31</v>
      </c>
    </row>
    <row r="3730" spans="31:31" x14ac:dyDescent="0.25">
      <c r="AE3730">
        <v>33.840000000000003</v>
      </c>
    </row>
    <row r="3731" spans="31:31" x14ac:dyDescent="0.25">
      <c r="AE3731">
        <v>7.99</v>
      </c>
    </row>
    <row r="3732" spans="31:31" x14ac:dyDescent="0.25">
      <c r="AE3732">
        <v>66.760000000000005</v>
      </c>
    </row>
    <row r="3733" spans="31:31" x14ac:dyDescent="0.25">
      <c r="AE3733">
        <v>27.96</v>
      </c>
    </row>
    <row r="3734" spans="31:31" x14ac:dyDescent="0.25">
      <c r="AE3734">
        <v>36.909999999999997</v>
      </c>
    </row>
    <row r="3735" spans="31:31" x14ac:dyDescent="0.25">
      <c r="AE3735">
        <v>44</v>
      </c>
    </row>
    <row r="3736" spans="31:31" x14ac:dyDescent="0.25">
      <c r="AE3736">
        <v>13.31</v>
      </c>
    </row>
    <row r="3737" spans="31:31" x14ac:dyDescent="0.25">
      <c r="AE3737">
        <v>47.52</v>
      </c>
    </row>
    <row r="3738" spans="31:31" x14ac:dyDescent="0.25">
      <c r="AE3738">
        <v>80.849999999999994</v>
      </c>
    </row>
    <row r="3739" spans="31:31" x14ac:dyDescent="0.25">
      <c r="AE3739">
        <v>152.68</v>
      </c>
    </row>
    <row r="3740" spans="31:31" x14ac:dyDescent="0.25">
      <c r="AE3740">
        <v>21.83</v>
      </c>
    </row>
    <row r="3741" spans="31:31" x14ac:dyDescent="0.25">
      <c r="AE3741">
        <v>19.079999999999998</v>
      </c>
    </row>
    <row r="3742" spans="31:31" x14ac:dyDescent="0.25">
      <c r="AE3742">
        <v>41.63</v>
      </c>
    </row>
    <row r="3743" spans="31:31" x14ac:dyDescent="0.25">
      <c r="AE3743">
        <v>170.51</v>
      </c>
    </row>
    <row r="3744" spans="31:31" x14ac:dyDescent="0.25">
      <c r="AE3744">
        <v>0.27</v>
      </c>
    </row>
    <row r="3745" spans="31:31" x14ac:dyDescent="0.25">
      <c r="AE3745">
        <v>62.15</v>
      </c>
    </row>
    <row r="3746" spans="31:31" x14ac:dyDescent="0.25">
      <c r="AE3746">
        <v>259.44</v>
      </c>
    </row>
    <row r="3747" spans="31:31" x14ac:dyDescent="0.25">
      <c r="AE3747">
        <v>95.69</v>
      </c>
    </row>
    <row r="3748" spans="31:31" x14ac:dyDescent="0.25">
      <c r="AE3748">
        <v>23.75</v>
      </c>
    </row>
    <row r="3749" spans="31:31" x14ac:dyDescent="0.25">
      <c r="AE3749">
        <v>57.19</v>
      </c>
    </row>
    <row r="3750" spans="31:31" x14ac:dyDescent="0.25">
      <c r="AE3750">
        <v>73.27</v>
      </c>
    </row>
    <row r="3751" spans="31:31" x14ac:dyDescent="0.25">
      <c r="AE3751">
        <v>41.17</v>
      </c>
    </row>
    <row r="3752" spans="31:31" x14ac:dyDescent="0.25">
      <c r="AE3752">
        <v>49.62</v>
      </c>
    </row>
    <row r="3753" spans="31:31" x14ac:dyDescent="0.25">
      <c r="AE3753">
        <v>85.64</v>
      </c>
    </row>
    <row r="3754" spans="31:31" x14ac:dyDescent="0.25">
      <c r="AE3754">
        <v>126.33</v>
      </c>
    </row>
    <row r="3755" spans="31:31" x14ac:dyDescent="0.25">
      <c r="AE3755">
        <v>66.5</v>
      </c>
    </row>
    <row r="3756" spans="31:31" x14ac:dyDescent="0.25">
      <c r="AE3756">
        <v>0</v>
      </c>
    </row>
    <row r="3757" spans="31:31" x14ac:dyDescent="0.25">
      <c r="AE3757">
        <v>93.64</v>
      </c>
    </row>
    <row r="3758" spans="31:31" x14ac:dyDescent="0.25">
      <c r="AE3758">
        <v>47.43</v>
      </c>
    </row>
    <row r="3759" spans="31:31" x14ac:dyDescent="0.25">
      <c r="AE3759">
        <v>34.17</v>
      </c>
    </row>
    <row r="3760" spans="31:31" x14ac:dyDescent="0.25">
      <c r="AE3760">
        <v>19.61</v>
      </c>
    </row>
    <row r="3761" spans="31:31" x14ac:dyDescent="0.25">
      <c r="AE3761">
        <v>63.7</v>
      </c>
    </row>
    <row r="3762" spans="31:31" x14ac:dyDescent="0.25">
      <c r="AE3762">
        <v>37.33</v>
      </c>
    </row>
    <row r="3763" spans="31:31" x14ac:dyDescent="0.25">
      <c r="AE3763">
        <v>18.010000000000002</v>
      </c>
    </row>
    <row r="3764" spans="31:31" x14ac:dyDescent="0.25">
      <c r="AE3764">
        <v>57.8</v>
      </c>
    </row>
    <row r="3765" spans="31:31" x14ac:dyDescent="0.25">
      <c r="AE3765">
        <v>0.81</v>
      </c>
    </row>
    <row r="3766" spans="31:31" x14ac:dyDescent="0.25">
      <c r="AE3766">
        <v>23.04</v>
      </c>
    </row>
    <row r="3767" spans="31:31" x14ac:dyDescent="0.25">
      <c r="AE3767">
        <v>125.7</v>
      </c>
    </row>
    <row r="3768" spans="31:31" x14ac:dyDescent="0.25">
      <c r="AE3768">
        <v>33.68</v>
      </c>
    </row>
    <row r="3769" spans="31:31" x14ac:dyDescent="0.25">
      <c r="AE3769">
        <v>20.61</v>
      </c>
    </row>
    <row r="3770" spans="31:31" x14ac:dyDescent="0.25">
      <c r="AE3770">
        <v>30.26</v>
      </c>
    </row>
    <row r="3771" spans="31:31" x14ac:dyDescent="0.25">
      <c r="AE3771">
        <v>0.09</v>
      </c>
    </row>
    <row r="3772" spans="31:31" x14ac:dyDescent="0.25">
      <c r="AE3772">
        <v>58.4</v>
      </c>
    </row>
    <row r="3773" spans="31:31" x14ac:dyDescent="0.25">
      <c r="AE3773">
        <v>110.34</v>
      </c>
    </row>
    <row r="3774" spans="31:31" x14ac:dyDescent="0.25">
      <c r="AE3774">
        <v>60.45</v>
      </c>
    </row>
    <row r="3775" spans="31:31" x14ac:dyDescent="0.25">
      <c r="AE3775">
        <v>0.9</v>
      </c>
    </row>
    <row r="3776" spans="31:31" x14ac:dyDescent="0.25">
      <c r="AE3776">
        <v>97.63</v>
      </c>
    </row>
    <row r="3777" spans="31:31" x14ac:dyDescent="0.25">
      <c r="AE3777">
        <v>160.76</v>
      </c>
    </row>
    <row r="3778" spans="31:31" x14ac:dyDescent="0.25">
      <c r="AE3778">
        <v>12.57</v>
      </c>
    </row>
    <row r="3779" spans="31:31" x14ac:dyDescent="0.25">
      <c r="AE3779">
        <v>26.44</v>
      </c>
    </row>
    <row r="3780" spans="31:31" x14ac:dyDescent="0.25">
      <c r="AE3780">
        <v>10.49</v>
      </c>
    </row>
    <row r="3781" spans="31:31" x14ac:dyDescent="0.25">
      <c r="AE3781">
        <v>275.08</v>
      </c>
    </row>
    <row r="3782" spans="31:31" x14ac:dyDescent="0.25">
      <c r="AE3782">
        <v>84.04</v>
      </c>
    </row>
    <row r="3783" spans="31:31" x14ac:dyDescent="0.25">
      <c r="AE3783">
        <v>83.78</v>
      </c>
    </row>
    <row r="3784" spans="31:31" x14ac:dyDescent="0.25">
      <c r="AE3784">
        <v>1.26</v>
      </c>
    </row>
    <row r="3785" spans="31:31" x14ac:dyDescent="0.25">
      <c r="AE3785">
        <v>152.63999999999999</v>
      </c>
    </row>
    <row r="3786" spans="31:31" x14ac:dyDescent="0.25">
      <c r="AE3786">
        <v>13.79</v>
      </c>
    </row>
    <row r="3787" spans="31:31" x14ac:dyDescent="0.25">
      <c r="AE3787">
        <v>30.68</v>
      </c>
    </row>
    <row r="3788" spans="31:31" x14ac:dyDescent="0.25">
      <c r="AE3788">
        <v>27.04</v>
      </c>
    </row>
    <row r="3789" spans="31:31" x14ac:dyDescent="0.25">
      <c r="AE3789">
        <v>47.36</v>
      </c>
    </row>
    <row r="3790" spans="31:31" x14ac:dyDescent="0.25">
      <c r="AE3790">
        <v>70.73</v>
      </c>
    </row>
    <row r="3791" spans="31:31" x14ac:dyDescent="0.25">
      <c r="AE3791">
        <v>31.82</v>
      </c>
    </row>
    <row r="3792" spans="31:31" x14ac:dyDescent="0.25">
      <c r="AE3792">
        <v>26.33</v>
      </c>
    </row>
    <row r="3793" spans="31:31" x14ac:dyDescent="0.25">
      <c r="AE3793">
        <v>58.28</v>
      </c>
    </row>
    <row r="3794" spans="31:31" x14ac:dyDescent="0.25">
      <c r="AE3794">
        <v>0.54</v>
      </c>
    </row>
    <row r="3795" spans="31:31" x14ac:dyDescent="0.25">
      <c r="AE3795">
        <v>24.52</v>
      </c>
    </row>
    <row r="3796" spans="31:31" x14ac:dyDescent="0.25">
      <c r="AE3796">
        <v>15.57</v>
      </c>
    </row>
    <row r="3797" spans="31:31" x14ac:dyDescent="0.25">
      <c r="AE3797">
        <v>36.42</v>
      </c>
    </row>
    <row r="3798" spans="31:31" x14ac:dyDescent="0.25">
      <c r="AE3798">
        <v>46.15</v>
      </c>
    </row>
    <row r="3799" spans="31:31" x14ac:dyDescent="0.25">
      <c r="AE3799">
        <v>18.63</v>
      </c>
    </row>
    <row r="3800" spans="31:31" x14ac:dyDescent="0.25">
      <c r="AE3800">
        <v>48.77</v>
      </c>
    </row>
    <row r="3801" spans="31:31" x14ac:dyDescent="0.25">
      <c r="AE3801">
        <v>49.96</v>
      </c>
    </row>
    <row r="3802" spans="31:31" x14ac:dyDescent="0.25">
      <c r="AE3802">
        <v>2.56</v>
      </c>
    </row>
    <row r="3803" spans="31:31" x14ac:dyDescent="0.25">
      <c r="AE3803">
        <v>78.099999999999994</v>
      </c>
    </row>
    <row r="3804" spans="31:31" x14ac:dyDescent="0.25">
      <c r="AE3804">
        <v>16.440000000000001</v>
      </c>
    </row>
    <row r="3805" spans="31:31" x14ac:dyDescent="0.25">
      <c r="AE3805">
        <v>29.37</v>
      </c>
    </row>
    <row r="3806" spans="31:31" x14ac:dyDescent="0.25">
      <c r="AE3806">
        <v>46.1</v>
      </c>
    </row>
    <row r="3807" spans="31:31" x14ac:dyDescent="0.25">
      <c r="AE3807">
        <v>51.58</v>
      </c>
    </row>
    <row r="3808" spans="31:31" x14ac:dyDescent="0.25">
      <c r="AE3808">
        <v>36.64</v>
      </c>
    </row>
    <row r="3809" spans="31:31" x14ac:dyDescent="0.25">
      <c r="AE3809">
        <v>0.36</v>
      </c>
    </row>
    <row r="3810" spans="31:31" x14ac:dyDescent="0.25">
      <c r="AE3810">
        <v>25.84</v>
      </c>
    </row>
    <row r="3811" spans="31:31" x14ac:dyDescent="0.25">
      <c r="AE3811">
        <v>17.91</v>
      </c>
    </row>
    <row r="3812" spans="31:31" x14ac:dyDescent="0.25">
      <c r="AE3812">
        <v>40.24</v>
      </c>
    </row>
    <row r="3813" spans="31:31" x14ac:dyDescent="0.25">
      <c r="AE3813">
        <v>60.28</v>
      </c>
    </row>
    <row r="3814" spans="31:31" x14ac:dyDescent="0.25">
      <c r="AE3814">
        <v>29.77</v>
      </c>
    </row>
    <row r="3815" spans="31:31" x14ac:dyDescent="0.25">
      <c r="AE3815">
        <v>7.45</v>
      </c>
    </row>
    <row r="3816" spans="31:31" x14ac:dyDescent="0.25">
      <c r="AE3816">
        <v>70.400000000000006</v>
      </c>
    </row>
    <row r="3817" spans="31:31" x14ac:dyDescent="0.25">
      <c r="AE3817">
        <v>176.06</v>
      </c>
    </row>
    <row r="3818" spans="31:31" x14ac:dyDescent="0.25">
      <c r="AE3818">
        <v>106.36</v>
      </c>
    </row>
    <row r="3819" spans="31:31" x14ac:dyDescent="0.25">
      <c r="AE3819">
        <v>0</v>
      </c>
    </row>
    <row r="3820" spans="31:31" x14ac:dyDescent="0.25">
      <c r="AE3820">
        <v>36.270000000000003</v>
      </c>
    </row>
    <row r="3821" spans="31:31" x14ac:dyDescent="0.25">
      <c r="AE3821">
        <v>85.57</v>
      </c>
    </row>
    <row r="3822" spans="31:31" x14ac:dyDescent="0.25">
      <c r="AE3822">
        <v>75.22</v>
      </c>
    </row>
    <row r="3823" spans="31:31" x14ac:dyDescent="0.25">
      <c r="AE3823">
        <v>71.73</v>
      </c>
    </row>
    <row r="3824" spans="31:31" x14ac:dyDescent="0.25">
      <c r="AE3824">
        <v>29.6</v>
      </c>
    </row>
    <row r="3825" spans="31:31" x14ac:dyDescent="0.25">
      <c r="AE3825">
        <v>15.78</v>
      </c>
    </row>
    <row r="3826" spans="31:31" x14ac:dyDescent="0.25">
      <c r="AE3826">
        <v>17.72</v>
      </c>
    </row>
    <row r="3827" spans="31:31" x14ac:dyDescent="0.25">
      <c r="AE3827">
        <v>54.79</v>
      </c>
    </row>
    <row r="3828" spans="31:31" x14ac:dyDescent="0.25">
      <c r="AE3828">
        <v>96.91</v>
      </c>
    </row>
    <row r="3829" spans="31:31" x14ac:dyDescent="0.25">
      <c r="AE3829">
        <v>2.4300000000000002</v>
      </c>
    </row>
    <row r="3830" spans="31:31" x14ac:dyDescent="0.25">
      <c r="AE3830">
        <v>14.72</v>
      </c>
    </row>
    <row r="3831" spans="31:31" x14ac:dyDescent="0.25">
      <c r="AE3831">
        <v>24.09</v>
      </c>
    </row>
    <row r="3832" spans="31:31" x14ac:dyDescent="0.25">
      <c r="AE3832">
        <v>0.18</v>
      </c>
    </row>
    <row r="3833" spans="31:31" x14ac:dyDescent="0.25">
      <c r="AE3833">
        <v>322.73</v>
      </c>
    </row>
    <row r="3834" spans="31:31" x14ac:dyDescent="0.25">
      <c r="AE3834">
        <v>160.66999999999999</v>
      </c>
    </row>
    <row r="3835" spans="31:31" x14ac:dyDescent="0.25">
      <c r="AE3835">
        <v>45.54</v>
      </c>
    </row>
    <row r="3836" spans="31:31" x14ac:dyDescent="0.25">
      <c r="AE3836">
        <v>17.63</v>
      </c>
    </row>
    <row r="3837" spans="31:31" x14ac:dyDescent="0.25">
      <c r="AE3837">
        <v>35.99</v>
      </c>
    </row>
    <row r="3838" spans="31:31" x14ac:dyDescent="0.25">
      <c r="AE3838">
        <v>47.77</v>
      </c>
    </row>
    <row r="3839" spans="31:31" x14ac:dyDescent="0.25">
      <c r="AE3839">
        <v>115.21</v>
      </c>
    </row>
    <row r="3840" spans="31:31" x14ac:dyDescent="0.25">
      <c r="AE3840">
        <v>57.32</v>
      </c>
    </row>
    <row r="3841" spans="31:31" x14ac:dyDescent="0.25">
      <c r="AE3841">
        <v>10.09</v>
      </c>
    </row>
    <row r="3842" spans="31:31" x14ac:dyDescent="0.25">
      <c r="AE3842">
        <v>14.97</v>
      </c>
    </row>
    <row r="3843" spans="31:31" x14ac:dyDescent="0.25">
      <c r="AE3843">
        <v>27.29</v>
      </c>
    </row>
    <row r="3844" spans="31:31" x14ac:dyDescent="0.25">
      <c r="AE3844">
        <v>56.71</v>
      </c>
    </row>
    <row r="3845" spans="31:31" x14ac:dyDescent="0.25">
      <c r="AE3845">
        <v>76.44</v>
      </c>
    </row>
    <row r="3846" spans="31:31" x14ac:dyDescent="0.25">
      <c r="AE3846">
        <v>29.11</v>
      </c>
    </row>
    <row r="3847" spans="31:31" x14ac:dyDescent="0.25">
      <c r="AE3847">
        <v>112.36</v>
      </c>
    </row>
    <row r="3848" spans="31:31" x14ac:dyDescent="0.25">
      <c r="AE3848">
        <v>85.44</v>
      </c>
    </row>
    <row r="3849" spans="31:31" x14ac:dyDescent="0.25">
      <c r="AE3849">
        <v>151.6</v>
      </c>
    </row>
    <row r="3850" spans="31:31" x14ac:dyDescent="0.25">
      <c r="AE3850">
        <v>24.24</v>
      </c>
    </row>
    <row r="3851" spans="31:31" x14ac:dyDescent="0.25">
      <c r="AE3851">
        <v>23.58</v>
      </c>
    </row>
    <row r="3852" spans="31:31" x14ac:dyDescent="0.25">
      <c r="AE3852">
        <v>38.04</v>
      </c>
    </row>
    <row r="3853" spans="31:31" x14ac:dyDescent="0.25">
      <c r="AE3853">
        <v>27.99</v>
      </c>
    </row>
    <row r="3854" spans="31:31" x14ac:dyDescent="0.25">
      <c r="AE3854">
        <v>78.75</v>
      </c>
    </row>
    <row r="3855" spans="31:31" x14ac:dyDescent="0.25">
      <c r="AE3855">
        <v>29.61</v>
      </c>
    </row>
    <row r="3856" spans="31:31" x14ac:dyDescent="0.25">
      <c r="AE3856">
        <v>131.9</v>
      </c>
    </row>
    <row r="3857" spans="31:31" x14ac:dyDescent="0.25">
      <c r="AE3857">
        <v>23.44</v>
      </c>
    </row>
    <row r="3858" spans="31:31" x14ac:dyDescent="0.25">
      <c r="AE3858">
        <v>70.099999999999994</v>
      </c>
    </row>
    <row r="3859" spans="31:31" x14ac:dyDescent="0.25">
      <c r="AE3859">
        <v>36.630000000000003</v>
      </c>
    </row>
    <row r="3860" spans="31:31" x14ac:dyDescent="0.25">
      <c r="AE3860">
        <v>146.66</v>
      </c>
    </row>
    <row r="3861" spans="31:31" x14ac:dyDescent="0.25">
      <c r="AE3861">
        <v>42.49</v>
      </c>
    </row>
    <row r="3862" spans="31:31" x14ac:dyDescent="0.25">
      <c r="AE3862">
        <v>10.44</v>
      </c>
    </row>
    <row r="3863" spans="31:31" x14ac:dyDescent="0.25">
      <c r="AE3863">
        <v>225.74</v>
      </c>
    </row>
    <row r="3864" spans="31:31" x14ac:dyDescent="0.25">
      <c r="AE3864">
        <v>145.27000000000001</v>
      </c>
    </row>
    <row r="3865" spans="31:31" x14ac:dyDescent="0.25">
      <c r="AE3865">
        <v>17.11</v>
      </c>
    </row>
    <row r="3866" spans="31:31" x14ac:dyDescent="0.25">
      <c r="AE3866">
        <v>2.2599999999999998</v>
      </c>
    </row>
    <row r="3867" spans="31:31" x14ac:dyDescent="0.25">
      <c r="AE3867">
        <v>0.99</v>
      </c>
    </row>
    <row r="3868" spans="31:31" x14ac:dyDescent="0.25">
      <c r="AE3868">
        <v>100.13</v>
      </c>
    </row>
    <row r="3869" spans="31:31" x14ac:dyDescent="0.25">
      <c r="AE3869">
        <v>38.380000000000003</v>
      </c>
    </row>
    <row r="3870" spans="31:31" x14ac:dyDescent="0.25">
      <c r="AE3870">
        <v>18.47</v>
      </c>
    </row>
    <row r="3871" spans="31:31" x14ac:dyDescent="0.25">
      <c r="AE3871">
        <v>19.309999999999999</v>
      </c>
    </row>
    <row r="3872" spans="31:31" x14ac:dyDescent="0.25">
      <c r="AE3872">
        <v>50.32</v>
      </c>
    </row>
    <row r="3873" spans="31:31" x14ac:dyDescent="0.25">
      <c r="AE3873">
        <v>9.01</v>
      </c>
    </row>
    <row r="3874" spans="31:31" x14ac:dyDescent="0.25">
      <c r="AE3874">
        <v>11.88</v>
      </c>
    </row>
    <row r="3875" spans="31:31" x14ac:dyDescent="0.25">
      <c r="AE3875">
        <v>43.54</v>
      </c>
    </row>
    <row r="3876" spans="31:31" x14ac:dyDescent="0.25">
      <c r="AE3876">
        <v>18.03</v>
      </c>
    </row>
    <row r="3877" spans="31:31" x14ac:dyDescent="0.25">
      <c r="AE3877">
        <v>190.14</v>
      </c>
    </row>
    <row r="3878" spans="31:31" x14ac:dyDescent="0.25">
      <c r="AE3878">
        <v>106.42</v>
      </c>
    </row>
    <row r="3879" spans="31:31" x14ac:dyDescent="0.25">
      <c r="AE3879">
        <v>53.03</v>
      </c>
    </row>
    <row r="3880" spans="31:31" x14ac:dyDescent="0.25">
      <c r="AE3880">
        <v>98.04</v>
      </c>
    </row>
    <row r="3881" spans="31:31" x14ac:dyDescent="0.25">
      <c r="AE3881">
        <v>67.55</v>
      </c>
    </row>
    <row r="3882" spans="31:31" x14ac:dyDescent="0.25">
      <c r="AE3882">
        <v>157.88</v>
      </c>
    </row>
    <row r="3883" spans="31:31" x14ac:dyDescent="0.25">
      <c r="AE3883">
        <v>0</v>
      </c>
    </row>
    <row r="3884" spans="31:31" x14ac:dyDescent="0.25">
      <c r="AE3884">
        <v>66.900000000000006</v>
      </c>
    </row>
    <row r="3885" spans="31:31" x14ac:dyDescent="0.25">
      <c r="AE3885">
        <v>31.12</v>
      </c>
    </row>
    <row r="3886" spans="31:31" x14ac:dyDescent="0.25">
      <c r="AE3886">
        <v>119.44</v>
      </c>
    </row>
    <row r="3887" spans="31:31" x14ac:dyDescent="0.25">
      <c r="AE3887">
        <v>27.02</v>
      </c>
    </row>
    <row r="3888" spans="31:31" x14ac:dyDescent="0.25">
      <c r="AE3888">
        <v>8.6199999999999992</v>
      </c>
    </row>
    <row r="3889" spans="31:31" x14ac:dyDescent="0.25">
      <c r="AE3889">
        <v>40.619999999999997</v>
      </c>
    </row>
    <row r="3890" spans="31:31" x14ac:dyDescent="0.25">
      <c r="AE3890">
        <v>130.86000000000001</v>
      </c>
    </row>
    <row r="3891" spans="31:31" x14ac:dyDescent="0.25">
      <c r="AE3891">
        <v>10.220000000000001</v>
      </c>
    </row>
    <row r="3892" spans="31:31" x14ac:dyDescent="0.25">
      <c r="AE3892">
        <v>69.760000000000005</v>
      </c>
    </row>
    <row r="3893" spans="31:31" x14ac:dyDescent="0.25">
      <c r="AE3893">
        <v>0.45</v>
      </c>
    </row>
    <row r="3894" spans="31:31" x14ac:dyDescent="0.25">
      <c r="AE3894">
        <v>337.61</v>
      </c>
    </row>
    <row r="3895" spans="31:31" x14ac:dyDescent="0.25">
      <c r="AE3895">
        <v>27.23</v>
      </c>
    </row>
    <row r="3896" spans="31:31" x14ac:dyDescent="0.25">
      <c r="AE3896">
        <v>25</v>
      </c>
    </row>
    <row r="3897" spans="31:31" x14ac:dyDescent="0.25">
      <c r="AE3897">
        <v>93.47</v>
      </c>
    </row>
    <row r="3898" spans="31:31" x14ac:dyDescent="0.25">
      <c r="AE3898">
        <v>68.069999999999993</v>
      </c>
    </row>
    <row r="3899" spans="31:31" x14ac:dyDescent="0.25">
      <c r="AE3899">
        <v>0.27</v>
      </c>
    </row>
    <row r="3900" spans="31:31" x14ac:dyDescent="0.25">
      <c r="AE3900">
        <v>0.27</v>
      </c>
    </row>
    <row r="3901" spans="31:31" x14ac:dyDescent="0.25">
      <c r="AE3901">
        <v>64.94</v>
      </c>
    </row>
    <row r="3902" spans="31:31" x14ac:dyDescent="0.25">
      <c r="AE3902">
        <v>9.2799999999999994</v>
      </c>
    </row>
    <row r="3903" spans="31:31" x14ac:dyDescent="0.25">
      <c r="AE3903">
        <v>156.56</v>
      </c>
    </row>
    <row r="3904" spans="31:31" x14ac:dyDescent="0.25">
      <c r="AE3904">
        <v>18.97</v>
      </c>
    </row>
    <row r="3905" spans="31:31" x14ac:dyDescent="0.25">
      <c r="AE3905">
        <v>117.82</v>
      </c>
    </row>
    <row r="3906" spans="31:31" x14ac:dyDescent="0.25">
      <c r="AE3906">
        <v>10.43</v>
      </c>
    </row>
    <row r="3907" spans="31:31" x14ac:dyDescent="0.25">
      <c r="AE3907">
        <v>39.15</v>
      </c>
    </row>
    <row r="3908" spans="31:31" x14ac:dyDescent="0.25">
      <c r="AE3908">
        <v>57.96</v>
      </c>
    </row>
    <row r="3909" spans="31:31" x14ac:dyDescent="0.25">
      <c r="AE3909">
        <v>19.510000000000002</v>
      </c>
    </row>
    <row r="3910" spans="31:31" x14ac:dyDescent="0.25">
      <c r="AE3910">
        <v>45.01</v>
      </c>
    </row>
    <row r="3911" spans="31:31" x14ac:dyDescent="0.25">
      <c r="AE3911">
        <v>103.62</v>
      </c>
    </row>
    <row r="3912" spans="31:31" x14ac:dyDescent="0.25">
      <c r="AE3912">
        <v>80.98</v>
      </c>
    </row>
    <row r="3913" spans="31:31" x14ac:dyDescent="0.25">
      <c r="AE3913">
        <v>17.690000000000001</v>
      </c>
    </row>
    <row r="3914" spans="31:31" x14ac:dyDescent="0.25">
      <c r="AE3914">
        <v>15.4</v>
      </c>
    </row>
    <row r="3915" spans="31:31" x14ac:dyDescent="0.25">
      <c r="AE3915">
        <v>152.57</v>
      </c>
    </row>
    <row r="3916" spans="31:31" x14ac:dyDescent="0.25">
      <c r="AE3916">
        <v>11.75</v>
      </c>
    </row>
    <row r="3917" spans="31:31" x14ac:dyDescent="0.25">
      <c r="AE3917">
        <v>158.36000000000001</v>
      </c>
    </row>
    <row r="3918" spans="31:31" x14ac:dyDescent="0.25">
      <c r="AE3918">
        <v>97.11</v>
      </c>
    </row>
    <row r="3919" spans="31:31" x14ac:dyDescent="0.25">
      <c r="AE3919">
        <v>83.89</v>
      </c>
    </row>
    <row r="3920" spans="31:31" x14ac:dyDescent="0.25">
      <c r="AE3920">
        <v>58.58</v>
      </c>
    </row>
    <row r="3921" spans="31:31" x14ac:dyDescent="0.25">
      <c r="AE3921">
        <v>77.819999999999993</v>
      </c>
    </row>
    <row r="3922" spans="31:31" x14ac:dyDescent="0.25">
      <c r="AE3922">
        <v>32.74</v>
      </c>
    </row>
    <row r="3923" spans="31:31" x14ac:dyDescent="0.25">
      <c r="AE3923">
        <v>224.17</v>
      </c>
    </row>
    <row r="3924" spans="31:31" x14ac:dyDescent="0.25">
      <c r="AE3924">
        <v>21.55</v>
      </c>
    </row>
    <row r="3925" spans="31:31" x14ac:dyDescent="0.25">
      <c r="AE3925">
        <v>70.069999999999993</v>
      </c>
    </row>
    <row r="3926" spans="31:31" x14ac:dyDescent="0.25">
      <c r="AE3926">
        <v>27.5</v>
      </c>
    </row>
    <row r="3927" spans="31:31" x14ac:dyDescent="0.25">
      <c r="AE3927">
        <v>35.22</v>
      </c>
    </row>
    <row r="3928" spans="31:31" x14ac:dyDescent="0.25">
      <c r="AE3928">
        <v>42.89</v>
      </c>
    </row>
    <row r="3929" spans="31:31" x14ac:dyDescent="0.25">
      <c r="AE3929">
        <v>15.47</v>
      </c>
    </row>
    <row r="3930" spans="31:31" x14ac:dyDescent="0.25">
      <c r="AE3930">
        <v>44.3</v>
      </c>
    </row>
    <row r="3931" spans="31:31" x14ac:dyDescent="0.25">
      <c r="AE3931">
        <v>134.93</v>
      </c>
    </row>
    <row r="3932" spans="31:31" x14ac:dyDescent="0.25">
      <c r="AE3932">
        <v>28.44</v>
      </c>
    </row>
    <row r="3933" spans="31:31" x14ac:dyDescent="0.25">
      <c r="AE3933">
        <v>17.940000000000001</v>
      </c>
    </row>
    <row r="3934" spans="31:31" x14ac:dyDescent="0.25">
      <c r="AE3934">
        <v>81.84</v>
      </c>
    </row>
    <row r="3935" spans="31:31" x14ac:dyDescent="0.25">
      <c r="AE3935">
        <v>24.17</v>
      </c>
    </row>
    <row r="3936" spans="31:31" x14ac:dyDescent="0.25">
      <c r="AE3936">
        <v>53.21</v>
      </c>
    </row>
    <row r="3937" spans="31:31" x14ac:dyDescent="0.25">
      <c r="AE3937">
        <v>66.36</v>
      </c>
    </row>
    <row r="3938" spans="31:31" x14ac:dyDescent="0.25">
      <c r="AE3938">
        <v>10.09</v>
      </c>
    </row>
    <row r="3939" spans="31:31" x14ac:dyDescent="0.25">
      <c r="AE3939">
        <v>70.64</v>
      </c>
    </row>
    <row r="3940" spans="31:31" x14ac:dyDescent="0.25">
      <c r="AE3940">
        <v>30.7</v>
      </c>
    </row>
    <row r="3941" spans="31:31" x14ac:dyDescent="0.25">
      <c r="AE3941">
        <v>47.69</v>
      </c>
    </row>
    <row r="3942" spans="31:31" x14ac:dyDescent="0.25">
      <c r="AE3942">
        <v>63.92</v>
      </c>
    </row>
    <row r="3943" spans="31:31" x14ac:dyDescent="0.25">
      <c r="AE3943">
        <v>60.45</v>
      </c>
    </row>
    <row r="3944" spans="31:31" x14ac:dyDescent="0.25">
      <c r="AE3944">
        <v>26.54</v>
      </c>
    </row>
    <row r="3945" spans="31:31" x14ac:dyDescent="0.25">
      <c r="AE3945">
        <v>51.95</v>
      </c>
    </row>
    <row r="3946" spans="31:31" x14ac:dyDescent="0.25">
      <c r="AE3946">
        <v>134.68</v>
      </c>
    </row>
    <row r="3947" spans="31:31" x14ac:dyDescent="0.25">
      <c r="AE3947">
        <v>45.87</v>
      </c>
    </row>
    <row r="3948" spans="31:31" x14ac:dyDescent="0.25">
      <c r="AE3948">
        <v>59.4</v>
      </c>
    </row>
    <row r="3949" spans="31:31" x14ac:dyDescent="0.25">
      <c r="AE3949">
        <v>65</v>
      </c>
    </row>
    <row r="3950" spans="31:31" x14ac:dyDescent="0.25">
      <c r="AE3950">
        <v>47.53</v>
      </c>
    </row>
    <row r="3951" spans="31:31" x14ac:dyDescent="0.25">
      <c r="AE3951">
        <v>3.2</v>
      </c>
    </row>
    <row r="3952" spans="31:31" x14ac:dyDescent="0.25">
      <c r="AE3952">
        <v>21.61</v>
      </c>
    </row>
    <row r="3953" spans="31:31" x14ac:dyDescent="0.25">
      <c r="AE3953">
        <v>45.71</v>
      </c>
    </row>
    <row r="3954" spans="31:31" x14ac:dyDescent="0.25">
      <c r="AE3954">
        <v>2.35</v>
      </c>
    </row>
    <row r="3955" spans="31:31" x14ac:dyDescent="0.25">
      <c r="AE3955">
        <v>65.849999999999994</v>
      </c>
    </row>
    <row r="3956" spans="31:31" x14ac:dyDescent="0.25">
      <c r="AE3956">
        <v>37.54</v>
      </c>
    </row>
    <row r="3957" spans="31:31" x14ac:dyDescent="0.25">
      <c r="AE3957">
        <v>22.87</v>
      </c>
    </row>
    <row r="3958" spans="31:31" x14ac:dyDescent="0.25">
      <c r="AE3958">
        <v>153.55000000000001</v>
      </c>
    </row>
    <row r="3959" spans="31:31" x14ac:dyDescent="0.25">
      <c r="AE3959">
        <v>21.1</v>
      </c>
    </row>
    <row r="3960" spans="31:31" x14ac:dyDescent="0.25">
      <c r="AE3960">
        <v>156.72999999999999</v>
      </c>
    </row>
    <row r="3961" spans="31:31" x14ac:dyDescent="0.25">
      <c r="AE3961">
        <v>127.1</v>
      </c>
    </row>
    <row r="3962" spans="31:31" x14ac:dyDescent="0.25">
      <c r="AE3962">
        <v>50.52</v>
      </c>
    </row>
    <row r="3963" spans="31:31" x14ac:dyDescent="0.25">
      <c r="AE3963">
        <v>199.32</v>
      </c>
    </row>
    <row r="3964" spans="31:31" x14ac:dyDescent="0.25">
      <c r="AE3964">
        <v>67.75</v>
      </c>
    </row>
    <row r="3965" spans="31:31" x14ac:dyDescent="0.25">
      <c r="AE3965">
        <v>22.87</v>
      </c>
    </row>
    <row r="3966" spans="31:31" x14ac:dyDescent="0.25">
      <c r="AE3966">
        <v>46.22</v>
      </c>
    </row>
    <row r="3967" spans="31:31" x14ac:dyDescent="0.25">
      <c r="AE3967">
        <v>108.14</v>
      </c>
    </row>
    <row r="3968" spans="31:31" x14ac:dyDescent="0.25">
      <c r="AE3968">
        <v>27.02</v>
      </c>
    </row>
    <row r="3969" spans="31:31" x14ac:dyDescent="0.25">
      <c r="AE3969">
        <v>139.25</v>
      </c>
    </row>
    <row r="3970" spans="31:31" x14ac:dyDescent="0.25">
      <c r="AE3970">
        <v>18.309999999999999</v>
      </c>
    </row>
    <row r="3971" spans="31:31" x14ac:dyDescent="0.25">
      <c r="AE3971">
        <v>50.43</v>
      </c>
    </row>
    <row r="3972" spans="31:31" x14ac:dyDescent="0.25">
      <c r="AE3972">
        <v>33.81</v>
      </c>
    </row>
    <row r="3973" spans="31:31" x14ac:dyDescent="0.25">
      <c r="AE3973">
        <v>98.67</v>
      </c>
    </row>
    <row r="3974" spans="31:31" x14ac:dyDescent="0.25">
      <c r="AE3974">
        <v>48.52</v>
      </c>
    </row>
    <row r="3975" spans="31:31" x14ac:dyDescent="0.25">
      <c r="AE3975">
        <v>144.77000000000001</v>
      </c>
    </row>
    <row r="3976" spans="31:31" x14ac:dyDescent="0.25">
      <c r="AE3976">
        <v>167.48</v>
      </c>
    </row>
    <row r="3977" spans="31:31" x14ac:dyDescent="0.25">
      <c r="AE3977">
        <v>77.75</v>
      </c>
    </row>
    <row r="3978" spans="31:31" x14ac:dyDescent="0.25">
      <c r="AE3978">
        <v>22.67</v>
      </c>
    </row>
    <row r="3979" spans="31:31" x14ac:dyDescent="0.25">
      <c r="AE3979">
        <v>64.7</v>
      </c>
    </row>
    <row r="3980" spans="31:31" x14ac:dyDescent="0.25">
      <c r="AE3980">
        <v>130.28</v>
      </c>
    </row>
    <row r="3981" spans="31:31" x14ac:dyDescent="0.25">
      <c r="AE3981">
        <v>28.47</v>
      </c>
    </row>
    <row r="3982" spans="31:31" x14ac:dyDescent="0.25">
      <c r="AE3982">
        <v>37.32</v>
      </c>
    </row>
    <row r="3983" spans="31:31" x14ac:dyDescent="0.25">
      <c r="AE3983">
        <v>77.819999999999993</v>
      </c>
    </row>
    <row r="3984" spans="31:31" x14ac:dyDescent="0.25">
      <c r="AE3984">
        <v>23.25</v>
      </c>
    </row>
    <row r="3985" spans="31:31" x14ac:dyDescent="0.25">
      <c r="AE3985">
        <v>12.11</v>
      </c>
    </row>
    <row r="3986" spans="31:31" x14ac:dyDescent="0.25">
      <c r="AE3986">
        <v>0.09</v>
      </c>
    </row>
    <row r="3987" spans="31:31" x14ac:dyDescent="0.25">
      <c r="AE3987">
        <v>88.19</v>
      </c>
    </row>
    <row r="3988" spans="31:31" x14ac:dyDescent="0.25">
      <c r="AE3988">
        <v>28.82</v>
      </c>
    </row>
    <row r="3989" spans="31:31" x14ac:dyDescent="0.25">
      <c r="AE3989">
        <v>48.34</v>
      </c>
    </row>
    <row r="3990" spans="31:31" x14ac:dyDescent="0.25">
      <c r="AE3990">
        <v>16.96</v>
      </c>
    </row>
    <row r="3991" spans="31:31" x14ac:dyDescent="0.25">
      <c r="AE3991">
        <v>0.63</v>
      </c>
    </row>
    <row r="3992" spans="31:31" x14ac:dyDescent="0.25">
      <c r="AE3992">
        <v>53.32</v>
      </c>
    </row>
    <row r="3993" spans="31:31" x14ac:dyDescent="0.25">
      <c r="AE3993">
        <v>32.68</v>
      </c>
    </row>
    <row r="3994" spans="31:31" x14ac:dyDescent="0.25">
      <c r="AE3994">
        <v>9.9499999999999993</v>
      </c>
    </row>
    <row r="3995" spans="31:31" x14ac:dyDescent="0.25">
      <c r="AE3995">
        <v>49.68</v>
      </c>
    </row>
    <row r="3996" spans="31:31" x14ac:dyDescent="0.25">
      <c r="AE3996">
        <v>8.1300000000000008</v>
      </c>
    </row>
    <row r="3997" spans="31:31" x14ac:dyDescent="0.25">
      <c r="AE3997">
        <v>34.049999999999997</v>
      </c>
    </row>
    <row r="3998" spans="31:31" x14ac:dyDescent="0.25">
      <c r="AE3998">
        <v>96.4</v>
      </c>
    </row>
    <row r="3999" spans="31:31" x14ac:dyDescent="0.25">
      <c r="AE3999">
        <v>53.6</v>
      </c>
    </row>
    <row r="4000" spans="31:31" x14ac:dyDescent="0.25">
      <c r="AE4000">
        <v>231.28</v>
      </c>
    </row>
    <row r="4001" spans="31:31" x14ac:dyDescent="0.25">
      <c r="AE4001">
        <v>341.92</v>
      </c>
    </row>
    <row r="4002" spans="31:31" x14ac:dyDescent="0.25">
      <c r="AE4002">
        <v>12.33</v>
      </c>
    </row>
    <row r="4003" spans="31:31" x14ac:dyDescent="0.25">
      <c r="AE4003">
        <v>16.78</v>
      </c>
    </row>
    <row r="4004" spans="31:31" x14ac:dyDescent="0.25">
      <c r="AE4004">
        <v>42.99</v>
      </c>
    </row>
    <row r="4005" spans="31:31" x14ac:dyDescent="0.25">
      <c r="AE4005">
        <v>84.74</v>
      </c>
    </row>
    <row r="4006" spans="31:31" x14ac:dyDescent="0.25">
      <c r="AE4006">
        <v>10.09</v>
      </c>
    </row>
    <row r="4007" spans="31:31" x14ac:dyDescent="0.25">
      <c r="AE4007">
        <v>29.56</v>
      </c>
    </row>
    <row r="4008" spans="31:31" x14ac:dyDescent="0.25">
      <c r="AE4008">
        <v>96.95</v>
      </c>
    </row>
    <row r="4009" spans="31:31" x14ac:dyDescent="0.25">
      <c r="AE4009">
        <v>41.54</v>
      </c>
    </row>
    <row r="4010" spans="31:31" x14ac:dyDescent="0.25">
      <c r="AE4010">
        <v>12.18</v>
      </c>
    </row>
    <row r="4011" spans="31:31" x14ac:dyDescent="0.25">
      <c r="AE4011">
        <v>68.34</v>
      </c>
    </row>
    <row r="4012" spans="31:31" x14ac:dyDescent="0.25">
      <c r="AE4012">
        <v>89.77</v>
      </c>
    </row>
    <row r="4013" spans="31:31" x14ac:dyDescent="0.25">
      <c r="AE4013">
        <v>31.58</v>
      </c>
    </row>
    <row r="4014" spans="31:31" x14ac:dyDescent="0.25">
      <c r="AE4014">
        <v>24.1</v>
      </c>
    </row>
    <row r="4015" spans="31:31" x14ac:dyDescent="0.25">
      <c r="AE4015">
        <v>19.91</v>
      </c>
    </row>
    <row r="4016" spans="31:31" x14ac:dyDescent="0.25">
      <c r="AE4016">
        <v>18.61</v>
      </c>
    </row>
    <row r="4017" spans="31:31" x14ac:dyDescent="0.25">
      <c r="AE4017">
        <v>67.099999999999994</v>
      </c>
    </row>
    <row r="4018" spans="31:31" x14ac:dyDescent="0.25">
      <c r="AE4018">
        <v>39.68</v>
      </c>
    </row>
    <row r="4019" spans="31:31" x14ac:dyDescent="0.25">
      <c r="AE4019">
        <v>18.03</v>
      </c>
    </row>
    <row r="4020" spans="31:31" x14ac:dyDescent="0.25">
      <c r="AE4020">
        <v>70.22</v>
      </c>
    </row>
    <row r="4021" spans="31:31" x14ac:dyDescent="0.25">
      <c r="AE4021">
        <v>16.989999999999998</v>
      </c>
    </row>
    <row r="4022" spans="31:31" x14ac:dyDescent="0.25">
      <c r="AE4022">
        <v>57.46</v>
      </c>
    </row>
    <row r="4023" spans="31:31" x14ac:dyDescent="0.25">
      <c r="AE4023">
        <v>53.43</v>
      </c>
    </row>
    <row r="4024" spans="31:31" x14ac:dyDescent="0.25">
      <c r="AE4024">
        <v>0.36</v>
      </c>
    </row>
    <row r="4025" spans="31:31" x14ac:dyDescent="0.25">
      <c r="AE4025">
        <v>104.73</v>
      </c>
    </row>
    <row r="4026" spans="31:31" x14ac:dyDescent="0.25">
      <c r="AE4026">
        <v>82.88</v>
      </c>
    </row>
    <row r="4027" spans="31:31" x14ac:dyDescent="0.25">
      <c r="AE4027">
        <v>13.4</v>
      </c>
    </row>
    <row r="4028" spans="31:31" x14ac:dyDescent="0.25">
      <c r="AE4028">
        <v>40.020000000000003</v>
      </c>
    </row>
    <row r="4029" spans="31:31" x14ac:dyDescent="0.25">
      <c r="AE4029">
        <v>21.15</v>
      </c>
    </row>
    <row r="4030" spans="31:31" x14ac:dyDescent="0.25">
      <c r="AE4030">
        <v>17.25</v>
      </c>
    </row>
    <row r="4031" spans="31:31" x14ac:dyDescent="0.25">
      <c r="AE4031">
        <v>54.1</v>
      </c>
    </row>
    <row r="4032" spans="31:31" x14ac:dyDescent="0.25">
      <c r="AE4032">
        <v>82.95</v>
      </c>
    </row>
    <row r="4033" spans="31:31" x14ac:dyDescent="0.25">
      <c r="AE4033">
        <v>110.01</v>
      </c>
    </row>
    <row r="4034" spans="31:31" x14ac:dyDescent="0.25">
      <c r="AE4034">
        <v>46.5</v>
      </c>
    </row>
    <row r="4035" spans="31:31" x14ac:dyDescent="0.25">
      <c r="AE4035">
        <v>58.43</v>
      </c>
    </row>
    <row r="4036" spans="31:31" x14ac:dyDescent="0.25">
      <c r="AE4036">
        <v>57.02</v>
      </c>
    </row>
    <row r="4037" spans="31:31" x14ac:dyDescent="0.25">
      <c r="AE4037">
        <v>47.08</v>
      </c>
    </row>
    <row r="4038" spans="31:31" x14ac:dyDescent="0.25">
      <c r="AE4038">
        <v>20.27</v>
      </c>
    </row>
    <row r="4039" spans="31:31" x14ac:dyDescent="0.25">
      <c r="AE4039">
        <v>10.29</v>
      </c>
    </row>
    <row r="4040" spans="31:31" x14ac:dyDescent="0.25">
      <c r="AE4040">
        <v>124.17</v>
      </c>
    </row>
    <row r="4041" spans="31:31" x14ac:dyDescent="0.25">
      <c r="AE4041">
        <v>19.989999999999998</v>
      </c>
    </row>
    <row r="4042" spans="31:31" x14ac:dyDescent="0.25">
      <c r="AE4042">
        <v>42.38</v>
      </c>
    </row>
    <row r="4043" spans="31:31" x14ac:dyDescent="0.25">
      <c r="AE4043">
        <v>107.47</v>
      </c>
    </row>
    <row r="4044" spans="31:31" x14ac:dyDescent="0.25">
      <c r="AE4044">
        <v>14.17</v>
      </c>
    </row>
    <row r="4045" spans="31:31" x14ac:dyDescent="0.25">
      <c r="AE4045">
        <v>21.18</v>
      </c>
    </row>
    <row r="4046" spans="31:31" x14ac:dyDescent="0.25">
      <c r="AE4046">
        <v>156.97</v>
      </c>
    </row>
    <row r="4047" spans="31:31" x14ac:dyDescent="0.25">
      <c r="AE4047">
        <v>23.2</v>
      </c>
    </row>
    <row r="4048" spans="31:31" x14ac:dyDescent="0.25">
      <c r="AE4048">
        <v>0</v>
      </c>
    </row>
    <row r="4049" spans="31:31" x14ac:dyDescent="0.25">
      <c r="AE4049">
        <v>55.4</v>
      </c>
    </row>
    <row r="4050" spans="31:31" x14ac:dyDescent="0.25">
      <c r="AE4050">
        <v>52.43</v>
      </c>
    </row>
    <row r="4051" spans="31:31" x14ac:dyDescent="0.25">
      <c r="AE4051">
        <v>19.170000000000002</v>
      </c>
    </row>
    <row r="4052" spans="31:31" x14ac:dyDescent="0.25">
      <c r="AE4052">
        <v>82.6</v>
      </c>
    </row>
    <row r="4053" spans="31:31" x14ac:dyDescent="0.25">
      <c r="AE4053">
        <v>32.200000000000003</v>
      </c>
    </row>
    <row r="4054" spans="31:31" x14ac:dyDescent="0.25">
      <c r="AE4054">
        <v>28.29</v>
      </c>
    </row>
    <row r="4055" spans="31:31" x14ac:dyDescent="0.25">
      <c r="AE4055">
        <v>11.99</v>
      </c>
    </row>
    <row r="4056" spans="31:31" x14ac:dyDescent="0.25">
      <c r="AE4056">
        <v>77.97</v>
      </c>
    </row>
    <row r="4057" spans="31:31" x14ac:dyDescent="0.25">
      <c r="AE4057">
        <v>43.72</v>
      </c>
    </row>
    <row r="4058" spans="31:31" x14ac:dyDescent="0.25">
      <c r="AE4058">
        <v>49.61</v>
      </c>
    </row>
    <row r="4059" spans="31:31" x14ac:dyDescent="0.25">
      <c r="AE4059">
        <v>47.2</v>
      </c>
    </row>
    <row r="4060" spans="31:31" x14ac:dyDescent="0.25">
      <c r="AE4060">
        <v>8.73</v>
      </c>
    </row>
    <row r="4061" spans="31:31" x14ac:dyDescent="0.25">
      <c r="AE4061">
        <v>27.71</v>
      </c>
    </row>
    <row r="4062" spans="31:31" x14ac:dyDescent="0.25">
      <c r="AE4062">
        <v>23.69</v>
      </c>
    </row>
    <row r="4063" spans="31:31" x14ac:dyDescent="0.25">
      <c r="AE4063">
        <v>73.12</v>
      </c>
    </row>
    <row r="4064" spans="31:31" x14ac:dyDescent="0.25">
      <c r="AE4064">
        <v>86.1</v>
      </c>
    </row>
    <row r="4065" spans="31:31" x14ac:dyDescent="0.25">
      <c r="AE4065">
        <v>86.92</v>
      </c>
    </row>
    <row r="4066" spans="31:31" x14ac:dyDescent="0.25">
      <c r="AE4066">
        <v>95.06</v>
      </c>
    </row>
    <row r="4067" spans="31:31" x14ac:dyDescent="0.25">
      <c r="AE4067">
        <v>61.61</v>
      </c>
    </row>
    <row r="4068" spans="31:31" x14ac:dyDescent="0.25">
      <c r="AE4068">
        <v>9.99</v>
      </c>
    </row>
    <row r="4069" spans="31:31" x14ac:dyDescent="0.25">
      <c r="AE4069">
        <v>56.61</v>
      </c>
    </row>
    <row r="4070" spans="31:31" x14ac:dyDescent="0.25">
      <c r="AE4070">
        <v>83.46</v>
      </c>
    </row>
    <row r="4071" spans="31:31" x14ac:dyDescent="0.25">
      <c r="AE4071">
        <v>80.89</v>
      </c>
    </row>
    <row r="4072" spans="31:31" x14ac:dyDescent="0.25">
      <c r="AE4072">
        <v>47.62</v>
      </c>
    </row>
    <row r="4073" spans="31:31" x14ac:dyDescent="0.25">
      <c r="AE4073">
        <v>24.97</v>
      </c>
    </row>
    <row r="4074" spans="31:31" x14ac:dyDescent="0.25">
      <c r="AE4074">
        <v>17.399999999999999</v>
      </c>
    </row>
    <row r="4075" spans="31:31" x14ac:dyDescent="0.25">
      <c r="AE4075">
        <v>25.81</v>
      </c>
    </row>
    <row r="4076" spans="31:31" x14ac:dyDescent="0.25">
      <c r="AE4076">
        <v>34.81</v>
      </c>
    </row>
    <row r="4077" spans="31:31" x14ac:dyDescent="0.25">
      <c r="AE4077">
        <v>22.49</v>
      </c>
    </row>
    <row r="4078" spans="31:31" x14ac:dyDescent="0.25">
      <c r="AE4078">
        <v>36.67</v>
      </c>
    </row>
    <row r="4079" spans="31:31" x14ac:dyDescent="0.25">
      <c r="AE4079">
        <v>77.180000000000007</v>
      </c>
    </row>
    <row r="4080" spans="31:31" x14ac:dyDescent="0.25">
      <c r="AE4080">
        <v>40.200000000000003</v>
      </c>
    </row>
    <row r="4081" spans="31:31" x14ac:dyDescent="0.25">
      <c r="AE4081">
        <v>5.21</v>
      </c>
    </row>
    <row r="4082" spans="31:31" x14ac:dyDescent="0.25">
      <c r="AE4082">
        <v>17.690000000000001</v>
      </c>
    </row>
    <row r="4083" spans="31:31" x14ac:dyDescent="0.25">
      <c r="AE4083">
        <v>74.5</v>
      </c>
    </row>
    <row r="4084" spans="31:31" x14ac:dyDescent="0.25">
      <c r="AE4084">
        <v>55.19</v>
      </c>
    </row>
    <row r="4085" spans="31:31" x14ac:dyDescent="0.25">
      <c r="AE4085">
        <v>31.32</v>
      </c>
    </row>
    <row r="4086" spans="31:31" x14ac:dyDescent="0.25">
      <c r="AE4086">
        <v>167.91</v>
      </c>
    </row>
    <row r="4087" spans="31:31" x14ac:dyDescent="0.25">
      <c r="AE4087">
        <v>101.63</v>
      </c>
    </row>
    <row r="4088" spans="31:31" x14ac:dyDescent="0.25">
      <c r="AE4088">
        <v>4</v>
      </c>
    </row>
    <row r="4089" spans="31:31" x14ac:dyDescent="0.25">
      <c r="AE4089">
        <v>23.53</v>
      </c>
    </row>
    <row r="4090" spans="31:31" x14ac:dyDescent="0.25">
      <c r="AE4090">
        <v>117.99</v>
      </c>
    </row>
    <row r="4091" spans="31:31" x14ac:dyDescent="0.25">
      <c r="AE4091">
        <v>10.039999999999999</v>
      </c>
    </row>
    <row r="4092" spans="31:31" x14ac:dyDescent="0.25">
      <c r="AE4092">
        <v>71.14</v>
      </c>
    </row>
    <row r="4093" spans="31:31" x14ac:dyDescent="0.25">
      <c r="AE4093">
        <v>42.92</v>
      </c>
    </row>
    <row r="4094" spans="31:31" x14ac:dyDescent="0.25">
      <c r="AE4094">
        <v>45.07</v>
      </c>
    </row>
    <row r="4095" spans="31:31" x14ac:dyDescent="0.25">
      <c r="AE4095">
        <v>77.14</v>
      </c>
    </row>
    <row r="4096" spans="31:31" x14ac:dyDescent="0.25">
      <c r="AE4096">
        <v>94.92</v>
      </c>
    </row>
    <row r="4097" spans="31:31" x14ac:dyDescent="0.25">
      <c r="AE4097">
        <v>17.149999999999999</v>
      </c>
    </row>
    <row r="4098" spans="31:31" x14ac:dyDescent="0.25">
      <c r="AE4098">
        <v>26.94</v>
      </c>
    </row>
    <row r="4099" spans="31:31" x14ac:dyDescent="0.25">
      <c r="AE4099">
        <v>36.590000000000003</v>
      </c>
    </row>
    <row r="4100" spans="31:31" x14ac:dyDescent="0.25">
      <c r="AE4100">
        <v>118.83</v>
      </c>
    </row>
    <row r="4101" spans="31:31" x14ac:dyDescent="0.25">
      <c r="AE4101">
        <v>54.39</v>
      </c>
    </row>
    <row r="4102" spans="31:31" x14ac:dyDescent="0.25">
      <c r="AE4102">
        <v>22.4</v>
      </c>
    </row>
    <row r="4103" spans="31:31" x14ac:dyDescent="0.25">
      <c r="AE4103">
        <v>16.440000000000001</v>
      </c>
    </row>
    <row r="4104" spans="31:31" x14ac:dyDescent="0.25">
      <c r="AE4104">
        <v>162.05000000000001</v>
      </c>
    </row>
    <row r="4105" spans="31:31" x14ac:dyDescent="0.25">
      <c r="AE4105">
        <v>90.62</v>
      </c>
    </row>
    <row r="4106" spans="31:31" x14ac:dyDescent="0.25">
      <c r="AE4106">
        <v>38.24</v>
      </c>
    </row>
    <row r="4107" spans="31:31" x14ac:dyDescent="0.25">
      <c r="AE4107">
        <v>52.48</v>
      </c>
    </row>
    <row r="4108" spans="31:31" x14ac:dyDescent="0.25">
      <c r="AE4108">
        <v>44.67</v>
      </c>
    </row>
    <row r="4109" spans="31:31" x14ac:dyDescent="0.25">
      <c r="AE4109">
        <v>60.84</v>
      </c>
    </row>
    <row r="4110" spans="31:31" x14ac:dyDescent="0.25">
      <c r="AE4110">
        <v>15.53</v>
      </c>
    </row>
    <row r="4111" spans="31:31" x14ac:dyDescent="0.25">
      <c r="AE4111">
        <v>15.14</v>
      </c>
    </row>
    <row r="4112" spans="31:31" x14ac:dyDescent="0.25">
      <c r="AE4112">
        <v>34.71</v>
      </c>
    </row>
    <row r="4113" spans="31:31" x14ac:dyDescent="0.25">
      <c r="AE4113">
        <v>70.97</v>
      </c>
    </row>
    <row r="4114" spans="31:31" x14ac:dyDescent="0.25">
      <c r="AE4114">
        <v>60.76</v>
      </c>
    </row>
    <row r="4115" spans="31:31" x14ac:dyDescent="0.25">
      <c r="AE4115">
        <v>16.04</v>
      </c>
    </row>
    <row r="4116" spans="31:31" x14ac:dyDescent="0.25">
      <c r="AE4116">
        <v>43.81</v>
      </c>
    </row>
    <row r="4117" spans="31:31" x14ac:dyDescent="0.25">
      <c r="AE4117">
        <v>37.33</v>
      </c>
    </row>
    <row r="4118" spans="31:31" x14ac:dyDescent="0.25">
      <c r="AE4118">
        <v>4.41</v>
      </c>
    </row>
    <row r="4119" spans="31:31" x14ac:dyDescent="0.25">
      <c r="AE4119">
        <v>68.959999999999994</v>
      </c>
    </row>
    <row r="4120" spans="31:31" x14ac:dyDescent="0.25">
      <c r="AE4120">
        <v>75.510000000000005</v>
      </c>
    </row>
    <row r="4121" spans="31:31" x14ac:dyDescent="0.25">
      <c r="AE4121">
        <v>100.77</v>
      </c>
    </row>
    <row r="4122" spans="31:31" x14ac:dyDescent="0.25">
      <c r="AE4122">
        <v>59.23</v>
      </c>
    </row>
    <row r="4123" spans="31:31" x14ac:dyDescent="0.25">
      <c r="AE4123">
        <v>42.03</v>
      </c>
    </row>
    <row r="4124" spans="31:31" x14ac:dyDescent="0.25">
      <c r="AE4124">
        <v>24.35</v>
      </c>
    </row>
    <row r="4125" spans="31:31" x14ac:dyDescent="0.25">
      <c r="AE4125">
        <v>38.71</v>
      </c>
    </row>
    <row r="4126" spans="31:31" x14ac:dyDescent="0.25">
      <c r="AE4126">
        <v>58.39</v>
      </c>
    </row>
    <row r="4127" spans="31:31" x14ac:dyDescent="0.25">
      <c r="AE4127">
        <v>39.06</v>
      </c>
    </row>
    <row r="4128" spans="31:31" x14ac:dyDescent="0.25">
      <c r="AE4128">
        <v>20.59</v>
      </c>
    </row>
    <row r="4129" spans="31:31" x14ac:dyDescent="0.25">
      <c r="AE4129">
        <v>93.87</v>
      </c>
    </row>
    <row r="4130" spans="31:31" x14ac:dyDescent="0.25">
      <c r="AE4130">
        <v>34.159999999999997</v>
      </c>
    </row>
    <row r="4131" spans="31:31" x14ac:dyDescent="0.25">
      <c r="AE4131">
        <v>99.19</v>
      </c>
    </row>
    <row r="4132" spans="31:31" x14ac:dyDescent="0.25">
      <c r="AE4132">
        <v>22.78</v>
      </c>
    </row>
    <row r="4133" spans="31:31" x14ac:dyDescent="0.25">
      <c r="AE4133">
        <v>13.51</v>
      </c>
    </row>
    <row r="4134" spans="31:31" x14ac:dyDescent="0.25">
      <c r="AE4134">
        <v>94.35</v>
      </c>
    </row>
    <row r="4135" spans="31:31" x14ac:dyDescent="0.25">
      <c r="AE4135">
        <v>79.62</v>
      </c>
    </row>
    <row r="4136" spans="31:31" x14ac:dyDescent="0.25">
      <c r="AE4136">
        <v>17.510000000000002</v>
      </c>
    </row>
    <row r="4137" spans="31:31" x14ac:dyDescent="0.25">
      <c r="AE4137">
        <v>20.89</v>
      </c>
    </row>
    <row r="4138" spans="31:31" x14ac:dyDescent="0.25">
      <c r="AE4138">
        <v>8.49</v>
      </c>
    </row>
    <row r="4139" spans="31:31" x14ac:dyDescent="0.25">
      <c r="AE4139">
        <v>63.25</v>
      </c>
    </row>
    <row r="4140" spans="31:31" x14ac:dyDescent="0.25">
      <c r="AE4140">
        <v>31.21</v>
      </c>
    </row>
    <row r="4141" spans="31:31" x14ac:dyDescent="0.25">
      <c r="AE4141">
        <v>17.48</v>
      </c>
    </row>
    <row r="4142" spans="31:31" x14ac:dyDescent="0.25">
      <c r="AE4142">
        <v>178.76</v>
      </c>
    </row>
    <row r="4143" spans="31:31" x14ac:dyDescent="0.25">
      <c r="AE4143">
        <v>0.54</v>
      </c>
    </row>
    <row r="4144" spans="31:31" x14ac:dyDescent="0.25">
      <c r="AE4144">
        <v>18.350000000000001</v>
      </c>
    </row>
    <row r="4145" spans="31:31" x14ac:dyDescent="0.25">
      <c r="AE4145">
        <v>25.9</v>
      </c>
    </row>
    <row r="4146" spans="31:31" x14ac:dyDescent="0.25">
      <c r="AE4146">
        <v>45.96</v>
      </c>
    </row>
    <row r="4147" spans="31:31" x14ac:dyDescent="0.25">
      <c r="AE4147">
        <v>37.57</v>
      </c>
    </row>
    <row r="4148" spans="31:31" x14ac:dyDescent="0.25">
      <c r="AE4148">
        <v>10.54</v>
      </c>
    </row>
    <row r="4149" spans="31:31" x14ac:dyDescent="0.25">
      <c r="AE4149">
        <v>42.52</v>
      </c>
    </row>
    <row r="4150" spans="31:31" x14ac:dyDescent="0.25">
      <c r="AE4150">
        <v>0.63</v>
      </c>
    </row>
    <row r="4151" spans="31:31" x14ac:dyDescent="0.25">
      <c r="AE4151">
        <v>95.8</v>
      </c>
    </row>
    <row r="4152" spans="31:31" x14ac:dyDescent="0.25">
      <c r="AE4152">
        <v>13.26</v>
      </c>
    </row>
    <row r="4153" spans="31:31" x14ac:dyDescent="0.25">
      <c r="AE4153">
        <v>90.99</v>
      </c>
    </row>
    <row r="4154" spans="31:31" x14ac:dyDescent="0.25">
      <c r="AE4154">
        <v>165.21</v>
      </c>
    </row>
    <row r="4155" spans="31:31" x14ac:dyDescent="0.25">
      <c r="AE4155">
        <v>223.7</v>
      </c>
    </row>
    <row r="4156" spans="31:31" x14ac:dyDescent="0.25">
      <c r="AE4156">
        <v>53.01</v>
      </c>
    </row>
    <row r="4157" spans="31:31" x14ac:dyDescent="0.25">
      <c r="AE4157">
        <v>79.97</v>
      </c>
    </row>
    <row r="4158" spans="31:31" x14ac:dyDescent="0.25">
      <c r="AE4158">
        <v>109.83</v>
      </c>
    </row>
    <row r="4159" spans="31:31" x14ac:dyDescent="0.25">
      <c r="AE4159">
        <v>16.239999999999998</v>
      </c>
    </row>
    <row r="4160" spans="31:31" x14ac:dyDescent="0.25">
      <c r="AE4160">
        <v>36.22</v>
      </c>
    </row>
    <row r="4161" spans="31:31" x14ac:dyDescent="0.25">
      <c r="AE4161">
        <v>44.59</v>
      </c>
    </row>
    <row r="4162" spans="31:31" x14ac:dyDescent="0.25">
      <c r="AE4162">
        <v>107.93</v>
      </c>
    </row>
    <row r="4163" spans="31:31" x14ac:dyDescent="0.25">
      <c r="AE4163">
        <v>96.58</v>
      </c>
    </row>
    <row r="4164" spans="31:31" x14ac:dyDescent="0.25">
      <c r="AE4164">
        <v>20.3</v>
      </c>
    </row>
    <row r="4165" spans="31:31" x14ac:dyDescent="0.25">
      <c r="AE4165">
        <v>127.54</v>
      </c>
    </row>
    <row r="4166" spans="31:31" x14ac:dyDescent="0.25">
      <c r="AE4166">
        <v>219.92</v>
      </c>
    </row>
    <row r="4167" spans="31:31" x14ac:dyDescent="0.25">
      <c r="AE4167">
        <v>39.049999999999997</v>
      </c>
    </row>
    <row r="4168" spans="31:31" x14ac:dyDescent="0.25">
      <c r="AE4168">
        <v>30.02</v>
      </c>
    </row>
    <row r="4169" spans="31:31" x14ac:dyDescent="0.25">
      <c r="AE4169">
        <v>25.39</v>
      </c>
    </row>
    <row r="4170" spans="31:31" x14ac:dyDescent="0.25">
      <c r="AE4170">
        <v>11.76</v>
      </c>
    </row>
    <row r="4171" spans="31:31" x14ac:dyDescent="0.25">
      <c r="AE4171">
        <v>31.22</v>
      </c>
    </row>
    <row r="4172" spans="31:31" x14ac:dyDescent="0.25">
      <c r="AE4172">
        <v>29.47</v>
      </c>
    </row>
    <row r="4173" spans="31:31" x14ac:dyDescent="0.25">
      <c r="AE4173">
        <v>42.06</v>
      </c>
    </row>
    <row r="4174" spans="31:31" x14ac:dyDescent="0.25">
      <c r="AE4174">
        <v>10.039999999999999</v>
      </c>
    </row>
    <row r="4175" spans="31:31" x14ac:dyDescent="0.25">
      <c r="AE4175">
        <v>27.06</v>
      </c>
    </row>
    <row r="4176" spans="31:31" x14ac:dyDescent="0.25">
      <c r="AE4176">
        <v>42.99</v>
      </c>
    </row>
    <row r="4177" spans="31:31" x14ac:dyDescent="0.25">
      <c r="AE4177">
        <v>24.81</v>
      </c>
    </row>
    <row r="4178" spans="31:31" x14ac:dyDescent="0.25">
      <c r="AE4178">
        <v>54.5</v>
      </c>
    </row>
    <row r="4179" spans="31:31" x14ac:dyDescent="0.25">
      <c r="AE4179">
        <v>41.28</v>
      </c>
    </row>
    <row r="4180" spans="31:31" x14ac:dyDescent="0.25">
      <c r="AE4180">
        <v>36.979999999999997</v>
      </c>
    </row>
    <row r="4181" spans="31:31" x14ac:dyDescent="0.25">
      <c r="AE4181">
        <v>78.25</v>
      </c>
    </row>
    <row r="4182" spans="31:31" x14ac:dyDescent="0.25">
      <c r="AE4182">
        <v>9.99</v>
      </c>
    </row>
    <row r="4183" spans="31:31" x14ac:dyDescent="0.25">
      <c r="AE4183">
        <v>68.22</v>
      </c>
    </row>
    <row r="4184" spans="31:31" x14ac:dyDescent="0.25">
      <c r="AE4184">
        <v>32.979999999999997</v>
      </c>
    </row>
    <row r="4185" spans="31:31" x14ac:dyDescent="0.25">
      <c r="AE4185">
        <v>90.63</v>
      </c>
    </row>
    <row r="4186" spans="31:31" x14ac:dyDescent="0.25">
      <c r="AE4186">
        <v>67.2</v>
      </c>
    </row>
    <row r="4187" spans="31:31" x14ac:dyDescent="0.25">
      <c r="AE4187">
        <v>19.25</v>
      </c>
    </row>
    <row r="4188" spans="31:31" x14ac:dyDescent="0.25">
      <c r="AE4188">
        <v>68.14</v>
      </c>
    </row>
    <row r="4189" spans="31:31" x14ac:dyDescent="0.25">
      <c r="AE4189">
        <v>14.89</v>
      </c>
    </row>
    <row r="4190" spans="31:31" x14ac:dyDescent="0.25">
      <c r="AE4190">
        <v>11.53</v>
      </c>
    </row>
    <row r="4191" spans="31:31" x14ac:dyDescent="0.25">
      <c r="AE4191">
        <v>42.11</v>
      </c>
    </row>
    <row r="4192" spans="31:31" x14ac:dyDescent="0.25">
      <c r="AE4192">
        <v>59.2</v>
      </c>
    </row>
    <row r="4193" spans="31:31" x14ac:dyDescent="0.25">
      <c r="AE4193">
        <v>45.32</v>
      </c>
    </row>
    <row r="4194" spans="31:31" x14ac:dyDescent="0.25">
      <c r="AE4194">
        <v>76.989999999999995</v>
      </c>
    </row>
    <row r="4195" spans="31:31" x14ac:dyDescent="0.25">
      <c r="AE4195">
        <v>45.46</v>
      </c>
    </row>
    <row r="4196" spans="31:31" x14ac:dyDescent="0.25">
      <c r="AE4196">
        <v>26.58</v>
      </c>
    </row>
    <row r="4197" spans="31:31" x14ac:dyDescent="0.25">
      <c r="AE4197">
        <v>24.1</v>
      </c>
    </row>
    <row r="4198" spans="31:31" x14ac:dyDescent="0.25">
      <c r="AE4198">
        <v>84.87</v>
      </c>
    </row>
    <row r="4199" spans="31:31" x14ac:dyDescent="0.25">
      <c r="AE4199">
        <v>91.58</v>
      </c>
    </row>
    <row r="4200" spans="31:31" x14ac:dyDescent="0.25">
      <c r="AE4200">
        <v>74.400000000000006</v>
      </c>
    </row>
    <row r="4201" spans="31:31" x14ac:dyDescent="0.25">
      <c r="AE4201">
        <v>24.92</v>
      </c>
    </row>
    <row r="4202" spans="31:31" x14ac:dyDescent="0.25">
      <c r="AE4202">
        <v>17.989999999999998</v>
      </c>
    </row>
    <row r="4203" spans="31:31" x14ac:dyDescent="0.25">
      <c r="AE4203">
        <v>37.520000000000003</v>
      </c>
    </row>
    <row r="4204" spans="31:31" x14ac:dyDescent="0.25">
      <c r="AE4204">
        <v>97.27</v>
      </c>
    </row>
    <row r="4205" spans="31:31" x14ac:dyDescent="0.25">
      <c r="AE4205">
        <v>23.55</v>
      </c>
    </row>
    <row r="4206" spans="31:31" x14ac:dyDescent="0.25">
      <c r="AE4206">
        <v>79.08</v>
      </c>
    </row>
    <row r="4207" spans="31:31" x14ac:dyDescent="0.25">
      <c r="AE4207">
        <v>33.04</v>
      </c>
    </row>
    <row r="4208" spans="31:31" x14ac:dyDescent="0.25">
      <c r="AE4208">
        <v>34.07</v>
      </c>
    </row>
    <row r="4209" spans="31:31" x14ac:dyDescent="0.25">
      <c r="AE4209">
        <v>51.38</v>
      </c>
    </row>
    <row r="4210" spans="31:31" x14ac:dyDescent="0.25">
      <c r="AE4210">
        <v>100.26</v>
      </c>
    </row>
    <row r="4211" spans="31:31" x14ac:dyDescent="0.25">
      <c r="AE4211">
        <v>20.65</v>
      </c>
    </row>
    <row r="4212" spans="31:31" x14ac:dyDescent="0.25">
      <c r="AE4212">
        <v>42.62</v>
      </c>
    </row>
    <row r="4213" spans="31:31" x14ac:dyDescent="0.25">
      <c r="AE4213">
        <v>35.21</v>
      </c>
    </row>
    <row r="4214" spans="31:31" x14ac:dyDescent="0.25">
      <c r="AE4214">
        <v>23.44</v>
      </c>
    </row>
    <row r="4215" spans="31:31" x14ac:dyDescent="0.25">
      <c r="AE4215">
        <v>62.79</v>
      </c>
    </row>
    <row r="4216" spans="31:31" x14ac:dyDescent="0.25">
      <c r="AE4216">
        <v>73.95</v>
      </c>
    </row>
    <row r="4217" spans="31:31" x14ac:dyDescent="0.25">
      <c r="AE4217">
        <v>13.54</v>
      </c>
    </row>
    <row r="4218" spans="31:31" x14ac:dyDescent="0.25">
      <c r="AE4218">
        <v>68.69</v>
      </c>
    </row>
    <row r="4219" spans="31:31" x14ac:dyDescent="0.25">
      <c r="AE4219">
        <v>7.77</v>
      </c>
    </row>
    <row r="4220" spans="31:31" x14ac:dyDescent="0.25">
      <c r="AE4220">
        <v>49.52</v>
      </c>
    </row>
    <row r="4221" spans="31:31" x14ac:dyDescent="0.25">
      <c r="AE4221">
        <v>102.15</v>
      </c>
    </row>
    <row r="4222" spans="31:31" x14ac:dyDescent="0.25">
      <c r="AE4222">
        <v>46.29</v>
      </c>
    </row>
    <row r="4223" spans="31:31" x14ac:dyDescent="0.25">
      <c r="AE4223">
        <v>37.159999999999997</v>
      </c>
    </row>
    <row r="4224" spans="31:31" x14ac:dyDescent="0.25">
      <c r="AE4224">
        <v>17.100000000000001</v>
      </c>
    </row>
    <row r="4225" spans="31:31" x14ac:dyDescent="0.25">
      <c r="AE4225">
        <v>28.97</v>
      </c>
    </row>
    <row r="4226" spans="31:31" x14ac:dyDescent="0.25">
      <c r="AE4226">
        <v>25.27</v>
      </c>
    </row>
    <row r="4227" spans="31:31" x14ac:dyDescent="0.25">
      <c r="AE4227">
        <v>157.44</v>
      </c>
    </row>
    <row r="4228" spans="31:31" x14ac:dyDescent="0.25">
      <c r="AE4228">
        <v>16.09</v>
      </c>
    </row>
    <row r="4229" spans="31:31" x14ac:dyDescent="0.25">
      <c r="AE4229">
        <v>208.36</v>
      </c>
    </row>
    <row r="4230" spans="31:31" x14ac:dyDescent="0.25">
      <c r="AE4230">
        <v>58.81</v>
      </c>
    </row>
    <row r="4231" spans="31:31" x14ac:dyDescent="0.25">
      <c r="AE4231">
        <v>83.61</v>
      </c>
    </row>
    <row r="4232" spans="31:31" x14ac:dyDescent="0.25">
      <c r="AE4232">
        <v>63.41</v>
      </c>
    </row>
    <row r="4233" spans="31:31" x14ac:dyDescent="0.25">
      <c r="AE4233">
        <v>30.5</v>
      </c>
    </row>
    <row r="4234" spans="31:31" x14ac:dyDescent="0.25">
      <c r="AE4234">
        <v>15.93</v>
      </c>
    </row>
    <row r="4235" spans="31:31" x14ac:dyDescent="0.25">
      <c r="AE4235">
        <v>25.39</v>
      </c>
    </row>
    <row r="4236" spans="31:31" x14ac:dyDescent="0.25">
      <c r="AE4236">
        <v>54.55</v>
      </c>
    </row>
    <row r="4237" spans="31:31" x14ac:dyDescent="0.25">
      <c r="AE4237">
        <v>43.73</v>
      </c>
    </row>
    <row r="4238" spans="31:31" x14ac:dyDescent="0.25">
      <c r="AE4238">
        <v>20.53</v>
      </c>
    </row>
    <row r="4239" spans="31:31" x14ac:dyDescent="0.25">
      <c r="AE4239">
        <v>26.19</v>
      </c>
    </row>
    <row r="4240" spans="31:31" x14ac:dyDescent="0.25">
      <c r="AE4240">
        <v>12.36</v>
      </c>
    </row>
    <row r="4241" spans="31:31" x14ac:dyDescent="0.25">
      <c r="AE4241">
        <v>69.75</v>
      </c>
    </row>
    <row r="4242" spans="31:31" x14ac:dyDescent="0.25">
      <c r="AE4242">
        <v>21.48</v>
      </c>
    </row>
    <row r="4243" spans="31:31" x14ac:dyDescent="0.25">
      <c r="AE4243">
        <v>67.58</v>
      </c>
    </row>
    <row r="4244" spans="31:31" x14ac:dyDescent="0.25">
      <c r="AE4244">
        <v>20.92</v>
      </c>
    </row>
    <row r="4245" spans="31:31" x14ac:dyDescent="0.25">
      <c r="AE4245">
        <v>63.47</v>
      </c>
    </row>
    <row r="4246" spans="31:31" x14ac:dyDescent="0.25">
      <c r="AE4246">
        <v>14.8</v>
      </c>
    </row>
    <row r="4247" spans="31:31" x14ac:dyDescent="0.25">
      <c r="AE4247">
        <v>25.77</v>
      </c>
    </row>
    <row r="4248" spans="31:31" x14ac:dyDescent="0.25">
      <c r="AE4248">
        <v>91.37</v>
      </c>
    </row>
    <row r="4249" spans="31:31" x14ac:dyDescent="0.25">
      <c r="AE4249">
        <v>80.03</v>
      </c>
    </row>
    <row r="4250" spans="31:31" x14ac:dyDescent="0.25">
      <c r="AE4250">
        <v>49.51</v>
      </c>
    </row>
    <row r="4251" spans="31:31" x14ac:dyDescent="0.25">
      <c r="AE4251">
        <v>69.63</v>
      </c>
    </row>
    <row r="4252" spans="31:31" x14ac:dyDescent="0.25">
      <c r="AE4252">
        <v>74.13</v>
      </c>
    </row>
    <row r="4253" spans="31:31" x14ac:dyDescent="0.25">
      <c r="AE4253">
        <v>24.44</v>
      </c>
    </row>
    <row r="4254" spans="31:31" x14ac:dyDescent="0.25">
      <c r="AE4254">
        <v>24.8</v>
      </c>
    </row>
    <row r="4255" spans="31:31" x14ac:dyDescent="0.25">
      <c r="AE4255">
        <v>10.46</v>
      </c>
    </row>
    <row r="4256" spans="31:31" x14ac:dyDescent="0.25">
      <c r="AE4256">
        <v>34.92</v>
      </c>
    </row>
    <row r="4257" spans="31:31" x14ac:dyDescent="0.25">
      <c r="AE4257">
        <v>1.1399999999999999</v>
      </c>
    </row>
    <row r="4258" spans="31:31" x14ac:dyDescent="0.25">
      <c r="AE4258">
        <v>35.659999999999997</v>
      </c>
    </row>
    <row r="4259" spans="31:31" x14ac:dyDescent="0.25">
      <c r="AE4259">
        <v>34.24</v>
      </c>
    </row>
    <row r="4260" spans="31:31" x14ac:dyDescent="0.25">
      <c r="AE4260">
        <v>51.27</v>
      </c>
    </row>
    <row r="4261" spans="31:31" x14ac:dyDescent="0.25">
      <c r="AE4261">
        <v>67.81</v>
      </c>
    </row>
    <row r="4262" spans="31:31" x14ac:dyDescent="0.25">
      <c r="AE4262">
        <v>40.56</v>
      </c>
    </row>
    <row r="4263" spans="31:31" x14ac:dyDescent="0.25">
      <c r="AE4263">
        <v>10.09</v>
      </c>
    </row>
    <row r="4264" spans="31:31" x14ac:dyDescent="0.25">
      <c r="AE4264">
        <v>9.5500000000000007</v>
      </c>
    </row>
    <row r="4265" spans="31:31" x14ac:dyDescent="0.25">
      <c r="AE4265">
        <v>58.73</v>
      </c>
    </row>
    <row r="4266" spans="31:31" x14ac:dyDescent="0.25">
      <c r="AE4266">
        <v>322.10000000000002</v>
      </c>
    </row>
    <row r="4267" spans="31:31" x14ac:dyDescent="0.25">
      <c r="AE4267">
        <v>32.549999999999997</v>
      </c>
    </row>
    <row r="4268" spans="31:31" x14ac:dyDescent="0.25">
      <c r="AE4268">
        <v>10.14</v>
      </c>
    </row>
    <row r="4269" spans="31:31" x14ac:dyDescent="0.25">
      <c r="AE4269">
        <v>58.43</v>
      </c>
    </row>
    <row r="4270" spans="31:31" x14ac:dyDescent="0.25">
      <c r="AE4270">
        <v>155.04</v>
      </c>
    </row>
    <row r="4271" spans="31:31" x14ac:dyDescent="0.25">
      <c r="AE4271">
        <v>31.48</v>
      </c>
    </row>
    <row r="4272" spans="31:31" x14ac:dyDescent="0.25">
      <c r="AE4272">
        <v>51.82</v>
      </c>
    </row>
    <row r="4273" spans="31:31" x14ac:dyDescent="0.25">
      <c r="AE4273">
        <v>21.46</v>
      </c>
    </row>
    <row r="4274" spans="31:31" x14ac:dyDescent="0.25">
      <c r="AE4274">
        <v>30.21</v>
      </c>
    </row>
    <row r="4275" spans="31:31" x14ac:dyDescent="0.25">
      <c r="AE4275">
        <v>116.76</v>
      </c>
    </row>
    <row r="4276" spans="31:31" x14ac:dyDescent="0.25">
      <c r="AE4276">
        <v>37.39</v>
      </c>
    </row>
    <row r="4277" spans="31:31" x14ac:dyDescent="0.25">
      <c r="AE4277">
        <v>16.5</v>
      </c>
    </row>
    <row r="4278" spans="31:31" x14ac:dyDescent="0.25">
      <c r="AE4278">
        <v>88.17</v>
      </c>
    </row>
    <row r="4279" spans="31:31" x14ac:dyDescent="0.25">
      <c r="AE4279">
        <v>43.9</v>
      </c>
    </row>
    <row r="4280" spans="31:31" x14ac:dyDescent="0.25">
      <c r="AE4280">
        <v>22.13</v>
      </c>
    </row>
    <row r="4281" spans="31:31" x14ac:dyDescent="0.25">
      <c r="AE4281">
        <v>28.94</v>
      </c>
    </row>
    <row r="4282" spans="31:31" x14ac:dyDescent="0.25">
      <c r="AE4282">
        <v>11.11</v>
      </c>
    </row>
    <row r="4283" spans="31:31" x14ac:dyDescent="0.25">
      <c r="AE4283">
        <v>59.41</v>
      </c>
    </row>
    <row r="4284" spans="31:31" x14ac:dyDescent="0.25">
      <c r="AE4284">
        <v>16.29</v>
      </c>
    </row>
    <row r="4285" spans="31:31" x14ac:dyDescent="0.25">
      <c r="AE4285">
        <v>83.08</v>
      </c>
    </row>
    <row r="4286" spans="31:31" x14ac:dyDescent="0.25">
      <c r="AE4286">
        <v>30.92</v>
      </c>
    </row>
    <row r="4287" spans="31:31" x14ac:dyDescent="0.25">
      <c r="AE4287">
        <v>36.11</v>
      </c>
    </row>
    <row r="4288" spans="31:31" x14ac:dyDescent="0.25">
      <c r="AE4288">
        <v>40.19</v>
      </c>
    </row>
    <row r="4289" spans="31:31" x14ac:dyDescent="0.25">
      <c r="AE4289">
        <v>13.93</v>
      </c>
    </row>
    <row r="4290" spans="31:31" x14ac:dyDescent="0.25">
      <c r="AE4290">
        <v>7.8</v>
      </c>
    </row>
    <row r="4291" spans="31:31" x14ac:dyDescent="0.25">
      <c r="AE4291">
        <v>84.84</v>
      </c>
    </row>
    <row r="4292" spans="31:31" x14ac:dyDescent="0.25">
      <c r="AE4292">
        <v>81.349999999999994</v>
      </c>
    </row>
    <row r="4293" spans="31:31" x14ac:dyDescent="0.25">
      <c r="AE4293">
        <v>28.76</v>
      </c>
    </row>
    <row r="4294" spans="31:31" x14ac:dyDescent="0.25">
      <c r="AE4294">
        <v>41</v>
      </c>
    </row>
    <row r="4295" spans="31:31" x14ac:dyDescent="0.25">
      <c r="AE4295">
        <v>11.71</v>
      </c>
    </row>
    <row r="4296" spans="31:31" x14ac:dyDescent="0.25">
      <c r="AE4296">
        <v>57.46</v>
      </c>
    </row>
    <row r="4297" spans="31:31" x14ac:dyDescent="0.25">
      <c r="AE4297">
        <v>79.22</v>
      </c>
    </row>
    <row r="4298" spans="31:31" x14ac:dyDescent="0.25">
      <c r="AE4298">
        <v>101.92</v>
      </c>
    </row>
    <row r="4299" spans="31:31" x14ac:dyDescent="0.25">
      <c r="AE4299">
        <v>26.28</v>
      </c>
    </row>
    <row r="4300" spans="31:31" x14ac:dyDescent="0.25">
      <c r="AE4300">
        <v>65.569999999999993</v>
      </c>
    </row>
    <row r="4301" spans="31:31" x14ac:dyDescent="0.25">
      <c r="AE4301">
        <v>11.25</v>
      </c>
    </row>
    <row r="4302" spans="31:31" x14ac:dyDescent="0.25">
      <c r="AE4302">
        <v>95.44</v>
      </c>
    </row>
    <row r="4303" spans="31:31" x14ac:dyDescent="0.25">
      <c r="AE4303">
        <v>78.2</v>
      </c>
    </row>
    <row r="4304" spans="31:31" x14ac:dyDescent="0.25">
      <c r="AE4304">
        <v>114.53</v>
      </c>
    </row>
    <row r="4305" spans="31:31" x14ac:dyDescent="0.25">
      <c r="AE4305">
        <v>41.56</v>
      </c>
    </row>
    <row r="4306" spans="31:31" x14ac:dyDescent="0.25">
      <c r="AE4306">
        <v>30.98</v>
      </c>
    </row>
    <row r="4307" spans="31:31" x14ac:dyDescent="0.25">
      <c r="AE4307">
        <v>91.28</v>
      </c>
    </row>
    <row r="4308" spans="31:31" x14ac:dyDescent="0.25">
      <c r="AE4308">
        <v>35.29</v>
      </c>
    </row>
    <row r="4309" spans="31:31" x14ac:dyDescent="0.25">
      <c r="AE4309">
        <v>20.82</v>
      </c>
    </row>
    <row r="4310" spans="31:31" x14ac:dyDescent="0.25">
      <c r="AE4310">
        <v>10.14</v>
      </c>
    </row>
    <row r="4311" spans="31:31" x14ac:dyDescent="0.25">
      <c r="AE4311">
        <v>20.73</v>
      </c>
    </row>
    <row r="4312" spans="31:31" x14ac:dyDescent="0.25">
      <c r="AE4312">
        <v>59.06</v>
      </c>
    </row>
    <row r="4313" spans="31:31" x14ac:dyDescent="0.25">
      <c r="AE4313">
        <v>0.72</v>
      </c>
    </row>
    <row r="4314" spans="31:31" x14ac:dyDescent="0.25">
      <c r="AE4314">
        <v>91.27</v>
      </c>
    </row>
    <row r="4315" spans="31:31" x14ac:dyDescent="0.25">
      <c r="AE4315">
        <v>10.09</v>
      </c>
    </row>
    <row r="4316" spans="31:31" x14ac:dyDescent="0.25">
      <c r="AE4316">
        <v>47.82</v>
      </c>
    </row>
    <row r="4317" spans="31:31" x14ac:dyDescent="0.25">
      <c r="AE4317">
        <v>110.22</v>
      </c>
    </row>
    <row r="4318" spans="31:31" x14ac:dyDescent="0.25">
      <c r="AE4318">
        <v>38.159999999999997</v>
      </c>
    </row>
    <row r="4319" spans="31:31" x14ac:dyDescent="0.25">
      <c r="AE4319">
        <v>16.37</v>
      </c>
    </row>
    <row r="4320" spans="31:31" x14ac:dyDescent="0.25">
      <c r="AE4320">
        <v>22.59</v>
      </c>
    </row>
    <row r="4321" spans="31:31" x14ac:dyDescent="0.25">
      <c r="AE4321">
        <v>39.43</v>
      </c>
    </row>
    <row r="4322" spans="31:31" x14ac:dyDescent="0.25">
      <c r="AE4322">
        <v>47.8</v>
      </c>
    </row>
    <row r="4323" spans="31:31" x14ac:dyDescent="0.25">
      <c r="AE4323">
        <v>31.62</v>
      </c>
    </row>
    <row r="4324" spans="31:31" x14ac:dyDescent="0.25">
      <c r="AE4324">
        <v>174.77</v>
      </c>
    </row>
    <row r="4325" spans="31:31" x14ac:dyDescent="0.25">
      <c r="AE4325">
        <v>36.03</v>
      </c>
    </row>
    <row r="4326" spans="31:31" x14ac:dyDescent="0.25">
      <c r="AE4326">
        <v>87.58</v>
      </c>
    </row>
    <row r="4327" spans="31:31" x14ac:dyDescent="0.25">
      <c r="AE4327">
        <v>20.02</v>
      </c>
    </row>
    <row r="4328" spans="31:31" x14ac:dyDescent="0.25">
      <c r="AE4328">
        <v>15.26</v>
      </c>
    </row>
    <row r="4329" spans="31:31" x14ac:dyDescent="0.25">
      <c r="AE4329">
        <v>129.56</v>
      </c>
    </row>
    <row r="4330" spans="31:31" x14ac:dyDescent="0.25">
      <c r="AE4330">
        <v>0.81</v>
      </c>
    </row>
    <row r="4331" spans="31:31" x14ac:dyDescent="0.25">
      <c r="AE4331">
        <v>71.98</v>
      </c>
    </row>
    <row r="4332" spans="31:31" x14ac:dyDescent="0.25">
      <c r="AE4332">
        <v>128.06</v>
      </c>
    </row>
    <row r="4333" spans="31:31" x14ac:dyDescent="0.25">
      <c r="AE4333">
        <v>64.44</v>
      </c>
    </row>
    <row r="4334" spans="31:31" x14ac:dyDescent="0.25">
      <c r="AE4334">
        <v>235.57</v>
      </c>
    </row>
    <row r="4335" spans="31:31" x14ac:dyDescent="0.25">
      <c r="AE4335">
        <v>31.07</v>
      </c>
    </row>
    <row r="4336" spans="31:31" x14ac:dyDescent="0.25">
      <c r="AE4336">
        <v>11.18</v>
      </c>
    </row>
    <row r="4337" spans="31:31" x14ac:dyDescent="0.25">
      <c r="AE4337">
        <v>32.229999999999997</v>
      </c>
    </row>
    <row r="4338" spans="31:31" x14ac:dyDescent="0.25">
      <c r="AE4338">
        <v>63.07</v>
      </c>
    </row>
    <row r="4339" spans="31:31" x14ac:dyDescent="0.25">
      <c r="AE4339">
        <v>46.87</v>
      </c>
    </row>
    <row r="4340" spans="31:31" x14ac:dyDescent="0.25">
      <c r="AE4340">
        <v>63.52</v>
      </c>
    </row>
    <row r="4341" spans="31:31" x14ac:dyDescent="0.25">
      <c r="AE4341">
        <v>131.52000000000001</v>
      </c>
    </row>
    <row r="4342" spans="31:31" x14ac:dyDescent="0.25">
      <c r="AE4342">
        <v>114.48</v>
      </c>
    </row>
    <row r="4343" spans="31:31" x14ac:dyDescent="0.25">
      <c r="AE4343">
        <v>46.03</v>
      </c>
    </row>
    <row r="4344" spans="31:31" x14ac:dyDescent="0.25">
      <c r="AE4344">
        <v>114.53</v>
      </c>
    </row>
    <row r="4345" spans="31:31" x14ac:dyDescent="0.25">
      <c r="AE4345">
        <v>4.76</v>
      </c>
    </row>
    <row r="4346" spans="31:31" x14ac:dyDescent="0.25">
      <c r="AE4346">
        <v>46.65</v>
      </c>
    </row>
    <row r="4347" spans="31:31" x14ac:dyDescent="0.25">
      <c r="AE4347">
        <v>30.8</v>
      </c>
    </row>
    <row r="4348" spans="31:31" x14ac:dyDescent="0.25">
      <c r="AE4348">
        <v>25.01</v>
      </c>
    </row>
    <row r="4349" spans="31:31" x14ac:dyDescent="0.25">
      <c r="AE4349">
        <v>23.61</v>
      </c>
    </row>
    <row r="4350" spans="31:31" x14ac:dyDescent="0.25">
      <c r="AE4350">
        <v>21.71</v>
      </c>
    </row>
    <row r="4351" spans="31:31" x14ac:dyDescent="0.25">
      <c r="AE4351">
        <v>27.07</v>
      </c>
    </row>
    <row r="4352" spans="31:31" x14ac:dyDescent="0.25">
      <c r="AE4352">
        <v>31.86</v>
      </c>
    </row>
    <row r="4353" spans="31:31" x14ac:dyDescent="0.25">
      <c r="AE4353">
        <v>105.16</v>
      </c>
    </row>
    <row r="4354" spans="31:31" x14ac:dyDescent="0.25">
      <c r="AE4354">
        <v>25.03</v>
      </c>
    </row>
    <row r="4355" spans="31:31" x14ac:dyDescent="0.25">
      <c r="AE4355">
        <v>15.99</v>
      </c>
    </row>
    <row r="4356" spans="31:31" x14ac:dyDescent="0.25">
      <c r="AE4356">
        <v>20.18</v>
      </c>
    </row>
    <row r="4357" spans="31:31" x14ac:dyDescent="0.25">
      <c r="AE4357">
        <v>20.350000000000001</v>
      </c>
    </row>
    <row r="4358" spans="31:31" x14ac:dyDescent="0.25">
      <c r="AE4358">
        <v>48.46</v>
      </c>
    </row>
    <row r="4359" spans="31:31" x14ac:dyDescent="0.25">
      <c r="AE4359">
        <v>37.49</v>
      </c>
    </row>
    <row r="4360" spans="31:31" x14ac:dyDescent="0.25">
      <c r="AE4360">
        <v>42.79</v>
      </c>
    </row>
    <row r="4361" spans="31:31" x14ac:dyDescent="0.25">
      <c r="AE4361">
        <v>63.52</v>
      </c>
    </row>
    <row r="4362" spans="31:31" x14ac:dyDescent="0.25">
      <c r="AE4362">
        <v>25.61</v>
      </c>
    </row>
    <row r="4363" spans="31:31" x14ac:dyDescent="0.25">
      <c r="AE4363">
        <v>76.87</v>
      </c>
    </row>
    <row r="4364" spans="31:31" x14ac:dyDescent="0.25">
      <c r="AE4364">
        <v>32.72</v>
      </c>
    </row>
    <row r="4365" spans="31:31" x14ac:dyDescent="0.25">
      <c r="AE4365">
        <v>120.16</v>
      </c>
    </row>
    <row r="4366" spans="31:31" x14ac:dyDescent="0.25">
      <c r="AE4366">
        <v>31.54</v>
      </c>
    </row>
    <row r="4367" spans="31:31" x14ac:dyDescent="0.25">
      <c r="AE4367">
        <v>34.03</v>
      </c>
    </row>
    <row r="4368" spans="31:31" x14ac:dyDescent="0.25">
      <c r="AE4368">
        <v>26.28</v>
      </c>
    </row>
    <row r="4369" spans="31:31" x14ac:dyDescent="0.25">
      <c r="AE4369">
        <v>21.05</v>
      </c>
    </row>
    <row r="4370" spans="31:31" x14ac:dyDescent="0.25">
      <c r="AE4370">
        <v>43.26</v>
      </c>
    </row>
    <row r="4371" spans="31:31" x14ac:dyDescent="0.25">
      <c r="AE4371">
        <v>84.28</v>
      </c>
    </row>
    <row r="4372" spans="31:31" x14ac:dyDescent="0.25">
      <c r="AE4372">
        <v>143.12</v>
      </c>
    </row>
    <row r="4373" spans="31:31" x14ac:dyDescent="0.25">
      <c r="AE4373">
        <v>138.97999999999999</v>
      </c>
    </row>
    <row r="4374" spans="31:31" x14ac:dyDescent="0.25">
      <c r="AE4374">
        <v>33.4</v>
      </c>
    </row>
    <row r="4375" spans="31:31" x14ac:dyDescent="0.25">
      <c r="AE4375">
        <v>9</v>
      </c>
    </row>
    <row r="4376" spans="31:31" x14ac:dyDescent="0.25">
      <c r="AE4376">
        <v>10.39</v>
      </c>
    </row>
    <row r="4377" spans="31:31" x14ac:dyDescent="0.25">
      <c r="AE4377">
        <v>58.49</v>
      </c>
    </row>
    <row r="4378" spans="31:31" x14ac:dyDescent="0.25">
      <c r="AE4378">
        <v>91.7</v>
      </c>
    </row>
    <row r="4379" spans="31:31" x14ac:dyDescent="0.25">
      <c r="AE4379">
        <v>5.37</v>
      </c>
    </row>
    <row r="4380" spans="31:31" x14ac:dyDescent="0.25">
      <c r="AE4380">
        <v>75.92</v>
      </c>
    </row>
    <row r="4381" spans="31:31" x14ac:dyDescent="0.25">
      <c r="AE4381">
        <v>26.52</v>
      </c>
    </row>
    <row r="4382" spans="31:31" x14ac:dyDescent="0.25">
      <c r="AE4382">
        <v>10.14</v>
      </c>
    </row>
    <row r="4383" spans="31:31" x14ac:dyDescent="0.25">
      <c r="AE4383">
        <v>29.42</v>
      </c>
    </row>
    <row r="4384" spans="31:31" x14ac:dyDescent="0.25">
      <c r="AE4384">
        <v>15.44</v>
      </c>
    </row>
    <row r="4385" spans="31:31" x14ac:dyDescent="0.25">
      <c r="AE4385">
        <v>78.22</v>
      </c>
    </row>
    <row r="4386" spans="31:31" x14ac:dyDescent="0.25">
      <c r="AE4386">
        <v>26.66</v>
      </c>
    </row>
    <row r="4387" spans="31:31" x14ac:dyDescent="0.25">
      <c r="AE4387">
        <v>36.700000000000003</v>
      </c>
    </row>
    <row r="4388" spans="31:31" x14ac:dyDescent="0.25">
      <c r="AE4388">
        <v>22.21</v>
      </c>
    </row>
    <row r="4389" spans="31:31" x14ac:dyDescent="0.25">
      <c r="AE4389">
        <v>100.71</v>
      </c>
    </row>
    <row r="4390" spans="31:31" x14ac:dyDescent="0.25">
      <c r="AE4390">
        <v>56.67</v>
      </c>
    </row>
    <row r="4391" spans="31:31" x14ac:dyDescent="0.25">
      <c r="AE4391">
        <v>29.72</v>
      </c>
    </row>
    <row r="4392" spans="31:31" x14ac:dyDescent="0.25">
      <c r="AE4392">
        <v>50.54</v>
      </c>
    </row>
    <row r="4393" spans="31:31" x14ac:dyDescent="0.25">
      <c r="AE4393">
        <v>16.21</v>
      </c>
    </row>
    <row r="4394" spans="31:31" x14ac:dyDescent="0.25">
      <c r="AE4394">
        <v>17.47</v>
      </c>
    </row>
    <row r="4395" spans="31:31" x14ac:dyDescent="0.25">
      <c r="AE4395">
        <v>13.96</v>
      </c>
    </row>
    <row r="4396" spans="31:31" x14ac:dyDescent="0.25">
      <c r="AE4396">
        <v>41.92</v>
      </c>
    </row>
    <row r="4397" spans="31:31" x14ac:dyDescent="0.25">
      <c r="AE4397">
        <v>16.84</v>
      </c>
    </row>
    <row r="4398" spans="31:31" x14ac:dyDescent="0.25">
      <c r="AE4398">
        <v>59.91</v>
      </c>
    </row>
    <row r="4399" spans="31:31" x14ac:dyDescent="0.25">
      <c r="AE4399">
        <v>2.7</v>
      </c>
    </row>
    <row r="4400" spans="31:31" x14ac:dyDescent="0.25">
      <c r="AE4400">
        <v>128.63999999999999</v>
      </c>
    </row>
    <row r="4401" spans="31:31" x14ac:dyDescent="0.25">
      <c r="AE4401">
        <v>10.15</v>
      </c>
    </row>
    <row r="4402" spans="31:31" x14ac:dyDescent="0.25">
      <c r="AE4402">
        <v>55.74</v>
      </c>
    </row>
    <row r="4403" spans="31:31" x14ac:dyDescent="0.25">
      <c r="AE4403">
        <v>94.67</v>
      </c>
    </row>
    <row r="4404" spans="31:31" x14ac:dyDescent="0.25">
      <c r="AE4404">
        <v>10.27</v>
      </c>
    </row>
    <row r="4405" spans="31:31" x14ac:dyDescent="0.25">
      <c r="AE4405">
        <v>44.15</v>
      </c>
    </row>
    <row r="4406" spans="31:31" x14ac:dyDescent="0.25">
      <c r="AE4406">
        <v>0.27</v>
      </c>
    </row>
    <row r="4407" spans="31:31" x14ac:dyDescent="0.25">
      <c r="AE4407">
        <v>0.09</v>
      </c>
    </row>
    <row r="4408" spans="31:31" x14ac:dyDescent="0.25">
      <c r="AE4408">
        <v>87.8</v>
      </c>
    </row>
    <row r="4409" spans="31:31" x14ac:dyDescent="0.25">
      <c r="AE4409">
        <v>10.039999999999999</v>
      </c>
    </row>
    <row r="4410" spans="31:31" x14ac:dyDescent="0.25">
      <c r="AE4410">
        <v>62.51</v>
      </c>
    </row>
    <row r="4411" spans="31:31" x14ac:dyDescent="0.25">
      <c r="AE4411">
        <v>9.8800000000000008</v>
      </c>
    </row>
    <row r="4412" spans="31:31" x14ac:dyDescent="0.25">
      <c r="AE4412">
        <v>93.89</v>
      </c>
    </row>
    <row r="4413" spans="31:31" x14ac:dyDescent="0.25">
      <c r="AE4413">
        <v>5.4</v>
      </c>
    </row>
    <row r="4414" spans="31:31" x14ac:dyDescent="0.25">
      <c r="AE4414">
        <v>78.08</v>
      </c>
    </row>
    <row r="4415" spans="31:31" x14ac:dyDescent="0.25">
      <c r="AE4415">
        <v>72.67</v>
      </c>
    </row>
    <row r="4416" spans="31:31" x14ac:dyDescent="0.25">
      <c r="AE4416">
        <v>30.59</v>
      </c>
    </row>
    <row r="4417" spans="31:31" x14ac:dyDescent="0.25">
      <c r="AE4417">
        <v>33.26</v>
      </c>
    </row>
    <row r="4418" spans="31:31" x14ac:dyDescent="0.25">
      <c r="AE4418">
        <v>20.96</v>
      </c>
    </row>
    <row r="4419" spans="31:31" x14ac:dyDescent="0.25">
      <c r="AE4419">
        <v>9.99</v>
      </c>
    </row>
    <row r="4420" spans="31:31" x14ac:dyDescent="0.25">
      <c r="AE4420">
        <v>9.5399999999999991</v>
      </c>
    </row>
    <row r="4421" spans="31:31" x14ac:dyDescent="0.25">
      <c r="AE4421">
        <v>10.14</v>
      </c>
    </row>
    <row r="4422" spans="31:31" x14ac:dyDescent="0.25">
      <c r="AE4422">
        <v>148.52000000000001</v>
      </c>
    </row>
    <row r="4423" spans="31:31" x14ac:dyDescent="0.25">
      <c r="AE4423">
        <v>28.72</v>
      </c>
    </row>
    <row r="4424" spans="31:31" x14ac:dyDescent="0.25">
      <c r="AE4424">
        <v>74.72</v>
      </c>
    </row>
    <row r="4425" spans="31:31" x14ac:dyDescent="0.25">
      <c r="AE4425">
        <v>90</v>
      </c>
    </row>
    <row r="4426" spans="31:31" x14ac:dyDescent="0.25">
      <c r="AE4426">
        <v>7.87</v>
      </c>
    </row>
    <row r="4427" spans="31:31" x14ac:dyDescent="0.25">
      <c r="AE4427">
        <v>115.01</v>
      </c>
    </row>
    <row r="4428" spans="31:31" x14ac:dyDescent="0.25">
      <c r="AE4428">
        <v>116.85</v>
      </c>
    </row>
    <row r="4429" spans="31:31" x14ac:dyDescent="0.25">
      <c r="AE4429">
        <v>5.99</v>
      </c>
    </row>
    <row r="4430" spans="31:31" x14ac:dyDescent="0.25">
      <c r="AE4430">
        <v>148.88</v>
      </c>
    </row>
    <row r="4431" spans="31:31" x14ac:dyDescent="0.25">
      <c r="AE4431">
        <v>135.53</v>
      </c>
    </row>
    <row r="4432" spans="31:31" x14ac:dyDescent="0.25">
      <c r="AE4432">
        <v>69.81</v>
      </c>
    </row>
    <row r="4433" spans="31:31" x14ac:dyDescent="0.25">
      <c r="AE4433">
        <v>47.29</v>
      </c>
    </row>
    <row r="4434" spans="31:31" x14ac:dyDescent="0.25">
      <c r="AE4434">
        <v>39.39</v>
      </c>
    </row>
    <row r="4435" spans="31:31" x14ac:dyDescent="0.25">
      <c r="AE4435">
        <v>56.23</v>
      </c>
    </row>
    <row r="4436" spans="31:31" x14ac:dyDescent="0.25">
      <c r="AE4436">
        <v>20.94</v>
      </c>
    </row>
    <row r="4437" spans="31:31" x14ac:dyDescent="0.25">
      <c r="AE4437">
        <v>44.52</v>
      </c>
    </row>
    <row r="4438" spans="31:31" x14ac:dyDescent="0.25">
      <c r="AE4438">
        <v>75.680000000000007</v>
      </c>
    </row>
    <row r="4439" spans="31:31" x14ac:dyDescent="0.25">
      <c r="AE4439">
        <v>259.11</v>
      </c>
    </row>
    <row r="4440" spans="31:31" x14ac:dyDescent="0.25">
      <c r="AE4440">
        <v>48.08</v>
      </c>
    </row>
    <row r="4441" spans="31:31" x14ac:dyDescent="0.25">
      <c r="AE4441">
        <v>68.81</v>
      </c>
    </row>
    <row r="4442" spans="31:31" x14ac:dyDescent="0.25">
      <c r="AE4442">
        <v>26.16</v>
      </c>
    </row>
    <row r="4443" spans="31:31" x14ac:dyDescent="0.25">
      <c r="AE4443">
        <v>164.77</v>
      </c>
    </row>
    <row r="4444" spans="31:31" x14ac:dyDescent="0.25">
      <c r="AE4444">
        <v>106.99</v>
      </c>
    </row>
    <row r="4445" spans="31:31" x14ac:dyDescent="0.25">
      <c r="AE4445">
        <v>14.14</v>
      </c>
    </row>
    <row r="4446" spans="31:31" x14ac:dyDescent="0.25">
      <c r="AE4446">
        <v>65.37</v>
      </c>
    </row>
    <row r="4447" spans="31:31" x14ac:dyDescent="0.25">
      <c r="AE4447">
        <v>232.97</v>
      </c>
    </row>
    <row r="4448" spans="31:31" x14ac:dyDescent="0.25">
      <c r="AE4448">
        <v>22.72</v>
      </c>
    </row>
    <row r="4449" spans="31:31" x14ac:dyDescent="0.25">
      <c r="AE4449">
        <v>144.47</v>
      </c>
    </row>
    <row r="4450" spans="31:31" x14ac:dyDescent="0.25">
      <c r="AE4450">
        <v>21.54</v>
      </c>
    </row>
    <row r="4451" spans="31:31" x14ac:dyDescent="0.25">
      <c r="AE4451">
        <v>10.14</v>
      </c>
    </row>
    <row r="4452" spans="31:31" x14ac:dyDescent="0.25">
      <c r="AE4452">
        <v>112.53</v>
      </c>
    </row>
    <row r="4453" spans="31:31" x14ac:dyDescent="0.25">
      <c r="AE4453">
        <v>50.38</v>
      </c>
    </row>
    <row r="4454" spans="31:31" x14ac:dyDescent="0.25">
      <c r="AE4454">
        <v>102.03</v>
      </c>
    </row>
    <row r="4455" spans="31:31" x14ac:dyDescent="0.25">
      <c r="AE4455">
        <v>51.08</v>
      </c>
    </row>
    <row r="4456" spans="31:31" x14ac:dyDescent="0.25">
      <c r="AE4456">
        <v>64.87</v>
      </c>
    </row>
    <row r="4457" spans="31:31" x14ac:dyDescent="0.25">
      <c r="AE4457">
        <v>33.25</v>
      </c>
    </row>
    <row r="4458" spans="31:31" x14ac:dyDescent="0.25">
      <c r="AE4458">
        <v>59.01</v>
      </c>
    </row>
    <row r="4459" spans="31:31" x14ac:dyDescent="0.25">
      <c r="AE4459">
        <v>76.27</v>
      </c>
    </row>
    <row r="4460" spans="31:31" x14ac:dyDescent="0.25">
      <c r="AE4460">
        <v>11.48</v>
      </c>
    </row>
    <row r="4461" spans="31:31" x14ac:dyDescent="0.25">
      <c r="AE4461">
        <v>60.58</v>
      </c>
    </row>
    <row r="4462" spans="31:31" x14ac:dyDescent="0.25">
      <c r="AE4462">
        <v>106.7</v>
      </c>
    </row>
    <row r="4463" spans="31:31" x14ac:dyDescent="0.25">
      <c r="AE4463">
        <v>51.51</v>
      </c>
    </row>
    <row r="4464" spans="31:31" x14ac:dyDescent="0.25">
      <c r="AE4464">
        <v>234.45</v>
      </c>
    </row>
    <row r="4465" spans="31:31" x14ac:dyDescent="0.25">
      <c r="AE4465">
        <v>52.58</v>
      </c>
    </row>
    <row r="4466" spans="31:31" x14ac:dyDescent="0.25">
      <c r="AE4466">
        <v>70.739999999999995</v>
      </c>
    </row>
    <row r="4467" spans="31:31" x14ac:dyDescent="0.25">
      <c r="AE4467">
        <v>61.77</v>
      </c>
    </row>
    <row r="4468" spans="31:31" x14ac:dyDescent="0.25">
      <c r="AE4468">
        <v>31.56</v>
      </c>
    </row>
    <row r="4469" spans="31:31" x14ac:dyDescent="0.25">
      <c r="AE4469">
        <v>24.44</v>
      </c>
    </row>
    <row r="4470" spans="31:31" x14ac:dyDescent="0.25">
      <c r="AE4470">
        <v>45.5</v>
      </c>
    </row>
    <row r="4471" spans="31:31" x14ac:dyDescent="0.25">
      <c r="AE4471">
        <v>15.38</v>
      </c>
    </row>
    <row r="4472" spans="31:31" x14ac:dyDescent="0.25">
      <c r="AE4472">
        <v>15.74</v>
      </c>
    </row>
    <row r="4473" spans="31:31" x14ac:dyDescent="0.25">
      <c r="AE4473">
        <v>24.95</v>
      </c>
    </row>
    <row r="4474" spans="31:31" x14ac:dyDescent="0.25">
      <c r="AE4474">
        <v>33.840000000000003</v>
      </c>
    </row>
    <row r="4475" spans="31:31" x14ac:dyDescent="0.25">
      <c r="AE4475">
        <v>4.33</v>
      </c>
    </row>
    <row r="4476" spans="31:31" x14ac:dyDescent="0.25">
      <c r="AE4476">
        <v>29.15</v>
      </c>
    </row>
    <row r="4477" spans="31:31" x14ac:dyDescent="0.25">
      <c r="AE4477">
        <v>40.98</v>
      </c>
    </row>
    <row r="4478" spans="31:31" x14ac:dyDescent="0.25">
      <c r="AE4478">
        <v>12.05</v>
      </c>
    </row>
    <row r="4479" spans="31:31" x14ac:dyDescent="0.25">
      <c r="AE4479">
        <v>34.979999999999997</v>
      </c>
    </row>
    <row r="4480" spans="31:31" x14ac:dyDescent="0.25">
      <c r="AE4480">
        <v>20.68</v>
      </c>
    </row>
    <row r="4481" spans="31:31" x14ac:dyDescent="0.25">
      <c r="AE4481">
        <v>123.94</v>
      </c>
    </row>
    <row r="4482" spans="31:31" x14ac:dyDescent="0.25">
      <c r="AE4482">
        <v>25.28</v>
      </c>
    </row>
    <row r="4483" spans="31:31" x14ac:dyDescent="0.25">
      <c r="AE4483">
        <v>33.64</v>
      </c>
    </row>
    <row r="4484" spans="31:31" x14ac:dyDescent="0.25">
      <c r="AE4484">
        <v>12.73</v>
      </c>
    </row>
    <row r="4485" spans="31:31" x14ac:dyDescent="0.25">
      <c r="AE4485">
        <v>58.54</v>
      </c>
    </row>
    <row r="4486" spans="31:31" x14ac:dyDescent="0.25">
      <c r="AE4486">
        <v>20.97</v>
      </c>
    </row>
    <row r="4487" spans="31:31" x14ac:dyDescent="0.25">
      <c r="AE4487">
        <v>17.32</v>
      </c>
    </row>
    <row r="4488" spans="31:31" x14ac:dyDescent="0.25">
      <c r="AE4488">
        <v>42.23</v>
      </c>
    </row>
    <row r="4489" spans="31:31" x14ac:dyDescent="0.25">
      <c r="AE4489">
        <v>125.38</v>
      </c>
    </row>
    <row r="4490" spans="31:31" x14ac:dyDescent="0.25">
      <c r="AE4490">
        <v>68.599999999999994</v>
      </c>
    </row>
    <row r="4491" spans="31:31" x14ac:dyDescent="0.25">
      <c r="AE4491">
        <v>42.24</v>
      </c>
    </row>
    <row r="4492" spans="31:31" x14ac:dyDescent="0.25">
      <c r="AE4492">
        <v>52.73</v>
      </c>
    </row>
    <row r="4493" spans="31:31" x14ac:dyDescent="0.25">
      <c r="AE4493">
        <v>87.95</v>
      </c>
    </row>
    <row r="4494" spans="31:31" x14ac:dyDescent="0.25">
      <c r="AE4494">
        <v>63.19</v>
      </c>
    </row>
    <row r="4495" spans="31:31" x14ac:dyDescent="0.25">
      <c r="AE4495">
        <v>20.47</v>
      </c>
    </row>
    <row r="4496" spans="31:31" x14ac:dyDescent="0.25">
      <c r="AE4496">
        <v>96.45</v>
      </c>
    </row>
    <row r="4497" spans="31:31" x14ac:dyDescent="0.25">
      <c r="AE4497">
        <v>20.54</v>
      </c>
    </row>
    <row r="4498" spans="31:31" x14ac:dyDescent="0.25">
      <c r="AE4498">
        <v>10.64</v>
      </c>
    </row>
    <row r="4499" spans="31:31" x14ac:dyDescent="0.25">
      <c r="AE4499">
        <v>14.83</v>
      </c>
    </row>
    <row r="4500" spans="31:31" x14ac:dyDescent="0.25">
      <c r="AE4500">
        <v>129.87</v>
      </c>
    </row>
    <row r="4501" spans="31:31" x14ac:dyDescent="0.25">
      <c r="AE4501">
        <v>21.74</v>
      </c>
    </row>
    <row r="4502" spans="31:31" x14ac:dyDescent="0.25">
      <c r="AE4502">
        <v>6.99</v>
      </c>
    </row>
    <row r="4503" spans="31:31" x14ac:dyDescent="0.25">
      <c r="AE4503">
        <v>21.36</v>
      </c>
    </row>
    <row r="4504" spans="31:31" x14ac:dyDescent="0.25">
      <c r="AE4504">
        <v>25.05</v>
      </c>
    </row>
    <row r="4505" spans="31:31" x14ac:dyDescent="0.25">
      <c r="AE4505">
        <v>64.97</v>
      </c>
    </row>
    <row r="4506" spans="31:31" x14ac:dyDescent="0.25">
      <c r="AE4506">
        <v>26.7</v>
      </c>
    </row>
    <row r="4507" spans="31:31" x14ac:dyDescent="0.25">
      <c r="AE4507">
        <v>7.87</v>
      </c>
    </row>
    <row r="4508" spans="31:31" x14ac:dyDescent="0.25">
      <c r="AE4508">
        <v>53.28</v>
      </c>
    </row>
    <row r="4509" spans="31:31" x14ac:dyDescent="0.25">
      <c r="AE4509">
        <v>6.05</v>
      </c>
    </row>
    <row r="4510" spans="31:31" x14ac:dyDescent="0.25">
      <c r="AE4510">
        <v>223.49</v>
      </c>
    </row>
    <row r="4511" spans="31:31" x14ac:dyDescent="0.25">
      <c r="AE4511">
        <v>39.06</v>
      </c>
    </row>
    <row r="4512" spans="31:31" x14ac:dyDescent="0.25">
      <c r="AE4512">
        <v>225.5</v>
      </c>
    </row>
    <row r="4513" spans="31:31" x14ac:dyDescent="0.25">
      <c r="AE4513">
        <v>21.29</v>
      </c>
    </row>
    <row r="4514" spans="31:31" x14ac:dyDescent="0.25">
      <c r="AE4514">
        <v>14.38</v>
      </c>
    </row>
    <row r="4515" spans="31:31" x14ac:dyDescent="0.25">
      <c r="AE4515">
        <v>15.9</v>
      </c>
    </row>
    <row r="4516" spans="31:31" x14ac:dyDescent="0.25">
      <c r="AE4516">
        <v>26.66</v>
      </c>
    </row>
    <row r="4517" spans="31:31" x14ac:dyDescent="0.25">
      <c r="AE4517">
        <v>113.06</v>
      </c>
    </row>
    <row r="4518" spans="31:31" x14ac:dyDescent="0.25">
      <c r="AE4518">
        <v>47.63</v>
      </c>
    </row>
    <row r="4519" spans="31:31" x14ac:dyDescent="0.25">
      <c r="AE4519">
        <v>40.380000000000003</v>
      </c>
    </row>
    <row r="4520" spans="31:31" x14ac:dyDescent="0.25">
      <c r="AE4520">
        <v>11.48</v>
      </c>
    </row>
    <row r="4521" spans="31:31" x14ac:dyDescent="0.25">
      <c r="AE4521">
        <v>2.3199999999999998</v>
      </c>
    </row>
    <row r="4522" spans="31:31" x14ac:dyDescent="0.25">
      <c r="AE4522">
        <v>46.83</v>
      </c>
    </row>
    <row r="4523" spans="31:31" x14ac:dyDescent="0.25">
      <c r="AE4523">
        <v>24.91</v>
      </c>
    </row>
    <row r="4524" spans="31:31" x14ac:dyDescent="0.25">
      <c r="AE4524">
        <v>45.03</v>
      </c>
    </row>
    <row r="4525" spans="31:31" x14ac:dyDescent="0.25">
      <c r="AE4525">
        <v>43.9</v>
      </c>
    </row>
    <row r="4526" spans="31:31" x14ac:dyDescent="0.25">
      <c r="AE4526">
        <v>26.04</v>
      </c>
    </row>
    <row r="4527" spans="31:31" x14ac:dyDescent="0.25">
      <c r="AE4527">
        <v>138.88999999999999</v>
      </c>
    </row>
    <row r="4528" spans="31:31" x14ac:dyDescent="0.25">
      <c r="AE4528">
        <v>9.99</v>
      </c>
    </row>
    <row r="4529" spans="31:31" x14ac:dyDescent="0.25">
      <c r="AE4529">
        <v>42.24</v>
      </c>
    </row>
    <row r="4530" spans="31:31" x14ac:dyDescent="0.25">
      <c r="AE4530">
        <v>40.229999999999997</v>
      </c>
    </row>
    <row r="4531" spans="31:31" x14ac:dyDescent="0.25">
      <c r="AE4531">
        <v>6.25</v>
      </c>
    </row>
    <row r="4532" spans="31:31" x14ac:dyDescent="0.25">
      <c r="AE4532">
        <v>58.33</v>
      </c>
    </row>
    <row r="4533" spans="31:31" x14ac:dyDescent="0.25">
      <c r="AE4533">
        <v>54.38</v>
      </c>
    </row>
    <row r="4534" spans="31:31" x14ac:dyDescent="0.25">
      <c r="AE4534">
        <v>9.99</v>
      </c>
    </row>
    <row r="4535" spans="31:31" x14ac:dyDescent="0.25">
      <c r="AE4535">
        <v>9.94</v>
      </c>
    </row>
    <row r="4536" spans="31:31" x14ac:dyDescent="0.25">
      <c r="AE4536">
        <v>43.13</v>
      </c>
    </row>
    <row r="4537" spans="31:31" x14ac:dyDescent="0.25">
      <c r="AE4537">
        <v>25.15</v>
      </c>
    </row>
    <row r="4538" spans="31:31" x14ac:dyDescent="0.25">
      <c r="AE4538">
        <v>5.28</v>
      </c>
    </row>
    <row r="4539" spans="31:31" x14ac:dyDescent="0.25">
      <c r="AE4539">
        <v>34.42</v>
      </c>
    </row>
    <row r="4540" spans="31:31" x14ac:dyDescent="0.25">
      <c r="AE4540">
        <v>0.36</v>
      </c>
    </row>
    <row r="4541" spans="31:31" x14ac:dyDescent="0.25">
      <c r="AE4541">
        <v>136.05000000000001</v>
      </c>
    </row>
    <row r="4542" spans="31:31" x14ac:dyDescent="0.25">
      <c r="AE4542">
        <v>51.66</v>
      </c>
    </row>
    <row r="4543" spans="31:31" x14ac:dyDescent="0.25">
      <c r="AE4543">
        <v>24.1</v>
      </c>
    </row>
    <row r="4544" spans="31:31" x14ac:dyDescent="0.25">
      <c r="AE4544">
        <v>112.01</v>
      </c>
    </row>
    <row r="4545" spans="31:31" x14ac:dyDescent="0.25">
      <c r="AE4545">
        <v>11.99</v>
      </c>
    </row>
    <row r="4546" spans="31:31" x14ac:dyDescent="0.25">
      <c r="AE4546">
        <v>21.78</v>
      </c>
    </row>
    <row r="4547" spans="31:31" x14ac:dyDescent="0.25">
      <c r="AE4547">
        <v>76.12</v>
      </c>
    </row>
    <row r="4548" spans="31:31" x14ac:dyDescent="0.25">
      <c r="AE4548">
        <v>136.43</v>
      </c>
    </row>
    <row r="4549" spans="31:31" x14ac:dyDescent="0.25">
      <c r="AE4549">
        <v>37.58</v>
      </c>
    </row>
    <row r="4550" spans="31:31" x14ac:dyDescent="0.25">
      <c r="AE4550">
        <v>47.11</v>
      </c>
    </row>
    <row r="4551" spans="31:31" x14ac:dyDescent="0.25">
      <c r="AE4551">
        <v>31.3</v>
      </c>
    </row>
    <row r="4552" spans="31:31" x14ac:dyDescent="0.25">
      <c r="AE4552">
        <v>188.68</v>
      </c>
    </row>
    <row r="4553" spans="31:31" x14ac:dyDescent="0.25">
      <c r="AE4553">
        <v>42.12</v>
      </c>
    </row>
    <row r="4554" spans="31:31" x14ac:dyDescent="0.25">
      <c r="AE4554">
        <v>33.1</v>
      </c>
    </row>
    <row r="4555" spans="31:31" x14ac:dyDescent="0.25">
      <c r="AE4555">
        <v>60.76</v>
      </c>
    </row>
    <row r="4556" spans="31:31" x14ac:dyDescent="0.25">
      <c r="AE4556">
        <v>12.44</v>
      </c>
    </row>
    <row r="4557" spans="31:31" x14ac:dyDescent="0.25">
      <c r="AE4557">
        <v>44.95</v>
      </c>
    </row>
    <row r="4558" spans="31:31" x14ac:dyDescent="0.25">
      <c r="AE4558">
        <v>15.32</v>
      </c>
    </row>
    <row r="4559" spans="31:31" x14ac:dyDescent="0.25">
      <c r="AE4559">
        <v>10.039999999999999</v>
      </c>
    </row>
    <row r="4560" spans="31:31" x14ac:dyDescent="0.25">
      <c r="AE4560">
        <v>5.43</v>
      </c>
    </row>
    <row r="4561" spans="31:31" x14ac:dyDescent="0.25">
      <c r="AE4561">
        <v>49.47</v>
      </c>
    </row>
    <row r="4562" spans="31:31" x14ac:dyDescent="0.25">
      <c r="AE4562">
        <v>10.19</v>
      </c>
    </row>
    <row r="4563" spans="31:31" x14ac:dyDescent="0.25">
      <c r="AE4563">
        <v>11.97</v>
      </c>
    </row>
    <row r="4564" spans="31:31" x14ac:dyDescent="0.25">
      <c r="AE4564">
        <v>27.26</v>
      </c>
    </row>
    <row r="4565" spans="31:31" x14ac:dyDescent="0.25">
      <c r="AE4565">
        <v>61.27</v>
      </c>
    </row>
    <row r="4566" spans="31:31" x14ac:dyDescent="0.25">
      <c r="AE4566">
        <v>43.2</v>
      </c>
    </row>
    <row r="4567" spans="31:31" x14ac:dyDescent="0.25">
      <c r="AE4567">
        <v>31.18</v>
      </c>
    </row>
    <row r="4568" spans="31:31" x14ac:dyDescent="0.25">
      <c r="AE4568">
        <v>39.049999999999997</v>
      </c>
    </row>
    <row r="4569" spans="31:31" x14ac:dyDescent="0.25">
      <c r="AE4569">
        <v>32.119999999999997</v>
      </c>
    </row>
    <row r="4570" spans="31:31" x14ac:dyDescent="0.25">
      <c r="AE4570">
        <v>19.41</v>
      </c>
    </row>
    <row r="4571" spans="31:31" x14ac:dyDescent="0.25">
      <c r="AE4571">
        <v>179.23</v>
      </c>
    </row>
    <row r="4572" spans="31:31" x14ac:dyDescent="0.25">
      <c r="AE4572">
        <v>117.29</v>
      </c>
    </row>
    <row r="4573" spans="31:31" x14ac:dyDescent="0.25">
      <c r="AE4573">
        <v>7.38</v>
      </c>
    </row>
    <row r="4574" spans="31:31" x14ac:dyDescent="0.25">
      <c r="AE4574">
        <v>56</v>
      </c>
    </row>
    <row r="4575" spans="31:31" x14ac:dyDescent="0.25">
      <c r="AE4575">
        <v>58.05</v>
      </c>
    </row>
    <row r="4576" spans="31:31" x14ac:dyDescent="0.25">
      <c r="AE4576">
        <v>32</v>
      </c>
    </row>
    <row r="4577" spans="31:31" x14ac:dyDescent="0.25">
      <c r="AE4577">
        <v>56.26</v>
      </c>
    </row>
    <row r="4578" spans="31:31" x14ac:dyDescent="0.25">
      <c r="AE4578">
        <v>81.99</v>
      </c>
    </row>
    <row r="4579" spans="31:31" x14ac:dyDescent="0.25">
      <c r="AE4579">
        <v>42.2</v>
      </c>
    </row>
    <row r="4580" spans="31:31" x14ac:dyDescent="0.25">
      <c r="AE4580">
        <v>70.56</v>
      </c>
    </row>
    <row r="4581" spans="31:31" x14ac:dyDescent="0.25">
      <c r="AE4581">
        <v>27.53</v>
      </c>
    </row>
    <row r="4582" spans="31:31" x14ac:dyDescent="0.25">
      <c r="AE4582">
        <v>11.46</v>
      </c>
    </row>
    <row r="4583" spans="31:31" x14ac:dyDescent="0.25">
      <c r="AE4583">
        <v>44.57</v>
      </c>
    </row>
    <row r="4584" spans="31:31" x14ac:dyDescent="0.25">
      <c r="AE4584">
        <v>51.59</v>
      </c>
    </row>
    <row r="4585" spans="31:31" x14ac:dyDescent="0.25">
      <c r="AE4585">
        <v>47.95</v>
      </c>
    </row>
    <row r="4586" spans="31:31" x14ac:dyDescent="0.25">
      <c r="AE4586">
        <v>56.71</v>
      </c>
    </row>
    <row r="4587" spans="31:31" x14ac:dyDescent="0.25">
      <c r="AE4587">
        <v>4.53</v>
      </c>
    </row>
    <row r="4588" spans="31:31" x14ac:dyDescent="0.25">
      <c r="AE4588">
        <v>19.96</v>
      </c>
    </row>
    <row r="4589" spans="31:31" x14ac:dyDescent="0.25">
      <c r="AE4589">
        <v>12.91</v>
      </c>
    </row>
    <row r="4590" spans="31:31" x14ac:dyDescent="0.25">
      <c r="AE4590">
        <v>28.89</v>
      </c>
    </row>
    <row r="4591" spans="31:31" x14ac:dyDescent="0.25">
      <c r="AE4591">
        <v>65.28</v>
      </c>
    </row>
    <row r="4592" spans="31:31" x14ac:dyDescent="0.25">
      <c r="AE4592">
        <v>86.57</v>
      </c>
    </row>
    <row r="4593" spans="31:31" x14ac:dyDescent="0.25">
      <c r="AE4593">
        <v>48.84</v>
      </c>
    </row>
    <row r="4594" spans="31:31" x14ac:dyDescent="0.25">
      <c r="AE4594">
        <v>12.71</v>
      </c>
    </row>
    <row r="4595" spans="31:31" x14ac:dyDescent="0.25">
      <c r="AE4595">
        <v>25.82</v>
      </c>
    </row>
    <row r="4596" spans="31:31" x14ac:dyDescent="0.25">
      <c r="AE4596">
        <v>0.18</v>
      </c>
    </row>
    <row r="4597" spans="31:31" x14ac:dyDescent="0.25">
      <c r="AE4597">
        <v>27.55</v>
      </c>
    </row>
    <row r="4598" spans="31:31" x14ac:dyDescent="0.25">
      <c r="AE4598">
        <v>13.07</v>
      </c>
    </row>
    <row r="4599" spans="31:31" x14ac:dyDescent="0.25">
      <c r="AE4599">
        <v>73.23</v>
      </c>
    </row>
    <row r="4600" spans="31:31" x14ac:dyDescent="0.25">
      <c r="AE4600">
        <v>22.95</v>
      </c>
    </row>
    <row r="4601" spans="31:31" x14ac:dyDescent="0.25">
      <c r="AE4601">
        <v>110.34</v>
      </c>
    </row>
    <row r="4602" spans="31:31" x14ac:dyDescent="0.25">
      <c r="AE4602">
        <v>50.66</v>
      </c>
    </row>
    <row r="4603" spans="31:31" x14ac:dyDescent="0.25">
      <c r="AE4603">
        <v>94.94</v>
      </c>
    </row>
    <row r="4604" spans="31:31" x14ac:dyDescent="0.25">
      <c r="AE4604">
        <v>19.95</v>
      </c>
    </row>
    <row r="4605" spans="31:31" x14ac:dyDescent="0.25">
      <c r="AE4605">
        <v>28.92</v>
      </c>
    </row>
    <row r="4606" spans="31:31" x14ac:dyDescent="0.25">
      <c r="AE4606">
        <v>0.36</v>
      </c>
    </row>
    <row r="4607" spans="31:31" x14ac:dyDescent="0.25">
      <c r="AE4607">
        <v>58.78</v>
      </c>
    </row>
    <row r="4608" spans="31:31" x14ac:dyDescent="0.25">
      <c r="AE4608">
        <v>34.42</v>
      </c>
    </row>
    <row r="4609" spans="31:31" x14ac:dyDescent="0.25">
      <c r="AE4609">
        <v>74.8</v>
      </c>
    </row>
    <row r="4610" spans="31:31" x14ac:dyDescent="0.25">
      <c r="AE4610">
        <v>103.36</v>
      </c>
    </row>
    <row r="4611" spans="31:31" x14ac:dyDescent="0.25">
      <c r="AE4611">
        <v>169.62</v>
      </c>
    </row>
    <row r="4612" spans="31:31" x14ac:dyDescent="0.25">
      <c r="AE4612">
        <v>19.09</v>
      </c>
    </row>
    <row r="4613" spans="31:31" x14ac:dyDescent="0.25">
      <c r="AE4613">
        <v>80.959999999999994</v>
      </c>
    </row>
    <row r="4614" spans="31:31" x14ac:dyDescent="0.25">
      <c r="AE4614">
        <v>95.07</v>
      </c>
    </row>
    <row r="4615" spans="31:31" x14ac:dyDescent="0.25">
      <c r="AE4615">
        <v>33.1</v>
      </c>
    </row>
    <row r="4616" spans="31:31" x14ac:dyDescent="0.25">
      <c r="AE4616">
        <v>84.25</v>
      </c>
    </row>
    <row r="4617" spans="31:31" x14ac:dyDescent="0.25">
      <c r="AE4617">
        <v>146.05000000000001</v>
      </c>
    </row>
    <row r="4618" spans="31:31" x14ac:dyDescent="0.25">
      <c r="AE4618">
        <v>132.38</v>
      </c>
    </row>
    <row r="4619" spans="31:31" x14ac:dyDescent="0.25">
      <c r="AE4619">
        <v>62.21</v>
      </c>
    </row>
    <row r="4620" spans="31:31" x14ac:dyDescent="0.25">
      <c r="AE4620">
        <v>16.73</v>
      </c>
    </row>
    <row r="4621" spans="31:31" x14ac:dyDescent="0.25">
      <c r="AE4621">
        <v>71.67</v>
      </c>
    </row>
    <row r="4622" spans="31:31" x14ac:dyDescent="0.25">
      <c r="AE4622">
        <v>0.99</v>
      </c>
    </row>
    <row r="4623" spans="31:31" x14ac:dyDescent="0.25">
      <c r="AE4623">
        <v>34.950000000000003</v>
      </c>
    </row>
    <row r="4624" spans="31:31" x14ac:dyDescent="0.25">
      <c r="AE4624">
        <v>51.13</v>
      </c>
    </row>
    <row r="4625" spans="31:31" x14ac:dyDescent="0.25">
      <c r="AE4625">
        <v>14.63</v>
      </c>
    </row>
    <row r="4626" spans="31:31" x14ac:dyDescent="0.25">
      <c r="AE4626">
        <v>53.11</v>
      </c>
    </row>
    <row r="4627" spans="31:31" x14ac:dyDescent="0.25">
      <c r="AE4627">
        <v>139.63</v>
      </c>
    </row>
    <row r="4628" spans="31:31" x14ac:dyDescent="0.25">
      <c r="AE4628">
        <v>1.08</v>
      </c>
    </row>
    <row r="4629" spans="31:31" x14ac:dyDescent="0.25">
      <c r="AE4629">
        <v>10.14</v>
      </c>
    </row>
    <row r="4630" spans="31:31" x14ac:dyDescent="0.25">
      <c r="AE4630">
        <v>4.8499999999999996</v>
      </c>
    </row>
    <row r="4631" spans="31:31" x14ac:dyDescent="0.25">
      <c r="AE4631">
        <v>56.74</v>
      </c>
    </row>
    <row r="4632" spans="31:31" x14ac:dyDescent="0.25">
      <c r="AE4632">
        <v>19.09</v>
      </c>
    </row>
    <row r="4633" spans="31:31" x14ac:dyDescent="0.25">
      <c r="AE4633">
        <v>43.8</v>
      </c>
    </row>
    <row r="4634" spans="31:31" x14ac:dyDescent="0.25">
      <c r="AE4634">
        <v>91.23</v>
      </c>
    </row>
    <row r="4635" spans="31:31" x14ac:dyDescent="0.25">
      <c r="AE4635">
        <v>45.21</v>
      </c>
    </row>
    <row r="4636" spans="31:31" x14ac:dyDescent="0.25">
      <c r="AE4636">
        <v>69.290000000000006</v>
      </c>
    </row>
    <row r="4637" spans="31:31" x14ac:dyDescent="0.25">
      <c r="AE4637">
        <v>24.94</v>
      </c>
    </row>
    <row r="4638" spans="31:31" x14ac:dyDescent="0.25">
      <c r="AE4638">
        <v>31.46</v>
      </c>
    </row>
    <row r="4639" spans="31:31" x14ac:dyDescent="0.25">
      <c r="AE4639">
        <v>26.14</v>
      </c>
    </row>
    <row r="4640" spans="31:31" x14ac:dyDescent="0.25">
      <c r="AE4640">
        <v>124.5</v>
      </c>
    </row>
    <row r="4641" spans="31:31" x14ac:dyDescent="0.25">
      <c r="AE4641">
        <v>15.98</v>
      </c>
    </row>
    <row r="4642" spans="31:31" x14ac:dyDescent="0.25">
      <c r="AE4642">
        <v>88.25</v>
      </c>
    </row>
    <row r="4643" spans="31:31" x14ac:dyDescent="0.25">
      <c r="AE4643">
        <v>11.39</v>
      </c>
    </row>
    <row r="4644" spans="31:31" x14ac:dyDescent="0.25">
      <c r="AE4644">
        <v>10.57</v>
      </c>
    </row>
    <row r="4645" spans="31:31" x14ac:dyDescent="0.25">
      <c r="AE4645">
        <v>41.4</v>
      </c>
    </row>
    <row r="4646" spans="31:31" x14ac:dyDescent="0.25">
      <c r="AE4646">
        <v>88.87</v>
      </c>
    </row>
    <row r="4647" spans="31:31" x14ac:dyDescent="0.25">
      <c r="AE4647">
        <v>20.9</v>
      </c>
    </row>
    <row r="4648" spans="31:31" x14ac:dyDescent="0.25">
      <c r="AE4648">
        <v>57.86</v>
      </c>
    </row>
    <row r="4649" spans="31:31" x14ac:dyDescent="0.25">
      <c r="AE4649">
        <v>121</v>
      </c>
    </row>
    <row r="4650" spans="31:31" x14ac:dyDescent="0.25">
      <c r="AE4650">
        <v>141.13999999999999</v>
      </c>
    </row>
    <row r="4651" spans="31:31" x14ac:dyDescent="0.25">
      <c r="AE4651">
        <v>0.27</v>
      </c>
    </row>
    <row r="4652" spans="31:31" x14ac:dyDescent="0.25">
      <c r="AE4652">
        <v>53.27</v>
      </c>
    </row>
    <row r="4653" spans="31:31" x14ac:dyDescent="0.25">
      <c r="AE4653">
        <v>20.79</v>
      </c>
    </row>
    <row r="4654" spans="31:31" x14ac:dyDescent="0.25">
      <c r="AE4654">
        <v>110.29</v>
      </c>
    </row>
    <row r="4655" spans="31:31" x14ac:dyDescent="0.25">
      <c r="AE4655">
        <v>75.040000000000006</v>
      </c>
    </row>
    <row r="4656" spans="31:31" x14ac:dyDescent="0.25">
      <c r="AE4656">
        <v>17</v>
      </c>
    </row>
    <row r="4657" spans="31:31" x14ac:dyDescent="0.25">
      <c r="AE4657">
        <v>58.7</v>
      </c>
    </row>
    <row r="4658" spans="31:31" x14ac:dyDescent="0.25">
      <c r="AE4658">
        <v>10.24</v>
      </c>
    </row>
    <row r="4659" spans="31:31" x14ac:dyDescent="0.25">
      <c r="AE4659">
        <v>17.04</v>
      </c>
    </row>
    <row r="4660" spans="31:31" x14ac:dyDescent="0.25">
      <c r="AE4660">
        <v>37.4</v>
      </c>
    </row>
    <row r="4661" spans="31:31" x14ac:dyDescent="0.25">
      <c r="AE4661">
        <v>41.52</v>
      </c>
    </row>
    <row r="4662" spans="31:31" x14ac:dyDescent="0.25">
      <c r="AE4662">
        <v>26.54</v>
      </c>
    </row>
    <row r="4663" spans="31:31" x14ac:dyDescent="0.25">
      <c r="AE4663">
        <v>105.22</v>
      </c>
    </row>
    <row r="4664" spans="31:31" x14ac:dyDescent="0.25">
      <c r="AE4664">
        <v>29.61</v>
      </c>
    </row>
    <row r="4665" spans="31:31" x14ac:dyDescent="0.25">
      <c r="AE4665">
        <v>45.65</v>
      </c>
    </row>
    <row r="4666" spans="31:31" x14ac:dyDescent="0.25">
      <c r="AE4666">
        <v>29.97</v>
      </c>
    </row>
    <row r="4667" spans="31:31" x14ac:dyDescent="0.25">
      <c r="AE4667">
        <v>63.64</v>
      </c>
    </row>
    <row r="4668" spans="31:31" x14ac:dyDescent="0.25">
      <c r="AE4668">
        <v>57.01</v>
      </c>
    </row>
    <row r="4669" spans="31:31" x14ac:dyDescent="0.25">
      <c r="AE4669">
        <v>115.55</v>
      </c>
    </row>
    <row r="4670" spans="31:31" x14ac:dyDescent="0.25">
      <c r="AE4670">
        <v>26.09</v>
      </c>
    </row>
    <row r="4671" spans="31:31" x14ac:dyDescent="0.25">
      <c r="AE4671">
        <v>43.52</v>
      </c>
    </row>
    <row r="4672" spans="31:31" x14ac:dyDescent="0.25">
      <c r="AE4672">
        <v>87.73</v>
      </c>
    </row>
    <row r="4673" spans="31:31" x14ac:dyDescent="0.25">
      <c r="AE4673">
        <v>95.51</v>
      </c>
    </row>
    <row r="4674" spans="31:31" x14ac:dyDescent="0.25">
      <c r="AE4674">
        <v>38.119999999999997</v>
      </c>
    </row>
    <row r="4675" spans="31:31" x14ac:dyDescent="0.25">
      <c r="AE4675">
        <v>16.16</v>
      </c>
    </row>
    <row r="4676" spans="31:31" x14ac:dyDescent="0.25">
      <c r="AE4676">
        <v>21.46</v>
      </c>
    </row>
    <row r="4677" spans="31:31" x14ac:dyDescent="0.25">
      <c r="AE4677">
        <v>43.38</v>
      </c>
    </row>
    <row r="4678" spans="31:31" x14ac:dyDescent="0.25">
      <c r="AE4678">
        <v>1.51</v>
      </c>
    </row>
    <row r="4679" spans="31:31" x14ac:dyDescent="0.25">
      <c r="AE4679">
        <v>55.26</v>
      </c>
    </row>
    <row r="4680" spans="31:31" x14ac:dyDescent="0.25">
      <c r="AE4680">
        <v>33.67</v>
      </c>
    </row>
    <row r="4681" spans="31:31" x14ac:dyDescent="0.25">
      <c r="AE4681">
        <v>60.83</v>
      </c>
    </row>
    <row r="4682" spans="31:31" x14ac:dyDescent="0.25">
      <c r="AE4682">
        <v>130.37</v>
      </c>
    </row>
    <row r="4683" spans="31:31" x14ac:dyDescent="0.25">
      <c r="AE4683">
        <v>58.29</v>
      </c>
    </row>
    <row r="4684" spans="31:31" x14ac:dyDescent="0.25">
      <c r="AE4684">
        <v>27.57</v>
      </c>
    </row>
    <row r="4685" spans="31:31" x14ac:dyDescent="0.25">
      <c r="AE4685">
        <v>241.87</v>
      </c>
    </row>
    <row r="4686" spans="31:31" x14ac:dyDescent="0.25">
      <c r="AE4686">
        <v>51.11</v>
      </c>
    </row>
    <row r="4687" spans="31:31" x14ac:dyDescent="0.25">
      <c r="AE4687">
        <v>37.65</v>
      </c>
    </row>
    <row r="4688" spans="31:31" x14ac:dyDescent="0.25">
      <c r="AE4688">
        <v>31.87</v>
      </c>
    </row>
    <row r="4689" spans="31:31" x14ac:dyDescent="0.25">
      <c r="AE4689">
        <v>122.82</v>
      </c>
    </row>
    <row r="4690" spans="31:31" x14ac:dyDescent="0.25">
      <c r="AE4690">
        <v>101.5</v>
      </c>
    </row>
    <row r="4691" spans="31:31" x14ac:dyDescent="0.25">
      <c r="AE4691">
        <v>56.39</v>
      </c>
    </row>
    <row r="4692" spans="31:31" x14ac:dyDescent="0.25">
      <c r="AE4692">
        <v>24.95</v>
      </c>
    </row>
    <row r="4693" spans="31:31" x14ac:dyDescent="0.25">
      <c r="AE4693">
        <v>19.98</v>
      </c>
    </row>
    <row r="4694" spans="31:31" x14ac:dyDescent="0.25">
      <c r="AE4694">
        <v>32.53</v>
      </c>
    </row>
    <row r="4695" spans="31:31" x14ac:dyDescent="0.25">
      <c r="AE4695">
        <v>54.89</v>
      </c>
    </row>
    <row r="4696" spans="31:31" x14ac:dyDescent="0.25">
      <c r="AE4696">
        <v>2.39</v>
      </c>
    </row>
    <row r="4697" spans="31:31" x14ac:dyDescent="0.25">
      <c r="AE4697">
        <v>144.54</v>
      </c>
    </row>
    <row r="4698" spans="31:31" x14ac:dyDescent="0.25">
      <c r="AE4698">
        <v>56.98</v>
      </c>
    </row>
    <row r="4699" spans="31:31" x14ac:dyDescent="0.25">
      <c r="AE4699">
        <v>77.06</v>
      </c>
    </row>
    <row r="4700" spans="31:31" x14ac:dyDescent="0.25">
      <c r="AE4700">
        <v>57.2</v>
      </c>
    </row>
    <row r="4701" spans="31:31" x14ac:dyDescent="0.25">
      <c r="AE4701">
        <v>41.19</v>
      </c>
    </row>
    <row r="4702" spans="31:31" x14ac:dyDescent="0.25">
      <c r="AE4702">
        <v>5.0599999999999996</v>
      </c>
    </row>
    <row r="4703" spans="31:31" x14ac:dyDescent="0.25">
      <c r="AE4703">
        <v>65.06</v>
      </c>
    </row>
    <row r="4704" spans="31:31" x14ac:dyDescent="0.25">
      <c r="AE4704">
        <v>24.88</v>
      </c>
    </row>
    <row r="4705" spans="31:31" x14ac:dyDescent="0.25">
      <c r="AE4705">
        <v>19.04</v>
      </c>
    </row>
    <row r="4706" spans="31:31" x14ac:dyDescent="0.25">
      <c r="AE4706">
        <v>95.2</v>
      </c>
    </row>
    <row r="4707" spans="31:31" x14ac:dyDescent="0.25">
      <c r="AE4707">
        <v>0.72</v>
      </c>
    </row>
    <row r="4708" spans="31:31" x14ac:dyDescent="0.25">
      <c r="AE4708">
        <v>43.14</v>
      </c>
    </row>
    <row r="4709" spans="31:31" x14ac:dyDescent="0.25">
      <c r="AE4709">
        <v>33.07</v>
      </c>
    </row>
    <row r="4710" spans="31:31" x14ac:dyDescent="0.25">
      <c r="AE4710">
        <v>29.67</v>
      </c>
    </row>
    <row r="4711" spans="31:31" x14ac:dyDescent="0.25">
      <c r="AE4711">
        <v>40.4</v>
      </c>
    </row>
    <row r="4712" spans="31:31" x14ac:dyDescent="0.25">
      <c r="AE4712">
        <v>46.34</v>
      </c>
    </row>
    <row r="4713" spans="31:31" x14ac:dyDescent="0.25">
      <c r="AE4713">
        <v>26.36</v>
      </c>
    </row>
    <row r="4714" spans="31:31" x14ac:dyDescent="0.25">
      <c r="AE4714">
        <v>75.09</v>
      </c>
    </row>
    <row r="4715" spans="31:31" x14ac:dyDescent="0.25">
      <c r="AE4715">
        <v>38.46</v>
      </c>
    </row>
    <row r="4716" spans="31:31" x14ac:dyDescent="0.25">
      <c r="AE4716">
        <v>84.75</v>
      </c>
    </row>
    <row r="4717" spans="31:31" x14ac:dyDescent="0.25">
      <c r="AE4717">
        <v>24.33</v>
      </c>
    </row>
    <row r="4718" spans="31:31" x14ac:dyDescent="0.25">
      <c r="AE4718">
        <v>41.2</v>
      </c>
    </row>
    <row r="4719" spans="31:31" x14ac:dyDescent="0.25">
      <c r="AE4719">
        <v>1.74</v>
      </c>
    </row>
    <row r="4720" spans="31:31" x14ac:dyDescent="0.25">
      <c r="AE4720">
        <v>17.489999999999998</v>
      </c>
    </row>
    <row r="4721" spans="31:31" x14ac:dyDescent="0.25">
      <c r="AE4721">
        <v>9.99</v>
      </c>
    </row>
    <row r="4722" spans="31:31" x14ac:dyDescent="0.25">
      <c r="AE4722">
        <v>66.239999999999995</v>
      </c>
    </row>
    <row r="4723" spans="31:31" x14ac:dyDescent="0.25">
      <c r="AE4723">
        <v>34.07</v>
      </c>
    </row>
    <row r="4724" spans="31:31" x14ac:dyDescent="0.25">
      <c r="AE4724">
        <v>17.329999999999998</v>
      </c>
    </row>
    <row r="4725" spans="31:31" x14ac:dyDescent="0.25">
      <c r="AE4725">
        <v>47.4</v>
      </c>
    </row>
    <row r="4726" spans="31:31" x14ac:dyDescent="0.25">
      <c r="AE4726">
        <v>89.22</v>
      </c>
    </row>
    <row r="4727" spans="31:31" x14ac:dyDescent="0.25">
      <c r="AE4727">
        <v>38.96</v>
      </c>
    </row>
    <row r="4728" spans="31:31" x14ac:dyDescent="0.25">
      <c r="AE4728">
        <v>26.02</v>
      </c>
    </row>
    <row r="4729" spans="31:31" x14ac:dyDescent="0.25">
      <c r="AE4729">
        <v>174.46</v>
      </c>
    </row>
    <row r="4730" spans="31:31" x14ac:dyDescent="0.25">
      <c r="AE4730">
        <v>100.87</v>
      </c>
    </row>
    <row r="4731" spans="31:31" x14ac:dyDescent="0.25">
      <c r="AE4731">
        <v>2.58</v>
      </c>
    </row>
    <row r="4732" spans="31:31" x14ac:dyDescent="0.25">
      <c r="AE4732">
        <v>62.17</v>
      </c>
    </row>
    <row r="4733" spans="31:31" x14ac:dyDescent="0.25">
      <c r="AE4733">
        <v>76.66</v>
      </c>
    </row>
    <row r="4734" spans="31:31" x14ac:dyDescent="0.25">
      <c r="AE4734">
        <v>60.09</v>
      </c>
    </row>
    <row r="4735" spans="31:31" x14ac:dyDescent="0.25">
      <c r="AE4735">
        <v>13.48</v>
      </c>
    </row>
    <row r="4736" spans="31:31" x14ac:dyDescent="0.25">
      <c r="AE4736">
        <v>23.53</v>
      </c>
    </row>
    <row r="4737" spans="31:31" x14ac:dyDescent="0.25">
      <c r="AE4737">
        <v>14.61</v>
      </c>
    </row>
    <row r="4738" spans="31:31" x14ac:dyDescent="0.25">
      <c r="AE4738">
        <v>18.11</v>
      </c>
    </row>
    <row r="4739" spans="31:31" x14ac:dyDescent="0.25">
      <c r="AE4739">
        <v>41.41</v>
      </c>
    </row>
    <row r="4740" spans="31:31" x14ac:dyDescent="0.25">
      <c r="AE4740">
        <v>50.81</v>
      </c>
    </row>
    <row r="4741" spans="31:31" x14ac:dyDescent="0.25">
      <c r="AE4741">
        <v>25.47</v>
      </c>
    </row>
    <row r="4742" spans="31:31" x14ac:dyDescent="0.25">
      <c r="AE4742">
        <v>15.81</v>
      </c>
    </row>
    <row r="4743" spans="31:31" x14ac:dyDescent="0.25">
      <c r="AE4743">
        <v>14.91</v>
      </c>
    </row>
    <row r="4744" spans="31:31" x14ac:dyDescent="0.25">
      <c r="AE4744">
        <v>47.65</v>
      </c>
    </row>
    <row r="4745" spans="31:31" x14ac:dyDescent="0.25">
      <c r="AE4745">
        <v>17.920000000000002</v>
      </c>
    </row>
    <row r="4746" spans="31:31" x14ac:dyDescent="0.25">
      <c r="AE4746">
        <v>176.55</v>
      </c>
    </row>
    <row r="4747" spans="31:31" x14ac:dyDescent="0.25">
      <c r="AE4747">
        <v>25.75</v>
      </c>
    </row>
    <row r="4748" spans="31:31" x14ac:dyDescent="0.25">
      <c r="AE4748">
        <v>27.74</v>
      </c>
    </row>
    <row r="4749" spans="31:31" x14ac:dyDescent="0.25">
      <c r="AE4749">
        <v>17.559999999999999</v>
      </c>
    </row>
    <row r="4750" spans="31:31" x14ac:dyDescent="0.25">
      <c r="AE4750">
        <v>60.37</v>
      </c>
    </row>
    <row r="4751" spans="31:31" x14ac:dyDescent="0.25">
      <c r="AE4751">
        <v>47.76</v>
      </c>
    </row>
    <row r="4752" spans="31:31" x14ac:dyDescent="0.25">
      <c r="AE4752">
        <v>81.77</v>
      </c>
    </row>
    <row r="4753" spans="31:31" x14ac:dyDescent="0.25">
      <c r="AE4753">
        <v>29.99</v>
      </c>
    </row>
    <row r="4754" spans="31:31" x14ac:dyDescent="0.25">
      <c r="AE4754">
        <v>137.01</v>
      </c>
    </row>
    <row r="4755" spans="31:31" x14ac:dyDescent="0.25">
      <c r="AE4755">
        <v>23.73</v>
      </c>
    </row>
    <row r="4756" spans="31:31" x14ac:dyDescent="0.25">
      <c r="AE4756">
        <v>114.34</v>
      </c>
    </row>
    <row r="4757" spans="31:31" x14ac:dyDescent="0.25">
      <c r="AE4757">
        <v>56.42</v>
      </c>
    </row>
    <row r="4758" spans="31:31" x14ac:dyDescent="0.25">
      <c r="AE4758">
        <v>34.68</v>
      </c>
    </row>
    <row r="4759" spans="31:31" x14ac:dyDescent="0.25">
      <c r="AE4759">
        <v>162.69</v>
      </c>
    </row>
    <row r="4760" spans="31:31" x14ac:dyDescent="0.25">
      <c r="AE4760">
        <v>27.63</v>
      </c>
    </row>
    <row r="4761" spans="31:31" x14ac:dyDescent="0.25">
      <c r="AE4761">
        <v>98.59</v>
      </c>
    </row>
    <row r="4762" spans="31:31" x14ac:dyDescent="0.25">
      <c r="AE4762">
        <v>34.93</v>
      </c>
    </row>
    <row r="4763" spans="31:31" x14ac:dyDescent="0.25">
      <c r="AE4763">
        <v>114.78</v>
      </c>
    </row>
    <row r="4764" spans="31:31" x14ac:dyDescent="0.25">
      <c r="AE4764">
        <v>18.36</v>
      </c>
    </row>
    <row r="4765" spans="31:31" x14ac:dyDescent="0.25">
      <c r="AE4765">
        <v>4.4800000000000004</v>
      </c>
    </row>
    <row r="4766" spans="31:31" x14ac:dyDescent="0.25">
      <c r="AE4766">
        <v>21.52</v>
      </c>
    </row>
    <row r="4767" spans="31:31" x14ac:dyDescent="0.25">
      <c r="AE4767">
        <v>20.46</v>
      </c>
    </row>
    <row r="4768" spans="31:31" x14ac:dyDescent="0.25">
      <c r="AE4768">
        <v>27.7</v>
      </c>
    </row>
    <row r="4769" spans="31:31" x14ac:dyDescent="0.25">
      <c r="AE4769">
        <v>38.53</v>
      </c>
    </row>
    <row r="4770" spans="31:31" x14ac:dyDescent="0.25">
      <c r="AE4770">
        <v>146.66</v>
      </c>
    </row>
    <row r="4771" spans="31:31" x14ac:dyDescent="0.25">
      <c r="AE4771">
        <v>14.57</v>
      </c>
    </row>
    <row r="4772" spans="31:31" x14ac:dyDescent="0.25">
      <c r="AE4772">
        <v>33.590000000000003</v>
      </c>
    </row>
    <row r="4773" spans="31:31" x14ac:dyDescent="0.25">
      <c r="AE4773">
        <v>0.85</v>
      </c>
    </row>
    <row r="4774" spans="31:31" x14ac:dyDescent="0.25">
      <c r="AE4774">
        <v>69.88</v>
      </c>
    </row>
    <row r="4775" spans="31:31" x14ac:dyDescent="0.25">
      <c r="AE4775">
        <v>14.83</v>
      </c>
    </row>
    <row r="4776" spans="31:31" x14ac:dyDescent="0.25">
      <c r="AE4776">
        <v>42.76</v>
      </c>
    </row>
    <row r="4777" spans="31:31" x14ac:dyDescent="0.25">
      <c r="AE4777">
        <v>35.29</v>
      </c>
    </row>
    <row r="4778" spans="31:31" x14ac:dyDescent="0.25">
      <c r="AE4778">
        <v>104.17</v>
      </c>
    </row>
    <row r="4779" spans="31:31" x14ac:dyDescent="0.25">
      <c r="AE4779">
        <v>57.55</v>
      </c>
    </row>
    <row r="4780" spans="31:31" x14ac:dyDescent="0.25">
      <c r="AE4780">
        <v>36.909999999999997</v>
      </c>
    </row>
    <row r="4781" spans="31:31" x14ac:dyDescent="0.25">
      <c r="AE4781">
        <v>20.440000000000001</v>
      </c>
    </row>
    <row r="4782" spans="31:31" x14ac:dyDescent="0.25">
      <c r="AE4782">
        <v>59.87</v>
      </c>
    </row>
    <row r="4783" spans="31:31" x14ac:dyDescent="0.25">
      <c r="AE4783">
        <v>152.28</v>
      </c>
    </row>
    <row r="4784" spans="31:31" x14ac:dyDescent="0.25">
      <c r="AE4784">
        <v>54.72</v>
      </c>
    </row>
    <row r="4785" spans="31:31" x14ac:dyDescent="0.25">
      <c r="AE4785">
        <v>11.68</v>
      </c>
    </row>
    <row r="4786" spans="31:31" x14ac:dyDescent="0.25">
      <c r="AE4786">
        <v>34.380000000000003</v>
      </c>
    </row>
    <row r="4787" spans="31:31" x14ac:dyDescent="0.25">
      <c r="AE4787">
        <v>40.11</v>
      </c>
    </row>
    <row r="4788" spans="31:31" x14ac:dyDescent="0.25">
      <c r="AE4788">
        <v>32.54</v>
      </c>
    </row>
    <row r="4789" spans="31:31" x14ac:dyDescent="0.25">
      <c r="AE4789">
        <v>32.36</v>
      </c>
    </row>
    <row r="4790" spans="31:31" x14ac:dyDescent="0.25">
      <c r="AE4790">
        <v>10.41</v>
      </c>
    </row>
    <row r="4791" spans="31:31" x14ac:dyDescent="0.25">
      <c r="AE4791">
        <v>36.119999999999997</v>
      </c>
    </row>
    <row r="4792" spans="31:31" x14ac:dyDescent="0.25">
      <c r="AE4792">
        <v>17.399999999999999</v>
      </c>
    </row>
    <row r="4793" spans="31:31" x14ac:dyDescent="0.25">
      <c r="AE4793">
        <v>18.079999999999998</v>
      </c>
    </row>
    <row r="4794" spans="31:31" x14ac:dyDescent="0.25">
      <c r="AE4794">
        <v>122.87</v>
      </c>
    </row>
    <row r="4795" spans="31:31" x14ac:dyDescent="0.25">
      <c r="AE4795">
        <v>40.89</v>
      </c>
    </row>
    <row r="4796" spans="31:31" x14ac:dyDescent="0.25">
      <c r="AE4796">
        <v>71.790000000000006</v>
      </c>
    </row>
    <row r="4797" spans="31:31" x14ac:dyDescent="0.25">
      <c r="AE4797">
        <v>62.86</v>
      </c>
    </row>
    <row r="4798" spans="31:31" x14ac:dyDescent="0.25">
      <c r="AE4798">
        <v>93.19</v>
      </c>
    </row>
    <row r="4799" spans="31:31" x14ac:dyDescent="0.25">
      <c r="AE4799">
        <v>31.84</v>
      </c>
    </row>
    <row r="4800" spans="31:31" x14ac:dyDescent="0.25">
      <c r="AE4800">
        <v>22.31</v>
      </c>
    </row>
    <row r="4801" spans="31:31" x14ac:dyDescent="0.25">
      <c r="AE4801">
        <v>23.59</v>
      </c>
    </row>
    <row r="4802" spans="31:31" x14ac:dyDescent="0.25">
      <c r="AE4802">
        <v>85.94</v>
      </c>
    </row>
    <row r="4803" spans="31:31" x14ac:dyDescent="0.25">
      <c r="AE4803">
        <v>48.66</v>
      </c>
    </row>
    <row r="4804" spans="31:31" x14ac:dyDescent="0.25">
      <c r="AE4804">
        <v>22.43</v>
      </c>
    </row>
    <row r="4805" spans="31:31" x14ac:dyDescent="0.25">
      <c r="AE4805">
        <v>23.5</v>
      </c>
    </row>
    <row r="4806" spans="31:31" x14ac:dyDescent="0.25">
      <c r="AE4806">
        <v>14.59</v>
      </c>
    </row>
    <row r="4807" spans="31:31" x14ac:dyDescent="0.25">
      <c r="AE4807">
        <v>26.24</v>
      </c>
    </row>
    <row r="4808" spans="31:31" x14ac:dyDescent="0.25">
      <c r="AE4808">
        <v>32.4</v>
      </c>
    </row>
    <row r="4809" spans="31:31" x14ac:dyDescent="0.25">
      <c r="AE4809">
        <v>129.5</v>
      </c>
    </row>
    <row r="4810" spans="31:31" x14ac:dyDescent="0.25">
      <c r="AE4810">
        <v>13.12</v>
      </c>
    </row>
    <row r="4811" spans="31:31" x14ac:dyDescent="0.25">
      <c r="AE4811">
        <v>105.3</v>
      </c>
    </row>
    <row r="4812" spans="31:31" x14ac:dyDescent="0.25">
      <c r="AE4812">
        <v>14.45</v>
      </c>
    </row>
    <row r="4813" spans="31:31" x14ac:dyDescent="0.25">
      <c r="AE4813">
        <v>77.3</v>
      </c>
    </row>
    <row r="4814" spans="31:31" x14ac:dyDescent="0.25">
      <c r="AE4814">
        <v>39.67</v>
      </c>
    </row>
    <row r="4815" spans="31:31" x14ac:dyDescent="0.25">
      <c r="AE4815">
        <v>38.04</v>
      </c>
    </row>
    <row r="4816" spans="31:31" x14ac:dyDescent="0.25">
      <c r="AE4816">
        <v>22.48</v>
      </c>
    </row>
    <row r="4817" spans="31:31" x14ac:dyDescent="0.25">
      <c r="AE4817">
        <v>62.3</v>
      </c>
    </row>
    <row r="4818" spans="31:31" x14ac:dyDescent="0.25">
      <c r="AE4818">
        <v>0.27</v>
      </c>
    </row>
    <row r="4819" spans="31:31" x14ac:dyDescent="0.25">
      <c r="AE4819">
        <v>81.64</v>
      </c>
    </row>
    <row r="4820" spans="31:31" x14ac:dyDescent="0.25">
      <c r="AE4820">
        <v>226.1</v>
      </c>
    </row>
    <row r="4821" spans="31:31" x14ac:dyDescent="0.25">
      <c r="AE4821">
        <v>51.79</v>
      </c>
    </row>
    <row r="4822" spans="31:31" x14ac:dyDescent="0.25">
      <c r="AE4822">
        <v>10.09</v>
      </c>
    </row>
    <row r="4823" spans="31:31" x14ac:dyDescent="0.25">
      <c r="AE4823">
        <v>42.8</v>
      </c>
    </row>
    <row r="4824" spans="31:31" x14ac:dyDescent="0.25">
      <c r="AE4824">
        <v>48.17</v>
      </c>
    </row>
    <row r="4825" spans="31:31" x14ac:dyDescent="0.25">
      <c r="AE4825">
        <v>49.71</v>
      </c>
    </row>
    <row r="4826" spans="31:31" x14ac:dyDescent="0.25">
      <c r="AE4826">
        <v>40.79</v>
      </c>
    </row>
    <row r="4827" spans="31:31" x14ac:dyDescent="0.25">
      <c r="AE4827">
        <v>37.64</v>
      </c>
    </row>
    <row r="4828" spans="31:31" x14ac:dyDescent="0.25">
      <c r="AE4828">
        <v>68.03</v>
      </c>
    </row>
    <row r="4829" spans="31:31" x14ac:dyDescent="0.25">
      <c r="AE4829">
        <v>209.73</v>
      </c>
    </row>
    <row r="4830" spans="31:31" x14ac:dyDescent="0.25">
      <c r="AE4830">
        <v>73.790000000000006</v>
      </c>
    </row>
    <row r="4831" spans="31:31" x14ac:dyDescent="0.25">
      <c r="AE4831">
        <v>2.39</v>
      </c>
    </row>
    <row r="4832" spans="31:31" x14ac:dyDescent="0.25">
      <c r="AE4832">
        <v>27.68</v>
      </c>
    </row>
    <row r="4833" spans="31:31" x14ac:dyDescent="0.25">
      <c r="AE4833">
        <v>37.76</v>
      </c>
    </row>
    <row r="4834" spans="31:31" x14ac:dyDescent="0.25">
      <c r="AE4834">
        <v>45.8</v>
      </c>
    </row>
    <row r="4835" spans="31:31" x14ac:dyDescent="0.25">
      <c r="AE4835">
        <v>11.06</v>
      </c>
    </row>
    <row r="4836" spans="31:31" x14ac:dyDescent="0.25">
      <c r="AE4836">
        <v>48.63</v>
      </c>
    </row>
    <row r="4837" spans="31:31" x14ac:dyDescent="0.25">
      <c r="AE4837">
        <v>20.52</v>
      </c>
    </row>
    <row r="4838" spans="31:31" x14ac:dyDescent="0.25">
      <c r="AE4838">
        <v>15.66</v>
      </c>
    </row>
    <row r="4839" spans="31:31" x14ac:dyDescent="0.25">
      <c r="AE4839">
        <v>75.64</v>
      </c>
    </row>
    <row r="4840" spans="31:31" x14ac:dyDescent="0.25">
      <c r="AE4840">
        <v>27.65</v>
      </c>
    </row>
    <row r="4841" spans="31:31" x14ac:dyDescent="0.25">
      <c r="AE4841">
        <v>129</v>
      </c>
    </row>
    <row r="4842" spans="31:31" x14ac:dyDescent="0.25">
      <c r="AE4842">
        <v>86.43</v>
      </c>
    </row>
    <row r="4843" spans="31:31" x14ac:dyDescent="0.25">
      <c r="AE4843">
        <v>105.29</v>
      </c>
    </row>
    <row r="4844" spans="31:31" x14ac:dyDescent="0.25">
      <c r="AE4844">
        <v>27.79</v>
      </c>
    </row>
    <row r="4845" spans="31:31" x14ac:dyDescent="0.25">
      <c r="AE4845">
        <v>55.83</v>
      </c>
    </row>
    <row r="4846" spans="31:31" x14ac:dyDescent="0.25">
      <c r="AE4846">
        <v>60.66</v>
      </c>
    </row>
    <row r="4847" spans="31:31" x14ac:dyDescent="0.25">
      <c r="AE4847">
        <v>37.520000000000003</v>
      </c>
    </row>
    <row r="4848" spans="31:31" x14ac:dyDescent="0.25">
      <c r="AE4848">
        <v>21.66</v>
      </c>
    </row>
    <row r="4849" spans="31:31" x14ac:dyDescent="0.25">
      <c r="AE4849">
        <v>15.01</v>
      </c>
    </row>
    <row r="4850" spans="31:31" x14ac:dyDescent="0.25">
      <c r="AE4850">
        <v>28.59</v>
      </c>
    </row>
    <row r="4851" spans="31:31" x14ac:dyDescent="0.25">
      <c r="AE4851">
        <v>14.43</v>
      </c>
    </row>
    <row r="4852" spans="31:31" x14ac:dyDescent="0.25">
      <c r="AE4852">
        <v>80.34</v>
      </c>
    </row>
    <row r="4853" spans="31:31" x14ac:dyDescent="0.25">
      <c r="AE4853">
        <v>18.489999999999998</v>
      </c>
    </row>
    <row r="4854" spans="31:31" x14ac:dyDescent="0.25">
      <c r="AE4854">
        <v>65.63</v>
      </c>
    </row>
    <row r="4855" spans="31:31" x14ac:dyDescent="0.25">
      <c r="AE4855">
        <v>80.31</v>
      </c>
    </row>
    <row r="4856" spans="31:31" x14ac:dyDescent="0.25">
      <c r="AE4856">
        <v>38.04</v>
      </c>
    </row>
    <row r="4857" spans="31:31" x14ac:dyDescent="0.25">
      <c r="AE4857">
        <v>74.760000000000005</v>
      </c>
    </row>
    <row r="4858" spans="31:31" x14ac:dyDescent="0.25">
      <c r="AE4858">
        <v>21.36</v>
      </c>
    </row>
    <row r="4859" spans="31:31" x14ac:dyDescent="0.25">
      <c r="AE4859">
        <v>72.69</v>
      </c>
    </row>
    <row r="4860" spans="31:31" x14ac:dyDescent="0.25">
      <c r="AE4860">
        <v>45.57</v>
      </c>
    </row>
    <row r="4861" spans="31:31" x14ac:dyDescent="0.25">
      <c r="AE4861">
        <v>18.46</v>
      </c>
    </row>
    <row r="4862" spans="31:31" x14ac:dyDescent="0.25">
      <c r="AE4862">
        <v>58.79</v>
      </c>
    </row>
    <row r="4863" spans="31:31" x14ac:dyDescent="0.25">
      <c r="AE4863">
        <v>14.23</v>
      </c>
    </row>
    <row r="4864" spans="31:31" x14ac:dyDescent="0.25">
      <c r="AE4864">
        <v>100.19</v>
      </c>
    </row>
    <row r="4865" spans="31:31" x14ac:dyDescent="0.25">
      <c r="AE4865">
        <v>13.68</v>
      </c>
    </row>
    <row r="4866" spans="31:31" x14ac:dyDescent="0.25">
      <c r="AE4866">
        <v>32.880000000000003</v>
      </c>
    </row>
    <row r="4867" spans="31:31" x14ac:dyDescent="0.25">
      <c r="AE4867">
        <v>44.19</v>
      </c>
    </row>
    <row r="4868" spans="31:31" x14ac:dyDescent="0.25">
      <c r="AE4868">
        <v>28.55</v>
      </c>
    </row>
    <row r="4869" spans="31:31" x14ac:dyDescent="0.25">
      <c r="AE4869">
        <v>18.57</v>
      </c>
    </row>
    <row r="4870" spans="31:31" x14ac:dyDescent="0.25">
      <c r="AE4870">
        <v>33.68</v>
      </c>
    </row>
    <row r="4871" spans="31:31" x14ac:dyDescent="0.25">
      <c r="AE4871">
        <v>26.94</v>
      </c>
    </row>
    <row r="4872" spans="31:31" x14ac:dyDescent="0.25">
      <c r="AE4872">
        <v>65.25</v>
      </c>
    </row>
    <row r="4873" spans="31:31" x14ac:dyDescent="0.25">
      <c r="AE4873">
        <v>27.58</v>
      </c>
    </row>
    <row r="4874" spans="31:31" x14ac:dyDescent="0.25">
      <c r="AE4874">
        <v>29.99</v>
      </c>
    </row>
    <row r="4875" spans="31:31" x14ac:dyDescent="0.25">
      <c r="AE4875">
        <v>87.93</v>
      </c>
    </row>
    <row r="4876" spans="31:31" x14ac:dyDescent="0.25">
      <c r="AE4876">
        <v>70.73</v>
      </c>
    </row>
    <row r="4877" spans="31:31" x14ac:dyDescent="0.25">
      <c r="AE4877">
        <v>140.22</v>
      </c>
    </row>
    <row r="4878" spans="31:31" x14ac:dyDescent="0.25">
      <c r="AE4878">
        <v>42.66</v>
      </c>
    </row>
    <row r="4879" spans="31:31" x14ac:dyDescent="0.25">
      <c r="AE4879">
        <v>4.1399999999999997</v>
      </c>
    </row>
    <row r="4880" spans="31:31" x14ac:dyDescent="0.25">
      <c r="AE4880">
        <v>51.11</v>
      </c>
    </row>
    <row r="4881" spans="31:31" x14ac:dyDescent="0.25">
      <c r="AE4881">
        <v>82.95</v>
      </c>
    </row>
    <row r="4882" spans="31:31" x14ac:dyDescent="0.25">
      <c r="AE4882">
        <v>16.5</v>
      </c>
    </row>
    <row r="4883" spans="31:31" x14ac:dyDescent="0.25">
      <c r="AE4883">
        <v>95.79</v>
      </c>
    </row>
    <row r="4884" spans="31:31" x14ac:dyDescent="0.25">
      <c r="AE4884">
        <v>33.520000000000003</v>
      </c>
    </row>
    <row r="4885" spans="31:31" x14ac:dyDescent="0.25">
      <c r="AE4885">
        <v>9.99</v>
      </c>
    </row>
    <row r="4886" spans="31:31" x14ac:dyDescent="0.25">
      <c r="AE4886">
        <v>98.25</v>
      </c>
    </row>
    <row r="4887" spans="31:31" x14ac:dyDescent="0.25">
      <c r="AE4887">
        <v>45.93</v>
      </c>
    </row>
    <row r="4888" spans="31:31" x14ac:dyDescent="0.25">
      <c r="AE4888">
        <v>91.7</v>
      </c>
    </row>
    <row r="4889" spans="31:31" x14ac:dyDescent="0.25">
      <c r="AE4889">
        <v>84.1</v>
      </c>
    </row>
    <row r="4890" spans="31:31" x14ac:dyDescent="0.25">
      <c r="AE4890">
        <v>58.97</v>
      </c>
    </row>
    <row r="4891" spans="31:31" x14ac:dyDescent="0.25">
      <c r="AE4891">
        <v>54.5</v>
      </c>
    </row>
    <row r="4892" spans="31:31" x14ac:dyDescent="0.25">
      <c r="AE4892">
        <v>91.83</v>
      </c>
    </row>
    <row r="4893" spans="31:31" x14ac:dyDescent="0.25">
      <c r="AE4893">
        <v>565.79</v>
      </c>
    </row>
    <row r="4894" spans="31:31" x14ac:dyDescent="0.25">
      <c r="AE4894">
        <v>137.71</v>
      </c>
    </row>
    <row r="4895" spans="31:31" x14ac:dyDescent="0.25">
      <c r="AE4895">
        <v>64.95</v>
      </c>
    </row>
    <row r="4896" spans="31:31" x14ac:dyDescent="0.25">
      <c r="AE4896">
        <v>78.02</v>
      </c>
    </row>
    <row r="4897" spans="31:31" x14ac:dyDescent="0.25">
      <c r="AE4897">
        <v>7.83</v>
      </c>
    </row>
    <row r="4898" spans="31:31" x14ac:dyDescent="0.25">
      <c r="AE4898">
        <v>14.83</v>
      </c>
    </row>
    <row r="4899" spans="31:31" x14ac:dyDescent="0.25">
      <c r="AE4899">
        <v>106.71</v>
      </c>
    </row>
    <row r="4900" spans="31:31" x14ac:dyDescent="0.25">
      <c r="AE4900">
        <v>29.26</v>
      </c>
    </row>
    <row r="4901" spans="31:31" x14ac:dyDescent="0.25">
      <c r="AE4901">
        <v>24.53</v>
      </c>
    </row>
    <row r="4902" spans="31:31" x14ac:dyDescent="0.25">
      <c r="AE4902">
        <v>32.770000000000003</v>
      </c>
    </row>
    <row r="4903" spans="31:31" x14ac:dyDescent="0.25">
      <c r="AE4903">
        <v>1.02</v>
      </c>
    </row>
    <row r="4904" spans="31:31" x14ac:dyDescent="0.25">
      <c r="AE4904">
        <v>121.01</v>
      </c>
    </row>
    <row r="4905" spans="31:31" x14ac:dyDescent="0.25">
      <c r="AE4905">
        <v>61.95</v>
      </c>
    </row>
    <row r="4906" spans="31:31" x14ac:dyDescent="0.25">
      <c r="AE4906">
        <v>47.54</v>
      </c>
    </row>
    <row r="4907" spans="31:31" x14ac:dyDescent="0.25">
      <c r="AE4907">
        <v>104.35</v>
      </c>
    </row>
    <row r="4908" spans="31:31" x14ac:dyDescent="0.25">
      <c r="AE4908">
        <v>1.08</v>
      </c>
    </row>
    <row r="4909" spans="31:31" x14ac:dyDescent="0.25">
      <c r="AE4909">
        <v>41.02</v>
      </c>
    </row>
    <row r="4910" spans="31:31" x14ac:dyDescent="0.25">
      <c r="AE4910">
        <v>58.55</v>
      </c>
    </row>
    <row r="4911" spans="31:31" x14ac:dyDescent="0.25">
      <c r="AE4911">
        <v>38.1</v>
      </c>
    </row>
    <row r="4912" spans="31:31" x14ac:dyDescent="0.25">
      <c r="AE4912">
        <v>12.48</v>
      </c>
    </row>
    <row r="4913" spans="31:31" x14ac:dyDescent="0.25">
      <c r="AE4913">
        <v>71.959999999999994</v>
      </c>
    </row>
    <row r="4914" spans="31:31" x14ac:dyDescent="0.25">
      <c r="AE4914">
        <v>161.97999999999999</v>
      </c>
    </row>
    <row r="4915" spans="31:31" x14ac:dyDescent="0.25">
      <c r="AE4915">
        <v>4.4400000000000004</v>
      </c>
    </row>
    <row r="4916" spans="31:31" x14ac:dyDescent="0.25">
      <c r="AE4916">
        <v>32.4</v>
      </c>
    </row>
    <row r="4917" spans="31:31" x14ac:dyDescent="0.25">
      <c r="AE4917">
        <v>150.4</v>
      </c>
    </row>
    <row r="4918" spans="31:31" x14ac:dyDescent="0.25">
      <c r="AE4918">
        <v>75.040000000000006</v>
      </c>
    </row>
    <row r="4919" spans="31:31" x14ac:dyDescent="0.25">
      <c r="AE4919">
        <v>13.95</v>
      </c>
    </row>
    <row r="4920" spans="31:31" x14ac:dyDescent="0.25">
      <c r="AE4920">
        <v>27.05</v>
      </c>
    </row>
    <row r="4921" spans="31:31" x14ac:dyDescent="0.25">
      <c r="AE4921">
        <v>79.44</v>
      </c>
    </row>
    <row r="4922" spans="31:31" x14ac:dyDescent="0.25">
      <c r="AE4922">
        <v>73.87</v>
      </c>
    </row>
    <row r="4923" spans="31:31" x14ac:dyDescent="0.25">
      <c r="AE4923">
        <v>2.9</v>
      </c>
    </row>
    <row r="4924" spans="31:31" x14ac:dyDescent="0.25">
      <c r="AE4924">
        <v>39.32</v>
      </c>
    </row>
    <row r="4925" spans="31:31" x14ac:dyDescent="0.25">
      <c r="AE4925">
        <v>47.82</v>
      </c>
    </row>
    <row r="4926" spans="31:31" x14ac:dyDescent="0.25">
      <c r="AE4926">
        <v>55.05</v>
      </c>
    </row>
    <row r="4927" spans="31:31" x14ac:dyDescent="0.25">
      <c r="AE4927">
        <v>0.63</v>
      </c>
    </row>
    <row r="4928" spans="31:31" x14ac:dyDescent="0.25">
      <c r="AE4928">
        <v>53.98</v>
      </c>
    </row>
    <row r="4929" spans="31:31" x14ac:dyDescent="0.25">
      <c r="AE4929">
        <v>110.36</v>
      </c>
    </row>
    <row r="4930" spans="31:31" x14ac:dyDescent="0.25">
      <c r="AE4930">
        <v>12.2</v>
      </c>
    </row>
    <row r="4931" spans="31:31" x14ac:dyDescent="0.25">
      <c r="AE4931">
        <v>22.55</v>
      </c>
    </row>
    <row r="4932" spans="31:31" x14ac:dyDescent="0.25">
      <c r="AE4932">
        <v>35.700000000000003</v>
      </c>
    </row>
    <row r="4933" spans="31:31" x14ac:dyDescent="0.25">
      <c r="AE4933">
        <v>75.98</v>
      </c>
    </row>
    <row r="4934" spans="31:31" x14ac:dyDescent="0.25">
      <c r="AE4934">
        <v>35.36</v>
      </c>
    </row>
    <row r="4935" spans="31:31" x14ac:dyDescent="0.25">
      <c r="AE4935">
        <v>11.28</v>
      </c>
    </row>
    <row r="4936" spans="31:31" x14ac:dyDescent="0.25">
      <c r="AE4936">
        <v>70.67</v>
      </c>
    </row>
    <row r="4937" spans="31:31" x14ac:dyDescent="0.25">
      <c r="AE4937">
        <v>79.77</v>
      </c>
    </row>
    <row r="4938" spans="31:31" x14ac:dyDescent="0.25">
      <c r="AE4938">
        <v>24.66</v>
      </c>
    </row>
    <row r="4939" spans="31:31" x14ac:dyDescent="0.25">
      <c r="AE4939">
        <v>72.05</v>
      </c>
    </row>
    <row r="4940" spans="31:31" x14ac:dyDescent="0.25">
      <c r="AE4940">
        <v>97.71</v>
      </c>
    </row>
    <row r="4941" spans="31:31" x14ac:dyDescent="0.25">
      <c r="AE4941">
        <v>90.84</v>
      </c>
    </row>
    <row r="4942" spans="31:31" x14ac:dyDescent="0.25">
      <c r="AE4942">
        <v>77.680000000000007</v>
      </c>
    </row>
    <row r="4943" spans="31:31" x14ac:dyDescent="0.25">
      <c r="AE4943">
        <v>18.079999999999998</v>
      </c>
    </row>
    <row r="4944" spans="31:31" x14ac:dyDescent="0.25">
      <c r="AE4944">
        <v>86.25</v>
      </c>
    </row>
    <row r="4945" spans="31:31" x14ac:dyDescent="0.25">
      <c r="AE4945">
        <v>39.99</v>
      </c>
    </row>
    <row r="4946" spans="31:31" x14ac:dyDescent="0.25">
      <c r="AE4946">
        <v>10.19</v>
      </c>
    </row>
    <row r="4947" spans="31:31" x14ac:dyDescent="0.25">
      <c r="AE4947">
        <v>155.47</v>
      </c>
    </row>
    <row r="4948" spans="31:31" x14ac:dyDescent="0.25">
      <c r="AE4948">
        <v>14.32</v>
      </c>
    </row>
    <row r="4949" spans="31:31" x14ac:dyDescent="0.25">
      <c r="AE4949">
        <v>19.8</v>
      </c>
    </row>
    <row r="4950" spans="31:31" x14ac:dyDescent="0.25">
      <c r="AE4950">
        <v>44.84</v>
      </c>
    </row>
    <row r="4951" spans="31:31" x14ac:dyDescent="0.25">
      <c r="AE4951">
        <v>22.85</v>
      </c>
    </row>
    <row r="4952" spans="31:31" x14ac:dyDescent="0.25">
      <c r="AE4952">
        <v>31.11</v>
      </c>
    </row>
    <row r="4953" spans="31:31" x14ac:dyDescent="0.25">
      <c r="AE4953">
        <v>34.36</v>
      </c>
    </row>
    <row r="4954" spans="31:31" x14ac:dyDescent="0.25">
      <c r="AE4954">
        <v>46.83</v>
      </c>
    </row>
    <row r="4955" spans="31:31" x14ac:dyDescent="0.25">
      <c r="AE4955">
        <v>33.020000000000003</v>
      </c>
    </row>
    <row r="4956" spans="31:31" x14ac:dyDescent="0.25">
      <c r="AE4956">
        <v>61.07</v>
      </c>
    </row>
    <row r="4957" spans="31:31" x14ac:dyDescent="0.25">
      <c r="AE4957">
        <v>36.81</v>
      </c>
    </row>
    <row r="4958" spans="31:31" x14ac:dyDescent="0.25">
      <c r="AE4958">
        <v>7.85</v>
      </c>
    </row>
    <row r="4959" spans="31:31" x14ac:dyDescent="0.25">
      <c r="AE4959">
        <v>53.96</v>
      </c>
    </row>
    <row r="4960" spans="31:31" x14ac:dyDescent="0.25">
      <c r="AE4960">
        <v>15.67</v>
      </c>
    </row>
    <row r="4961" spans="31:31" x14ac:dyDescent="0.25">
      <c r="AE4961">
        <v>43.77</v>
      </c>
    </row>
    <row r="4962" spans="31:31" x14ac:dyDescent="0.25">
      <c r="AE4962">
        <v>36.25</v>
      </c>
    </row>
    <row r="4963" spans="31:31" x14ac:dyDescent="0.25">
      <c r="AE4963">
        <v>28.14</v>
      </c>
    </row>
    <row r="4964" spans="31:31" x14ac:dyDescent="0.25">
      <c r="AE4964">
        <v>56.42</v>
      </c>
    </row>
    <row r="4965" spans="31:31" x14ac:dyDescent="0.25">
      <c r="AE4965">
        <v>9.23</v>
      </c>
    </row>
    <row r="4966" spans="31:31" x14ac:dyDescent="0.25">
      <c r="AE4966">
        <v>136.84</v>
      </c>
    </row>
    <row r="4967" spans="31:31" x14ac:dyDescent="0.25">
      <c r="AE4967">
        <v>69.83</v>
      </c>
    </row>
    <row r="4968" spans="31:31" x14ac:dyDescent="0.25">
      <c r="AE4968">
        <v>30.33</v>
      </c>
    </row>
    <row r="4969" spans="31:31" x14ac:dyDescent="0.25">
      <c r="AE4969">
        <v>16.16</v>
      </c>
    </row>
    <row r="4970" spans="31:31" x14ac:dyDescent="0.25">
      <c r="AE4970">
        <v>33.590000000000003</v>
      </c>
    </row>
    <row r="4971" spans="31:31" x14ac:dyDescent="0.25">
      <c r="AE4971">
        <v>82.96</v>
      </c>
    </row>
    <row r="4972" spans="31:31" x14ac:dyDescent="0.25">
      <c r="AE4972">
        <v>10.09</v>
      </c>
    </row>
    <row r="4973" spans="31:31" x14ac:dyDescent="0.25">
      <c r="AE4973">
        <v>11.49</v>
      </c>
    </row>
    <row r="4974" spans="31:31" x14ac:dyDescent="0.25">
      <c r="AE4974">
        <v>18.88</v>
      </c>
    </row>
    <row r="4975" spans="31:31" x14ac:dyDescent="0.25">
      <c r="AE4975">
        <v>27.5</v>
      </c>
    </row>
    <row r="4976" spans="31:31" x14ac:dyDescent="0.25">
      <c r="AE4976">
        <v>96.66</v>
      </c>
    </row>
    <row r="4977" spans="31:31" x14ac:dyDescent="0.25">
      <c r="AE4977">
        <v>90.38</v>
      </c>
    </row>
    <row r="4978" spans="31:31" x14ac:dyDescent="0.25">
      <c r="AE4978">
        <v>41.14</v>
      </c>
    </row>
    <row r="4979" spans="31:31" x14ac:dyDescent="0.25">
      <c r="AE4979">
        <v>77.13</v>
      </c>
    </row>
    <row r="4980" spans="31:31" x14ac:dyDescent="0.25">
      <c r="AE4980">
        <v>42.69</v>
      </c>
    </row>
    <row r="4981" spans="31:31" x14ac:dyDescent="0.25">
      <c r="AE4981">
        <v>123.8</v>
      </c>
    </row>
    <row r="4982" spans="31:31" x14ac:dyDescent="0.25">
      <c r="AE4982">
        <v>126.4</v>
      </c>
    </row>
    <row r="4983" spans="31:31" x14ac:dyDescent="0.25">
      <c r="AE4983">
        <v>107.58</v>
      </c>
    </row>
    <row r="4984" spans="31:31" x14ac:dyDescent="0.25">
      <c r="AE4984">
        <v>49.99</v>
      </c>
    </row>
    <row r="4985" spans="31:31" x14ac:dyDescent="0.25">
      <c r="AE4985">
        <v>0</v>
      </c>
    </row>
    <row r="4986" spans="31:31" x14ac:dyDescent="0.25">
      <c r="AE4986">
        <v>53.61</v>
      </c>
    </row>
    <row r="4987" spans="31:31" x14ac:dyDescent="0.25">
      <c r="AE4987">
        <v>9.75</v>
      </c>
    </row>
    <row r="4988" spans="31:31" x14ac:dyDescent="0.25">
      <c r="AE4988">
        <v>21.11</v>
      </c>
    </row>
    <row r="4989" spans="31:31" x14ac:dyDescent="0.25">
      <c r="AE4989">
        <v>35.32</v>
      </c>
    </row>
    <row r="4990" spans="31:31" x14ac:dyDescent="0.25">
      <c r="AE4990">
        <v>6.98</v>
      </c>
    </row>
    <row r="4991" spans="31:31" x14ac:dyDescent="0.25">
      <c r="AE4991">
        <v>84.16</v>
      </c>
    </row>
    <row r="4992" spans="31:31" x14ac:dyDescent="0.25">
      <c r="AE4992">
        <v>124.49</v>
      </c>
    </row>
    <row r="4993" spans="31:31" x14ac:dyDescent="0.25">
      <c r="AE4993">
        <v>76.680000000000007</v>
      </c>
    </row>
    <row r="4994" spans="31:31" x14ac:dyDescent="0.25">
      <c r="AE4994">
        <v>21.17</v>
      </c>
    </row>
    <row r="4995" spans="31:31" x14ac:dyDescent="0.25">
      <c r="AE4995">
        <v>18.329999999999998</v>
      </c>
    </row>
    <row r="4996" spans="31:31" x14ac:dyDescent="0.25">
      <c r="AE4996">
        <v>90.54</v>
      </c>
    </row>
    <row r="4997" spans="31:31" x14ac:dyDescent="0.25">
      <c r="AE4997">
        <v>38.32</v>
      </c>
    </row>
    <row r="4998" spans="31:31" x14ac:dyDescent="0.25">
      <c r="AE4998">
        <v>45.68</v>
      </c>
    </row>
    <row r="4999" spans="31:31" x14ac:dyDescent="0.25">
      <c r="AE4999">
        <v>113.3</v>
      </c>
    </row>
    <row r="5000" spans="31:31" x14ac:dyDescent="0.25">
      <c r="AE5000">
        <v>48.38</v>
      </c>
    </row>
    <row r="5001" spans="31:31" x14ac:dyDescent="0.25">
      <c r="AE5001">
        <v>86.08</v>
      </c>
    </row>
    <row r="5002" spans="31:31" x14ac:dyDescent="0.25">
      <c r="AE5002">
        <v>50.42</v>
      </c>
    </row>
    <row r="5003" spans="31:31" x14ac:dyDescent="0.25">
      <c r="AE5003">
        <v>59.91</v>
      </c>
    </row>
    <row r="5004" spans="31:31" x14ac:dyDescent="0.25">
      <c r="AE5004">
        <v>10.14</v>
      </c>
    </row>
    <row r="5005" spans="31:31" x14ac:dyDescent="0.25">
      <c r="AE5005">
        <v>42.03</v>
      </c>
    </row>
    <row r="5006" spans="31:31" x14ac:dyDescent="0.25">
      <c r="AE5006">
        <v>28.85</v>
      </c>
    </row>
    <row r="5007" spans="31:31" x14ac:dyDescent="0.25">
      <c r="AE5007">
        <v>29.41</v>
      </c>
    </row>
    <row r="5008" spans="31:31" x14ac:dyDescent="0.25">
      <c r="AE5008">
        <v>67.39</v>
      </c>
    </row>
    <row r="5009" spans="31:31" x14ac:dyDescent="0.25">
      <c r="AE5009">
        <v>25.74</v>
      </c>
    </row>
    <row r="5010" spans="31:31" x14ac:dyDescent="0.25">
      <c r="AE5010">
        <v>78.17</v>
      </c>
    </row>
    <row r="5011" spans="31:31" x14ac:dyDescent="0.25">
      <c r="AE5011">
        <v>33.93</v>
      </c>
    </row>
    <row r="5012" spans="31:31" x14ac:dyDescent="0.25">
      <c r="AE5012">
        <v>123.03</v>
      </c>
    </row>
    <row r="5013" spans="31:31" x14ac:dyDescent="0.25">
      <c r="AE5013">
        <v>26.18</v>
      </c>
    </row>
    <row r="5014" spans="31:31" x14ac:dyDescent="0.25">
      <c r="AE5014">
        <v>14.27</v>
      </c>
    </row>
    <row r="5015" spans="31:31" x14ac:dyDescent="0.25">
      <c r="AE5015">
        <v>121.96</v>
      </c>
    </row>
    <row r="5016" spans="31:31" x14ac:dyDescent="0.25">
      <c r="AE5016">
        <v>41.68</v>
      </c>
    </row>
    <row r="5017" spans="31:31" x14ac:dyDescent="0.25">
      <c r="AE5017">
        <v>66.819999999999993</v>
      </c>
    </row>
    <row r="5018" spans="31:31" x14ac:dyDescent="0.25">
      <c r="AE5018">
        <v>18.760000000000002</v>
      </c>
    </row>
    <row r="5019" spans="31:31" x14ac:dyDescent="0.25">
      <c r="AE5019">
        <v>85.42</v>
      </c>
    </row>
    <row r="5020" spans="31:31" x14ac:dyDescent="0.25">
      <c r="AE5020">
        <v>5.86</v>
      </c>
    </row>
    <row r="5021" spans="31:31" x14ac:dyDescent="0.25">
      <c r="AE5021">
        <v>22.93</v>
      </c>
    </row>
    <row r="5022" spans="31:31" x14ac:dyDescent="0.25">
      <c r="AE5022">
        <v>90.38</v>
      </c>
    </row>
    <row r="5023" spans="31:31" x14ac:dyDescent="0.25">
      <c r="AE5023">
        <v>24.05</v>
      </c>
    </row>
    <row r="5024" spans="31:31" x14ac:dyDescent="0.25">
      <c r="AE5024">
        <v>113.39</v>
      </c>
    </row>
    <row r="5025" spans="31:31" x14ac:dyDescent="0.25">
      <c r="AE5025">
        <v>19.22</v>
      </c>
    </row>
    <row r="5026" spans="31:31" x14ac:dyDescent="0.25">
      <c r="AE5026">
        <v>59.93</v>
      </c>
    </row>
    <row r="5027" spans="31:31" x14ac:dyDescent="0.25">
      <c r="AE5027">
        <v>51.77</v>
      </c>
    </row>
    <row r="5028" spans="31:31" x14ac:dyDescent="0.25">
      <c r="AE5028">
        <v>67.86</v>
      </c>
    </row>
    <row r="5029" spans="31:31" x14ac:dyDescent="0.25">
      <c r="AE5029">
        <v>64.45</v>
      </c>
    </row>
    <row r="5030" spans="31:31" x14ac:dyDescent="0.25">
      <c r="AE5030">
        <v>34.549999999999997</v>
      </c>
    </row>
    <row r="5031" spans="31:31" x14ac:dyDescent="0.25">
      <c r="AE5031">
        <v>54.33</v>
      </c>
    </row>
    <row r="5032" spans="31:31" x14ac:dyDescent="0.25">
      <c r="AE5032">
        <v>10.14</v>
      </c>
    </row>
    <row r="5033" spans="31:31" x14ac:dyDescent="0.25">
      <c r="AE5033">
        <v>75.510000000000005</v>
      </c>
    </row>
    <row r="5034" spans="31:31" x14ac:dyDescent="0.25">
      <c r="AE5034">
        <v>11.97</v>
      </c>
    </row>
    <row r="5035" spans="31:31" x14ac:dyDescent="0.25">
      <c r="AE5035">
        <v>46.4</v>
      </c>
    </row>
    <row r="5036" spans="31:31" x14ac:dyDescent="0.25">
      <c r="AE5036">
        <v>10.09</v>
      </c>
    </row>
    <row r="5037" spans="31:31" x14ac:dyDescent="0.25">
      <c r="AE5037">
        <v>21.98</v>
      </c>
    </row>
    <row r="5038" spans="31:31" x14ac:dyDescent="0.25">
      <c r="AE5038">
        <v>55.9</v>
      </c>
    </row>
    <row r="5039" spans="31:31" x14ac:dyDescent="0.25">
      <c r="AE5039">
        <v>88.67</v>
      </c>
    </row>
    <row r="5040" spans="31:31" x14ac:dyDescent="0.25">
      <c r="AE5040">
        <v>46.68</v>
      </c>
    </row>
    <row r="5041" spans="31:31" x14ac:dyDescent="0.25">
      <c r="AE5041">
        <v>194.53</v>
      </c>
    </row>
    <row r="5042" spans="31:31" x14ac:dyDescent="0.25">
      <c r="AE5042">
        <v>55.47</v>
      </c>
    </row>
    <row r="5043" spans="31:31" x14ac:dyDescent="0.25">
      <c r="AE5043">
        <v>85.68</v>
      </c>
    </row>
    <row r="5044" spans="31:31" x14ac:dyDescent="0.25">
      <c r="AE5044">
        <v>41.63</v>
      </c>
    </row>
    <row r="5045" spans="31:31" x14ac:dyDescent="0.25">
      <c r="AE5045">
        <v>41.98</v>
      </c>
    </row>
    <row r="5046" spans="31:31" x14ac:dyDescent="0.25">
      <c r="AE5046">
        <v>16.47</v>
      </c>
    </row>
    <row r="5047" spans="31:31" x14ac:dyDescent="0.25">
      <c r="AE5047">
        <v>19.46</v>
      </c>
    </row>
    <row r="5048" spans="31:31" x14ac:dyDescent="0.25">
      <c r="AE5048">
        <v>96.17</v>
      </c>
    </row>
    <row r="5049" spans="31:31" x14ac:dyDescent="0.25">
      <c r="AE5049">
        <v>10.49</v>
      </c>
    </row>
    <row r="5050" spans="31:31" x14ac:dyDescent="0.25">
      <c r="AE5050">
        <v>10.78</v>
      </c>
    </row>
    <row r="5051" spans="31:31" x14ac:dyDescent="0.25">
      <c r="AE5051">
        <v>33.67</v>
      </c>
    </row>
    <row r="5052" spans="31:31" x14ac:dyDescent="0.25">
      <c r="AE5052">
        <v>50.21</v>
      </c>
    </row>
    <row r="5053" spans="31:31" x14ac:dyDescent="0.25">
      <c r="AE5053">
        <v>25.81</v>
      </c>
    </row>
    <row r="5054" spans="31:31" x14ac:dyDescent="0.25">
      <c r="AE5054">
        <v>35.130000000000003</v>
      </c>
    </row>
    <row r="5055" spans="31:31" x14ac:dyDescent="0.25">
      <c r="AE5055">
        <v>14.21</v>
      </c>
    </row>
    <row r="5056" spans="31:31" x14ac:dyDescent="0.25">
      <c r="AE5056">
        <v>126.71</v>
      </c>
    </row>
    <row r="5057" spans="31:31" x14ac:dyDescent="0.25">
      <c r="AE5057">
        <v>83.18</v>
      </c>
    </row>
    <row r="5058" spans="31:31" x14ac:dyDescent="0.25">
      <c r="AE5058">
        <v>64.05</v>
      </c>
    </row>
    <row r="5059" spans="31:31" x14ac:dyDescent="0.25">
      <c r="AE5059">
        <v>105.13</v>
      </c>
    </row>
    <row r="5060" spans="31:31" x14ac:dyDescent="0.25">
      <c r="AE5060">
        <v>0.09</v>
      </c>
    </row>
    <row r="5061" spans="31:31" x14ac:dyDescent="0.25">
      <c r="AE5061">
        <v>22.63</v>
      </c>
    </row>
    <row r="5062" spans="31:31" x14ac:dyDescent="0.25">
      <c r="AE5062">
        <v>154.65</v>
      </c>
    </row>
    <row r="5063" spans="31:31" x14ac:dyDescent="0.25">
      <c r="AE5063">
        <v>1.35</v>
      </c>
    </row>
    <row r="5064" spans="31:31" x14ac:dyDescent="0.25">
      <c r="AE5064">
        <v>101.99</v>
      </c>
    </row>
    <row r="5065" spans="31:31" x14ac:dyDescent="0.25">
      <c r="AE5065">
        <v>47.31</v>
      </c>
    </row>
    <row r="5066" spans="31:31" x14ac:dyDescent="0.25">
      <c r="AE5066">
        <v>85.83</v>
      </c>
    </row>
    <row r="5067" spans="31:31" x14ac:dyDescent="0.25">
      <c r="AE5067">
        <v>40.67</v>
      </c>
    </row>
    <row r="5068" spans="31:31" x14ac:dyDescent="0.25">
      <c r="AE5068">
        <v>17.2</v>
      </c>
    </row>
    <row r="5069" spans="31:31" x14ac:dyDescent="0.25">
      <c r="AE5069">
        <v>40.26</v>
      </c>
    </row>
    <row r="5070" spans="31:31" x14ac:dyDescent="0.25">
      <c r="AE5070">
        <v>58.17</v>
      </c>
    </row>
    <row r="5071" spans="31:31" x14ac:dyDescent="0.25">
      <c r="AE5071">
        <v>32.39</v>
      </c>
    </row>
    <row r="5072" spans="31:31" x14ac:dyDescent="0.25">
      <c r="AE5072">
        <v>34.68</v>
      </c>
    </row>
    <row r="5073" spans="31:31" x14ac:dyDescent="0.25">
      <c r="AE5073">
        <v>42.72</v>
      </c>
    </row>
    <row r="5074" spans="31:31" x14ac:dyDescent="0.25">
      <c r="AE5074">
        <v>18.71</v>
      </c>
    </row>
    <row r="5075" spans="31:31" x14ac:dyDescent="0.25">
      <c r="AE5075">
        <v>67.34</v>
      </c>
    </row>
    <row r="5076" spans="31:31" x14ac:dyDescent="0.25">
      <c r="AE5076">
        <v>16.22</v>
      </c>
    </row>
    <row r="5077" spans="31:31" x14ac:dyDescent="0.25">
      <c r="AE5077">
        <v>49.07</v>
      </c>
    </row>
    <row r="5078" spans="31:31" x14ac:dyDescent="0.25">
      <c r="AE5078">
        <v>132.28</v>
      </c>
    </row>
    <row r="5079" spans="31:31" x14ac:dyDescent="0.25">
      <c r="AE5079">
        <v>21.81</v>
      </c>
    </row>
    <row r="5080" spans="31:31" x14ac:dyDescent="0.25">
      <c r="AE5080">
        <v>194.05</v>
      </c>
    </row>
    <row r="5081" spans="31:31" x14ac:dyDescent="0.25">
      <c r="AE5081">
        <v>29.6</v>
      </c>
    </row>
    <row r="5082" spans="31:31" x14ac:dyDescent="0.25">
      <c r="AE5082">
        <v>40.299999999999997</v>
      </c>
    </row>
    <row r="5083" spans="31:31" x14ac:dyDescent="0.25">
      <c r="AE5083">
        <v>40.950000000000003</v>
      </c>
    </row>
    <row r="5084" spans="31:31" x14ac:dyDescent="0.25">
      <c r="AE5084">
        <v>41.72</v>
      </c>
    </row>
    <row r="5085" spans="31:31" x14ac:dyDescent="0.25">
      <c r="AE5085">
        <v>9.99</v>
      </c>
    </row>
    <row r="5086" spans="31:31" x14ac:dyDescent="0.25">
      <c r="AE5086">
        <v>52.26</v>
      </c>
    </row>
    <row r="5087" spans="31:31" x14ac:dyDescent="0.25">
      <c r="AE5087">
        <v>33.39</v>
      </c>
    </row>
    <row r="5088" spans="31:31" x14ac:dyDescent="0.25">
      <c r="AE5088">
        <v>113.42</v>
      </c>
    </row>
    <row r="5089" spans="31:31" x14ac:dyDescent="0.25">
      <c r="AE5089">
        <v>18.13</v>
      </c>
    </row>
    <row r="5090" spans="31:31" x14ac:dyDescent="0.25">
      <c r="AE5090">
        <v>53.39</v>
      </c>
    </row>
    <row r="5091" spans="31:31" x14ac:dyDescent="0.25">
      <c r="AE5091">
        <v>39.03</v>
      </c>
    </row>
    <row r="5092" spans="31:31" x14ac:dyDescent="0.25">
      <c r="AE5092">
        <v>49.38</v>
      </c>
    </row>
    <row r="5093" spans="31:31" x14ac:dyDescent="0.25">
      <c r="AE5093">
        <v>20.77</v>
      </c>
    </row>
    <row r="5094" spans="31:31" x14ac:dyDescent="0.25">
      <c r="AE5094">
        <v>0.36</v>
      </c>
    </row>
    <row r="5095" spans="31:31" x14ac:dyDescent="0.25">
      <c r="AE5095">
        <v>37.39</v>
      </c>
    </row>
    <row r="5096" spans="31:31" x14ac:dyDescent="0.25">
      <c r="AE5096">
        <v>44.18</v>
      </c>
    </row>
    <row r="5097" spans="31:31" x14ac:dyDescent="0.25">
      <c r="AE5097">
        <v>10.14</v>
      </c>
    </row>
    <row r="5098" spans="31:31" x14ac:dyDescent="0.25">
      <c r="AE5098">
        <v>30.48</v>
      </c>
    </row>
    <row r="5099" spans="31:31" x14ac:dyDescent="0.25">
      <c r="AE5099">
        <v>99.44</v>
      </c>
    </row>
    <row r="5100" spans="31:31" x14ac:dyDescent="0.25">
      <c r="AE5100">
        <v>102.9</v>
      </c>
    </row>
    <row r="5101" spans="31:31" x14ac:dyDescent="0.25">
      <c r="AE5101">
        <v>12.51</v>
      </c>
    </row>
    <row r="5102" spans="31:31" x14ac:dyDescent="0.25">
      <c r="AE5102">
        <v>35.409999999999997</v>
      </c>
    </row>
    <row r="5103" spans="31:31" x14ac:dyDescent="0.25">
      <c r="AE5103">
        <v>31.82</v>
      </c>
    </row>
    <row r="5104" spans="31:31" x14ac:dyDescent="0.25">
      <c r="AE5104">
        <v>10.59</v>
      </c>
    </row>
    <row r="5105" spans="31:31" x14ac:dyDescent="0.25">
      <c r="AE5105">
        <v>116.16</v>
      </c>
    </row>
    <row r="5106" spans="31:31" x14ac:dyDescent="0.25">
      <c r="AE5106">
        <v>83.91</v>
      </c>
    </row>
    <row r="5107" spans="31:31" x14ac:dyDescent="0.25">
      <c r="AE5107">
        <v>10.09</v>
      </c>
    </row>
    <row r="5108" spans="31:31" x14ac:dyDescent="0.25">
      <c r="AE5108">
        <v>150.25</v>
      </c>
    </row>
    <row r="5109" spans="31:31" x14ac:dyDescent="0.25">
      <c r="AE5109">
        <v>12.09</v>
      </c>
    </row>
    <row r="5110" spans="31:31" x14ac:dyDescent="0.25">
      <c r="AE5110">
        <v>16.29</v>
      </c>
    </row>
    <row r="5111" spans="31:31" x14ac:dyDescent="0.25">
      <c r="AE5111">
        <v>26.78</v>
      </c>
    </row>
    <row r="5112" spans="31:31" x14ac:dyDescent="0.25">
      <c r="AE5112">
        <v>190.67</v>
      </c>
    </row>
    <row r="5113" spans="31:31" x14ac:dyDescent="0.25">
      <c r="AE5113">
        <v>10.039999999999999</v>
      </c>
    </row>
    <row r="5114" spans="31:31" x14ac:dyDescent="0.25">
      <c r="AE5114">
        <v>163.49</v>
      </c>
    </row>
    <row r="5115" spans="31:31" x14ac:dyDescent="0.25">
      <c r="AE5115">
        <v>40.57</v>
      </c>
    </row>
    <row r="5116" spans="31:31" x14ac:dyDescent="0.25">
      <c r="AE5116">
        <v>19.260000000000002</v>
      </c>
    </row>
    <row r="5117" spans="31:31" x14ac:dyDescent="0.25">
      <c r="AE5117">
        <v>26.66</v>
      </c>
    </row>
    <row r="5118" spans="31:31" x14ac:dyDescent="0.25">
      <c r="AE5118">
        <v>27.46</v>
      </c>
    </row>
    <row r="5119" spans="31:31" x14ac:dyDescent="0.25">
      <c r="AE5119">
        <v>19.57</v>
      </c>
    </row>
    <row r="5120" spans="31:31" x14ac:dyDescent="0.25">
      <c r="AE5120">
        <v>100.99</v>
      </c>
    </row>
    <row r="5121" spans="31:31" x14ac:dyDescent="0.25">
      <c r="AE5121">
        <v>19.86</v>
      </c>
    </row>
    <row r="5122" spans="31:31" x14ac:dyDescent="0.25">
      <c r="AE5122">
        <v>67.89</v>
      </c>
    </row>
    <row r="5123" spans="31:31" x14ac:dyDescent="0.25">
      <c r="AE5123">
        <v>44.86</v>
      </c>
    </row>
    <row r="5124" spans="31:31" x14ac:dyDescent="0.25">
      <c r="AE5124">
        <v>20.14</v>
      </c>
    </row>
    <row r="5125" spans="31:31" x14ac:dyDescent="0.25">
      <c r="AE5125">
        <v>40.369999999999997</v>
      </c>
    </row>
    <row r="5126" spans="31:31" x14ac:dyDescent="0.25">
      <c r="AE5126">
        <v>41.17</v>
      </c>
    </row>
    <row r="5127" spans="31:31" x14ac:dyDescent="0.25">
      <c r="AE5127">
        <v>16.899999999999999</v>
      </c>
    </row>
    <row r="5128" spans="31:31" x14ac:dyDescent="0.25">
      <c r="AE5128">
        <v>45.32</v>
      </c>
    </row>
    <row r="5129" spans="31:31" x14ac:dyDescent="0.25">
      <c r="AE5129">
        <v>15.67</v>
      </c>
    </row>
    <row r="5130" spans="31:31" x14ac:dyDescent="0.25">
      <c r="AE5130">
        <v>25.23</v>
      </c>
    </row>
    <row r="5131" spans="31:31" x14ac:dyDescent="0.25">
      <c r="AE5131">
        <v>10.14</v>
      </c>
    </row>
    <row r="5132" spans="31:31" x14ac:dyDescent="0.25">
      <c r="AE5132">
        <v>22.63</v>
      </c>
    </row>
    <row r="5133" spans="31:31" x14ac:dyDescent="0.25">
      <c r="AE5133">
        <v>30.85</v>
      </c>
    </row>
    <row r="5134" spans="31:31" x14ac:dyDescent="0.25">
      <c r="AE5134">
        <v>57.12</v>
      </c>
    </row>
    <row r="5135" spans="31:31" x14ac:dyDescent="0.25">
      <c r="AE5135">
        <v>54.73</v>
      </c>
    </row>
    <row r="5136" spans="31:31" x14ac:dyDescent="0.25">
      <c r="AE5136">
        <v>31.9</v>
      </c>
    </row>
    <row r="5137" spans="31:31" x14ac:dyDescent="0.25">
      <c r="AE5137">
        <v>40.090000000000003</v>
      </c>
    </row>
    <row r="5138" spans="31:31" x14ac:dyDescent="0.25">
      <c r="AE5138">
        <v>41.14</v>
      </c>
    </row>
    <row r="5139" spans="31:31" x14ac:dyDescent="0.25">
      <c r="AE5139">
        <v>24.74</v>
      </c>
    </row>
    <row r="5140" spans="31:31" x14ac:dyDescent="0.25">
      <c r="AE5140">
        <v>17.47</v>
      </c>
    </row>
    <row r="5141" spans="31:31" x14ac:dyDescent="0.25">
      <c r="AE5141">
        <v>10.75</v>
      </c>
    </row>
    <row r="5142" spans="31:31" x14ac:dyDescent="0.25">
      <c r="AE5142">
        <v>111.34</v>
      </c>
    </row>
    <row r="5143" spans="31:31" x14ac:dyDescent="0.25">
      <c r="AE5143">
        <v>86.09</v>
      </c>
    </row>
    <row r="5144" spans="31:31" x14ac:dyDescent="0.25">
      <c r="AE5144">
        <v>0.1</v>
      </c>
    </row>
    <row r="5145" spans="31:31" x14ac:dyDescent="0.25">
      <c r="AE5145">
        <v>13.26</v>
      </c>
    </row>
    <row r="5146" spans="31:31" x14ac:dyDescent="0.25">
      <c r="AE5146">
        <v>137.72</v>
      </c>
    </row>
    <row r="5147" spans="31:31" x14ac:dyDescent="0.25">
      <c r="AE5147">
        <v>124.61</v>
      </c>
    </row>
    <row r="5148" spans="31:31" x14ac:dyDescent="0.25">
      <c r="AE5148">
        <v>82.26</v>
      </c>
    </row>
    <row r="5149" spans="31:31" x14ac:dyDescent="0.25">
      <c r="AE5149">
        <v>29.29</v>
      </c>
    </row>
    <row r="5150" spans="31:31" x14ac:dyDescent="0.25">
      <c r="AE5150">
        <v>58.72</v>
      </c>
    </row>
    <row r="5151" spans="31:31" x14ac:dyDescent="0.25">
      <c r="AE5151">
        <v>69.47</v>
      </c>
    </row>
    <row r="5152" spans="31:31" x14ac:dyDescent="0.25">
      <c r="AE5152">
        <v>8.99</v>
      </c>
    </row>
    <row r="5153" spans="31:31" x14ac:dyDescent="0.25">
      <c r="AE5153">
        <v>13.31</v>
      </c>
    </row>
    <row r="5154" spans="31:31" x14ac:dyDescent="0.25">
      <c r="AE5154">
        <v>23.65</v>
      </c>
    </row>
    <row r="5155" spans="31:31" x14ac:dyDescent="0.25">
      <c r="AE5155">
        <v>10.7</v>
      </c>
    </row>
    <row r="5156" spans="31:31" x14ac:dyDescent="0.25">
      <c r="AE5156">
        <v>29.35</v>
      </c>
    </row>
    <row r="5157" spans="31:31" x14ac:dyDescent="0.25">
      <c r="AE5157">
        <v>31.53</v>
      </c>
    </row>
    <row r="5158" spans="31:31" x14ac:dyDescent="0.25">
      <c r="AE5158">
        <v>49.39</v>
      </c>
    </row>
    <row r="5159" spans="31:31" x14ac:dyDescent="0.25">
      <c r="AE5159">
        <v>13.7</v>
      </c>
    </row>
    <row r="5160" spans="31:31" x14ac:dyDescent="0.25">
      <c r="AE5160">
        <v>0</v>
      </c>
    </row>
    <row r="5161" spans="31:31" x14ac:dyDescent="0.25">
      <c r="AE5161">
        <v>24.9</v>
      </c>
    </row>
    <row r="5162" spans="31:31" x14ac:dyDescent="0.25">
      <c r="AE5162">
        <v>51.22</v>
      </c>
    </row>
    <row r="5163" spans="31:31" x14ac:dyDescent="0.25">
      <c r="AE5163">
        <v>95.53</v>
      </c>
    </row>
    <row r="5164" spans="31:31" x14ac:dyDescent="0.25">
      <c r="AE5164">
        <v>14.4</v>
      </c>
    </row>
    <row r="5165" spans="31:31" x14ac:dyDescent="0.25">
      <c r="AE5165">
        <v>9.99</v>
      </c>
    </row>
    <row r="5166" spans="31:31" x14ac:dyDescent="0.25">
      <c r="AE5166">
        <v>26.41</v>
      </c>
    </row>
    <row r="5167" spans="31:31" x14ac:dyDescent="0.25">
      <c r="AE5167">
        <v>47.58</v>
      </c>
    </row>
    <row r="5168" spans="31:31" x14ac:dyDescent="0.25">
      <c r="AE5168">
        <v>56.36</v>
      </c>
    </row>
    <row r="5169" spans="31:31" x14ac:dyDescent="0.25">
      <c r="AE5169">
        <v>94.32</v>
      </c>
    </row>
    <row r="5170" spans="31:31" x14ac:dyDescent="0.25">
      <c r="AE5170">
        <v>31.14</v>
      </c>
    </row>
    <row r="5171" spans="31:31" x14ac:dyDescent="0.25">
      <c r="AE5171">
        <v>45.72</v>
      </c>
    </row>
    <row r="5172" spans="31:31" x14ac:dyDescent="0.25">
      <c r="AE5172">
        <v>39.479999999999997</v>
      </c>
    </row>
    <row r="5173" spans="31:31" x14ac:dyDescent="0.25">
      <c r="AE5173">
        <v>20.29</v>
      </c>
    </row>
    <row r="5174" spans="31:31" x14ac:dyDescent="0.25">
      <c r="AE5174">
        <v>21.9</v>
      </c>
    </row>
    <row r="5175" spans="31:31" x14ac:dyDescent="0.25">
      <c r="AE5175">
        <v>16.649999999999999</v>
      </c>
    </row>
    <row r="5176" spans="31:31" x14ac:dyDescent="0.25">
      <c r="AE5176">
        <v>90.15</v>
      </c>
    </row>
    <row r="5177" spans="31:31" x14ac:dyDescent="0.25">
      <c r="AE5177">
        <v>54.41</v>
      </c>
    </row>
    <row r="5178" spans="31:31" x14ac:dyDescent="0.25">
      <c r="AE5178">
        <v>37.590000000000003</v>
      </c>
    </row>
    <row r="5179" spans="31:31" x14ac:dyDescent="0.25">
      <c r="AE5179">
        <v>18.27</v>
      </c>
    </row>
    <row r="5180" spans="31:31" x14ac:dyDescent="0.25">
      <c r="AE5180">
        <v>14.73</v>
      </c>
    </row>
    <row r="5181" spans="31:31" x14ac:dyDescent="0.25">
      <c r="AE5181">
        <v>0</v>
      </c>
    </row>
    <row r="5182" spans="31:31" x14ac:dyDescent="0.25">
      <c r="AE5182">
        <v>60.87</v>
      </c>
    </row>
    <row r="5183" spans="31:31" x14ac:dyDescent="0.25">
      <c r="AE5183">
        <v>24.97</v>
      </c>
    </row>
    <row r="5184" spans="31:31" x14ac:dyDescent="0.25">
      <c r="AE5184">
        <v>10.24</v>
      </c>
    </row>
    <row r="5185" spans="31:31" x14ac:dyDescent="0.25">
      <c r="AE5185">
        <v>29.46</v>
      </c>
    </row>
    <row r="5186" spans="31:31" x14ac:dyDescent="0.25">
      <c r="AE5186">
        <v>55.1</v>
      </c>
    </row>
    <row r="5187" spans="31:31" x14ac:dyDescent="0.25">
      <c r="AE5187">
        <v>15.42</v>
      </c>
    </row>
    <row r="5188" spans="31:31" x14ac:dyDescent="0.25">
      <c r="AE5188">
        <v>15.83</v>
      </c>
    </row>
    <row r="5189" spans="31:31" x14ac:dyDescent="0.25">
      <c r="AE5189">
        <v>0</v>
      </c>
    </row>
    <row r="5190" spans="31:31" x14ac:dyDescent="0.25">
      <c r="AE5190">
        <v>20.16</v>
      </c>
    </row>
    <row r="5191" spans="31:31" x14ac:dyDescent="0.25">
      <c r="AE5191">
        <v>30.03</v>
      </c>
    </row>
    <row r="5192" spans="31:31" x14ac:dyDescent="0.25">
      <c r="AE5192">
        <v>0.27</v>
      </c>
    </row>
    <row r="5193" spans="31:31" x14ac:dyDescent="0.25">
      <c r="AE5193">
        <v>52.97</v>
      </c>
    </row>
    <row r="5194" spans="31:31" x14ac:dyDescent="0.25">
      <c r="AE5194">
        <v>53.39</v>
      </c>
    </row>
    <row r="5195" spans="31:31" x14ac:dyDescent="0.25">
      <c r="AE5195">
        <v>10.09</v>
      </c>
    </row>
    <row r="5196" spans="31:31" x14ac:dyDescent="0.25">
      <c r="AE5196">
        <v>32.47</v>
      </c>
    </row>
    <row r="5197" spans="31:31" x14ac:dyDescent="0.25">
      <c r="AE5197">
        <v>52.28</v>
      </c>
    </row>
    <row r="5198" spans="31:31" x14ac:dyDescent="0.25">
      <c r="AE5198">
        <v>56.81</v>
      </c>
    </row>
    <row r="5199" spans="31:31" x14ac:dyDescent="0.25">
      <c r="AE5199">
        <v>16.809999999999999</v>
      </c>
    </row>
    <row r="5200" spans="31:31" x14ac:dyDescent="0.25">
      <c r="AE5200">
        <v>50.31</v>
      </c>
    </row>
    <row r="5201" spans="31:31" x14ac:dyDescent="0.25">
      <c r="AE5201">
        <v>160.04</v>
      </c>
    </row>
    <row r="5202" spans="31:31" x14ac:dyDescent="0.25">
      <c r="AE5202">
        <v>9.99</v>
      </c>
    </row>
    <row r="5203" spans="31:31" x14ac:dyDescent="0.25">
      <c r="AE5203">
        <v>184.83</v>
      </c>
    </row>
    <row r="5204" spans="31:31" x14ac:dyDescent="0.25">
      <c r="AE5204">
        <v>36.020000000000003</v>
      </c>
    </row>
    <row r="5205" spans="31:31" x14ac:dyDescent="0.25">
      <c r="AE5205">
        <v>67.48</v>
      </c>
    </row>
    <row r="5206" spans="31:31" x14ac:dyDescent="0.25">
      <c r="AE5206">
        <v>89.43</v>
      </c>
    </row>
    <row r="5207" spans="31:31" x14ac:dyDescent="0.25">
      <c r="AE5207">
        <v>58.6</v>
      </c>
    </row>
    <row r="5208" spans="31:31" x14ac:dyDescent="0.25">
      <c r="AE5208">
        <v>19.940000000000001</v>
      </c>
    </row>
    <row r="5209" spans="31:31" x14ac:dyDescent="0.25">
      <c r="AE5209">
        <v>19.07</v>
      </c>
    </row>
    <row r="5210" spans="31:31" x14ac:dyDescent="0.25">
      <c r="AE5210">
        <v>38.729999999999997</v>
      </c>
    </row>
    <row r="5211" spans="31:31" x14ac:dyDescent="0.25">
      <c r="AE5211">
        <v>31.38</v>
      </c>
    </row>
    <row r="5212" spans="31:31" x14ac:dyDescent="0.25">
      <c r="AE5212">
        <v>23.69</v>
      </c>
    </row>
    <row r="5213" spans="31:31" x14ac:dyDescent="0.25">
      <c r="AE5213">
        <v>29.08</v>
      </c>
    </row>
    <row r="5214" spans="31:31" x14ac:dyDescent="0.25">
      <c r="AE5214">
        <v>17.920000000000002</v>
      </c>
    </row>
    <row r="5215" spans="31:31" x14ac:dyDescent="0.25">
      <c r="AE5215">
        <v>0.09</v>
      </c>
    </row>
    <row r="5216" spans="31:31" x14ac:dyDescent="0.25">
      <c r="AE5216">
        <v>0.27</v>
      </c>
    </row>
    <row r="5217" spans="31:31" x14ac:dyDescent="0.25">
      <c r="AE5217">
        <v>10.039999999999999</v>
      </c>
    </row>
    <row r="5218" spans="31:31" x14ac:dyDescent="0.25">
      <c r="AE5218">
        <v>9.4600000000000009</v>
      </c>
    </row>
    <row r="5219" spans="31:31" x14ac:dyDescent="0.25">
      <c r="AE5219">
        <v>111.23</v>
      </c>
    </row>
    <row r="5220" spans="31:31" x14ac:dyDescent="0.25">
      <c r="AE5220">
        <v>88.02</v>
      </c>
    </row>
    <row r="5221" spans="31:31" x14ac:dyDescent="0.25">
      <c r="AE5221">
        <v>10.34</v>
      </c>
    </row>
    <row r="5222" spans="31:31" x14ac:dyDescent="0.25">
      <c r="AE5222">
        <v>121.31</v>
      </c>
    </row>
    <row r="5223" spans="31:31" x14ac:dyDescent="0.25">
      <c r="AE5223">
        <v>137.16</v>
      </c>
    </row>
    <row r="5224" spans="31:31" x14ac:dyDescent="0.25">
      <c r="AE5224">
        <v>28.22</v>
      </c>
    </row>
    <row r="5225" spans="31:31" x14ac:dyDescent="0.25">
      <c r="AE5225">
        <v>10.14</v>
      </c>
    </row>
    <row r="5226" spans="31:31" x14ac:dyDescent="0.25">
      <c r="AE5226">
        <v>154.57</v>
      </c>
    </row>
    <row r="5227" spans="31:31" x14ac:dyDescent="0.25">
      <c r="AE5227">
        <v>31.07</v>
      </c>
    </row>
    <row r="5228" spans="31:31" x14ac:dyDescent="0.25">
      <c r="AE5228">
        <v>47.88</v>
      </c>
    </row>
    <row r="5229" spans="31:31" x14ac:dyDescent="0.25">
      <c r="AE5229">
        <v>41.67</v>
      </c>
    </row>
    <row r="5230" spans="31:31" x14ac:dyDescent="0.25">
      <c r="AE5230">
        <v>17.02</v>
      </c>
    </row>
    <row r="5231" spans="31:31" x14ac:dyDescent="0.25">
      <c r="AE5231">
        <v>27.54</v>
      </c>
    </row>
    <row r="5232" spans="31:31" x14ac:dyDescent="0.25">
      <c r="AE5232">
        <v>22.77</v>
      </c>
    </row>
    <row r="5233" spans="31:31" x14ac:dyDescent="0.25">
      <c r="AE5233">
        <v>20.420000000000002</v>
      </c>
    </row>
    <row r="5234" spans="31:31" x14ac:dyDescent="0.25">
      <c r="AE5234">
        <v>26.16</v>
      </c>
    </row>
    <row r="5235" spans="31:31" x14ac:dyDescent="0.25">
      <c r="AE5235">
        <v>32.61</v>
      </c>
    </row>
    <row r="5236" spans="31:31" x14ac:dyDescent="0.25">
      <c r="AE5236">
        <v>34.76</v>
      </c>
    </row>
    <row r="5237" spans="31:31" x14ac:dyDescent="0.25">
      <c r="AE5237">
        <v>61.6</v>
      </c>
    </row>
    <row r="5238" spans="31:31" x14ac:dyDescent="0.25">
      <c r="AE5238">
        <v>47.71</v>
      </c>
    </row>
    <row r="5239" spans="31:31" x14ac:dyDescent="0.25">
      <c r="AE5239">
        <v>72.430000000000007</v>
      </c>
    </row>
    <row r="5240" spans="31:31" x14ac:dyDescent="0.25">
      <c r="AE5240">
        <v>25.6</v>
      </c>
    </row>
    <row r="5241" spans="31:31" x14ac:dyDescent="0.25">
      <c r="AE5241">
        <v>29.74</v>
      </c>
    </row>
    <row r="5242" spans="31:31" x14ac:dyDescent="0.25">
      <c r="AE5242">
        <v>25.35</v>
      </c>
    </row>
    <row r="5243" spans="31:31" x14ac:dyDescent="0.25">
      <c r="AE5243">
        <v>47.05</v>
      </c>
    </row>
    <row r="5244" spans="31:31" x14ac:dyDescent="0.25">
      <c r="AE5244">
        <v>32.950000000000003</v>
      </c>
    </row>
    <row r="5245" spans="31:31" x14ac:dyDescent="0.25">
      <c r="AE5245">
        <v>51</v>
      </c>
    </row>
    <row r="5246" spans="31:31" x14ac:dyDescent="0.25">
      <c r="AE5246">
        <v>0.27</v>
      </c>
    </row>
    <row r="5247" spans="31:31" x14ac:dyDescent="0.25">
      <c r="AE5247">
        <v>16.38</v>
      </c>
    </row>
    <row r="5248" spans="31:31" x14ac:dyDescent="0.25">
      <c r="AE5248">
        <v>34.39</v>
      </c>
    </row>
    <row r="5249" spans="31:31" x14ac:dyDescent="0.25">
      <c r="AE5249">
        <v>31.73</v>
      </c>
    </row>
    <row r="5250" spans="31:31" x14ac:dyDescent="0.25">
      <c r="AE5250">
        <v>138.78</v>
      </c>
    </row>
    <row r="5251" spans="31:31" x14ac:dyDescent="0.25">
      <c r="AE5251">
        <v>51.51</v>
      </c>
    </row>
    <row r="5252" spans="31:31" x14ac:dyDescent="0.25">
      <c r="AE5252">
        <v>33.93</v>
      </c>
    </row>
    <row r="5253" spans="31:31" x14ac:dyDescent="0.25">
      <c r="AE5253">
        <v>80.14</v>
      </c>
    </row>
    <row r="5254" spans="31:31" x14ac:dyDescent="0.25">
      <c r="AE5254">
        <v>4.78</v>
      </c>
    </row>
    <row r="5255" spans="31:31" x14ac:dyDescent="0.25">
      <c r="AE5255">
        <v>40.479999999999997</v>
      </c>
    </row>
    <row r="5256" spans="31:31" x14ac:dyDescent="0.25">
      <c r="AE5256">
        <v>10.44</v>
      </c>
    </row>
    <row r="5257" spans="31:31" x14ac:dyDescent="0.25">
      <c r="AE5257">
        <v>44.24</v>
      </c>
    </row>
    <row r="5258" spans="31:31" x14ac:dyDescent="0.25">
      <c r="AE5258">
        <v>36.229999999999997</v>
      </c>
    </row>
    <row r="5259" spans="31:31" x14ac:dyDescent="0.25">
      <c r="AE5259">
        <v>76.81</v>
      </c>
    </row>
    <row r="5260" spans="31:31" x14ac:dyDescent="0.25">
      <c r="AE5260">
        <v>48.68</v>
      </c>
    </row>
    <row r="5261" spans="31:31" x14ac:dyDescent="0.25">
      <c r="AE5261">
        <v>61.58</v>
      </c>
    </row>
    <row r="5262" spans="31:31" x14ac:dyDescent="0.25">
      <c r="AE5262">
        <v>124.81</v>
      </c>
    </row>
    <row r="5263" spans="31:31" x14ac:dyDescent="0.25">
      <c r="AE5263">
        <v>33.61</v>
      </c>
    </row>
    <row r="5264" spans="31:31" x14ac:dyDescent="0.25">
      <c r="AE5264">
        <v>39.57</v>
      </c>
    </row>
    <row r="5265" spans="31:31" x14ac:dyDescent="0.25">
      <c r="AE5265">
        <v>10.14</v>
      </c>
    </row>
    <row r="5266" spans="31:31" x14ac:dyDescent="0.25">
      <c r="AE5266">
        <v>84.08</v>
      </c>
    </row>
    <row r="5267" spans="31:31" x14ac:dyDescent="0.25">
      <c r="AE5267">
        <v>19.440000000000001</v>
      </c>
    </row>
    <row r="5268" spans="31:31" x14ac:dyDescent="0.25">
      <c r="AE5268">
        <v>37.03</v>
      </c>
    </row>
    <row r="5269" spans="31:31" x14ac:dyDescent="0.25">
      <c r="AE5269">
        <v>41.88</v>
      </c>
    </row>
    <row r="5270" spans="31:31" x14ac:dyDescent="0.25">
      <c r="AE5270">
        <v>111.63</v>
      </c>
    </row>
    <row r="5271" spans="31:31" x14ac:dyDescent="0.25">
      <c r="AE5271">
        <v>10.09</v>
      </c>
    </row>
    <row r="5272" spans="31:31" x14ac:dyDescent="0.25">
      <c r="AE5272">
        <v>49.12</v>
      </c>
    </row>
    <row r="5273" spans="31:31" x14ac:dyDescent="0.25">
      <c r="AE5273">
        <v>38.47</v>
      </c>
    </row>
    <row r="5274" spans="31:31" x14ac:dyDescent="0.25">
      <c r="AE5274">
        <v>126.32</v>
      </c>
    </row>
    <row r="5275" spans="31:31" x14ac:dyDescent="0.25">
      <c r="AE5275">
        <v>44.96</v>
      </c>
    </row>
    <row r="5276" spans="31:31" x14ac:dyDescent="0.25">
      <c r="AE5276">
        <v>21.13</v>
      </c>
    </row>
    <row r="5277" spans="31:31" x14ac:dyDescent="0.25">
      <c r="AE5277">
        <v>25.5</v>
      </c>
    </row>
    <row r="5278" spans="31:31" x14ac:dyDescent="0.25">
      <c r="AE5278">
        <v>157.71</v>
      </c>
    </row>
    <row r="5279" spans="31:31" x14ac:dyDescent="0.25">
      <c r="AE5279">
        <v>37.65</v>
      </c>
    </row>
    <row r="5280" spans="31:31" x14ac:dyDescent="0.25">
      <c r="AE5280">
        <v>107.44</v>
      </c>
    </row>
    <row r="5281" spans="31:31" x14ac:dyDescent="0.25">
      <c r="AE5281">
        <v>0.18</v>
      </c>
    </row>
    <row r="5282" spans="31:31" x14ac:dyDescent="0.25">
      <c r="AE5282">
        <v>28.53</v>
      </c>
    </row>
    <row r="5283" spans="31:31" x14ac:dyDescent="0.25">
      <c r="AE5283">
        <v>26.97</v>
      </c>
    </row>
    <row r="5284" spans="31:31" x14ac:dyDescent="0.25">
      <c r="AE5284">
        <v>15.54</v>
      </c>
    </row>
    <row r="5285" spans="31:31" x14ac:dyDescent="0.25">
      <c r="AE5285">
        <v>19.77</v>
      </c>
    </row>
    <row r="5286" spans="31:31" x14ac:dyDescent="0.25">
      <c r="AE5286">
        <v>172.37</v>
      </c>
    </row>
    <row r="5287" spans="31:31" x14ac:dyDescent="0.25">
      <c r="AE5287">
        <v>0.18</v>
      </c>
    </row>
    <row r="5288" spans="31:31" x14ac:dyDescent="0.25">
      <c r="AE5288">
        <v>28.04</v>
      </c>
    </row>
    <row r="5289" spans="31:31" x14ac:dyDescent="0.25">
      <c r="AE5289">
        <v>56.9</v>
      </c>
    </row>
    <row r="5290" spans="31:31" x14ac:dyDescent="0.25">
      <c r="AE5290">
        <v>5.27</v>
      </c>
    </row>
    <row r="5291" spans="31:31" x14ac:dyDescent="0.25">
      <c r="AE5291">
        <v>113.83</v>
      </c>
    </row>
    <row r="5292" spans="31:31" x14ac:dyDescent="0.25">
      <c r="AE5292">
        <v>108.53</v>
      </c>
    </row>
    <row r="5293" spans="31:31" x14ac:dyDescent="0.25">
      <c r="AE5293">
        <v>56.18</v>
      </c>
    </row>
    <row r="5294" spans="31:31" x14ac:dyDescent="0.25">
      <c r="AE5294">
        <v>107.52</v>
      </c>
    </row>
    <row r="5295" spans="31:31" x14ac:dyDescent="0.25">
      <c r="AE5295">
        <v>55.02</v>
      </c>
    </row>
    <row r="5296" spans="31:31" x14ac:dyDescent="0.25">
      <c r="AE5296">
        <v>19.73</v>
      </c>
    </row>
    <row r="5297" spans="31:31" x14ac:dyDescent="0.25">
      <c r="AE5297">
        <v>10.44</v>
      </c>
    </row>
    <row r="5298" spans="31:31" x14ac:dyDescent="0.25">
      <c r="AE5298">
        <v>99.3</v>
      </c>
    </row>
    <row r="5299" spans="31:31" x14ac:dyDescent="0.25">
      <c r="AE5299">
        <v>55.08</v>
      </c>
    </row>
    <row r="5300" spans="31:31" x14ac:dyDescent="0.25">
      <c r="AE5300">
        <v>18.760000000000002</v>
      </c>
    </row>
    <row r="5301" spans="31:31" x14ac:dyDescent="0.25">
      <c r="AE5301">
        <v>50.01</v>
      </c>
    </row>
    <row r="5302" spans="31:31" x14ac:dyDescent="0.25">
      <c r="AE5302">
        <v>34.909999999999997</v>
      </c>
    </row>
    <row r="5303" spans="31:31" x14ac:dyDescent="0.25">
      <c r="AE5303">
        <v>51.52</v>
      </c>
    </row>
    <row r="5304" spans="31:31" x14ac:dyDescent="0.25">
      <c r="AE5304">
        <v>17.41</v>
      </c>
    </row>
    <row r="5305" spans="31:31" x14ac:dyDescent="0.25">
      <c r="AE5305">
        <v>31.69</v>
      </c>
    </row>
    <row r="5306" spans="31:31" x14ac:dyDescent="0.25">
      <c r="AE5306">
        <v>58.69</v>
      </c>
    </row>
    <row r="5307" spans="31:31" x14ac:dyDescent="0.25">
      <c r="AE5307">
        <v>41.16</v>
      </c>
    </row>
    <row r="5308" spans="31:31" x14ac:dyDescent="0.25">
      <c r="AE5308">
        <v>62.38</v>
      </c>
    </row>
    <row r="5309" spans="31:31" x14ac:dyDescent="0.25">
      <c r="AE5309">
        <v>47.81</v>
      </c>
    </row>
    <row r="5310" spans="31:31" x14ac:dyDescent="0.25">
      <c r="AE5310">
        <v>10.09</v>
      </c>
    </row>
    <row r="5311" spans="31:31" x14ac:dyDescent="0.25">
      <c r="AE5311">
        <v>20.28</v>
      </c>
    </row>
    <row r="5312" spans="31:31" x14ac:dyDescent="0.25">
      <c r="AE5312">
        <v>26.21</v>
      </c>
    </row>
    <row r="5313" spans="31:31" x14ac:dyDescent="0.25">
      <c r="AE5313">
        <v>6.21</v>
      </c>
    </row>
    <row r="5314" spans="31:31" x14ac:dyDescent="0.25">
      <c r="AE5314">
        <v>61.1</v>
      </c>
    </row>
    <row r="5315" spans="31:31" x14ac:dyDescent="0.25">
      <c r="AE5315">
        <v>30.88</v>
      </c>
    </row>
    <row r="5316" spans="31:31" x14ac:dyDescent="0.25">
      <c r="AE5316">
        <v>64.12</v>
      </c>
    </row>
    <row r="5317" spans="31:31" x14ac:dyDescent="0.25">
      <c r="AE5317">
        <v>10.08</v>
      </c>
    </row>
    <row r="5318" spans="31:31" x14ac:dyDescent="0.25">
      <c r="AE5318">
        <v>16.09</v>
      </c>
    </row>
    <row r="5319" spans="31:31" x14ac:dyDescent="0.25">
      <c r="AE5319">
        <v>46.97</v>
      </c>
    </row>
    <row r="5320" spans="31:31" x14ac:dyDescent="0.25">
      <c r="AE5320">
        <v>10.039999999999999</v>
      </c>
    </row>
    <row r="5321" spans="31:31" x14ac:dyDescent="0.25">
      <c r="AE5321">
        <v>46.6</v>
      </c>
    </row>
    <row r="5322" spans="31:31" x14ac:dyDescent="0.25">
      <c r="AE5322">
        <v>9.99</v>
      </c>
    </row>
    <row r="5323" spans="31:31" x14ac:dyDescent="0.25">
      <c r="AE5323">
        <v>37.590000000000003</v>
      </c>
    </row>
    <row r="5324" spans="31:31" x14ac:dyDescent="0.25">
      <c r="AE5324">
        <v>41.43</v>
      </c>
    </row>
    <row r="5325" spans="31:31" x14ac:dyDescent="0.25">
      <c r="AE5325">
        <v>18.78</v>
      </c>
    </row>
    <row r="5326" spans="31:31" x14ac:dyDescent="0.25">
      <c r="AE5326">
        <v>10.039999999999999</v>
      </c>
    </row>
    <row r="5327" spans="31:31" x14ac:dyDescent="0.25">
      <c r="AE5327">
        <v>56.89</v>
      </c>
    </row>
    <row r="5328" spans="31:31" x14ac:dyDescent="0.25">
      <c r="AE5328">
        <v>47.46</v>
      </c>
    </row>
    <row r="5329" spans="31:31" x14ac:dyDescent="0.25">
      <c r="AE5329">
        <v>8</v>
      </c>
    </row>
    <row r="5330" spans="31:31" x14ac:dyDescent="0.25">
      <c r="AE5330">
        <v>24.26</v>
      </c>
    </row>
    <row r="5331" spans="31:31" x14ac:dyDescent="0.25">
      <c r="AE5331">
        <v>3.98</v>
      </c>
    </row>
    <row r="5332" spans="31:31" x14ac:dyDescent="0.25">
      <c r="AE5332">
        <v>85.72</v>
      </c>
    </row>
    <row r="5333" spans="31:31" x14ac:dyDescent="0.25">
      <c r="AE5333">
        <v>91.11</v>
      </c>
    </row>
    <row r="5334" spans="31:31" x14ac:dyDescent="0.25">
      <c r="AE5334">
        <v>69.930000000000007</v>
      </c>
    </row>
    <row r="5335" spans="31:31" x14ac:dyDescent="0.25">
      <c r="AE5335">
        <v>86.31</v>
      </c>
    </row>
    <row r="5336" spans="31:31" x14ac:dyDescent="0.25">
      <c r="AE5336">
        <v>17.350000000000001</v>
      </c>
    </row>
    <row r="5337" spans="31:31" x14ac:dyDescent="0.25">
      <c r="AE5337">
        <v>34.44</v>
      </c>
    </row>
    <row r="5338" spans="31:31" x14ac:dyDescent="0.25">
      <c r="AE5338">
        <v>7.76</v>
      </c>
    </row>
    <row r="5339" spans="31:31" x14ac:dyDescent="0.25">
      <c r="AE5339">
        <v>6.32</v>
      </c>
    </row>
    <row r="5340" spans="31:31" x14ac:dyDescent="0.25">
      <c r="AE5340">
        <v>32.729999999999997</v>
      </c>
    </row>
    <row r="5341" spans="31:31" x14ac:dyDescent="0.25">
      <c r="AE5341">
        <v>10.09</v>
      </c>
    </row>
    <row r="5342" spans="31:31" x14ac:dyDescent="0.25">
      <c r="AE5342">
        <v>20.47</v>
      </c>
    </row>
    <row r="5343" spans="31:31" x14ac:dyDescent="0.25">
      <c r="AE5343">
        <v>139.57</v>
      </c>
    </row>
    <row r="5344" spans="31:31" x14ac:dyDescent="0.25">
      <c r="AE5344">
        <v>108.13</v>
      </c>
    </row>
    <row r="5345" spans="31:31" x14ac:dyDescent="0.25">
      <c r="AE5345">
        <v>148.86000000000001</v>
      </c>
    </row>
    <row r="5346" spans="31:31" x14ac:dyDescent="0.25">
      <c r="AE5346">
        <v>41.83</v>
      </c>
    </row>
    <row r="5347" spans="31:31" x14ac:dyDescent="0.25">
      <c r="AE5347">
        <v>25.57</v>
      </c>
    </row>
    <row r="5348" spans="31:31" x14ac:dyDescent="0.25">
      <c r="AE5348">
        <v>19.98</v>
      </c>
    </row>
    <row r="5349" spans="31:31" x14ac:dyDescent="0.25">
      <c r="AE5349">
        <v>86.58</v>
      </c>
    </row>
    <row r="5350" spans="31:31" x14ac:dyDescent="0.25">
      <c r="AE5350">
        <v>23.98</v>
      </c>
    </row>
    <row r="5351" spans="31:31" x14ac:dyDescent="0.25">
      <c r="AE5351">
        <v>41.44</v>
      </c>
    </row>
    <row r="5352" spans="31:31" x14ac:dyDescent="0.25">
      <c r="AE5352">
        <v>17.61</v>
      </c>
    </row>
    <row r="5353" spans="31:31" x14ac:dyDescent="0.25">
      <c r="AE5353">
        <v>28.53</v>
      </c>
    </row>
    <row r="5354" spans="31:31" x14ac:dyDescent="0.25">
      <c r="AE5354">
        <v>19.14</v>
      </c>
    </row>
    <row r="5355" spans="31:31" x14ac:dyDescent="0.25">
      <c r="AE5355">
        <v>27.58</v>
      </c>
    </row>
    <row r="5356" spans="31:31" x14ac:dyDescent="0.25">
      <c r="AE5356">
        <v>68.78</v>
      </c>
    </row>
    <row r="5357" spans="31:31" x14ac:dyDescent="0.25">
      <c r="AE5357">
        <v>45.19</v>
      </c>
    </row>
    <row r="5358" spans="31:31" x14ac:dyDescent="0.25">
      <c r="AE5358">
        <v>77.81</v>
      </c>
    </row>
    <row r="5359" spans="31:31" x14ac:dyDescent="0.25">
      <c r="AE5359">
        <v>47.65</v>
      </c>
    </row>
    <row r="5360" spans="31:31" x14ac:dyDescent="0.25">
      <c r="AE5360">
        <v>10.34</v>
      </c>
    </row>
    <row r="5361" spans="31:31" x14ac:dyDescent="0.25">
      <c r="AE5361">
        <v>0.54</v>
      </c>
    </row>
    <row r="5362" spans="31:31" x14ac:dyDescent="0.25">
      <c r="AE5362">
        <v>101.64</v>
      </c>
    </row>
    <row r="5363" spans="31:31" x14ac:dyDescent="0.25">
      <c r="AE5363">
        <v>83.56</v>
      </c>
    </row>
    <row r="5364" spans="31:31" x14ac:dyDescent="0.25">
      <c r="AE5364">
        <v>6.79</v>
      </c>
    </row>
    <row r="5365" spans="31:31" x14ac:dyDescent="0.25">
      <c r="AE5365">
        <v>21.75</v>
      </c>
    </row>
    <row r="5366" spans="31:31" x14ac:dyDescent="0.25">
      <c r="AE5366">
        <v>14.84</v>
      </c>
    </row>
    <row r="5367" spans="31:31" x14ac:dyDescent="0.25">
      <c r="AE5367">
        <v>18.579999999999998</v>
      </c>
    </row>
    <row r="5368" spans="31:31" x14ac:dyDescent="0.25">
      <c r="AE5368">
        <v>61.8</v>
      </c>
    </row>
    <row r="5369" spans="31:31" x14ac:dyDescent="0.25">
      <c r="AE5369">
        <v>39.9</v>
      </c>
    </row>
    <row r="5370" spans="31:31" x14ac:dyDescent="0.25">
      <c r="AE5370">
        <v>0.18</v>
      </c>
    </row>
    <row r="5371" spans="31:31" x14ac:dyDescent="0.25">
      <c r="AE5371">
        <v>47.06</v>
      </c>
    </row>
    <row r="5372" spans="31:31" x14ac:dyDescent="0.25">
      <c r="AE5372">
        <v>29.09</v>
      </c>
    </row>
    <row r="5373" spans="31:31" x14ac:dyDescent="0.25">
      <c r="AE5373">
        <v>59.19</v>
      </c>
    </row>
    <row r="5374" spans="31:31" x14ac:dyDescent="0.25">
      <c r="AE5374">
        <v>23.05</v>
      </c>
    </row>
    <row r="5375" spans="31:31" x14ac:dyDescent="0.25">
      <c r="AE5375">
        <v>129.79</v>
      </c>
    </row>
    <row r="5376" spans="31:31" x14ac:dyDescent="0.25">
      <c r="AE5376">
        <v>15.88</v>
      </c>
    </row>
    <row r="5377" spans="31:31" x14ac:dyDescent="0.25">
      <c r="AE5377">
        <v>81.209999999999994</v>
      </c>
    </row>
    <row r="5378" spans="31:31" x14ac:dyDescent="0.25">
      <c r="AE5378">
        <v>27.68</v>
      </c>
    </row>
    <row r="5379" spans="31:31" x14ac:dyDescent="0.25">
      <c r="AE5379">
        <v>64.69</v>
      </c>
    </row>
    <row r="5380" spans="31:31" x14ac:dyDescent="0.25">
      <c r="AE5380">
        <v>16.760000000000002</v>
      </c>
    </row>
    <row r="5381" spans="31:31" x14ac:dyDescent="0.25">
      <c r="AE5381">
        <v>10.87</v>
      </c>
    </row>
    <row r="5382" spans="31:31" x14ac:dyDescent="0.25">
      <c r="AE5382">
        <v>40.33</v>
      </c>
    </row>
    <row r="5383" spans="31:31" x14ac:dyDescent="0.25">
      <c r="AE5383">
        <v>17.170000000000002</v>
      </c>
    </row>
    <row r="5384" spans="31:31" x14ac:dyDescent="0.25">
      <c r="AE5384">
        <v>29.11</v>
      </c>
    </row>
    <row r="5385" spans="31:31" x14ac:dyDescent="0.25">
      <c r="AE5385">
        <v>11.11</v>
      </c>
    </row>
    <row r="5386" spans="31:31" x14ac:dyDescent="0.25">
      <c r="AE5386">
        <v>85.84</v>
      </c>
    </row>
    <row r="5387" spans="31:31" x14ac:dyDescent="0.25">
      <c r="AE5387">
        <v>54.03</v>
      </c>
    </row>
    <row r="5388" spans="31:31" x14ac:dyDescent="0.25">
      <c r="AE5388">
        <v>13.19</v>
      </c>
    </row>
    <row r="5389" spans="31:31" x14ac:dyDescent="0.25">
      <c r="AE5389">
        <v>60.36</v>
      </c>
    </row>
    <row r="5390" spans="31:31" x14ac:dyDescent="0.25">
      <c r="AE5390">
        <v>82.33</v>
      </c>
    </row>
    <row r="5391" spans="31:31" x14ac:dyDescent="0.25">
      <c r="AE5391">
        <v>29.75</v>
      </c>
    </row>
    <row r="5392" spans="31:31" x14ac:dyDescent="0.25">
      <c r="AE5392">
        <v>1.97</v>
      </c>
    </row>
    <row r="5393" spans="31:31" x14ac:dyDescent="0.25">
      <c r="AE5393">
        <v>22.78</v>
      </c>
    </row>
    <row r="5394" spans="31:31" x14ac:dyDescent="0.25">
      <c r="AE5394">
        <v>42.44</v>
      </c>
    </row>
    <row r="5395" spans="31:31" x14ac:dyDescent="0.25">
      <c r="AE5395">
        <v>0.09</v>
      </c>
    </row>
    <row r="5396" spans="31:31" x14ac:dyDescent="0.25">
      <c r="AE5396">
        <v>81.25</v>
      </c>
    </row>
    <row r="5397" spans="31:31" x14ac:dyDescent="0.25">
      <c r="AE5397">
        <v>81.87</v>
      </c>
    </row>
    <row r="5398" spans="31:31" x14ac:dyDescent="0.25">
      <c r="AE5398">
        <v>268.11</v>
      </c>
    </row>
    <row r="5399" spans="31:31" x14ac:dyDescent="0.25">
      <c r="AE5399">
        <v>22.88</v>
      </c>
    </row>
    <row r="5400" spans="31:31" x14ac:dyDescent="0.25">
      <c r="AE5400">
        <v>41.33</v>
      </c>
    </row>
    <row r="5401" spans="31:31" x14ac:dyDescent="0.25">
      <c r="AE5401">
        <v>54.24</v>
      </c>
    </row>
    <row r="5402" spans="31:31" x14ac:dyDescent="0.25">
      <c r="AE5402">
        <v>7.45</v>
      </c>
    </row>
    <row r="5403" spans="31:31" x14ac:dyDescent="0.25">
      <c r="AE5403">
        <v>32.57</v>
      </c>
    </row>
    <row r="5404" spans="31:31" x14ac:dyDescent="0.25">
      <c r="AE5404">
        <v>59.32</v>
      </c>
    </row>
    <row r="5405" spans="31:31" x14ac:dyDescent="0.25">
      <c r="AE5405">
        <v>21.76</v>
      </c>
    </row>
    <row r="5406" spans="31:31" x14ac:dyDescent="0.25">
      <c r="AE5406">
        <v>14.24</v>
      </c>
    </row>
    <row r="5407" spans="31:31" x14ac:dyDescent="0.25">
      <c r="AE5407">
        <v>38.11</v>
      </c>
    </row>
    <row r="5408" spans="31:31" x14ac:dyDescent="0.25">
      <c r="AE5408">
        <v>56.4</v>
      </c>
    </row>
    <row r="5409" spans="31:31" x14ac:dyDescent="0.25">
      <c r="AE5409">
        <v>132.03</v>
      </c>
    </row>
    <row r="5410" spans="31:31" x14ac:dyDescent="0.25">
      <c r="AE5410">
        <v>131.06</v>
      </c>
    </row>
    <row r="5411" spans="31:31" x14ac:dyDescent="0.25">
      <c r="AE5411">
        <v>30.01</v>
      </c>
    </row>
    <row r="5412" spans="31:31" x14ac:dyDescent="0.25">
      <c r="AE5412">
        <v>40.67</v>
      </c>
    </row>
    <row r="5413" spans="31:31" x14ac:dyDescent="0.25">
      <c r="AE5413">
        <v>6.98</v>
      </c>
    </row>
    <row r="5414" spans="31:31" x14ac:dyDescent="0.25">
      <c r="AE5414">
        <v>69.900000000000006</v>
      </c>
    </row>
    <row r="5415" spans="31:31" x14ac:dyDescent="0.25">
      <c r="AE5415">
        <v>47.16</v>
      </c>
    </row>
    <row r="5416" spans="31:31" x14ac:dyDescent="0.25">
      <c r="AE5416">
        <v>26.47</v>
      </c>
    </row>
    <row r="5417" spans="31:31" x14ac:dyDescent="0.25">
      <c r="AE5417">
        <v>51.56</v>
      </c>
    </row>
    <row r="5418" spans="31:31" x14ac:dyDescent="0.25">
      <c r="AE5418">
        <v>72.92</v>
      </c>
    </row>
    <row r="5419" spans="31:31" x14ac:dyDescent="0.25">
      <c r="AE5419">
        <v>103.05</v>
      </c>
    </row>
    <row r="5420" spans="31:31" x14ac:dyDescent="0.25">
      <c r="AE5420">
        <v>12.99</v>
      </c>
    </row>
    <row r="5421" spans="31:31" x14ac:dyDescent="0.25">
      <c r="AE5421">
        <v>16.149999999999999</v>
      </c>
    </row>
    <row r="5422" spans="31:31" x14ac:dyDescent="0.25">
      <c r="AE5422">
        <v>149.18</v>
      </c>
    </row>
    <row r="5423" spans="31:31" x14ac:dyDescent="0.25">
      <c r="AE5423">
        <v>45.51</v>
      </c>
    </row>
    <row r="5424" spans="31:31" x14ac:dyDescent="0.25">
      <c r="AE5424">
        <v>5.22</v>
      </c>
    </row>
    <row r="5425" spans="31:31" x14ac:dyDescent="0.25">
      <c r="AE5425">
        <v>205.98</v>
      </c>
    </row>
    <row r="5426" spans="31:31" x14ac:dyDescent="0.25">
      <c r="AE5426">
        <v>25</v>
      </c>
    </row>
    <row r="5427" spans="31:31" x14ac:dyDescent="0.25">
      <c r="AE5427">
        <v>165.31</v>
      </c>
    </row>
    <row r="5428" spans="31:31" x14ac:dyDescent="0.25">
      <c r="AE5428">
        <v>11.55</v>
      </c>
    </row>
    <row r="5429" spans="31:31" x14ac:dyDescent="0.25">
      <c r="AE5429">
        <v>30.63</v>
      </c>
    </row>
    <row r="5430" spans="31:31" x14ac:dyDescent="0.25">
      <c r="AE5430">
        <v>0.36</v>
      </c>
    </row>
    <row r="5431" spans="31:31" x14ac:dyDescent="0.25">
      <c r="AE5431">
        <v>5.9</v>
      </c>
    </row>
    <row r="5432" spans="31:31" x14ac:dyDescent="0.25">
      <c r="AE5432">
        <v>14.32</v>
      </c>
    </row>
    <row r="5433" spans="31:31" x14ac:dyDescent="0.25">
      <c r="AE5433">
        <v>68.73</v>
      </c>
    </row>
    <row r="5434" spans="31:31" x14ac:dyDescent="0.25">
      <c r="AE5434">
        <v>51.9</v>
      </c>
    </row>
    <row r="5435" spans="31:31" x14ac:dyDescent="0.25">
      <c r="AE5435">
        <v>4.78</v>
      </c>
    </row>
    <row r="5436" spans="31:31" x14ac:dyDescent="0.25">
      <c r="AE5436">
        <v>45.09</v>
      </c>
    </row>
    <row r="5437" spans="31:31" x14ac:dyDescent="0.25">
      <c r="AE5437">
        <v>42.15</v>
      </c>
    </row>
    <row r="5438" spans="31:31" x14ac:dyDescent="0.25">
      <c r="AE5438">
        <v>78.849999999999994</v>
      </c>
    </row>
    <row r="5439" spans="31:31" x14ac:dyDescent="0.25">
      <c r="AE5439">
        <v>28.86</v>
      </c>
    </row>
    <row r="5440" spans="31:31" x14ac:dyDescent="0.25">
      <c r="AE5440">
        <v>49.17</v>
      </c>
    </row>
    <row r="5441" spans="31:31" x14ac:dyDescent="0.25">
      <c r="AE5441">
        <v>19</v>
      </c>
    </row>
    <row r="5442" spans="31:31" x14ac:dyDescent="0.25">
      <c r="AE5442">
        <v>103.17</v>
      </c>
    </row>
    <row r="5443" spans="31:31" x14ac:dyDescent="0.25">
      <c r="AE5443">
        <v>222.68</v>
      </c>
    </row>
    <row r="5444" spans="31:31" x14ac:dyDescent="0.25">
      <c r="AE5444">
        <v>9.99</v>
      </c>
    </row>
    <row r="5445" spans="31:31" x14ac:dyDescent="0.25">
      <c r="AE5445">
        <v>205.25</v>
      </c>
    </row>
    <row r="5446" spans="31:31" x14ac:dyDescent="0.25">
      <c r="AE5446">
        <v>160.19999999999999</v>
      </c>
    </row>
    <row r="5447" spans="31:31" x14ac:dyDescent="0.25">
      <c r="AE5447">
        <v>1.08</v>
      </c>
    </row>
    <row r="5448" spans="31:31" x14ac:dyDescent="0.25">
      <c r="AE5448">
        <v>85.36</v>
      </c>
    </row>
    <row r="5449" spans="31:31" x14ac:dyDescent="0.25">
      <c r="AE5449">
        <v>23.62</v>
      </c>
    </row>
    <row r="5450" spans="31:31" x14ac:dyDescent="0.25">
      <c r="AE5450">
        <v>104.15</v>
      </c>
    </row>
    <row r="5451" spans="31:31" x14ac:dyDescent="0.25">
      <c r="AE5451">
        <v>15.2</v>
      </c>
    </row>
    <row r="5452" spans="31:31" x14ac:dyDescent="0.25">
      <c r="AE5452">
        <v>33.229999999999997</v>
      </c>
    </row>
    <row r="5453" spans="31:31" x14ac:dyDescent="0.25">
      <c r="AE5453">
        <v>106.38</v>
      </c>
    </row>
    <row r="5454" spans="31:31" x14ac:dyDescent="0.25">
      <c r="AE5454">
        <v>10.44</v>
      </c>
    </row>
    <row r="5455" spans="31:31" x14ac:dyDescent="0.25">
      <c r="AE5455">
        <v>50.86</v>
      </c>
    </row>
    <row r="5456" spans="31:31" x14ac:dyDescent="0.25">
      <c r="AE5456">
        <v>60.66</v>
      </c>
    </row>
    <row r="5457" spans="31:31" x14ac:dyDescent="0.25">
      <c r="AE5457">
        <v>37.43</v>
      </c>
    </row>
    <row r="5458" spans="31:31" x14ac:dyDescent="0.25">
      <c r="AE5458">
        <v>48.6</v>
      </c>
    </row>
    <row r="5459" spans="31:31" x14ac:dyDescent="0.25">
      <c r="AE5459">
        <v>0.18</v>
      </c>
    </row>
    <row r="5460" spans="31:31" x14ac:dyDescent="0.25">
      <c r="AE5460">
        <v>128.6</v>
      </c>
    </row>
    <row r="5461" spans="31:31" x14ac:dyDescent="0.25">
      <c r="AE5461">
        <v>35.229999999999997</v>
      </c>
    </row>
    <row r="5462" spans="31:31" x14ac:dyDescent="0.25">
      <c r="AE5462">
        <v>63.66</v>
      </c>
    </row>
    <row r="5463" spans="31:31" x14ac:dyDescent="0.25">
      <c r="AE5463">
        <v>53.49</v>
      </c>
    </row>
    <row r="5464" spans="31:31" x14ac:dyDescent="0.25">
      <c r="AE5464">
        <v>155.15</v>
      </c>
    </row>
    <row r="5465" spans="31:31" x14ac:dyDescent="0.25">
      <c r="AE5465">
        <v>47.45</v>
      </c>
    </row>
    <row r="5466" spans="31:31" x14ac:dyDescent="0.25">
      <c r="AE5466">
        <v>21.44</v>
      </c>
    </row>
    <row r="5467" spans="31:31" x14ac:dyDescent="0.25">
      <c r="AE5467">
        <v>69.260000000000005</v>
      </c>
    </row>
    <row r="5468" spans="31:31" x14ac:dyDescent="0.25">
      <c r="AE5468">
        <v>169.7</v>
      </c>
    </row>
    <row r="5469" spans="31:31" x14ac:dyDescent="0.25">
      <c r="AE5469">
        <v>80.48</v>
      </c>
    </row>
    <row r="5470" spans="31:31" x14ac:dyDescent="0.25">
      <c r="AE5470">
        <v>71.739999999999995</v>
      </c>
    </row>
    <row r="5471" spans="31:31" x14ac:dyDescent="0.25">
      <c r="AE5471">
        <v>134.80000000000001</v>
      </c>
    </row>
    <row r="5472" spans="31:31" x14ac:dyDescent="0.25">
      <c r="AE5472">
        <v>10.039999999999999</v>
      </c>
    </row>
    <row r="5473" spans="31:31" x14ac:dyDescent="0.25">
      <c r="AE5473">
        <v>66.599999999999994</v>
      </c>
    </row>
    <row r="5474" spans="31:31" x14ac:dyDescent="0.25">
      <c r="AE5474">
        <v>33.29</v>
      </c>
    </row>
    <row r="5475" spans="31:31" x14ac:dyDescent="0.25">
      <c r="AE5475">
        <v>14.97</v>
      </c>
    </row>
    <row r="5476" spans="31:31" x14ac:dyDescent="0.25">
      <c r="AE5476">
        <v>93.43</v>
      </c>
    </row>
    <row r="5477" spans="31:31" x14ac:dyDescent="0.25">
      <c r="AE5477">
        <v>49.96</v>
      </c>
    </row>
    <row r="5478" spans="31:31" x14ac:dyDescent="0.25">
      <c r="AE5478">
        <v>61.56</v>
      </c>
    </row>
    <row r="5479" spans="31:31" x14ac:dyDescent="0.25">
      <c r="AE5479">
        <v>46.22</v>
      </c>
    </row>
    <row r="5480" spans="31:31" x14ac:dyDescent="0.25">
      <c r="AE5480">
        <v>152.46</v>
      </c>
    </row>
    <row r="5481" spans="31:31" x14ac:dyDescent="0.25">
      <c r="AE5481">
        <v>156.82</v>
      </c>
    </row>
    <row r="5482" spans="31:31" x14ac:dyDescent="0.25">
      <c r="AE5482">
        <v>23.88</v>
      </c>
    </row>
    <row r="5483" spans="31:31" x14ac:dyDescent="0.25">
      <c r="AE5483">
        <v>10.69</v>
      </c>
    </row>
    <row r="5484" spans="31:31" x14ac:dyDescent="0.25">
      <c r="AE5484">
        <v>84.13</v>
      </c>
    </row>
    <row r="5485" spans="31:31" x14ac:dyDescent="0.25">
      <c r="AE5485">
        <v>21.2</v>
      </c>
    </row>
    <row r="5486" spans="31:31" x14ac:dyDescent="0.25">
      <c r="AE5486">
        <v>53.66</v>
      </c>
    </row>
    <row r="5487" spans="31:31" x14ac:dyDescent="0.25">
      <c r="AE5487">
        <v>0.18</v>
      </c>
    </row>
    <row r="5488" spans="31:31" x14ac:dyDescent="0.25">
      <c r="AE5488">
        <v>20.39</v>
      </c>
    </row>
    <row r="5489" spans="31:31" x14ac:dyDescent="0.25">
      <c r="AE5489">
        <v>7.25</v>
      </c>
    </row>
    <row r="5490" spans="31:31" x14ac:dyDescent="0.25">
      <c r="AE5490">
        <v>0</v>
      </c>
    </row>
    <row r="5491" spans="31:31" x14ac:dyDescent="0.25">
      <c r="AE5491">
        <v>19.440000000000001</v>
      </c>
    </row>
    <row r="5492" spans="31:31" x14ac:dyDescent="0.25">
      <c r="AE5492">
        <v>132.02000000000001</v>
      </c>
    </row>
    <row r="5493" spans="31:31" x14ac:dyDescent="0.25">
      <c r="AE5493">
        <v>36.29</v>
      </c>
    </row>
    <row r="5494" spans="31:31" x14ac:dyDescent="0.25">
      <c r="AE5494">
        <v>63.17</v>
      </c>
    </row>
    <row r="5495" spans="31:31" x14ac:dyDescent="0.25">
      <c r="AE5495">
        <v>63.83</v>
      </c>
    </row>
    <row r="5496" spans="31:31" x14ac:dyDescent="0.25">
      <c r="AE5496">
        <v>0.54</v>
      </c>
    </row>
    <row r="5497" spans="31:31" x14ac:dyDescent="0.25">
      <c r="AE5497">
        <v>27.34</v>
      </c>
    </row>
    <row r="5498" spans="31:31" x14ac:dyDescent="0.25">
      <c r="AE5498">
        <v>18.16</v>
      </c>
    </row>
    <row r="5499" spans="31:31" x14ac:dyDescent="0.25">
      <c r="AE5499">
        <v>34.69</v>
      </c>
    </row>
    <row r="5500" spans="31:31" x14ac:dyDescent="0.25">
      <c r="AE5500">
        <v>78.88</v>
      </c>
    </row>
    <row r="5501" spans="31:31" x14ac:dyDescent="0.25">
      <c r="AE5501">
        <v>28.15</v>
      </c>
    </row>
    <row r="5502" spans="31:31" x14ac:dyDescent="0.25">
      <c r="AE5502">
        <v>19.88</v>
      </c>
    </row>
    <row r="5503" spans="31:31" x14ac:dyDescent="0.25">
      <c r="AE5503">
        <v>62.5</v>
      </c>
    </row>
    <row r="5504" spans="31:31" x14ac:dyDescent="0.25">
      <c r="AE5504">
        <v>16.13</v>
      </c>
    </row>
    <row r="5505" spans="31:31" x14ac:dyDescent="0.25">
      <c r="AE5505">
        <v>36.03</v>
      </c>
    </row>
    <row r="5506" spans="31:31" x14ac:dyDescent="0.25">
      <c r="AE5506">
        <v>219.51</v>
      </c>
    </row>
    <row r="5507" spans="31:31" x14ac:dyDescent="0.25">
      <c r="AE5507">
        <v>15.05</v>
      </c>
    </row>
    <row r="5508" spans="31:31" x14ac:dyDescent="0.25">
      <c r="AE5508">
        <v>62.49</v>
      </c>
    </row>
    <row r="5509" spans="31:31" x14ac:dyDescent="0.25">
      <c r="AE5509">
        <v>92.69</v>
      </c>
    </row>
    <row r="5510" spans="31:31" x14ac:dyDescent="0.25">
      <c r="AE5510">
        <v>69.94</v>
      </c>
    </row>
    <row r="5511" spans="31:31" x14ac:dyDescent="0.25">
      <c r="AE5511">
        <v>33.6</v>
      </c>
    </row>
    <row r="5512" spans="31:31" x14ac:dyDescent="0.25">
      <c r="AE5512">
        <v>35.130000000000003</v>
      </c>
    </row>
    <row r="5513" spans="31:31" x14ac:dyDescent="0.25">
      <c r="AE5513">
        <v>40.97</v>
      </c>
    </row>
    <row r="5514" spans="31:31" x14ac:dyDescent="0.25">
      <c r="AE5514">
        <v>0.36</v>
      </c>
    </row>
    <row r="5515" spans="31:31" x14ac:dyDescent="0.25">
      <c r="AE5515">
        <v>46.62</v>
      </c>
    </row>
    <row r="5516" spans="31:31" x14ac:dyDescent="0.25">
      <c r="AE5516">
        <v>129.13</v>
      </c>
    </row>
    <row r="5517" spans="31:31" x14ac:dyDescent="0.25">
      <c r="AE5517">
        <v>55.37</v>
      </c>
    </row>
    <row r="5518" spans="31:31" x14ac:dyDescent="0.25">
      <c r="AE5518">
        <v>8.74</v>
      </c>
    </row>
    <row r="5519" spans="31:31" x14ac:dyDescent="0.25">
      <c r="AE5519">
        <v>45.69</v>
      </c>
    </row>
    <row r="5520" spans="31:31" x14ac:dyDescent="0.25">
      <c r="AE5520">
        <v>49.92</v>
      </c>
    </row>
    <row r="5521" spans="31:31" x14ac:dyDescent="0.25">
      <c r="AE5521">
        <v>176.22</v>
      </c>
    </row>
    <row r="5522" spans="31:31" x14ac:dyDescent="0.25">
      <c r="AE5522">
        <v>78.099999999999994</v>
      </c>
    </row>
    <row r="5523" spans="31:31" x14ac:dyDescent="0.25">
      <c r="AE5523">
        <v>217.38</v>
      </c>
    </row>
    <row r="5524" spans="31:31" x14ac:dyDescent="0.25">
      <c r="AE5524">
        <v>88.76</v>
      </c>
    </row>
    <row r="5525" spans="31:31" x14ac:dyDescent="0.25">
      <c r="AE5525">
        <v>45.01</v>
      </c>
    </row>
    <row r="5526" spans="31:31" x14ac:dyDescent="0.25">
      <c r="AE5526">
        <v>9.99</v>
      </c>
    </row>
    <row r="5527" spans="31:31" x14ac:dyDescent="0.25">
      <c r="AE5527">
        <v>34.9</v>
      </c>
    </row>
    <row r="5528" spans="31:31" x14ac:dyDescent="0.25">
      <c r="AE5528">
        <v>24.9</v>
      </c>
    </row>
    <row r="5529" spans="31:31" x14ac:dyDescent="0.25">
      <c r="AE5529">
        <v>51.88</v>
      </c>
    </row>
    <row r="5530" spans="31:31" x14ac:dyDescent="0.25">
      <c r="AE5530">
        <v>15.05</v>
      </c>
    </row>
    <row r="5531" spans="31:31" x14ac:dyDescent="0.25">
      <c r="AE5531">
        <v>5.71</v>
      </c>
    </row>
    <row r="5532" spans="31:31" x14ac:dyDescent="0.25">
      <c r="AE5532">
        <v>10.14</v>
      </c>
    </row>
    <row r="5533" spans="31:31" x14ac:dyDescent="0.25">
      <c r="AE5533">
        <v>31.11</v>
      </c>
    </row>
    <row r="5534" spans="31:31" x14ac:dyDescent="0.25">
      <c r="AE5534">
        <v>40.270000000000003</v>
      </c>
    </row>
    <row r="5535" spans="31:31" x14ac:dyDescent="0.25">
      <c r="AE5535">
        <v>91.12</v>
      </c>
    </row>
    <row r="5536" spans="31:31" x14ac:dyDescent="0.25">
      <c r="AE5536">
        <v>16.5</v>
      </c>
    </row>
    <row r="5537" spans="31:31" x14ac:dyDescent="0.25">
      <c r="AE5537">
        <v>72.87</v>
      </c>
    </row>
    <row r="5538" spans="31:31" x14ac:dyDescent="0.25">
      <c r="AE5538">
        <v>45.69</v>
      </c>
    </row>
    <row r="5539" spans="31:31" x14ac:dyDescent="0.25">
      <c r="AE5539">
        <v>21.25</v>
      </c>
    </row>
    <row r="5540" spans="31:31" x14ac:dyDescent="0.25">
      <c r="AE5540">
        <v>99.44</v>
      </c>
    </row>
    <row r="5541" spans="31:31" x14ac:dyDescent="0.25">
      <c r="AE5541">
        <v>28.76</v>
      </c>
    </row>
    <row r="5542" spans="31:31" x14ac:dyDescent="0.25">
      <c r="AE5542">
        <v>12.31</v>
      </c>
    </row>
    <row r="5543" spans="31:31" x14ac:dyDescent="0.25">
      <c r="AE5543">
        <v>57.61</v>
      </c>
    </row>
    <row r="5544" spans="31:31" x14ac:dyDescent="0.25">
      <c r="AE5544">
        <v>70.45</v>
      </c>
    </row>
    <row r="5545" spans="31:31" x14ac:dyDescent="0.25">
      <c r="AE5545">
        <v>12.47</v>
      </c>
    </row>
    <row r="5546" spans="31:31" x14ac:dyDescent="0.25">
      <c r="AE5546">
        <v>82.22</v>
      </c>
    </row>
    <row r="5547" spans="31:31" x14ac:dyDescent="0.25">
      <c r="AE5547">
        <v>35.83</v>
      </c>
    </row>
    <row r="5548" spans="31:31" x14ac:dyDescent="0.25">
      <c r="AE5548">
        <v>133.78</v>
      </c>
    </row>
    <row r="5549" spans="31:31" x14ac:dyDescent="0.25">
      <c r="AE5549">
        <v>32.74</v>
      </c>
    </row>
    <row r="5550" spans="31:31" x14ac:dyDescent="0.25">
      <c r="AE5550">
        <v>98.91</v>
      </c>
    </row>
    <row r="5551" spans="31:31" x14ac:dyDescent="0.25">
      <c r="AE5551">
        <v>72.11</v>
      </c>
    </row>
    <row r="5552" spans="31:31" x14ac:dyDescent="0.25">
      <c r="AE5552">
        <v>18.73</v>
      </c>
    </row>
    <row r="5553" spans="31:31" x14ac:dyDescent="0.25">
      <c r="AE5553">
        <v>42.95</v>
      </c>
    </row>
    <row r="5554" spans="31:31" x14ac:dyDescent="0.25">
      <c r="AE5554">
        <v>197.2</v>
      </c>
    </row>
    <row r="5555" spans="31:31" x14ac:dyDescent="0.25">
      <c r="AE5555">
        <v>0.9</v>
      </c>
    </row>
    <row r="5556" spans="31:31" x14ac:dyDescent="0.25">
      <c r="AE5556">
        <v>22.12</v>
      </c>
    </row>
    <row r="5557" spans="31:31" x14ac:dyDescent="0.25">
      <c r="AE5557">
        <v>33.380000000000003</v>
      </c>
    </row>
    <row r="5558" spans="31:31" x14ac:dyDescent="0.25">
      <c r="AE5558">
        <v>32.479999999999997</v>
      </c>
    </row>
    <row r="5559" spans="31:31" x14ac:dyDescent="0.25">
      <c r="AE5559">
        <v>26.05</v>
      </c>
    </row>
    <row r="5560" spans="31:31" x14ac:dyDescent="0.25">
      <c r="AE5560">
        <v>138.68</v>
      </c>
    </row>
    <row r="5561" spans="31:31" x14ac:dyDescent="0.25">
      <c r="AE5561">
        <v>117.78</v>
      </c>
    </row>
    <row r="5562" spans="31:31" x14ac:dyDescent="0.25">
      <c r="AE5562">
        <v>54.6</v>
      </c>
    </row>
    <row r="5563" spans="31:31" x14ac:dyDescent="0.25">
      <c r="AE5563">
        <v>21.45</v>
      </c>
    </row>
    <row r="5564" spans="31:31" x14ac:dyDescent="0.25">
      <c r="AE5564">
        <v>24.23</v>
      </c>
    </row>
    <row r="5565" spans="31:31" x14ac:dyDescent="0.25">
      <c r="AE5565">
        <v>17.64</v>
      </c>
    </row>
    <row r="5566" spans="31:31" x14ac:dyDescent="0.25">
      <c r="AE5566">
        <v>17.66</v>
      </c>
    </row>
    <row r="5567" spans="31:31" x14ac:dyDescent="0.25">
      <c r="AE5567">
        <v>40.520000000000003</v>
      </c>
    </row>
    <row r="5568" spans="31:31" x14ac:dyDescent="0.25">
      <c r="AE5568">
        <v>38.82</v>
      </c>
    </row>
    <row r="5569" spans="31:31" x14ac:dyDescent="0.25">
      <c r="AE5569">
        <v>25.74</v>
      </c>
    </row>
    <row r="5570" spans="31:31" x14ac:dyDescent="0.25">
      <c r="AE5570">
        <v>49.17</v>
      </c>
    </row>
    <row r="5571" spans="31:31" x14ac:dyDescent="0.25">
      <c r="AE5571">
        <v>34.54</v>
      </c>
    </row>
    <row r="5572" spans="31:31" x14ac:dyDescent="0.25">
      <c r="AE5572">
        <v>67.55</v>
      </c>
    </row>
    <row r="5573" spans="31:31" x14ac:dyDescent="0.25">
      <c r="AE5573">
        <v>51.49</v>
      </c>
    </row>
    <row r="5574" spans="31:31" x14ac:dyDescent="0.25">
      <c r="AE5574">
        <v>134.83000000000001</v>
      </c>
    </row>
    <row r="5575" spans="31:31" x14ac:dyDescent="0.25">
      <c r="AE5575">
        <v>63.24</v>
      </c>
    </row>
    <row r="5576" spans="31:31" x14ac:dyDescent="0.25">
      <c r="AE5576">
        <v>82.52</v>
      </c>
    </row>
    <row r="5577" spans="31:31" x14ac:dyDescent="0.25">
      <c r="AE5577">
        <v>18.91</v>
      </c>
    </row>
    <row r="5578" spans="31:31" x14ac:dyDescent="0.25">
      <c r="AE5578">
        <v>14.95</v>
      </c>
    </row>
    <row r="5579" spans="31:31" x14ac:dyDescent="0.25">
      <c r="AE5579">
        <v>133.27000000000001</v>
      </c>
    </row>
    <row r="5580" spans="31:31" x14ac:dyDescent="0.25">
      <c r="AE5580">
        <v>32.270000000000003</v>
      </c>
    </row>
    <row r="5581" spans="31:31" x14ac:dyDescent="0.25">
      <c r="AE5581">
        <v>0</v>
      </c>
    </row>
    <row r="5582" spans="31:31" x14ac:dyDescent="0.25">
      <c r="AE5582">
        <v>9.64</v>
      </c>
    </row>
    <row r="5583" spans="31:31" x14ac:dyDescent="0.25">
      <c r="AE5583">
        <v>11.64</v>
      </c>
    </row>
    <row r="5584" spans="31:31" x14ac:dyDescent="0.25">
      <c r="AE5584">
        <v>11.06</v>
      </c>
    </row>
    <row r="5585" spans="31:31" x14ac:dyDescent="0.25">
      <c r="AE5585">
        <v>16.28</v>
      </c>
    </row>
    <row r="5586" spans="31:31" x14ac:dyDescent="0.25">
      <c r="AE5586">
        <v>39.450000000000003</v>
      </c>
    </row>
    <row r="5587" spans="31:31" x14ac:dyDescent="0.25">
      <c r="AE5587">
        <v>60.12</v>
      </c>
    </row>
    <row r="5588" spans="31:31" x14ac:dyDescent="0.25">
      <c r="AE5588">
        <v>83.63</v>
      </c>
    </row>
    <row r="5589" spans="31:31" x14ac:dyDescent="0.25">
      <c r="AE5589">
        <v>93.83</v>
      </c>
    </row>
    <row r="5590" spans="31:31" x14ac:dyDescent="0.25">
      <c r="AE5590">
        <v>0.18</v>
      </c>
    </row>
    <row r="5591" spans="31:31" x14ac:dyDescent="0.25">
      <c r="AE5591">
        <v>21.61</v>
      </c>
    </row>
    <row r="5592" spans="31:31" x14ac:dyDescent="0.25">
      <c r="AE5592">
        <v>0.36</v>
      </c>
    </row>
    <row r="5593" spans="31:31" x14ac:dyDescent="0.25">
      <c r="AE5593">
        <v>49.32</v>
      </c>
    </row>
    <row r="5594" spans="31:31" x14ac:dyDescent="0.25">
      <c r="AE5594">
        <v>29.83</v>
      </c>
    </row>
    <row r="5595" spans="31:31" x14ac:dyDescent="0.25">
      <c r="AE5595">
        <v>58.57</v>
      </c>
    </row>
    <row r="5596" spans="31:31" x14ac:dyDescent="0.25">
      <c r="AE5596">
        <v>55.56</v>
      </c>
    </row>
    <row r="5597" spans="31:31" x14ac:dyDescent="0.25">
      <c r="AE5597">
        <v>28.52</v>
      </c>
    </row>
    <row r="5598" spans="31:31" x14ac:dyDescent="0.25">
      <c r="AE5598">
        <v>20.03</v>
      </c>
    </row>
    <row r="5599" spans="31:31" x14ac:dyDescent="0.25">
      <c r="AE5599">
        <v>79.540000000000006</v>
      </c>
    </row>
    <row r="5600" spans="31:31" x14ac:dyDescent="0.25">
      <c r="AE5600">
        <v>52.71</v>
      </c>
    </row>
    <row r="5601" spans="31:31" x14ac:dyDescent="0.25">
      <c r="AE5601">
        <v>0</v>
      </c>
    </row>
    <row r="5602" spans="31:31" x14ac:dyDescent="0.25">
      <c r="AE5602">
        <v>161.22999999999999</v>
      </c>
    </row>
    <row r="5603" spans="31:31" x14ac:dyDescent="0.25">
      <c r="AE5603">
        <v>36.03</v>
      </c>
    </row>
    <row r="5604" spans="31:31" x14ac:dyDescent="0.25">
      <c r="AE5604">
        <v>15.87</v>
      </c>
    </row>
    <row r="5605" spans="31:31" x14ac:dyDescent="0.25">
      <c r="AE5605">
        <v>18.559999999999999</v>
      </c>
    </row>
    <row r="5606" spans="31:31" x14ac:dyDescent="0.25">
      <c r="AE5606">
        <v>119.39</v>
      </c>
    </row>
    <row r="5607" spans="31:31" x14ac:dyDescent="0.25">
      <c r="AE5607">
        <v>13.26</v>
      </c>
    </row>
    <row r="5608" spans="31:31" x14ac:dyDescent="0.25">
      <c r="AE5608">
        <v>11.72</v>
      </c>
    </row>
    <row r="5609" spans="31:31" x14ac:dyDescent="0.25">
      <c r="AE5609">
        <v>84.21</v>
      </c>
    </row>
    <row r="5610" spans="31:31" x14ac:dyDescent="0.25">
      <c r="AE5610">
        <v>16.5</v>
      </c>
    </row>
    <row r="5611" spans="31:31" x14ac:dyDescent="0.25">
      <c r="AE5611">
        <v>26.49</v>
      </c>
    </row>
    <row r="5612" spans="31:31" x14ac:dyDescent="0.25">
      <c r="AE5612">
        <v>42.95</v>
      </c>
    </row>
    <row r="5613" spans="31:31" x14ac:dyDescent="0.25">
      <c r="AE5613">
        <v>127.57</v>
      </c>
    </row>
    <row r="5614" spans="31:31" x14ac:dyDescent="0.25">
      <c r="AE5614">
        <v>64.37</v>
      </c>
    </row>
    <row r="5615" spans="31:31" x14ac:dyDescent="0.25">
      <c r="AE5615">
        <v>53.2</v>
      </c>
    </row>
    <row r="5616" spans="31:31" x14ac:dyDescent="0.25">
      <c r="AE5616">
        <v>167.86</v>
      </c>
    </row>
    <row r="5617" spans="31:31" x14ac:dyDescent="0.25">
      <c r="AE5617">
        <v>2.16</v>
      </c>
    </row>
    <row r="5618" spans="31:31" x14ac:dyDescent="0.25">
      <c r="AE5618">
        <v>29.89</v>
      </c>
    </row>
    <row r="5619" spans="31:31" x14ac:dyDescent="0.25">
      <c r="AE5619">
        <v>0.09</v>
      </c>
    </row>
    <row r="5620" spans="31:31" x14ac:dyDescent="0.25">
      <c r="AE5620">
        <v>1.08</v>
      </c>
    </row>
    <row r="5621" spans="31:31" x14ac:dyDescent="0.25">
      <c r="AE5621">
        <v>14.98</v>
      </c>
    </row>
    <row r="5622" spans="31:31" x14ac:dyDescent="0.25">
      <c r="AE5622">
        <v>18.63</v>
      </c>
    </row>
    <row r="5623" spans="31:31" x14ac:dyDescent="0.25">
      <c r="AE5623">
        <v>35.85</v>
      </c>
    </row>
    <row r="5624" spans="31:31" x14ac:dyDescent="0.25">
      <c r="AE5624">
        <v>19.78</v>
      </c>
    </row>
    <row r="5625" spans="31:31" x14ac:dyDescent="0.25">
      <c r="AE5625">
        <v>78.790000000000006</v>
      </c>
    </row>
    <row r="5626" spans="31:31" x14ac:dyDescent="0.25">
      <c r="AE5626">
        <v>52.49</v>
      </c>
    </row>
    <row r="5627" spans="31:31" x14ac:dyDescent="0.25">
      <c r="AE5627">
        <v>18.28</v>
      </c>
    </row>
    <row r="5628" spans="31:31" x14ac:dyDescent="0.25">
      <c r="AE5628">
        <v>45.2</v>
      </c>
    </row>
    <row r="5629" spans="31:31" x14ac:dyDescent="0.25">
      <c r="AE5629">
        <v>10.26</v>
      </c>
    </row>
    <row r="5630" spans="31:31" x14ac:dyDescent="0.25">
      <c r="AE5630">
        <v>27.49</v>
      </c>
    </row>
    <row r="5631" spans="31:31" x14ac:dyDescent="0.25">
      <c r="AE5631">
        <v>112.21</v>
      </c>
    </row>
    <row r="5632" spans="31:31" x14ac:dyDescent="0.25">
      <c r="AE5632">
        <v>44.4</v>
      </c>
    </row>
    <row r="5633" spans="31:31" x14ac:dyDescent="0.25">
      <c r="AE5633">
        <v>221.91</v>
      </c>
    </row>
    <row r="5634" spans="31:31" x14ac:dyDescent="0.25">
      <c r="AE5634">
        <v>133.46</v>
      </c>
    </row>
    <row r="5635" spans="31:31" x14ac:dyDescent="0.25">
      <c r="AE5635">
        <v>9.99</v>
      </c>
    </row>
    <row r="5636" spans="31:31" x14ac:dyDescent="0.25">
      <c r="AE5636">
        <v>36.83</v>
      </c>
    </row>
    <row r="5637" spans="31:31" x14ac:dyDescent="0.25">
      <c r="AE5637">
        <v>24.13</v>
      </c>
    </row>
    <row r="5638" spans="31:31" x14ac:dyDescent="0.25">
      <c r="AE5638">
        <v>48.3</v>
      </c>
    </row>
    <row r="5639" spans="31:31" x14ac:dyDescent="0.25">
      <c r="AE5639">
        <v>99.8</v>
      </c>
    </row>
    <row r="5640" spans="31:31" x14ac:dyDescent="0.25">
      <c r="AE5640">
        <v>177.3</v>
      </c>
    </row>
    <row r="5641" spans="31:31" x14ac:dyDescent="0.25">
      <c r="AE5641">
        <v>31.99</v>
      </c>
    </row>
    <row r="5642" spans="31:31" x14ac:dyDescent="0.25">
      <c r="AE5642">
        <v>109.09</v>
      </c>
    </row>
    <row r="5643" spans="31:31" x14ac:dyDescent="0.25">
      <c r="AE5643">
        <v>18.73</v>
      </c>
    </row>
    <row r="5644" spans="31:31" x14ac:dyDescent="0.25">
      <c r="AE5644">
        <v>29.13</v>
      </c>
    </row>
    <row r="5645" spans="31:31" x14ac:dyDescent="0.25">
      <c r="AE5645">
        <v>26.64</v>
      </c>
    </row>
    <row r="5646" spans="31:31" x14ac:dyDescent="0.25">
      <c r="AE5646">
        <v>64.87</v>
      </c>
    </row>
    <row r="5647" spans="31:31" x14ac:dyDescent="0.25">
      <c r="AE5647">
        <v>47.87</v>
      </c>
    </row>
    <row r="5648" spans="31:31" x14ac:dyDescent="0.25">
      <c r="AE5648">
        <v>68.61</v>
      </c>
    </row>
    <row r="5649" spans="31:31" x14ac:dyDescent="0.25">
      <c r="AE5649">
        <v>58.52</v>
      </c>
    </row>
    <row r="5650" spans="31:31" x14ac:dyDescent="0.25">
      <c r="AE5650">
        <v>73.25</v>
      </c>
    </row>
    <row r="5651" spans="31:31" x14ac:dyDescent="0.25">
      <c r="AE5651">
        <v>24.38</v>
      </c>
    </row>
    <row r="5652" spans="31:31" x14ac:dyDescent="0.25">
      <c r="AE5652">
        <v>72.62</v>
      </c>
    </row>
    <row r="5653" spans="31:31" x14ac:dyDescent="0.25">
      <c r="AE5653">
        <v>25.42</v>
      </c>
    </row>
    <row r="5654" spans="31:31" x14ac:dyDescent="0.25">
      <c r="AE5654">
        <v>10.19</v>
      </c>
    </row>
    <row r="5655" spans="31:31" x14ac:dyDescent="0.25">
      <c r="AE5655">
        <v>20.079999999999998</v>
      </c>
    </row>
    <row r="5656" spans="31:31" x14ac:dyDescent="0.25">
      <c r="AE5656">
        <v>27.03</v>
      </c>
    </row>
    <row r="5657" spans="31:31" x14ac:dyDescent="0.25">
      <c r="AE5657">
        <v>110.82</v>
      </c>
    </row>
    <row r="5658" spans="31:31" x14ac:dyDescent="0.25">
      <c r="AE5658">
        <v>36.049999999999997</v>
      </c>
    </row>
    <row r="5659" spans="31:31" x14ac:dyDescent="0.25">
      <c r="AE5659">
        <v>50.72</v>
      </c>
    </row>
    <row r="5660" spans="31:31" x14ac:dyDescent="0.25">
      <c r="AE5660">
        <v>85.35</v>
      </c>
    </row>
    <row r="5661" spans="31:31" x14ac:dyDescent="0.25">
      <c r="AE5661">
        <v>223.21</v>
      </c>
    </row>
    <row r="5662" spans="31:31" x14ac:dyDescent="0.25">
      <c r="AE5662">
        <v>85.76</v>
      </c>
    </row>
    <row r="5663" spans="31:31" x14ac:dyDescent="0.25">
      <c r="AE5663">
        <v>48.11</v>
      </c>
    </row>
    <row r="5664" spans="31:31" x14ac:dyDescent="0.25">
      <c r="AE5664">
        <v>126.56</v>
      </c>
    </row>
    <row r="5665" spans="31:31" x14ac:dyDescent="0.25">
      <c r="AE5665">
        <v>94.19</v>
      </c>
    </row>
    <row r="5666" spans="31:31" x14ac:dyDescent="0.25">
      <c r="AE5666">
        <v>159.46</v>
      </c>
    </row>
    <row r="5667" spans="31:31" x14ac:dyDescent="0.25">
      <c r="AE5667">
        <v>26.32</v>
      </c>
    </row>
    <row r="5668" spans="31:31" x14ac:dyDescent="0.25">
      <c r="AE5668">
        <v>49.42</v>
      </c>
    </row>
    <row r="5669" spans="31:31" x14ac:dyDescent="0.25">
      <c r="AE5669">
        <v>0.9</v>
      </c>
    </row>
    <row r="5670" spans="31:31" x14ac:dyDescent="0.25">
      <c r="AE5670">
        <v>105</v>
      </c>
    </row>
    <row r="5671" spans="31:31" x14ac:dyDescent="0.25">
      <c r="AE5671">
        <v>53.34</v>
      </c>
    </row>
    <row r="5672" spans="31:31" x14ac:dyDescent="0.25">
      <c r="AE5672">
        <v>68.73</v>
      </c>
    </row>
    <row r="5673" spans="31:31" x14ac:dyDescent="0.25">
      <c r="AE5673">
        <v>23.3</v>
      </c>
    </row>
    <row r="5674" spans="31:31" x14ac:dyDescent="0.25">
      <c r="AE5674">
        <v>84.43</v>
      </c>
    </row>
    <row r="5675" spans="31:31" x14ac:dyDescent="0.25">
      <c r="AE5675">
        <v>0.76</v>
      </c>
    </row>
    <row r="5676" spans="31:31" x14ac:dyDescent="0.25">
      <c r="AE5676">
        <v>41.64</v>
      </c>
    </row>
    <row r="5677" spans="31:31" x14ac:dyDescent="0.25">
      <c r="AE5677">
        <v>7.14</v>
      </c>
    </row>
    <row r="5678" spans="31:31" x14ac:dyDescent="0.25">
      <c r="AE5678">
        <v>130.97</v>
      </c>
    </row>
    <row r="5679" spans="31:31" x14ac:dyDescent="0.25">
      <c r="AE5679">
        <v>158.28</v>
      </c>
    </row>
    <row r="5680" spans="31:31" x14ac:dyDescent="0.25">
      <c r="AE5680">
        <v>44.41</v>
      </c>
    </row>
    <row r="5681" spans="31:31" x14ac:dyDescent="0.25">
      <c r="AE5681">
        <v>17.8</v>
      </c>
    </row>
    <row r="5682" spans="31:31" x14ac:dyDescent="0.25">
      <c r="AE5682">
        <v>18.559999999999999</v>
      </c>
    </row>
    <row r="5683" spans="31:31" x14ac:dyDescent="0.25">
      <c r="AE5683">
        <v>158.27000000000001</v>
      </c>
    </row>
    <row r="5684" spans="31:31" x14ac:dyDescent="0.25">
      <c r="AE5684">
        <v>89.16</v>
      </c>
    </row>
    <row r="5685" spans="31:31" x14ac:dyDescent="0.25">
      <c r="AE5685">
        <v>131.37</v>
      </c>
    </row>
    <row r="5686" spans="31:31" x14ac:dyDescent="0.25">
      <c r="AE5686">
        <v>160.09</v>
      </c>
    </row>
    <row r="5687" spans="31:31" x14ac:dyDescent="0.25">
      <c r="AE5687">
        <v>28.88</v>
      </c>
    </row>
    <row r="5688" spans="31:31" x14ac:dyDescent="0.25">
      <c r="AE5688">
        <v>58.48</v>
      </c>
    </row>
    <row r="5689" spans="31:31" x14ac:dyDescent="0.25">
      <c r="AE5689">
        <v>55.22</v>
      </c>
    </row>
    <row r="5690" spans="31:31" x14ac:dyDescent="0.25">
      <c r="AE5690">
        <v>40.32</v>
      </c>
    </row>
    <row r="5691" spans="31:31" x14ac:dyDescent="0.25">
      <c r="AE5691">
        <v>138.94</v>
      </c>
    </row>
    <row r="5692" spans="31:31" x14ac:dyDescent="0.25">
      <c r="AE5692">
        <v>46.31</v>
      </c>
    </row>
    <row r="5693" spans="31:31" x14ac:dyDescent="0.25">
      <c r="AE5693">
        <v>57.31</v>
      </c>
    </row>
    <row r="5694" spans="31:31" x14ac:dyDescent="0.25">
      <c r="AE5694">
        <v>0.27</v>
      </c>
    </row>
    <row r="5695" spans="31:31" x14ac:dyDescent="0.25">
      <c r="AE5695">
        <v>21.19</v>
      </c>
    </row>
    <row r="5696" spans="31:31" x14ac:dyDescent="0.25">
      <c r="AE5696">
        <v>168.97</v>
      </c>
    </row>
    <row r="5697" spans="31:31" x14ac:dyDescent="0.25">
      <c r="AE5697">
        <v>21.55</v>
      </c>
    </row>
    <row r="5698" spans="31:31" x14ac:dyDescent="0.25">
      <c r="AE5698">
        <v>50.17</v>
      </c>
    </row>
    <row r="5699" spans="31:31" x14ac:dyDescent="0.25">
      <c r="AE5699">
        <v>144.82</v>
      </c>
    </row>
    <row r="5700" spans="31:31" x14ac:dyDescent="0.25">
      <c r="AE5700">
        <v>24.26</v>
      </c>
    </row>
    <row r="5701" spans="31:31" x14ac:dyDescent="0.25">
      <c r="AE5701">
        <v>98.43</v>
      </c>
    </row>
    <row r="5702" spans="31:31" x14ac:dyDescent="0.25">
      <c r="AE5702">
        <v>137.33000000000001</v>
      </c>
    </row>
    <row r="5703" spans="31:31" x14ac:dyDescent="0.25">
      <c r="AE5703">
        <v>0.18</v>
      </c>
    </row>
    <row r="5704" spans="31:31" x14ac:dyDescent="0.25">
      <c r="AE5704">
        <v>107.94</v>
      </c>
    </row>
    <row r="5705" spans="31:31" x14ac:dyDescent="0.25">
      <c r="AE5705">
        <v>37.58</v>
      </c>
    </row>
    <row r="5706" spans="31:31" x14ac:dyDescent="0.25">
      <c r="AE5706">
        <v>32.29</v>
      </c>
    </row>
    <row r="5707" spans="31:31" x14ac:dyDescent="0.25">
      <c r="AE5707">
        <v>14.33</v>
      </c>
    </row>
    <row r="5708" spans="31:31" x14ac:dyDescent="0.25">
      <c r="AE5708">
        <v>16.850000000000001</v>
      </c>
    </row>
    <row r="5709" spans="31:31" x14ac:dyDescent="0.25">
      <c r="AE5709">
        <v>56.54</v>
      </c>
    </row>
    <row r="5710" spans="31:31" x14ac:dyDescent="0.25">
      <c r="AE5710">
        <v>9.99</v>
      </c>
    </row>
    <row r="5711" spans="31:31" x14ac:dyDescent="0.25">
      <c r="AE5711">
        <v>10.09</v>
      </c>
    </row>
    <row r="5712" spans="31:31" x14ac:dyDescent="0.25">
      <c r="AE5712">
        <v>37.979999999999997</v>
      </c>
    </row>
    <row r="5713" spans="31:31" x14ac:dyDescent="0.25">
      <c r="AE5713">
        <v>9.2899999999999991</v>
      </c>
    </row>
    <row r="5714" spans="31:31" x14ac:dyDescent="0.25">
      <c r="AE5714">
        <v>82.09</v>
      </c>
    </row>
    <row r="5715" spans="31:31" x14ac:dyDescent="0.25">
      <c r="AE5715">
        <v>97.54</v>
      </c>
    </row>
    <row r="5716" spans="31:31" x14ac:dyDescent="0.25">
      <c r="AE5716">
        <v>105.85</v>
      </c>
    </row>
    <row r="5717" spans="31:31" x14ac:dyDescent="0.25">
      <c r="AE5717">
        <v>38.130000000000003</v>
      </c>
    </row>
    <row r="5718" spans="31:31" x14ac:dyDescent="0.25">
      <c r="AE5718">
        <v>5.76</v>
      </c>
    </row>
    <row r="5719" spans="31:31" x14ac:dyDescent="0.25">
      <c r="AE5719">
        <v>19.77</v>
      </c>
    </row>
    <row r="5720" spans="31:31" x14ac:dyDescent="0.25">
      <c r="AE5720">
        <v>15.1</v>
      </c>
    </row>
    <row r="5721" spans="31:31" x14ac:dyDescent="0.25">
      <c r="AE5721">
        <v>105.76</v>
      </c>
    </row>
    <row r="5722" spans="31:31" x14ac:dyDescent="0.25">
      <c r="AE5722">
        <v>22.57</v>
      </c>
    </row>
    <row r="5723" spans="31:31" x14ac:dyDescent="0.25">
      <c r="AE5723">
        <v>18.61</v>
      </c>
    </row>
    <row r="5724" spans="31:31" x14ac:dyDescent="0.25">
      <c r="AE5724">
        <v>26.66</v>
      </c>
    </row>
    <row r="5725" spans="31:31" x14ac:dyDescent="0.25">
      <c r="AE5725">
        <v>78.239999999999995</v>
      </c>
    </row>
    <row r="5726" spans="31:31" x14ac:dyDescent="0.25">
      <c r="AE5726">
        <v>27.44</v>
      </c>
    </row>
    <row r="5727" spans="31:31" x14ac:dyDescent="0.25">
      <c r="AE5727">
        <v>112.25</v>
      </c>
    </row>
    <row r="5728" spans="31:31" x14ac:dyDescent="0.25">
      <c r="AE5728">
        <v>16.54</v>
      </c>
    </row>
    <row r="5729" spans="31:31" x14ac:dyDescent="0.25">
      <c r="AE5729">
        <v>9.0399999999999991</v>
      </c>
    </row>
    <row r="5730" spans="31:31" x14ac:dyDescent="0.25">
      <c r="AE5730">
        <v>56.65</v>
      </c>
    </row>
    <row r="5731" spans="31:31" x14ac:dyDescent="0.25">
      <c r="AE5731">
        <v>35.97</v>
      </c>
    </row>
    <row r="5732" spans="31:31" x14ac:dyDescent="0.25">
      <c r="AE5732">
        <v>20.36</v>
      </c>
    </row>
    <row r="5733" spans="31:31" x14ac:dyDescent="0.25">
      <c r="AE5733">
        <v>14.21</v>
      </c>
    </row>
    <row r="5734" spans="31:31" x14ac:dyDescent="0.25">
      <c r="AE5734">
        <v>47.84</v>
      </c>
    </row>
    <row r="5735" spans="31:31" x14ac:dyDescent="0.25">
      <c r="AE5735">
        <v>70.53</v>
      </c>
    </row>
    <row r="5736" spans="31:31" x14ac:dyDescent="0.25">
      <c r="AE5736">
        <v>121.74</v>
      </c>
    </row>
    <row r="5737" spans="31:31" x14ac:dyDescent="0.25">
      <c r="AE5737">
        <v>54.79</v>
      </c>
    </row>
    <row r="5738" spans="31:31" x14ac:dyDescent="0.25">
      <c r="AE5738">
        <v>12.86</v>
      </c>
    </row>
    <row r="5739" spans="31:31" x14ac:dyDescent="0.25">
      <c r="AE5739">
        <v>46.16</v>
      </c>
    </row>
    <row r="5740" spans="31:31" x14ac:dyDescent="0.25">
      <c r="AE5740">
        <v>34.4</v>
      </c>
    </row>
    <row r="5741" spans="31:31" x14ac:dyDescent="0.25">
      <c r="AE5741">
        <v>65.52</v>
      </c>
    </row>
    <row r="5742" spans="31:31" x14ac:dyDescent="0.25">
      <c r="AE5742">
        <v>113.01</v>
      </c>
    </row>
    <row r="5743" spans="31:31" x14ac:dyDescent="0.25">
      <c r="AE5743">
        <v>10.69</v>
      </c>
    </row>
    <row r="5744" spans="31:31" x14ac:dyDescent="0.25">
      <c r="AE5744">
        <v>88.82</v>
      </c>
    </row>
    <row r="5745" spans="31:31" x14ac:dyDescent="0.25">
      <c r="AE5745">
        <v>28.59</v>
      </c>
    </row>
    <row r="5746" spans="31:31" x14ac:dyDescent="0.25">
      <c r="AE5746">
        <v>37.6</v>
      </c>
    </row>
    <row r="5747" spans="31:31" x14ac:dyDescent="0.25">
      <c r="AE5747">
        <v>30.19</v>
      </c>
    </row>
    <row r="5748" spans="31:31" x14ac:dyDescent="0.25">
      <c r="AE5748">
        <v>20.43</v>
      </c>
    </row>
    <row r="5749" spans="31:31" x14ac:dyDescent="0.25">
      <c r="AE5749">
        <v>131.52000000000001</v>
      </c>
    </row>
    <row r="5750" spans="31:31" x14ac:dyDescent="0.25">
      <c r="AE5750">
        <v>33.04</v>
      </c>
    </row>
    <row r="5751" spans="31:31" x14ac:dyDescent="0.25">
      <c r="AE5751">
        <v>28.98</v>
      </c>
    </row>
    <row r="5752" spans="31:31" x14ac:dyDescent="0.25">
      <c r="AE5752">
        <v>29.3</v>
      </c>
    </row>
    <row r="5753" spans="31:31" x14ac:dyDescent="0.25">
      <c r="AE5753">
        <v>14.39</v>
      </c>
    </row>
    <row r="5754" spans="31:31" x14ac:dyDescent="0.25">
      <c r="AE5754">
        <v>48.56</v>
      </c>
    </row>
    <row r="5755" spans="31:31" x14ac:dyDescent="0.25">
      <c r="AE5755">
        <v>30.66</v>
      </c>
    </row>
    <row r="5756" spans="31:31" x14ac:dyDescent="0.25">
      <c r="AE5756">
        <v>27.68</v>
      </c>
    </row>
    <row r="5757" spans="31:31" x14ac:dyDescent="0.25">
      <c r="AE5757">
        <v>2.1800000000000002</v>
      </c>
    </row>
    <row r="5758" spans="31:31" x14ac:dyDescent="0.25">
      <c r="AE5758">
        <v>29.03</v>
      </c>
    </row>
    <row r="5759" spans="31:31" x14ac:dyDescent="0.25">
      <c r="AE5759">
        <v>54.64</v>
      </c>
    </row>
    <row r="5760" spans="31:31" x14ac:dyDescent="0.25">
      <c r="AE5760">
        <v>10.24</v>
      </c>
    </row>
    <row r="5761" spans="31:31" x14ac:dyDescent="0.25">
      <c r="AE5761">
        <v>126.26</v>
      </c>
    </row>
    <row r="5762" spans="31:31" x14ac:dyDescent="0.25">
      <c r="AE5762">
        <v>92.51</v>
      </c>
    </row>
    <row r="5763" spans="31:31" x14ac:dyDescent="0.25">
      <c r="AE5763">
        <v>69.47</v>
      </c>
    </row>
    <row r="5764" spans="31:31" x14ac:dyDescent="0.25">
      <c r="AE5764">
        <v>6.62</v>
      </c>
    </row>
    <row r="5765" spans="31:31" x14ac:dyDescent="0.25">
      <c r="AE5765">
        <v>8.74</v>
      </c>
    </row>
    <row r="5766" spans="31:31" x14ac:dyDescent="0.25">
      <c r="AE5766">
        <v>44.39</v>
      </c>
    </row>
    <row r="5767" spans="31:31" x14ac:dyDescent="0.25">
      <c r="AE5767">
        <v>15.83</v>
      </c>
    </row>
    <row r="5768" spans="31:31" x14ac:dyDescent="0.25">
      <c r="AE5768">
        <v>185.33</v>
      </c>
    </row>
    <row r="5769" spans="31:31" x14ac:dyDescent="0.25">
      <c r="AE5769">
        <v>67.459999999999994</v>
      </c>
    </row>
    <row r="5770" spans="31:31" x14ac:dyDescent="0.25">
      <c r="AE5770">
        <v>65.64</v>
      </c>
    </row>
    <row r="5771" spans="31:31" x14ac:dyDescent="0.25">
      <c r="AE5771">
        <v>56.67</v>
      </c>
    </row>
    <row r="5772" spans="31:31" x14ac:dyDescent="0.25">
      <c r="AE5772">
        <v>120.43</v>
      </c>
    </row>
    <row r="5773" spans="31:31" x14ac:dyDescent="0.25">
      <c r="AE5773">
        <v>12.96</v>
      </c>
    </row>
    <row r="5774" spans="31:31" x14ac:dyDescent="0.25">
      <c r="AE5774">
        <v>100.81</v>
      </c>
    </row>
    <row r="5775" spans="31:31" x14ac:dyDescent="0.25">
      <c r="AE5775">
        <v>135.97</v>
      </c>
    </row>
    <row r="5776" spans="31:31" x14ac:dyDescent="0.25">
      <c r="AE5776">
        <v>58.72</v>
      </c>
    </row>
    <row r="5777" spans="31:31" x14ac:dyDescent="0.25">
      <c r="AE5777">
        <v>183.2</v>
      </c>
    </row>
    <row r="5778" spans="31:31" x14ac:dyDescent="0.25">
      <c r="AE5778">
        <v>12.84</v>
      </c>
    </row>
    <row r="5779" spans="31:31" x14ac:dyDescent="0.25">
      <c r="AE5779">
        <v>21.84</v>
      </c>
    </row>
    <row r="5780" spans="31:31" x14ac:dyDescent="0.25">
      <c r="AE5780">
        <v>196.04</v>
      </c>
    </row>
    <row r="5781" spans="31:31" x14ac:dyDescent="0.25">
      <c r="AE5781">
        <v>37.83</v>
      </c>
    </row>
    <row r="5782" spans="31:31" x14ac:dyDescent="0.25">
      <c r="AE5782">
        <v>66.3</v>
      </c>
    </row>
    <row r="5783" spans="31:31" x14ac:dyDescent="0.25">
      <c r="AE5783">
        <v>21.41</v>
      </c>
    </row>
    <row r="5784" spans="31:31" x14ac:dyDescent="0.25">
      <c r="AE5784">
        <v>51.06</v>
      </c>
    </row>
    <row r="5785" spans="31:31" x14ac:dyDescent="0.25">
      <c r="AE5785">
        <v>164</v>
      </c>
    </row>
    <row r="5786" spans="31:31" x14ac:dyDescent="0.25">
      <c r="AE5786">
        <v>43.98</v>
      </c>
    </row>
    <row r="5787" spans="31:31" x14ac:dyDescent="0.25">
      <c r="AE5787">
        <v>84.31</v>
      </c>
    </row>
    <row r="5788" spans="31:31" x14ac:dyDescent="0.25">
      <c r="AE5788">
        <v>136.59</v>
      </c>
    </row>
    <row r="5789" spans="31:31" x14ac:dyDescent="0.25">
      <c r="AE5789">
        <v>10.29</v>
      </c>
    </row>
    <row r="5790" spans="31:31" x14ac:dyDescent="0.25">
      <c r="AE5790">
        <v>40.729999999999997</v>
      </c>
    </row>
    <row r="5791" spans="31:31" x14ac:dyDescent="0.25">
      <c r="AE5791">
        <v>10.29</v>
      </c>
    </row>
    <row r="5792" spans="31:31" x14ac:dyDescent="0.25">
      <c r="AE5792">
        <v>33.729999999999997</v>
      </c>
    </row>
    <row r="5793" spans="31:31" x14ac:dyDescent="0.25">
      <c r="AE5793">
        <v>94.88</v>
      </c>
    </row>
    <row r="5794" spans="31:31" x14ac:dyDescent="0.25">
      <c r="AE5794">
        <v>0</v>
      </c>
    </row>
    <row r="5795" spans="31:31" x14ac:dyDescent="0.25">
      <c r="AE5795">
        <v>55.62</v>
      </c>
    </row>
    <row r="5796" spans="31:31" x14ac:dyDescent="0.25">
      <c r="AE5796">
        <v>135.46</v>
      </c>
    </row>
    <row r="5797" spans="31:31" x14ac:dyDescent="0.25">
      <c r="AE5797">
        <v>67.040000000000006</v>
      </c>
    </row>
    <row r="5798" spans="31:31" x14ac:dyDescent="0.25">
      <c r="AE5798">
        <v>15.63</v>
      </c>
    </row>
    <row r="5799" spans="31:31" x14ac:dyDescent="0.25">
      <c r="AE5799">
        <v>12.91</v>
      </c>
    </row>
    <row r="5800" spans="31:31" x14ac:dyDescent="0.25">
      <c r="AE5800">
        <v>42.86</v>
      </c>
    </row>
    <row r="5801" spans="31:31" x14ac:dyDescent="0.25">
      <c r="AE5801">
        <v>24.74</v>
      </c>
    </row>
    <row r="5802" spans="31:31" x14ac:dyDescent="0.25">
      <c r="AE5802">
        <v>24.56</v>
      </c>
    </row>
    <row r="5803" spans="31:31" x14ac:dyDescent="0.25">
      <c r="AE5803">
        <v>0.45</v>
      </c>
    </row>
    <row r="5804" spans="31:31" x14ac:dyDescent="0.25">
      <c r="AE5804">
        <v>52.09</v>
      </c>
    </row>
    <row r="5805" spans="31:31" x14ac:dyDescent="0.25">
      <c r="AE5805">
        <v>68.05</v>
      </c>
    </row>
    <row r="5806" spans="31:31" x14ac:dyDescent="0.25">
      <c r="AE5806">
        <v>149.94</v>
      </c>
    </row>
    <row r="5807" spans="31:31" x14ac:dyDescent="0.25">
      <c r="AE5807">
        <v>63.29</v>
      </c>
    </row>
    <row r="5808" spans="31:31" x14ac:dyDescent="0.25">
      <c r="AE5808">
        <v>19.39</v>
      </c>
    </row>
    <row r="5809" spans="31:31" x14ac:dyDescent="0.25">
      <c r="AE5809">
        <v>46.33</v>
      </c>
    </row>
    <row r="5810" spans="31:31" x14ac:dyDescent="0.25">
      <c r="AE5810">
        <v>25.9</v>
      </c>
    </row>
    <row r="5811" spans="31:31" x14ac:dyDescent="0.25">
      <c r="AE5811">
        <v>34.68</v>
      </c>
    </row>
    <row r="5812" spans="31:31" x14ac:dyDescent="0.25">
      <c r="AE5812">
        <v>20.84</v>
      </c>
    </row>
    <row r="5813" spans="31:31" x14ac:dyDescent="0.25">
      <c r="AE5813">
        <v>57.61</v>
      </c>
    </row>
    <row r="5814" spans="31:31" x14ac:dyDescent="0.25">
      <c r="AE5814">
        <v>47.56</v>
      </c>
    </row>
    <row r="5815" spans="31:31" x14ac:dyDescent="0.25">
      <c r="AE5815">
        <v>26.21</v>
      </c>
    </row>
    <row r="5816" spans="31:31" x14ac:dyDescent="0.25">
      <c r="AE5816">
        <v>40.5</v>
      </c>
    </row>
    <row r="5817" spans="31:31" x14ac:dyDescent="0.25">
      <c r="AE5817">
        <v>0.45</v>
      </c>
    </row>
    <row r="5818" spans="31:31" x14ac:dyDescent="0.25">
      <c r="AE5818">
        <v>7.85</v>
      </c>
    </row>
    <row r="5819" spans="31:31" x14ac:dyDescent="0.25">
      <c r="AE5819">
        <v>126.88</v>
      </c>
    </row>
    <row r="5820" spans="31:31" x14ac:dyDescent="0.25">
      <c r="AE5820">
        <v>162.86000000000001</v>
      </c>
    </row>
    <row r="5821" spans="31:31" x14ac:dyDescent="0.25">
      <c r="AE5821">
        <v>190.33</v>
      </c>
    </row>
    <row r="5822" spans="31:31" x14ac:dyDescent="0.25">
      <c r="AE5822">
        <v>24.51</v>
      </c>
    </row>
    <row r="5823" spans="31:31" x14ac:dyDescent="0.25">
      <c r="AE5823">
        <v>48.38</v>
      </c>
    </row>
    <row r="5824" spans="31:31" x14ac:dyDescent="0.25">
      <c r="AE5824">
        <v>14.28</v>
      </c>
    </row>
    <row r="5825" spans="31:31" x14ac:dyDescent="0.25">
      <c r="AE5825">
        <v>10.37</v>
      </c>
    </row>
    <row r="5826" spans="31:31" x14ac:dyDescent="0.25">
      <c r="AE5826">
        <v>61.57</v>
      </c>
    </row>
    <row r="5827" spans="31:31" x14ac:dyDescent="0.25">
      <c r="AE5827">
        <v>155.75</v>
      </c>
    </row>
    <row r="5828" spans="31:31" x14ac:dyDescent="0.25">
      <c r="AE5828">
        <v>10.49</v>
      </c>
    </row>
    <row r="5829" spans="31:31" x14ac:dyDescent="0.25">
      <c r="AE5829">
        <v>8.76</v>
      </c>
    </row>
    <row r="5830" spans="31:31" x14ac:dyDescent="0.25">
      <c r="AE5830">
        <v>32.909999999999997</v>
      </c>
    </row>
    <row r="5831" spans="31:31" x14ac:dyDescent="0.25">
      <c r="AE5831">
        <v>39.9</v>
      </c>
    </row>
    <row r="5832" spans="31:31" x14ac:dyDescent="0.25">
      <c r="AE5832">
        <v>0.09</v>
      </c>
    </row>
    <row r="5833" spans="31:31" x14ac:dyDescent="0.25">
      <c r="AE5833">
        <v>78.77</v>
      </c>
    </row>
    <row r="5834" spans="31:31" x14ac:dyDescent="0.25">
      <c r="AE5834">
        <v>96.71</v>
      </c>
    </row>
    <row r="5835" spans="31:31" x14ac:dyDescent="0.25">
      <c r="AE5835">
        <v>0.18</v>
      </c>
    </row>
    <row r="5836" spans="31:31" x14ac:dyDescent="0.25">
      <c r="AE5836">
        <v>46.53</v>
      </c>
    </row>
    <row r="5837" spans="31:31" x14ac:dyDescent="0.25">
      <c r="AE5837">
        <v>2.66</v>
      </c>
    </row>
    <row r="5838" spans="31:31" x14ac:dyDescent="0.25">
      <c r="AE5838">
        <v>20.9</v>
      </c>
    </row>
    <row r="5839" spans="31:31" x14ac:dyDescent="0.25">
      <c r="AE5839">
        <v>50.09</v>
      </c>
    </row>
    <row r="5840" spans="31:31" x14ac:dyDescent="0.25">
      <c r="AE5840">
        <v>56.96</v>
      </c>
    </row>
    <row r="5841" spans="31:31" x14ac:dyDescent="0.25">
      <c r="AE5841">
        <v>10.19</v>
      </c>
    </row>
    <row r="5842" spans="31:31" x14ac:dyDescent="0.25">
      <c r="AE5842">
        <v>63.82</v>
      </c>
    </row>
    <row r="5843" spans="31:31" x14ac:dyDescent="0.25">
      <c r="AE5843">
        <v>77.53</v>
      </c>
    </row>
    <row r="5844" spans="31:31" x14ac:dyDescent="0.25">
      <c r="AE5844">
        <v>33.700000000000003</v>
      </c>
    </row>
    <row r="5845" spans="31:31" x14ac:dyDescent="0.25">
      <c r="AE5845">
        <v>23.17</v>
      </c>
    </row>
    <row r="5846" spans="31:31" x14ac:dyDescent="0.25">
      <c r="AE5846">
        <v>30.79</v>
      </c>
    </row>
    <row r="5847" spans="31:31" x14ac:dyDescent="0.25">
      <c r="AE5847">
        <v>21.4</v>
      </c>
    </row>
    <row r="5848" spans="31:31" x14ac:dyDescent="0.25">
      <c r="AE5848">
        <v>19.25</v>
      </c>
    </row>
    <row r="5849" spans="31:31" x14ac:dyDescent="0.25">
      <c r="AE5849">
        <v>91.19</v>
      </c>
    </row>
    <row r="5850" spans="31:31" x14ac:dyDescent="0.25">
      <c r="AE5850">
        <v>46.07</v>
      </c>
    </row>
    <row r="5851" spans="31:31" x14ac:dyDescent="0.25">
      <c r="AE5851">
        <v>18.79</v>
      </c>
    </row>
    <row r="5852" spans="31:31" x14ac:dyDescent="0.25">
      <c r="AE5852">
        <v>53.34</v>
      </c>
    </row>
    <row r="5853" spans="31:31" x14ac:dyDescent="0.25">
      <c r="AE5853">
        <v>41.38</v>
      </c>
    </row>
    <row r="5854" spans="31:31" x14ac:dyDescent="0.25">
      <c r="AE5854">
        <v>22.61</v>
      </c>
    </row>
    <row r="5855" spans="31:31" x14ac:dyDescent="0.25">
      <c r="AE5855">
        <v>66.72</v>
      </c>
    </row>
    <row r="5856" spans="31:31" x14ac:dyDescent="0.25">
      <c r="AE5856">
        <v>26.2</v>
      </c>
    </row>
    <row r="5857" spans="31:31" x14ac:dyDescent="0.25">
      <c r="AE5857">
        <v>34.619999999999997</v>
      </c>
    </row>
    <row r="5858" spans="31:31" x14ac:dyDescent="0.25">
      <c r="AE5858">
        <v>40.01</v>
      </c>
    </row>
    <row r="5859" spans="31:31" x14ac:dyDescent="0.25">
      <c r="AE5859">
        <v>59.47</v>
      </c>
    </row>
    <row r="5860" spans="31:31" x14ac:dyDescent="0.25">
      <c r="AE5860">
        <v>66.38</v>
      </c>
    </row>
    <row r="5861" spans="31:31" x14ac:dyDescent="0.25">
      <c r="AE5861">
        <v>51.38</v>
      </c>
    </row>
    <row r="5862" spans="31:31" x14ac:dyDescent="0.25">
      <c r="AE5862">
        <v>14.8</v>
      </c>
    </row>
    <row r="5863" spans="31:31" x14ac:dyDescent="0.25">
      <c r="AE5863">
        <v>1.35</v>
      </c>
    </row>
    <row r="5864" spans="31:31" x14ac:dyDescent="0.25">
      <c r="AE5864">
        <v>145.87</v>
      </c>
    </row>
    <row r="5865" spans="31:31" x14ac:dyDescent="0.25">
      <c r="AE5865">
        <v>50.23</v>
      </c>
    </row>
    <row r="5866" spans="31:31" x14ac:dyDescent="0.25">
      <c r="AE5866">
        <v>50.49</v>
      </c>
    </row>
    <row r="5867" spans="31:31" x14ac:dyDescent="0.25">
      <c r="AE5867">
        <v>17.29</v>
      </c>
    </row>
    <row r="5868" spans="31:31" x14ac:dyDescent="0.25">
      <c r="AE5868">
        <v>44.81</v>
      </c>
    </row>
    <row r="5869" spans="31:31" x14ac:dyDescent="0.25">
      <c r="AE5869">
        <v>10.09</v>
      </c>
    </row>
    <row r="5870" spans="31:31" x14ac:dyDescent="0.25">
      <c r="AE5870">
        <v>72.150000000000006</v>
      </c>
    </row>
    <row r="5871" spans="31:31" x14ac:dyDescent="0.25">
      <c r="AE5871">
        <v>35.29</v>
      </c>
    </row>
    <row r="5872" spans="31:31" x14ac:dyDescent="0.25">
      <c r="AE5872">
        <v>1.03</v>
      </c>
    </row>
    <row r="5873" spans="31:31" x14ac:dyDescent="0.25">
      <c r="AE5873">
        <v>174.04</v>
      </c>
    </row>
    <row r="5874" spans="31:31" x14ac:dyDescent="0.25">
      <c r="AE5874">
        <v>90.82</v>
      </c>
    </row>
    <row r="5875" spans="31:31" x14ac:dyDescent="0.25">
      <c r="AE5875">
        <v>10.14</v>
      </c>
    </row>
    <row r="5876" spans="31:31" x14ac:dyDescent="0.25">
      <c r="AE5876">
        <v>30.64</v>
      </c>
    </row>
    <row r="5877" spans="31:31" x14ac:dyDescent="0.25">
      <c r="AE5877">
        <v>19.940000000000001</v>
      </c>
    </row>
    <row r="5878" spans="31:31" x14ac:dyDescent="0.25">
      <c r="AE5878">
        <v>54.15</v>
      </c>
    </row>
    <row r="5879" spans="31:31" x14ac:dyDescent="0.25">
      <c r="AE5879">
        <v>76.489999999999995</v>
      </c>
    </row>
    <row r="5880" spans="31:31" x14ac:dyDescent="0.25">
      <c r="AE5880">
        <v>57.18</v>
      </c>
    </row>
    <row r="5881" spans="31:31" x14ac:dyDescent="0.25">
      <c r="AE5881">
        <v>54.72</v>
      </c>
    </row>
    <row r="5882" spans="31:31" x14ac:dyDescent="0.25">
      <c r="AE5882">
        <v>26.18</v>
      </c>
    </row>
    <row r="5883" spans="31:31" x14ac:dyDescent="0.25">
      <c r="AE5883">
        <v>9.57</v>
      </c>
    </row>
    <row r="5884" spans="31:31" x14ac:dyDescent="0.25">
      <c r="AE5884">
        <v>9.99</v>
      </c>
    </row>
    <row r="5885" spans="31:31" x14ac:dyDescent="0.25">
      <c r="AE5885">
        <v>49.3</v>
      </c>
    </row>
    <row r="5886" spans="31:31" x14ac:dyDescent="0.25">
      <c r="AE5886">
        <v>186.94</v>
      </c>
    </row>
    <row r="5887" spans="31:31" x14ac:dyDescent="0.25">
      <c r="AE5887">
        <v>138.08000000000001</v>
      </c>
    </row>
    <row r="5888" spans="31:31" x14ac:dyDescent="0.25">
      <c r="AE5888">
        <v>0</v>
      </c>
    </row>
    <row r="5889" spans="31:31" x14ac:dyDescent="0.25">
      <c r="AE5889">
        <v>43.56</v>
      </c>
    </row>
    <row r="5890" spans="31:31" x14ac:dyDescent="0.25">
      <c r="AE5890">
        <v>1.98</v>
      </c>
    </row>
    <row r="5891" spans="31:31" x14ac:dyDescent="0.25">
      <c r="AE5891">
        <v>10.24</v>
      </c>
    </row>
    <row r="5892" spans="31:31" x14ac:dyDescent="0.25">
      <c r="AE5892">
        <v>91.91</v>
      </c>
    </row>
    <row r="5893" spans="31:31" x14ac:dyDescent="0.25">
      <c r="AE5893">
        <v>58.8</v>
      </c>
    </row>
    <row r="5894" spans="31:31" x14ac:dyDescent="0.25">
      <c r="AE5894">
        <v>12.51</v>
      </c>
    </row>
    <row r="5895" spans="31:31" x14ac:dyDescent="0.25">
      <c r="AE5895">
        <v>42.53</v>
      </c>
    </row>
    <row r="5896" spans="31:31" x14ac:dyDescent="0.25">
      <c r="AE5896">
        <v>78.819999999999993</v>
      </c>
    </row>
    <row r="5897" spans="31:31" x14ac:dyDescent="0.25">
      <c r="AE5897">
        <v>225.58</v>
      </c>
    </row>
    <row r="5898" spans="31:31" x14ac:dyDescent="0.25">
      <c r="AE5898">
        <v>47.56</v>
      </c>
    </row>
    <row r="5899" spans="31:31" x14ac:dyDescent="0.25">
      <c r="AE5899">
        <v>99.57</v>
      </c>
    </row>
    <row r="5900" spans="31:31" x14ac:dyDescent="0.25">
      <c r="AE5900">
        <v>0</v>
      </c>
    </row>
    <row r="5901" spans="31:31" x14ac:dyDescent="0.25">
      <c r="AE5901">
        <v>4.5599999999999996</v>
      </c>
    </row>
    <row r="5902" spans="31:31" x14ac:dyDescent="0.25">
      <c r="AE5902">
        <v>111.31</v>
      </c>
    </row>
    <row r="5903" spans="31:31" x14ac:dyDescent="0.25">
      <c r="AE5903">
        <v>33.32</v>
      </c>
    </row>
    <row r="5904" spans="31:31" x14ac:dyDescent="0.25">
      <c r="AE5904">
        <v>2.96</v>
      </c>
    </row>
    <row r="5905" spans="31:31" x14ac:dyDescent="0.25">
      <c r="AE5905">
        <v>140.57</v>
      </c>
    </row>
    <row r="5906" spans="31:31" x14ac:dyDescent="0.25">
      <c r="AE5906">
        <v>105.57</v>
      </c>
    </row>
    <row r="5907" spans="31:31" x14ac:dyDescent="0.25">
      <c r="AE5907">
        <v>30.21</v>
      </c>
    </row>
    <row r="5908" spans="31:31" x14ac:dyDescent="0.25">
      <c r="AE5908">
        <v>69.19</v>
      </c>
    </row>
    <row r="5909" spans="31:31" x14ac:dyDescent="0.25">
      <c r="AE5909">
        <v>105.14</v>
      </c>
    </row>
    <row r="5910" spans="31:31" x14ac:dyDescent="0.25">
      <c r="AE5910">
        <v>0.45</v>
      </c>
    </row>
    <row r="5911" spans="31:31" x14ac:dyDescent="0.25">
      <c r="AE5911">
        <v>0</v>
      </c>
    </row>
    <row r="5912" spans="31:31" x14ac:dyDescent="0.25">
      <c r="AE5912">
        <v>40.549999999999997</v>
      </c>
    </row>
    <row r="5913" spans="31:31" x14ac:dyDescent="0.25">
      <c r="AE5913">
        <v>45.32</v>
      </c>
    </row>
    <row r="5914" spans="31:31" x14ac:dyDescent="0.25">
      <c r="AE5914">
        <v>74.52</v>
      </c>
    </row>
    <row r="5915" spans="31:31" x14ac:dyDescent="0.25">
      <c r="AE5915">
        <v>0</v>
      </c>
    </row>
    <row r="5916" spans="31:31" x14ac:dyDescent="0.25">
      <c r="AE5916">
        <v>85.41</v>
      </c>
    </row>
    <row r="5917" spans="31:31" x14ac:dyDescent="0.25">
      <c r="AE5917">
        <v>149.96</v>
      </c>
    </row>
    <row r="5918" spans="31:31" x14ac:dyDescent="0.25">
      <c r="AE5918">
        <v>78.17</v>
      </c>
    </row>
    <row r="5919" spans="31:31" x14ac:dyDescent="0.25">
      <c r="AE5919">
        <v>103.96</v>
      </c>
    </row>
    <row r="5920" spans="31:31" x14ac:dyDescent="0.25">
      <c r="AE5920">
        <v>122.41</v>
      </c>
    </row>
    <row r="5921" spans="31:31" x14ac:dyDescent="0.25">
      <c r="AE5921">
        <v>20.85</v>
      </c>
    </row>
    <row r="5922" spans="31:31" x14ac:dyDescent="0.25">
      <c r="AE5922">
        <v>58.18</v>
      </c>
    </row>
    <row r="5923" spans="31:31" x14ac:dyDescent="0.25">
      <c r="AE5923">
        <v>23.45</v>
      </c>
    </row>
    <row r="5924" spans="31:31" x14ac:dyDescent="0.25">
      <c r="AE5924">
        <v>58.59</v>
      </c>
    </row>
    <row r="5925" spans="31:31" x14ac:dyDescent="0.25">
      <c r="AE5925">
        <v>12.22</v>
      </c>
    </row>
    <row r="5926" spans="31:31" x14ac:dyDescent="0.25">
      <c r="AE5926">
        <v>16.18</v>
      </c>
    </row>
    <row r="5927" spans="31:31" x14ac:dyDescent="0.25">
      <c r="AE5927">
        <v>79.92</v>
      </c>
    </row>
    <row r="5928" spans="31:31" x14ac:dyDescent="0.25">
      <c r="AE5928">
        <v>69.55</v>
      </c>
    </row>
    <row r="5929" spans="31:31" x14ac:dyDescent="0.25">
      <c r="AE5929">
        <v>12.63</v>
      </c>
    </row>
    <row r="5930" spans="31:31" x14ac:dyDescent="0.25">
      <c r="AE5930">
        <v>62.08</v>
      </c>
    </row>
    <row r="5931" spans="31:31" x14ac:dyDescent="0.25">
      <c r="AE5931">
        <v>29.82</v>
      </c>
    </row>
    <row r="5932" spans="31:31" x14ac:dyDescent="0.25">
      <c r="AE5932">
        <v>132.55000000000001</v>
      </c>
    </row>
    <row r="5933" spans="31:31" x14ac:dyDescent="0.25">
      <c r="AE5933">
        <v>19.89</v>
      </c>
    </row>
    <row r="5934" spans="31:31" x14ac:dyDescent="0.25">
      <c r="AE5934">
        <v>28.04</v>
      </c>
    </row>
    <row r="5935" spans="31:31" x14ac:dyDescent="0.25">
      <c r="AE5935">
        <v>25.61</v>
      </c>
    </row>
    <row r="5936" spans="31:31" x14ac:dyDescent="0.25">
      <c r="AE5936">
        <v>89.93</v>
      </c>
    </row>
    <row r="5937" spans="31:31" x14ac:dyDescent="0.25">
      <c r="AE5937">
        <v>51.02</v>
      </c>
    </row>
    <row r="5938" spans="31:31" x14ac:dyDescent="0.25">
      <c r="AE5938">
        <v>207.24</v>
      </c>
    </row>
    <row r="5939" spans="31:31" x14ac:dyDescent="0.25">
      <c r="AE5939">
        <v>75.84</v>
      </c>
    </row>
    <row r="5940" spans="31:31" x14ac:dyDescent="0.25">
      <c r="AE5940">
        <v>38.83</v>
      </c>
    </row>
    <row r="5941" spans="31:31" x14ac:dyDescent="0.25">
      <c r="AE5941">
        <v>25.2</v>
      </c>
    </row>
    <row r="5942" spans="31:31" x14ac:dyDescent="0.25">
      <c r="AE5942">
        <v>45.3</v>
      </c>
    </row>
    <row r="5943" spans="31:31" x14ac:dyDescent="0.25">
      <c r="AE5943">
        <v>39.76</v>
      </c>
    </row>
    <row r="5944" spans="31:31" x14ac:dyDescent="0.25">
      <c r="AE5944">
        <v>37.700000000000003</v>
      </c>
    </row>
    <row r="5945" spans="31:31" x14ac:dyDescent="0.25">
      <c r="AE5945">
        <v>10.29</v>
      </c>
    </row>
    <row r="5946" spans="31:31" x14ac:dyDescent="0.25">
      <c r="AE5946">
        <v>38.549999999999997</v>
      </c>
    </row>
    <row r="5947" spans="31:31" x14ac:dyDescent="0.25">
      <c r="AE5947">
        <v>35.270000000000003</v>
      </c>
    </row>
    <row r="5948" spans="31:31" x14ac:dyDescent="0.25">
      <c r="AE5948">
        <v>52.47</v>
      </c>
    </row>
    <row r="5949" spans="31:31" x14ac:dyDescent="0.25">
      <c r="AE5949">
        <v>101.98</v>
      </c>
    </row>
    <row r="5950" spans="31:31" x14ac:dyDescent="0.25">
      <c r="AE5950">
        <v>59.67</v>
      </c>
    </row>
    <row r="5951" spans="31:31" x14ac:dyDescent="0.25">
      <c r="AE5951">
        <v>89.17</v>
      </c>
    </row>
    <row r="5952" spans="31:31" x14ac:dyDescent="0.25">
      <c r="AE5952">
        <v>29.16</v>
      </c>
    </row>
    <row r="5953" spans="31:31" x14ac:dyDescent="0.25">
      <c r="AE5953">
        <v>8.15</v>
      </c>
    </row>
    <row r="5954" spans="31:31" x14ac:dyDescent="0.25">
      <c r="AE5954">
        <v>19.93</v>
      </c>
    </row>
    <row r="5955" spans="31:31" x14ac:dyDescent="0.25">
      <c r="AE5955">
        <v>17.75</v>
      </c>
    </row>
    <row r="5956" spans="31:31" x14ac:dyDescent="0.25">
      <c r="AE5956">
        <v>14.82</v>
      </c>
    </row>
    <row r="5957" spans="31:31" x14ac:dyDescent="0.25">
      <c r="AE5957">
        <v>167.3</v>
      </c>
    </row>
    <row r="5958" spans="31:31" x14ac:dyDescent="0.25">
      <c r="AE5958">
        <v>25.97</v>
      </c>
    </row>
    <row r="5959" spans="31:31" x14ac:dyDescent="0.25">
      <c r="AE5959">
        <v>57.82</v>
      </c>
    </row>
    <row r="5960" spans="31:31" x14ac:dyDescent="0.25">
      <c r="AE5960">
        <v>35.17</v>
      </c>
    </row>
    <row r="5961" spans="31:31" x14ac:dyDescent="0.25">
      <c r="AE5961">
        <v>101.36</v>
      </c>
    </row>
    <row r="5962" spans="31:31" x14ac:dyDescent="0.25">
      <c r="AE5962">
        <v>42.18</v>
      </c>
    </row>
    <row r="5963" spans="31:31" x14ac:dyDescent="0.25">
      <c r="AE5963">
        <v>60.03</v>
      </c>
    </row>
    <row r="5964" spans="31:31" x14ac:dyDescent="0.25">
      <c r="AE5964">
        <v>87.53</v>
      </c>
    </row>
    <row r="5965" spans="31:31" x14ac:dyDescent="0.25">
      <c r="AE5965">
        <v>152.57</v>
      </c>
    </row>
    <row r="5966" spans="31:31" x14ac:dyDescent="0.25">
      <c r="AE5966">
        <v>76.33</v>
      </c>
    </row>
    <row r="5967" spans="31:31" x14ac:dyDescent="0.25">
      <c r="AE5967">
        <v>118.91</v>
      </c>
    </row>
    <row r="5968" spans="31:31" x14ac:dyDescent="0.25">
      <c r="AE5968">
        <v>19.489999999999998</v>
      </c>
    </row>
    <row r="5969" spans="31:31" x14ac:dyDescent="0.25">
      <c r="AE5969">
        <v>69.91</v>
      </c>
    </row>
    <row r="5970" spans="31:31" x14ac:dyDescent="0.25">
      <c r="AE5970">
        <v>11.93</v>
      </c>
    </row>
    <row r="5971" spans="31:31" x14ac:dyDescent="0.25">
      <c r="AE5971">
        <v>46.47</v>
      </c>
    </row>
    <row r="5972" spans="31:31" x14ac:dyDescent="0.25">
      <c r="AE5972">
        <v>17.809999999999999</v>
      </c>
    </row>
    <row r="5973" spans="31:31" x14ac:dyDescent="0.25">
      <c r="AE5973">
        <v>181.24</v>
      </c>
    </row>
    <row r="5974" spans="31:31" x14ac:dyDescent="0.25">
      <c r="AE5974">
        <v>43.84</v>
      </c>
    </row>
    <row r="5975" spans="31:31" x14ac:dyDescent="0.25">
      <c r="AE5975">
        <v>61.94</v>
      </c>
    </row>
    <row r="5976" spans="31:31" x14ac:dyDescent="0.25">
      <c r="AE5976">
        <v>0.54</v>
      </c>
    </row>
    <row r="5977" spans="31:31" x14ac:dyDescent="0.25">
      <c r="AE5977">
        <v>22.93</v>
      </c>
    </row>
    <row r="5978" spans="31:31" x14ac:dyDescent="0.25">
      <c r="AE5978">
        <v>34.11</v>
      </c>
    </row>
    <row r="5979" spans="31:31" x14ac:dyDescent="0.25">
      <c r="AE5979">
        <v>79.510000000000005</v>
      </c>
    </row>
    <row r="5980" spans="31:31" x14ac:dyDescent="0.25">
      <c r="AE5980">
        <v>16.100000000000001</v>
      </c>
    </row>
    <row r="5981" spans="31:31" x14ac:dyDescent="0.25">
      <c r="AE5981">
        <v>37.97</v>
      </c>
    </row>
    <row r="5982" spans="31:31" x14ac:dyDescent="0.25">
      <c r="AE5982">
        <v>117.84</v>
      </c>
    </row>
    <row r="5983" spans="31:31" x14ac:dyDescent="0.25">
      <c r="AE5983">
        <v>20.62</v>
      </c>
    </row>
    <row r="5984" spans="31:31" x14ac:dyDescent="0.25">
      <c r="AE5984">
        <v>27.47</v>
      </c>
    </row>
    <row r="5985" spans="31:31" x14ac:dyDescent="0.25">
      <c r="AE5985">
        <v>81.87</v>
      </c>
    </row>
    <row r="5986" spans="31:31" x14ac:dyDescent="0.25">
      <c r="AE5986">
        <v>80.989999999999995</v>
      </c>
    </row>
    <row r="5987" spans="31:31" x14ac:dyDescent="0.25">
      <c r="AE5987">
        <v>0.09</v>
      </c>
    </row>
    <row r="5988" spans="31:31" x14ac:dyDescent="0.25">
      <c r="AE5988">
        <v>25.82</v>
      </c>
    </row>
    <row r="5989" spans="31:31" x14ac:dyDescent="0.25">
      <c r="AE5989">
        <v>19.45</v>
      </c>
    </row>
    <row r="5990" spans="31:31" x14ac:dyDescent="0.25">
      <c r="AE5990">
        <v>154.51</v>
      </c>
    </row>
    <row r="5991" spans="31:31" x14ac:dyDescent="0.25">
      <c r="AE5991">
        <v>94.26</v>
      </c>
    </row>
    <row r="5992" spans="31:31" x14ac:dyDescent="0.25">
      <c r="AE5992">
        <v>97.01</v>
      </c>
    </row>
    <row r="5993" spans="31:31" x14ac:dyDescent="0.25">
      <c r="AE5993">
        <v>68.67</v>
      </c>
    </row>
    <row r="5994" spans="31:31" x14ac:dyDescent="0.25">
      <c r="AE5994">
        <v>39.340000000000003</v>
      </c>
    </row>
    <row r="5995" spans="31:31" x14ac:dyDescent="0.25">
      <c r="AE5995">
        <v>39.9</v>
      </c>
    </row>
    <row r="5996" spans="31:31" x14ac:dyDescent="0.25">
      <c r="AE5996">
        <v>6.41</v>
      </c>
    </row>
    <row r="5997" spans="31:31" x14ac:dyDescent="0.25">
      <c r="AE5997">
        <v>91.83</v>
      </c>
    </row>
    <row r="5998" spans="31:31" x14ac:dyDescent="0.25">
      <c r="AE5998">
        <v>52.43</v>
      </c>
    </row>
    <row r="5999" spans="31:31" x14ac:dyDescent="0.25">
      <c r="AE5999">
        <v>28.02</v>
      </c>
    </row>
    <row r="6000" spans="31:31" x14ac:dyDescent="0.25">
      <c r="AE6000">
        <v>79.739999999999995</v>
      </c>
    </row>
    <row r="6001" spans="31:31" x14ac:dyDescent="0.25">
      <c r="AE6001">
        <v>27.31</v>
      </c>
    </row>
    <row r="6002" spans="31:31" x14ac:dyDescent="0.25">
      <c r="AE6002">
        <v>102.31</v>
      </c>
    </row>
    <row r="6003" spans="31:31" x14ac:dyDescent="0.25">
      <c r="AE6003">
        <v>28.64</v>
      </c>
    </row>
    <row r="6004" spans="31:31" x14ac:dyDescent="0.25">
      <c r="AE6004">
        <v>19.22</v>
      </c>
    </row>
    <row r="6005" spans="31:31" x14ac:dyDescent="0.25">
      <c r="AE6005">
        <v>29.47</v>
      </c>
    </row>
    <row r="6006" spans="31:31" x14ac:dyDescent="0.25">
      <c r="AE6006">
        <v>17.670000000000002</v>
      </c>
    </row>
    <row r="6007" spans="31:31" x14ac:dyDescent="0.25">
      <c r="AE6007">
        <v>41.34</v>
      </c>
    </row>
    <row r="6008" spans="31:31" x14ac:dyDescent="0.25">
      <c r="AE6008">
        <v>46.02</v>
      </c>
    </row>
    <row r="6009" spans="31:31" x14ac:dyDescent="0.25">
      <c r="AE6009">
        <v>52.58</v>
      </c>
    </row>
    <row r="6010" spans="31:31" x14ac:dyDescent="0.25">
      <c r="AE6010">
        <v>25.26</v>
      </c>
    </row>
    <row r="6011" spans="31:31" x14ac:dyDescent="0.25">
      <c r="AE6011">
        <v>74.209999999999994</v>
      </c>
    </row>
    <row r="6012" spans="31:31" x14ac:dyDescent="0.25">
      <c r="AE6012">
        <v>32.549999999999997</v>
      </c>
    </row>
    <row r="6013" spans="31:31" x14ac:dyDescent="0.25">
      <c r="AE6013">
        <v>30.16</v>
      </c>
    </row>
    <row r="6014" spans="31:31" x14ac:dyDescent="0.25">
      <c r="AE6014">
        <v>15.73</v>
      </c>
    </row>
    <row r="6015" spans="31:31" x14ac:dyDescent="0.25">
      <c r="AE6015">
        <v>83.69</v>
      </c>
    </row>
    <row r="6016" spans="31:31" x14ac:dyDescent="0.25">
      <c r="AE6016">
        <v>150.63999999999999</v>
      </c>
    </row>
    <row r="6017" spans="31:31" x14ac:dyDescent="0.25">
      <c r="AE6017">
        <v>63.85</v>
      </c>
    </row>
    <row r="6018" spans="31:31" x14ac:dyDescent="0.25">
      <c r="AE6018">
        <v>54.37</v>
      </c>
    </row>
    <row r="6019" spans="31:31" x14ac:dyDescent="0.25">
      <c r="AE6019">
        <v>16.95</v>
      </c>
    </row>
    <row r="6020" spans="31:31" x14ac:dyDescent="0.25">
      <c r="AE6020">
        <v>7.69</v>
      </c>
    </row>
    <row r="6021" spans="31:31" x14ac:dyDescent="0.25">
      <c r="AE6021">
        <v>50.11</v>
      </c>
    </row>
    <row r="6022" spans="31:31" x14ac:dyDescent="0.25">
      <c r="AE6022">
        <v>32.869999999999997</v>
      </c>
    </row>
    <row r="6023" spans="31:31" x14ac:dyDescent="0.25">
      <c r="AE6023">
        <v>36.83</v>
      </c>
    </row>
    <row r="6024" spans="31:31" x14ac:dyDescent="0.25">
      <c r="AE6024">
        <v>267.17</v>
      </c>
    </row>
    <row r="6025" spans="31:31" x14ac:dyDescent="0.25">
      <c r="AE6025">
        <v>26.33</v>
      </c>
    </row>
    <row r="6026" spans="31:31" x14ac:dyDescent="0.25">
      <c r="AE6026">
        <v>12.61</v>
      </c>
    </row>
    <row r="6027" spans="31:31" x14ac:dyDescent="0.25">
      <c r="AE6027">
        <v>36.630000000000003</v>
      </c>
    </row>
    <row r="6028" spans="31:31" x14ac:dyDescent="0.25">
      <c r="AE6028">
        <v>28.22</v>
      </c>
    </row>
    <row r="6029" spans="31:31" x14ac:dyDescent="0.25">
      <c r="AE6029">
        <v>21.7</v>
      </c>
    </row>
    <row r="6030" spans="31:31" x14ac:dyDescent="0.25">
      <c r="AE6030">
        <v>13.44</v>
      </c>
    </row>
    <row r="6031" spans="31:31" x14ac:dyDescent="0.25">
      <c r="AE6031">
        <v>64.95</v>
      </c>
    </row>
    <row r="6032" spans="31:31" x14ac:dyDescent="0.25">
      <c r="AE6032">
        <v>19.04</v>
      </c>
    </row>
    <row r="6033" spans="31:31" x14ac:dyDescent="0.25">
      <c r="AE6033">
        <v>73.739999999999995</v>
      </c>
    </row>
    <row r="6034" spans="31:31" x14ac:dyDescent="0.25">
      <c r="AE6034">
        <v>11.72</v>
      </c>
    </row>
    <row r="6035" spans="31:31" x14ac:dyDescent="0.25">
      <c r="AE6035">
        <v>36.770000000000003</v>
      </c>
    </row>
    <row r="6036" spans="31:31" x14ac:dyDescent="0.25">
      <c r="AE6036">
        <v>24.01</v>
      </c>
    </row>
    <row r="6037" spans="31:31" x14ac:dyDescent="0.25">
      <c r="AE6037">
        <v>59.09</v>
      </c>
    </row>
    <row r="6038" spans="31:31" x14ac:dyDescent="0.25">
      <c r="AE6038">
        <v>41.81</v>
      </c>
    </row>
    <row r="6039" spans="31:31" x14ac:dyDescent="0.25">
      <c r="AE6039">
        <v>10.039999999999999</v>
      </c>
    </row>
    <row r="6040" spans="31:31" x14ac:dyDescent="0.25">
      <c r="AE6040">
        <v>19.190000000000001</v>
      </c>
    </row>
    <row r="6041" spans="31:31" x14ac:dyDescent="0.25">
      <c r="AE6041">
        <v>53.5</v>
      </c>
    </row>
    <row r="6042" spans="31:31" x14ac:dyDescent="0.25">
      <c r="AE6042">
        <v>74.2</v>
      </c>
    </row>
    <row r="6043" spans="31:31" x14ac:dyDescent="0.25">
      <c r="AE6043">
        <v>92.24</v>
      </c>
    </row>
    <row r="6044" spans="31:31" x14ac:dyDescent="0.25">
      <c r="AE6044">
        <v>56.77</v>
      </c>
    </row>
    <row r="6045" spans="31:31" x14ac:dyDescent="0.25">
      <c r="AE6045">
        <v>31.61</v>
      </c>
    </row>
    <row r="6046" spans="31:31" x14ac:dyDescent="0.25">
      <c r="AE6046">
        <v>0.9</v>
      </c>
    </row>
    <row r="6047" spans="31:31" x14ac:dyDescent="0.25">
      <c r="AE6047">
        <v>19.329999999999998</v>
      </c>
    </row>
    <row r="6048" spans="31:31" x14ac:dyDescent="0.25">
      <c r="AE6048">
        <v>15.41</v>
      </c>
    </row>
    <row r="6049" spans="31:31" x14ac:dyDescent="0.25">
      <c r="AE6049">
        <v>26.51</v>
      </c>
    </row>
    <row r="6050" spans="31:31" x14ac:dyDescent="0.25">
      <c r="AE6050">
        <v>21.22</v>
      </c>
    </row>
    <row r="6051" spans="31:31" x14ac:dyDescent="0.25">
      <c r="AE6051">
        <v>60.33</v>
      </c>
    </row>
    <row r="6052" spans="31:31" x14ac:dyDescent="0.25">
      <c r="AE6052">
        <v>20.92</v>
      </c>
    </row>
    <row r="6053" spans="31:31" x14ac:dyDescent="0.25">
      <c r="AE6053">
        <v>68.900000000000006</v>
      </c>
    </row>
    <row r="6054" spans="31:31" x14ac:dyDescent="0.25">
      <c r="AE6054">
        <v>28.94</v>
      </c>
    </row>
    <row r="6055" spans="31:31" x14ac:dyDescent="0.25">
      <c r="AE6055">
        <v>40.31</v>
      </c>
    </row>
    <row r="6056" spans="31:31" x14ac:dyDescent="0.25">
      <c r="AE6056">
        <v>53.72</v>
      </c>
    </row>
    <row r="6057" spans="31:31" x14ac:dyDescent="0.25">
      <c r="AE6057">
        <v>25.46</v>
      </c>
    </row>
    <row r="6058" spans="31:31" x14ac:dyDescent="0.25">
      <c r="AE6058">
        <v>81.47</v>
      </c>
    </row>
    <row r="6059" spans="31:31" x14ac:dyDescent="0.25">
      <c r="AE6059">
        <v>10.32</v>
      </c>
    </row>
    <row r="6060" spans="31:31" x14ac:dyDescent="0.25">
      <c r="AE6060">
        <v>65.52</v>
      </c>
    </row>
    <row r="6061" spans="31:31" x14ac:dyDescent="0.25">
      <c r="AE6061">
        <v>70.150000000000006</v>
      </c>
    </row>
    <row r="6062" spans="31:31" x14ac:dyDescent="0.25">
      <c r="AE6062">
        <v>156.21</v>
      </c>
    </row>
    <row r="6063" spans="31:31" x14ac:dyDescent="0.25">
      <c r="AE6063">
        <v>37.82</v>
      </c>
    </row>
    <row r="6064" spans="31:31" x14ac:dyDescent="0.25">
      <c r="AE6064">
        <v>21.39</v>
      </c>
    </row>
    <row r="6065" spans="31:31" x14ac:dyDescent="0.25">
      <c r="AE6065">
        <v>25.41</v>
      </c>
    </row>
    <row r="6066" spans="31:31" x14ac:dyDescent="0.25">
      <c r="AE6066">
        <v>112.03</v>
      </c>
    </row>
    <row r="6067" spans="31:31" x14ac:dyDescent="0.25">
      <c r="AE6067">
        <v>53.62</v>
      </c>
    </row>
    <row r="6068" spans="31:31" x14ac:dyDescent="0.25">
      <c r="AE6068">
        <v>188.6</v>
      </c>
    </row>
    <row r="6069" spans="31:31" x14ac:dyDescent="0.25">
      <c r="AE6069">
        <v>17.510000000000002</v>
      </c>
    </row>
    <row r="6070" spans="31:31" x14ac:dyDescent="0.25">
      <c r="AE6070">
        <v>38.1</v>
      </c>
    </row>
    <row r="6071" spans="31:31" x14ac:dyDescent="0.25">
      <c r="AE6071">
        <v>23.42</v>
      </c>
    </row>
    <row r="6072" spans="31:31" x14ac:dyDescent="0.25">
      <c r="AE6072">
        <v>81.849999999999994</v>
      </c>
    </row>
    <row r="6073" spans="31:31" x14ac:dyDescent="0.25">
      <c r="AE6073">
        <v>61.1</v>
      </c>
    </row>
    <row r="6074" spans="31:31" x14ac:dyDescent="0.25">
      <c r="AE6074">
        <v>60.51</v>
      </c>
    </row>
    <row r="6075" spans="31:31" x14ac:dyDescent="0.25">
      <c r="AE6075">
        <v>141.08000000000001</v>
      </c>
    </row>
    <row r="6076" spans="31:31" x14ac:dyDescent="0.25">
      <c r="AE6076">
        <v>20.79</v>
      </c>
    </row>
    <row r="6077" spans="31:31" x14ac:dyDescent="0.25">
      <c r="AE6077">
        <v>66.77</v>
      </c>
    </row>
    <row r="6078" spans="31:31" x14ac:dyDescent="0.25">
      <c r="AE6078">
        <v>79.47</v>
      </c>
    </row>
    <row r="6079" spans="31:31" x14ac:dyDescent="0.25">
      <c r="AE6079">
        <v>43.49</v>
      </c>
    </row>
    <row r="6080" spans="31:31" x14ac:dyDescent="0.25">
      <c r="AE6080">
        <v>45.79</v>
      </c>
    </row>
    <row r="6081" spans="31:31" x14ac:dyDescent="0.25">
      <c r="AE6081">
        <v>35.78</v>
      </c>
    </row>
    <row r="6082" spans="31:31" x14ac:dyDescent="0.25">
      <c r="AE6082">
        <v>61.38</v>
      </c>
    </row>
    <row r="6083" spans="31:31" x14ac:dyDescent="0.25">
      <c r="AE6083">
        <v>131.93</v>
      </c>
    </row>
    <row r="6084" spans="31:31" x14ac:dyDescent="0.25">
      <c r="AE6084">
        <v>10.039999999999999</v>
      </c>
    </row>
    <row r="6085" spans="31:31" x14ac:dyDescent="0.25">
      <c r="AE6085">
        <v>27.99</v>
      </c>
    </row>
    <row r="6086" spans="31:31" x14ac:dyDescent="0.25">
      <c r="AE6086">
        <v>13.36</v>
      </c>
    </row>
    <row r="6087" spans="31:31" x14ac:dyDescent="0.25">
      <c r="AE6087">
        <v>79.739999999999995</v>
      </c>
    </row>
    <row r="6088" spans="31:31" x14ac:dyDescent="0.25">
      <c r="AE6088">
        <v>22.1</v>
      </c>
    </row>
    <row r="6089" spans="31:31" x14ac:dyDescent="0.25">
      <c r="AE6089">
        <v>94.96</v>
      </c>
    </row>
    <row r="6090" spans="31:31" x14ac:dyDescent="0.25">
      <c r="AE6090">
        <v>54.49</v>
      </c>
    </row>
    <row r="6091" spans="31:31" x14ac:dyDescent="0.25">
      <c r="AE6091">
        <v>52.31</v>
      </c>
    </row>
    <row r="6092" spans="31:31" x14ac:dyDescent="0.25">
      <c r="AE6092">
        <v>21.27</v>
      </c>
    </row>
    <row r="6093" spans="31:31" x14ac:dyDescent="0.25">
      <c r="AE6093">
        <v>38.82</v>
      </c>
    </row>
    <row r="6094" spans="31:31" x14ac:dyDescent="0.25">
      <c r="AE6094">
        <v>26.78</v>
      </c>
    </row>
    <row r="6095" spans="31:31" x14ac:dyDescent="0.25">
      <c r="AE6095">
        <v>202.94</v>
      </c>
    </row>
    <row r="6096" spans="31:31" x14ac:dyDescent="0.25">
      <c r="AE6096">
        <v>11.46</v>
      </c>
    </row>
    <row r="6097" spans="31:31" x14ac:dyDescent="0.25">
      <c r="AE6097">
        <v>74.180000000000007</v>
      </c>
    </row>
    <row r="6098" spans="31:31" x14ac:dyDescent="0.25">
      <c r="AE6098">
        <v>64.069999999999993</v>
      </c>
    </row>
    <row r="6099" spans="31:31" x14ac:dyDescent="0.25">
      <c r="AE6099">
        <v>51.05</v>
      </c>
    </row>
    <row r="6100" spans="31:31" x14ac:dyDescent="0.25">
      <c r="AE6100">
        <v>10.39</v>
      </c>
    </row>
    <row r="6101" spans="31:31" x14ac:dyDescent="0.25">
      <c r="AE6101">
        <v>60.03</v>
      </c>
    </row>
    <row r="6102" spans="31:31" x14ac:dyDescent="0.25">
      <c r="AE6102">
        <v>21.16</v>
      </c>
    </row>
    <row r="6103" spans="31:31" x14ac:dyDescent="0.25">
      <c r="AE6103">
        <v>35.83</v>
      </c>
    </row>
    <row r="6104" spans="31:31" x14ac:dyDescent="0.25">
      <c r="AE6104">
        <v>56.74</v>
      </c>
    </row>
    <row r="6105" spans="31:31" x14ac:dyDescent="0.25">
      <c r="AE6105">
        <v>19.3</v>
      </c>
    </row>
    <row r="6106" spans="31:31" x14ac:dyDescent="0.25">
      <c r="AE6106">
        <v>22.58</v>
      </c>
    </row>
    <row r="6107" spans="31:31" x14ac:dyDescent="0.25">
      <c r="AE6107">
        <v>57.12</v>
      </c>
    </row>
    <row r="6108" spans="31:31" x14ac:dyDescent="0.25">
      <c r="AE6108">
        <v>27.64</v>
      </c>
    </row>
    <row r="6109" spans="31:31" x14ac:dyDescent="0.25">
      <c r="AE6109">
        <v>96.99</v>
      </c>
    </row>
    <row r="6110" spans="31:31" x14ac:dyDescent="0.25">
      <c r="AE6110">
        <v>26.38</v>
      </c>
    </row>
    <row r="6111" spans="31:31" x14ac:dyDescent="0.25">
      <c r="AE6111">
        <v>54.76</v>
      </c>
    </row>
    <row r="6112" spans="31:31" x14ac:dyDescent="0.25">
      <c r="AE6112">
        <v>10.34</v>
      </c>
    </row>
    <row r="6113" spans="31:31" x14ac:dyDescent="0.25">
      <c r="AE6113">
        <v>15.56</v>
      </c>
    </row>
    <row r="6114" spans="31:31" x14ac:dyDescent="0.25">
      <c r="AE6114">
        <v>71.040000000000006</v>
      </c>
    </row>
    <row r="6115" spans="31:31" x14ac:dyDescent="0.25">
      <c r="AE6115">
        <v>32.119999999999997</v>
      </c>
    </row>
    <row r="6116" spans="31:31" x14ac:dyDescent="0.25">
      <c r="AE6116">
        <v>11.77</v>
      </c>
    </row>
    <row r="6117" spans="31:31" x14ac:dyDescent="0.25">
      <c r="AE6117">
        <v>60.36</v>
      </c>
    </row>
    <row r="6118" spans="31:31" x14ac:dyDescent="0.25">
      <c r="AE6118">
        <v>2.34</v>
      </c>
    </row>
    <row r="6119" spans="31:31" x14ac:dyDescent="0.25">
      <c r="AE6119">
        <v>19.7</v>
      </c>
    </row>
    <row r="6120" spans="31:31" x14ac:dyDescent="0.25">
      <c r="AE6120">
        <v>41.8</v>
      </c>
    </row>
    <row r="6121" spans="31:31" x14ac:dyDescent="0.25">
      <c r="AE6121">
        <v>31.02</v>
      </c>
    </row>
    <row r="6122" spans="31:31" x14ac:dyDescent="0.25">
      <c r="AE6122">
        <v>55.97</v>
      </c>
    </row>
    <row r="6123" spans="31:31" x14ac:dyDescent="0.25">
      <c r="AE6123">
        <v>10.49</v>
      </c>
    </row>
    <row r="6124" spans="31:31" x14ac:dyDescent="0.25">
      <c r="AE6124">
        <v>99.25</v>
      </c>
    </row>
    <row r="6125" spans="31:31" x14ac:dyDescent="0.25">
      <c r="AE6125">
        <v>102.36</v>
      </c>
    </row>
    <row r="6126" spans="31:31" x14ac:dyDescent="0.25">
      <c r="AE6126">
        <v>25.22</v>
      </c>
    </row>
    <row r="6127" spans="31:31" x14ac:dyDescent="0.25">
      <c r="AE6127">
        <v>28.07</v>
      </c>
    </row>
    <row r="6128" spans="31:31" x14ac:dyDescent="0.25">
      <c r="AE6128">
        <v>73.56</v>
      </c>
    </row>
    <row r="6129" spans="31:31" x14ac:dyDescent="0.25">
      <c r="AE6129">
        <v>19.61</v>
      </c>
    </row>
    <row r="6130" spans="31:31" x14ac:dyDescent="0.25">
      <c r="AE6130">
        <v>10.14</v>
      </c>
    </row>
    <row r="6131" spans="31:31" x14ac:dyDescent="0.25">
      <c r="AE6131">
        <v>20.170000000000002</v>
      </c>
    </row>
    <row r="6132" spans="31:31" x14ac:dyDescent="0.25">
      <c r="AE6132">
        <v>17.46</v>
      </c>
    </row>
    <row r="6133" spans="31:31" x14ac:dyDescent="0.25">
      <c r="AE6133">
        <v>93.99</v>
      </c>
    </row>
    <row r="6134" spans="31:31" x14ac:dyDescent="0.25">
      <c r="AE6134">
        <v>11.53</v>
      </c>
    </row>
    <row r="6135" spans="31:31" x14ac:dyDescent="0.25">
      <c r="AE6135">
        <v>67.180000000000007</v>
      </c>
    </row>
    <row r="6136" spans="31:31" x14ac:dyDescent="0.25">
      <c r="AE6136">
        <v>205.6</v>
      </c>
    </row>
    <row r="6137" spans="31:31" x14ac:dyDescent="0.25">
      <c r="AE6137">
        <v>65.08</v>
      </c>
    </row>
    <row r="6138" spans="31:31" x14ac:dyDescent="0.25">
      <c r="AE6138">
        <v>46.16</v>
      </c>
    </row>
    <row r="6139" spans="31:31" x14ac:dyDescent="0.25">
      <c r="AE6139">
        <v>31.11</v>
      </c>
    </row>
    <row r="6140" spans="31:31" x14ac:dyDescent="0.25">
      <c r="AE6140">
        <v>65.31</v>
      </c>
    </row>
    <row r="6141" spans="31:31" x14ac:dyDescent="0.25">
      <c r="AE6141">
        <v>40.29</v>
      </c>
    </row>
    <row r="6142" spans="31:31" x14ac:dyDescent="0.25">
      <c r="AE6142">
        <v>390.92</v>
      </c>
    </row>
    <row r="6143" spans="31:31" x14ac:dyDescent="0.25">
      <c r="AE6143">
        <v>19.059999999999999</v>
      </c>
    </row>
    <row r="6144" spans="31:31" x14ac:dyDescent="0.25">
      <c r="AE6144">
        <v>75.459999999999994</v>
      </c>
    </row>
    <row r="6145" spans="31:31" x14ac:dyDescent="0.25">
      <c r="AE6145">
        <v>86.05</v>
      </c>
    </row>
    <row r="6146" spans="31:31" x14ac:dyDescent="0.25">
      <c r="AE6146">
        <v>35.1</v>
      </c>
    </row>
    <row r="6147" spans="31:31" x14ac:dyDescent="0.25">
      <c r="AE6147">
        <v>32.58</v>
      </c>
    </row>
    <row r="6148" spans="31:31" x14ac:dyDescent="0.25">
      <c r="AE6148">
        <v>14.39</v>
      </c>
    </row>
    <row r="6149" spans="31:31" x14ac:dyDescent="0.25">
      <c r="AE6149">
        <v>94.07</v>
      </c>
    </row>
    <row r="6150" spans="31:31" x14ac:dyDescent="0.25">
      <c r="AE6150">
        <v>2.37</v>
      </c>
    </row>
    <row r="6151" spans="31:31" x14ac:dyDescent="0.25">
      <c r="AE6151">
        <v>0</v>
      </c>
    </row>
    <row r="6152" spans="31:31" x14ac:dyDescent="0.25">
      <c r="AE6152">
        <v>62.68</v>
      </c>
    </row>
    <row r="6153" spans="31:31" x14ac:dyDescent="0.25">
      <c r="AE6153">
        <v>8.74</v>
      </c>
    </row>
    <row r="6154" spans="31:31" x14ac:dyDescent="0.25">
      <c r="AE6154">
        <v>12.06</v>
      </c>
    </row>
    <row r="6155" spans="31:31" x14ac:dyDescent="0.25">
      <c r="AE6155">
        <v>67.569999999999993</v>
      </c>
    </row>
    <row r="6156" spans="31:31" x14ac:dyDescent="0.25">
      <c r="AE6156">
        <v>23.4</v>
      </c>
    </row>
    <row r="6157" spans="31:31" x14ac:dyDescent="0.25">
      <c r="AE6157">
        <v>52.43</v>
      </c>
    </row>
    <row r="6158" spans="31:31" x14ac:dyDescent="0.25">
      <c r="AE6158">
        <v>38.85</v>
      </c>
    </row>
    <row r="6159" spans="31:31" x14ac:dyDescent="0.25">
      <c r="AE6159">
        <v>66.25</v>
      </c>
    </row>
    <row r="6160" spans="31:31" x14ac:dyDescent="0.25">
      <c r="AE6160">
        <v>120.87</v>
      </c>
    </row>
    <row r="6161" spans="31:31" x14ac:dyDescent="0.25">
      <c r="AE6161">
        <v>10.55</v>
      </c>
    </row>
    <row r="6162" spans="31:31" x14ac:dyDescent="0.25">
      <c r="AE6162">
        <v>12.35</v>
      </c>
    </row>
    <row r="6163" spans="31:31" x14ac:dyDescent="0.25">
      <c r="AE6163">
        <v>10.14</v>
      </c>
    </row>
    <row r="6164" spans="31:31" x14ac:dyDescent="0.25">
      <c r="AE6164">
        <v>69.510000000000005</v>
      </c>
    </row>
    <row r="6165" spans="31:31" x14ac:dyDescent="0.25">
      <c r="AE6165">
        <v>66.38</v>
      </c>
    </row>
    <row r="6166" spans="31:31" x14ac:dyDescent="0.25">
      <c r="AE6166">
        <v>119.64</v>
      </c>
    </row>
    <row r="6167" spans="31:31" x14ac:dyDescent="0.25">
      <c r="AE6167">
        <v>64.349999999999994</v>
      </c>
    </row>
    <row r="6168" spans="31:31" x14ac:dyDescent="0.25">
      <c r="AE6168">
        <v>32.36</v>
      </c>
    </row>
    <row r="6169" spans="31:31" x14ac:dyDescent="0.25">
      <c r="AE6169">
        <v>84.41</v>
      </c>
    </row>
    <row r="6170" spans="31:31" x14ac:dyDescent="0.25">
      <c r="AE6170">
        <v>11.44</v>
      </c>
    </row>
    <row r="6171" spans="31:31" x14ac:dyDescent="0.25">
      <c r="AE6171">
        <v>20.47</v>
      </c>
    </row>
    <row r="6172" spans="31:31" x14ac:dyDescent="0.25">
      <c r="AE6172">
        <v>230.73</v>
      </c>
    </row>
    <row r="6173" spans="31:31" x14ac:dyDescent="0.25">
      <c r="AE6173">
        <v>126.55</v>
      </c>
    </row>
    <row r="6174" spans="31:31" x14ac:dyDescent="0.25">
      <c r="AE6174">
        <v>38.15</v>
      </c>
    </row>
    <row r="6175" spans="31:31" x14ac:dyDescent="0.25">
      <c r="AE6175">
        <v>35.19</v>
      </c>
    </row>
    <row r="6176" spans="31:31" x14ac:dyDescent="0.25">
      <c r="AE6176">
        <v>83</v>
      </c>
    </row>
    <row r="6177" spans="31:31" x14ac:dyDescent="0.25">
      <c r="AE6177">
        <v>80.73</v>
      </c>
    </row>
    <row r="6178" spans="31:31" x14ac:dyDescent="0.25">
      <c r="AE6178">
        <v>20.98</v>
      </c>
    </row>
    <row r="6179" spans="31:31" x14ac:dyDescent="0.25">
      <c r="AE6179">
        <v>23.68</v>
      </c>
    </row>
    <row r="6180" spans="31:31" x14ac:dyDescent="0.25">
      <c r="AE6180">
        <v>79.91</v>
      </c>
    </row>
    <row r="6181" spans="31:31" x14ac:dyDescent="0.25">
      <c r="AE6181">
        <v>16.28</v>
      </c>
    </row>
    <row r="6182" spans="31:31" x14ac:dyDescent="0.25">
      <c r="AE6182">
        <v>10.74</v>
      </c>
    </row>
    <row r="6183" spans="31:31" x14ac:dyDescent="0.25">
      <c r="AE6183">
        <v>149.51</v>
      </c>
    </row>
    <row r="6184" spans="31:31" x14ac:dyDescent="0.25">
      <c r="AE6184">
        <v>35.299999999999997</v>
      </c>
    </row>
    <row r="6185" spans="31:31" x14ac:dyDescent="0.25">
      <c r="AE6185">
        <v>75.98</v>
      </c>
    </row>
    <row r="6186" spans="31:31" x14ac:dyDescent="0.25">
      <c r="AE6186">
        <v>13.07</v>
      </c>
    </row>
    <row r="6187" spans="31:31" x14ac:dyDescent="0.25">
      <c r="AE6187">
        <v>54.27</v>
      </c>
    </row>
    <row r="6188" spans="31:31" x14ac:dyDescent="0.25">
      <c r="AE6188">
        <v>25.73</v>
      </c>
    </row>
    <row r="6189" spans="31:31" x14ac:dyDescent="0.25">
      <c r="AE6189">
        <v>11.63</v>
      </c>
    </row>
    <row r="6190" spans="31:31" x14ac:dyDescent="0.25">
      <c r="AE6190">
        <v>14.5</v>
      </c>
    </row>
    <row r="6191" spans="31:31" x14ac:dyDescent="0.25">
      <c r="AE6191">
        <v>61.96</v>
      </c>
    </row>
    <row r="6192" spans="31:31" x14ac:dyDescent="0.25">
      <c r="AE6192">
        <v>21.18</v>
      </c>
    </row>
    <row r="6193" spans="31:31" x14ac:dyDescent="0.25">
      <c r="AE6193">
        <v>72.34</v>
      </c>
    </row>
    <row r="6194" spans="31:31" x14ac:dyDescent="0.25">
      <c r="AE6194">
        <v>70.22</v>
      </c>
    </row>
    <row r="6195" spans="31:31" x14ac:dyDescent="0.25">
      <c r="AE6195">
        <v>24.04</v>
      </c>
    </row>
    <row r="6196" spans="31:31" x14ac:dyDescent="0.25">
      <c r="AE6196">
        <v>37.97</v>
      </c>
    </row>
    <row r="6197" spans="31:31" x14ac:dyDescent="0.25">
      <c r="AE6197">
        <v>25.66</v>
      </c>
    </row>
    <row r="6198" spans="31:31" x14ac:dyDescent="0.25">
      <c r="AE6198">
        <v>35.869999999999997</v>
      </c>
    </row>
    <row r="6199" spans="31:31" x14ac:dyDescent="0.25">
      <c r="AE6199">
        <v>23.41</v>
      </c>
    </row>
    <row r="6200" spans="31:31" x14ac:dyDescent="0.25">
      <c r="AE6200">
        <v>170.05</v>
      </c>
    </row>
    <row r="6201" spans="31:31" x14ac:dyDescent="0.25">
      <c r="AE6201">
        <v>171.38</v>
      </c>
    </row>
    <row r="6202" spans="31:31" x14ac:dyDescent="0.25">
      <c r="AE6202">
        <v>57.01</v>
      </c>
    </row>
    <row r="6203" spans="31:31" x14ac:dyDescent="0.25">
      <c r="AE6203">
        <v>50.51</v>
      </c>
    </row>
    <row r="6204" spans="31:31" x14ac:dyDescent="0.25">
      <c r="AE6204">
        <v>80</v>
      </c>
    </row>
    <row r="6205" spans="31:31" x14ac:dyDescent="0.25">
      <c r="AE6205">
        <v>34.909999999999997</v>
      </c>
    </row>
    <row r="6206" spans="31:31" x14ac:dyDescent="0.25">
      <c r="AE6206">
        <v>10.14</v>
      </c>
    </row>
    <row r="6207" spans="31:31" x14ac:dyDescent="0.25">
      <c r="AE6207">
        <v>58.28</v>
      </c>
    </row>
    <row r="6208" spans="31:31" x14ac:dyDescent="0.25">
      <c r="AE6208">
        <v>203.62</v>
      </c>
    </row>
    <row r="6209" spans="31:31" x14ac:dyDescent="0.25">
      <c r="AE6209">
        <v>12.88</v>
      </c>
    </row>
    <row r="6210" spans="31:31" x14ac:dyDescent="0.25">
      <c r="AE6210">
        <v>54.74</v>
      </c>
    </row>
    <row r="6211" spans="31:31" x14ac:dyDescent="0.25">
      <c r="AE6211">
        <v>22.15</v>
      </c>
    </row>
    <row r="6212" spans="31:31" x14ac:dyDescent="0.25">
      <c r="AE6212">
        <v>56.73</v>
      </c>
    </row>
    <row r="6213" spans="31:31" x14ac:dyDescent="0.25">
      <c r="AE6213">
        <v>5.57</v>
      </c>
    </row>
    <row r="6214" spans="31:31" x14ac:dyDescent="0.25">
      <c r="AE6214">
        <v>88.27</v>
      </c>
    </row>
    <row r="6215" spans="31:31" x14ac:dyDescent="0.25">
      <c r="AE6215">
        <v>24.44</v>
      </c>
    </row>
    <row r="6216" spans="31:31" x14ac:dyDescent="0.25">
      <c r="AE6216">
        <v>43.3</v>
      </c>
    </row>
    <row r="6217" spans="31:31" x14ac:dyDescent="0.25">
      <c r="AE6217">
        <v>25.93</v>
      </c>
    </row>
    <row r="6218" spans="31:31" x14ac:dyDescent="0.25">
      <c r="AE6218">
        <v>78.56</v>
      </c>
    </row>
    <row r="6219" spans="31:31" x14ac:dyDescent="0.25">
      <c r="AE6219">
        <v>5.23</v>
      </c>
    </row>
    <row r="6220" spans="31:31" x14ac:dyDescent="0.25">
      <c r="AE6220">
        <v>15.68</v>
      </c>
    </row>
    <row r="6221" spans="31:31" x14ac:dyDescent="0.25">
      <c r="AE6221">
        <v>49.61</v>
      </c>
    </row>
    <row r="6222" spans="31:31" x14ac:dyDescent="0.25">
      <c r="AE6222">
        <v>62.27</v>
      </c>
    </row>
    <row r="6223" spans="31:31" x14ac:dyDescent="0.25">
      <c r="AE6223">
        <v>96.82</v>
      </c>
    </row>
    <row r="6224" spans="31:31" x14ac:dyDescent="0.25">
      <c r="AE6224">
        <v>44.4</v>
      </c>
    </row>
    <row r="6225" spans="31:31" x14ac:dyDescent="0.25">
      <c r="AE6225">
        <v>99.43</v>
      </c>
    </row>
    <row r="6226" spans="31:31" x14ac:dyDescent="0.25">
      <c r="AE6226">
        <v>16.89</v>
      </c>
    </row>
    <row r="6227" spans="31:31" x14ac:dyDescent="0.25">
      <c r="AE6227">
        <v>50.14</v>
      </c>
    </row>
    <row r="6228" spans="31:31" x14ac:dyDescent="0.25">
      <c r="AE6228">
        <v>94.7</v>
      </c>
    </row>
    <row r="6229" spans="31:31" x14ac:dyDescent="0.25">
      <c r="AE6229">
        <v>108.26</v>
      </c>
    </row>
    <row r="6230" spans="31:31" x14ac:dyDescent="0.25">
      <c r="AE6230">
        <v>50.83</v>
      </c>
    </row>
    <row r="6231" spans="31:31" x14ac:dyDescent="0.25">
      <c r="AE6231">
        <v>55.17</v>
      </c>
    </row>
    <row r="6232" spans="31:31" x14ac:dyDescent="0.25">
      <c r="AE6232">
        <v>17.73</v>
      </c>
    </row>
    <row r="6233" spans="31:31" x14ac:dyDescent="0.25">
      <c r="AE6233">
        <v>39.33</v>
      </c>
    </row>
    <row r="6234" spans="31:31" x14ac:dyDescent="0.25">
      <c r="AE6234">
        <v>54.67</v>
      </c>
    </row>
    <row r="6235" spans="31:31" x14ac:dyDescent="0.25">
      <c r="AE6235">
        <v>38.880000000000003</v>
      </c>
    </row>
    <row r="6236" spans="31:31" x14ac:dyDescent="0.25">
      <c r="AE6236">
        <v>39.82</v>
      </c>
    </row>
    <row r="6237" spans="31:31" x14ac:dyDescent="0.25">
      <c r="AE6237">
        <v>42.4</v>
      </c>
    </row>
    <row r="6238" spans="31:31" x14ac:dyDescent="0.25">
      <c r="AE6238">
        <v>58.75</v>
      </c>
    </row>
    <row r="6239" spans="31:31" x14ac:dyDescent="0.25">
      <c r="AE6239">
        <v>21.99</v>
      </c>
    </row>
    <row r="6240" spans="31:31" x14ac:dyDescent="0.25">
      <c r="AE6240">
        <v>29.85</v>
      </c>
    </row>
    <row r="6241" spans="31:31" x14ac:dyDescent="0.25">
      <c r="AE6241">
        <v>35.67</v>
      </c>
    </row>
    <row r="6242" spans="31:31" x14ac:dyDescent="0.25">
      <c r="AE6242">
        <v>18.27</v>
      </c>
    </row>
    <row r="6243" spans="31:31" x14ac:dyDescent="0.25">
      <c r="AE6243">
        <v>119.5</v>
      </c>
    </row>
    <row r="6244" spans="31:31" x14ac:dyDescent="0.25">
      <c r="AE6244">
        <v>39.700000000000003</v>
      </c>
    </row>
    <row r="6245" spans="31:31" x14ac:dyDescent="0.25">
      <c r="AE6245">
        <v>46.38</v>
      </c>
    </row>
    <row r="6246" spans="31:31" x14ac:dyDescent="0.25">
      <c r="AE6246">
        <v>23</v>
      </c>
    </row>
    <row r="6247" spans="31:31" x14ac:dyDescent="0.25">
      <c r="AE6247">
        <v>22.13</v>
      </c>
    </row>
    <row r="6248" spans="31:31" x14ac:dyDescent="0.25">
      <c r="AE6248">
        <v>32.630000000000003</v>
      </c>
    </row>
    <row r="6249" spans="31:31" x14ac:dyDescent="0.25">
      <c r="AE6249">
        <v>46.54</v>
      </c>
    </row>
    <row r="6250" spans="31:31" x14ac:dyDescent="0.25">
      <c r="AE6250">
        <v>34.57</v>
      </c>
    </row>
    <row r="6251" spans="31:31" x14ac:dyDescent="0.25">
      <c r="AE6251">
        <v>16.03</v>
      </c>
    </row>
    <row r="6252" spans="31:31" x14ac:dyDescent="0.25">
      <c r="AE6252">
        <v>18.239999999999998</v>
      </c>
    </row>
    <row r="6253" spans="31:31" x14ac:dyDescent="0.25">
      <c r="AE6253">
        <v>30.05</v>
      </c>
    </row>
    <row r="6254" spans="31:31" x14ac:dyDescent="0.25">
      <c r="AE6254">
        <v>72.06</v>
      </c>
    </row>
    <row r="6255" spans="31:31" x14ac:dyDescent="0.25">
      <c r="AE6255">
        <v>117.41</v>
      </c>
    </row>
    <row r="6256" spans="31:31" x14ac:dyDescent="0.25">
      <c r="AE6256">
        <v>42.84</v>
      </c>
    </row>
    <row r="6257" spans="31:31" x14ac:dyDescent="0.25">
      <c r="AE6257">
        <v>8.1199999999999992</v>
      </c>
    </row>
    <row r="6258" spans="31:31" x14ac:dyDescent="0.25">
      <c r="AE6258">
        <v>55.24</v>
      </c>
    </row>
    <row r="6259" spans="31:31" x14ac:dyDescent="0.25">
      <c r="AE6259">
        <v>16.41</v>
      </c>
    </row>
    <row r="6260" spans="31:31" x14ac:dyDescent="0.25">
      <c r="AE6260">
        <v>81.59</v>
      </c>
    </row>
    <row r="6261" spans="31:31" x14ac:dyDescent="0.25">
      <c r="AE6261">
        <v>24.31</v>
      </c>
    </row>
    <row r="6262" spans="31:31" x14ac:dyDescent="0.25">
      <c r="AE6262">
        <v>70.02</v>
      </c>
    </row>
    <row r="6263" spans="31:31" x14ac:dyDescent="0.25">
      <c r="AE6263">
        <v>54.04</v>
      </c>
    </row>
    <row r="6264" spans="31:31" x14ac:dyDescent="0.25">
      <c r="AE6264">
        <v>76.06</v>
      </c>
    </row>
    <row r="6265" spans="31:31" x14ac:dyDescent="0.25">
      <c r="AE6265">
        <v>35.729999999999997</v>
      </c>
    </row>
    <row r="6266" spans="31:31" x14ac:dyDescent="0.25">
      <c r="AE6266">
        <v>221.94</v>
      </c>
    </row>
    <row r="6267" spans="31:31" x14ac:dyDescent="0.25">
      <c r="AE6267">
        <v>17.46</v>
      </c>
    </row>
    <row r="6268" spans="31:31" x14ac:dyDescent="0.25">
      <c r="AE6268">
        <v>63.55</v>
      </c>
    </row>
    <row r="6269" spans="31:31" x14ac:dyDescent="0.25">
      <c r="AE6269">
        <v>44.12</v>
      </c>
    </row>
    <row r="6270" spans="31:31" x14ac:dyDescent="0.25">
      <c r="AE6270">
        <v>73.42</v>
      </c>
    </row>
    <row r="6271" spans="31:31" x14ac:dyDescent="0.25">
      <c r="AE6271">
        <v>18.579999999999998</v>
      </c>
    </row>
    <row r="6272" spans="31:31" x14ac:dyDescent="0.25">
      <c r="AE6272">
        <v>48.72</v>
      </c>
    </row>
    <row r="6273" spans="31:31" x14ac:dyDescent="0.25">
      <c r="AE6273">
        <v>42.92</v>
      </c>
    </row>
    <row r="6274" spans="31:31" x14ac:dyDescent="0.25">
      <c r="AE6274">
        <v>20</v>
      </c>
    </row>
    <row r="6275" spans="31:31" x14ac:dyDescent="0.25">
      <c r="AE6275">
        <v>27.96</v>
      </c>
    </row>
    <row r="6276" spans="31:31" x14ac:dyDescent="0.25">
      <c r="AE6276">
        <v>26.85</v>
      </c>
    </row>
    <row r="6277" spans="31:31" x14ac:dyDescent="0.25">
      <c r="AE6277">
        <v>15.62</v>
      </c>
    </row>
    <row r="6278" spans="31:31" x14ac:dyDescent="0.25">
      <c r="AE6278">
        <v>40.340000000000003</v>
      </c>
    </row>
    <row r="6279" spans="31:31" x14ac:dyDescent="0.25">
      <c r="AE6279">
        <v>37.96</v>
      </c>
    </row>
    <row r="6280" spans="31:31" x14ac:dyDescent="0.25">
      <c r="AE6280">
        <v>12.61</v>
      </c>
    </row>
    <row r="6281" spans="31:31" x14ac:dyDescent="0.25">
      <c r="AE6281">
        <v>42.72</v>
      </c>
    </row>
    <row r="6282" spans="31:31" x14ac:dyDescent="0.25">
      <c r="AE6282">
        <v>10.34</v>
      </c>
    </row>
    <row r="6283" spans="31:31" x14ac:dyDescent="0.25">
      <c r="AE6283">
        <v>64.430000000000007</v>
      </c>
    </row>
    <row r="6284" spans="31:31" x14ac:dyDescent="0.25">
      <c r="AE6284">
        <v>23.73</v>
      </c>
    </row>
    <row r="6285" spans="31:31" x14ac:dyDescent="0.25">
      <c r="AE6285">
        <v>90.25</v>
      </c>
    </row>
    <row r="6286" spans="31:31" x14ac:dyDescent="0.25">
      <c r="AE6286">
        <v>120.82</v>
      </c>
    </row>
    <row r="6287" spans="31:31" x14ac:dyDescent="0.25">
      <c r="AE6287">
        <v>104.64</v>
      </c>
    </row>
    <row r="6288" spans="31:31" x14ac:dyDescent="0.25">
      <c r="AE6288">
        <v>109.4</v>
      </c>
    </row>
    <row r="6289" spans="31:31" x14ac:dyDescent="0.25">
      <c r="AE6289">
        <v>131.59</v>
      </c>
    </row>
    <row r="6290" spans="31:31" x14ac:dyDescent="0.25">
      <c r="AE6290">
        <v>22.51</v>
      </c>
    </row>
    <row r="6291" spans="31:31" x14ac:dyDescent="0.25">
      <c r="AE6291">
        <v>43.84</v>
      </c>
    </row>
    <row r="6292" spans="31:31" x14ac:dyDescent="0.25">
      <c r="AE6292">
        <v>79.260000000000005</v>
      </c>
    </row>
    <row r="6293" spans="31:31" x14ac:dyDescent="0.25">
      <c r="AE6293">
        <v>36.880000000000003</v>
      </c>
    </row>
    <row r="6294" spans="31:31" x14ac:dyDescent="0.25">
      <c r="AE6294">
        <v>69.45</v>
      </c>
    </row>
    <row r="6295" spans="31:31" x14ac:dyDescent="0.25">
      <c r="AE6295">
        <v>60.94</v>
      </c>
    </row>
    <row r="6296" spans="31:31" x14ac:dyDescent="0.25">
      <c r="AE6296">
        <v>20.41</v>
      </c>
    </row>
    <row r="6297" spans="31:31" x14ac:dyDescent="0.25">
      <c r="AE6297">
        <v>74.069999999999993</v>
      </c>
    </row>
    <row r="6298" spans="31:31" x14ac:dyDescent="0.25">
      <c r="AE6298">
        <v>11.37</v>
      </c>
    </row>
    <row r="6299" spans="31:31" x14ac:dyDescent="0.25">
      <c r="AE6299">
        <v>12.41</v>
      </c>
    </row>
    <row r="6300" spans="31:31" x14ac:dyDescent="0.25">
      <c r="AE6300">
        <v>105.06</v>
      </c>
    </row>
    <row r="6301" spans="31:31" x14ac:dyDescent="0.25">
      <c r="AE6301">
        <v>27.56</v>
      </c>
    </row>
    <row r="6302" spans="31:31" x14ac:dyDescent="0.25">
      <c r="AE6302">
        <v>37.33</v>
      </c>
    </row>
    <row r="6303" spans="31:31" x14ac:dyDescent="0.25">
      <c r="AE6303">
        <v>13.28</v>
      </c>
    </row>
    <row r="6304" spans="31:31" x14ac:dyDescent="0.25">
      <c r="AE6304">
        <v>46.09</v>
      </c>
    </row>
    <row r="6305" spans="31:31" x14ac:dyDescent="0.25">
      <c r="AE6305">
        <v>189.61</v>
      </c>
    </row>
    <row r="6306" spans="31:31" x14ac:dyDescent="0.25">
      <c r="AE6306">
        <v>269.27</v>
      </c>
    </row>
    <row r="6307" spans="31:31" x14ac:dyDescent="0.25">
      <c r="AE6307">
        <v>43.74</v>
      </c>
    </row>
    <row r="6308" spans="31:31" x14ac:dyDescent="0.25">
      <c r="AE6308">
        <v>32.32</v>
      </c>
    </row>
    <row r="6309" spans="31:31" x14ac:dyDescent="0.25">
      <c r="AE6309">
        <v>17.059999999999999</v>
      </c>
    </row>
    <row r="6310" spans="31:31" x14ac:dyDescent="0.25">
      <c r="AE6310">
        <v>46.04</v>
      </c>
    </row>
    <row r="6311" spans="31:31" x14ac:dyDescent="0.25">
      <c r="AE6311">
        <v>37.69</v>
      </c>
    </row>
    <row r="6312" spans="31:31" x14ac:dyDescent="0.25">
      <c r="AE6312">
        <v>24.38</v>
      </c>
    </row>
    <row r="6313" spans="31:31" x14ac:dyDescent="0.25">
      <c r="AE6313">
        <v>1.48</v>
      </c>
    </row>
    <row r="6314" spans="31:31" x14ac:dyDescent="0.25">
      <c r="AE6314">
        <v>27.21</v>
      </c>
    </row>
    <row r="6315" spans="31:31" x14ac:dyDescent="0.25">
      <c r="AE6315">
        <v>28.03</v>
      </c>
    </row>
    <row r="6316" spans="31:31" x14ac:dyDescent="0.25">
      <c r="AE6316">
        <v>10.34</v>
      </c>
    </row>
    <row r="6317" spans="31:31" x14ac:dyDescent="0.25">
      <c r="AE6317">
        <v>24.4</v>
      </c>
    </row>
    <row r="6318" spans="31:31" x14ac:dyDescent="0.25">
      <c r="AE6318">
        <v>79.06</v>
      </c>
    </row>
    <row r="6319" spans="31:31" x14ac:dyDescent="0.25">
      <c r="AE6319">
        <v>53.3</v>
      </c>
    </row>
    <row r="6320" spans="31:31" x14ac:dyDescent="0.25">
      <c r="AE6320">
        <v>27.05</v>
      </c>
    </row>
    <row r="6321" spans="31:31" x14ac:dyDescent="0.25">
      <c r="AE6321">
        <v>100.06</v>
      </c>
    </row>
    <row r="6322" spans="31:31" x14ac:dyDescent="0.25">
      <c r="AE6322">
        <v>36.24</v>
      </c>
    </row>
    <row r="6323" spans="31:31" x14ac:dyDescent="0.25">
      <c r="AE6323">
        <v>115.19</v>
      </c>
    </row>
    <row r="6324" spans="31:31" x14ac:dyDescent="0.25">
      <c r="AE6324">
        <v>72.540000000000006</v>
      </c>
    </row>
    <row r="6325" spans="31:31" x14ac:dyDescent="0.25">
      <c r="AE6325">
        <v>64.17</v>
      </c>
    </row>
    <row r="6326" spans="31:31" x14ac:dyDescent="0.25">
      <c r="AE6326">
        <v>76.53</v>
      </c>
    </row>
    <row r="6327" spans="31:31" x14ac:dyDescent="0.25">
      <c r="AE6327">
        <v>85.63</v>
      </c>
    </row>
    <row r="6328" spans="31:31" x14ac:dyDescent="0.25">
      <c r="AE6328">
        <v>13.56</v>
      </c>
    </row>
    <row r="6329" spans="31:31" x14ac:dyDescent="0.25">
      <c r="AE6329">
        <v>62.73</v>
      </c>
    </row>
    <row r="6330" spans="31:31" x14ac:dyDescent="0.25">
      <c r="AE6330">
        <v>0</v>
      </c>
    </row>
    <row r="6331" spans="31:31" x14ac:dyDescent="0.25">
      <c r="AE6331">
        <v>53.58</v>
      </c>
    </row>
    <row r="6332" spans="31:31" x14ac:dyDescent="0.25">
      <c r="AE6332">
        <v>13.84</v>
      </c>
    </row>
    <row r="6333" spans="31:31" x14ac:dyDescent="0.25">
      <c r="AE6333">
        <v>10.29</v>
      </c>
    </row>
    <row r="6334" spans="31:31" x14ac:dyDescent="0.25">
      <c r="AE6334">
        <v>80.42</v>
      </c>
    </row>
    <row r="6335" spans="31:31" x14ac:dyDescent="0.25">
      <c r="AE6335">
        <v>16.57</v>
      </c>
    </row>
    <row r="6336" spans="31:31" x14ac:dyDescent="0.25">
      <c r="AE6336">
        <v>22.03</v>
      </c>
    </row>
    <row r="6337" spans="31:31" x14ac:dyDescent="0.25">
      <c r="AE6337">
        <v>175.84</v>
      </c>
    </row>
    <row r="6338" spans="31:31" x14ac:dyDescent="0.25">
      <c r="AE6338">
        <v>93.61</v>
      </c>
    </row>
    <row r="6339" spans="31:31" x14ac:dyDescent="0.25">
      <c r="AE6339">
        <v>113.32</v>
      </c>
    </row>
    <row r="6340" spans="31:31" x14ac:dyDescent="0.25">
      <c r="AE6340">
        <v>25.02</v>
      </c>
    </row>
    <row r="6341" spans="31:31" x14ac:dyDescent="0.25">
      <c r="AE6341">
        <v>18.309999999999999</v>
      </c>
    </row>
    <row r="6342" spans="31:31" x14ac:dyDescent="0.25">
      <c r="AE6342">
        <v>59.41</v>
      </c>
    </row>
    <row r="6343" spans="31:31" x14ac:dyDescent="0.25">
      <c r="AE6343">
        <v>10.34</v>
      </c>
    </row>
    <row r="6344" spans="31:31" x14ac:dyDescent="0.25">
      <c r="AE6344">
        <v>21.65</v>
      </c>
    </row>
    <row r="6345" spans="31:31" x14ac:dyDescent="0.25">
      <c r="AE6345">
        <v>13.67</v>
      </c>
    </row>
    <row r="6346" spans="31:31" x14ac:dyDescent="0.25">
      <c r="AE6346">
        <v>81.93</v>
      </c>
    </row>
    <row r="6347" spans="31:31" x14ac:dyDescent="0.25">
      <c r="AE6347">
        <v>11.22</v>
      </c>
    </row>
    <row r="6348" spans="31:31" x14ac:dyDescent="0.25">
      <c r="AE6348">
        <v>50.25</v>
      </c>
    </row>
    <row r="6349" spans="31:31" x14ac:dyDescent="0.25">
      <c r="AE6349">
        <v>48.94</v>
      </c>
    </row>
    <row r="6350" spans="31:31" x14ac:dyDescent="0.25">
      <c r="AE6350">
        <v>32.42</v>
      </c>
    </row>
    <row r="6351" spans="31:31" x14ac:dyDescent="0.25">
      <c r="AE6351">
        <v>10.53</v>
      </c>
    </row>
    <row r="6352" spans="31:31" x14ac:dyDescent="0.25">
      <c r="AE6352">
        <v>15.76</v>
      </c>
    </row>
    <row r="6353" spans="31:31" x14ac:dyDescent="0.25">
      <c r="AE6353">
        <v>24.14</v>
      </c>
    </row>
    <row r="6354" spans="31:31" x14ac:dyDescent="0.25">
      <c r="AE6354">
        <v>111.65</v>
      </c>
    </row>
    <row r="6355" spans="31:31" x14ac:dyDescent="0.25">
      <c r="AE6355">
        <v>28.74</v>
      </c>
    </row>
    <row r="6356" spans="31:31" x14ac:dyDescent="0.25">
      <c r="AE6356">
        <v>24.96</v>
      </c>
    </row>
    <row r="6357" spans="31:31" x14ac:dyDescent="0.25">
      <c r="AE6357">
        <v>183.15</v>
      </c>
    </row>
    <row r="6358" spans="31:31" x14ac:dyDescent="0.25">
      <c r="AE6358">
        <v>27.47</v>
      </c>
    </row>
    <row r="6359" spans="31:31" x14ac:dyDescent="0.25">
      <c r="AE6359">
        <v>45.07</v>
      </c>
    </row>
    <row r="6360" spans="31:31" x14ac:dyDescent="0.25">
      <c r="AE6360">
        <v>104.06</v>
      </c>
    </row>
    <row r="6361" spans="31:31" x14ac:dyDescent="0.25">
      <c r="AE6361">
        <v>39.22</v>
      </c>
    </row>
    <row r="6362" spans="31:31" x14ac:dyDescent="0.25">
      <c r="AE6362">
        <v>37.56</v>
      </c>
    </row>
    <row r="6363" spans="31:31" x14ac:dyDescent="0.25">
      <c r="AE6363">
        <v>93.36</v>
      </c>
    </row>
    <row r="6364" spans="31:31" x14ac:dyDescent="0.25">
      <c r="AE6364">
        <v>0.18</v>
      </c>
    </row>
    <row r="6365" spans="31:31" x14ac:dyDescent="0.25">
      <c r="AE6365">
        <v>24.25</v>
      </c>
    </row>
    <row r="6366" spans="31:31" x14ac:dyDescent="0.25">
      <c r="AE6366">
        <v>143.91</v>
      </c>
    </row>
    <row r="6367" spans="31:31" x14ac:dyDescent="0.25">
      <c r="AE6367">
        <v>29.16</v>
      </c>
    </row>
    <row r="6368" spans="31:31" x14ac:dyDescent="0.25">
      <c r="AE6368">
        <v>30.89</v>
      </c>
    </row>
    <row r="6369" spans="31:31" x14ac:dyDescent="0.25">
      <c r="AE6369">
        <v>15.47</v>
      </c>
    </row>
    <row r="6370" spans="31:31" x14ac:dyDescent="0.25">
      <c r="AE6370">
        <v>41.78</v>
      </c>
    </row>
    <row r="6371" spans="31:31" x14ac:dyDescent="0.25">
      <c r="AE6371">
        <v>24.4</v>
      </c>
    </row>
    <row r="6372" spans="31:31" x14ac:dyDescent="0.25">
      <c r="AE6372">
        <v>51.84</v>
      </c>
    </row>
    <row r="6373" spans="31:31" x14ac:dyDescent="0.25">
      <c r="AE6373">
        <v>56.62</v>
      </c>
    </row>
    <row r="6374" spans="31:31" x14ac:dyDescent="0.25">
      <c r="AE6374">
        <v>25.4</v>
      </c>
    </row>
    <row r="6375" spans="31:31" x14ac:dyDescent="0.25">
      <c r="AE6375">
        <v>0.45</v>
      </c>
    </row>
    <row r="6376" spans="31:31" x14ac:dyDescent="0.25">
      <c r="AE6376">
        <v>117.08</v>
      </c>
    </row>
    <row r="6377" spans="31:31" x14ac:dyDescent="0.25">
      <c r="AE6377">
        <v>43.22</v>
      </c>
    </row>
    <row r="6378" spans="31:31" x14ac:dyDescent="0.25">
      <c r="AE6378">
        <v>68.16</v>
      </c>
    </row>
    <row r="6379" spans="31:31" x14ac:dyDescent="0.25">
      <c r="AE6379">
        <v>100.31</v>
      </c>
    </row>
    <row r="6380" spans="31:31" x14ac:dyDescent="0.25">
      <c r="AE6380">
        <v>79.72</v>
      </c>
    </row>
    <row r="6381" spans="31:31" x14ac:dyDescent="0.25">
      <c r="AE6381">
        <v>106.62</v>
      </c>
    </row>
    <row r="6382" spans="31:31" x14ac:dyDescent="0.25">
      <c r="AE6382">
        <v>73.12</v>
      </c>
    </row>
    <row r="6383" spans="31:31" x14ac:dyDescent="0.25">
      <c r="AE6383">
        <v>138.13999999999999</v>
      </c>
    </row>
    <row r="6384" spans="31:31" x14ac:dyDescent="0.25">
      <c r="AE6384">
        <v>28.15</v>
      </c>
    </row>
    <row r="6385" spans="31:31" x14ac:dyDescent="0.25">
      <c r="AE6385">
        <v>20.73</v>
      </c>
    </row>
    <row r="6386" spans="31:31" x14ac:dyDescent="0.25">
      <c r="AE6386">
        <v>26</v>
      </c>
    </row>
    <row r="6387" spans="31:31" x14ac:dyDescent="0.25">
      <c r="AE6387">
        <v>92.53</v>
      </c>
    </row>
    <row r="6388" spans="31:31" x14ac:dyDescent="0.25">
      <c r="AE6388">
        <v>30.26</v>
      </c>
    </row>
    <row r="6389" spans="31:31" x14ac:dyDescent="0.25">
      <c r="AE6389">
        <v>0.09</v>
      </c>
    </row>
    <row r="6390" spans="31:31" x14ac:dyDescent="0.25">
      <c r="AE6390">
        <v>35.36</v>
      </c>
    </row>
    <row r="6391" spans="31:31" x14ac:dyDescent="0.25">
      <c r="AE6391">
        <v>60.85</v>
      </c>
    </row>
    <row r="6392" spans="31:31" x14ac:dyDescent="0.25">
      <c r="AE6392">
        <v>9.6999999999999993</v>
      </c>
    </row>
    <row r="6393" spans="31:31" x14ac:dyDescent="0.25">
      <c r="AE6393">
        <v>17.559999999999999</v>
      </c>
    </row>
    <row r="6394" spans="31:31" x14ac:dyDescent="0.25">
      <c r="AE6394">
        <v>10.39</v>
      </c>
    </row>
    <row r="6395" spans="31:31" x14ac:dyDescent="0.25">
      <c r="AE6395">
        <v>64.930000000000007</v>
      </c>
    </row>
    <row r="6396" spans="31:31" x14ac:dyDescent="0.25">
      <c r="AE6396">
        <v>28.85</v>
      </c>
    </row>
    <row r="6397" spans="31:31" x14ac:dyDescent="0.25">
      <c r="AE6397">
        <v>21.41</v>
      </c>
    </row>
    <row r="6398" spans="31:31" x14ac:dyDescent="0.25">
      <c r="AE6398">
        <v>84.05</v>
      </c>
    </row>
    <row r="6399" spans="31:31" x14ac:dyDescent="0.25">
      <c r="AE6399">
        <v>0.27</v>
      </c>
    </row>
    <row r="6400" spans="31:31" x14ac:dyDescent="0.25">
      <c r="AE6400">
        <v>69.36</v>
      </c>
    </row>
    <row r="6401" spans="31:31" x14ac:dyDescent="0.25">
      <c r="AE6401">
        <v>40.909999999999997</v>
      </c>
    </row>
    <row r="6402" spans="31:31" x14ac:dyDescent="0.25">
      <c r="AE6402">
        <v>26.31</v>
      </c>
    </row>
    <row r="6403" spans="31:31" x14ac:dyDescent="0.25">
      <c r="AE6403">
        <v>86.35</v>
      </c>
    </row>
    <row r="6404" spans="31:31" x14ac:dyDescent="0.25">
      <c r="AE6404">
        <v>130.47999999999999</v>
      </c>
    </row>
    <row r="6405" spans="31:31" x14ac:dyDescent="0.25">
      <c r="AE6405">
        <v>44.66</v>
      </c>
    </row>
    <row r="6406" spans="31:31" x14ac:dyDescent="0.25">
      <c r="AE6406">
        <v>76.069999999999993</v>
      </c>
    </row>
    <row r="6407" spans="31:31" x14ac:dyDescent="0.25">
      <c r="AE6407">
        <v>21.21</v>
      </c>
    </row>
    <row r="6408" spans="31:31" x14ac:dyDescent="0.25">
      <c r="AE6408">
        <v>18.34</v>
      </c>
    </row>
    <row r="6409" spans="31:31" x14ac:dyDescent="0.25">
      <c r="AE6409">
        <v>15.47</v>
      </c>
    </row>
    <row r="6410" spans="31:31" x14ac:dyDescent="0.25">
      <c r="AE6410">
        <v>25.67</v>
      </c>
    </row>
    <row r="6411" spans="31:31" x14ac:dyDescent="0.25">
      <c r="AE6411">
        <v>73.97</v>
      </c>
    </row>
    <row r="6412" spans="31:31" x14ac:dyDescent="0.25">
      <c r="AE6412">
        <v>50.06</v>
      </c>
    </row>
    <row r="6413" spans="31:31" x14ac:dyDescent="0.25">
      <c r="AE6413">
        <v>12.07</v>
      </c>
    </row>
    <row r="6414" spans="31:31" x14ac:dyDescent="0.25">
      <c r="AE6414">
        <v>61.24</v>
      </c>
    </row>
    <row r="6415" spans="31:31" x14ac:dyDescent="0.25">
      <c r="AE6415">
        <v>156.21</v>
      </c>
    </row>
    <row r="6416" spans="31:31" x14ac:dyDescent="0.25">
      <c r="AE6416">
        <v>70.22</v>
      </c>
    </row>
    <row r="6417" spans="31:31" x14ac:dyDescent="0.25">
      <c r="AE6417">
        <v>10.039999999999999</v>
      </c>
    </row>
    <row r="6418" spans="31:31" x14ac:dyDescent="0.25">
      <c r="AE6418">
        <v>83.75</v>
      </c>
    </row>
    <row r="6419" spans="31:31" x14ac:dyDescent="0.25">
      <c r="AE6419">
        <v>10.09</v>
      </c>
    </row>
    <row r="6420" spans="31:31" x14ac:dyDescent="0.25">
      <c r="AE6420">
        <v>143.03</v>
      </c>
    </row>
    <row r="6421" spans="31:31" x14ac:dyDescent="0.25">
      <c r="AE6421">
        <v>157.02000000000001</v>
      </c>
    </row>
    <row r="6422" spans="31:31" x14ac:dyDescent="0.25">
      <c r="AE6422">
        <v>1.2</v>
      </c>
    </row>
    <row r="6423" spans="31:31" x14ac:dyDescent="0.25">
      <c r="AE6423">
        <v>11.02</v>
      </c>
    </row>
    <row r="6424" spans="31:31" x14ac:dyDescent="0.25">
      <c r="AE6424">
        <v>12.16</v>
      </c>
    </row>
    <row r="6425" spans="31:31" x14ac:dyDescent="0.25">
      <c r="AE6425">
        <v>20.51</v>
      </c>
    </row>
    <row r="6426" spans="31:31" x14ac:dyDescent="0.25">
      <c r="AE6426">
        <v>58.26</v>
      </c>
    </row>
    <row r="6427" spans="31:31" x14ac:dyDescent="0.25">
      <c r="AE6427">
        <v>1.8</v>
      </c>
    </row>
    <row r="6428" spans="31:31" x14ac:dyDescent="0.25">
      <c r="AE6428">
        <v>21.09</v>
      </c>
    </row>
    <row r="6429" spans="31:31" x14ac:dyDescent="0.25">
      <c r="AE6429">
        <v>39.44</v>
      </c>
    </row>
    <row r="6430" spans="31:31" x14ac:dyDescent="0.25">
      <c r="AE6430">
        <v>4.33</v>
      </c>
    </row>
    <row r="6431" spans="31:31" x14ac:dyDescent="0.25">
      <c r="AE6431">
        <v>42.8</v>
      </c>
    </row>
    <row r="6432" spans="31:31" x14ac:dyDescent="0.25">
      <c r="AE6432">
        <v>79.66</v>
      </c>
    </row>
    <row r="6433" spans="31:31" x14ac:dyDescent="0.25">
      <c r="AE6433">
        <v>42.24</v>
      </c>
    </row>
    <row r="6434" spans="31:31" x14ac:dyDescent="0.25">
      <c r="AE6434">
        <v>243.62</v>
      </c>
    </row>
    <row r="6435" spans="31:31" x14ac:dyDescent="0.25">
      <c r="AE6435">
        <v>76.88</v>
      </c>
    </row>
    <row r="6436" spans="31:31" x14ac:dyDescent="0.25">
      <c r="AE6436">
        <v>43.36</v>
      </c>
    </row>
    <row r="6437" spans="31:31" x14ac:dyDescent="0.25">
      <c r="AE6437">
        <v>0.27</v>
      </c>
    </row>
    <row r="6438" spans="31:31" x14ac:dyDescent="0.25">
      <c r="AE6438">
        <v>61.87</v>
      </c>
    </row>
    <row r="6439" spans="31:31" x14ac:dyDescent="0.25">
      <c r="AE6439">
        <v>5.22</v>
      </c>
    </row>
    <row r="6440" spans="31:31" x14ac:dyDescent="0.25">
      <c r="AE6440">
        <v>57.03</v>
      </c>
    </row>
    <row r="6441" spans="31:31" x14ac:dyDescent="0.25">
      <c r="AE6441">
        <v>40.630000000000003</v>
      </c>
    </row>
    <row r="6442" spans="31:31" x14ac:dyDescent="0.25">
      <c r="AE6442">
        <v>60.14</v>
      </c>
    </row>
    <row r="6443" spans="31:31" x14ac:dyDescent="0.25">
      <c r="AE6443">
        <v>149.69999999999999</v>
      </c>
    </row>
    <row r="6444" spans="31:31" x14ac:dyDescent="0.25">
      <c r="AE6444">
        <v>53.07</v>
      </c>
    </row>
    <row r="6445" spans="31:31" x14ac:dyDescent="0.25">
      <c r="AE6445">
        <v>30.17</v>
      </c>
    </row>
    <row r="6446" spans="31:31" x14ac:dyDescent="0.25">
      <c r="AE6446">
        <v>78.12</v>
      </c>
    </row>
    <row r="6447" spans="31:31" x14ac:dyDescent="0.25">
      <c r="AE6447">
        <v>144.02000000000001</v>
      </c>
    </row>
    <row r="6448" spans="31:31" x14ac:dyDescent="0.25">
      <c r="AE6448">
        <v>45.18</v>
      </c>
    </row>
    <row r="6449" spans="31:31" x14ac:dyDescent="0.25">
      <c r="AE6449">
        <v>10.54</v>
      </c>
    </row>
    <row r="6450" spans="31:31" x14ac:dyDescent="0.25">
      <c r="AE6450">
        <v>92.71</v>
      </c>
    </row>
    <row r="6451" spans="31:31" x14ac:dyDescent="0.25">
      <c r="AE6451">
        <v>220.87</v>
      </c>
    </row>
    <row r="6452" spans="31:31" x14ac:dyDescent="0.25">
      <c r="AE6452">
        <v>16.8</v>
      </c>
    </row>
    <row r="6453" spans="31:31" x14ac:dyDescent="0.25">
      <c r="AE6453">
        <v>40.869999999999997</v>
      </c>
    </row>
    <row r="6454" spans="31:31" x14ac:dyDescent="0.25">
      <c r="AE6454">
        <v>49.78</v>
      </c>
    </row>
    <row r="6455" spans="31:31" x14ac:dyDescent="0.25">
      <c r="AE6455">
        <v>53.87</v>
      </c>
    </row>
    <row r="6456" spans="31:31" x14ac:dyDescent="0.25">
      <c r="AE6456">
        <v>54.92</v>
      </c>
    </row>
    <row r="6457" spans="31:31" x14ac:dyDescent="0.25">
      <c r="AE6457">
        <v>34.19</v>
      </c>
    </row>
    <row r="6458" spans="31:31" x14ac:dyDescent="0.25">
      <c r="AE6458">
        <v>30.75</v>
      </c>
    </row>
    <row r="6459" spans="31:31" x14ac:dyDescent="0.25">
      <c r="AE6459">
        <v>66.430000000000007</v>
      </c>
    </row>
    <row r="6460" spans="31:31" x14ac:dyDescent="0.25">
      <c r="AE6460">
        <v>132.88</v>
      </c>
    </row>
    <row r="6461" spans="31:31" x14ac:dyDescent="0.25">
      <c r="AE6461">
        <v>69.41</v>
      </c>
    </row>
    <row r="6462" spans="31:31" x14ac:dyDescent="0.25">
      <c r="AE6462">
        <v>120.9</v>
      </c>
    </row>
    <row r="6463" spans="31:31" x14ac:dyDescent="0.25">
      <c r="AE6463">
        <v>24.22</v>
      </c>
    </row>
    <row r="6464" spans="31:31" x14ac:dyDescent="0.25">
      <c r="AE6464">
        <v>71.89</v>
      </c>
    </row>
    <row r="6465" spans="31:31" x14ac:dyDescent="0.25">
      <c r="AE6465">
        <v>55.38</v>
      </c>
    </row>
    <row r="6466" spans="31:31" x14ac:dyDescent="0.25">
      <c r="AE6466">
        <v>10.039999999999999</v>
      </c>
    </row>
    <row r="6467" spans="31:31" x14ac:dyDescent="0.25">
      <c r="AE6467">
        <v>14.18</v>
      </c>
    </row>
    <row r="6468" spans="31:31" x14ac:dyDescent="0.25">
      <c r="AE6468">
        <v>42.63</v>
      </c>
    </row>
    <row r="6469" spans="31:31" x14ac:dyDescent="0.25">
      <c r="AE6469">
        <v>38.17</v>
      </c>
    </row>
    <row r="6470" spans="31:31" x14ac:dyDescent="0.25">
      <c r="AE6470">
        <v>4.05</v>
      </c>
    </row>
    <row r="6471" spans="31:31" x14ac:dyDescent="0.25">
      <c r="AE6471">
        <v>70.52</v>
      </c>
    </row>
    <row r="6472" spans="31:31" x14ac:dyDescent="0.25">
      <c r="AE6472">
        <v>10.039999999999999</v>
      </c>
    </row>
    <row r="6473" spans="31:31" x14ac:dyDescent="0.25">
      <c r="AE6473">
        <v>76.569999999999993</v>
      </c>
    </row>
    <row r="6474" spans="31:31" x14ac:dyDescent="0.25">
      <c r="AE6474">
        <v>58.59</v>
      </c>
    </row>
    <row r="6475" spans="31:31" x14ac:dyDescent="0.25">
      <c r="AE6475">
        <v>99.05</v>
      </c>
    </row>
    <row r="6476" spans="31:31" x14ac:dyDescent="0.25">
      <c r="AE6476">
        <v>59.19</v>
      </c>
    </row>
    <row r="6477" spans="31:31" x14ac:dyDescent="0.25">
      <c r="AE6477">
        <v>32.130000000000003</v>
      </c>
    </row>
    <row r="6478" spans="31:31" x14ac:dyDescent="0.25">
      <c r="AE6478">
        <v>29.41</v>
      </c>
    </row>
    <row r="6479" spans="31:31" x14ac:dyDescent="0.25">
      <c r="AE6479">
        <v>274.68</v>
      </c>
    </row>
    <row r="6480" spans="31:31" x14ac:dyDescent="0.25">
      <c r="AE6480">
        <v>16.399999999999999</v>
      </c>
    </row>
    <row r="6481" spans="31:31" x14ac:dyDescent="0.25">
      <c r="AE6481">
        <v>30.35</v>
      </c>
    </row>
    <row r="6482" spans="31:31" x14ac:dyDescent="0.25">
      <c r="AE6482">
        <v>35.159999999999997</v>
      </c>
    </row>
    <row r="6483" spans="31:31" x14ac:dyDescent="0.25">
      <c r="AE6483">
        <v>30.72</v>
      </c>
    </row>
    <row r="6484" spans="31:31" x14ac:dyDescent="0.25">
      <c r="AE6484">
        <v>0.99</v>
      </c>
    </row>
    <row r="6485" spans="31:31" x14ac:dyDescent="0.25">
      <c r="AE6485">
        <v>25.3</v>
      </c>
    </row>
    <row r="6486" spans="31:31" x14ac:dyDescent="0.25">
      <c r="AE6486">
        <v>167.63</v>
      </c>
    </row>
    <row r="6487" spans="31:31" x14ac:dyDescent="0.25">
      <c r="AE6487">
        <v>62.5</v>
      </c>
    </row>
    <row r="6488" spans="31:31" x14ac:dyDescent="0.25">
      <c r="AE6488">
        <v>10.64</v>
      </c>
    </row>
    <row r="6489" spans="31:31" x14ac:dyDescent="0.25">
      <c r="AE6489">
        <v>43.86</v>
      </c>
    </row>
    <row r="6490" spans="31:31" x14ac:dyDescent="0.25">
      <c r="AE6490">
        <v>0</v>
      </c>
    </row>
    <row r="6491" spans="31:31" x14ac:dyDescent="0.25">
      <c r="AE6491">
        <v>26.05</v>
      </c>
    </row>
    <row r="6492" spans="31:31" x14ac:dyDescent="0.25">
      <c r="AE6492">
        <v>15.14</v>
      </c>
    </row>
    <row r="6493" spans="31:31" x14ac:dyDescent="0.25">
      <c r="AE6493">
        <v>113.46</v>
      </c>
    </row>
    <row r="6494" spans="31:31" x14ac:dyDescent="0.25">
      <c r="AE6494">
        <v>0.99</v>
      </c>
    </row>
    <row r="6495" spans="31:31" x14ac:dyDescent="0.25">
      <c r="AE6495">
        <v>35.89</v>
      </c>
    </row>
    <row r="6496" spans="31:31" x14ac:dyDescent="0.25">
      <c r="AE6496">
        <v>86.93</v>
      </c>
    </row>
    <row r="6497" spans="31:31" x14ac:dyDescent="0.25">
      <c r="AE6497">
        <v>86.7</v>
      </c>
    </row>
    <row r="6498" spans="31:31" x14ac:dyDescent="0.25">
      <c r="AE6498">
        <v>21.02</v>
      </c>
    </row>
    <row r="6499" spans="31:31" x14ac:dyDescent="0.25">
      <c r="AE6499">
        <v>129.07</v>
      </c>
    </row>
    <row r="6500" spans="31:31" x14ac:dyDescent="0.25">
      <c r="AE6500">
        <v>16.07</v>
      </c>
    </row>
    <row r="6501" spans="31:31" x14ac:dyDescent="0.25">
      <c r="AE6501">
        <v>39.08</v>
      </c>
    </row>
    <row r="6502" spans="31:31" x14ac:dyDescent="0.25">
      <c r="AE6502">
        <v>68.819999999999993</v>
      </c>
    </row>
    <row r="6503" spans="31:31" x14ac:dyDescent="0.25">
      <c r="AE6503">
        <v>14.46</v>
      </c>
    </row>
    <row r="6504" spans="31:31" x14ac:dyDescent="0.25">
      <c r="AE6504">
        <v>37.520000000000003</v>
      </c>
    </row>
    <row r="6505" spans="31:31" x14ac:dyDescent="0.25">
      <c r="AE6505">
        <v>64.11</v>
      </c>
    </row>
    <row r="6506" spans="31:31" x14ac:dyDescent="0.25">
      <c r="AE6506">
        <v>22.32</v>
      </c>
    </row>
    <row r="6507" spans="31:31" x14ac:dyDescent="0.25">
      <c r="AE6507">
        <v>80.23</v>
      </c>
    </row>
    <row r="6508" spans="31:31" x14ac:dyDescent="0.25">
      <c r="AE6508">
        <v>43.19</v>
      </c>
    </row>
    <row r="6509" spans="31:31" x14ac:dyDescent="0.25">
      <c r="AE6509">
        <v>43.14</v>
      </c>
    </row>
    <row r="6510" spans="31:31" x14ac:dyDescent="0.25">
      <c r="AE6510">
        <v>56.3</v>
      </c>
    </row>
    <row r="6511" spans="31:31" x14ac:dyDescent="0.25">
      <c r="AE6511">
        <v>44.55</v>
      </c>
    </row>
    <row r="6512" spans="31:31" x14ac:dyDescent="0.25">
      <c r="AE6512">
        <v>84.26</v>
      </c>
    </row>
    <row r="6513" spans="31:31" x14ac:dyDescent="0.25">
      <c r="AE6513">
        <v>34.119999999999997</v>
      </c>
    </row>
    <row r="6514" spans="31:31" x14ac:dyDescent="0.25">
      <c r="AE6514">
        <v>19.579999999999998</v>
      </c>
    </row>
    <row r="6515" spans="31:31" x14ac:dyDescent="0.25">
      <c r="AE6515">
        <v>69.81</v>
      </c>
    </row>
    <row r="6516" spans="31:31" x14ac:dyDescent="0.25">
      <c r="AE6516">
        <v>24.56</v>
      </c>
    </row>
    <row r="6517" spans="31:31" x14ac:dyDescent="0.25">
      <c r="AE6517">
        <v>159.47999999999999</v>
      </c>
    </row>
    <row r="6518" spans="31:31" x14ac:dyDescent="0.25">
      <c r="AE6518">
        <v>85.47</v>
      </c>
    </row>
    <row r="6519" spans="31:31" x14ac:dyDescent="0.25">
      <c r="AE6519">
        <v>21.58</v>
      </c>
    </row>
    <row r="6520" spans="31:31" x14ac:dyDescent="0.25">
      <c r="AE6520">
        <v>12.49</v>
      </c>
    </row>
    <row r="6521" spans="31:31" x14ac:dyDescent="0.25">
      <c r="AE6521">
        <v>27.17</v>
      </c>
    </row>
    <row r="6522" spans="31:31" x14ac:dyDescent="0.25">
      <c r="AE6522">
        <v>19.12</v>
      </c>
    </row>
    <row r="6523" spans="31:31" x14ac:dyDescent="0.25">
      <c r="AE6523">
        <v>56.51</v>
      </c>
    </row>
    <row r="6524" spans="31:31" x14ac:dyDescent="0.25">
      <c r="AE6524">
        <v>35.71</v>
      </c>
    </row>
    <row r="6525" spans="31:31" x14ac:dyDescent="0.25">
      <c r="AE6525">
        <v>10.44</v>
      </c>
    </row>
    <row r="6526" spans="31:31" x14ac:dyDescent="0.25">
      <c r="AE6526">
        <v>25.23</v>
      </c>
    </row>
    <row r="6527" spans="31:31" x14ac:dyDescent="0.25">
      <c r="AE6527">
        <v>34.42</v>
      </c>
    </row>
    <row r="6528" spans="31:31" x14ac:dyDescent="0.25">
      <c r="AE6528">
        <v>17.13</v>
      </c>
    </row>
    <row r="6529" spans="31:31" x14ac:dyDescent="0.25">
      <c r="AE6529">
        <v>46.38</v>
      </c>
    </row>
    <row r="6530" spans="31:31" x14ac:dyDescent="0.25">
      <c r="AE6530">
        <v>118.29</v>
      </c>
    </row>
    <row r="6531" spans="31:31" x14ac:dyDescent="0.25">
      <c r="AE6531">
        <v>97.01</v>
      </c>
    </row>
    <row r="6532" spans="31:31" x14ac:dyDescent="0.25">
      <c r="AE6532">
        <v>17.57</v>
      </c>
    </row>
    <row r="6533" spans="31:31" x14ac:dyDescent="0.25">
      <c r="AE6533">
        <v>13.36</v>
      </c>
    </row>
    <row r="6534" spans="31:31" x14ac:dyDescent="0.25">
      <c r="AE6534">
        <v>18.989999999999998</v>
      </c>
    </row>
    <row r="6535" spans="31:31" x14ac:dyDescent="0.25">
      <c r="AE6535">
        <v>0.72</v>
      </c>
    </row>
    <row r="6536" spans="31:31" x14ac:dyDescent="0.25">
      <c r="AE6536">
        <v>34.61</v>
      </c>
    </row>
    <row r="6537" spans="31:31" x14ac:dyDescent="0.25">
      <c r="AE6537">
        <v>70.180000000000007</v>
      </c>
    </row>
    <row r="6538" spans="31:31" x14ac:dyDescent="0.25">
      <c r="AE6538">
        <v>7.87</v>
      </c>
    </row>
    <row r="6539" spans="31:31" x14ac:dyDescent="0.25">
      <c r="AE6539">
        <v>202.82</v>
      </c>
    </row>
    <row r="6540" spans="31:31" x14ac:dyDescent="0.25">
      <c r="AE6540">
        <v>9.69</v>
      </c>
    </row>
    <row r="6541" spans="31:31" x14ac:dyDescent="0.25">
      <c r="AE6541">
        <v>39.090000000000003</v>
      </c>
    </row>
    <row r="6542" spans="31:31" x14ac:dyDescent="0.25">
      <c r="AE6542">
        <v>32.89</v>
      </c>
    </row>
    <row r="6543" spans="31:31" x14ac:dyDescent="0.25">
      <c r="AE6543">
        <v>62.49</v>
      </c>
    </row>
    <row r="6544" spans="31:31" x14ac:dyDescent="0.25">
      <c r="AE6544">
        <v>12.5</v>
      </c>
    </row>
    <row r="6545" spans="31:31" x14ac:dyDescent="0.25">
      <c r="AE6545">
        <v>16.16</v>
      </c>
    </row>
    <row r="6546" spans="31:31" x14ac:dyDescent="0.25">
      <c r="AE6546">
        <v>17.350000000000001</v>
      </c>
    </row>
    <row r="6547" spans="31:31" x14ac:dyDescent="0.25">
      <c r="AE6547">
        <v>12.52</v>
      </c>
    </row>
    <row r="6548" spans="31:31" x14ac:dyDescent="0.25">
      <c r="AE6548">
        <v>86.56</v>
      </c>
    </row>
    <row r="6549" spans="31:31" x14ac:dyDescent="0.25">
      <c r="AE6549">
        <v>137.22999999999999</v>
      </c>
    </row>
    <row r="6550" spans="31:31" x14ac:dyDescent="0.25">
      <c r="AE6550">
        <v>32.799999999999997</v>
      </c>
    </row>
    <row r="6551" spans="31:31" x14ac:dyDescent="0.25">
      <c r="AE6551">
        <v>120.41</v>
      </c>
    </row>
    <row r="6552" spans="31:31" x14ac:dyDescent="0.25">
      <c r="AE6552">
        <v>46.23</v>
      </c>
    </row>
    <row r="6553" spans="31:31" x14ac:dyDescent="0.25">
      <c r="AE6553">
        <v>10.29</v>
      </c>
    </row>
    <row r="6554" spans="31:31" x14ac:dyDescent="0.25">
      <c r="AE6554">
        <v>21.5</v>
      </c>
    </row>
    <row r="6555" spans="31:31" x14ac:dyDescent="0.25">
      <c r="AE6555">
        <v>12.27</v>
      </c>
    </row>
    <row r="6556" spans="31:31" x14ac:dyDescent="0.25">
      <c r="AE6556">
        <v>16</v>
      </c>
    </row>
    <row r="6557" spans="31:31" x14ac:dyDescent="0.25">
      <c r="AE6557">
        <v>133.25</v>
      </c>
    </row>
    <row r="6558" spans="31:31" x14ac:dyDescent="0.25">
      <c r="AE6558">
        <v>137.26</v>
      </c>
    </row>
    <row r="6559" spans="31:31" x14ac:dyDescent="0.25">
      <c r="AE6559">
        <v>76.47</v>
      </c>
    </row>
    <row r="6560" spans="31:31" x14ac:dyDescent="0.25">
      <c r="AE6560">
        <v>79.06</v>
      </c>
    </row>
    <row r="6561" spans="31:31" x14ac:dyDescent="0.25">
      <c r="AE6561">
        <v>86.7</v>
      </c>
    </row>
    <row r="6562" spans="31:31" x14ac:dyDescent="0.25">
      <c r="AE6562">
        <v>19.13</v>
      </c>
    </row>
    <row r="6563" spans="31:31" x14ac:dyDescent="0.25">
      <c r="AE6563">
        <v>23.63</v>
      </c>
    </row>
    <row r="6564" spans="31:31" x14ac:dyDescent="0.25">
      <c r="AE6564">
        <v>48.55</v>
      </c>
    </row>
    <row r="6565" spans="31:31" x14ac:dyDescent="0.25">
      <c r="AE6565">
        <v>55.33</v>
      </c>
    </row>
    <row r="6566" spans="31:31" x14ac:dyDescent="0.25">
      <c r="AE6566">
        <v>119.86</v>
      </c>
    </row>
    <row r="6567" spans="31:31" x14ac:dyDescent="0.25">
      <c r="AE6567">
        <v>37.950000000000003</v>
      </c>
    </row>
    <row r="6568" spans="31:31" x14ac:dyDescent="0.25">
      <c r="AE6568">
        <v>117.14</v>
      </c>
    </row>
    <row r="6569" spans="31:31" x14ac:dyDescent="0.25">
      <c r="AE6569">
        <v>131.16999999999999</v>
      </c>
    </row>
    <row r="6570" spans="31:31" x14ac:dyDescent="0.25">
      <c r="AE6570">
        <v>32.47</v>
      </c>
    </row>
    <row r="6571" spans="31:31" x14ac:dyDescent="0.25">
      <c r="AE6571">
        <v>20.91</v>
      </c>
    </row>
    <row r="6572" spans="31:31" x14ac:dyDescent="0.25">
      <c r="AE6572">
        <v>13.5</v>
      </c>
    </row>
    <row r="6573" spans="31:31" x14ac:dyDescent="0.25">
      <c r="AE6573">
        <v>35.25</v>
      </c>
    </row>
    <row r="6574" spans="31:31" x14ac:dyDescent="0.25">
      <c r="AE6574">
        <v>20.59</v>
      </c>
    </row>
    <row r="6575" spans="31:31" x14ac:dyDescent="0.25">
      <c r="AE6575">
        <v>30.36</v>
      </c>
    </row>
    <row r="6576" spans="31:31" x14ac:dyDescent="0.25">
      <c r="AE6576">
        <v>38.65</v>
      </c>
    </row>
    <row r="6577" spans="31:31" x14ac:dyDescent="0.25">
      <c r="AE6577">
        <v>79.56</v>
      </c>
    </row>
    <row r="6578" spans="31:31" x14ac:dyDescent="0.25">
      <c r="AE6578">
        <v>59.08</v>
      </c>
    </row>
    <row r="6579" spans="31:31" x14ac:dyDescent="0.25">
      <c r="AE6579">
        <v>37.299999999999997</v>
      </c>
    </row>
    <row r="6580" spans="31:31" x14ac:dyDescent="0.25">
      <c r="AE6580">
        <v>23.58</v>
      </c>
    </row>
    <row r="6581" spans="31:31" x14ac:dyDescent="0.25">
      <c r="AE6581">
        <v>16.149999999999999</v>
      </c>
    </row>
    <row r="6582" spans="31:31" x14ac:dyDescent="0.25">
      <c r="AE6582">
        <v>78.88</v>
      </c>
    </row>
    <row r="6583" spans="31:31" x14ac:dyDescent="0.25">
      <c r="AE6583">
        <v>26.05</v>
      </c>
    </row>
    <row r="6584" spans="31:31" x14ac:dyDescent="0.25">
      <c r="AE6584">
        <v>19.32</v>
      </c>
    </row>
    <row r="6585" spans="31:31" x14ac:dyDescent="0.25">
      <c r="AE6585">
        <v>54.94</v>
      </c>
    </row>
    <row r="6586" spans="31:31" x14ac:dyDescent="0.25">
      <c r="AE6586">
        <v>23.32</v>
      </c>
    </row>
    <row r="6587" spans="31:31" x14ac:dyDescent="0.25">
      <c r="AE6587">
        <v>48.13</v>
      </c>
    </row>
    <row r="6588" spans="31:31" x14ac:dyDescent="0.25">
      <c r="AE6588">
        <v>9.99</v>
      </c>
    </row>
    <row r="6589" spans="31:31" x14ac:dyDescent="0.25">
      <c r="AE6589">
        <v>46.47</v>
      </c>
    </row>
    <row r="6590" spans="31:31" x14ac:dyDescent="0.25">
      <c r="AE6590">
        <v>8.42</v>
      </c>
    </row>
    <row r="6591" spans="31:31" x14ac:dyDescent="0.25">
      <c r="AE6591">
        <v>38.340000000000003</v>
      </c>
    </row>
    <row r="6592" spans="31:31" x14ac:dyDescent="0.25">
      <c r="AE6592">
        <v>68.290000000000006</v>
      </c>
    </row>
    <row r="6593" spans="31:31" x14ac:dyDescent="0.25">
      <c r="AE6593">
        <v>35.46</v>
      </c>
    </row>
    <row r="6594" spans="31:31" x14ac:dyDescent="0.25">
      <c r="AE6594">
        <v>36.770000000000003</v>
      </c>
    </row>
    <row r="6595" spans="31:31" x14ac:dyDescent="0.25">
      <c r="AE6595">
        <v>27.55</v>
      </c>
    </row>
    <row r="6596" spans="31:31" x14ac:dyDescent="0.25">
      <c r="AE6596">
        <v>26.6</v>
      </c>
    </row>
    <row r="6597" spans="31:31" x14ac:dyDescent="0.25">
      <c r="AE6597">
        <v>47.12</v>
      </c>
    </row>
    <row r="6598" spans="31:31" x14ac:dyDescent="0.25">
      <c r="AE6598">
        <v>35.200000000000003</v>
      </c>
    </row>
    <row r="6599" spans="31:31" x14ac:dyDescent="0.25">
      <c r="AE6599">
        <v>198.75</v>
      </c>
    </row>
    <row r="6600" spans="31:31" x14ac:dyDescent="0.25">
      <c r="AE6600">
        <v>62.86</v>
      </c>
    </row>
    <row r="6601" spans="31:31" x14ac:dyDescent="0.25">
      <c r="AE6601">
        <v>38.99</v>
      </c>
    </row>
    <row r="6602" spans="31:31" x14ac:dyDescent="0.25">
      <c r="AE6602">
        <v>43.84</v>
      </c>
    </row>
    <row r="6603" spans="31:31" x14ac:dyDescent="0.25">
      <c r="AE6603">
        <v>45.58</v>
      </c>
    </row>
    <row r="6604" spans="31:31" x14ac:dyDescent="0.25">
      <c r="AE6604">
        <v>15.5</v>
      </c>
    </row>
    <row r="6605" spans="31:31" x14ac:dyDescent="0.25">
      <c r="AE6605">
        <v>16.68</v>
      </c>
    </row>
    <row r="6606" spans="31:31" x14ac:dyDescent="0.25">
      <c r="AE6606">
        <v>34.33</v>
      </c>
    </row>
    <row r="6607" spans="31:31" x14ac:dyDescent="0.25">
      <c r="AE6607">
        <v>160.56</v>
      </c>
    </row>
    <row r="6608" spans="31:31" x14ac:dyDescent="0.25">
      <c r="AE6608">
        <v>102.04</v>
      </c>
    </row>
    <row r="6609" spans="31:31" x14ac:dyDescent="0.25">
      <c r="AE6609">
        <v>76.84</v>
      </c>
    </row>
    <row r="6610" spans="31:31" x14ac:dyDescent="0.25">
      <c r="AE6610">
        <v>60.02</v>
      </c>
    </row>
    <row r="6611" spans="31:31" x14ac:dyDescent="0.25">
      <c r="AE6611">
        <v>44.5</v>
      </c>
    </row>
    <row r="6612" spans="31:31" x14ac:dyDescent="0.25">
      <c r="AE6612">
        <v>31.47</v>
      </c>
    </row>
    <row r="6613" spans="31:31" x14ac:dyDescent="0.25">
      <c r="AE6613">
        <v>31.25</v>
      </c>
    </row>
    <row r="6614" spans="31:31" x14ac:dyDescent="0.25">
      <c r="AE6614">
        <v>24.93</v>
      </c>
    </row>
    <row r="6615" spans="31:31" x14ac:dyDescent="0.25">
      <c r="AE6615">
        <v>43.37</v>
      </c>
    </row>
    <row r="6616" spans="31:31" x14ac:dyDescent="0.25">
      <c r="AE6616">
        <v>51.9</v>
      </c>
    </row>
    <row r="6617" spans="31:31" x14ac:dyDescent="0.25">
      <c r="AE6617">
        <v>1.64</v>
      </c>
    </row>
    <row r="6618" spans="31:31" x14ac:dyDescent="0.25">
      <c r="AE6618">
        <v>37.81</v>
      </c>
    </row>
    <row r="6619" spans="31:31" x14ac:dyDescent="0.25">
      <c r="AE6619">
        <v>43.1</v>
      </c>
    </row>
    <row r="6620" spans="31:31" x14ac:dyDescent="0.25">
      <c r="AE6620">
        <v>34.9</v>
      </c>
    </row>
    <row r="6621" spans="31:31" x14ac:dyDescent="0.25">
      <c r="AE6621">
        <v>15.82</v>
      </c>
    </row>
    <row r="6622" spans="31:31" x14ac:dyDescent="0.25">
      <c r="AE6622">
        <v>1.08</v>
      </c>
    </row>
    <row r="6623" spans="31:31" x14ac:dyDescent="0.25">
      <c r="AE6623">
        <v>13.47</v>
      </c>
    </row>
    <row r="6624" spans="31:31" x14ac:dyDescent="0.25">
      <c r="AE6624">
        <v>0.27</v>
      </c>
    </row>
    <row r="6625" spans="31:31" x14ac:dyDescent="0.25">
      <c r="AE6625">
        <v>12.69</v>
      </c>
    </row>
    <row r="6626" spans="31:31" x14ac:dyDescent="0.25">
      <c r="AE6626">
        <v>33.06</v>
      </c>
    </row>
    <row r="6627" spans="31:31" x14ac:dyDescent="0.25">
      <c r="AE6627">
        <v>77.150000000000006</v>
      </c>
    </row>
    <row r="6628" spans="31:31" x14ac:dyDescent="0.25">
      <c r="AE6628">
        <v>98.06</v>
      </c>
    </row>
    <row r="6629" spans="31:31" x14ac:dyDescent="0.25">
      <c r="AE6629">
        <v>28.61</v>
      </c>
    </row>
    <row r="6630" spans="31:31" x14ac:dyDescent="0.25">
      <c r="AE6630">
        <v>20.66</v>
      </c>
    </row>
    <row r="6631" spans="31:31" x14ac:dyDescent="0.25">
      <c r="AE6631">
        <v>0.81</v>
      </c>
    </row>
    <row r="6632" spans="31:31" x14ac:dyDescent="0.25">
      <c r="AE6632">
        <v>79.92</v>
      </c>
    </row>
    <row r="6633" spans="31:31" x14ac:dyDescent="0.25">
      <c r="AE6633">
        <v>25.22</v>
      </c>
    </row>
    <row r="6634" spans="31:31" x14ac:dyDescent="0.25">
      <c r="AE6634">
        <v>440.13</v>
      </c>
    </row>
    <row r="6635" spans="31:31" x14ac:dyDescent="0.25">
      <c r="AE6635">
        <v>11.16</v>
      </c>
    </row>
    <row r="6636" spans="31:31" x14ac:dyDescent="0.25">
      <c r="AE6636">
        <v>31.87</v>
      </c>
    </row>
    <row r="6637" spans="31:31" x14ac:dyDescent="0.25">
      <c r="AE6637">
        <v>32.54</v>
      </c>
    </row>
    <row r="6638" spans="31:31" x14ac:dyDescent="0.25">
      <c r="AE6638">
        <v>32.17</v>
      </c>
    </row>
    <row r="6639" spans="31:31" x14ac:dyDescent="0.25">
      <c r="AE6639">
        <v>41.95</v>
      </c>
    </row>
    <row r="6640" spans="31:31" x14ac:dyDescent="0.25">
      <c r="AE6640">
        <v>64.540000000000006</v>
      </c>
    </row>
    <row r="6641" spans="31:31" x14ac:dyDescent="0.25">
      <c r="AE6641">
        <v>32.979999999999997</v>
      </c>
    </row>
    <row r="6642" spans="31:31" x14ac:dyDescent="0.25">
      <c r="AE6642">
        <v>15.47</v>
      </c>
    </row>
    <row r="6643" spans="31:31" x14ac:dyDescent="0.25">
      <c r="AE6643">
        <v>10.09</v>
      </c>
    </row>
    <row r="6644" spans="31:31" x14ac:dyDescent="0.25">
      <c r="AE6644">
        <v>34.44</v>
      </c>
    </row>
    <row r="6645" spans="31:31" x14ac:dyDescent="0.25">
      <c r="AE6645">
        <v>20.3</v>
      </c>
    </row>
    <row r="6646" spans="31:31" x14ac:dyDescent="0.25">
      <c r="AE6646">
        <v>74.73</v>
      </c>
    </row>
    <row r="6647" spans="31:31" x14ac:dyDescent="0.25">
      <c r="AE6647">
        <v>10.86</v>
      </c>
    </row>
    <row r="6648" spans="31:31" x14ac:dyDescent="0.25">
      <c r="AE6648">
        <v>35.97</v>
      </c>
    </row>
    <row r="6649" spans="31:31" x14ac:dyDescent="0.25">
      <c r="AE6649">
        <v>45.06</v>
      </c>
    </row>
    <row r="6650" spans="31:31" x14ac:dyDescent="0.25">
      <c r="AE6650">
        <v>12.24</v>
      </c>
    </row>
    <row r="6651" spans="31:31" x14ac:dyDescent="0.25">
      <c r="AE6651">
        <v>120.9</v>
      </c>
    </row>
    <row r="6652" spans="31:31" x14ac:dyDescent="0.25">
      <c r="AE6652">
        <v>26.12</v>
      </c>
    </row>
    <row r="6653" spans="31:31" x14ac:dyDescent="0.25">
      <c r="AE6653">
        <v>65.489999999999995</v>
      </c>
    </row>
    <row r="6654" spans="31:31" x14ac:dyDescent="0.25">
      <c r="AE6654">
        <v>32.9</v>
      </c>
    </row>
    <row r="6655" spans="31:31" x14ac:dyDescent="0.25">
      <c r="AE6655">
        <v>143.97999999999999</v>
      </c>
    </row>
    <row r="6656" spans="31:31" x14ac:dyDescent="0.25">
      <c r="AE6656">
        <v>62.98</v>
      </c>
    </row>
    <row r="6657" spans="31:31" x14ac:dyDescent="0.25">
      <c r="AE6657">
        <v>80.13</v>
      </c>
    </row>
    <row r="6658" spans="31:31" x14ac:dyDescent="0.25">
      <c r="AE6658">
        <v>160.09</v>
      </c>
    </row>
    <row r="6659" spans="31:31" x14ac:dyDescent="0.25">
      <c r="AE6659">
        <v>10.8</v>
      </c>
    </row>
    <row r="6660" spans="31:31" x14ac:dyDescent="0.25">
      <c r="AE6660">
        <v>71.069999999999993</v>
      </c>
    </row>
    <row r="6661" spans="31:31" x14ac:dyDescent="0.25">
      <c r="AE6661">
        <v>38.18</v>
      </c>
    </row>
    <row r="6662" spans="31:31" x14ac:dyDescent="0.25">
      <c r="AE6662">
        <v>24.73</v>
      </c>
    </row>
    <row r="6663" spans="31:31" x14ac:dyDescent="0.25">
      <c r="AE6663">
        <v>10.19</v>
      </c>
    </row>
    <row r="6664" spans="31:31" x14ac:dyDescent="0.25">
      <c r="AE6664">
        <v>37.049999999999997</v>
      </c>
    </row>
    <row r="6665" spans="31:31" x14ac:dyDescent="0.25">
      <c r="AE6665">
        <v>52.22</v>
      </c>
    </row>
    <row r="6666" spans="31:31" x14ac:dyDescent="0.25">
      <c r="AE6666">
        <v>44.84</v>
      </c>
    </row>
    <row r="6667" spans="31:31" x14ac:dyDescent="0.25">
      <c r="AE6667">
        <v>33.82</v>
      </c>
    </row>
    <row r="6668" spans="31:31" x14ac:dyDescent="0.25">
      <c r="AE6668">
        <v>48.75</v>
      </c>
    </row>
    <row r="6669" spans="31:31" x14ac:dyDescent="0.25">
      <c r="AE6669">
        <v>0.27</v>
      </c>
    </row>
    <row r="6670" spans="31:31" x14ac:dyDescent="0.25">
      <c r="AE6670">
        <v>22.12</v>
      </c>
    </row>
    <row r="6671" spans="31:31" x14ac:dyDescent="0.25">
      <c r="AE6671">
        <v>33.71</v>
      </c>
    </row>
    <row r="6672" spans="31:31" x14ac:dyDescent="0.25">
      <c r="AE6672">
        <v>15.48</v>
      </c>
    </row>
    <row r="6673" spans="31:31" x14ac:dyDescent="0.25">
      <c r="AE6673">
        <v>25.02</v>
      </c>
    </row>
    <row r="6674" spans="31:31" x14ac:dyDescent="0.25">
      <c r="AE6674">
        <v>71.14</v>
      </c>
    </row>
    <row r="6675" spans="31:31" x14ac:dyDescent="0.25">
      <c r="AE6675">
        <v>64.14</v>
      </c>
    </row>
    <row r="6676" spans="31:31" x14ac:dyDescent="0.25">
      <c r="AE6676">
        <v>31.26</v>
      </c>
    </row>
    <row r="6677" spans="31:31" x14ac:dyDescent="0.25">
      <c r="AE6677">
        <v>92.68</v>
      </c>
    </row>
    <row r="6678" spans="31:31" x14ac:dyDescent="0.25">
      <c r="AE6678">
        <v>0.72</v>
      </c>
    </row>
    <row r="6679" spans="31:31" x14ac:dyDescent="0.25">
      <c r="AE6679">
        <v>81.52</v>
      </c>
    </row>
    <row r="6680" spans="31:31" x14ac:dyDescent="0.25">
      <c r="AE6680">
        <v>29.18</v>
      </c>
    </row>
    <row r="6681" spans="31:31" x14ac:dyDescent="0.25">
      <c r="AE6681">
        <v>56.7</v>
      </c>
    </row>
    <row r="6682" spans="31:31" x14ac:dyDescent="0.25">
      <c r="AE6682">
        <v>85.28</v>
      </c>
    </row>
    <row r="6683" spans="31:31" x14ac:dyDescent="0.25">
      <c r="AE6683">
        <v>19.05</v>
      </c>
    </row>
    <row r="6684" spans="31:31" x14ac:dyDescent="0.25">
      <c r="AE6684">
        <v>25.75</v>
      </c>
    </row>
    <row r="6685" spans="31:31" x14ac:dyDescent="0.25">
      <c r="AE6685">
        <v>11.93</v>
      </c>
    </row>
    <row r="6686" spans="31:31" x14ac:dyDescent="0.25">
      <c r="AE6686">
        <v>147.84</v>
      </c>
    </row>
    <row r="6687" spans="31:31" x14ac:dyDescent="0.25">
      <c r="AE6687">
        <v>22.6</v>
      </c>
    </row>
    <row r="6688" spans="31:31" x14ac:dyDescent="0.25">
      <c r="AE6688">
        <v>18.7</v>
      </c>
    </row>
    <row r="6689" spans="31:31" x14ac:dyDescent="0.25">
      <c r="AE6689">
        <v>64.56</v>
      </c>
    </row>
    <row r="6690" spans="31:31" x14ac:dyDescent="0.25">
      <c r="AE6690">
        <v>32.770000000000003</v>
      </c>
    </row>
    <row r="6691" spans="31:31" x14ac:dyDescent="0.25">
      <c r="AE6691">
        <v>62.99</v>
      </c>
    </row>
    <row r="6692" spans="31:31" x14ac:dyDescent="0.25">
      <c r="AE6692">
        <v>11.24</v>
      </c>
    </row>
    <row r="6693" spans="31:31" x14ac:dyDescent="0.25">
      <c r="AE6693">
        <v>98.7</v>
      </c>
    </row>
    <row r="6694" spans="31:31" x14ac:dyDescent="0.25">
      <c r="AE6694">
        <v>52.82</v>
      </c>
    </row>
    <row r="6695" spans="31:31" x14ac:dyDescent="0.25">
      <c r="AE6695">
        <v>25.22</v>
      </c>
    </row>
    <row r="6696" spans="31:31" x14ac:dyDescent="0.25">
      <c r="AE6696">
        <v>75.08</v>
      </c>
    </row>
    <row r="6697" spans="31:31" x14ac:dyDescent="0.25">
      <c r="AE6697">
        <v>35.68</v>
      </c>
    </row>
    <row r="6698" spans="31:31" x14ac:dyDescent="0.25">
      <c r="AE6698">
        <v>36.200000000000003</v>
      </c>
    </row>
    <row r="6699" spans="31:31" x14ac:dyDescent="0.25">
      <c r="AE6699">
        <v>74.63</v>
      </c>
    </row>
    <row r="6700" spans="31:31" x14ac:dyDescent="0.25">
      <c r="AE6700">
        <v>28.06</v>
      </c>
    </row>
    <row r="6701" spans="31:31" x14ac:dyDescent="0.25">
      <c r="AE6701">
        <v>34.909999999999997</v>
      </c>
    </row>
    <row r="6702" spans="31:31" x14ac:dyDescent="0.25">
      <c r="AE6702">
        <v>20.65</v>
      </c>
    </row>
    <row r="6703" spans="31:31" x14ac:dyDescent="0.25">
      <c r="AE6703">
        <v>173.14</v>
      </c>
    </row>
    <row r="6704" spans="31:31" x14ac:dyDescent="0.25">
      <c r="AE6704">
        <v>15.53</v>
      </c>
    </row>
    <row r="6705" spans="31:31" x14ac:dyDescent="0.25">
      <c r="AE6705">
        <v>48.64</v>
      </c>
    </row>
    <row r="6706" spans="31:31" x14ac:dyDescent="0.25">
      <c r="AE6706">
        <v>10.24</v>
      </c>
    </row>
    <row r="6707" spans="31:31" x14ac:dyDescent="0.25">
      <c r="AE6707">
        <v>54.74</v>
      </c>
    </row>
    <row r="6708" spans="31:31" x14ac:dyDescent="0.25">
      <c r="AE6708">
        <v>10.34</v>
      </c>
    </row>
    <row r="6709" spans="31:31" x14ac:dyDescent="0.25">
      <c r="AE6709">
        <v>41.8</v>
      </c>
    </row>
    <row r="6710" spans="31:31" x14ac:dyDescent="0.25">
      <c r="AE6710">
        <v>33.97</v>
      </c>
    </row>
    <row r="6711" spans="31:31" x14ac:dyDescent="0.25">
      <c r="AE6711">
        <v>12.5</v>
      </c>
    </row>
    <row r="6712" spans="31:31" x14ac:dyDescent="0.25">
      <c r="AE6712">
        <v>110.38</v>
      </c>
    </row>
    <row r="6713" spans="31:31" x14ac:dyDescent="0.25">
      <c r="AE6713">
        <v>3.76</v>
      </c>
    </row>
    <row r="6714" spans="31:31" x14ac:dyDescent="0.25">
      <c r="AE6714">
        <v>49.03</v>
      </c>
    </row>
    <row r="6715" spans="31:31" x14ac:dyDescent="0.25">
      <c r="AE6715">
        <v>48.2</v>
      </c>
    </row>
    <row r="6716" spans="31:31" x14ac:dyDescent="0.25">
      <c r="AE6716">
        <v>42.36</v>
      </c>
    </row>
    <row r="6717" spans="31:31" x14ac:dyDescent="0.25">
      <c r="AE6717">
        <v>24.34</v>
      </c>
    </row>
    <row r="6718" spans="31:31" x14ac:dyDescent="0.25">
      <c r="AE6718">
        <v>53.74</v>
      </c>
    </row>
    <row r="6719" spans="31:31" x14ac:dyDescent="0.25">
      <c r="AE6719">
        <v>182.07</v>
      </c>
    </row>
    <row r="6720" spans="31:31" x14ac:dyDescent="0.25">
      <c r="AE6720">
        <v>47.53</v>
      </c>
    </row>
    <row r="6721" spans="31:31" x14ac:dyDescent="0.25">
      <c r="AE6721">
        <v>23.11</v>
      </c>
    </row>
    <row r="6722" spans="31:31" x14ac:dyDescent="0.25">
      <c r="AE6722">
        <v>68.489999999999995</v>
      </c>
    </row>
    <row r="6723" spans="31:31" x14ac:dyDescent="0.25">
      <c r="AE6723">
        <v>157.28</v>
      </c>
    </row>
    <row r="6724" spans="31:31" x14ac:dyDescent="0.25">
      <c r="AE6724">
        <v>20.27</v>
      </c>
    </row>
    <row r="6725" spans="31:31" x14ac:dyDescent="0.25">
      <c r="AE6725">
        <v>163.72999999999999</v>
      </c>
    </row>
    <row r="6726" spans="31:31" x14ac:dyDescent="0.25">
      <c r="AE6726">
        <v>27.3</v>
      </c>
    </row>
    <row r="6727" spans="31:31" x14ac:dyDescent="0.25">
      <c r="AE6727">
        <v>0.54</v>
      </c>
    </row>
    <row r="6728" spans="31:31" x14ac:dyDescent="0.25">
      <c r="AE6728">
        <v>13.88</v>
      </c>
    </row>
    <row r="6729" spans="31:31" x14ac:dyDescent="0.25">
      <c r="AE6729">
        <v>100.66</v>
      </c>
    </row>
    <row r="6730" spans="31:31" x14ac:dyDescent="0.25">
      <c r="AE6730">
        <v>78.95</v>
      </c>
    </row>
    <row r="6731" spans="31:31" x14ac:dyDescent="0.25">
      <c r="AE6731">
        <v>29.65</v>
      </c>
    </row>
    <row r="6732" spans="31:31" x14ac:dyDescent="0.25">
      <c r="AE6732">
        <v>49.34</v>
      </c>
    </row>
    <row r="6733" spans="31:31" x14ac:dyDescent="0.25">
      <c r="AE6733">
        <v>58.41</v>
      </c>
    </row>
    <row r="6734" spans="31:31" x14ac:dyDescent="0.25">
      <c r="AE6734">
        <v>39.32</v>
      </c>
    </row>
    <row r="6735" spans="31:31" x14ac:dyDescent="0.25">
      <c r="AE6735">
        <v>35.42</v>
      </c>
    </row>
    <row r="6736" spans="31:31" x14ac:dyDescent="0.25">
      <c r="AE6736">
        <v>79.06</v>
      </c>
    </row>
    <row r="6737" spans="31:31" x14ac:dyDescent="0.25">
      <c r="AE6737">
        <v>22.52</v>
      </c>
    </row>
    <row r="6738" spans="31:31" x14ac:dyDescent="0.25">
      <c r="AE6738">
        <v>10.039999999999999</v>
      </c>
    </row>
    <row r="6739" spans="31:31" x14ac:dyDescent="0.25">
      <c r="AE6739">
        <v>20.58</v>
      </c>
    </row>
    <row r="6740" spans="31:31" x14ac:dyDescent="0.25">
      <c r="AE6740">
        <v>53.36</v>
      </c>
    </row>
    <row r="6741" spans="31:31" x14ac:dyDescent="0.25">
      <c r="AE6741">
        <v>25.82</v>
      </c>
    </row>
    <row r="6742" spans="31:31" x14ac:dyDescent="0.25">
      <c r="AE6742">
        <v>34.770000000000003</v>
      </c>
    </row>
    <row r="6743" spans="31:31" x14ac:dyDescent="0.25">
      <c r="AE6743">
        <v>47.64</v>
      </c>
    </row>
    <row r="6744" spans="31:31" x14ac:dyDescent="0.25">
      <c r="AE6744">
        <v>23.43</v>
      </c>
    </row>
    <row r="6745" spans="31:31" x14ac:dyDescent="0.25">
      <c r="AE6745">
        <v>9.99</v>
      </c>
    </row>
    <row r="6746" spans="31:31" x14ac:dyDescent="0.25">
      <c r="AE6746">
        <v>109.09</v>
      </c>
    </row>
    <row r="6747" spans="31:31" x14ac:dyDescent="0.25">
      <c r="AE6747">
        <v>39.520000000000003</v>
      </c>
    </row>
    <row r="6748" spans="31:31" x14ac:dyDescent="0.25">
      <c r="AE6748">
        <v>74.81</v>
      </c>
    </row>
    <row r="6749" spans="31:31" x14ac:dyDescent="0.25">
      <c r="AE6749">
        <v>50.06</v>
      </c>
    </row>
    <row r="6750" spans="31:31" x14ac:dyDescent="0.25">
      <c r="AE6750">
        <v>10.49</v>
      </c>
    </row>
    <row r="6751" spans="31:31" x14ac:dyDescent="0.25">
      <c r="AE6751">
        <v>43.32</v>
      </c>
    </row>
    <row r="6752" spans="31:31" x14ac:dyDescent="0.25">
      <c r="AE6752">
        <v>71.48</v>
      </c>
    </row>
    <row r="6753" spans="31:31" x14ac:dyDescent="0.25">
      <c r="AE6753">
        <v>63.98</v>
      </c>
    </row>
    <row r="6754" spans="31:31" x14ac:dyDescent="0.25">
      <c r="AE6754">
        <v>12.43</v>
      </c>
    </row>
    <row r="6755" spans="31:31" x14ac:dyDescent="0.25">
      <c r="AE6755">
        <v>143.19</v>
      </c>
    </row>
    <row r="6756" spans="31:31" x14ac:dyDescent="0.25">
      <c r="AE6756">
        <v>79.53</v>
      </c>
    </row>
    <row r="6757" spans="31:31" x14ac:dyDescent="0.25">
      <c r="AE6757">
        <v>19.059999999999999</v>
      </c>
    </row>
    <row r="6758" spans="31:31" x14ac:dyDescent="0.25">
      <c r="AE6758">
        <v>37.65</v>
      </c>
    </row>
    <row r="6759" spans="31:31" x14ac:dyDescent="0.25">
      <c r="AE6759">
        <v>10.94</v>
      </c>
    </row>
    <row r="6760" spans="31:31" x14ac:dyDescent="0.25">
      <c r="AE6760">
        <v>39.75</v>
      </c>
    </row>
    <row r="6761" spans="31:31" x14ac:dyDescent="0.25">
      <c r="AE6761">
        <v>95.7</v>
      </c>
    </row>
    <row r="6762" spans="31:31" x14ac:dyDescent="0.25">
      <c r="AE6762">
        <v>26.82</v>
      </c>
    </row>
    <row r="6763" spans="31:31" x14ac:dyDescent="0.25">
      <c r="AE6763">
        <v>30.54</v>
      </c>
    </row>
    <row r="6764" spans="31:31" x14ac:dyDescent="0.25">
      <c r="AE6764">
        <v>12.32</v>
      </c>
    </row>
    <row r="6765" spans="31:31" x14ac:dyDescent="0.25">
      <c r="AE6765">
        <v>31.29</v>
      </c>
    </row>
    <row r="6766" spans="31:31" x14ac:dyDescent="0.25">
      <c r="AE6766">
        <v>20.92</v>
      </c>
    </row>
    <row r="6767" spans="31:31" x14ac:dyDescent="0.25">
      <c r="AE6767">
        <v>26.26</v>
      </c>
    </row>
    <row r="6768" spans="31:31" x14ac:dyDescent="0.25">
      <c r="AE6768">
        <v>37.31</v>
      </c>
    </row>
    <row r="6769" spans="31:31" x14ac:dyDescent="0.25">
      <c r="AE6769">
        <v>63.63</v>
      </c>
    </row>
    <row r="6770" spans="31:31" x14ac:dyDescent="0.25">
      <c r="AE6770">
        <v>23.94</v>
      </c>
    </row>
    <row r="6771" spans="31:31" x14ac:dyDescent="0.25">
      <c r="AE6771">
        <v>174.69</v>
      </c>
    </row>
    <row r="6772" spans="31:31" x14ac:dyDescent="0.25">
      <c r="AE6772">
        <v>71.52</v>
      </c>
    </row>
    <row r="6773" spans="31:31" x14ac:dyDescent="0.25">
      <c r="AE6773">
        <v>5.69</v>
      </c>
    </row>
    <row r="6774" spans="31:31" x14ac:dyDescent="0.25">
      <c r="AE6774">
        <v>11.71</v>
      </c>
    </row>
    <row r="6775" spans="31:31" x14ac:dyDescent="0.25">
      <c r="AE6775">
        <v>14.56</v>
      </c>
    </row>
    <row r="6776" spans="31:31" x14ac:dyDescent="0.25">
      <c r="AE6776">
        <v>0.81</v>
      </c>
    </row>
    <row r="6777" spans="31:31" x14ac:dyDescent="0.25">
      <c r="AE6777">
        <v>22.82</v>
      </c>
    </row>
    <row r="6778" spans="31:31" x14ac:dyDescent="0.25">
      <c r="AE6778">
        <v>49.48</v>
      </c>
    </row>
    <row r="6779" spans="31:31" x14ac:dyDescent="0.25">
      <c r="AE6779">
        <v>60.44</v>
      </c>
    </row>
    <row r="6780" spans="31:31" x14ac:dyDescent="0.25">
      <c r="AE6780">
        <v>124.88</v>
      </c>
    </row>
    <row r="6781" spans="31:31" x14ac:dyDescent="0.25">
      <c r="AE6781">
        <v>41.06</v>
      </c>
    </row>
    <row r="6782" spans="31:31" x14ac:dyDescent="0.25">
      <c r="AE6782">
        <v>67.19</v>
      </c>
    </row>
    <row r="6783" spans="31:31" x14ac:dyDescent="0.25">
      <c r="AE6783">
        <v>14.19</v>
      </c>
    </row>
    <row r="6784" spans="31:31" x14ac:dyDescent="0.25">
      <c r="AE6784">
        <v>0.45</v>
      </c>
    </row>
    <row r="6785" spans="31:31" x14ac:dyDescent="0.25">
      <c r="AE6785">
        <v>63.18</v>
      </c>
    </row>
    <row r="6786" spans="31:31" x14ac:dyDescent="0.25">
      <c r="AE6786">
        <v>55.84</v>
      </c>
    </row>
    <row r="6787" spans="31:31" x14ac:dyDescent="0.25">
      <c r="AE6787">
        <v>49.04</v>
      </c>
    </row>
    <row r="6788" spans="31:31" x14ac:dyDescent="0.25">
      <c r="AE6788">
        <v>211.27</v>
      </c>
    </row>
    <row r="6789" spans="31:31" x14ac:dyDescent="0.25">
      <c r="AE6789">
        <v>141.9</v>
      </c>
    </row>
    <row r="6790" spans="31:31" x14ac:dyDescent="0.25">
      <c r="AE6790">
        <v>46.72</v>
      </c>
    </row>
    <row r="6791" spans="31:31" x14ac:dyDescent="0.25">
      <c r="AE6791">
        <v>81.55</v>
      </c>
    </row>
    <row r="6792" spans="31:31" x14ac:dyDescent="0.25">
      <c r="AE6792">
        <v>35.92</v>
      </c>
    </row>
    <row r="6793" spans="31:31" x14ac:dyDescent="0.25">
      <c r="AE6793">
        <v>14.42</v>
      </c>
    </row>
    <row r="6794" spans="31:31" x14ac:dyDescent="0.25">
      <c r="AE6794">
        <v>37.35</v>
      </c>
    </row>
    <row r="6795" spans="31:31" x14ac:dyDescent="0.25">
      <c r="AE6795">
        <v>118.49</v>
      </c>
    </row>
    <row r="6796" spans="31:31" x14ac:dyDescent="0.25">
      <c r="AE6796">
        <v>33.979999999999997</v>
      </c>
    </row>
    <row r="6797" spans="31:31" x14ac:dyDescent="0.25">
      <c r="AE6797">
        <v>54.61</v>
      </c>
    </row>
    <row r="6798" spans="31:31" x14ac:dyDescent="0.25">
      <c r="AE6798">
        <v>37.71</v>
      </c>
    </row>
    <row r="6799" spans="31:31" x14ac:dyDescent="0.25">
      <c r="AE6799">
        <v>22.38</v>
      </c>
    </row>
    <row r="6800" spans="31:31" x14ac:dyDescent="0.25">
      <c r="AE6800">
        <v>9.99</v>
      </c>
    </row>
    <row r="6801" spans="31:31" x14ac:dyDescent="0.25">
      <c r="AE6801">
        <v>26.36</v>
      </c>
    </row>
    <row r="6802" spans="31:31" x14ac:dyDescent="0.25">
      <c r="AE6802">
        <v>6.46</v>
      </c>
    </row>
    <row r="6803" spans="31:31" x14ac:dyDescent="0.25">
      <c r="AE6803">
        <v>49.06</v>
      </c>
    </row>
    <row r="6804" spans="31:31" x14ac:dyDescent="0.25">
      <c r="AE6804">
        <v>30.42</v>
      </c>
    </row>
    <row r="6805" spans="31:31" x14ac:dyDescent="0.25">
      <c r="AE6805">
        <v>16.12</v>
      </c>
    </row>
    <row r="6806" spans="31:31" x14ac:dyDescent="0.25">
      <c r="AE6806">
        <v>23.33</v>
      </c>
    </row>
    <row r="6807" spans="31:31" x14ac:dyDescent="0.25">
      <c r="AE6807">
        <v>11.78</v>
      </c>
    </row>
    <row r="6808" spans="31:31" x14ac:dyDescent="0.25">
      <c r="AE6808">
        <v>40.35</v>
      </c>
    </row>
    <row r="6809" spans="31:31" x14ac:dyDescent="0.25">
      <c r="AE6809">
        <v>34.14</v>
      </c>
    </row>
    <row r="6810" spans="31:31" x14ac:dyDescent="0.25">
      <c r="AE6810">
        <v>31.08</v>
      </c>
    </row>
    <row r="6811" spans="31:31" x14ac:dyDescent="0.25">
      <c r="AE6811">
        <v>21.24</v>
      </c>
    </row>
    <row r="6812" spans="31:31" x14ac:dyDescent="0.25">
      <c r="AE6812">
        <v>26.2</v>
      </c>
    </row>
    <row r="6813" spans="31:31" x14ac:dyDescent="0.25">
      <c r="AE6813">
        <v>1.1499999999999999</v>
      </c>
    </row>
    <row r="6814" spans="31:31" x14ac:dyDescent="0.25">
      <c r="AE6814">
        <v>12.85</v>
      </c>
    </row>
    <row r="6815" spans="31:31" x14ac:dyDescent="0.25">
      <c r="AE6815">
        <v>101.65</v>
      </c>
    </row>
    <row r="6816" spans="31:31" x14ac:dyDescent="0.25">
      <c r="AE6816">
        <v>9.61</v>
      </c>
    </row>
    <row r="6817" spans="31:31" x14ac:dyDescent="0.25">
      <c r="AE6817">
        <v>33.380000000000003</v>
      </c>
    </row>
    <row r="6818" spans="31:31" x14ac:dyDescent="0.25">
      <c r="AE6818">
        <v>62.56</v>
      </c>
    </row>
    <row r="6819" spans="31:31" x14ac:dyDescent="0.25">
      <c r="AE6819">
        <v>32.1</v>
      </c>
    </row>
    <row r="6820" spans="31:31" x14ac:dyDescent="0.25">
      <c r="AE6820">
        <v>24.98</v>
      </c>
    </row>
    <row r="6821" spans="31:31" x14ac:dyDescent="0.25">
      <c r="AE6821">
        <v>10.49</v>
      </c>
    </row>
    <row r="6822" spans="31:31" x14ac:dyDescent="0.25">
      <c r="AE6822">
        <v>10.39</v>
      </c>
    </row>
    <row r="6823" spans="31:31" x14ac:dyDescent="0.25">
      <c r="AE6823">
        <v>107.17</v>
      </c>
    </row>
    <row r="6824" spans="31:31" x14ac:dyDescent="0.25">
      <c r="AE6824">
        <v>10.039999999999999</v>
      </c>
    </row>
    <row r="6825" spans="31:31" x14ac:dyDescent="0.25">
      <c r="AE6825">
        <v>70.12</v>
      </c>
    </row>
    <row r="6826" spans="31:31" x14ac:dyDescent="0.25">
      <c r="AE6826">
        <v>16.91</v>
      </c>
    </row>
    <row r="6827" spans="31:31" x14ac:dyDescent="0.25">
      <c r="AE6827">
        <v>73.650000000000006</v>
      </c>
    </row>
    <row r="6828" spans="31:31" x14ac:dyDescent="0.25">
      <c r="AE6828">
        <v>10.99</v>
      </c>
    </row>
    <row r="6829" spans="31:31" x14ac:dyDescent="0.25">
      <c r="AE6829">
        <v>22.53</v>
      </c>
    </row>
    <row r="6830" spans="31:31" x14ac:dyDescent="0.25">
      <c r="AE6830">
        <v>47.86</v>
      </c>
    </row>
    <row r="6831" spans="31:31" x14ac:dyDescent="0.25">
      <c r="AE6831">
        <v>128.32</v>
      </c>
    </row>
    <row r="6832" spans="31:31" x14ac:dyDescent="0.25">
      <c r="AE6832">
        <v>75.66</v>
      </c>
    </row>
    <row r="6833" spans="31:31" x14ac:dyDescent="0.25">
      <c r="AE6833">
        <v>0.18</v>
      </c>
    </row>
    <row r="6834" spans="31:31" x14ac:dyDescent="0.25">
      <c r="AE6834">
        <v>28.27</v>
      </c>
    </row>
    <row r="6835" spans="31:31" x14ac:dyDescent="0.25">
      <c r="AE6835">
        <v>33.799999999999997</v>
      </c>
    </row>
    <row r="6836" spans="31:31" x14ac:dyDescent="0.25">
      <c r="AE6836">
        <v>0.36</v>
      </c>
    </row>
    <row r="6837" spans="31:31" x14ac:dyDescent="0.25">
      <c r="AE6837">
        <v>101.94</v>
      </c>
    </row>
    <row r="6838" spans="31:31" x14ac:dyDescent="0.25">
      <c r="AE6838">
        <v>16.21</v>
      </c>
    </row>
    <row r="6839" spans="31:31" x14ac:dyDescent="0.25">
      <c r="AE6839">
        <v>26.23</v>
      </c>
    </row>
    <row r="6840" spans="31:31" x14ac:dyDescent="0.25">
      <c r="AE6840">
        <v>33.340000000000003</v>
      </c>
    </row>
    <row r="6841" spans="31:31" x14ac:dyDescent="0.25">
      <c r="AE6841">
        <v>79.77</v>
      </c>
    </row>
    <row r="6842" spans="31:31" x14ac:dyDescent="0.25">
      <c r="AE6842">
        <v>49.1</v>
      </c>
    </row>
    <row r="6843" spans="31:31" x14ac:dyDescent="0.25">
      <c r="AE6843">
        <v>79.739999999999995</v>
      </c>
    </row>
    <row r="6844" spans="31:31" x14ac:dyDescent="0.25">
      <c r="AE6844">
        <v>40.08</v>
      </c>
    </row>
    <row r="6845" spans="31:31" x14ac:dyDescent="0.25">
      <c r="AE6845">
        <v>134.4</v>
      </c>
    </row>
    <row r="6846" spans="31:31" x14ac:dyDescent="0.25">
      <c r="AE6846">
        <v>53.31</v>
      </c>
    </row>
    <row r="6847" spans="31:31" x14ac:dyDescent="0.25">
      <c r="AE6847">
        <v>0.27</v>
      </c>
    </row>
    <row r="6848" spans="31:31" x14ac:dyDescent="0.25">
      <c r="AE6848">
        <v>9.99</v>
      </c>
    </row>
    <row r="6849" spans="31:31" x14ac:dyDescent="0.25">
      <c r="AE6849">
        <v>0.09</v>
      </c>
    </row>
    <row r="6850" spans="31:31" x14ac:dyDescent="0.25">
      <c r="AE6850">
        <v>34.33</v>
      </c>
    </row>
    <row r="6851" spans="31:31" x14ac:dyDescent="0.25">
      <c r="AE6851">
        <v>21.29</v>
      </c>
    </row>
    <row r="6852" spans="31:31" x14ac:dyDescent="0.25">
      <c r="AE6852">
        <v>92.78</v>
      </c>
    </row>
    <row r="6853" spans="31:31" x14ac:dyDescent="0.25">
      <c r="AE6853">
        <v>105.13</v>
      </c>
    </row>
    <row r="6854" spans="31:31" x14ac:dyDescent="0.25">
      <c r="AE6854">
        <v>90.55</v>
      </c>
    </row>
    <row r="6855" spans="31:31" x14ac:dyDescent="0.25">
      <c r="AE6855">
        <v>74.03</v>
      </c>
    </row>
    <row r="6856" spans="31:31" x14ac:dyDescent="0.25">
      <c r="AE6856">
        <v>227.34</v>
      </c>
    </row>
    <row r="6857" spans="31:31" x14ac:dyDescent="0.25">
      <c r="AE6857">
        <v>81.010000000000005</v>
      </c>
    </row>
    <row r="6858" spans="31:31" x14ac:dyDescent="0.25">
      <c r="AE6858">
        <v>100.05</v>
      </c>
    </row>
    <row r="6859" spans="31:31" x14ac:dyDescent="0.25">
      <c r="AE6859">
        <v>159.63</v>
      </c>
    </row>
    <row r="6860" spans="31:31" x14ac:dyDescent="0.25">
      <c r="AE6860">
        <v>189.26</v>
      </c>
    </row>
    <row r="6861" spans="31:31" x14ac:dyDescent="0.25">
      <c r="AE6861">
        <v>22.92</v>
      </c>
    </row>
    <row r="6862" spans="31:31" x14ac:dyDescent="0.25">
      <c r="AE6862">
        <v>105.99</v>
      </c>
    </row>
    <row r="6863" spans="31:31" x14ac:dyDescent="0.25">
      <c r="AE6863">
        <v>66.61</v>
      </c>
    </row>
    <row r="6864" spans="31:31" x14ac:dyDescent="0.25">
      <c r="AE6864">
        <v>10.56</v>
      </c>
    </row>
    <row r="6865" spans="31:31" x14ac:dyDescent="0.25">
      <c r="AE6865">
        <v>136.37</v>
      </c>
    </row>
    <row r="6866" spans="31:31" x14ac:dyDescent="0.25">
      <c r="AE6866">
        <v>49.32</v>
      </c>
    </row>
    <row r="6867" spans="31:31" x14ac:dyDescent="0.25">
      <c r="AE6867">
        <v>97.59</v>
      </c>
    </row>
    <row r="6868" spans="31:31" x14ac:dyDescent="0.25">
      <c r="AE6868">
        <v>57.49</v>
      </c>
    </row>
    <row r="6869" spans="31:31" x14ac:dyDescent="0.25">
      <c r="AE6869">
        <v>126.14</v>
      </c>
    </row>
    <row r="6870" spans="31:31" x14ac:dyDescent="0.25">
      <c r="AE6870">
        <v>27.93</v>
      </c>
    </row>
    <row r="6871" spans="31:31" x14ac:dyDescent="0.25">
      <c r="AE6871">
        <v>13.62</v>
      </c>
    </row>
    <row r="6872" spans="31:31" x14ac:dyDescent="0.25">
      <c r="AE6872">
        <v>50.69</v>
      </c>
    </row>
    <row r="6873" spans="31:31" x14ac:dyDescent="0.25">
      <c r="AE6873">
        <v>84.38</v>
      </c>
    </row>
    <row r="6874" spans="31:31" x14ac:dyDescent="0.25">
      <c r="AE6874">
        <v>60.37</v>
      </c>
    </row>
    <row r="6875" spans="31:31" x14ac:dyDescent="0.25">
      <c r="AE6875">
        <v>72.599999999999994</v>
      </c>
    </row>
    <row r="6876" spans="31:31" x14ac:dyDescent="0.25">
      <c r="AE6876">
        <v>165.66</v>
      </c>
    </row>
    <row r="6877" spans="31:31" x14ac:dyDescent="0.25">
      <c r="AE6877">
        <v>18.09</v>
      </c>
    </row>
    <row r="6878" spans="31:31" x14ac:dyDescent="0.25">
      <c r="AE6878">
        <v>12.83</v>
      </c>
    </row>
    <row r="6879" spans="31:31" x14ac:dyDescent="0.25">
      <c r="AE6879">
        <v>20.48</v>
      </c>
    </row>
    <row r="6880" spans="31:31" x14ac:dyDescent="0.25">
      <c r="AE6880">
        <v>28.15</v>
      </c>
    </row>
    <row r="6881" spans="31:31" x14ac:dyDescent="0.25">
      <c r="AE6881">
        <v>24.32</v>
      </c>
    </row>
    <row r="6882" spans="31:31" x14ac:dyDescent="0.25">
      <c r="AE6882">
        <v>11.11</v>
      </c>
    </row>
    <row r="6883" spans="31:31" x14ac:dyDescent="0.25">
      <c r="AE6883">
        <v>24.81</v>
      </c>
    </row>
    <row r="6884" spans="31:31" x14ac:dyDescent="0.25">
      <c r="AE6884">
        <v>52.97</v>
      </c>
    </row>
    <row r="6885" spans="31:31" x14ac:dyDescent="0.25">
      <c r="AE6885">
        <v>38.57</v>
      </c>
    </row>
    <row r="6886" spans="31:31" x14ac:dyDescent="0.25">
      <c r="AE6886">
        <v>27.31</v>
      </c>
    </row>
    <row r="6887" spans="31:31" x14ac:dyDescent="0.25">
      <c r="AE6887">
        <v>45.69</v>
      </c>
    </row>
    <row r="6888" spans="31:31" x14ac:dyDescent="0.25">
      <c r="AE6888">
        <v>92</v>
      </c>
    </row>
    <row r="6889" spans="31:31" x14ac:dyDescent="0.25">
      <c r="AE6889">
        <v>24.86</v>
      </c>
    </row>
    <row r="6890" spans="31:31" x14ac:dyDescent="0.25">
      <c r="AE6890">
        <v>22.76</v>
      </c>
    </row>
    <row r="6891" spans="31:31" x14ac:dyDescent="0.25">
      <c r="AE6891">
        <v>99.31</v>
      </c>
    </row>
    <row r="6892" spans="31:31" x14ac:dyDescent="0.25">
      <c r="AE6892">
        <v>70.55</v>
      </c>
    </row>
    <row r="6893" spans="31:31" x14ac:dyDescent="0.25">
      <c r="AE6893">
        <v>126.92</v>
      </c>
    </row>
    <row r="6894" spans="31:31" x14ac:dyDescent="0.25">
      <c r="AE6894">
        <v>95.06</v>
      </c>
    </row>
    <row r="6895" spans="31:31" x14ac:dyDescent="0.25">
      <c r="AE6895">
        <v>68.150000000000006</v>
      </c>
    </row>
    <row r="6896" spans="31:31" x14ac:dyDescent="0.25">
      <c r="AE6896">
        <v>101.47</v>
      </c>
    </row>
    <row r="6897" spans="31:31" x14ac:dyDescent="0.25">
      <c r="AE6897">
        <v>0.72</v>
      </c>
    </row>
    <row r="6898" spans="31:31" x14ac:dyDescent="0.25">
      <c r="AE6898">
        <v>129.52000000000001</v>
      </c>
    </row>
    <row r="6899" spans="31:31" x14ac:dyDescent="0.25">
      <c r="AE6899">
        <v>28.47</v>
      </c>
    </row>
    <row r="6900" spans="31:31" x14ac:dyDescent="0.25">
      <c r="AE6900">
        <v>110.57</v>
      </c>
    </row>
    <row r="6901" spans="31:31" x14ac:dyDescent="0.25">
      <c r="AE6901">
        <v>109.59</v>
      </c>
    </row>
    <row r="6902" spans="31:31" x14ac:dyDescent="0.25">
      <c r="AE6902">
        <v>36.08</v>
      </c>
    </row>
    <row r="6903" spans="31:31" x14ac:dyDescent="0.25">
      <c r="AE6903">
        <v>12.78</v>
      </c>
    </row>
    <row r="6904" spans="31:31" x14ac:dyDescent="0.25">
      <c r="AE6904">
        <v>108.5</v>
      </c>
    </row>
    <row r="6905" spans="31:31" x14ac:dyDescent="0.25">
      <c r="AE6905">
        <v>13.61</v>
      </c>
    </row>
    <row r="6906" spans="31:31" x14ac:dyDescent="0.25">
      <c r="AE6906">
        <v>13.01</v>
      </c>
    </row>
    <row r="6907" spans="31:31" x14ac:dyDescent="0.25">
      <c r="AE6907">
        <v>146.57</v>
      </c>
    </row>
    <row r="6908" spans="31:31" x14ac:dyDescent="0.25">
      <c r="AE6908">
        <v>85.49</v>
      </c>
    </row>
    <row r="6909" spans="31:31" x14ac:dyDescent="0.25">
      <c r="AE6909">
        <v>15.67</v>
      </c>
    </row>
    <row r="6910" spans="31:31" x14ac:dyDescent="0.25">
      <c r="AE6910">
        <v>60.24</v>
      </c>
    </row>
    <row r="6911" spans="31:31" x14ac:dyDescent="0.25">
      <c r="AE6911">
        <v>8.9</v>
      </c>
    </row>
    <row r="6912" spans="31:31" x14ac:dyDescent="0.25">
      <c r="AE6912">
        <v>27.47</v>
      </c>
    </row>
    <row r="6913" spans="31:31" x14ac:dyDescent="0.25">
      <c r="AE6913">
        <v>102.93</v>
      </c>
    </row>
    <row r="6914" spans="31:31" x14ac:dyDescent="0.25">
      <c r="AE6914">
        <v>20.079999999999998</v>
      </c>
    </row>
    <row r="6915" spans="31:31" x14ac:dyDescent="0.25">
      <c r="AE6915">
        <v>62.09</v>
      </c>
    </row>
    <row r="6916" spans="31:31" x14ac:dyDescent="0.25">
      <c r="AE6916">
        <v>98.39</v>
      </c>
    </row>
    <row r="6917" spans="31:31" x14ac:dyDescent="0.25">
      <c r="AE6917">
        <v>5.2</v>
      </c>
    </row>
    <row r="6918" spans="31:31" x14ac:dyDescent="0.25">
      <c r="AE6918">
        <v>141.52000000000001</v>
      </c>
    </row>
    <row r="6919" spans="31:31" x14ac:dyDescent="0.25">
      <c r="AE6919">
        <v>8.61</v>
      </c>
    </row>
    <row r="6920" spans="31:31" x14ac:dyDescent="0.25">
      <c r="AE6920">
        <v>53.4</v>
      </c>
    </row>
    <row r="6921" spans="31:31" x14ac:dyDescent="0.25">
      <c r="AE6921">
        <v>57.93</v>
      </c>
    </row>
    <row r="6922" spans="31:31" x14ac:dyDescent="0.25">
      <c r="AE6922">
        <v>47.61</v>
      </c>
    </row>
    <row r="6923" spans="31:31" x14ac:dyDescent="0.25">
      <c r="AE6923">
        <v>1.26</v>
      </c>
    </row>
    <row r="6924" spans="31:31" x14ac:dyDescent="0.25">
      <c r="AE6924">
        <v>38.42</v>
      </c>
    </row>
    <row r="6925" spans="31:31" x14ac:dyDescent="0.25">
      <c r="AE6925">
        <v>14.41</v>
      </c>
    </row>
    <row r="6926" spans="31:31" x14ac:dyDescent="0.25">
      <c r="AE6926">
        <v>51.94</v>
      </c>
    </row>
    <row r="6927" spans="31:31" x14ac:dyDescent="0.25">
      <c r="AE6927">
        <v>156.55000000000001</v>
      </c>
    </row>
    <row r="6928" spans="31:31" x14ac:dyDescent="0.25">
      <c r="AE6928">
        <v>26.28</v>
      </c>
    </row>
    <row r="6929" spans="31:31" x14ac:dyDescent="0.25">
      <c r="AE6929">
        <v>63.15</v>
      </c>
    </row>
    <row r="6930" spans="31:31" x14ac:dyDescent="0.25">
      <c r="AE6930">
        <v>30.66</v>
      </c>
    </row>
    <row r="6931" spans="31:31" x14ac:dyDescent="0.25">
      <c r="AE6931">
        <v>81</v>
      </c>
    </row>
    <row r="6932" spans="31:31" x14ac:dyDescent="0.25">
      <c r="AE6932">
        <v>14.59</v>
      </c>
    </row>
    <row r="6933" spans="31:31" x14ac:dyDescent="0.25">
      <c r="AE6933">
        <v>58.02</v>
      </c>
    </row>
    <row r="6934" spans="31:31" x14ac:dyDescent="0.25">
      <c r="AE6934">
        <v>70.319999999999993</v>
      </c>
    </row>
    <row r="6935" spans="31:31" x14ac:dyDescent="0.25">
      <c r="AE6935">
        <v>21.43</v>
      </c>
    </row>
    <row r="6936" spans="31:31" x14ac:dyDescent="0.25">
      <c r="AE6936">
        <v>23.73</v>
      </c>
    </row>
    <row r="6937" spans="31:31" x14ac:dyDescent="0.25">
      <c r="AE6937">
        <v>81.14</v>
      </c>
    </row>
    <row r="6938" spans="31:31" x14ac:dyDescent="0.25">
      <c r="AE6938">
        <v>31.27</v>
      </c>
    </row>
    <row r="6939" spans="31:31" x14ac:dyDescent="0.25">
      <c r="AE6939">
        <v>47.3</v>
      </c>
    </row>
    <row r="6940" spans="31:31" x14ac:dyDescent="0.25">
      <c r="AE6940">
        <v>38.64</v>
      </c>
    </row>
    <row r="6941" spans="31:31" x14ac:dyDescent="0.25">
      <c r="AE6941">
        <v>117.51</v>
      </c>
    </row>
    <row r="6942" spans="31:31" x14ac:dyDescent="0.25">
      <c r="AE6942">
        <v>27.12</v>
      </c>
    </row>
    <row r="6943" spans="31:31" x14ac:dyDescent="0.25">
      <c r="AE6943">
        <v>66.930000000000007</v>
      </c>
    </row>
    <row r="6944" spans="31:31" x14ac:dyDescent="0.25">
      <c r="AE6944">
        <v>53.09</v>
      </c>
    </row>
    <row r="6945" spans="31:31" x14ac:dyDescent="0.25">
      <c r="AE6945">
        <v>103.58</v>
      </c>
    </row>
    <row r="6946" spans="31:31" x14ac:dyDescent="0.25">
      <c r="AE6946">
        <v>277.56</v>
      </c>
    </row>
    <row r="6947" spans="31:31" x14ac:dyDescent="0.25">
      <c r="AE6947">
        <v>30.31</v>
      </c>
    </row>
    <row r="6948" spans="31:31" x14ac:dyDescent="0.25">
      <c r="AE6948">
        <v>23.5</v>
      </c>
    </row>
    <row r="6949" spans="31:31" x14ac:dyDescent="0.25">
      <c r="AE6949">
        <v>0.27</v>
      </c>
    </row>
    <row r="6950" spans="31:31" x14ac:dyDescent="0.25">
      <c r="AE6950">
        <v>8.1300000000000008</v>
      </c>
    </row>
    <row r="6951" spans="31:31" x14ac:dyDescent="0.25">
      <c r="AE6951">
        <v>13</v>
      </c>
    </row>
    <row r="6952" spans="31:31" x14ac:dyDescent="0.25">
      <c r="AE6952">
        <v>13.69</v>
      </c>
    </row>
    <row r="6953" spans="31:31" x14ac:dyDescent="0.25">
      <c r="AE6953">
        <v>109.49</v>
      </c>
    </row>
    <row r="6954" spans="31:31" x14ac:dyDescent="0.25">
      <c r="AE6954">
        <v>127.19</v>
      </c>
    </row>
    <row r="6955" spans="31:31" x14ac:dyDescent="0.25">
      <c r="AE6955">
        <v>37.06</v>
      </c>
    </row>
    <row r="6956" spans="31:31" x14ac:dyDescent="0.25">
      <c r="AE6956">
        <v>21.4</v>
      </c>
    </row>
    <row r="6957" spans="31:31" x14ac:dyDescent="0.25">
      <c r="AE6957">
        <v>24.33</v>
      </c>
    </row>
    <row r="6958" spans="31:31" x14ac:dyDescent="0.25">
      <c r="AE6958">
        <v>90.12</v>
      </c>
    </row>
    <row r="6959" spans="31:31" x14ac:dyDescent="0.25">
      <c r="AE6959">
        <v>88.67</v>
      </c>
    </row>
    <row r="6960" spans="31:31" x14ac:dyDescent="0.25">
      <c r="AE6960">
        <v>22.48</v>
      </c>
    </row>
    <row r="6961" spans="31:31" x14ac:dyDescent="0.25">
      <c r="AE6961">
        <v>47.24</v>
      </c>
    </row>
    <row r="6962" spans="31:31" x14ac:dyDescent="0.25">
      <c r="AE6962">
        <v>68.28</v>
      </c>
    </row>
    <row r="6963" spans="31:31" x14ac:dyDescent="0.25">
      <c r="AE6963">
        <v>11.88</v>
      </c>
    </row>
    <row r="6964" spans="31:31" x14ac:dyDescent="0.25">
      <c r="AE6964">
        <v>83.32</v>
      </c>
    </row>
    <row r="6965" spans="31:31" x14ac:dyDescent="0.25">
      <c r="AE6965">
        <v>73.16</v>
      </c>
    </row>
    <row r="6966" spans="31:31" x14ac:dyDescent="0.25">
      <c r="AE6966">
        <v>20.65</v>
      </c>
    </row>
    <row r="6967" spans="31:31" x14ac:dyDescent="0.25">
      <c r="AE6967">
        <v>25.32</v>
      </c>
    </row>
    <row r="6968" spans="31:31" x14ac:dyDescent="0.25">
      <c r="AE6968">
        <v>73.739999999999995</v>
      </c>
    </row>
    <row r="6969" spans="31:31" x14ac:dyDescent="0.25">
      <c r="AE6969">
        <v>17.329999999999998</v>
      </c>
    </row>
    <row r="6970" spans="31:31" x14ac:dyDescent="0.25">
      <c r="AE6970">
        <v>15.44</v>
      </c>
    </row>
    <row r="6971" spans="31:31" x14ac:dyDescent="0.25">
      <c r="AE6971">
        <v>36.29</v>
      </c>
    </row>
    <row r="6972" spans="31:31" x14ac:dyDescent="0.25">
      <c r="AE6972">
        <v>14.01</v>
      </c>
    </row>
    <row r="6973" spans="31:31" x14ac:dyDescent="0.25">
      <c r="AE6973">
        <v>4.3099999999999996</v>
      </c>
    </row>
    <row r="6974" spans="31:31" x14ac:dyDescent="0.25">
      <c r="AE6974">
        <v>11.43</v>
      </c>
    </row>
    <row r="6975" spans="31:31" x14ac:dyDescent="0.25">
      <c r="AE6975">
        <v>25.24</v>
      </c>
    </row>
    <row r="6976" spans="31:31" x14ac:dyDescent="0.25">
      <c r="AE6976">
        <v>21.17</v>
      </c>
    </row>
    <row r="6977" spans="31:31" x14ac:dyDescent="0.25">
      <c r="AE6977">
        <v>23.74</v>
      </c>
    </row>
    <row r="6978" spans="31:31" x14ac:dyDescent="0.25">
      <c r="AE6978">
        <v>34.5</v>
      </c>
    </row>
    <row r="6979" spans="31:31" x14ac:dyDescent="0.25">
      <c r="AE6979">
        <v>37.299999999999997</v>
      </c>
    </row>
    <row r="6980" spans="31:31" x14ac:dyDescent="0.25">
      <c r="AE6980">
        <v>93.64</v>
      </c>
    </row>
    <row r="6981" spans="31:31" x14ac:dyDescent="0.25">
      <c r="AE6981">
        <v>31.89</v>
      </c>
    </row>
    <row r="6982" spans="31:31" x14ac:dyDescent="0.25">
      <c r="AE6982">
        <v>96.66</v>
      </c>
    </row>
    <row r="6983" spans="31:31" x14ac:dyDescent="0.25">
      <c r="AE6983">
        <v>86.93</v>
      </c>
    </row>
    <row r="6984" spans="31:31" x14ac:dyDescent="0.25">
      <c r="AE6984">
        <v>77.25</v>
      </c>
    </row>
    <row r="6985" spans="31:31" x14ac:dyDescent="0.25">
      <c r="AE6985">
        <v>70.73</v>
      </c>
    </row>
    <row r="6986" spans="31:31" x14ac:dyDescent="0.25">
      <c r="AE6986">
        <v>39.29</v>
      </c>
    </row>
    <row r="6987" spans="31:31" x14ac:dyDescent="0.25">
      <c r="AE6987">
        <v>23.86</v>
      </c>
    </row>
    <row r="6988" spans="31:31" x14ac:dyDescent="0.25">
      <c r="AE6988">
        <v>97.68</v>
      </c>
    </row>
    <row r="6989" spans="31:31" x14ac:dyDescent="0.25">
      <c r="AE6989">
        <v>24.96</v>
      </c>
    </row>
    <row r="6990" spans="31:31" x14ac:dyDescent="0.25">
      <c r="AE6990">
        <v>82.75</v>
      </c>
    </row>
    <row r="6991" spans="31:31" x14ac:dyDescent="0.25">
      <c r="AE6991">
        <v>101.49</v>
      </c>
    </row>
    <row r="6992" spans="31:31" x14ac:dyDescent="0.25">
      <c r="AE6992">
        <v>19.11</v>
      </c>
    </row>
    <row r="6993" spans="31:31" x14ac:dyDescent="0.25">
      <c r="AE6993">
        <v>62.31</v>
      </c>
    </row>
    <row r="6994" spans="31:31" x14ac:dyDescent="0.25">
      <c r="AE6994">
        <v>41.23</v>
      </c>
    </row>
    <row r="6995" spans="31:31" x14ac:dyDescent="0.25">
      <c r="AE6995">
        <v>59.83</v>
      </c>
    </row>
    <row r="6996" spans="31:31" x14ac:dyDescent="0.25">
      <c r="AE6996">
        <v>62.06</v>
      </c>
    </row>
    <row r="6997" spans="31:31" x14ac:dyDescent="0.25">
      <c r="AE6997">
        <v>39.14</v>
      </c>
    </row>
    <row r="6998" spans="31:31" x14ac:dyDescent="0.25">
      <c r="AE6998">
        <v>17.55</v>
      </c>
    </row>
    <row r="6999" spans="31:31" x14ac:dyDescent="0.25">
      <c r="AE6999">
        <v>76.89</v>
      </c>
    </row>
    <row r="7000" spans="31:31" x14ac:dyDescent="0.25">
      <c r="AE7000">
        <v>24.55</v>
      </c>
    </row>
    <row r="7001" spans="31:31" x14ac:dyDescent="0.25">
      <c r="AE7001">
        <v>0</v>
      </c>
    </row>
    <row r="7002" spans="31:31" x14ac:dyDescent="0.25">
      <c r="AE7002">
        <v>62.41</v>
      </c>
    </row>
    <row r="7003" spans="31:31" x14ac:dyDescent="0.25">
      <c r="AE7003">
        <v>77</v>
      </c>
    </row>
    <row r="7004" spans="31:31" x14ac:dyDescent="0.25">
      <c r="AE7004">
        <v>60.62</v>
      </c>
    </row>
    <row r="7005" spans="31:31" x14ac:dyDescent="0.25">
      <c r="AE7005">
        <v>13.69</v>
      </c>
    </row>
    <row r="7006" spans="31:31" x14ac:dyDescent="0.25">
      <c r="AE7006">
        <v>106.81</v>
      </c>
    </row>
    <row r="7007" spans="31:31" x14ac:dyDescent="0.25">
      <c r="AE7007">
        <v>33.340000000000003</v>
      </c>
    </row>
    <row r="7008" spans="31:31" x14ac:dyDescent="0.25">
      <c r="AE7008">
        <v>45.89</v>
      </c>
    </row>
    <row r="7009" spans="31:31" x14ac:dyDescent="0.25">
      <c r="AE7009">
        <v>12.6</v>
      </c>
    </row>
    <row r="7010" spans="31:31" x14ac:dyDescent="0.25">
      <c r="AE7010">
        <v>26.29</v>
      </c>
    </row>
    <row r="7011" spans="31:31" x14ac:dyDescent="0.25">
      <c r="AE7011">
        <v>24.64</v>
      </c>
    </row>
    <row r="7012" spans="31:31" x14ac:dyDescent="0.25">
      <c r="AE7012">
        <v>65.459999999999994</v>
      </c>
    </row>
    <row r="7013" spans="31:31" x14ac:dyDescent="0.25">
      <c r="AE7013">
        <v>45.7</v>
      </c>
    </row>
    <row r="7014" spans="31:31" x14ac:dyDescent="0.25">
      <c r="AE7014">
        <v>77.180000000000007</v>
      </c>
    </row>
    <row r="7015" spans="31:31" x14ac:dyDescent="0.25">
      <c r="AE7015">
        <v>70.260000000000005</v>
      </c>
    </row>
    <row r="7016" spans="31:31" x14ac:dyDescent="0.25">
      <c r="AE7016">
        <v>51.45</v>
      </c>
    </row>
    <row r="7017" spans="31:31" x14ac:dyDescent="0.25">
      <c r="AE7017">
        <v>16.97</v>
      </c>
    </row>
    <row r="7018" spans="31:31" x14ac:dyDescent="0.25">
      <c r="AE7018">
        <v>43.96</v>
      </c>
    </row>
    <row r="7019" spans="31:31" x14ac:dyDescent="0.25">
      <c r="AE7019">
        <v>93.67</v>
      </c>
    </row>
    <row r="7020" spans="31:31" x14ac:dyDescent="0.25">
      <c r="AE7020">
        <v>32.03</v>
      </c>
    </row>
    <row r="7021" spans="31:31" x14ac:dyDescent="0.25">
      <c r="AE7021">
        <v>70.67</v>
      </c>
    </row>
    <row r="7022" spans="31:31" x14ac:dyDescent="0.25">
      <c r="AE7022">
        <v>39.909999999999997</v>
      </c>
    </row>
    <row r="7023" spans="31:31" x14ac:dyDescent="0.25">
      <c r="AE7023">
        <v>50.22</v>
      </c>
    </row>
    <row r="7024" spans="31:31" x14ac:dyDescent="0.25">
      <c r="AE7024">
        <v>2.2799999999999998</v>
      </c>
    </row>
    <row r="7025" spans="31:31" x14ac:dyDescent="0.25">
      <c r="AE7025">
        <v>26.43</v>
      </c>
    </row>
    <row r="7026" spans="31:31" x14ac:dyDescent="0.25">
      <c r="AE7026">
        <v>98.85</v>
      </c>
    </row>
    <row r="7027" spans="31:31" x14ac:dyDescent="0.25">
      <c r="AE7027">
        <v>119.22</v>
      </c>
    </row>
    <row r="7028" spans="31:31" x14ac:dyDescent="0.25">
      <c r="AE7028">
        <v>37.380000000000003</v>
      </c>
    </row>
    <row r="7029" spans="31:31" x14ac:dyDescent="0.25">
      <c r="AE7029">
        <v>39.32</v>
      </c>
    </row>
    <row r="7030" spans="31:31" x14ac:dyDescent="0.25">
      <c r="AE7030">
        <v>31.01</v>
      </c>
    </row>
    <row r="7031" spans="31:31" x14ac:dyDescent="0.25">
      <c r="AE7031">
        <v>198</v>
      </c>
    </row>
    <row r="7032" spans="31:31" x14ac:dyDescent="0.25">
      <c r="AE7032">
        <v>32.49</v>
      </c>
    </row>
    <row r="7033" spans="31:31" x14ac:dyDescent="0.25">
      <c r="AE7033">
        <v>20.81</v>
      </c>
    </row>
    <row r="7034" spans="31:31" x14ac:dyDescent="0.25">
      <c r="AE7034">
        <v>32.01</v>
      </c>
    </row>
    <row r="7035" spans="31:31" x14ac:dyDescent="0.25">
      <c r="AE7035">
        <v>69.87</v>
      </c>
    </row>
    <row r="7036" spans="31:31" x14ac:dyDescent="0.25">
      <c r="AE7036">
        <v>66.86</v>
      </c>
    </row>
    <row r="7037" spans="31:31" x14ac:dyDescent="0.25">
      <c r="AE7037">
        <v>14.22</v>
      </c>
    </row>
    <row r="7038" spans="31:31" x14ac:dyDescent="0.25">
      <c r="AE7038">
        <v>10.09</v>
      </c>
    </row>
    <row r="7039" spans="31:31" x14ac:dyDescent="0.25">
      <c r="AE7039">
        <v>47.64</v>
      </c>
    </row>
    <row r="7040" spans="31:31" x14ac:dyDescent="0.25">
      <c r="AE7040">
        <v>35.909999999999997</v>
      </c>
    </row>
    <row r="7041" spans="31:31" x14ac:dyDescent="0.25">
      <c r="AE7041">
        <v>21.39</v>
      </c>
    </row>
    <row r="7042" spans="31:31" x14ac:dyDescent="0.25">
      <c r="AE7042">
        <v>25.22</v>
      </c>
    </row>
    <row r="7043" spans="31:31" x14ac:dyDescent="0.25">
      <c r="AE7043">
        <v>16.12</v>
      </c>
    </row>
    <row r="7044" spans="31:31" x14ac:dyDescent="0.25">
      <c r="AE7044">
        <v>31.34</v>
      </c>
    </row>
    <row r="7045" spans="31:31" x14ac:dyDescent="0.25">
      <c r="AE7045">
        <v>47.5</v>
      </c>
    </row>
    <row r="7046" spans="31:31" x14ac:dyDescent="0.25">
      <c r="AE7046">
        <v>74.209999999999994</v>
      </c>
    </row>
    <row r="7047" spans="31:31" x14ac:dyDescent="0.25">
      <c r="AE7047">
        <v>60.66</v>
      </c>
    </row>
    <row r="7048" spans="31:31" x14ac:dyDescent="0.25">
      <c r="AE7048">
        <v>96.4</v>
      </c>
    </row>
    <row r="7049" spans="31:31" x14ac:dyDescent="0.25">
      <c r="AE7049">
        <v>62.47</v>
      </c>
    </row>
    <row r="7050" spans="31:31" x14ac:dyDescent="0.25">
      <c r="AE7050">
        <v>90.05</v>
      </c>
    </row>
    <row r="7051" spans="31:31" x14ac:dyDescent="0.25">
      <c r="AE7051">
        <v>25.85</v>
      </c>
    </row>
    <row r="7052" spans="31:31" x14ac:dyDescent="0.25">
      <c r="AE7052">
        <v>45.44</v>
      </c>
    </row>
    <row r="7053" spans="31:31" x14ac:dyDescent="0.25">
      <c r="AE7053">
        <v>11.92</v>
      </c>
    </row>
    <row r="7054" spans="31:31" x14ac:dyDescent="0.25">
      <c r="AE7054">
        <v>40.54</v>
      </c>
    </row>
    <row r="7055" spans="31:31" x14ac:dyDescent="0.25">
      <c r="AE7055">
        <v>14.28</v>
      </c>
    </row>
    <row r="7056" spans="31:31" x14ac:dyDescent="0.25">
      <c r="AE7056">
        <v>18.95</v>
      </c>
    </row>
    <row r="7057" spans="31:31" x14ac:dyDescent="0.25">
      <c r="AE7057">
        <v>28.5</v>
      </c>
    </row>
    <row r="7058" spans="31:31" x14ac:dyDescent="0.25">
      <c r="AE7058">
        <v>67.2</v>
      </c>
    </row>
    <row r="7059" spans="31:31" x14ac:dyDescent="0.25">
      <c r="AE7059">
        <v>27.03</v>
      </c>
    </row>
    <row r="7060" spans="31:31" x14ac:dyDescent="0.25">
      <c r="AE7060">
        <v>31.36</v>
      </c>
    </row>
    <row r="7061" spans="31:31" x14ac:dyDescent="0.25">
      <c r="AE7061">
        <v>12.66</v>
      </c>
    </row>
    <row r="7062" spans="31:31" x14ac:dyDescent="0.25">
      <c r="AE7062">
        <v>33.6</v>
      </c>
    </row>
    <row r="7063" spans="31:31" x14ac:dyDescent="0.25">
      <c r="AE7063">
        <v>31.6</v>
      </c>
    </row>
    <row r="7064" spans="31:31" x14ac:dyDescent="0.25">
      <c r="AE7064">
        <v>86.56</v>
      </c>
    </row>
    <row r="7065" spans="31:31" x14ac:dyDescent="0.25">
      <c r="AE7065">
        <v>17</v>
      </c>
    </row>
    <row r="7066" spans="31:31" x14ac:dyDescent="0.25">
      <c r="AE7066">
        <v>33.94</v>
      </c>
    </row>
    <row r="7067" spans="31:31" x14ac:dyDescent="0.25">
      <c r="AE7067">
        <v>95.73</v>
      </c>
    </row>
    <row r="7068" spans="31:31" x14ac:dyDescent="0.25">
      <c r="AE7068">
        <v>36.57</v>
      </c>
    </row>
    <row r="7069" spans="31:31" x14ac:dyDescent="0.25">
      <c r="AE7069">
        <v>63.67</v>
      </c>
    </row>
    <row r="7070" spans="31:31" x14ac:dyDescent="0.25">
      <c r="AE7070">
        <v>44.8</v>
      </c>
    </row>
    <row r="7071" spans="31:31" x14ac:dyDescent="0.25">
      <c r="AE7071">
        <v>97.35</v>
      </c>
    </row>
    <row r="7072" spans="31:31" x14ac:dyDescent="0.25">
      <c r="AE7072">
        <v>27.11</v>
      </c>
    </row>
    <row r="7073" spans="31:31" x14ac:dyDescent="0.25">
      <c r="AE7073">
        <v>31.31</v>
      </c>
    </row>
    <row r="7074" spans="31:31" x14ac:dyDescent="0.25">
      <c r="AE7074">
        <v>19.079999999999998</v>
      </c>
    </row>
    <row r="7075" spans="31:31" x14ac:dyDescent="0.25">
      <c r="AE7075">
        <v>32.770000000000003</v>
      </c>
    </row>
    <row r="7076" spans="31:31" x14ac:dyDescent="0.25">
      <c r="AE7076">
        <v>19.739999999999998</v>
      </c>
    </row>
    <row r="7077" spans="31:31" x14ac:dyDescent="0.25">
      <c r="AE7077">
        <v>41.18</v>
      </c>
    </row>
    <row r="7078" spans="31:31" x14ac:dyDescent="0.25">
      <c r="AE7078">
        <v>10.29</v>
      </c>
    </row>
    <row r="7079" spans="31:31" x14ac:dyDescent="0.25">
      <c r="AE7079">
        <v>66.349999999999994</v>
      </c>
    </row>
    <row r="7080" spans="31:31" x14ac:dyDescent="0.25">
      <c r="AE7080">
        <v>94.02</v>
      </c>
    </row>
    <row r="7081" spans="31:31" x14ac:dyDescent="0.25">
      <c r="AE7081">
        <v>89.2</v>
      </c>
    </row>
    <row r="7082" spans="31:31" x14ac:dyDescent="0.25">
      <c r="AE7082">
        <v>33.340000000000003</v>
      </c>
    </row>
    <row r="7083" spans="31:31" x14ac:dyDescent="0.25">
      <c r="AE7083">
        <v>72.3</v>
      </c>
    </row>
    <row r="7084" spans="31:31" x14ac:dyDescent="0.25">
      <c r="AE7084">
        <v>21.23</v>
      </c>
    </row>
    <row r="7085" spans="31:31" x14ac:dyDescent="0.25">
      <c r="AE7085">
        <v>19.23</v>
      </c>
    </row>
    <row r="7086" spans="31:31" x14ac:dyDescent="0.25">
      <c r="AE7086">
        <v>9.99</v>
      </c>
    </row>
    <row r="7087" spans="31:31" x14ac:dyDescent="0.25">
      <c r="AE7087">
        <v>104.12</v>
      </c>
    </row>
    <row r="7088" spans="31:31" x14ac:dyDescent="0.25">
      <c r="AE7088">
        <v>19.23</v>
      </c>
    </row>
    <row r="7089" spans="31:31" x14ac:dyDescent="0.25">
      <c r="AE7089">
        <v>10.29</v>
      </c>
    </row>
    <row r="7090" spans="31:31" x14ac:dyDescent="0.25">
      <c r="AE7090">
        <v>12.03</v>
      </c>
    </row>
    <row r="7091" spans="31:31" x14ac:dyDescent="0.25">
      <c r="AE7091">
        <v>10.09</v>
      </c>
    </row>
    <row r="7092" spans="31:31" x14ac:dyDescent="0.25">
      <c r="AE7092">
        <v>0</v>
      </c>
    </row>
    <row r="7093" spans="31:31" x14ac:dyDescent="0.25">
      <c r="AE7093">
        <v>10.61</v>
      </c>
    </row>
    <row r="7094" spans="31:31" x14ac:dyDescent="0.25">
      <c r="AE7094">
        <v>1.08</v>
      </c>
    </row>
    <row r="7095" spans="31:31" x14ac:dyDescent="0.25">
      <c r="AE7095">
        <v>50.18</v>
      </c>
    </row>
    <row r="7096" spans="31:31" x14ac:dyDescent="0.25">
      <c r="AE7096">
        <v>10.039999999999999</v>
      </c>
    </row>
    <row r="7097" spans="31:31" x14ac:dyDescent="0.25">
      <c r="AE7097">
        <v>39.46</v>
      </c>
    </row>
    <row r="7098" spans="31:31" x14ac:dyDescent="0.25">
      <c r="AE7098">
        <v>20.62</v>
      </c>
    </row>
    <row r="7099" spans="31:31" x14ac:dyDescent="0.25">
      <c r="AE7099">
        <v>0.9</v>
      </c>
    </row>
    <row r="7100" spans="31:31" x14ac:dyDescent="0.25">
      <c r="AE7100">
        <v>14.83</v>
      </c>
    </row>
    <row r="7101" spans="31:31" x14ac:dyDescent="0.25">
      <c r="AE7101">
        <v>56.12</v>
      </c>
    </row>
    <row r="7102" spans="31:31" x14ac:dyDescent="0.25">
      <c r="AE7102">
        <v>45.09</v>
      </c>
    </row>
    <row r="7103" spans="31:31" x14ac:dyDescent="0.25">
      <c r="AE7103">
        <v>26.6</v>
      </c>
    </row>
    <row r="7104" spans="31:31" x14ac:dyDescent="0.25">
      <c r="AE7104">
        <v>9.99</v>
      </c>
    </row>
    <row r="7105" spans="31:31" x14ac:dyDescent="0.25">
      <c r="AE7105">
        <v>14.17</v>
      </c>
    </row>
    <row r="7106" spans="31:31" x14ac:dyDescent="0.25">
      <c r="AE7106">
        <v>37.46</v>
      </c>
    </row>
    <row r="7107" spans="31:31" x14ac:dyDescent="0.25">
      <c r="AE7107">
        <v>17.649999999999999</v>
      </c>
    </row>
    <row r="7108" spans="31:31" x14ac:dyDescent="0.25">
      <c r="AE7108">
        <v>56.4</v>
      </c>
    </row>
    <row r="7109" spans="31:31" x14ac:dyDescent="0.25">
      <c r="AE7109">
        <v>41.53</v>
      </c>
    </row>
    <row r="7110" spans="31:31" x14ac:dyDescent="0.25">
      <c r="AE7110">
        <v>51</v>
      </c>
    </row>
    <row r="7111" spans="31:31" x14ac:dyDescent="0.25">
      <c r="AE7111">
        <v>88.25</v>
      </c>
    </row>
    <row r="7112" spans="31:31" x14ac:dyDescent="0.25">
      <c r="AE7112">
        <v>16.3</v>
      </c>
    </row>
    <row r="7113" spans="31:31" x14ac:dyDescent="0.25">
      <c r="AE7113">
        <v>24.5</v>
      </c>
    </row>
    <row r="7114" spans="31:31" x14ac:dyDescent="0.25">
      <c r="AE7114">
        <v>261.06</v>
      </c>
    </row>
    <row r="7115" spans="31:31" x14ac:dyDescent="0.25">
      <c r="AE7115">
        <v>21.88</v>
      </c>
    </row>
    <row r="7116" spans="31:31" x14ac:dyDescent="0.25">
      <c r="AE7116">
        <v>57.03</v>
      </c>
    </row>
    <row r="7117" spans="31:31" x14ac:dyDescent="0.25">
      <c r="AE7117">
        <v>18.95</v>
      </c>
    </row>
    <row r="7118" spans="31:31" x14ac:dyDescent="0.25">
      <c r="AE7118">
        <v>79.3</v>
      </c>
    </row>
    <row r="7119" spans="31:31" x14ac:dyDescent="0.25">
      <c r="AE7119">
        <v>49.09</v>
      </c>
    </row>
    <row r="7120" spans="31:31" x14ac:dyDescent="0.25">
      <c r="AE7120">
        <v>36.619999999999997</v>
      </c>
    </row>
    <row r="7121" spans="31:31" x14ac:dyDescent="0.25">
      <c r="AE7121">
        <v>31.84</v>
      </c>
    </row>
    <row r="7122" spans="31:31" x14ac:dyDescent="0.25">
      <c r="AE7122">
        <v>35.700000000000003</v>
      </c>
    </row>
    <row r="7123" spans="31:31" x14ac:dyDescent="0.25">
      <c r="AE7123">
        <v>39.26</v>
      </c>
    </row>
    <row r="7124" spans="31:31" x14ac:dyDescent="0.25">
      <c r="AE7124">
        <v>42.08</v>
      </c>
    </row>
    <row r="7125" spans="31:31" x14ac:dyDescent="0.25">
      <c r="AE7125">
        <v>41.53</v>
      </c>
    </row>
    <row r="7126" spans="31:31" x14ac:dyDescent="0.25">
      <c r="AE7126">
        <v>15.28</v>
      </c>
    </row>
    <row r="7127" spans="31:31" x14ac:dyDescent="0.25">
      <c r="AE7127">
        <v>28.69</v>
      </c>
    </row>
    <row r="7128" spans="31:31" x14ac:dyDescent="0.25">
      <c r="AE7128">
        <v>19.07</v>
      </c>
    </row>
    <row r="7129" spans="31:31" x14ac:dyDescent="0.25">
      <c r="AE7129">
        <v>14.95</v>
      </c>
    </row>
    <row r="7130" spans="31:31" x14ac:dyDescent="0.25">
      <c r="AE7130">
        <v>87.39</v>
      </c>
    </row>
    <row r="7131" spans="31:31" x14ac:dyDescent="0.25">
      <c r="AE7131">
        <v>46.71</v>
      </c>
    </row>
    <row r="7132" spans="31:31" x14ac:dyDescent="0.25">
      <c r="AE7132">
        <v>22.65</v>
      </c>
    </row>
    <row r="7133" spans="31:31" x14ac:dyDescent="0.25">
      <c r="AE7133">
        <v>40.36</v>
      </c>
    </row>
    <row r="7134" spans="31:31" x14ac:dyDescent="0.25">
      <c r="AE7134">
        <v>57.89</v>
      </c>
    </row>
    <row r="7135" spans="31:31" x14ac:dyDescent="0.25">
      <c r="AE7135">
        <v>34.61</v>
      </c>
    </row>
    <row r="7136" spans="31:31" x14ac:dyDescent="0.25">
      <c r="AE7136">
        <v>15.87</v>
      </c>
    </row>
    <row r="7137" spans="31:31" x14ac:dyDescent="0.25">
      <c r="AE7137">
        <v>18.43</v>
      </c>
    </row>
    <row r="7138" spans="31:31" x14ac:dyDescent="0.25">
      <c r="AE7138">
        <v>65.989999999999995</v>
      </c>
    </row>
    <row r="7139" spans="31:31" x14ac:dyDescent="0.25">
      <c r="AE7139">
        <v>250.33</v>
      </c>
    </row>
    <row r="7140" spans="31:31" x14ac:dyDescent="0.25">
      <c r="AE7140">
        <v>25.82</v>
      </c>
    </row>
    <row r="7141" spans="31:31" x14ac:dyDescent="0.25">
      <c r="AE7141">
        <v>0.81</v>
      </c>
    </row>
    <row r="7142" spans="31:31" x14ac:dyDescent="0.25">
      <c r="AE7142">
        <v>25.45</v>
      </c>
    </row>
    <row r="7143" spans="31:31" x14ac:dyDescent="0.25">
      <c r="AE7143">
        <v>67.709999999999994</v>
      </c>
    </row>
    <row r="7144" spans="31:31" x14ac:dyDescent="0.25">
      <c r="AE7144">
        <v>33.119999999999997</v>
      </c>
    </row>
    <row r="7145" spans="31:31" x14ac:dyDescent="0.25">
      <c r="AE7145">
        <v>66.8</v>
      </c>
    </row>
    <row r="7146" spans="31:31" x14ac:dyDescent="0.25">
      <c r="AE7146">
        <v>33.520000000000003</v>
      </c>
    </row>
    <row r="7147" spans="31:31" x14ac:dyDescent="0.25">
      <c r="AE7147">
        <v>43.97</v>
      </c>
    </row>
    <row r="7148" spans="31:31" x14ac:dyDescent="0.25">
      <c r="AE7148">
        <v>78.430000000000007</v>
      </c>
    </row>
    <row r="7149" spans="31:31" x14ac:dyDescent="0.25">
      <c r="AE7149">
        <v>17.649999999999999</v>
      </c>
    </row>
    <row r="7150" spans="31:31" x14ac:dyDescent="0.25">
      <c r="AE7150">
        <v>61.12</v>
      </c>
    </row>
    <row r="7151" spans="31:31" x14ac:dyDescent="0.25">
      <c r="AE7151">
        <v>37.880000000000003</v>
      </c>
    </row>
    <row r="7152" spans="31:31" x14ac:dyDescent="0.25">
      <c r="AE7152">
        <v>22.55</v>
      </c>
    </row>
    <row r="7153" spans="31:31" x14ac:dyDescent="0.25">
      <c r="AE7153">
        <v>15.32</v>
      </c>
    </row>
    <row r="7154" spans="31:31" x14ac:dyDescent="0.25">
      <c r="AE7154">
        <v>16.93</v>
      </c>
    </row>
    <row r="7155" spans="31:31" x14ac:dyDescent="0.25">
      <c r="AE7155">
        <v>28.76</v>
      </c>
    </row>
    <row r="7156" spans="31:31" x14ac:dyDescent="0.25">
      <c r="AE7156">
        <v>16.16</v>
      </c>
    </row>
    <row r="7157" spans="31:31" x14ac:dyDescent="0.25">
      <c r="AE7157">
        <v>56.48</v>
      </c>
    </row>
    <row r="7158" spans="31:31" x14ac:dyDescent="0.25">
      <c r="AE7158">
        <v>46.06</v>
      </c>
    </row>
    <row r="7159" spans="31:31" x14ac:dyDescent="0.25">
      <c r="AE7159">
        <v>47.88</v>
      </c>
    </row>
    <row r="7160" spans="31:31" x14ac:dyDescent="0.25">
      <c r="AE7160">
        <v>55.73</v>
      </c>
    </row>
    <row r="7161" spans="31:31" x14ac:dyDescent="0.25">
      <c r="AE7161">
        <v>108.86</v>
      </c>
    </row>
    <row r="7162" spans="31:31" x14ac:dyDescent="0.25">
      <c r="AE7162">
        <v>10.44</v>
      </c>
    </row>
    <row r="7163" spans="31:31" x14ac:dyDescent="0.25">
      <c r="AE7163">
        <v>65.53</v>
      </c>
    </row>
    <row r="7164" spans="31:31" x14ac:dyDescent="0.25">
      <c r="AE7164">
        <v>103.73</v>
      </c>
    </row>
    <row r="7165" spans="31:31" x14ac:dyDescent="0.25">
      <c r="AE7165">
        <v>13.92</v>
      </c>
    </row>
    <row r="7166" spans="31:31" x14ac:dyDescent="0.25">
      <c r="AE7166">
        <v>35.450000000000003</v>
      </c>
    </row>
    <row r="7167" spans="31:31" x14ac:dyDescent="0.25">
      <c r="AE7167">
        <v>42.74</v>
      </c>
    </row>
    <row r="7168" spans="31:31" x14ac:dyDescent="0.25">
      <c r="AE7168">
        <v>32.43</v>
      </c>
    </row>
    <row r="7169" spans="31:31" x14ac:dyDescent="0.25">
      <c r="AE7169">
        <v>13.16</v>
      </c>
    </row>
    <row r="7170" spans="31:31" x14ac:dyDescent="0.25">
      <c r="AE7170">
        <v>74.3</v>
      </c>
    </row>
    <row r="7171" spans="31:31" x14ac:dyDescent="0.25">
      <c r="AE7171">
        <v>12.65</v>
      </c>
    </row>
    <row r="7172" spans="31:31" x14ac:dyDescent="0.25">
      <c r="AE7172">
        <v>60.14</v>
      </c>
    </row>
    <row r="7173" spans="31:31" x14ac:dyDescent="0.25">
      <c r="AE7173">
        <v>170.05</v>
      </c>
    </row>
    <row r="7174" spans="31:31" x14ac:dyDescent="0.25">
      <c r="AE7174">
        <v>34.61</v>
      </c>
    </row>
    <row r="7175" spans="31:31" x14ac:dyDescent="0.25">
      <c r="AE7175">
        <v>46.5</v>
      </c>
    </row>
    <row r="7176" spans="31:31" x14ac:dyDescent="0.25">
      <c r="AE7176">
        <v>115.23</v>
      </c>
    </row>
    <row r="7177" spans="31:31" x14ac:dyDescent="0.25">
      <c r="AE7177">
        <v>0.18</v>
      </c>
    </row>
    <row r="7178" spans="31:31" x14ac:dyDescent="0.25">
      <c r="AE7178">
        <v>10.24</v>
      </c>
    </row>
    <row r="7179" spans="31:31" x14ac:dyDescent="0.25">
      <c r="AE7179">
        <v>45.49</v>
      </c>
    </row>
    <row r="7180" spans="31:31" x14ac:dyDescent="0.25">
      <c r="AE7180">
        <v>21.19</v>
      </c>
    </row>
    <row r="7181" spans="31:31" x14ac:dyDescent="0.25">
      <c r="AE7181">
        <v>157.44</v>
      </c>
    </row>
    <row r="7182" spans="31:31" x14ac:dyDescent="0.25">
      <c r="AE7182">
        <v>13.76</v>
      </c>
    </row>
    <row r="7183" spans="31:31" x14ac:dyDescent="0.25">
      <c r="AE7183">
        <v>46.8</v>
      </c>
    </row>
    <row r="7184" spans="31:31" x14ac:dyDescent="0.25">
      <c r="AE7184">
        <v>10.039999999999999</v>
      </c>
    </row>
    <row r="7185" spans="31:31" x14ac:dyDescent="0.25">
      <c r="AE7185">
        <v>12.91</v>
      </c>
    </row>
    <row r="7186" spans="31:31" x14ac:dyDescent="0.25">
      <c r="AE7186">
        <v>114.73</v>
      </c>
    </row>
    <row r="7187" spans="31:31" x14ac:dyDescent="0.25">
      <c r="AE7187">
        <v>10.14</v>
      </c>
    </row>
    <row r="7188" spans="31:31" x14ac:dyDescent="0.25">
      <c r="AE7188">
        <v>92.87</v>
      </c>
    </row>
    <row r="7189" spans="31:31" x14ac:dyDescent="0.25">
      <c r="AE7189">
        <v>22.51</v>
      </c>
    </row>
    <row r="7190" spans="31:31" x14ac:dyDescent="0.25">
      <c r="AE7190">
        <v>205.61</v>
      </c>
    </row>
    <row r="7191" spans="31:31" x14ac:dyDescent="0.25">
      <c r="AE7191">
        <v>125.24</v>
      </c>
    </row>
    <row r="7192" spans="31:31" x14ac:dyDescent="0.25">
      <c r="AE7192">
        <v>107.54</v>
      </c>
    </row>
    <row r="7193" spans="31:31" x14ac:dyDescent="0.25">
      <c r="AE7193">
        <v>11.24</v>
      </c>
    </row>
    <row r="7194" spans="31:31" x14ac:dyDescent="0.25">
      <c r="AE7194">
        <v>176.96</v>
      </c>
    </row>
    <row r="7195" spans="31:31" x14ac:dyDescent="0.25">
      <c r="AE7195">
        <v>53.31</v>
      </c>
    </row>
    <row r="7196" spans="31:31" x14ac:dyDescent="0.25">
      <c r="AE7196">
        <v>0.18</v>
      </c>
    </row>
    <row r="7197" spans="31:31" x14ac:dyDescent="0.25">
      <c r="AE7197">
        <v>54.46</v>
      </c>
    </row>
    <row r="7198" spans="31:31" x14ac:dyDescent="0.25">
      <c r="AE7198">
        <v>18.920000000000002</v>
      </c>
    </row>
    <row r="7199" spans="31:31" x14ac:dyDescent="0.25">
      <c r="AE7199">
        <v>68.569999999999993</v>
      </c>
    </row>
    <row r="7200" spans="31:31" x14ac:dyDescent="0.25">
      <c r="AE7200">
        <v>66.75</v>
      </c>
    </row>
    <row r="7201" spans="31:31" x14ac:dyDescent="0.25">
      <c r="AE7201">
        <v>41.21</v>
      </c>
    </row>
    <row r="7202" spans="31:31" x14ac:dyDescent="0.25">
      <c r="AE7202">
        <v>48.38</v>
      </c>
    </row>
    <row r="7203" spans="31:31" x14ac:dyDescent="0.25">
      <c r="AE7203">
        <v>33.32</v>
      </c>
    </row>
    <row r="7204" spans="31:31" x14ac:dyDescent="0.25">
      <c r="AE7204">
        <v>20.440000000000001</v>
      </c>
    </row>
    <row r="7205" spans="31:31" x14ac:dyDescent="0.25">
      <c r="AE7205">
        <v>24.02</v>
      </c>
    </row>
    <row r="7206" spans="31:31" x14ac:dyDescent="0.25">
      <c r="AE7206">
        <v>140.46</v>
      </c>
    </row>
    <row r="7207" spans="31:31" x14ac:dyDescent="0.25">
      <c r="AE7207">
        <v>58.09</v>
      </c>
    </row>
    <row r="7208" spans="31:31" x14ac:dyDescent="0.25">
      <c r="AE7208">
        <v>14.08</v>
      </c>
    </row>
    <row r="7209" spans="31:31" x14ac:dyDescent="0.25">
      <c r="AE7209">
        <v>40.19</v>
      </c>
    </row>
    <row r="7210" spans="31:31" x14ac:dyDescent="0.25">
      <c r="AE7210">
        <v>20.82</v>
      </c>
    </row>
    <row r="7211" spans="31:31" x14ac:dyDescent="0.25">
      <c r="AE7211">
        <v>16.010000000000002</v>
      </c>
    </row>
    <row r="7212" spans="31:31" x14ac:dyDescent="0.25">
      <c r="AE7212">
        <v>31.23</v>
      </c>
    </row>
    <row r="7213" spans="31:31" x14ac:dyDescent="0.25">
      <c r="AE7213">
        <v>6.18</v>
      </c>
    </row>
    <row r="7214" spans="31:31" x14ac:dyDescent="0.25">
      <c r="AE7214">
        <v>46.58</v>
      </c>
    </row>
    <row r="7215" spans="31:31" x14ac:dyDescent="0.25">
      <c r="AE7215">
        <v>52.54</v>
      </c>
    </row>
    <row r="7216" spans="31:31" x14ac:dyDescent="0.25">
      <c r="AE7216">
        <v>134.05000000000001</v>
      </c>
    </row>
    <row r="7217" spans="31:31" x14ac:dyDescent="0.25">
      <c r="AE7217">
        <v>32.04</v>
      </c>
    </row>
    <row r="7218" spans="31:31" x14ac:dyDescent="0.25">
      <c r="AE7218">
        <v>0.36</v>
      </c>
    </row>
    <row r="7219" spans="31:31" x14ac:dyDescent="0.25">
      <c r="AE7219">
        <v>22.53</v>
      </c>
    </row>
    <row r="7220" spans="31:31" x14ac:dyDescent="0.25">
      <c r="AE7220">
        <v>16.04</v>
      </c>
    </row>
    <row r="7221" spans="31:31" x14ac:dyDescent="0.25">
      <c r="AE7221">
        <v>40.68</v>
      </c>
    </row>
    <row r="7222" spans="31:31" x14ac:dyDescent="0.25">
      <c r="AE7222">
        <v>56.77</v>
      </c>
    </row>
    <row r="7223" spans="31:31" x14ac:dyDescent="0.25">
      <c r="AE7223">
        <v>22.53</v>
      </c>
    </row>
    <row r="7224" spans="31:31" x14ac:dyDescent="0.25">
      <c r="AE7224">
        <v>167.89</v>
      </c>
    </row>
    <row r="7225" spans="31:31" x14ac:dyDescent="0.25">
      <c r="AE7225">
        <v>48.92</v>
      </c>
    </row>
    <row r="7226" spans="31:31" x14ac:dyDescent="0.25">
      <c r="AE7226">
        <v>38.049999999999997</v>
      </c>
    </row>
    <row r="7227" spans="31:31" x14ac:dyDescent="0.25">
      <c r="AE7227">
        <v>38.840000000000003</v>
      </c>
    </row>
    <row r="7228" spans="31:31" x14ac:dyDescent="0.25">
      <c r="AE7228">
        <v>89.37</v>
      </c>
    </row>
    <row r="7229" spans="31:31" x14ac:dyDescent="0.25">
      <c r="AE7229">
        <v>26.65</v>
      </c>
    </row>
    <row r="7230" spans="31:31" x14ac:dyDescent="0.25">
      <c r="AE7230">
        <v>39.01</v>
      </c>
    </row>
    <row r="7231" spans="31:31" x14ac:dyDescent="0.25">
      <c r="AE7231">
        <v>60.05</v>
      </c>
    </row>
    <row r="7232" spans="31:31" x14ac:dyDescent="0.25">
      <c r="AE7232">
        <v>52.79</v>
      </c>
    </row>
    <row r="7233" spans="31:31" x14ac:dyDescent="0.25">
      <c r="AE7233">
        <v>97.86</v>
      </c>
    </row>
    <row r="7234" spans="31:31" x14ac:dyDescent="0.25">
      <c r="AE7234">
        <v>40.29</v>
      </c>
    </row>
    <row r="7235" spans="31:31" x14ac:dyDescent="0.25">
      <c r="AE7235">
        <v>10.24</v>
      </c>
    </row>
    <row r="7236" spans="31:31" x14ac:dyDescent="0.25">
      <c r="AE7236">
        <v>56.52</v>
      </c>
    </row>
    <row r="7237" spans="31:31" x14ac:dyDescent="0.25">
      <c r="AE7237">
        <v>46.03</v>
      </c>
    </row>
    <row r="7238" spans="31:31" x14ac:dyDescent="0.25">
      <c r="AE7238">
        <v>10.039999999999999</v>
      </c>
    </row>
    <row r="7239" spans="31:31" x14ac:dyDescent="0.25">
      <c r="AE7239">
        <v>109.39</v>
      </c>
    </row>
    <row r="7240" spans="31:31" x14ac:dyDescent="0.25">
      <c r="AE7240">
        <v>129.47</v>
      </c>
    </row>
    <row r="7241" spans="31:31" x14ac:dyDescent="0.25">
      <c r="AE7241">
        <v>28.63</v>
      </c>
    </row>
    <row r="7242" spans="31:31" x14ac:dyDescent="0.25">
      <c r="AE7242">
        <v>37.46</v>
      </c>
    </row>
    <row r="7243" spans="31:31" x14ac:dyDescent="0.25">
      <c r="AE7243">
        <v>15.71</v>
      </c>
    </row>
    <row r="7244" spans="31:31" x14ac:dyDescent="0.25">
      <c r="AE7244">
        <v>60.77</v>
      </c>
    </row>
    <row r="7245" spans="31:31" x14ac:dyDescent="0.25">
      <c r="AE7245">
        <v>17.649999999999999</v>
      </c>
    </row>
    <row r="7246" spans="31:31" x14ac:dyDescent="0.25">
      <c r="AE7246">
        <v>93.49</v>
      </c>
    </row>
    <row r="7247" spans="31:31" x14ac:dyDescent="0.25">
      <c r="AE7247">
        <v>154.38</v>
      </c>
    </row>
    <row r="7248" spans="31:31" x14ac:dyDescent="0.25">
      <c r="AE7248">
        <v>109.96</v>
      </c>
    </row>
    <row r="7249" spans="31:31" x14ac:dyDescent="0.25">
      <c r="AE7249">
        <v>67.67</v>
      </c>
    </row>
    <row r="7250" spans="31:31" x14ac:dyDescent="0.25">
      <c r="AE7250">
        <v>20.72</v>
      </c>
    </row>
    <row r="7251" spans="31:31" x14ac:dyDescent="0.25">
      <c r="AE7251">
        <v>28.22</v>
      </c>
    </row>
    <row r="7252" spans="31:31" x14ac:dyDescent="0.25">
      <c r="AE7252">
        <v>110.44</v>
      </c>
    </row>
    <row r="7253" spans="31:31" x14ac:dyDescent="0.25">
      <c r="AE7253">
        <v>73.91</v>
      </c>
    </row>
    <row r="7254" spans="31:31" x14ac:dyDescent="0.25">
      <c r="AE7254">
        <v>76.86</v>
      </c>
    </row>
    <row r="7255" spans="31:31" x14ac:dyDescent="0.25">
      <c r="AE7255">
        <v>61.48</v>
      </c>
    </row>
    <row r="7256" spans="31:31" x14ac:dyDescent="0.25">
      <c r="AE7256">
        <v>85.73</v>
      </c>
    </row>
    <row r="7257" spans="31:31" x14ac:dyDescent="0.25">
      <c r="AE7257">
        <v>78.61</v>
      </c>
    </row>
    <row r="7258" spans="31:31" x14ac:dyDescent="0.25">
      <c r="AE7258">
        <v>61.54</v>
      </c>
    </row>
    <row r="7259" spans="31:31" x14ac:dyDescent="0.25">
      <c r="AE7259">
        <v>29.68</v>
      </c>
    </row>
    <row r="7260" spans="31:31" x14ac:dyDescent="0.25">
      <c r="AE7260">
        <v>31.75</v>
      </c>
    </row>
    <row r="7261" spans="31:31" x14ac:dyDescent="0.25">
      <c r="AE7261">
        <v>45.92</v>
      </c>
    </row>
    <row r="7262" spans="31:31" x14ac:dyDescent="0.25">
      <c r="AE7262">
        <v>18.579999999999998</v>
      </c>
    </row>
    <row r="7263" spans="31:31" x14ac:dyDescent="0.25">
      <c r="AE7263">
        <v>32.51</v>
      </c>
    </row>
    <row r="7264" spans="31:31" x14ac:dyDescent="0.25">
      <c r="AE7264">
        <v>11.88</v>
      </c>
    </row>
    <row r="7265" spans="31:31" x14ac:dyDescent="0.25">
      <c r="AE7265">
        <v>72.28</v>
      </c>
    </row>
    <row r="7266" spans="31:31" x14ac:dyDescent="0.25">
      <c r="AE7266">
        <v>26.09</v>
      </c>
    </row>
    <row r="7267" spans="31:31" x14ac:dyDescent="0.25">
      <c r="AE7267">
        <v>12.5</v>
      </c>
    </row>
    <row r="7268" spans="31:31" x14ac:dyDescent="0.25">
      <c r="AE7268">
        <v>23.6</v>
      </c>
    </row>
    <row r="7269" spans="31:31" x14ac:dyDescent="0.25">
      <c r="AE7269">
        <v>8.7799999999999994</v>
      </c>
    </row>
    <row r="7270" spans="31:31" x14ac:dyDescent="0.25">
      <c r="AE7270">
        <v>49.68</v>
      </c>
    </row>
    <row r="7271" spans="31:31" x14ac:dyDescent="0.25">
      <c r="AE7271">
        <v>92.8</v>
      </c>
    </row>
    <row r="7272" spans="31:31" x14ac:dyDescent="0.25">
      <c r="AE7272">
        <v>34.93</v>
      </c>
    </row>
    <row r="7273" spans="31:31" x14ac:dyDescent="0.25">
      <c r="AE7273">
        <v>83.75</v>
      </c>
    </row>
    <row r="7274" spans="31:31" x14ac:dyDescent="0.25">
      <c r="AE7274">
        <v>52</v>
      </c>
    </row>
    <row r="7275" spans="31:31" x14ac:dyDescent="0.25">
      <c r="AE7275">
        <v>71.91</v>
      </c>
    </row>
    <row r="7276" spans="31:31" x14ac:dyDescent="0.25">
      <c r="AE7276">
        <v>4.7699999999999996</v>
      </c>
    </row>
    <row r="7277" spans="31:31" x14ac:dyDescent="0.25">
      <c r="AE7277">
        <v>77.290000000000006</v>
      </c>
    </row>
    <row r="7278" spans="31:31" x14ac:dyDescent="0.25">
      <c r="AE7278">
        <v>72.89</v>
      </c>
    </row>
    <row r="7279" spans="31:31" x14ac:dyDescent="0.25">
      <c r="AE7279">
        <v>123.41</v>
      </c>
    </row>
    <row r="7280" spans="31:31" x14ac:dyDescent="0.25">
      <c r="AE7280">
        <v>27.52</v>
      </c>
    </row>
    <row r="7281" spans="31:31" x14ac:dyDescent="0.25">
      <c r="AE7281">
        <v>16.579999999999998</v>
      </c>
    </row>
    <row r="7282" spans="31:31" x14ac:dyDescent="0.25">
      <c r="AE7282">
        <v>43.91</v>
      </c>
    </row>
    <row r="7283" spans="31:31" x14ac:dyDescent="0.25">
      <c r="AE7283">
        <v>22.99</v>
      </c>
    </row>
    <row r="7284" spans="31:31" x14ac:dyDescent="0.25">
      <c r="AE7284">
        <v>69.069999999999993</v>
      </c>
    </row>
    <row r="7285" spans="31:31" x14ac:dyDescent="0.25">
      <c r="AE7285">
        <v>36</v>
      </c>
    </row>
    <row r="7286" spans="31:31" x14ac:dyDescent="0.25">
      <c r="AE7286">
        <v>61.48</v>
      </c>
    </row>
    <row r="7287" spans="31:31" x14ac:dyDescent="0.25">
      <c r="AE7287">
        <v>40.98</v>
      </c>
    </row>
    <row r="7288" spans="31:31" x14ac:dyDescent="0.25">
      <c r="AE7288">
        <v>29.62</v>
      </c>
    </row>
    <row r="7289" spans="31:31" x14ac:dyDescent="0.25">
      <c r="AE7289">
        <v>22.66</v>
      </c>
    </row>
    <row r="7290" spans="31:31" x14ac:dyDescent="0.25">
      <c r="AE7290">
        <v>18.07</v>
      </c>
    </row>
    <row r="7291" spans="31:31" x14ac:dyDescent="0.25">
      <c r="AE7291">
        <v>43.2</v>
      </c>
    </row>
    <row r="7292" spans="31:31" x14ac:dyDescent="0.25">
      <c r="AE7292">
        <v>112.31</v>
      </c>
    </row>
    <row r="7293" spans="31:31" x14ac:dyDescent="0.25">
      <c r="AE7293">
        <v>28.1</v>
      </c>
    </row>
    <row r="7294" spans="31:31" x14ac:dyDescent="0.25">
      <c r="AE7294">
        <v>23.04</v>
      </c>
    </row>
    <row r="7295" spans="31:31" x14ac:dyDescent="0.25">
      <c r="AE7295">
        <v>54.7</v>
      </c>
    </row>
    <row r="7296" spans="31:31" x14ac:dyDescent="0.25">
      <c r="AE7296">
        <v>172.15</v>
      </c>
    </row>
    <row r="7297" spans="31:31" x14ac:dyDescent="0.25">
      <c r="AE7297">
        <v>10.7</v>
      </c>
    </row>
    <row r="7298" spans="31:31" x14ac:dyDescent="0.25">
      <c r="AE7298">
        <v>36.380000000000003</v>
      </c>
    </row>
    <row r="7299" spans="31:31" x14ac:dyDescent="0.25">
      <c r="AE7299">
        <v>34.71</v>
      </c>
    </row>
    <row r="7300" spans="31:31" x14ac:dyDescent="0.25">
      <c r="AE7300">
        <v>0.27</v>
      </c>
    </row>
    <row r="7301" spans="31:31" x14ac:dyDescent="0.25">
      <c r="AE7301">
        <v>57.3</v>
      </c>
    </row>
    <row r="7302" spans="31:31" x14ac:dyDescent="0.25">
      <c r="AE7302">
        <v>27.81</v>
      </c>
    </row>
    <row r="7303" spans="31:31" x14ac:dyDescent="0.25">
      <c r="AE7303">
        <v>27.56</v>
      </c>
    </row>
    <row r="7304" spans="31:31" x14ac:dyDescent="0.25">
      <c r="AE7304">
        <v>16.87</v>
      </c>
    </row>
    <row r="7305" spans="31:31" x14ac:dyDescent="0.25">
      <c r="AE7305">
        <v>17.989999999999998</v>
      </c>
    </row>
    <row r="7306" spans="31:31" x14ac:dyDescent="0.25">
      <c r="AE7306">
        <v>41.06</v>
      </c>
    </row>
    <row r="7307" spans="31:31" x14ac:dyDescent="0.25">
      <c r="AE7307">
        <v>69.02</v>
      </c>
    </row>
    <row r="7308" spans="31:31" x14ac:dyDescent="0.25">
      <c r="AE7308">
        <v>22.85</v>
      </c>
    </row>
    <row r="7309" spans="31:31" x14ac:dyDescent="0.25">
      <c r="AE7309">
        <v>20.92</v>
      </c>
    </row>
    <row r="7310" spans="31:31" x14ac:dyDescent="0.25">
      <c r="AE7310">
        <v>136.35</v>
      </c>
    </row>
    <row r="7311" spans="31:31" x14ac:dyDescent="0.25">
      <c r="AE7311">
        <v>28.21</v>
      </c>
    </row>
    <row r="7312" spans="31:31" x14ac:dyDescent="0.25">
      <c r="AE7312">
        <v>42.15</v>
      </c>
    </row>
    <row r="7313" spans="31:31" x14ac:dyDescent="0.25">
      <c r="AE7313">
        <v>5.41</v>
      </c>
    </row>
    <row r="7314" spans="31:31" x14ac:dyDescent="0.25">
      <c r="AE7314">
        <v>53.68</v>
      </c>
    </row>
    <row r="7315" spans="31:31" x14ac:dyDescent="0.25">
      <c r="AE7315">
        <v>70.59</v>
      </c>
    </row>
    <row r="7316" spans="31:31" x14ac:dyDescent="0.25">
      <c r="AE7316">
        <v>35.26</v>
      </c>
    </row>
    <row r="7317" spans="31:31" x14ac:dyDescent="0.25">
      <c r="AE7317">
        <v>19.39</v>
      </c>
    </row>
    <row r="7318" spans="31:31" x14ac:dyDescent="0.25">
      <c r="AE7318">
        <v>373.21</v>
      </c>
    </row>
    <row r="7319" spans="31:31" x14ac:dyDescent="0.25">
      <c r="AE7319">
        <v>25.21</v>
      </c>
    </row>
    <row r="7320" spans="31:31" x14ac:dyDescent="0.25">
      <c r="AE7320">
        <v>68.69</v>
      </c>
    </row>
    <row r="7321" spans="31:31" x14ac:dyDescent="0.25">
      <c r="AE7321">
        <v>70.27</v>
      </c>
    </row>
    <row r="7322" spans="31:31" x14ac:dyDescent="0.25">
      <c r="AE7322">
        <v>99.11</v>
      </c>
    </row>
    <row r="7323" spans="31:31" x14ac:dyDescent="0.25">
      <c r="AE7323">
        <v>56.19</v>
      </c>
    </row>
    <row r="7324" spans="31:31" x14ac:dyDescent="0.25">
      <c r="AE7324">
        <v>10.57</v>
      </c>
    </row>
    <row r="7325" spans="31:31" x14ac:dyDescent="0.25">
      <c r="AE7325">
        <v>10.24</v>
      </c>
    </row>
    <row r="7326" spans="31:31" x14ac:dyDescent="0.25">
      <c r="AE7326">
        <v>32.82</v>
      </c>
    </row>
    <row r="7327" spans="31:31" x14ac:dyDescent="0.25">
      <c r="AE7327">
        <v>61.55</v>
      </c>
    </row>
    <row r="7328" spans="31:31" x14ac:dyDescent="0.25">
      <c r="AE7328">
        <v>26.89</v>
      </c>
    </row>
    <row r="7329" spans="31:31" x14ac:dyDescent="0.25">
      <c r="AE7329">
        <v>0</v>
      </c>
    </row>
    <row r="7330" spans="31:31" x14ac:dyDescent="0.25">
      <c r="AE7330">
        <v>39.86</v>
      </c>
    </row>
    <row r="7331" spans="31:31" x14ac:dyDescent="0.25">
      <c r="AE7331">
        <v>131.53</v>
      </c>
    </row>
    <row r="7332" spans="31:31" x14ac:dyDescent="0.25">
      <c r="AE7332">
        <v>24.22</v>
      </c>
    </row>
    <row r="7333" spans="31:31" x14ac:dyDescent="0.25">
      <c r="AE7333">
        <v>50.04</v>
      </c>
    </row>
    <row r="7334" spans="31:31" x14ac:dyDescent="0.25">
      <c r="AE7334">
        <v>39.020000000000003</v>
      </c>
    </row>
    <row r="7335" spans="31:31" x14ac:dyDescent="0.25">
      <c r="AE7335">
        <v>36.61</v>
      </c>
    </row>
    <row r="7336" spans="31:31" x14ac:dyDescent="0.25">
      <c r="AE7336">
        <v>169.78</v>
      </c>
    </row>
    <row r="7337" spans="31:31" x14ac:dyDescent="0.25">
      <c r="AE7337">
        <v>26.06</v>
      </c>
    </row>
    <row r="7338" spans="31:31" x14ac:dyDescent="0.25">
      <c r="AE7338">
        <v>44.61</v>
      </c>
    </row>
    <row r="7339" spans="31:31" x14ac:dyDescent="0.25">
      <c r="AE7339">
        <v>132.82</v>
      </c>
    </row>
    <row r="7340" spans="31:31" x14ac:dyDescent="0.25">
      <c r="AE7340">
        <v>52.61</v>
      </c>
    </row>
    <row r="7341" spans="31:31" x14ac:dyDescent="0.25">
      <c r="AE7341">
        <v>25.97</v>
      </c>
    </row>
    <row r="7342" spans="31:31" x14ac:dyDescent="0.25">
      <c r="AE7342">
        <v>47.19</v>
      </c>
    </row>
    <row r="7343" spans="31:31" x14ac:dyDescent="0.25">
      <c r="AE7343">
        <v>51.8</v>
      </c>
    </row>
    <row r="7344" spans="31:31" x14ac:dyDescent="0.25">
      <c r="AE7344">
        <v>40.880000000000003</v>
      </c>
    </row>
    <row r="7345" spans="31:31" x14ac:dyDescent="0.25">
      <c r="AE7345">
        <v>59.63</v>
      </c>
    </row>
    <row r="7346" spans="31:31" x14ac:dyDescent="0.25">
      <c r="AE7346">
        <v>10.29</v>
      </c>
    </row>
    <row r="7347" spans="31:31" x14ac:dyDescent="0.25">
      <c r="AE7347">
        <v>11.86</v>
      </c>
    </row>
    <row r="7348" spans="31:31" x14ac:dyDescent="0.25">
      <c r="AE7348">
        <v>185.29</v>
      </c>
    </row>
    <row r="7349" spans="31:31" x14ac:dyDescent="0.25">
      <c r="AE7349">
        <v>15.1</v>
      </c>
    </row>
    <row r="7350" spans="31:31" x14ac:dyDescent="0.25">
      <c r="AE7350">
        <v>25.69</v>
      </c>
    </row>
    <row r="7351" spans="31:31" x14ac:dyDescent="0.25">
      <c r="AE7351">
        <v>27.06</v>
      </c>
    </row>
    <row r="7352" spans="31:31" x14ac:dyDescent="0.25">
      <c r="AE7352">
        <v>32.9</v>
      </c>
    </row>
    <row r="7353" spans="31:31" x14ac:dyDescent="0.25">
      <c r="AE7353">
        <v>22.97</v>
      </c>
    </row>
    <row r="7354" spans="31:31" x14ac:dyDescent="0.25">
      <c r="AE7354">
        <v>65.03</v>
      </c>
    </row>
    <row r="7355" spans="31:31" x14ac:dyDescent="0.25">
      <c r="AE7355">
        <v>51.03</v>
      </c>
    </row>
    <row r="7356" spans="31:31" x14ac:dyDescent="0.25">
      <c r="AE7356">
        <v>35.72</v>
      </c>
    </row>
    <row r="7357" spans="31:31" x14ac:dyDescent="0.25">
      <c r="AE7357">
        <v>90.58</v>
      </c>
    </row>
    <row r="7358" spans="31:31" x14ac:dyDescent="0.25">
      <c r="AE7358">
        <v>19.55</v>
      </c>
    </row>
    <row r="7359" spans="31:31" x14ac:dyDescent="0.25">
      <c r="AE7359">
        <v>56.11</v>
      </c>
    </row>
    <row r="7360" spans="31:31" x14ac:dyDescent="0.25">
      <c r="AE7360">
        <v>30.06</v>
      </c>
    </row>
    <row r="7361" spans="31:31" x14ac:dyDescent="0.25">
      <c r="AE7361">
        <v>114.64</v>
      </c>
    </row>
    <row r="7362" spans="31:31" x14ac:dyDescent="0.25">
      <c r="AE7362">
        <v>27.27</v>
      </c>
    </row>
    <row r="7363" spans="31:31" x14ac:dyDescent="0.25">
      <c r="AE7363">
        <v>22.22</v>
      </c>
    </row>
    <row r="7364" spans="31:31" x14ac:dyDescent="0.25">
      <c r="AE7364">
        <v>69.34</v>
      </c>
    </row>
    <row r="7365" spans="31:31" x14ac:dyDescent="0.25">
      <c r="AE7365">
        <v>274.68</v>
      </c>
    </row>
    <row r="7366" spans="31:31" x14ac:dyDescent="0.25">
      <c r="AE7366">
        <v>72.569999999999993</v>
      </c>
    </row>
    <row r="7367" spans="31:31" x14ac:dyDescent="0.25">
      <c r="AE7367">
        <v>7.96</v>
      </c>
    </row>
    <row r="7368" spans="31:31" x14ac:dyDescent="0.25">
      <c r="AE7368">
        <v>60.61</v>
      </c>
    </row>
    <row r="7369" spans="31:31" x14ac:dyDescent="0.25">
      <c r="AE7369">
        <v>105.37</v>
      </c>
    </row>
    <row r="7370" spans="31:31" x14ac:dyDescent="0.25">
      <c r="AE7370">
        <v>57.96</v>
      </c>
    </row>
    <row r="7371" spans="31:31" x14ac:dyDescent="0.25">
      <c r="AE7371">
        <v>57.25</v>
      </c>
    </row>
    <row r="7372" spans="31:31" x14ac:dyDescent="0.25">
      <c r="AE7372">
        <v>21.56</v>
      </c>
    </row>
    <row r="7373" spans="31:31" x14ac:dyDescent="0.25">
      <c r="AE7373">
        <v>95.35</v>
      </c>
    </row>
    <row r="7374" spans="31:31" x14ac:dyDescent="0.25">
      <c r="AE7374">
        <v>47.22</v>
      </c>
    </row>
    <row r="7375" spans="31:31" x14ac:dyDescent="0.25">
      <c r="AE7375">
        <v>44.92</v>
      </c>
    </row>
    <row r="7376" spans="31:31" x14ac:dyDescent="0.25">
      <c r="AE7376">
        <v>44.44</v>
      </c>
    </row>
    <row r="7377" spans="31:31" x14ac:dyDescent="0.25">
      <c r="AE7377">
        <v>35.92</v>
      </c>
    </row>
    <row r="7378" spans="31:31" x14ac:dyDescent="0.25">
      <c r="AE7378">
        <v>60.97</v>
      </c>
    </row>
    <row r="7379" spans="31:31" x14ac:dyDescent="0.25">
      <c r="AE7379">
        <v>94.35</v>
      </c>
    </row>
    <row r="7380" spans="31:31" x14ac:dyDescent="0.25">
      <c r="AE7380">
        <v>100.65</v>
      </c>
    </row>
    <row r="7381" spans="31:31" x14ac:dyDescent="0.25">
      <c r="AE7381">
        <v>279.39999999999998</v>
      </c>
    </row>
    <row r="7382" spans="31:31" x14ac:dyDescent="0.25">
      <c r="AE7382">
        <v>52.21</v>
      </c>
    </row>
    <row r="7383" spans="31:31" x14ac:dyDescent="0.25">
      <c r="AE7383">
        <v>139.43</v>
      </c>
    </row>
    <row r="7384" spans="31:31" x14ac:dyDescent="0.25">
      <c r="AE7384">
        <v>50.86</v>
      </c>
    </row>
    <row r="7385" spans="31:31" x14ac:dyDescent="0.25">
      <c r="AE7385">
        <v>26.63</v>
      </c>
    </row>
    <row r="7386" spans="31:31" x14ac:dyDescent="0.25">
      <c r="AE7386">
        <v>31.29</v>
      </c>
    </row>
    <row r="7387" spans="31:31" x14ac:dyDescent="0.25">
      <c r="AE7387">
        <v>18.399999999999999</v>
      </c>
    </row>
    <row r="7388" spans="31:31" x14ac:dyDescent="0.25">
      <c r="AE7388">
        <v>40.57</v>
      </c>
    </row>
    <row r="7389" spans="31:31" x14ac:dyDescent="0.25">
      <c r="AE7389">
        <v>21.53</v>
      </c>
    </row>
    <row r="7390" spans="31:31" x14ac:dyDescent="0.25">
      <c r="AE7390">
        <v>86.84</v>
      </c>
    </row>
    <row r="7391" spans="31:31" x14ac:dyDescent="0.25">
      <c r="AE7391">
        <v>30.35</v>
      </c>
    </row>
    <row r="7392" spans="31:31" x14ac:dyDescent="0.25">
      <c r="AE7392">
        <v>91.59</v>
      </c>
    </row>
    <row r="7393" spans="31:31" x14ac:dyDescent="0.25">
      <c r="AE7393">
        <v>23.62</v>
      </c>
    </row>
    <row r="7394" spans="31:31" x14ac:dyDescent="0.25">
      <c r="AE7394">
        <v>54.2</v>
      </c>
    </row>
    <row r="7395" spans="31:31" x14ac:dyDescent="0.25">
      <c r="AE7395">
        <v>32.51</v>
      </c>
    </row>
    <row r="7396" spans="31:31" x14ac:dyDescent="0.25">
      <c r="AE7396">
        <v>88.15</v>
      </c>
    </row>
    <row r="7397" spans="31:31" x14ac:dyDescent="0.25">
      <c r="AE7397">
        <v>0.63</v>
      </c>
    </row>
    <row r="7398" spans="31:31" x14ac:dyDescent="0.25">
      <c r="AE7398">
        <v>55.11</v>
      </c>
    </row>
    <row r="7399" spans="31:31" x14ac:dyDescent="0.25">
      <c r="AE7399">
        <v>44.68</v>
      </c>
    </row>
    <row r="7400" spans="31:31" x14ac:dyDescent="0.25">
      <c r="AE7400">
        <v>40.39</v>
      </c>
    </row>
    <row r="7401" spans="31:31" x14ac:dyDescent="0.25">
      <c r="AE7401">
        <v>31.3</v>
      </c>
    </row>
    <row r="7402" spans="31:31" x14ac:dyDescent="0.25">
      <c r="AE7402">
        <v>2.38</v>
      </c>
    </row>
    <row r="7403" spans="31:31" x14ac:dyDescent="0.25">
      <c r="AE7403">
        <v>17.46</v>
      </c>
    </row>
    <row r="7404" spans="31:31" x14ac:dyDescent="0.25">
      <c r="AE7404">
        <v>0.36</v>
      </c>
    </row>
    <row r="7405" spans="31:31" x14ac:dyDescent="0.25">
      <c r="AE7405">
        <v>11.45</v>
      </c>
    </row>
    <row r="7406" spans="31:31" x14ac:dyDescent="0.25">
      <c r="AE7406">
        <v>52.25</v>
      </c>
    </row>
    <row r="7407" spans="31:31" x14ac:dyDescent="0.25">
      <c r="AE7407">
        <v>139.97</v>
      </c>
    </row>
    <row r="7408" spans="31:31" x14ac:dyDescent="0.25">
      <c r="AE7408">
        <v>38.79</v>
      </c>
    </row>
    <row r="7409" spans="31:31" x14ac:dyDescent="0.25">
      <c r="AE7409">
        <v>31.73</v>
      </c>
    </row>
    <row r="7410" spans="31:31" x14ac:dyDescent="0.25">
      <c r="AE7410">
        <v>34.17</v>
      </c>
    </row>
    <row r="7411" spans="31:31" x14ac:dyDescent="0.25">
      <c r="AE7411">
        <v>26.57</v>
      </c>
    </row>
    <row r="7412" spans="31:31" x14ac:dyDescent="0.25">
      <c r="AE7412">
        <v>36.44</v>
      </c>
    </row>
    <row r="7413" spans="31:31" x14ac:dyDescent="0.25">
      <c r="AE7413">
        <v>72</v>
      </c>
    </row>
    <row r="7414" spans="31:31" x14ac:dyDescent="0.25">
      <c r="AE7414">
        <v>80.14</v>
      </c>
    </row>
    <row r="7415" spans="31:31" x14ac:dyDescent="0.25">
      <c r="AE7415">
        <v>0.45</v>
      </c>
    </row>
    <row r="7416" spans="31:31" x14ac:dyDescent="0.25">
      <c r="AE7416">
        <v>58.22</v>
      </c>
    </row>
    <row r="7417" spans="31:31" x14ac:dyDescent="0.25">
      <c r="AE7417">
        <v>169.1</v>
      </c>
    </row>
    <row r="7418" spans="31:31" x14ac:dyDescent="0.25">
      <c r="AE7418">
        <v>204.05</v>
      </c>
    </row>
    <row r="7419" spans="31:31" x14ac:dyDescent="0.25">
      <c r="AE7419">
        <v>29.11</v>
      </c>
    </row>
    <row r="7420" spans="31:31" x14ac:dyDescent="0.25">
      <c r="AE7420">
        <v>83.34</v>
      </c>
    </row>
    <row r="7421" spans="31:31" x14ac:dyDescent="0.25">
      <c r="AE7421">
        <v>21.06</v>
      </c>
    </row>
    <row r="7422" spans="31:31" x14ac:dyDescent="0.25">
      <c r="AE7422">
        <v>0.63</v>
      </c>
    </row>
    <row r="7423" spans="31:31" x14ac:dyDescent="0.25">
      <c r="AE7423">
        <v>35.659999999999997</v>
      </c>
    </row>
    <row r="7424" spans="31:31" x14ac:dyDescent="0.25">
      <c r="AE7424">
        <v>47.79</v>
      </c>
    </row>
    <row r="7425" spans="31:31" x14ac:dyDescent="0.25">
      <c r="AE7425">
        <v>7.6</v>
      </c>
    </row>
    <row r="7426" spans="31:31" x14ac:dyDescent="0.25">
      <c r="AE7426">
        <v>64.27</v>
      </c>
    </row>
    <row r="7427" spans="31:31" x14ac:dyDescent="0.25">
      <c r="AE7427">
        <v>9.02</v>
      </c>
    </row>
    <row r="7428" spans="31:31" x14ac:dyDescent="0.25">
      <c r="AE7428">
        <v>31.97</v>
      </c>
    </row>
    <row r="7429" spans="31:31" x14ac:dyDescent="0.25">
      <c r="AE7429">
        <v>122.26</v>
      </c>
    </row>
    <row r="7430" spans="31:31" x14ac:dyDescent="0.25">
      <c r="AE7430">
        <v>24.35</v>
      </c>
    </row>
    <row r="7431" spans="31:31" x14ac:dyDescent="0.25">
      <c r="AE7431">
        <v>57.55</v>
      </c>
    </row>
    <row r="7432" spans="31:31" x14ac:dyDescent="0.25">
      <c r="AE7432">
        <v>73.63</v>
      </c>
    </row>
    <row r="7433" spans="31:31" x14ac:dyDescent="0.25">
      <c r="AE7433">
        <v>38.24</v>
      </c>
    </row>
    <row r="7434" spans="31:31" x14ac:dyDescent="0.25">
      <c r="AE7434">
        <v>11.36</v>
      </c>
    </row>
    <row r="7435" spans="31:31" x14ac:dyDescent="0.25">
      <c r="AE7435">
        <v>31.25</v>
      </c>
    </row>
    <row r="7436" spans="31:31" x14ac:dyDescent="0.25">
      <c r="AE7436">
        <v>21.71</v>
      </c>
    </row>
    <row r="7437" spans="31:31" x14ac:dyDescent="0.25">
      <c r="AE7437">
        <v>15.78</v>
      </c>
    </row>
    <row r="7438" spans="31:31" x14ac:dyDescent="0.25">
      <c r="AE7438">
        <v>31.92</v>
      </c>
    </row>
    <row r="7439" spans="31:31" x14ac:dyDescent="0.25">
      <c r="AE7439">
        <v>0.45</v>
      </c>
    </row>
    <row r="7440" spans="31:31" x14ac:dyDescent="0.25">
      <c r="AE7440">
        <v>42.37</v>
      </c>
    </row>
    <row r="7441" spans="31:31" x14ac:dyDescent="0.25">
      <c r="AE7441">
        <v>32.9</v>
      </c>
    </row>
    <row r="7442" spans="31:31" x14ac:dyDescent="0.25">
      <c r="AE7442">
        <v>52.7</v>
      </c>
    </row>
    <row r="7443" spans="31:31" x14ac:dyDescent="0.25">
      <c r="AE7443">
        <v>12.4</v>
      </c>
    </row>
    <row r="7444" spans="31:31" x14ac:dyDescent="0.25">
      <c r="AE7444">
        <v>24.76</v>
      </c>
    </row>
    <row r="7445" spans="31:31" x14ac:dyDescent="0.25">
      <c r="AE7445">
        <v>18.239999999999998</v>
      </c>
    </row>
    <row r="7446" spans="31:31" x14ac:dyDescent="0.25">
      <c r="AE7446">
        <v>87.54</v>
      </c>
    </row>
    <row r="7447" spans="31:31" x14ac:dyDescent="0.25">
      <c r="AE7447">
        <v>37.270000000000003</v>
      </c>
    </row>
    <row r="7448" spans="31:31" x14ac:dyDescent="0.25">
      <c r="AE7448">
        <v>14.41</v>
      </c>
    </row>
    <row r="7449" spans="31:31" x14ac:dyDescent="0.25">
      <c r="AE7449">
        <v>74.55</v>
      </c>
    </row>
    <row r="7450" spans="31:31" x14ac:dyDescent="0.25">
      <c r="AE7450">
        <v>160.94999999999999</v>
      </c>
    </row>
    <row r="7451" spans="31:31" x14ac:dyDescent="0.25">
      <c r="AE7451">
        <v>23.76</v>
      </c>
    </row>
    <row r="7452" spans="31:31" x14ac:dyDescent="0.25">
      <c r="AE7452">
        <v>53.68</v>
      </c>
    </row>
    <row r="7453" spans="31:31" x14ac:dyDescent="0.25">
      <c r="AE7453">
        <v>11.54</v>
      </c>
    </row>
    <row r="7454" spans="31:31" x14ac:dyDescent="0.25">
      <c r="AE7454">
        <v>80.94</v>
      </c>
    </row>
    <row r="7455" spans="31:31" x14ac:dyDescent="0.25">
      <c r="AE7455">
        <v>28.71</v>
      </c>
    </row>
    <row r="7456" spans="31:31" x14ac:dyDescent="0.25">
      <c r="AE7456">
        <v>25.31</v>
      </c>
    </row>
    <row r="7457" spans="31:31" x14ac:dyDescent="0.25">
      <c r="AE7457">
        <v>103.58</v>
      </c>
    </row>
    <row r="7458" spans="31:31" x14ac:dyDescent="0.25">
      <c r="AE7458">
        <v>178.85</v>
      </c>
    </row>
    <row r="7459" spans="31:31" x14ac:dyDescent="0.25">
      <c r="AE7459">
        <v>0.36</v>
      </c>
    </row>
    <row r="7460" spans="31:31" x14ac:dyDescent="0.25">
      <c r="AE7460">
        <v>18.309999999999999</v>
      </c>
    </row>
    <row r="7461" spans="31:31" x14ac:dyDescent="0.25">
      <c r="AE7461">
        <v>61.55</v>
      </c>
    </row>
    <row r="7462" spans="31:31" x14ac:dyDescent="0.25">
      <c r="AE7462">
        <v>22.13</v>
      </c>
    </row>
    <row r="7463" spans="31:31" x14ac:dyDescent="0.25">
      <c r="AE7463">
        <v>178.8</v>
      </c>
    </row>
    <row r="7464" spans="31:31" x14ac:dyDescent="0.25">
      <c r="AE7464">
        <v>14.5</v>
      </c>
    </row>
    <row r="7465" spans="31:31" x14ac:dyDescent="0.25">
      <c r="AE7465">
        <v>16.829999999999998</v>
      </c>
    </row>
    <row r="7466" spans="31:31" x14ac:dyDescent="0.25">
      <c r="AE7466">
        <v>94.71</v>
      </c>
    </row>
    <row r="7467" spans="31:31" x14ac:dyDescent="0.25">
      <c r="AE7467">
        <v>50.96</v>
      </c>
    </row>
    <row r="7468" spans="31:31" x14ac:dyDescent="0.25">
      <c r="AE7468">
        <v>46.59</v>
      </c>
    </row>
    <row r="7469" spans="31:31" x14ac:dyDescent="0.25">
      <c r="AE7469">
        <v>25.34</v>
      </c>
    </row>
    <row r="7470" spans="31:31" x14ac:dyDescent="0.25">
      <c r="AE7470">
        <v>0.09</v>
      </c>
    </row>
    <row r="7471" spans="31:31" x14ac:dyDescent="0.25">
      <c r="AE7471">
        <v>20.62</v>
      </c>
    </row>
    <row r="7472" spans="31:31" x14ac:dyDescent="0.25">
      <c r="AE7472">
        <v>90.14</v>
      </c>
    </row>
    <row r="7473" spans="31:31" x14ac:dyDescent="0.25">
      <c r="AE7473">
        <v>11.1</v>
      </c>
    </row>
    <row r="7474" spans="31:31" x14ac:dyDescent="0.25">
      <c r="AE7474">
        <v>79.260000000000005</v>
      </c>
    </row>
    <row r="7475" spans="31:31" x14ac:dyDescent="0.25">
      <c r="AE7475">
        <v>3.16</v>
      </c>
    </row>
    <row r="7476" spans="31:31" x14ac:dyDescent="0.25">
      <c r="AE7476">
        <v>77.459999999999994</v>
      </c>
    </row>
    <row r="7477" spans="31:31" x14ac:dyDescent="0.25">
      <c r="AE7477">
        <v>10.09</v>
      </c>
    </row>
    <row r="7478" spans="31:31" x14ac:dyDescent="0.25">
      <c r="AE7478">
        <v>40.18</v>
      </c>
    </row>
    <row r="7479" spans="31:31" x14ac:dyDescent="0.25">
      <c r="AE7479">
        <v>92.17</v>
      </c>
    </row>
    <row r="7480" spans="31:31" x14ac:dyDescent="0.25">
      <c r="AE7480">
        <v>0.09</v>
      </c>
    </row>
    <row r="7481" spans="31:31" x14ac:dyDescent="0.25">
      <c r="AE7481">
        <v>127.44</v>
      </c>
    </row>
    <row r="7482" spans="31:31" x14ac:dyDescent="0.25">
      <c r="AE7482">
        <v>91.69</v>
      </c>
    </row>
    <row r="7483" spans="31:31" x14ac:dyDescent="0.25">
      <c r="AE7483">
        <v>62.32</v>
      </c>
    </row>
    <row r="7484" spans="31:31" x14ac:dyDescent="0.25">
      <c r="AE7484">
        <v>89.79</v>
      </c>
    </row>
    <row r="7485" spans="31:31" x14ac:dyDescent="0.25">
      <c r="AE7485">
        <v>9.99</v>
      </c>
    </row>
    <row r="7486" spans="31:31" x14ac:dyDescent="0.25">
      <c r="AE7486">
        <v>35.21</v>
      </c>
    </row>
    <row r="7487" spans="31:31" x14ac:dyDescent="0.25">
      <c r="AE7487">
        <v>18.86</v>
      </c>
    </row>
    <row r="7488" spans="31:31" x14ac:dyDescent="0.25">
      <c r="AE7488">
        <v>33.9</v>
      </c>
    </row>
    <row r="7489" spans="31:31" x14ac:dyDescent="0.25">
      <c r="AE7489">
        <v>59.18</v>
      </c>
    </row>
    <row r="7490" spans="31:31" x14ac:dyDescent="0.25">
      <c r="AE7490">
        <v>77.09</v>
      </c>
    </row>
    <row r="7491" spans="31:31" x14ac:dyDescent="0.25">
      <c r="AE7491">
        <v>18.059999999999999</v>
      </c>
    </row>
    <row r="7492" spans="31:31" x14ac:dyDescent="0.25">
      <c r="AE7492">
        <v>30.46</v>
      </c>
    </row>
    <row r="7493" spans="31:31" x14ac:dyDescent="0.25">
      <c r="AE7493">
        <v>75.28</v>
      </c>
    </row>
    <row r="7494" spans="31:31" x14ac:dyDescent="0.25">
      <c r="AE7494">
        <v>0</v>
      </c>
    </row>
    <row r="7495" spans="31:31" x14ac:dyDescent="0.25">
      <c r="AE7495">
        <v>17.600000000000001</v>
      </c>
    </row>
    <row r="7496" spans="31:31" x14ac:dyDescent="0.25">
      <c r="AE7496">
        <v>54.25</v>
      </c>
    </row>
    <row r="7497" spans="31:31" x14ac:dyDescent="0.25">
      <c r="AE7497">
        <v>125.86</v>
      </c>
    </row>
    <row r="7498" spans="31:31" x14ac:dyDescent="0.25">
      <c r="AE7498">
        <v>53.88</v>
      </c>
    </row>
    <row r="7499" spans="31:31" x14ac:dyDescent="0.25">
      <c r="AE7499">
        <v>10.14</v>
      </c>
    </row>
    <row r="7500" spans="31:31" x14ac:dyDescent="0.25">
      <c r="AE7500">
        <v>45.45</v>
      </c>
    </row>
    <row r="7501" spans="31:31" x14ac:dyDescent="0.25">
      <c r="AE7501">
        <v>53.8</v>
      </c>
    </row>
    <row r="7502" spans="31:31" x14ac:dyDescent="0.25">
      <c r="AE7502">
        <v>22.53</v>
      </c>
    </row>
    <row r="7503" spans="31:31" x14ac:dyDescent="0.25">
      <c r="AE7503">
        <v>17.36</v>
      </c>
    </row>
    <row r="7504" spans="31:31" x14ac:dyDescent="0.25">
      <c r="AE7504">
        <v>14.91</v>
      </c>
    </row>
    <row r="7505" spans="31:31" x14ac:dyDescent="0.25">
      <c r="AE7505">
        <v>18.71</v>
      </c>
    </row>
    <row r="7506" spans="31:31" x14ac:dyDescent="0.25">
      <c r="AE7506">
        <v>26.26</v>
      </c>
    </row>
    <row r="7507" spans="31:31" x14ac:dyDescent="0.25">
      <c r="AE7507">
        <v>70.12</v>
      </c>
    </row>
    <row r="7508" spans="31:31" x14ac:dyDescent="0.25">
      <c r="AE7508">
        <v>24.09</v>
      </c>
    </row>
    <row r="7509" spans="31:31" x14ac:dyDescent="0.25">
      <c r="AE7509">
        <v>146.13</v>
      </c>
    </row>
    <row r="7510" spans="31:31" x14ac:dyDescent="0.25">
      <c r="AE7510">
        <v>36.61</v>
      </c>
    </row>
    <row r="7511" spans="31:31" x14ac:dyDescent="0.25">
      <c r="AE7511">
        <v>0</v>
      </c>
    </row>
    <row r="7512" spans="31:31" x14ac:dyDescent="0.25">
      <c r="AE7512">
        <v>64.569999999999993</v>
      </c>
    </row>
    <row r="7513" spans="31:31" x14ac:dyDescent="0.25">
      <c r="AE7513">
        <v>19.3</v>
      </c>
    </row>
    <row r="7514" spans="31:31" x14ac:dyDescent="0.25">
      <c r="AE7514">
        <v>66.59</v>
      </c>
    </row>
    <row r="7515" spans="31:31" x14ac:dyDescent="0.25">
      <c r="AE7515">
        <v>5.61</v>
      </c>
    </row>
    <row r="7516" spans="31:31" x14ac:dyDescent="0.25">
      <c r="AE7516">
        <v>52.82</v>
      </c>
    </row>
    <row r="7517" spans="31:31" x14ac:dyDescent="0.25">
      <c r="AE7517">
        <v>22.18</v>
      </c>
    </row>
    <row r="7518" spans="31:31" x14ac:dyDescent="0.25">
      <c r="AE7518">
        <v>45.71</v>
      </c>
    </row>
    <row r="7519" spans="31:31" x14ac:dyDescent="0.25">
      <c r="AE7519">
        <v>42.65</v>
      </c>
    </row>
    <row r="7520" spans="31:31" x14ac:dyDescent="0.25">
      <c r="AE7520">
        <v>33.479999999999997</v>
      </c>
    </row>
    <row r="7521" spans="31:31" x14ac:dyDescent="0.25">
      <c r="AE7521">
        <v>101.77</v>
      </c>
    </row>
    <row r="7522" spans="31:31" x14ac:dyDescent="0.25">
      <c r="AE7522">
        <v>11.07</v>
      </c>
    </row>
    <row r="7523" spans="31:31" x14ac:dyDescent="0.25">
      <c r="AE7523">
        <v>67.14</v>
      </c>
    </row>
    <row r="7524" spans="31:31" x14ac:dyDescent="0.25">
      <c r="AE7524">
        <v>0.38</v>
      </c>
    </row>
    <row r="7525" spans="31:31" x14ac:dyDescent="0.25">
      <c r="AE7525">
        <v>114.4</v>
      </c>
    </row>
    <row r="7526" spans="31:31" x14ac:dyDescent="0.25">
      <c r="AE7526">
        <v>19.149999999999999</v>
      </c>
    </row>
    <row r="7527" spans="31:31" x14ac:dyDescent="0.25">
      <c r="AE7527">
        <v>93.97</v>
      </c>
    </row>
    <row r="7528" spans="31:31" x14ac:dyDescent="0.25">
      <c r="AE7528">
        <v>263.45</v>
      </c>
    </row>
    <row r="7529" spans="31:31" x14ac:dyDescent="0.25">
      <c r="AE7529">
        <v>147.51</v>
      </c>
    </row>
    <row r="7530" spans="31:31" x14ac:dyDescent="0.25">
      <c r="AE7530">
        <v>99.93</v>
      </c>
    </row>
    <row r="7531" spans="31:31" x14ac:dyDescent="0.25">
      <c r="AE7531">
        <v>25.54</v>
      </c>
    </row>
    <row r="7532" spans="31:31" x14ac:dyDescent="0.25">
      <c r="AE7532">
        <v>59.27</v>
      </c>
    </row>
    <row r="7533" spans="31:31" x14ac:dyDescent="0.25">
      <c r="AE7533">
        <v>17.34</v>
      </c>
    </row>
    <row r="7534" spans="31:31" x14ac:dyDescent="0.25">
      <c r="AE7534">
        <v>17.05</v>
      </c>
    </row>
    <row r="7535" spans="31:31" x14ac:dyDescent="0.25">
      <c r="AE7535">
        <v>40.82</v>
      </c>
    </row>
    <row r="7536" spans="31:31" x14ac:dyDescent="0.25">
      <c r="AE7536">
        <v>15.45</v>
      </c>
    </row>
    <row r="7537" spans="31:31" x14ac:dyDescent="0.25">
      <c r="AE7537">
        <v>71.8</v>
      </c>
    </row>
    <row r="7538" spans="31:31" x14ac:dyDescent="0.25">
      <c r="AE7538">
        <v>13.65</v>
      </c>
    </row>
    <row r="7539" spans="31:31" x14ac:dyDescent="0.25">
      <c r="AE7539">
        <v>40.619999999999997</v>
      </c>
    </row>
    <row r="7540" spans="31:31" x14ac:dyDescent="0.25">
      <c r="AE7540">
        <v>138.71</v>
      </c>
    </row>
    <row r="7541" spans="31:31" x14ac:dyDescent="0.25">
      <c r="AE7541">
        <v>42</v>
      </c>
    </row>
    <row r="7542" spans="31:31" x14ac:dyDescent="0.25">
      <c r="AE7542">
        <v>69.52</v>
      </c>
    </row>
    <row r="7543" spans="31:31" x14ac:dyDescent="0.25">
      <c r="AE7543">
        <v>61.16</v>
      </c>
    </row>
    <row r="7544" spans="31:31" x14ac:dyDescent="0.25">
      <c r="AE7544">
        <v>67.27</v>
      </c>
    </row>
    <row r="7545" spans="31:31" x14ac:dyDescent="0.25">
      <c r="AE7545">
        <v>144.94</v>
      </c>
    </row>
    <row r="7546" spans="31:31" x14ac:dyDescent="0.25">
      <c r="AE7546">
        <v>271.82</v>
      </c>
    </row>
    <row r="7547" spans="31:31" x14ac:dyDescent="0.25">
      <c r="AE7547">
        <v>78.599999999999994</v>
      </c>
    </row>
    <row r="7548" spans="31:31" x14ac:dyDescent="0.25">
      <c r="AE7548">
        <v>34.880000000000003</v>
      </c>
    </row>
    <row r="7549" spans="31:31" x14ac:dyDescent="0.25">
      <c r="AE7549">
        <v>93.2</v>
      </c>
    </row>
    <row r="7550" spans="31:31" x14ac:dyDescent="0.25">
      <c r="AE7550">
        <v>9.99</v>
      </c>
    </row>
    <row r="7551" spans="31:31" x14ac:dyDescent="0.25">
      <c r="AE7551">
        <v>32.32</v>
      </c>
    </row>
    <row r="7552" spans="31:31" x14ac:dyDescent="0.25">
      <c r="AE7552">
        <v>28.09</v>
      </c>
    </row>
    <row r="7553" spans="31:31" x14ac:dyDescent="0.25">
      <c r="AE7553">
        <v>22.83</v>
      </c>
    </row>
    <row r="7554" spans="31:31" x14ac:dyDescent="0.25">
      <c r="AE7554">
        <v>59.2</v>
      </c>
    </row>
    <row r="7555" spans="31:31" x14ac:dyDescent="0.25">
      <c r="AE7555">
        <v>221.43</v>
      </c>
    </row>
    <row r="7556" spans="31:31" x14ac:dyDescent="0.25">
      <c r="AE7556">
        <v>0.18</v>
      </c>
    </row>
    <row r="7557" spans="31:31" x14ac:dyDescent="0.25">
      <c r="AE7557">
        <v>0.18</v>
      </c>
    </row>
    <row r="7558" spans="31:31" x14ac:dyDescent="0.25">
      <c r="AE7558">
        <v>138.52000000000001</v>
      </c>
    </row>
    <row r="7559" spans="31:31" x14ac:dyDescent="0.25">
      <c r="AE7559">
        <v>11.24</v>
      </c>
    </row>
    <row r="7560" spans="31:31" x14ac:dyDescent="0.25">
      <c r="AE7560">
        <v>42.98</v>
      </c>
    </row>
    <row r="7561" spans="31:31" x14ac:dyDescent="0.25">
      <c r="AE7561">
        <v>32.49</v>
      </c>
    </row>
    <row r="7562" spans="31:31" x14ac:dyDescent="0.25">
      <c r="AE7562">
        <v>22.12</v>
      </c>
    </row>
    <row r="7563" spans="31:31" x14ac:dyDescent="0.25">
      <c r="AE7563">
        <v>76.150000000000006</v>
      </c>
    </row>
    <row r="7564" spans="31:31" x14ac:dyDescent="0.25">
      <c r="AE7564">
        <v>88.71</v>
      </c>
    </row>
    <row r="7565" spans="31:31" x14ac:dyDescent="0.25">
      <c r="AE7565">
        <v>0.27</v>
      </c>
    </row>
    <row r="7566" spans="31:31" x14ac:dyDescent="0.25">
      <c r="AE7566">
        <v>18.72</v>
      </c>
    </row>
    <row r="7567" spans="31:31" x14ac:dyDescent="0.25">
      <c r="AE7567">
        <v>58.36</v>
      </c>
    </row>
    <row r="7568" spans="31:31" x14ac:dyDescent="0.25">
      <c r="AE7568">
        <v>28.75</v>
      </c>
    </row>
    <row r="7569" spans="31:31" x14ac:dyDescent="0.25">
      <c r="AE7569">
        <v>115.37</v>
      </c>
    </row>
    <row r="7570" spans="31:31" x14ac:dyDescent="0.25">
      <c r="AE7570">
        <v>12.77</v>
      </c>
    </row>
    <row r="7571" spans="31:31" x14ac:dyDescent="0.25">
      <c r="AE7571">
        <v>21.44</v>
      </c>
    </row>
    <row r="7572" spans="31:31" x14ac:dyDescent="0.25">
      <c r="AE7572">
        <v>9.99</v>
      </c>
    </row>
    <row r="7573" spans="31:31" x14ac:dyDescent="0.25">
      <c r="AE7573">
        <v>0.09</v>
      </c>
    </row>
    <row r="7574" spans="31:31" x14ac:dyDescent="0.25">
      <c r="AE7574">
        <v>85.87</v>
      </c>
    </row>
    <row r="7575" spans="31:31" x14ac:dyDescent="0.25">
      <c r="AE7575">
        <v>40.909999999999997</v>
      </c>
    </row>
    <row r="7576" spans="31:31" x14ac:dyDescent="0.25">
      <c r="AE7576">
        <v>135.63999999999999</v>
      </c>
    </row>
    <row r="7577" spans="31:31" x14ac:dyDescent="0.25">
      <c r="AE7577">
        <v>45.18</v>
      </c>
    </row>
    <row r="7578" spans="31:31" x14ac:dyDescent="0.25">
      <c r="AE7578">
        <v>21.76</v>
      </c>
    </row>
    <row r="7579" spans="31:31" x14ac:dyDescent="0.25">
      <c r="AE7579">
        <v>21.08</v>
      </c>
    </row>
    <row r="7580" spans="31:31" x14ac:dyDescent="0.25">
      <c r="AE7580">
        <v>89.6</v>
      </c>
    </row>
    <row r="7581" spans="31:31" x14ac:dyDescent="0.25">
      <c r="AE7581">
        <v>16.8</v>
      </c>
    </row>
    <row r="7582" spans="31:31" x14ac:dyDescent="0.25">
      <c r="AE7582">
        <v>61.24</v>
      </c>
    </row>
    <row r="7583" spans="31:31" x14ac:dyDescent="0.25">
      <c r="AE7583">
        <v>50.6</v>
      </c>
    </row>
    <row r="7584" spans="31:31" x14ac:dyDescent="0.25">
      <c r="AE7584">
        <v>64.48</v>
      </c>
    </row>
    <row r="7585" spans="31:31" x14ac:dyDescent="0.25">
      <c r="AE7585">
        <v>39.74</v>
      </c>
    </row>
    <row r="7586" spans="31:31" x14ac:dyDescent="0.25">
      <c r="AE7586">
        <v>69.400000000000006</v>
      </c>
    </row>
    <row r="7587" spans="31:31" x14ac:dyDescent="0.25">
      <c r="AE7587">
        <v>0.09</v>
      </c>
    </row>
    <row r="7588" spans="31:31" x14ac:dyDescent="0.25">
      <c r="AE7588">
        <v>37.950000000000003</v>
      </c>
    </row>
    <row r="7589" spans="31:31" x14ac:dyDescent="0.25">
      <c r="AE7589">
        <v>62.57</v>
      </c>
    </row>
    <row r="7590" spans="31:31" x14ac:dyDescent="0.25">
      <c r="AE7590">
        <v>95.11</v>
      </c>
    </row>
    <row r="7591" spans="31:31" x14ac:dyDescent="0.25">
      <c r="AE7591">
        <v>62.42</v>
      </c>
    </row>
    <row r="7592" spans="31:31" x14ac:dyDescent="0.25">
      <c r="AE7592">
        <v>2.44</v>
      </c>
    </row>
    <row r="7593" spans="31:31" x14ac:dyDescent="0.25">
      <c r="AE7593">
        <v>171.23</v>
      </c>
    </row>
    <row r="7594" spans="31:31" x14ac:dyDescent="0.25">
      <c r="AE7594">
        <v>81.790000000000006</v>
      </c>
    </row>
    <row r="7595" spans="31:31" x14ac:dyDescent="0.25">
      <c r="AE7595">
        <v>112.56</v>
      </c>
    </row>
    <row r="7596" spans="31:31" x14ac:dyDescent="0.25">
      <c r="AE7596">
        <v>117.37</v>
      </c>
    </row>
    <row r="7597" spans="31:31" x14ac:dyDescent="0.25">
      <c r="AE7597">
        <v>239.99</v>
      </c>
    </row>
    <row r="7598" spans="31:31" x14ac:dyDescent="0.25">
      <c r="AE7598">
        <v>127.08</v>
      </c>
    </row>
    <row r="7599" spans="31:31" x14ac:dyDescent="0.25">
      <c r="AE7599">
        <v>38.590000000000003</v>
      </c>
    </row>
    <row r="7600" spans="31:31" x14ac:dyDescent="0.25">
      <c r="AE7600">
        <v>123.98</v>
      </c>
    </row>
    <row r="7601" spans="31:31" x14ac:dyDescent="0.25">
      <c r="AE7601">
        <v>0.18</v>
      </c>
    </row>
    <row r="7602" spans="31:31" x14ac:dyDescent="0.25">
      <c r="AE7602">
        <v>57</v>
      </c>
    </row>
    <row r="7603" spans="31:31" x14ac:dyDescent="0.25">
      <c r="AE7603">
        <v>81.349999999999994</v>
      </c>
    </row>
    <row r="7604" spans="31:31" x14ac:dyDescent="0.25">
      <c r="AE7604">
        <v>233.3</v>
      </c>
    </row>
    <row r="7605" spans="31:31" x14ac:dyDescent="0.25">
      <c r="AE7605">
        <v>17.73</v>
      </c>
    </row>
    <row r="7606" spans="31:31" x14ac:dyDescent="0.25">
      <c r="AE7606">
        <v>18.100000000000001</v>
      </c>
    </row>
    <row r="7607" spans="31:31" x14ac:dyDescent="0.25">
      <c r="AE7607">
        <v>11.48</v>
      </c>
    </row>
    <row r="7608" spans="31:31" x14ac:dyDescent="0.25">
      <c r="AE7608">
        <v>35.19</v>
      </c>
    </row>
    <row r="7609" spans="31:31" x14ac:dyDescent="0.25">
      <c r="AE7609">
        <v>80.31</v>
      </c>
    </row>
    <row r="7610" spans="31:31" x14ac:dyDescent="0.25">
      <c r="AE7610">
        <v>38.270000000000003</v>
      </c>
    </row>
    <row r="7611" spans="31:31" x14ac:dyDescent="0.25">
      <c r="AE7611">
        <v>9.99</v>
      </c>
    </row>
    <row r="7612" spans="31:31" x14ac:dyDescent="0.25">
      <c r="AE7612">
        <v>58.67</v>
      </c>
    </row>
    <row r="7613" spans="31:31" x14ac:dyDescent="0.25">
      <c r="AE7613">
        <v>145.55000000000001</v>
      </c>
    </row>
    <row r="7614" spans="31:31" x14ac:dyDescent="0.25">
      <c r="AE7614">
        <v>52.88</v>
      </c>
    </row>
    <row r="7615" spans="31:31" x14ac:dyDescent="0.25">
      <c r="AE7615">
        <v>11.75</v>
      </c>
    </row>
    <row r="7616" spans="31:31" x14ac:dyDescent="0.25">
      <c r="AE7616">
        <v>30.53</v>
      </c>
    </row>
    <row r="7617" spans="31:31" x14ac:dyDescent="0.25">
      <c r="AE7617">
        <v>12.5</v>
      </c>
    </row>
    <row r="7618" spans="31:31" x14ac:dyDescent="0.25">
      <c r="AE7618">
        <v>24.25</v>
      </c>
    </row>
    <row r="7619" spans="31:31" x14ac:dyDescent="0.25">
      <c r="AE7619">
        <v>23.47</v>
      </c>
    </row>
    <row r="7620" spans="31:31" x14ac:dyDescent="0.25">
      <c r="AE7620">
        <v>33.659999999999997</v>
      </c>
    </row>
    <row r="7621" spans="31:31" x14ac:dyDescent="0.25">
      <c r="AE7621">
        <v>17.190000000000001</v>
      </c>
    </row>
    <row r="7622" spans="31:31" x14ac:dyDescent="0.25">
      <c r="AE7622">
        <v>66.23</v>
      </c>
    </row>
    <row r="7623" spans="31:31" x14ac:dyDescent="0.25">
      <c r="AE7623">
        <v>26.72</v>
      </c>
    </row>
    <row r="7624" spans="31:31" x14ac:dyDescent="0.25">
      <c r="AE7624">
        <v>17.57</v>
      </c>
    </row>
    <row r="7625" spans="31:31" x14ac:dyDescent="0.25">
      <c r="AE7625">
        <v>23.61</v>
      </c>
    </row>
    <row r="7626" spans="31:31" x14ac:dyDescent="0.25">
      <c r="AE7626">
        <v>112.89</v>
      </c>
    </row>
    <row r="7627" spans="31:31" x14ac:dyDescent="0.25">
      <c r="AE7627">
        <v>51.14</v>
      </c>
    </row>
    <row r="7628" spans="31:31" x14ac:dyDescent="0.25">
      <c r="AE7628">
        <v>9.6300000000000008</v>
      </c>
    </row>
    <row r="7629" spans="31:31" x14ac:dyDescent="0.25">
      <c r="AE7629">
        <v>132.37</v>
      </c>
    </row>
    <row r="7630" spans="31:31" x14ac:dyDescent="0.25">
      <c r="AE7630">
        <v>18.89</v>
      </c>
    </row>
    <row r="7631" spans="31:31" x14ac:dyDescent="0.25">
      <c r="AE7631">
        <v>52.94</v>
      </c>
    </row>
    <row r="7632" spans="31:31" x14ac:dyDescent="0.25">
      <c r="AE7632">
        <v>69.08</v>
      </c>
    </row>
    <row r="7633" spans="31:31" x14ac:dyDescent="0.25">
      <c r="AE7633">
        <v>47.7</v>
      </c>
    </row>
    <row r="7634" spans="31:31" x14ac:dyDescent="0.25">
      <c r="AE7634">
        <v>37.97</v>
      </c>
    </row>
    <row r="7635" spans="31:31" x14ac:dyDescent="0.25">
      <c r="AE7635">
        <v>36.61</v>
      </c>
    </row>
    <row r="7636" spans="31:31" x14ac:dyDescent="0.25">
      <c r="AE7636">
        <v>19.079999999999998</v>
      </c>
    </row>
    <row r="7637" spans="31:31" x14ac:dyDescent="0.25">
      <c r="AE7637">
        <v>47.53</v>
      </c>
    </row>
    <row r="7638" spans="31:31" x14ac:dyDescent="0.25">
      <c r="AE7638">
        <v>35.229999999999997</v>
      </c>
    </row>
    <row r="7639" spans="31:31" x14ac:dyDescent="0.25">
      <c r="AE7639">
        <v>52.04</v>
      </c>
    </row>
    <row r="7640" spans="31:31" x14ac:dyDescent="0.25">
      <c r="AE7640">
        <v>9.91</v>
      </c>
    </row>
    <row r="7641" spans="31:31" x14ac:dyDescent="0.25">
      <c r="AE7641">
        <v>46.94</v>
      </c>
    </row>
    <row r="7642" spans="31:31" x14ac:dyDescent="0.25">
      <c r="AE7642">
        <v>102.76</v>
      </c>
    </row>
    <row r="7643" spans="31:31" x14ac:dyDescent="0.25">
      <c r="AE7643">
        <v>25.8</v>
      </c>
    </row>
    <row r="7644" spans="31:31" x14ac:dyDescent="0.25">
      <c r="AE7644">
        <v>34.85</v>
      </c>
    </row>
    <row r="7645" spans="31:31" x14ac:dyDescent="0.25">
      <c r="AE7645">
        <v>158.66</v>
      </c>
    </row>
    <row r="7646" spans="31:31" x14ac:dyDescent="0.25">
      <c r="AE7646">
        <v>16.39</v>
      </c>
    </row>
    <row r="7647" spans="31:31" x14ac:dyDescent="0.25">
      <c r="AE7647">
        <v>37.380000000000003</v>
      </c>
    </row>
    <row r="7648" spans="31:31" x14ac:dyDescent="0.25">
      <c r="AE7648">
        <v>21.44</v>
      </c>
    </row>
    <row r="7649" spans="31:31" x14ac:dyDescent="0.25">
      <c r="AE7649">
        <v>117.48</v>
      </c>
    </row>
    <row r="7650" spans="31:31" x14ac:dyDescent="0.25">
      <c r="AE7650">
        <v>22.98</v>
      </c>
    </row>
    <row r="7651" spans="31:31" x14ac:dyDescent="0.25">
      <c r="AE7651">
        <v>43.97</v>
      </c>
    </row>
    <row r="7652" spans="31:31" x14ac:dyDescent="0.25">
      <c r="AE7652">
        <v>37.6</v>
      </c>
    </row>
    <row r="7653" spans="31:31" x14ac:dyDescent="0.25">
      <c r="AE7653">
        <v>20.37</v>
      </c>
    </row>
    <row r="7654" spans="31:31" x14ac:dyDescent="0.25">
      <c r="AE7654">
        <v>15.78</v>
      </c>
    </row>
    <row r="7655" spans="31:31" x14ac:dyDescent="0.25">
      <c r="AE7655">
        <v>128.9</v>
      </c>
    </row>
    <row r="7656" spans="31:31" x14ac:dyDescent="0.25">
      <c r="AE7656">
        <v>68.17</v>
      </c>
    </row>
    <row r="7657" spans="31:31" x14ac:dyDescent="0.25">
      <c r="AE7657">
        <v>20.88</v>
      </c>
    </row>
    <row r="7658" spans="31:31" x14ac:dyDescent="0.25">
      <c r="AE7658">
        <v>14.63</v>
      </c>
    </row>
    <row r="7659" spans="31:31" x14ac:dyDescent="0.25">
      <c r="AE7659">
        <v>42.75</v>
      </c>
    </row>
    <row r="7660" spans="31:31" x14ac:dyDescent="0.25">
      <c r="AE7660">
        <v>45.5</v>
      </c>
    </row>
    <row r="7661" spans="31:31" x14ac:dyDescent="0.25">
      <c r="AE7661">
        <v>24.89</v>
      </c>
    </row>
    <row r="7662" spans="31:31" x14ac:dyDescent="0.25">
      <c r="AE7662">
        <v>20.89</v>
      </c>
    </row>
    <row r="7663" spans="31:31" x14ac:dyDescent="0.25">
      <c r="AE7663">
        <v>33.35</v>
      </c>
    </row>
    <row r="7664" spans="31:31" x14ac:dyDescent="0.25">
      <c r="AE7664">
        <v>30</v>
      </c>
    </row>
    <row r="7665" spans="31:31" x14ac:dyDescent="0.25">
      <c r="AE7665">
        <v>57.26</v>
      </c>
    </row>
    <row r="7666" spans="31:31" x14ac:dyDescent="0.25">
      <c r="AE7666">
        <v>156.28</v>
      </c>
    </row>
    <row r="7667" spans="31:31" x14ac:dyDescent="0.25">
      <c r="AE7667">
        <v>89.14</v>
      </c>
    </row>
    <row r="7668" spans="31:31" x14ac:dyDescent="0.25">
      <c r="AE7668">
        <v>103.58</v>
      </c>
    </row>
    <row r="7669" spans="31:31" x14ac:dyDescent="0.25">
      <c r="AE7669">
        <v>146.83000000000001</v>
      </c>
    </row>
    <row r="7670" spans="31:31" x14ac:dyDescent="0.25">
      <c r="AE7670">
        <v>24.56</v>
      </c>
    </row>
    <row r="7671" spans="31:31" x14ac:dyDescent="0.25">
      <c r="AE7671">
        <v>78.72</v>
      </c>
    </row>
    <row r="7672" spans="31:31" x14ac:dyDescent="0.25">
      <c r="AE7672">
        <v>19.329999999999998</v>
      </c>
    </row>
    <row r="7673" spans="31:31" x14ac:dyDescent="0.25">
      <c r="AE7673">
        <v>38.020000000000003</v>
      </c>
    </row>
    <row r="7674" spans="31:31" x14ac:dyDescent="0.25">
      <c r="AE7674">
        <v>25.63</v>
      </c>
    </row>
    <row r="7675" spans="31:31" x14ac:dyDescent="0.25">
      <c r="AE7675">
        <v>123.13</v>
      </c>
    </row>
    <row r="7676" spans="31:31" x14ac:dyDescent="0.25">
      <c r="AE7676">
        <v>21.64</v>
      </c>
    </row>
    <row r="7677" spans="31:31" x14ac:dyDescent="0.25">
      <c r="AE7677">
        <v>47.53</v>
      </c>
    </row>
    <row r="7678" spans="31:31" x14ac:dyDescent="0.25">
      <c r="AE7678">
        <v>169.19</v>
      </c>
    </row>
    <row r="7679" spans="31:31" x14ac:dyDescent="0.25">
      <c r="AE7679">
        <v>155.13999999999999</v>
      </c>
    </row>
    <row r="7680" spans="31:31" x14ac:dyDescent="0.25">
      <c r="AE7680">
        <v>47.68</v>
      </c>
    </row>
    <row r="7681" spans="31:31" x14ac:dyDescent="0.25">
      <c r="AE7681">
        <v>26.25</v>
      </c>
    </row>
    <row r="7682" spans="31:31" x14ac:dyDescent="0.25">
      <c r="AE7682">
        <v>12.58</v>
      </c>
    </row>
    <row r="7683" spans="31:31" x14ac:dyDescent="0.25">
      <c r="AE7683">
        <v>25.14</v>
      </c>
    </row>
    <row r="7684" spans="31:31" x14ac:dyDescent="0.25">
      <c r="AE7684">
        <v>140.62</v>
      </c>
    </row>
    <row r="7685" spans="31:31" x14ac:dyDescent="0.25">
      <c r="AE7685">
        <v>13.68</v>
      </c>
    </row>
    <row r="7686" spans="31:31" x14ac:dyDescent="0.25">
      <c r="AE7686">
        <v>81.62</v>
      </c>
    </row>
    <row r="7687" spans="31:31" x14ac:dyDescent="0.25">
      <c r="AE7687">
        <v>65.540000000000006</v>
      </c>
    </row>
    <row r="7688" spans="31:31" x14ac:dyDescent="0.25">
      <c r="AE7688">
        <v>56.97</v>
      </c>
    </row>
    <row r="7689" spans="31:31" x14ac:dyDescent="0.25">
      <c r="AE7689">
        <v>60.42</v>
      </c>
    </row>
    <row r="7690" spans="31:31" x14ac:dyDescent="0.25">
      <c r="AE7690">
        <v>130.75</v>
      </c>
    </row>
    <row r="7691" spans="31:31" x14ac:dyDescent="0.25">
      <c r="AE7691">
        <v>8.9600000000000009</v>
      </c>
    </row>
    <row r="7692" spans="31:31" x14ac:dyDescent="0.25">
      <c r="AE7692">
        <v>26.08</v>
      </c>
    </row>
    <row r="7693" spans="31:31" x14ac:dyDescent="0.25">
      <c r="AE7693">
        <v>23.11</v>
      </c>
    </row>
    <row r="7694" spans="31:31" x14ac:dyDescent="0.25">
      <c r="AE7694">
        <v>7.43</v>
      </c>
    </row>
    <row r="7695" spans="31:31" x14ac:dyDescent="0.25">
      <c r="AE7695">
        <v>20.190000000000001</v>
      </c>
    </row>
    <row r="7696" spans="31:31" x14ac:dyDescent="0.25">
      <c r="AE7696">
        <v>178.52</v>
      </c>
    </row>
    <row r="7697" spans="31:31" x14ac:dyDescent="0.25">
      <c r="AE7697">
        <v>58.15</v>
      </c>
    </row>
    <row r="7698" spans="31:31" x14ac:dyDescent="0.25">
      <c r="AE7698">
        <v>125.18</v>
      </c>
    </row>
    <row r="7699" spans="31:31" x14ac:dyDescent="0.25">
      <c r="AE7699">
        <v>25.34</v>
      </c>
    </row>
    <row r="7700" spans="31:31" x14ac:dyDescent="0.25">
      <c r="AE7700">
        <v>100.87</v>
      </c>
    </row>
    <row r="7701" spans="31:31" x14ac:dyDescent="0.25">
      <c r="AE7701">
        <v>59.1</v>
      </c>
    </row>
    <row r="7702" spans="31:31" x14ac:dyDescent="0.25">
      <c r="AE7702">
        <v>4.9800000000000004</v>
      </c>
    </row>
    <row r="7703" spans="31:31" x14ac:dyDescent="0.25">
      <c r="AE7703">
        <v>0.36</v>
      </c>
    </row>
    <row r="7704" spans="31:31" x14ac:dyDescent="0.25">
      <c r="AE7704">
        <v>103.32</v>
      </c>
    </row>
    <row r="7705" spans="31:31" x14ac:dyDescent="0.25">
      <c r="AE7705">
        <v>19.71</v>
      </c>
    </row>
    <row r="7706" spans="31:31" x14ac:dyDescent="0.25">
      <c r="AE7706">
        <v>38.369999999999997</v>
      </c>
    </row>
    <row r="7707" spans="31:31" x14ac:dyDescent="0.25">
      <c r="AE7707">
        <v>23.74</v>
      </c>
    </row>
    <row r="7708" spans="31:31" x14ac:dyDescent="0.25">
      <c r="AE7708">
        <v>55.65</v>
      </c>
    </row>
    <row r="7709" spans="31:31" x14ac:dyDescent="0.25">
      <c r="AE7709">
        <v>97.58</v>
      </c>
    </row>
    <row r="7710" spans="31:31" x14ac:dyDescent="0.25">
      <c r="AE7710">
        <v>78.989999999999995</v>
      </c>
    </row>
    <row r="7711" spans="31:31" x14ac:dyDescent="0.25">
      <c r="AE7711">
        <v>18.73</v>
      </c>
    </row>
    <row r="7712" spans="31:31" x14ac:dyDescent="0.25">
      <c r="AE7712">
        <v>93.05</v>
      </c>
    </row>
    <row r="7713" spans="31:31" x14ac:dyDescent="0.25">
      <c r="AE7713">
        <v>35.61</v>
      </c>
    </row>
    <row r="7714" spans="31:31" x14ac:dyDescent="0.25">
      <c r="AE7714">
        <v>13.52</v>
      </c>
    </row>
    <row r="7715" spans="31:31" x14ac:dyDescent="0.25">
      <c r="AE7715">
        <v>103.78</v>
      </c>
    </row>
    <row r="7716" spans="31:31" x14ac:dyDescent="0.25">
      <c r="AE7716">
        <v>40.67</v>
      </c>
    </row>
    <row r="7717" spans="31:31" x14ac:dyDescent="0.25">
      <c r="AE7717">
        <v>67.05</v>
      </c>
    </row>
    <row r="7718" spans="31:31" x14ac:dyDescent="0.25">
      <c r="AE7718">
        <v>162.13</v>
      </c>
    </row>
    <row r="7719" spans="31:31" x14ac:dyDescent="0.25">
      <c r="AE7719">
        <v>275.08</v>
      </c>
    </row>
    <row r="7720" spans="31:31" x14ac:dyDescent="0.25">
      <c r="AE7720">
        <v>22.05</v>
      </c>
    </row>
    <row r="7721" spans="31:31" x14ac:dyDescent="0.25">
      <c r="AE7721">
        <v>64.84</v>
      </c>
    </row>
    <row r="7722" spans="31:31" x14ac:dyDescent="0.25">
      <c r="AE7722">
        <v>16.850000000000001</v>
      </c>
    </row>
    <row r="7723" spans="31:31" x14ac:dyDescent="0.25">
      <c r="AE7723">
        <v>21.5</v>
      </c>
    </row>
    <row r="7724" spans="31:31" x14ac:dyDescent="0.25">
      <c r="AE7724">
        <v>94.01</v>
      </c>
    </row>
    <row r="7725" spans="31:31" x14ac:dyDescent="0.25">
      <c r="AE7725">
        <v>0.36</v>
      </c>
    </row>
    <row r="7726" spans="31:31" x14ac:dyDescent="0.25">
      <c r="AE7726">
        <v>29.82</v>
      </c>
    </row>
    <row r="7727" spans="31:31" x14ac:dyDescent="0.25">
      <c r="AE7727">
        <v>27.37</v>
      </c>
    </row>
    <row r="7728" spans="31:31" x14ac:dyDescent="0.25">
      <c r="AE7728">
        <v>94.22</v>
      </c>
    </row>
    <row r="7729" spans="31:31" x14ac:dyDescent="0.25">
      <c r="AE7729">
        <v>103.54</v>
      </c>
    </row>
    <row r="7730" spans="31:31" x14ac:dyDescent="0.25">
      <c r="AE7730">
        <v>94.1</v>
      </c>
    </row>
    <row r="7731" spans="31:31" x14ac:dyDescent="0.25">
      <c r="AE7731">
        <v>44.12</v>
      </c>
    </row>
    <row r="7732" spans="31:31" x14ac:dyDescent="0.25">
      <c r="AE7732">
        <v>49.67</v>
      </c>
    </row>
    <row r="7733" spans="31:31" x14ac:dyDescent="0.25">
      <c r="AE7733">
        <v>36.4</v>
      </c>
    </row>
    <row r="7734" spans="31:31" x14ac:dyDescent="0.25">
      <c r="AE7734">
        <v>74.36</v>
      </c>
    </row>
    <row r="7735" spans="31:31" x14ac:dyDescent="0.25">
      <c r="AE7735">
        <v>54.49</v>
      </c>
    </row>
    <row r="7736" spans="31:31" x14ac:dyDescent="0.25">
      <c r="AE7736">
        <v>56.84</v>
      </c>
    </row>
    <row r="7737" spans="31:31" x14ac:dyDescent="0.25">
      <c r="AE7737">
        <v>10.49</v>
      </c>
    </row>
    <row r="7738" spans="31:31" x14ac:dyDescent="0.25">
      <c r="AE7738">
        <v>111.74</v>
      </c>
    </row>
    <row r="7739" spans="31:31" x14ac:dyDescent="0.25">
      <c r="AE7739">
        <v>226.88</v>
      </c>
    </row>
    <row r="7740" spans="31:31" x14ac:dyDescent="0.25">
      <c r="AE7740">
        <v>53.26</v>
      </c>
    </row>
    <row r="7741" spans="31:31" x14ac:dyDescent="0.25">
      <c r="AE7741">
        <v>41.31</v>
      </c>
    </row>
    <row r="7742" spans="31:31" x14ac:dyDescent="0.25">
      <c r="AE7742">
        <v>15.67</v>
      </c>
    </row>
    <row r="7743" spans="31:31" x14ac:dyDescent="0.25">
      <c r="AE7743">
        <v>122.42</v>
      </c>
    </row>
    <row r="7744" spans="31:31" x14ac:dyDescent="0.25">
      <c r="AE7744">
        <v>20.05</v>
      </c>
    </row>
    <row r="7745" spans="31:31" x14ac:dyDescent="0.25">
      <c r="AE7745">
        <v>58.78</v>
      </c>
    </row>
    <row r="7746" spans="31:31" x14ac:dyDescent="0.25">
      <c r="AE7746">
        <v>183.27</v>
      </c>
    </row>
    <row r="7747" spans="31:31" x14ac:dyDescent="0.25">
      <c r="AE7747">
        <v>30.01</v>
      </c>
    </row>
    <row r="7748" spans="31:31" x14ac:dyDescent="0.25">
      <c r="AE7748">
        <v>16.68</v>
      </c>
    </row>
    <row r="7749" spans="31:31" x14ac:dyDescent="0.25">
      <c r="AE7749">
        <v>62.68</v>
      </c>
    </row>
    <row r="7750" spans="31:31" x14ac:dyDescent="0.25">
      <c r="AE7750">
        <v>10.039999999999999</v>
      </c>
    </row>
    <row r="7751" spans="31:31" x14ac:dyDescent="0.25">
      <c r="AE7751">
        <v>27.96</v>
      </c>
    </row>
    <row r="7752" spans="31:31" x14ac:dyDescent="0.25">
      <c r="AE7752">
        <v>15.8</v>
      </c>
    </row>
    <row r="7753" spans="31:31" x14ac:dyDescent="0.25">
      <c r="AE7753">
        <v>57.57</v>
      </c>
    </row>
    <row r="7754" spans="31:31" x14ac:dyDescent="0.25">
      <c r="AE7754">
        <v>12.65</v>
      </c>
    </row>
    <row r="7755" spans="31:31" x14ac:dyDescent="0.25">
      <c r="AE7755">
        <v>112.14</v>
      </c>
    </row>
    <row r="7756" spans="31:31" x14ac:dyDescent="0.25">
      <c r="AE7756">
        <v>64.19</v>
      </c>
    </row>
    <row r="7757" spans="31:31" x14ac:dyDescent="0.25">
      <c r="AE7757">
        <v>27.08</v>
      </c>
    </row>
    <row r="7758" spans="31:31" x14ac:dyDescent="0.25">
      <c r="AE7758">
        <v>158.29</v>
      </c>
    </row>
    <row r="7759" spans="31:31" x14ac:dyDescent="0.25">
      <c r="AE7759">
        <v>87.14</v>
      </c>
    </row>
    <row r="7760" spans="31:31" x14ac:dyDescent="0.25">
      <c r="AE7760">
        <v>233.87</v>
      </c>
    </row>
    <row r="7761" spans="31:31" x14ac:dyDescent="0.25">
      <c r="AE7761">
        <v>55.73</v>
      </c>
    </row>
    <row r="7762" spans="31:31" x14ac:dyDescent="0.25">
      <c r="AE7762">
        <v>51.38</v>
      </c>
    </row>
    <row r="7763" spans="31:31" x14ac:dyDescent="0.25">
      <c r="AE7763">
        <v>44.36</v>
      </c>
    </row>
    <row r="7764" spans="31:31" x14ac:dyDescent="0.25">
      <c r="AE7764">
        <v>39.64</v>
      </c>
    </row>
    <row r="7765" spans="31:31" x14ac:dyDescent="0.25">
      <c r="AE7765">
        <v>1.53</v>
      </c>
    </row>
    <row r="7766" spans="31:31" x14ac:dyDescent="0.25">
      <c r="AE7766">
        <v>104.74</v>
      </c>
    </row>
    <row r="7767" spans="31:31" x14ac:dyDescent="0.25">
      <c r="AE7767">
        <v>32.74</v>
      </c>
    </row>
    <row r="7768" spans="31:31" x14ac:dyDescent="0.25">
      <c r="AE7768">
        <v>45.33</v>
      </c>
    </row>
    <row r="7769" spans="31:31" x14ac:dyDescent="0.25">
      <c r="AE7769">
        <v>55.01</v>
      </c>
    </row>
    <row r="7770" spans="31:31" x14ac:dyDescent="0.25">
      <c r="AE7770">
        <v>69.650000000000006</v>
      </c>
    </row>
    <row r="7771" spans="31:31" x14ac:dyDescent="0.25">
      <c r="AE7771">
        <v>187.03</v>
      </c>
    </row>
    <row r="7772" spans="31:31" x14ac:dyDescent="0.25">
      <c r="AE7772">
        <v>139.69</v>
      </c>
    </row>
    <row r="7773" spans="31:31" x14ac:dyDescent="0.25">
      <c r="AE7773">
        <v>372.76</v>
      </c>
    </row>
    <row r="7774" spans="31:31" x14ac:dyDescent="0.25">
      <c r="AE7774">
        <v>9.68</v>
      </c>
    </row>
    <row r="7775" spans="31:31" x14ac:dyDescent="0.25">
      <c r="AE7775">
        <v>31.24</v>
      </c>
    </row>
    <row r="7776" spans="31:31" x14ac:dyDescent="0.25">
      <c r="AE7776">
        <v>31.02</v>
      </c>
    </row>
    <row r="7777" spans="31:31" x14ac:dyDescent="0.25">
      <c r="AE7777">
        <v>7.82</v>
      </c>
    </row>
    <row r="7778" spans="31:31" x14ac:dyDescent="0.25">
      <c r="AE7778">
        <v>59.45</v>
      </c>
    </row>
    <row r="7779" spans="31:31" x14ac:dyDescent="0.25">
      <c r="AE7779">
        <v>21.8</v>
      </c>
    </row>
    <row r="7780" spans="31:31" x14ac:dyDescent="0.25">
      <c r="AE7780">
        <v>73</v>
      </c>
    </row>
    <row r="7781" spans="31:31" x14ac:dyDescent="0.25">
      <c r="AE7781">
        <v>34.5</v>
      </c>
    </row>
    <row r="7782" spans="31:31" x14ac:dyDescent="0.25">
      <c r="AE7782">
        <v>15.33</v>
      </c>
    </row>
    <row r="7783" spans="31:31" x14ac:dyDescent="0.25">
      <c r="AE7783">
        <v>0</v>
      </c>
    </row>
    <row r="7784" spans="31:31" x14ac:dyDescent="0.25">
      <c r="AE7784">
        <v>13.03</v>
      </c>
    </row>
    <row r="7785" spans="31:31" x14ac:dyDescent="0.25">
      <c r="AE7785">
        <v>80.819999999999993</v>
      </c>
    </row>
    <row r="7786" spans="31:31" x14ac:dyDescent="0.25">
      <c r="AE7786">
        <v>106</v>
      </c>
    </row>
    <row r="7787" spans="31:31" x14ac:dyDescent="0.25">
      <c r="AE7787">
        <v>9.99</v>
      </c>
    </row>
    <row r="7788" spans="31:31" x14ac:dyDescent="0.25">
      <c r="AE7788">
        <v>150.55000000000001</v>
      </c>
    </row>
    <row r="7789" spans="31:31" x14ac:dyDescent="0.25">
      <c r="AE7789">
        <v>101.41</v>
      </c>
    </row>
    <row r="7790" spans="31:31" x14ac:dyDescent="0.25">
      <c r="AE7790">
        <v>129.31</v>
      </c>
    </row>
    <row r="7791" spans="31:31" x14ac:dyDescent="0.25">
      <c r="AE7791">
        <v>27.35</v>
      </c>
    </row>
    <row r="7792" spans="31:31" x14ac:dyDescent="0.25">
      <c r="AE7792">
        <v>145.13</v>
      </c>
    </row>
    <row r="7793" spans="31:31" x14ac:dyDescent="0.25">
      <c r="AE7793">
        <v>80.8</v>
      </c>
    </row>
    <row r="7794" spans="31:31" x14ac:dyDescent="0.25">
      <c r="AE7794">
        <v>101.98</v>
      </c>
    </row>
    <row r="7795" spans="31:31" x14ac:dyDescent="0.25">
      <c r="AE7795">
        <v>112.46</v>
      </c>
    </row>
    <row r="7796" spans="31:31" x14ac:dyDescent="0.25">
      <c r="AE7796">
        <v>26.71</v>
      </c>
    </row>
    <row r="7797" spans="31:31" x14ac:dyDescent="0.25">
      <c r="AE7797">
        <v>24.8</v>
      </c>
    </row>
    <row r="7798" spans="31:31" x14ac:dyDescent="0.25">
      <c r="AE7798">
        <v>61.32</v>
      </c>
    </row>
    <row r="7799" spans="31:31" x14ac:dyDescent="0.25">
      <c r="AE7799">
        <v>58.73</v>
      </c>
    </row>
    <row r="7800" spans="31:31" x14ac:dyDescent="0.25">
      <c r="AE7800">
        <v>11.14</v>
      </c>
    </row>
    <row r="7801" spans="31:31" x14ac:dyDescent="0.25">
      <c r="AE7801">
        <v>98.05</v>
      </c>
    </row>
    <row r="7802" spans="31:31" x14ac:dyDescent="0.25">
      <c r="AE7802">
        <v>99.83</v>
      </c>
    </row>
    <row r="7803" spans="31:31" x14ac:dyDescent="0.25">
      <c r="AE7803">
        <v>35.46</v>
      </c>
    </row>
    <row r="7804" spans="31:31" x14ac:dyDescent="0.25">
      <c r="AE7804">
        <v>154.77000000000001</v>
      </c>
    </row>
    <row r="7805" spans="31:31" x14ac:dyDescent="0.25">
      <c r="AE7805">
        <v>45.51</v>
      </c>
    </row>
    <row r="7806" spans="31:31" x14ac:dyDescent="0.25">
      <c r="AE7806">
        <v>144.69999999999999</v>
      </c>
    </row>
    <row r="7807" spans="31:31" x14ac:dyDescent="0.25">
      <c r="AE7807">
        <v>81.93</v>
      </c>
    </row>
    <row r="7808" spans="31:31" x14ac:dyDescent="0.25">
      <c r="AE7808">
        <v>66.959999999999994</v>
      </c>
    </row>
    <row r="7809" spans="31:31" x14ac:dyDescent="0.25">
      <c r="AE7809">
        <v>11.4</v>
      </c>
    </row>
    <row r="7810" spans="31:31" x14ac:dyDescent="0.25">
      <c r="AE7810">
        <v>30.51</v>
      </c>
    </row>
    <row r="7811" spans="31:31" x14ac:dyDescent="0.25">
      <c r="AE7811">
        <v>9.99</v>
      </c>
    </row>
    <row r="7812" spans="31:31" x14ac:dyDescent="0.25">
      <c r="AE7812">
        <v>101.65</v>
      </c>
    </row>
    <row r="7813" spans="31:31" x14ac:dyDescent="0.25">
      <c r="AE7813">
        <v>41.41</v>
      </c>
    </row>
    <row r="7814" spans="31:31" x14ac:dyDescent="0.25">
      <c r="AE7814">
        <v>73.52</v>
      </c>
    </row>
    <row r="7815" spans="31:31" x14ac:dyDescent="0.25">
      <c r="AE7815">
        <v>26.22</v>
      </c>
    </row>
    <row r="7816" spans="31:31" x14ac:dyDescent="0.25">
      <c r="AE7816">
        <v>22.43</v>
      </c>
    </row>
    <row r="7817" spans="31:31" x14ac:dyDescent="0.25">
      <c r="AE7817">
        <v>73.510000000000005</v>
      </c>
    </row>
    <row r="7818" spans="31:31" x14ac:dyDescent="0.25">
      <c r="AE7818">
        <v>70.849999999999994</v>
      </c>
    </row>
    <row r="7819" spans="31:31" x14ac:dyDescent="0.25">
      <c r="AE7819">
        <v>27.1</v>
      </c>
    </row>
    <row r="7820" spans="31:31" x14ac:dyDescent="0.25">
      <c r="AE7820">
        <v>35.93</v>
      </c>
    </row>
    <row r="7821" spans="31:31" x14ac:dyDescent="0.25">
      <c r="AE7821">
        <v>39.33</v>
      </c>
    </row>
    <row r="7822" spans="31:31" x14ac:dyDescent="0.25">
      <c r="AE7822">
        <v>21.47</v>
      </c>
    </row>
    <row r="7823" spans="31:31" x14ac:dyDescent="0.25">
      <c r="AE7823">
        <v>103.37</v>
      </c>
    </row>
    <row r="7824" spans="31:31" x14ac:dyDescent="0.25">
      <c r="AE7824">
        <v>45.93</v>
      </c>
    </row>
    <row r="7825" spans="31:31" x14ac:dyDescent="0.25">
      <c r="AE7825">
        <v>36.979999999999997</v>
      </c>
    </row>
    <row r="7826" spans="31:31" x14ac:dyDescent="0.25">
      <c r="AE7826">
        <v>34.86</v>
      </c>
    </row>
    <row r="7827" spans="31:31" x14ac:dyDescent="0.25">
      <c r="AE7827">
        <v>21.02</v>
      </c>
    </row>
    <row r="7828" spans="31:31" x14ac:dyDescent="0.25">
      <c r="AE7828">
        <v>68.260000000000005</v>
      </c>
    </row>
    <row r="7829" spans="31:31" x14ac:dyDescent="0.25">
      <c r="AE7829">
        <v>192.84</v>
      </c>
    </row>
    <row r="7830" spans="31:31" x14ac:dyDescent="0.25">
      <c r="AE7830">
        <v>20.420000000000002</v>
      </c>
    </row>
    <row r="7831" spans="31:31" x14ac:dyDescent="0.25">
      <c r="AE7831">
        <v>27.02</v>
      </c>
    </row>
    <row r="7832" spans="31:31" x14ac:dyDescent="0.25">
      <c r="AE7832">
        <v>8.18</v>
      </c>
    </row>
    <row r="7833" spans="31:31" x14ac:dyDescent="0.25">
      <c r="AE7833">
        <v>52.26</v>
      </c>
    </row>
    <row r="7834" spans="31:31" x14ac:dyDescent="0.25">
      <c r="AE7834">
        <v>24.79</v>
      </c>
    </row>
    <row r="7835" spans="31:31" x14ac:dyDescent="0.25">
      <c r="AE7835">
        <v>5.7</v>
      </c>
    </row>
    <row r="7836" spans="31:31" x14ac:dyDescent="0.25">
      <c r="AE7836">
        <v>20.420000000000002</v>
      </c>
    </row>
    <row r="7837" spans="31:31" x14ac:dyDescent="0.25">
      <c r="AE7837">
        <v>23.59</v>
      </c>
    </row>
    <row r="7838" spans="31:31" x14ac:dyDescent="0.25">
      <c r="AE7838">
        <v>58.85</v>
      </c>
    </row>
    <row r="7839" spans="31:31" x14ac:dyDescent="0.25">
      <c r="AE7839">
        <v>10.09</v>
      </c>
    </row>
    <row r="7840" spans="31:31" x14ac:dyDescent="0.25">
      <c r="AE7840">
        <v>43.38</v>
      </c>
    </row>
    <row r="7841" spans="31:31" x14ac:dyDescent="0.25">
      <c r="AE7841">
        <v>45.87</v>
      </c>
    </row>
    <row r="7842" spans="31:31" x14ac:dyDescent="0.25">
      <c r="AE7842">
        <v>86.94</v>
      </c>
    </row>
    <row r="7843" spans="31:31" x14ac:dyDescent="0.25">
      <c r="AE7843">
        <v>49.59</v>
      </c>
    </row>
    <row r="7844" spans="31:31" x14ac:dyDescent="0.25">
      <c r="AE7844">
        <v>94.44</v>
      </c>
    </row>
    <row r="7845" spans="31:31" x14ac:dyDescent="0.25">
      <c r="AE7845">
        <v>110.29</v>
      </c>
    </row>
    <row r="7846" spans="31:31" x14ac:dyDescent="0.25">
      <c r="AE7846">
        <v>15.38</v>
      </c>
    </row>
    <row r="7847" spans="31:31" x14ac:dyDescent="0.25">
      <c r="AE7847">
        <v>0.38</v>
      </c>
    </row>
    <row r="7848" spans="31:31" x14ac:dyDescent="0.25">
      <c r="AE7848">
        <v>14.69</v>
      </c>
    </row>
    <row r="7849" spans="31:31" x14ac:dyDescent="0.25">
      <c r="AE7849">
        <v>8.66</v>
      </c>
    </row>
    <row r="7850" spans="31:31" x14ac:dyDescent="0.25">
      <c r="AE7850">
        <v>59.59</v>
      </c>
    </row>
    <row r="7851" spans="31:31" x14ac:dyDescent="0.25">
      <c r="AE7851">
        <v>25.74</v>
      </c>
    </row>
    <row r="7852" spans="31:31" x14ac:dyDescent="0.25">
      <c r="AE7852">
        <v>16.02</v>
      </c>
    </row>
    <row r="7853" spans="31:31" x14ac:dyDescent="0.25">
      <c r="AE7853">
        <v>15.98</v>
      </c>
    </row>
    <row r="7854" spans="31:31" x14ac:dyDescent="0.25">
      <c r="AE7854">
        <v>15.28</v>
      </c>
    </row>
    <row r="7855" spans="31:31" x14ac:dyDescent="0.25">
      <c r="AE7855">
        <v>8.56</v>
      </c>
    </row>
    <row r="7856" spans="31:31" x14ac:dyDescent="0.25">
      <c r="AE7856">
        <v>29.94</v>
      </c>
    </row>
    <row r="7857" spans="31:31" x14ac:dyDescent="0.25">
      <c r="AE7857">
        <v>24.26</v>
      </c>
    </row>
    <row r="7858" spans="31:31" x14ac:dyDescent="0.25">
      <c r="AE7858">
        <v>82</v>
      </c>
    </row>
    <row r="7859" spans="31:31" x14ac:dyDescent="0.25">
      <c r="AE7859">
        <v>10.93</v>
      </c>
    </row>
    <row r="7860" spans="31:31" x14ac:dyDescent="0.25">
      <c r="AE7860">
        <v>64.41</v>
      </c>
    </row>
    <row r="7861" spans="31:31" x14ac:dyDescent="0.25">
      <c r="AE7861">
        <v>69.680000000000007</v>
      </c>
    </row>
    <row r="7862" spans="31:31" x14ac:dyDescent="0.25">
      <c r="AE7862">
        <v>48.03</v>
      </c>
    </row>
    <row r="7863" spans="31:31" x14ac:dyDescent="0.25">
      <c r="AE7863">
        <v>103.16</v>
      </c>
    </row>
    <row r="7864" spans="31:31" x14ac:dyDescent="0.25">
      <c r="AE7864">
        <v>0</v>
      </c>
    </row>
    <row r="7865" spans="31:31" x14ac:dyDescent="0.25">
      <c r="AE7865">
        <v>21.83</v>
      </c>
    </row>
    <row r="7866" spans="31:31" x14ac:dyDescent="0.25">
      <c r="AE7866">
        <v>183.39</v>
      </c>
    </row>
    <row r="7867" spans="31:31" x14ac:dyDescent="0.25">
      <c r="AE7867">
        <v>15.24</v>
      </c>
    </row>
    <row r="7868" spans="31:31" x14ac:dyDescent="0.25">
      <c r="AE7868">
        <v>65.400000000000006</v>
      </c>
    </row>
    <row r="7869" spans="31:31" x14ac:dyDescent="0.25">
      <c r="AE7869">
        <v>156.38999999999999</v>
      </c>
    </row>
    <row r="7870" spans="31:31" x14ac:dyDescent="0.25">
      <c r="AE7870">
        <v>120.58</v>
      </c>
    </row>
    <row r="7871" spans="31:31" x14ac:dyDescent="0.25">
      <c r="AE7871">
        <v>67.42</v>
      </c>
    </row>
    <row r="7872" spans="31:31" x14ac:dyDescent="0.25">
      <c r="AE7872">
        <v>117.13</v>
      </c>
    </row>
    <row r="7873" spans="31:31" x14ac:dyDescent="0.25">
      <c r="AE7873">
        <v>0.81</v>
      </c>
    </row>
    <row r="7874" spans="31:31" x14ac:dyDescent="0.25">
      <c r="AE7874">
        <v>64.260000000000005</v>
      </c>
    </row>
    <row r="7875" spans="31:31" x14ac:dyDescent="0.25">
      <c r="AE7875">
        <v>63.66</v>
      </c>
    </row>
    <row r="7876" spans="31:31" x14ac:dyDescent="0.25">
      <c r="AE7876">
        <v>43.58</v>
      </c>
    </row>
    <row r="7877" spans="31:31" x14ac:dyDescent="0.25">
      <c r="AE7877">
        <v>10.19</v>
      </c>
    </row>
    <row r="7878" spans="31:31" x14ac:dyDescent="0.25">
      <c r="AE7878">
        <v>47.91</v>
      </c>
    </row>
    <row r="7879" spans="31:31" x14ac:dyDescent="0.25">
      <c r="AE7879">
        <v>61.53</v>
      </c>
    </row>
    <row r="7880" spans="31:31" x14ac:dyDescent="0.25">
      <c r="AE7880">
        <v>29.89</v>
      </c>
    </row>
    <row r="7881" spans="31:31" x14ac:dyDescent="0.25">
      <c r="AE7881">
        <v>47.62</v>
      </c>
    </row>
    <row r="7882" spans="31:31" x14ac:dyDescent="0.25">
      <c r="AE7882">
        <v>24.5</v>
      </c>
    </row>
    <row r="7883" spans="31:31" x14ac:dyDescent="0.25">
      <c r="AE7883">
        <v>26.98</v>
      </c>
    </row>
    <row r="7884" spans="31:31" x14ac:dyDescent="0.25">
      <c r="AE7884">
        <v>24.25</v>
      </c>
    </row>
    <row r="7885" spans="31:31" x14ac:dyDescent="0.25">
      <c r="AE7885">
        <v>80.78</v>
      </c>
    </row>
    <row r="7886" spans="31:31" x14ac:dyDescent="0.25">
      <c r="AE7886">
        <v>10.19</v>
      </c>
    </row>
    <row r="7887" spans="31:31" x14ac:dyDescent="0.25">
      <c r="AE7887">
        <v>15.72</v>
      </c>
    </row>
    <row r="7888" spans="31:31" x14ac:dyDescent="0.25">
      <c r="AE7888">
        <v>44.24</v>
      </c>
    </row>
    <row r="7889" spans="31:31" x14ac:dyDescent="0.25">
      <c r="AE7889">
        <v>85.96</v>
      </c>
    </row>
    <row r="7890" spans="31:31" x14ac:dyDescent="0.25">
      <c r="AE7890">
        <v>66.180000000000007</v>
      </c>
    </row>
    <row r="7891" spans="31:31" x14ac:dyDescent="0.25">
      <c r="AE7891">
        <v>155.03</v>
      </c>
    </row>
    <row r="7892" spans="31:31" x14ac:dyDescent="0.25">
      <c r="AE7892">
        <v>66.98</v>
      </c>
    </row>
    <row r="7893" spans="31:31" x14ac:dyDescent="0.25">
      <c r="AE7893">
        <v>4.7</v>
      </c>
    </row>
    <row r="7894" spans="31:31" x14ac:dyDescent="0.25">
      <c r="AE7894">
        <v>10.34</v>
      </c>
    </row>
    <row r="7895" spans="31:31" x14ac:dyDescent="0.25">
      <c r="AE7895">
        <v>64.88</v>
      </c>
    </row>
    <row r="7896" spans="31:31" x14ac:dyDescent="0.25">
      <c r="AE7896">
        <v>57.54</v>
      </c>
    </row>
    <row r="7897" spans="31:31" x14ac:dyDescent="0.25">
      <c r="AE7897">
        <v>33.89</v>
      </c>
    </row>
    <row r="7898" spans="31:31" x14ac:dyDescent="0.25">
      <c r="AE7898">
        <v>109.2</v>
      </c>
    </row>
    <row r="7899" spans="31:31" x14ac:dyDescent="0.25">
      <c r="AE7899">
        <v>11.27</v>
      </c>
    </row>
    <row r="7900" spans="31:31" x14ac:dyDescent="0.25">
      <c r="AE7900">
        <v>95.9</v>
      </c>
    </row>
    <row r="7901" spans="31:31" x14ac:dyDescent="0.25">
      <c r="AE7901">
        <v>142.54</v>
      </c>
    </row>
    <row r="7902" spans="31:31" x14ac:dyDescent="0.25">
      <c r="AE7902">
        <v>0</v>
      </c>
    </row>
    <row r="7903" spans="31:31" x14ac:dyDescent="0.25">
      <c r="AE7903">
        <v>233.39</v>
      </c>
    </row>
    <row r="7904" spans="31:31" x14ac:dyDescent="0.25">
      <c r="AE7904">
        <v>16.420000000000002</v>
      </c>
    </row>
    <row r="7905" spans="31:31" x14ac:dyDescent="0.25">
      <c r="AE7905">
        <v>63.87</v>
      </c>
    </row>
    <row r="7906" spans="31:31" x14ac:dyDescent="0.25">
      <c r="AE7906">
        <v>0.45</v>
      </c>
    </row>
    <row r="7907" spans="31:31" x14ac:dyDescent="0.25">
      <c r="AE7907">
        <v>0.36</v>
      </c>
    </row>
    <row r="7908" spans="31:31" x14ac:dyDescent="0.25">
      <c r="AE7908">
        <v>35.99</v>
      </c>
    </row>
    <row r="7909" spans="31:31" x14ac:dyDescent="0.25">
      <c r="AE7909">
        <v>17.579999999999998</v>
      </c>
    </row>
    <row r="7910" spans="31:31" x14ac:dyDescent="0.25">
      <c r="AE7910">
        <v>81.99</v>
      </c>
    </row>
    <row r="7911" spans="31:31" x14ac:dyDescent="0.25">
      <c r="AE7911">
        <v>90.37</v>
      </c>
    </row>
    <row r="7912" spans="31:31" x14ac:dyDescent="0.25">
      <c r="AE7912">
        <v>17.55</v>
      </c>
    </row>
    <row r="7913" spans="31:31" x14ac:dyDescent="0.25">
      <c r="AE7913">
        <v>1.23</v>
      </c>
    </row>
    <row r="7914" spans="31:31" x14ac:dyDescent="0.25">
      <c r="AE7914">
        <v>109.05</v>
      </c>
    </row>
    <row r="7915" spans="31:31" x14ac:dyDescent="0.25">
      <c r="AE7915">
        <v>24.56</v>
      </c>
    </row>
    <row r="7916" spans="31:31" x14ac:dyDescent="0.25">
      <c r="AE7916">
        <v>214.8</v>
      </c>
    </row>
    <row r="7917" spans="31:31" x14ac:dyDescent="0.25">
      <c r="AE7917">
        <v>117.9</v>
      </c>
    </row>
    <row r="7918" spans="31:31" x14ac:dyDescent="0.25">
      <c r="AE7918">
        <v>23.11</v>
      </c>
    </row>
    <row r="7919" spans="31:31" x14ac:dyDescent="0.25">
      <c r="AE7919">
        <v>9.23</v>
      </c>
    </row>
    <row r="7920" spans="31:31" x14ac:dyDescent="0.25">
      <c r="AE7920">
        <v>18.32</v>
      </c>
    </row>
    <row r="7921" spans="31:31" x14ac:dyDescent="0.25">
      <c r="AE7921">
        <v>24.72</v>
      </c>
    </row>
    <row r="7922" spans="31:31" x14ac:dyDescent="0.25">
      <c r="AE7922">
        <v>17.61</v>
      </c>
    </row>
    <row r="7923" spans="31:31" x14ac:dyDescent="0.25">
      <c r="AE7923">
        <v>153.07</v>
      </c>
    </row>
    <row r="7924" spans="31:31" x14ac:dyDescent="0.25">
      <c r="AE7924">
        <v>76.010000000000005</v>
      </c>
    </row>
    <row r="7925" spans="31:31" x14ac:dyDescent="0.25">
      <c r="AE7925">
        <v>22.55</v>
      </c>
    </row>
    <row r="7926" spans="31:31" x14ac:dyDescent="0.25">
      <c r="AE7926">
        <v>72.239999999999995</v>
      </c>
    </row>
    <row r="7927" spans="31:31" x14ac:dyDescent="0.25">
      <c r="AE7927">
        <v>32.659999999999997</v>
      </c>
    </row>
    <row r="7928" spans="31:31" x14ac:dyDescent="0.25">
      <c r="AE7928">
        <v>10.19</v>
      </c>
    </row>
    <row r="7929" spans="31:31" x14ac:dyDescent="0.25">
      <c r="AE7929">
        <v>43.89</v>
      </c>
    </row>
    <row r="7930" spans="31:31" x14ac:dyDescent="0.25">
      <c r="AE7930">
        <v>66.760000000000005</v>
      </c>
    </row>
    <row r="7931" spans="31:31" x14ac:dyDescent="0.25">
      <c r="AE7931">
        <v>16.420000000000002</v>
      </c>
    </row>
    <row r="7932" spans="31:31" x14ac:dyDescent="0.25">
      <c r="AE7932">
        <v>23.9</v>
      </c>
    </row>
    <row r="7933" spans="31:31" x14ac:dyDescent="0.25">
      <c r="AE7933">
        <v>80.94</v>
      </c>
    </row>
    <row r="7934" spans="31:31" x14ac:dyDescent="0.25">
      <c r="AE7934">
        <v>57.47</v>
      </c>
    </row>
    <row r="7935" spans="31:31" x14ac:dyDescent="0.25">
      <c r="AE7935">
        <v>121.99</v>
      </c>
    </row>
    <row r="7936" spans="31:31" x14ac:dyDescent="0.25">
      <c r="AE7936">
        <v>71.72</v>
      </c>
    </row>
    <row r="7937" spans="31:31" x14ac:dyDescent="0.25">
      <c r="AE7937">
        <v>56.25</v>
      </c>
    </row>
    <row r="7938" spans="31:31" x14ac:dyDescent="0.25">
      <c r="AE7938">
        <v>30.41</v>
      </c>
    </row>
    <row r="7939" spans="31:31" x14ac:dyDescent="0.25">
      <c r="AE7939">
        <v>50.31</v>
      </c>
    </row>
    <row r="7940" spans="31:31" x14ac:dyDescent="0.25">
      <c r="AE7940">
        <v>25.54</v>
      </c>
    </row>
    <row r="7941" spans="31:31" x14ac:dyDescent="0.25">
      <c r="AE7941">
        <v>40.51</v>
      </c>
    </row>
    <row r="7942" spans="31:31" x14ac:dyDescent="0.25">
      <c r="AE7942">
        <v>48.32</v>
      </c>
    </row>
    <row r="7943" spans="31:31" x14ac:dyDescent="0.25">
      <c r="AE7943">
        <v>118.44</v>
      </c>
    </row>
    <row r="7944" spans="31:31" x14ac:dyDescent="0.25">
      <c r="AE7944">
        <v>88.41</v>
      </c>
    </row>
    <row r="7945" spans="31:31" x14ac:dyDescent="0.25">
      <c r="AE7945">
        <v>78.010000000000005</v>
      </c>
    </row>
    <row r="7946" spans="31:31" x14ac:dyDescent="0.25">
      <c r="AE7946">
        <v>15.08</v>
      </c>
    </row>
    <row r="7947" spans="31:31" x14ac:dyDescent="0.25">
      <c r="AE7947">
        <v>24.95</v>
      </c>
    </row>
    <row r="7948" spans="31:31" x14ac:dyDescent="0.25">
      <c r="AE7948">
        <v>30.53</v>
      </c>
    </row>
    <row r="7949" spans="31:31" x14ac:dyDescent="0.25">
      <c r="AE7949">
        <v>11.88</v>
      </c>
    </row>
    <row r="7950" spans="31:31" x14ac:dyDescent="0.25">
      <c r="AE7950">
        <v>16.170000000000002</v>
      </c>
    </row>
    <row r="7951" spans="31:31" x14ac:dyDescent="0.25">
      <c r="AE7951">
        <v>11.25</v>
      </c>
    </row>
    <row r="7952" spans="31:31" x14ac:dyDescent="0.25">
      <c r="AE7952">
        <v>103.51</v>
      </c>
    </row>
    <row r="7953" spans="31:31" x14ac:dyDescent="0.25">
      <c r="AE7953">
        <v>12.03</v>
      </c>
    </row>
    <row r="7954" spans="31:31" x14ac:dyDescent="0.25">
      <c r="AE7954">
        <v>33.32</v>
      </c>
    </row>
    <row r="7955" spans="31:31" x14ac:dyDescent="0.25">
      <c r="AE7955">
        <v>31.22</v>
      </c>
    </row>
    <row r="7956" spans="31:31" x14ac:dyDescent="0.25">
      <c r="AE7956">
        <v>54.64</v>
      </c>
    </row>
    <row r="7957" spans="31:31" x14ac:dyDescent="0.25">
      <c r="AE7957">
        <v>49.17</v>
      </c>
    </row>
    <row r="7958" spans="31:31" x14ac:dyDescent="0.25">
      <c r="AE7958">
        <v>23.7</v>
      </c>
    </row>
    <row r="7959" spans="31:31" x14ac:dyDescent="0.25">
      <c r="AE7959">
        <v>15.3</v>
      </c>
    </row>
    <row r="7960" spans="31:31" x14ac:dyDescent="0.25">
      <c r="AE7960">
        <v>30.08</v>
      </c>
    </row>
    <row r="7961" spans="31:31" x14ac:dyDescent="0.25">
      <c r="AE7961">
        <v>33.71</v>
      </c>
    </row>
    <row r="7962" spans="31:31" x14ac:dyDescent="0.25">
      <c r="AE7962">
        <v>75.180000000000007</v>
      </c>
    </row>
    <row r="7963" spans="31:31" x14ac:dyDescent="0.25">
      <c r="AE7963">
        <v>7.91</v>
      </c>
    </row>
    <row r="7964" spans="31:31" x14ac:dyDescent="0.25">
      <c r="AE7964">
        <v>32.43</v>
      </c>
    </row>
    <row r="7965" spans="31:31" x14ac:dyDescent="0.25">
      <c r="AE7965">
        <v>88.35</v>
      </c>
    </row>
    <row r="7966" spans="31:31" x14ac:dyDescent="0.25">
      <c r="AE7966">
        <v>22.34</v>
      </c>
    </row>
    <row r="7967" spans="31:31" x14ac:dyDescent="0.25">
      <c r="AE7967">
        <v>71.77</v>
      </c>
    </row>
    <row r="7968" spans="31:31" x14ac:dyDescent="0.25">
      <c r="AE7968">
        <v>48.22</v>
      </c>
    </row>
    <row r="7969" spans="31:31" x14ac:dyDescent="0.25">
      <c r="AE7969">
        <v>80.22</v>
      </c>
    </row>
    <row r="7970" spans="31:31" x14ac:dyDescent="0.25">
      <c r="AE7970">
        <v>56.95</v>
      </c>
    </row>
    <row r="7971" spans="31:31" x14ac:dyDescent="0.25">
      <c r="AE7971">
        <v>13.86</v>
      </c>
    </row>
    <row r="7972" spans="31:31" x14ac:dyDescent="0.25">
      <c r="AE7972">
        <v>17.54</v>
      </c>
    </row>
    <row r="7973" spans="31:31" x14ac:dyDescent="0.25">
      <c r="AE7973">
        <v>70.33</v>
      </c>
    </row>
    <row r="7974" spans="31:31" x14ac:dyDescent="0.25">
      <c r="AE7974">
        <v>45.43</v>
      </c>
    </row>
    <row r="7975" spans="31:31" x14ac:dyDescent="0.25">
      <c r="AE7975">
        <v>79.489999999999995</v>
      </c>
    </row>
    <row r="7976" spans="31:31" x14ac:dyDescent="0.25">
      <c r="AE7976">
        <v>81.44</v>
      </c>
    </row>
    <row r="7977" spans="31:31" x14ac:dyDescent="0.25">
      <c r="AE7977">
        <v>38.44</v>
      </c>
    </row>
    <row r="7978" spans="31:31" x14ac:dyDescent="0.25">
      <c r="AE7978">
        <v>20.56</v>
      </c>
    </row>
    <row r="7979" spans="31:31" x14ac:dyDescent="0.25">
      <c r="AE7979">
        <v>33.42</v>
      </c>
    </row>
    <row r="7980" spans="31:31" x14ac:dyDescent="0.25">
      <c r="AE7980">
        <v>19.64</v>
      </c>
    </row>
    <row r="7981" spans="31:31" x14ac:dyDescent="0.25">
      <c r="AE7981">
        <v>66.89</v>
      </c>
    </row>
    <row r="7982" spans="31:31" x14ac:dyDescent="0.25">
      <c r="AE7982">
        <v>90.71</v>
      </c>
    </row>
    <row r="7983" spans="31:31" x14ac:dyDescent="0.25">
      <c r="AE7983">
        <v>45.35</v>
      </c>
    </row>
    <row r="7984" spans="31:31" x14ac:dyDescent="0.25">
      <c r="AE7984">
        <v>50.14</v>
      </c>
    </row>
    <row r="7985" spans="31:31" x14ac:dyDescent="0.25">
      <c r="AE7985">
        <v>40.92</v>
      </c>
    </row>
    <row r="7986" spans="31:31" x14ac:dyDescent="0.25">
      <c r="AE7986">
        <v>80.25</v>
      </c>
    </row>
    <row r="7987" spans="31:31" x14ac:dyDescent="0.25">
      <c r="AE7987">
        <v>127.47</v>
      </c>
    </row>
    <row r="7988" spans="31:31" x14ac:dyDescent="0.25">
      <c r="AE7988">
        <v>68.34</v>
      </c>
    </row>
    <row r="7989" spans="31:31" x14ac:dyDescent="0.25">
      <c r="AE7989">
        <v>85.56</v>
      </c>
    </row>
    <row r="7990" spans="31:31" x14ac:dyDescent="0.25">
      <c r="AE7990">
        <v>123.28</v>
      </c>
    </row>
    <row r="7991" spans="31:31" x14ac:dyDescent="0.25">
      <c r="AE7991">
        <v>162.13</v>
      </c>
    </row>
    <row r="7992" spans="31:31" x14ac:dyDescent="0.25">
      <c r="AE7992">
        <v>10.09</v>
      </c>
    </row>
    <row r="7993" spans="31:31" x14ac:dyDescent="0.25">
      <c r="AE7993">
        <v>20.75</v>
      </c>
    </row>
    <row r="7994" spans="31:31" x14ac:dyDescent="0.25">
      <c r="AE7994">
        <v>13.11</v>
      </c>
    </row>
    <row r="7995" spans="31:31" x14ac:dyDescent="0.25">
      <c r="AE7995">
        <v>19.5</v>
      </c>
    </row>
    <row r="7996" spans="31:31" x14ac:dyDescent="0.25">
      <c r="AE7996">
        <v>73.64</v>
      </c>
    </row>
    <row r="7997" spans="31:31" x14ac:dyDescent="0.25">
      <c r="AE7997">
        <v>305.79000000000002</v>
      </c>
    </row>
    <row r="7998" spans="31:31" x14ac:dyDescent="0.25">
      <c r="AE7998">
        <v>39.64</v>
      </c>
    </row>
    <row r="7999" spans="31:31" x14ac:dyDescent="0.25">
      <c r="AE7999">
        <v>93.24</v>
      </c>
    </row>
    <row r="8000" spans="31:31" x14ac:dyDescent="0.25">
      <c r="AE8000">
        <v>55.12</v>
      </c>
    </row>
    <row r="8001" spans="31:31" x14ac:dyDescent="0.25">
      <c r="AE8001">
        <v>7.36</v>
      </c>
    </row>
    <row r="8002" spans="31:31" x14ac:dyDescent="0.25">
      <c r="AE8002">
        <v>26.46</v>
      </c>
    </row>
    <row r="8003" spans="31:31" x14ac:dyDescent="0.25">
      <c r="AE8003">
        <v>29.06</v>
      </c>
    </row>
    <row r="8004" spans="31:31" x14ac:dyDescent="0.25">
      <c r="AE8004">
        <v>24.39</v>
      </c>
    </row>
    <row r="8005" spans="31:31" x14ac:dyDescent="0.25">
      <c r="AE8005">
        <v>32.28</v>
      </c>
    </row>
    <row r="8006" spans="31:31" x14ac:dyDescent="0.25">
      <c r="AE8006">
        <v>40.32</v>
      </c>
    </row>
    <row r="8007" spans="31:31" x14ac:dyDescent="0.25">
      <c r="AE8007">
        <v>68.87</v>
      </c>
    </row>
    <row r="8008" spans="31:31" x14ac:dyDescent="0.25">
      <c r="AE8008">
        <v>22.45</v>
      </c>
    </row>
    <row r="8009" spans="31:31" x14ac:dyDescent="0.25">
      <c r="AE8009">
        <v>27.06</v>
      </c>
    </row>
    <row r="8010" spans="31:31" x14ac:dyDescent="0.25">
      <c r="AE8010">
        <v>27.78</v>
      </c>
    </row>
    <row r="8011" spans="31:31" x14ac:dyDescent="0.25">
      <c r="AE8011">
        <v>22.48</v>
      </c>
    </row>
    <row r="8012" spans="31:31" x14ac:dyDescent="0.25">
      <c r="AE8012">
        <v>36.590000000000003</v>
      </c>
    </row>
    <row r="8013" spans="31:31" x14ac:dyDescent="0.25">
      <c r="AE8013">
        <v>10.44</v>
      </c>
    </row>
    <row r="8014" spans="31:31" x14ac:dyDescent="0.25">
      <c r="AE8014">
        <v>77.62</v>
      </c>
    </row>
    <row r="8015" spans="31:31" x14ac:dyDescent="0.25">
      <c r="AE8015">
        <v>133.31</v>
      </c>
    </row>
    <row r="8016" spans="31:31" x14ac:dyDescent="0.25">
      <c r="AE8016">
        <v>27.92</v>
      </c>
    </row>
    <row r="8017" spans="31:31" x14ac:dyDescent="0.25">
      <c r="AE8017">
        <v>80.98</v>
      </c>
    </row>
    <row r="8018" spans="31:31" x14ac:dyDescent="0.25">
      <c r="AE8018">
        <v>23.71</v>
      </c>
    </row>
    <row r="8019" spans="31:31" x14ac:dyDescent="0.25">
      <c r="AE8019">
        <v>67.27</v>
      </c>
    </row>
    <row r="8020" spans="31:31" x14ac:dyDescent="0.25">
      <c r="AE8020">
        <v>122.46</v>
      </c>
    </row>
    <row r="8021" spans="31:31" x14ac:dyDescent="0.25">
      <c r="AE8021">
        <v>15.04</v>
      </c>
    </row>
    <row r="8022" spans="31:31" x14ac:dyDescent="0.25">
      <c r="AE8022">
        <v>42.1</v>
      </c>
    </row>
    <row r="8023" spans="31:31" x14ac:dyDescent="0.25">
      <c r="AE8023">
        <v>42.26</v>
      </c>
    </row>
    <row r="8024" spans="31:31" x14ac:dyDescent="0.25">
      <c r="AE8024">
        <v>120.78</v>
      </c>
    </row>
    <row r="8025" spans="31:31" x14ac:dyDescent="0.25">
      <c r="AE8025">
        <v>45.16</v>
      </c>
    </row>
    <row r="8026" spans="31:31" x14ac:dyDescent="0.25">
      <c r="AE8026">
        <v>33.26</v>
      </c>
    </row>
    <row r="8027" spans="31:31" x14ac:dyDescent="0.25">
      <c r="AE8027">
        <v>37.47</v>
      </c>
    </row>
    <row r="8028" spans="31:31" x14ac:dyDescent="0.25">
      <c r="AE8028">
        <v>30.48</v>
      </c>
    </row>
    <row r="8029" spans="31:31" x14ac:dyDescent="0.25">
      <c r="AE8029">
        <v>14.36</v>
      </c>
    </row>
    <row r="8030" spans="31:31" x14ac:dyDescent="0.25">
      <c r="AE8030">
        <v>43.96</v>
      </c>
    </row>
    <row r="8031" spans="31:31" x14ac:dyDescent="0.25">
      <c r="AE8031">
        <v>55.42</v>
      </c>
    </row>
    <row r="8032" spans="31:31" x14ac:dyDescent="0.25">
      <c r="AE8032">
        <v>196.13</v>
      </c>
    </row>
    <row r="8033" spans="31:31" x14ac:dyDescent="0.25">
      <c r="AE8033">
        <v>33.24</v>
      </c>
    </row>
    <row r="8034" spans="31:31" x14ac:dyDescent="0.25">
      <c r="AE8034">
        <v>54.09</v>
      </c>
    </row>
    <row r="8035" spans="31:31" x14ac:dyDescent="0.25">
      <c r="AE8035">
        <v>47.85</v>
      </c>
    </row>
    <row r="8036" spans="31:31" x14ac:dyDescent="0.25">
      <c r="AE8036">
        <v>29.39</v>
      </c>
    </row>
    <row r="8037" spans="31:31" x14ac:dyDescent="0.25">
      <c r="AE8037">
        <v>14.86</v>
      </c>
    </row>
    <row r="8038" spans="31:31" x14ac:dyDescent="0.25">
      <c r="AE8038">
        <v>28.29</v>
      </c>
    </row>
    <row r="8039" spans="31:31" x14ac:dyDescent="0.25">
      <c r="AE8039">
        <v>20.55</v>
      </c>
    </row>
    <row r="8040" spans="31:31" x14ac:dyDescent="0.25">
      <c r="AE8040">
        <v>79.81</v>
      </c>
    </row>
    <row r="8041" spans="31:31" x14ac:dyDescent="0.25">
      <c r="AE8041">
        <v>59.59</v>
      </c>
    </row>
    <row r="8042" spans="31:31" x14ac:dyDescent="0.25">
      <c r="AE8042">
        <v>36.79</v>
      </c>
    </row>
    <row r="8043" spans="31:31" x14ac:dyDescent="0.25">
      <c r="AE8043">
        <v>20.28</v>
      </c>
    </row>
    <row r="8044" spans="31:31" x14ac:dyDescent="0.25">
      <c r="AE8044">
        <v>19.71</v>
      </c>
    </row>
    <row r="8045" spans="31:31" x14ac:dyDescent="0.25">
      <c r="AE8045">
        <v>45.29</v>
      </c>
    </row>
    <row r="8046" spans="31:31" x14ac:dyDescent="0.25">
      <c r="AE8046">
        <v>26.18</v>
      </c>
    </row>
    <row r="8047" spans="31:31" x14ac:dyDescent="0.25">
      <c r="AE8047">
        <v>25.2</v>
      </c>
    </row>
    <row r="8048" spans="31:31" x14ac:dyDescent="0.25">
      <c r="AE8048">
        <v>32.61</v>
      </c>
    </row>
    <row r="8049" spans="31:31" x14ac:dyDescent="0.25">
      <c r="AE8049">
        <v>38.020000000000003</v>
      </c>
    </row>
    <row r="8050" spans="31:31" x14ac:dyDescent="0.25">
      <c r="AE8050">
        <v>47.06</v>
      </c>
    </row>
    <row r="8051" spans="31:31" x14ac:dyDescent="0.25">
      <c r="AE8051">
        <v>46.36</v>
      </c>
    </row>
    <row r="8052" spans="31:31" x14ac:dyDescent="0.25">
      <c r="AE8052">
        <v>20.25</v>
      </c>
    </row>
    <row r="8053" spans="31:31" x14ac:dyDescent="0.25">
      <c r="AE8053">
        <v>13.37</v>
      </c>
    </row>
    <row r="8054" spans="31:31" x14ac:dyDescent="0.25">
      <c r="AE8054">
        <v>46.7</v>
      </c>
    </row>
    <row r="8055" spans="31:31" x14ac:dyDescent="0.25">
      <c r="AE8055">
        <v>116.21</v>
      </c>
    </row>
    <row r="8056" spans="31:31" x14ac:dyDescent="0.25">
      <c r="AE8056">
        <v>149.22999999999999</v>
      </c>
    </row>
    <row r="8057" spans="31:31" x14ac:dyDescent="0.25">
      <c r="AE8057">
        <v>37.51</v>
      </c>
    </row>
    <row r="8058" spans="31:31" x14ac:dyDescent="0.25">
      <c r="AE8058">
        <v>57.14</v>
      </c>
    </row>
    <row r="8059" spans="31:31" x14ac:dyDescent="0.25">
      <c r="AE8059">
        <v>15.81</v>
      </c>
    </row>
    <row r="8060" spans="31:31" x14ac:dyDescent="0.25">
      <c r="AE8060">
        <v>15.71</v>
      </c>
    </row>
    <row r="8061" spans="31:31" x14ac:dyDescent="0.25">
      <c r="AE8061">
        <v>12.59</v>
      </c>
    </row>
    <row r="8062" spans="31:31" x14ac:dyDescent="0.25">
      <c r="AE8062">
        <v>20.420000000000002</v>
      </c>
    </row>
    <row r="8063" spans="31:31" x14ac:dyDescent="0.25">
      <c r="AE8063">
        <v>4.97</v>
      </c>
    </row>
    <row r="8064" spans="31:31" x14ac:dyDescent="0.25">
      <c r="AE8064">
        <v>20.76</v>
      </c>
    </row>
    <row r="8065" spans="31:31" x14ac:dyDescent="0.25">
      <c r="AE8065">
        <v>63.79</v>
      </c>
    </row>
    <row r="8066" spans="31:31" x14ac:dyDescent="0.25">
      <c r="AE8066">
        <v>91.86</v>
      </c>
    </row>
    <row r="8067" spans="31:31" x14ac:dyDescent="0.25">
      <c r="AE8067">
        <v>9.99</v>
      </c>
    </row>
    <row r="8068" spans="31:31" x14ac:dyDescent="0.25">
      <c r="AE8068">
        <v>87.25</v>
      </c>
    </row>
    <row r="8069" spans="31:31" x14ac:dyDescent="0.25">
      <c r="AE8069">
        <v>59.11</v>
      </c>
    </row>
    <row r="8070" spans="31:31" x14ac:dyDescent="0.25">
      <c r="AE8070">
        <v>68.42</v>
      </c>
    </row>
    <row r="8071" spans="31:31" x14ac:dyDescent="0.25">
      <c r="AE8071">
        <v>10.09</v>
      </c>
    </row>
    <row r="8072" spans="31:31" x14ac:dyDescent="0.25">
      <c r="AE8072">
        <v>30.86</v>
      </c>
    </row>
    <row r="8073" spans="31:31" x14ac:dyDescent="0.25">
      <c r="AE8073">
        <v>9.99</v>
      </c>
    </row>
    <row r="8074" spans="31:31" x14ac:dyDescent="0.25">
      <c r="AE8074">
        <v>28.86</v>
      </c>
    </row>
    <row r="8075" spans="31:31" x14ac:dyDescent="0.25">
      <c r="AE8075">
        <v>28.69</v>
      </c>
    </row>
    <row r="8076" spans="31:31" x14ac:dyDescent="0.25">
      <c r="AE8076">
        <v>41.59</v>
      </c>
    </row>
    <row r="8077" spans="31:31" x14ac:dyDescent="0.25">
      <c r="AE8077">
        <v>20.51</v>
      </c>
    </row>
    <row r="8078" spans="31:31" x14ac:dyDescent="0.25">
      <c r="AE8078">
        <v>63.41</v>
      </c>
    </row>
    <row r="8079" spans="31:31" x14ac:dyDescent="0.25">
      <c r="AE8079">
        <v>59.07</v>
      </c>
    </row>
    <row r="8080" spans="31:31" x14ac:dyDescent="0.25">
      <c r="AE8080">
        <v>16.8</v>
      </c>
    </row>
    <row r="8081" spans="31:31" x14ac:dyDescent="0.25">
      <c r="AE8081">
        <v>27.64</v>
      </c>
    </row>
    <row r="8082" spans="31:31" x14ac:dyDescent="0.25">
      <c r="AE8082">
        <v>88.36</v>
      </c>
    </row>
    <row r="8083" spans="31:31" x14ac:dyDescent="0.25">
      <c r="AE8083">
        <v>52.91</v>
      </c>
    </row>
    <row r="8084" spans="31:31" x14ac:dyDescent="0.25">
      <c r="AE8084">
        <v>18.899999999999999</v>
      </c>
    </row>
    <row r="8085" spans="31:31" x14ac:dyDescent="0.25">
      <c r="AE8085">
        <v>33.72</v>
      </c>
    </row>
    <row r="8086" spans="31:31" x14ac:dyDescent="0.25">
      <c r="AE8086">
        <v>53.92</v>
      </c>
    </row>
    <row r="8087" spans="31:31" x14ac:dyDescent="0.25">
      <c r="AE8087">
        <v>54.21</v>
      </c>
    </row>
    <row r="8088" spans="31:31" x14ac:dyDescent="0.25">
      <c r="AE8088">
        <v>14.19</v>
      </c>
    </row>
    <row r="8089" spans="31:31" x14ac:dyDescent="0.25">
      <c r="AE8089">
        <v>10.69</v>
      </c>
    </row>
    <row r="8090" spans="31:31" x14ac:dyDescent="0.25">
      <c r="AE8090">
        <v>95.7</v>
      </c>
    </row>
    <row r="8091" spans="31:31" x14ac:dyDescent="0.25">
      <c r="AE8091">
        <v>38.53</v>
      </c>
    </row>
    <row r="8092" spans="31:31" x14ac:dyDescent="0.25">
      <c r="AE8092">
        <v>82.33</v>
      </c>
    </row>
    <row r="8093" spans="31:31" x14ac:dyDescent="0.25">
      <c r="AE8093">
        <v>55.68</v>
      </c>
    </row>
    <row r="8094" spans="31:31" x14ac:dyDescent="0.25">
      <c r="AE8094">
        <v>41.88</v>
      </c>
    </row>
    <row r="8095" spans="31:31" x14ac:dyDescent="0.25">
      <c r="AE8095">
        <v>80.489999999999995</v>
      </c>
    </row>
    <row r="8096" spans="31:31" x14ac:dyDescent="0.25">
      <c r="AE8096">
        <v>39.54</v>
      </c>
    </row>
    <row r="8097" spans="31:31" x14ac:dyDescent="0.25">
      <c r="AE8097">
        <v>46.89</v>
      </c>
    </row>
    <row r="8098" spans="31:31" x14ac:dyDescent="0.25">
      <c r="AE8098">
        <v>24.82</v>
      </c>
    </row>
    <row r="8099" spans="31:31" x14ac:dyDescent="0.25">
      <c r="AE8099">
        <v>6.71</v>
      </c>
    </row>
    <row r="8100" spans="31:31" x14ac:dyDescent="0.25">
      <c r="AE8100">
        <v>10.14</v>
      </c>
    </row>
    <row r="8101" spans="31:31" x14ac:dyDescent="0.25">
      <c r="AE8101">
        <v>5.74</v>
      </c>
    </row>
    <row r="8102" spans="31:31" x14ac:dyDescent="0.25">
      <c r="AE8102">
        <v>21.56</v>
      </c>
    </row>
    <row r="8103" spans="31:31" x14ac:dyDescent="0.25">
      <c r="AE8103">
        <v>54.89</v>
      </c>
    </row>
    <row r="8104" spans="31:31" x14ac:dyDescent="0.25">
      <c r="AE8104">
        <v>49.99</v>
      </c>
    </row>
    <row r="8105" spans="31:31" x14ac:dyDescent="0.25">
      <c r="AE8105">
        <v>26.14</v>
      </c>
    </row>
    <row r="8106" spans="31:31" x14ac:dyDescent="0.25">
      <c r="AE8106">
        <v>42.52</v>
      </c>
    </row>
    <row r="8107" spans="31:31" x14ac:dyDescent="0.25">
      <c r="AE8107">
        <v>10.09</v>
      </c>
    </row>
    <row r="8108" spans="31:31" x14ac:dyDescent="0.25">
      <c r="AE8108">
        <v>11.09</v>
      </c>
    </row>
    <row r="8109" spans="31:31" x14ac:dyDescent="0.25">
      <c r="AE8109">
        <v>24.32</v>
      </c>
    </row>
    <row r="8110" spans="31:31" x14ac:dyDescent="0.25">
      <c r="AE8110">
        <v>69.819999999999993</v>
      </c>
    </row>
    <row r="8111" spans="31:31" x14ac:dyDescent="0.25">
      <c r="AE8111">
        <v>32.19</v>
      </c>
    </row>
    <row r="8112" spans="31:31" x14ac:dyDescent="0.25">
      <c r="AE8112">
        <v>38.28</v>
      </c>
    </row>
    <row r="8113" spans="31:31" x14ac:dyDescent="0.25">
      <c r="AE8113">
        <v>109.14</v>
      </c>
    </row>
    <row r="8114" spans="31:31" x14ac:dyDescent="0.25">
      <c r="AE8114">
        <v>8.3699999999999992</v>
      </c>
    </row>
    <row r="8115" spans="31:31" x14ac:dyDescent="0.25">
      <c r="AE8115">
        <v>92.23</v>
      </c>
    </row>
    <row r="8116" spans="31:31" x14ac:dyDescent="0.25">
      <c r="AE8116">
        <v>10.039999999999999</v>
      </c>
    </row>
    <row r="8117" spans="31:31" x14ac:dyDescent="0.25">
      <c r="AE8117">
        <v>16.46</v>
      </c>
    </row>
    <row r="8118" spans="31:31" x14ac:dyDescent="0.25">
      <c r="AE8118">
        <v>30.04</v>
      </c>
    </row>
    <row r="8119" spans="31:31" x14ac:dyDescent="0.25">
      <c r="AE8119">
        <v>17.920000000000002</v>
      </c>
    </row>
    <row r="8120" spans="31:31" x14ac:dyDescent="0.25">
      <c r="AE8120">
        <v>73.959999999999994</v>
      </c>
    </row>
    <row r="8121" spans="31:31" x14ac:dyDescent="0.25">
      <c r="AE8121">
        <v>41.8</v>
      </c>
    </row>
    <row r="8122" spans="31:31" x14ac:dyDescent="0.25">
      <c r="AE8122">
        <v>88.32</v>
      </c>
    </row>
    <row r="8123" spans="31:31" x14ac:dyDescent="0.25">
      <c r="AE8123">
        <v>99.14</v>
      </c>
    </row>
    <row r="8124" spans="31:31" x14ac:dyDescent="0.25">
      <c r="AE8124">
        <v>52.07</v>
      </c>
    </row>
    <row r="8125" spans="31:31" x14ac:dyDescent="0.25">
      <c r="AE8125">
        <v>11.53</v>
      </c>
    </row>
    <row r="8126" spans="31:31" x14ac:dyDescent="0.25">
      <c r="AE8126">
        <v>17.3</v>
      </c>
    </row>
    <row r="8127" spans="31:31" x14ac:dyDescent="0.25">
      <c r="AE8127">
        <v>0.27</v>
      </c>
    </row>
    <row r="8128" spans="31:31" x14ac:dyDescent="0.25">
      <c r="AE8128">
        <v>32.51</v>
      </c>
    </row>
    <row r="8129" spans="31:31" x14ac:dyDescent="0.25">
      <c r="AE8129">
        <v>106.15</v>
      </c>
    </row>
    <row r="8130" spans="31:31" x14ac:dyDescent="0.25">
      <c r="AE8130">
        <v>17.48</v>
      </c>
    </row>
    <row r="8131" spans="31:31" x14ac:dyDescent="0.25">
      <c r="AE8131">
        <v>118</v>
      </c>
    </row>
    <row r="8132" spans="31:31" x14ac:dyDescent="0.25">
      <c r="AE8132">
        <v>20.84</v>
      </c>
    </row>
    <row r="8133" spans="31:31" x14ac:dyDescent="0.25">
      <c r="AE8133">
        <v>99.68</v>
      </c>
    </row>
    <row r="8134" spans="31:31" x14ac:dyDescent="0.25">
      <c r="AE8134">
        <v>10.39</v>
      </c>
    </row>
    <row r="8135" spans="31:31" x14ac:dyDescent="0.25">
      <c r="AE8135">
        <v>51.7</v>
      </c>
    </row>
    <row r="8136" spans="31:31" x14ac:dyDescent="0.25">
      <c r="AE8136">
        <v>17.87</v>
      </c>
    </row>
    <row r="8137" spans="31:31" x14ac:dyDescent="0.25">
      <c r="AE8137">
        <v>68.52</v>
      </c>
    </row>
    <row r="8138" spans="31:31" x14ac:dyDescent="0.25">
      <c r="AE8138">
        <v>53.09</v>
      </c>
    </row>
    <row r="8139" spans="31:31" x14ac:dyDescent="0.25">
      <c r="AE8139">
        <v>21.19</v>
      </c>
    </row>
    <row r="8140" spans="31:31" x14ac:dyDescent="0.25">
      <c r="AE8140">
        <v>50.83</v>
      </c>
    </row>
    <row r="8141" spans="31:31" x14ac:dyDescent="0.25">
      <c r="AE8141">
        <v>64.760000000000005</v>
      </c>
    </row>
    <row r="8142" spans="31:31" x14ac:dyDescent="0.25">
      <c r="AE8142">
        <v>42.09</v>
      </c>
    </row>
    <row r="8143" spans="31:31" x14ac:dyDescent="0.25">
      <c r="AE8143">
        <v>82.32</v>
      </c>
    </row>
    <row r="8144" spans="31:31" x14ac:dyDescent="0.25">
      <c r="AE8144">
        <v>15.19</v>
      </c>
    </row>
    <row r="8145" spans="31:31" x14ac:dyDescent="0.25">
      <c r="AE8145">
        <v>110.93</v>
      </c>
    </row>
    <row r="8146" spans="31:31" x14ac:dyDescent="0.25">
      <c r="AE8146">
        <v>47.31</v>
      </c>
    </row>
    <row r="8147" spans="31:31" x14ac:dyDescent="0.25">
      <c r="AE8147">
        <v>36.79</v>
      </c>
    </row>
    <row r="8148" spans="31:31" x14ac:dyDescent="0.25">
      <c r="AE8148">
        <v>19.25</v>
      </c>
    </row>
    <row r="8149" spans="31:31" x14ac:dyDescent="0.25">
      <c r="AE8149">
        <v>59.92</v>
      </c>
    </row>
    <row r="8150" spans="31:31" x14ac:dyDescent="0.25">
      <c r="AE8150">
        <v>28.99</v>
      </c>
    </row>
    <row r="8151" spans="31:31" x14ac:dyDescent="0.25">
      <c r="AE8151">
        <v>60.31</v>
      </c>
    </row>
    <row r="8152" spans="31:31" x14ac:dyDescent="0.25">
      <c r="AE8152">
        <v>43.95</v>
      </c>
    </row>
    <row r="8153" spans="31:31" x14ac:dyDescent="0.25">
      <c r="AE8153">
        <v>31.15</v>
      </c>
    </row>
    <row r="8154" spans="31:31" x14ac:dyDescent="0.25">
      <c r="AE8154">
        <v>32.99</v>
      </c>
    </row>
    <row r="8155" spans="31:31" x14ac:dyDescent="0.25">
      <c r="AE8155">
        <v>34.630000000000003</v>
      </c>
    </row>
    <row r="8156" spans="31:31" x14ac:dyDescent="0.25">
      <c r="AE8156">
        <v>58.74</v>
      </c>
    </row>
    <row r="8157" spans="31:31" x14ac:dyDescent="0.25">
      <c r="AE8157">
        <v>23.98</v>
      </c>
    </row>
    <row r="8158" spans="31:31" x14ac:dyDescent="0.25">
      <c r="AE8158">
        <v>11.69</v>
      </c>
    </row>
    <row r="8159" spans="31:31" x14ac:dyDescent="0.25">
      <c r="AE8159">
        <v>36.35</v>
      </c>
    </row>
    <row r="8160" spans="31:31" x14ac:dyDescent="0.25">
      <c r="AE8160">
        <v>81.260000000000005</v>
      </c>
    </row>
    <row r="8161" spans="31:31" x14ac:dyDescent="0.25">
      <c r="AE8161">
        <v>10.19</v>
      </c>
    </row>
    <row r="8162" spans="31:31" x14ac:dyDescent="0.25">
      <c r="AE8162">
        <v>85.64</v>
      </c>
    </row>
    <row r="8163" spans="31:31" x14ac:dyDescent="0.25">
      <c r="AE8163">
        <v>27.35</v>
      </c>
    </row>
    <row r="8164" spans="31:31" x14ac:dyDescent="0.25">
      <c r="AE8164">
        <v>95.56</v>
      </c>
    </row>
    <row r="8165" spans="31:31" x14ac:dyDescent="0.25">
      <c r="AE8165">
        <v>55.52</v>
      </c>
    </row>
    <row r="8166" spans="31:31" x14ac:dyDescent="0.25">
      <c r="AE8166">
        <v>289.35000000000002</v>
      </c>
    </row>
    <row r="8167" spans="31:31" x14ac:dyDescent="0.25">
      <c r="AE8167">
        <v>18.21</v>
      </c>
    </row>
    <row r="8168" spans="31:31" x14ac:dyDescent="0.25">
      <c r="AE8168">
        <v>50.97</v>
      </c>
    </row>
    <row r="8169" spans="31:31" x14ac:dyDescent="0.25">
      <c r="AE8169">
        <v>12.07</v>
      </c>
    </row>
    <row r="8170" spans="31:31" x14ac:dyDescent="0.25">
      <c r="AE8170">
        <v>12.82</v>
      </c>
    </row>
    <row r="8171" spans="31:31" x14ac:dyDescent="0.25">
      <c r="AE8171">
        <v>47.21</v>
      </c>
    </row>
    <row r="8172" spans="31:31" x14ac:dyDescent="0.25">
      <c r="AE8172">
        <v>98.86</v>
      </c>
    </row>
    <row r="8173" spans="31:31" x14ac:dyDescent="0.25">
      <c r="AE8173">
        <v>77.91</v>
      </c>
    </row>
    <row r="8174" spans="31:31" x14ac:dyDescent="0.25">
      <c r="AE8174">
        <v>14.91</v>
      </c>
    </row>
    <row r="8175" spans="31:31" x14ac:dyDescent="0.25">
      <c r="AE8175">
        <v>29.78</v>
      </c>
    </row>
    <row r="8176" spans="31:31" x14ac:dyDescent="0.25">
      <c r="AE8176">
        <v>71.91</v>
      </c>
    </row>
    <row r="8177" spans="31:31" x14ac:dyDescent="0.25">
      <c r="AE8177">
        <v>56.8</v>
      </c>
    </row>
    <row r="8178" spans="31:31" x14ac:dyDescent="0.25">
      <c r="AE8178">
        <v>76.89</v>
      </c>
    </row>
    <row r="8179" spans="31:31" x14ac:dyDescent="0.25">
      <c r="AE8179">
        <v>115.88</v>
      </c>
    </row>
    <row r="8180" spans="31:31" x14ac:dyDescent="0.25">
      <c r="AE8180">
        <v>30.11</v>
      </c>
    </row>
    <row r="8181" spans="31:31" x14ac:dyDescent="0.25">
      <c r="AE8181">
        <v>72.36</v>
      </c>
    </row>
    <row r="8182" spans="31:31" x14ac:dyDescent="0.25">
      <c r="AE8182">
        <v>58.1</v>
      </c>
    </row>
    <row r="8183" spans="31:31" x14ac:dyDescent="0.25">
      <c r="AE8183">
        <v>22.37</v>
      </c>
    </row>
    <row r="8184" spans="31:31" x14ac:dyDescent="0.25">
      <c r="AE8184">
        <v>28.93</v>
      </c>
    </row>
    <row r="8185" spans="31:31" x14ac:dyDescent="0.25">
      <c r="AE8185">
        <v>10.81</v>
      </c>
    </row>
    <row r="8186" spans="31:31" x14ac:dyDescent="0.25">
      <c r="AE8186">
        <v>80.81</v>
      </c>
    </row>
    <row r="8187" spans="31:31" x14ac:dyDescent="0.25">
      <c r="AE8187">
        <v>135.97999999999999</v>
      </c>
    </row>
    <row r="8188" spans="31:31" x14ac:dyDescent="0.25">
      <c r="AE8188">
        <v>121</v>
      </c>
    </row>
    <row r="8189" spans="31:31" x14ac:dyDescent="0.25">
      <c r="AE8189">
        <v>89.5</v>
      </c>
    </row>
    <row r="8190" spans="31:31" x14ac:dyDescent="0.25">
      <c r="AE8190">
        <v>21.74</v>
      </c>
    </row>
    <row r="8191" spans="31:31" x14ac:dyDescent="0.25">
      <c r="AE8191">
        <v>101.78</v>
      </c>
    </row>
    <row r="8192" spans="31:31" x14ac:dyDescent="0.25">
      <c r="AE8192">
        <v>0.54</v>
      </c>
    </row>
    <row r="8193" spans="31:31" x14ac:dyDescent="0.25">
      <c r="AE8193">
        <v>46.39</v>
      </c>
    </row>
    <row r="8194" spans="31:31" x14ac:dyDescent="0.25">
      <c r="AE8194">
        <v>79.91</v>
      </c>
    </row>
    <row r="8195" spans="31:31" x14ac:dyDescent="0.25">
      <c r="AE8195">
        <v>84.95</v>
      </c>
    </row>
    <row r="8196" spans="31:31" x14ac:dyDescent="0.25">
      <c r="AE8196">
        <v>23.62</v>
      </c>
    </row>
    <row r="8197" spans="31:31" x14ac:dyDescent="0.25">
      <c r="AE8197">
        <v>25.84</v>
      </c>
    </row>
    <row r="8198" spans="31:31" x14ac:dyDescent="0.25">
      <c r="AE8198">
        <v>41.49</v>
      </c>
    </row>
    <row r="8199" spans="31:31" x14ac:dyDescent="0.25">
      <c r="AE8199">
        <v>42.3</v>
      </c>
    </row>
    <row r="8200" spans="31:31" x14ac:dyDescent="0.25">
      <c r="AE8200">
        <v>29.13</v>
      </c>
    </row>
    <row r="8201" spans="31:31" x14ac:dyDescent="0.25">
      <c r="AE8201">
        <v>54.27</v>
      </c>
    </row>
    <row r="8202" spans="31:31" x14ac:dyDescent="0.25">
      <c r="AE8202">
        <v>72.77</v>
      </c>
    </row>
    <row r="8203" spans="31:31" x14ac:dyDescent="0.25">
      <c r="AE8203">
        <v>0.63</v>
      </c>
    </row>
    <row r="8204" spans="31:31" x14ac:dyDescent="0.25">
      <c r="AE8204">
        <v>17.2</v>
      </c>
    </row>
    <row r="8205" spans="31:31" x14ac:dyDescent="0.25">
      <c r="AE8205">
        <v>13.72</v>
      </c>
    </row>
    <row r="8206" spans="31:31" x14ac:dyDescent="0.25">
      <c r="AE8206">
        <v>21.86</v>
      </c>
    </row>
    <row r="8207" spans="31:31" x14ac:dyDescent="0.25">
      <c r="AE8207">
        <v>28.7</v>
      </c>
    </row>
    <row r="8208" spans="31:31" x14ac:dyDescent="0.25">
      <c r="AE8208">
        <v>34.49</v>
      </c>
    </row>
    <row r="8209" spans="31:31" x14ac:dyDescent="0.25">
      <c r="AE8209">
        <v>94.11</v>
      </c>
    </row>
    <row r="8210" spans="31:31" x14ac:dyDescent="0.25">
      <c r="AE8210">
        <v>183.04</v>
      </c>
    </row>
    <row r="8211" spans="31:31" x14ac:dyDescent="0.25">
      <c r="AE8211">
        <v>24.8</v>
      </c>
    </row>
    <row r="8212" spans="31:31" x14ac:dyDescent="0.25">
      <c r="AE8212">
        <v>52.77</v>
      </c>
    </row>
    <row r="8213" spans="31:31" x14ac:dyDescent="0.25">
      <c r="AE8213">
        <v>81.55</v>
      </c>
    </row>
    <row r="8214" spans="31:31" x14ac:dyDescent="0.25">
      <c r="AE8214">
        <v>14.95</v>
      </c>
    </row>
    <row r="8215" spans="31:31" x14ac:dyDescent="0.25">
      <c r="AE8215">
        <v>14.24</v>
      </c>
    </row>
    <row r="8216" spans="31:31" x14ac:dyDescent="0.25">
      <c r="AE8216">
        <v>0</v>
      </c>
    </row>
    <row r="8217" spans="31:31" x14ac:dyDescent="0.25">
      <c r="AE8217">
        <v>108.58</v>
      </c>
    </row>
    <row r="8218" spans="31:31" x14ac:dyDescent="0.25">
      <c r="AE8218">
        <v>36.42</v>
      </c>
    </row>
    <row r="8219" spans="31:31" x14ac:dyDescent="0.25">
      <c r="AE8219">
        <v>209.16</v>
      </c>
    </row>
    <row r="8220" spans="31:31" x14ac:dyDescent="0.25">
      <c r="AE8220">
        <v>23.54</v>
      </c>
    </row>
    <row r="8221" spans="31:31" x14ac:dyDescent="0.25">
      <c r="AE8221">
        <v>35.75</v>
      </c>
    </row>
    <row r="8222" spans="31:31" x14ac:dyDescent="0.25">
      <c r="AE8222">
        <v>49.14</v>
      </c>
    </row>
    <row r="8223" spans="31:31" x14ac:dyDescent="0.25">
      <c r="AE8223">
        <v>14.7</v>
      </c>
    </row>
    <row r="8224" spans="31:31" x14ac:dyDescent="0.25">
      <c r="AE8224">
        <v>9.99</v>
      </c>
    </row>
    <row r="8225" spans="31:31" x14ac:dyDescent="0.25">
      <c r="AE8225">
        <v>54.47</v>
      </c>
    </row>
    <row r="8226" spans="31:31" x14ac:dyDescent="0.25">
      <c r="AE8226">
        <v>94.01</v>
      </c>
    </row>
    <row r="8227" spans="31:31" x14ac:dyDescent="0.25">
      <c r="AE8227">
        <v>23</v>
      </c>
    </row>
    <row r="8228" spans="31:31" x14ac:dyDescent="0.25">
      <c r="AE8228">
        <v>6.58</v>
      </c>
    </row>
    <row r="8229" spans="31:31" x14ac:dyDescent="0.25">
      <c r="AE8229">
        <v>73.61</v>
      </c>
    </row>
    <row r="8230" spans="31:31" x14ac:dyDescent="0.25">
      <c r="AE8230">
        <v>44.04</v>
      </c>
    </row>
    <row r="8231" spans="31:31" x14ac:dyDescent="0.25">
      <c r="AE8231">
        <v>95.73</v>
      </c>
    </row>
    <row r="8232" spans="31:31" x14ac:dyDescent="0.25">
      <c r="AE8232">
        <v>10.08</v>
      </c>
    </row>
    <row r="8233" spans="31:31" x14ac:dyDescent="0.25">
      <c r="AE8233">
        <v>36.33</v>
      </c>
    </row>
    <row r="8234" spans="31:31" x14ac:dyDescent="0.25">
      <c r="AE8234">
        <v>10.09</v>
      </c>
    </row>
    <row r="8235" spans="31:31" x14ac:dyDescent="0.25">
      <c r="AE8235">
        <v>95.64</v>
      </c>
    </row>
    <row r="8236" spans="31:31" x14ac:dyDescent="0.25">
      <c r="AE8236">
        <v>15.08</v>
      </c>
    </row>
    <row r="8237" spans="31:31" x14ac:dyDescent="0.25">
      <c r="AE8237">
        <v>41.16</v>
      </c>
    </row>
    <row r="8238" spans="31:31" x14ac:dyDescent="0.25">
      <c r="AE8238">
        <v>45.07</v>
      </c>
    </row>
    <row r="8239" spans="31:31" x14ac:dyDescent="0.25">
      <c r="AE8239">
        <v>106.26</v>
      </c>
    </row>
    <row r="8240" spans="31:31" x14ac:dyDescent="0.25">
      <c r="AE8240">
        <v>16.97</v>
      </c>
    </row>
    <row r="8241" spans="31:31" x14ac:dyDescent="0.25">
      <c r="AE8241">
        <v>84.1</v>
      </c>
    </row>
    <row r="8242" spans="31:31" x14ac:dyDescent="0.25">
      <c r="AE8242">
        <v>60.59</v>
      </c>
    </row>
    <row r="8243" spans="31:31" x14ac:dyDescent="0.25">
      <c r="AE8243">
        <v>27.9</v>
      </c>
    </row>
    <row r="8244" spans="31:31" x14ac:dyDescent="0.25">
      <c r="AE8244">
        <v>83.49</v>
      </c>
    </row>
    <row r="8245" spans="31:31" x14ac:dyDescent="0.25">
      <c r="AE8245">
        <v>15.64</v>
      </c>
    </row>
    <row r="8246" spans="31:31" x14ac:dyDescent="0.25">
      <c r="AE8246">
        <v>121.67</v>
      </c>
    </row>
    <row r="8247" spans="31:31" x14ac:dyDescent="0.25">
      <c r="AE8247">
        <v>33.799999999999997</v>
      </c>
    </row>
    <row r="8248" spans="31:31" x14ac:dyDescent="0.25">
      <c r="AE8248">
        <v>47.15</v>
      </c>
    </row>
    <row r="8249" spans="31:31" x14ac:dyDescent="0.25">
      <c r="AE8249">
        <v>87.11</v>
      </c>
    </row>
    <row r="8250" spans="31:31" x14ac:dyDescent="0.25">
      <c r="AE8250">
        <v>23.68</v>
      </c>
    </row>
    <row r="8251" spans="31:31" x14ac:dyDescent="0.25">
      <c r="AE8251">
        <v>17.45</v>
      </c>
    </row>
    <row r="8252" spans="31:31" x14ac:dyDescent="0.25">
      <c r="AE8252">
        <v>7.42</v>
      </c>
    </row>
    <row r="8253" spans="31:31" x14ac:dyDescent="0.25">
      <c r="AE8253">
        <v>76.25</v>
      </c>
    </row>
    <row r="8254" spans="31:31" x14ac:dyDescent="0.25">
      <c r="AE8254">
        <v>63.83</v>
      </c>
    </row>
    <row r="8255" spans="31:31" x14ac:dyDescent="0.25">
      <c r="AE8255">
        <v>24.16</v>
      </c>
    </row>
    <row r="8256" spans="31:31" x14ac:dyDescent="0.25">
      <c r="AE8256">
        <v>124.62</v>
      </c>
    </row>
    <row r="8257" spans="31:31" x14ac:dyDescent="0.25">
      <c r="AE8257">
        <v>79.94</v>
      </c>
    </row>
    <row r="8258" spans="31:31" x14ac:dyDescent="0.25">
      <c r="AE8258">
        <v>21.99</v>
      </c>
    </row>
    <row r="8259" spans="31:31" x14ac:dyDescent="0.25">
      <c r="AE8259">
        <v>13.57</v>
      </c>
    </row>
    <row r="8260" spans="31:31" x14ac:dyDescent="0.25">
      <c r="AE8260">
        <v>43.08</v>
      </c>
    </row>
    <row r="8261" spans="31:31" x14ac:dyDescent="0.25">
      <c r="AE8261">
        <v>86.41</v>
      </c>
    </row>
    <row r="8262" spans="31:31" x14ac:dyDescent="0.25">
      <c r="AE8262">
        <v>39.68</v>
      </c>
    </row>
    <row r="8263" spans="31:31" x14ac:dyDescent="0.25">
      <c r="AE8263">
        <v>10.82</v>
      </c>
    </row>
    <row r="8264" spans="31:31" x14ac:dyDescent="0.25">
      <c r="AE8264">
        <v>11.84</v>
      </c>
    </row>
    <row r="8265" spans="31:31" x14ac:dyDescent="0.25">
      <c r="AE8265">
        <v>15.73</v>
      </c>
    </row>
    <row r="8266" spans="31:31" x14ac:dyDescent="0.25">
      <c r="AE8266">
        <v>25.74</v>
      </c>
    </row>
    <row r="8267" spans="31:31" x14ac:dyDescent="0.25">
      <c r="AE8267">
        <v>30.23</v>
      </c>
    </row>
    <row r="8268" spans="31:31" x14ac:dyDescent="0.25">
      <c r="AE8268">
        <v>10.14</v>
      </c>
    </row>
    <row r="8269" spans="31:31" x14ac:dyDescent="0.25">
      <c r="AE8269">
        <v>0.9</v>
      </c>
    </row>
    <row r="8270" spans="31:31" x14ac:dyDescent="0.25">
      <c r="AE8270">
        <v>58.54</v>
      </c>
    </row>
    <row r="8271" spans="31:31" x14ac:dyDescent="0.25">
      <c r="AE8271">
        <v>65.05</v>
      </c>
    </row>
    <row r="8272" spans="31:31" x14ac:dyDescent="0.25">
      <c r="AE8272">
        <v>10.64</v>
      </c>
    </row>
    <row r="8273" spans="31:31" x14ac:dyDescent="0.25">
      <c r="AE8273">
        <v>131.69999999999999</v>
      </c>
    </row>
    <row r="8274" spans="31:31" x14ac:dyDescent="0.25">
      <c r="AE8274">
        <v>36.28</v>
      </c>
    </row>
    <row r="8275" spans="31:31" x14ac:dyDescent="0.25">
      <c r="AE8275">
        <v>31.55</v>
      </c>
    </row>
    <row r="8276" spans="31:31" x14ac:dyDescent="0.25">
      <c r="AE8276">
        <v>111.42</v>
      </c>
    </row>
    <row r="8277" spans="31:31" x14ac:dyDescent="0.25">
      <c r="AE8277">
        <v>71.510000000000005</v>
      </c>
    </row>
    <row r="8278" spans="31:31" x14ac:dyDescent="0.25">
      <c r="AE8278">
        <v>27.58</v>
      </c>
    </row>
    <row r="8279" spans="31:31" x14ac:dyDescent="0.25">
      <c r="AE8279">
        <v>10.039999999999999</v>
      </c>
    </row>
    <row r="8280" spans="31:31" x14ac:dyDescent="0.25">
      <c r="AE8280">
        <v>53.28</v>
      </c>
    </row>
    <row r="8281" spans="31:31" x14ac:dyDescent="0.25">
      <c r="AE8281">
        <v>43.98</v>
      </c>
    </row>
    <row r="8282" spans="31:31" x14ac:dyDescent="0.25">
      <c r="AE8282">
        <v>11.54</v>
      </c>
    </row>
    <row r="8283" spans="31:31" x14ac:dyDescent="0.25">
      <c r="AE8283">
        <v>0.27</v>
      </c>
    </row>
    <row r="8284" spans="31:31" x14ac:dyDescent="0.25">
      <c r="AE8284">
        <v>14.63</v>
      </c>
    </row>
    <row r="8285" spans="31:31" x14ac:dyDescent="0.25">
      <c r="AE8285">
        <v>53.07</v>
      </c>
    </row>
    <row r="8286" spans="31:31" x14ac:dyDescent="0.25">
      <c r="AE8286">
        <v>128.19</v>
      </c>
    </row>
    <row r="8287" spans="31:31" x14ac:dyDescent="0.25">
      <c r="AE8287">
        <v>60.34</v>
      </c>
    </row>
    <row r="8288" spans="31:31" x14ac:dyDescent="0.25">
      <c r="AE8288">
        <v>113.98</v>
      </c>
    </row>
    <row r="8289" spans="31:31" x14ac:dyDescent="0.25">
      <c r="AE8289">
        <v>38.46</v>
      </c>
    </row>
    <row r="8290" spans="31:31" x14ac:dyDescent="0.25">
      <c r="AE8290">
        <v>66.23</v>
      </c>
    </row>
    <row r="8291" spans="31:31" x14ac:dyDescent="0.25">
      <c r="AE8291">
        <v>233.71</v>
      </c>
    </row>
    <row r="8292" spans="31:31" x14ac:dyDescent="0.25">
      <c r="AE8292">
        <v>112.28</v>
      </c>
    </row>
    <row r="8293" spans="31:31" x14ac:dyDescent="0.25">
      <c r="AE8293">
        <v>37.770000000000003</v>
      </c>
    </row>
    <row r="8294" spans="31:31" x14ac:dyDescent="0.25">
      <c r="AE8294">
        <v>26.37</v>
      </c>
    </row>
    <row r="8295" spans="31:31" x14ac:dyDescent="0.25">
      <c r="AE8295">
        <v>57.95</v>
      </c>
    </row>
    <row r="8296" spans="31:31" x14ac:dyDescent="0.25">
      <c r="AE8296">
        <v>38.950000000000003</v>
      </c>
    </row>
    <row r="8297" spans="31:31" x14ac:dyDescent="0.25">
      <c r="AE8297">
        <v>19.46</v>
      </c>
    </row>
    <row r="8298" spans="31:31" x14ac:dyDescent="0.25">
      <c r="AE8298">
        <v>23.61</v>
      </c>
    </row>
    <row r="8299" spans="31:31" x14ac:dyDescent="0.25">
      <c r="AE8299">
        <v>37.32</v>
      </c>
    </row>
    <row r="8300" spans="31:31" x14ac:dyDescent="0.25">
      <c r="AE8300">
        <v>11.9</v>
      </c>
    </row>
    <row r="8301" spans="31:31" x14ac:dyDescent="0.25">
      <c r="AE8301">
        <v>0.63</v>
      </c>
    </row>
    <row r="8302" spans="31:31" x14ac:dyDescent="0.25">
      <c r="AE8302">
        <v>38.090000000000003</v>
      </c>
    </row>
    <row r="8303" spans="31:31" x14ac:dyDescent="0.25">
      <c r="AE8303">
        <v>66.989999999999995</v>
      </c>
    </row>
    <row r="8304" spans="31:31" x14ac:dyDescent="0.25">
      <c r="AE8304">
        <v>14.82</v>
      </c>
    </row>
    <row r="8305" spans="31:31" x14ac:dyDescent="0.25">
      <c r="AE8305">
        <v>47.76</v>
      </c>
    </row>
    <row r="8306" spans="31:31" x14ac:dyDescent="0.25">
      <c r="AE8306">
        <v>208.24</v>
      </c>
    </row>
    <row r="8307" spans="31:31" x14ac:dyDescent="0.25">
      <c r="AE8307">
        <v>11.18</v>
      </c>
    </row>
    <row r="8308" spans="31:31" x14ac:dyDescent="0.25">
      <c r="AE8308">
        <v>17.09</v>
      </c>
    </row>
    <row r="8309" spans="31:31" x14ac:dyDescent="0.25">
      <c r="AE8309">
        <v>34.5</v>
      </c>
    </row>
    <row r="8310" spans="31:31" x14ac:dyDescent="0.25">
      <c r="AE8310">
        <v>40.200000000000003</v>
      </c>
    </row>
    <row r="8311" spans="31:31" x14ac:dyDescent="0.25">
      <c r="AE8311">
        <v>136.22999999999999</v>
      </c>
    </row>
    <row r="8312" spans="31:31" x14ac:dyDescent="0.25">
      <c r="AE8312">
        <v>20.85</v>
      </c>
    </row>
    <row r="8313" spans="31:31" x14ac:dyDescent="0.25">
      <c r="AE8313">
        <v>246.19</v>
      </c>
    </row>
    <row r="8314" spans="31:31" x14ac:dyDescent="0.25">
      <c r="AE8314">
        <v>38.270000000000003</v>
      </c>
    </row>
    <row r="8315" spans="31:31" x14ac:dyDescent="0.25">
      <c r="AE8315">
        <v>42.37</v>
      </c>
    </row>
    <row r="8316" spans="31:31" x14ac:dyDescent="0.25">
      <c r="AE8316">
        <v>55.13</v>
      </c>
    </row>
    <row r="8317" spans="31:31" x14ac:dyDescent="0.25">
      <c r="AE8317">
        <v>74.010000000000005</v>
      </c>
    </row>
    <row r="8318" spans="31:31" x14ac:dyDescent="0.25">
      <c r="AE8318">
        <v>63.74</v>
      </c>
    </row>
    <row r="8319" spans="31:31" x14ac:dyDescent="0.25">
      <c r="AE8319">
        <v>118.61</v>
      </c>
    </row>
    <row r="8320" spans="31:31" x14ac:dyDescent="0.25">
      <c r="AE8320">
        <v>96.24</v>
      </c>
    </row>
    <row r="8321" spans="31:31" x14ac:dyDescent="0.25">
      <c r="AE8321">
        <v>105.44</v>
      </c>
    </row>
    <row r="8322" spans="31:31" x14ac:dyDescent="0.25">
      <c r="AE8322">
        <v>18.16</v>
      </c>
    </row>
    <row r="8323" spans="31:31" x14ac:dyDescent="0.25">
      <c r="AE8323">
        <v>54.28</v>
      </c>
    </row>
    <row r="8324" spans="31:31" x14ac:dyDescent="0.25">
      <c r="AE8324">
        <v>29.04</v>
      </c>
    </row>
    <row r="8325" spans="31:31" x14ac:dyDescent="0.25">
      <c r="AE8325">
        <v>10.19</v>
      </c>
    </row>
    <row r="8326" spans="31:31" x14ac:dyDescent="0.25">
      <c r="AE8326">
        <v>85.17</v>
      </c>
    </row>
    <row r="8327" spans="31:31" x14ac:dyDescent="0.25">
      <c r="AE8327">
        <v>39.799999999999997</v>
      </c>
    </row>
    <row r="8328" spans="31:31" x14ac:dyDescent="0.25">
      <c r="AE8328">
        <v>210.54</v>
      </c>
    </row>
    <row r="8329" spans="31:31" x14ac:dyDescent="0.25">
      <c r="AE8329">
        <v>18.989999999999998</v>
      </c>
    </row>
    <row r="8330" spans="31:31" x14ac:dyDescent="0.25">
      <c r="AE8330">
        <v>43.68</v>
      </c>
    </row>
    <row r="8331" spans="31:31" x14ac:dyDescent="0.25">
      <c r="AE8331">
        <v>24.88</v>
      </c>
    </row>
    <row r="8332" spans="31:31" x14ac:dyDescent="0.25">
      <c r="AE8332">
        <v>5.74</v>
      </c>
    </row>
    <row r="8333" spans="31:31" x14ac:dyDescent="0.25">
      <c r="AE8333">
        <v>10.54</v>
      </c>
    </row>
    <row r="8334" spans="31:31" x14ac:dyDescent="0.25">
      <c r="AE8334">
        <v>37.049999999999997</v>
      </c>
    </row>
    <row r="8335" spans="31:31" x14ac:dyDescent="0.25">
      <c r="AE8335">
        <v>31.71</v>
      </c>
    </row>
    <row r="8336" spans="31:31" x14ac:dyDescent="0.25">
      <c r="AE8336">
        <v>33.53</v>
      </c>
    </row>
    <row r="8337" spans="31:31" x14ac:dyDescent="0.25">
      <c r="AE8337">
        <v>34.42</v>
      </c>
    </row>
    <row r="8338" spans="31:31" x14ac:dyDescent="0.25">
      <c r="AE8338">
        <v>55.42</v>
      </c>
    </row>
    <row r="8339" spans="31:31" x14ac:dyDescent="0.25">
      <c r="AE8339">
        <v>32.869999999999997</v>
      </c>
    </row>
    <row r="8340" spans="31:31" x14ac:dyDescent="0.25">
      <c r="AE8340">
        <v>67.540000000000006</v>
      </c>
    </row>
    <row r="8341" spans="31:31" x14ac:dyDescent="0.25">
      <c r="AE8341">
        <v>11.99</v>
      </c>
    </row>
    <row r="8342" spans="31:31" x14ac:dyDescent="0.25">
      <c r="AE8342">
        <v>9.99</v>
      </c>
    </row>
    <row r="8343" spans="31:31" x14ac:dyDescent="0.25">
      <c r="AE8343">
        <v>68.98</v>
      </c>
    </row>
    <row r="8344" spans="31:31" x14ac:dyDescent="0.25">
      <c r="AE8344">
        <v>22.39</v>
      </c>
    </row>
    <row r="8345" spans="31:31" x14ac:dyDescent="0.25">
      <c r="AE8345">
        <v>67.260000000000005</v>
      </c>
    </row>
    <row r="8346" spans="31:31" x14ac:dyDescent="0.25">
      <c r="AE8346">
        <v>19.940000000000001</v>
      </c>
    </row>
    <row r="8347" spans="31:31" x14ac:dyDescent="0.25">
      <c r="AE8347">
        <v>22.65</v>
      </c>
    </row>
    <row r="8348" spans="31:31" x14ac:dyDescent="0.25">
      <c r="AE8348">
        <v>29.41</v>
      </c>
    </row>
    <row r="8349" spans="31:31" x14ac:dyDescent="0.25">
      <c r="AE8349">
        <v>324.55</v>
      </c>
    </row>
    <row r="8350" spans="31:31" x14ac:dyDescent="0.25">
      <c r="AE8350">
        <v>93.84</v>
      </c>
    </row>
    <row r="8351" spans="31:31" x14ac:dyDescent="0.25">
      <c r="AE8351">
        <v>80.13</v>
      </c>
    </row>
    <row r="8352" spans="31:31" x14ac:dyDescent="0.25">
      <c r="AE8352">
        <v>44.1</v>
      </c>
    </row>
    <row r="8353" spans="31:31" x14ac:dyDescent="0.25">
      <c r="AE8353">
        <v>22.83</v>
      </c>
    </row>
    <row r="8354" spans="31:31" x14ac:dyDescent="0.25">
      <c r="AE8354">
        <v>53.22</v>
      </c>
    </row>
    <row r="8355" spans="31:31" x14ac:dyDescent="0.25">
      <c r="AE8355">
        <v>104.25</v>
      </c>
    </row>
    <row r="8356" spans="31:31" x14ac:dyDescent="0.25">
      <c r="AE8356">
        <v>56.65</v>
      </c>
    </row>
    <row r="8357" spans="31:31" x14ac:dyDescent="0.25">
      <c r="AE8357">
        <v>40.729999999999997</v>
      </c>
    </row>
    <row r="8358" spans="31:31" x14ac:dyDescent="0.25">
      <c r="AE8358">
        <v>20.87</v>
      </c>
    </row>
    <row r="8359" spans="31:31" x14ac:dyDescent="0.25">
      <c r="AE8359">
        <v>69.540000000000006</v>
      </c>
    </row>
    <row r="8360" spans="31:31" x14ac:dyDescent="0.25">
      <c r="AE8360">
        <v>77.040000000000006</v>
      </c>
    </row>
    <row r="8361" spans="31:31" x14ac:dyDescent="0.25">
      <c r="AE8361">
        <v>31.61</v>
      </c>
    </row>
    <row r="8362" spans="31:31" x14ac:dyDescent="0.25">
      <c r="AE8362">
        <v>32.69</v>
      </c>
    </row>
    <row r="8363" spans="31:31" x14ac:dyDescent="0.25">
      <c r="AE8363">
        <v>22.24</v>
      </c>
    </row>
    <row r="8364" spans="31:31" x14ac:dyDescent="0.25">
      <c r="AE8364">
        <v>70.72</v>
      </c>
    </row>
    <row r="8365" spans="31:31" x14ac:dyDescent="0.25">
      <c r="AE8365">
        <v>88.96</v>
      </c>
    </row>
    <row r="8366" spans="31:31" x14ac:dyDescent="0.25">
      <c r="AE8366">
        <v>12.52</v>
      </c>
    </row>
    <row r="8367" spans="31:31" x14ac:dyDescent="0.25">
      <c r="AE8367">
        <v>41.4</v>
      </c>
    </row>
    <row r="8368" spans="31:31" x14ac:dyDescent="0.25">
      <c r="AE8368">
        <v>50.16</v>
      </c>
    </row>
    <row r="8369" spans="31:31" x14ac:dyDescent="0.25">
      <c r="AE8369">
        <v>66.55</v>
      </c>
    </row>
    <row r="8370" spans="31:31" x14ac:dyDescent="0.25">
      <c r="AE8370">
        <v>5.25</v>
      </c>
    </row>
    <row r="8371" spans="31:31" x14ac:dyDescent="0.25">
      <c r="AE8371">
        <v>27.37</v>
      </c>
    </row>
    <row r="8372" spans="31:31" x14ac:dyDescent="0.25">
      <c r="AE8372">
        <v>26.39</v>
      </c>
    </row>
    <row r="8373" spans="31:31" x14ac:dyDescent="0.25">
      <c r="AE8373">
        <v>203.9</v>
      </c>
    </row>
    <row r="8374" spans="31:31" x14ac:dyDescent="0.25">
      <c r="AE8374">
        <v>54.68</v>
      </c>
    </row>
    <row r="8375" spans="31:31" x14ac:dyDescent="0.25">
      <c r="AE8375">
        <v>49.38</v>
      </c>
    </row>
    <row r="8376" spans="31:31" x14ac:dyDescent="0.25">
      <c r="AE8376">
        <v>31.87</v>
      </c>
    </row>
    <row r="8377" spans="31:31" x14ac:dyDescent="0.25">
      <c r="AE8377">
        <v>28.77</v>
      </c>
    </row>
    <row r="8378" spans="31:31" x14ac:dyDescent="0.25">
      <c r="AE8378">
        <v>28.28</v>
      </c>
    </row>
    <row r="8379" spans="31:31" x14ac:dyDescent="0.25">
      <c r="AE8379">
        <v>103.71</v>
      </c>
    </row>
    <row r="8380" spans="31:31" x14ac:dyDescent="0.25">
      <c r="AE8380">
        <v>110.66</v>
      </c>
    </row>
    <row r="8381" spans="31:31" x14ac:dyDescent="0.25">
      <c r="AE8381">
        <v>23.71</v>
      </c>
    </row>
    <row r="8382" spans="31:31" x14ac:dyDescent="0.25">
      <c r="AE8382">
        <v>30.81</v>
      </c>
    </row>
    <row r="8383" spans="31:31" x14ac:dyDescent="0.25">
      <c r="AE8383">
        <v>37.43</v>
      </c>
    </row>
    <row r="8384" spans="31:31" x14ac:dyDescent="0.25">
      <c r="AE8384">
        <v>100.75</v>
      </c>
    </row>
    <row r="8385" spans="31:31" x14ac:dyDescent="0.25">
      <c r="AE8385">
        <v>40.17</v>
      </c>
    </row>
    <row r="8386" spans="31:31" x14ac:dyDescent="0.25">
      <c r="AE8386">
        <v>39.42</v>
      </c>
    </row>
    <row r="8387" spans="31:31" x14ac:dyDescent="0.25">
      <c r="AE8387">
        <v>34.31</v>
      </c>
    </row>
    <row r="8388" spans="31:31" x14ac:dyDescent="0.25">
      <c r="AE8388">
        <v>12.65</v>
      </c>
    </row>
    <row r="8389" spans="31:31" x14ac:dyDescent="0.25">
      <c r="AE8389">
        <v>41.78</v>
      </c>
    </row>
    <row r="8390" spans="31:31" x14ac:dyDescent="0.25">
      <c r="AE8390">
        <v>35.090000000000003</v>
      </c>
    </row>
    <row r="8391" spans="31:31" x14ac:dyDescent="0.25">
      <c r="AE8391">
        <v>54.54</v>
      </c>
    </row>
    <row r="8392" spans="31:31" x14ac:dyDescent="0.25">
      <c r="AE8392">
        <v>98.12</v>
      </c>
    </row>
    <row r="8393" spans="31:31" x14ac:dyDescent="0.25">
      <c r="AE8393">
        <v>42.48</v>
      </c>
    </row>
    <row r="8394" spans="31:31" x14ac:dyDescent="0.25">
      <c r="AE8394">
        <v>20.82</v>
      </c>
    </row>
    <row r="8395" spans="31:31" x14ac:dyDescent="0.25">
      <c r="AE8395">
        <v>61.29</v>
      </c>
    </row>
    <row r="8396" spans="31:31" x14ac:dyDescent="0.25">
      <c r="AE8396">
        <v>43.32</v>
      </c>
    </row>
    <row r="8397" spans="31:31" x14ac:dyDescent="0.25">
      <c r="AE8397">
        <v>31.01</v>
      </c>
    </row>
    <row r="8398" spans="31:31" x14ac:dyDescent="0.25">
      <c r="AE8398">
        <v>49.74</v>
      </c>
    </row>
    <row r="8399" spans="31:31" x14ac:dyDescent="0.25">
      <c r="AE8399">
        <v>126.73</v>
      </c>
    </row>
    <row r="8400" spans="31:31" x14ac:dyDescent="0.25">
      <c r="AE8400">
        <v>19.66</v>
      </c>
    </row>
    <row r="8401" spans="31:31" x14ac:dyDescent="0.25">
      <c r="AE8401">
        <v>141.13</v>
      </c>
    </row>
    <row r="8402" spans="31:31" x14ac:dyDescent="0.25">
      <c r="AE8402">
        <v>49.56</v>
      </c>
    </row>
    <row r="8403" spans="31:31" x14ac:dyDescent="0.25">
      <c r="AE8403">
        <v>87.9</v>
      </c>
    </row>
    <row r="8404" spans="31:31" x14ac:dyDescent="0.25">
      <c r="AE8404">
        <v>18.239999999999998</v>
      </c>
    </row>
    <row r="8405" spans="31:31" x14ac:dyDescent="0.25">
      <c r="AE8405">
        <v>4.29</v>
      </c>
    </row>
    <row r="8406" spans="31:31" x14ac:dyDescent="0.25">
      <c r="AE8406">
        <v>27.58</v>
      </c>
    </row>
    <row r="8407" spans="31:31" x14ac:dyDescent="0.25">
      <c r="AE8407">
        <v>75.33</v>
      </c>
    </row>
    <row r="8408" spans="31:31" x14ac:dyDescent="0.25">
      <c r="AE8408">
        <v>26.21</v>
      </c>
    </row>
    <row r="8409" spans="31:31" x14ac:dyDescent="0.25">
      <c r="AE8409">
        <v>70.2</v>
      </c>
    </row>
    <row r="8410" spans="31:31" x14ac:dyDescent="0.25">
      <c r="AE8410">
        <v>10.93</v>
      </c>
    </row>
    <row r="8411" spans="31:31" x14ac:dyDescent="0.25">
      <c r="AE8411">
        <v>11.98</v>
      </c>
    </row>
    <row r="8412" spans="31:31" x14ac:dyDescent="0.25">
      <c r="AE8412">
        <v>16.45</v>
      </c>
    </row>
    <row r="8413" spans="31:31" x14ac:dyDescent="0.25">
      <c r="AE8413">
        <v>49.42</v>
      </c>
    </row>
    <row r="8414" spans="31:31" x14ac:dyDescent="0.25">
      <c r="AE8414">
        <v>53.28</v>
      </c>
    </row>
    <row r="8415" spans="31:31" x14ac:dyDescent="0.25">
      <c r="AE8415">
        <v>18.760000000000002</v>
      </c>
    </row>
    <row r="8416" spans="31:31" x14ac:dyDescent="0.25">
      <c r="AE8416">
        <v>159.28</v>
      </c>
    </row>
    <row r="8417" spans="31:31" x14ac:dyDescent="0.25">
      <c r="AE8417">
        <v>63.88</v>
      </c>
    </row>
    <row r="8418" spans="31:31" x14ac:dyDescent="0.25">
      <c r="AE8418">
        <v>22.82</v>
      </c>
    </row>
    <row r="8419" spans="31:31" x14ac:dyDescent="0.25">
      <c r="AE8419">
        <v>21.44</v>
      </c>
    </row>
    <row r="8420" spans="31:31" x14ac:dyDescent="0.25">
      <c r="AE8420">
        <v>35.11</v>
      </c>
    </row>
    <row r="8421" spans="31:31" x14ac:dyDescent="0.25">
      <c r="AE8421">
        <v>31.2</v>
      </c>
    </row>
    <row r="8422" spans="31:31" x14ac:dyDescent="0.25">
      <c r="AE8422">
        <v>278.69</v>
      </c>
    </row>
    <row r="8423" spans="31:31" x14ac:dyDescent="0.25">
      <c r="AE8423">
        <v>22.91</v>
      </c>
    </row>
    <row r="8424" spans="31:31" x14ac:dyDescent="0.25">
      <c r="AE8424">
        <v>10.7</v>
      </c>
    </row>
    <row r="8425" spans="31:31" x14ac:dyDescent="0.25">
      <c r="AE8425">
        <v>65.52</v>
      </c>
    </row>
    <row r="8426" spans="31:31" x14ac:dyDescent="0.25">
      <c r="AE8426">
        <v>186.51</v>
      </c>
    </row>
    <row r="8427" spans="31:31" x14ac:dyDescent="0.25">
      <c r="AE8427">
        <v>0.36</v>
      </c>
    </row>
    <row r="8428" spans="31:31" x14ac:dyDescent="0.25">
      <c r="AE8428">
        <v>49.22</v>
      </c>
    </row>
    <row r="8429" spans="31:31" x14ac:dyDescent="0.25">
      <c r="AE8429">
        <v>34.35</v>
      </c>
    </row>
    <row r="8430" spans="31:31" x14ac:dyDescent="0.25">
      <c r="AE8430">
        <v>0.36</v>
      </c>
    </row>
    <row r="8431" spans="31:31" x14ac:dyDescent="0.25">
      <c r="AE8431">
        <v>69.599999999999994</v>
      </c>
    </row>
    <row r="8432" spans="31:31" x14ac:dyDescent="0.25">
      <c r="AE8432">
        <v>60.16</v>
      </c>
    </row>
    <row r="8433" spans="31:31" x14ac:dyDescent="0.25">
      <c r="AE8433">
        <v>42.39</v>
      </c>
    </row>
    <row r="8434" spans="31:31" x14ac:dyDescent="0.25">
      <c r="AE8434">
        <v>4.76</v>
      </c>
    </row>
    <row r="8435" spans="31:31" x14ac:dyDescent="0.25">
      <c r="AE8435">
        <v>64.459999999999994</v>
      </c>
    </row>
    <row r="8436" spans="31:31" x14ac:dyDescent="0.25">
      <c r="AE8436">
        <v>70.86</v>
      </c>
    </row>
    <row r="8437" spans="31:31" x14ac:dyDescent="0.25">
      <c r="AE8437">
        <v>137.06</v>
      </c>
    </row>
    <row r="8438" spans="31:31" x14ac:dyDescent="0.25">
      <c r="AE8438">
        <v>70.260000000000005</v>
      </c>
    </row>
    <row r="8439" spans="31:31" x14ac:dyDescent="0.25">
      <c r="AE8439">
        <v>72.53</v>
      </c>
    </row>
    <row r="8440" spans="31:31" x14ac:dyDescent="0.25">
      <c r="AE8440">
        <v>34.44</v>
      </c>
    </row>
    <row r="8441" spans="31:31" x14ac:dyDescent="0.25">
      <c r="AE8441">
        <v>38.15</v>
      </c>
    </row>
    <row r="8442" spans="31:31" x14ac:dyDescent="0.25">
      <c r="AE8442">
        <v>122.31</v>
      </c>
    </row>
    <row r="8443" spans="31:31" x14ac:dyDescent="0.25">
      <c r="AE8443">
        <v>177.75</v>
      </c>
    </row>
    <row r="8444" spans="31:31" x14ac:dyDescent="0.25">
      <c r="AE8444">
        <v>20.59</v>
      </c>
    </row>
    <row r="8445" spans="31:31" x14ac:dyDescent="0.25">
      <c r="AE8445">
        <v>25.02</v>
      </c>
    </row>
    <row r="8446" spans="31:31" x14ac:dyDescent="0.25">
      <c r="AE8446">
        <v>13.7</v>
      </c>
    </row>
    <row r="8447" spans="31:31" x14ac:dyDescent="0.25">
      <c r="AE8447">
        <v>119.89</v>
      </c>
    </row>
    <row r="8448" spans="31:31" x14ac:dyDescent="0.25">
      <c r="AE8448">
        <v>39.54</v>
      </c>
    </row>
    <row r="8449" spans="31:31" x14ac:dyDescent="0.25">
      <c r="AE8449">
        <v>19.239999999999998</v>
      </c>
    </row>
    <row r="8450" spans="31:31" x14ac:dyDescent="0.25">
      <c r="AE8450">
        <v>30.73</v>
      </c>
    </row>
    <row r="8451" spans="31:31" x14ac:dyDescent="0.25">
      <c r="AE8451">
        <v>16.350000000000001</v>
      </c>
    </row>
    <row r="8452" spans="31:31" x14ac:dyDescent="0.25">
      <c r="AE8452">
        <v>31.23</v>
      </c>
    </row>
    <row r="8453" spans="31:31" x14ac:dyDescent="0.25">
      <c r="AE8453">
        <v>19.79</v>
      </c>
    </row>
    <row r="8454" spans="31:31" x14ac:dyDescent="0.25">
      <c r="AE8454">
        <v>130.41999999999999</v>
      </c>
    </row>
    <row r="8455" spans="31:31" x14ac:dyDescent="0.25">
      <c r="AE8455">
        <v>69.510000000000005</v>
      </c>
    </row>
    <row r="8456" spans="31:31" x14ac:dyDescent="0.25">
      <c r="AE8456">
        <v>47.57</v>
      </c>
    </row>
    <row r="8457" spans="31:31" x14ac:dyDescent="0.25">
      <c r="AE8457">
        <v>47.35</v>
      </c>
    </row>
    <row r="8458" spans="31:31" x14ac:dyDescent="0.25">
      <c r="AE8458">
        <v>20.71</v>
      </c>
    </row>
    <row r="8459" spans="31:31" x14ac:dyDescent="0.25">
      <c r="AE8459">
        <v>0.54</v>
      </c>
    </row>
    <row r="8460" spans="31:31" x14ac:dyDescent="0.25">
      <c r="AE8460">
        <v>10.09</v>
      </c>
    </row>
    <row r="8461" spans="31:31" x14ac:dyDescent="0.25">
      <c r="AE8461">
        <v>28.39</v>
      </c>
    </row>
    <row r="8462" spans="31:31" x14ac:dyDescent="0.25">
      <c r="AE8462">
        <v>2.31</v>
      </c>
    </row>
    <row r="8463" spans="31:31" x14ac:dyDescent="0.25">
      <c r="AE8463">
        <v>51.45</v>
      </c>
    </row>
    <row r="8464" spans="31:31" x14ac:dyDescent="0.25">
      <c r="AE8464">
        <v>31.45</v>
      </c>
    </row>
    <row r="8465" spans="31:31" x14ac:dyDescent="0.25">
      <c r="AE8465">
        <v>9.99</v>
      </c>
    </row>
    <row r="8466" spans="31:31" x14ac:dyDescent="0.25">
      <c r="AE8466">
        <v>67.430000000000007</v>
      </c>
    </row>
    <row r="8467" spans="31:31" x14ac:dyDescent="0.25">
      <c r="AE8467">
        <v>71.52</v>
      </c>
    </row>
    <row r="8468" spans="31:31" x14ac:dyDescent="0.25">
      <c r="AE8468">
        <v>15.97</v>
      </c>
    </row>
    <row r="8469" spans="31:31" x14ac:dyDescent="0.25">
      <c r="AE8469">
        <v>13.56</v>
      </c>
    </row>
    <row r="8470" spans="31:31" x14ac:dyDescent="0.25">
      <c r="AE8470">
        <v>32.72</v>
      </c>
    </row>
    <row r="8471" spans="31:31" x14ac:dyDescent="0.25">
      <c r="AE8471">
        <v>15.1</v>
      </c>
    </row>
    <row r="8472" spans="31:31" x14ac:dyDescent="0.25">
      <c r="AE8472">
        <v>21.57</v>
      </c>
    </row>
    <row r="8473" spans="31:31" x14ac:dyDescent="0.25">
      <c r="AE8473">
        <v>149.96</v>
      </c>
    </row>
    <row r="8474" spans="31:31" x14ac:dyDescent="0.25">
      <c r="AE8474">
        <v>65.56</v>
      </c>
    </row>
    <row r="8475" spans="31:31" x14ac:dyDescent="0.25">
      <c r="AE8475">
        <v>146.27000000000001</v>
      </c>
    </row>
    <row r="8476" spans="31:31" x14ac:dyDescent="0.25">
      <c r="AE8476">
        <v>46.77</v>
      </c>
    </row>
    <row r="8477" spans="31:31" x14ac:dyDescent="0.25">
      <c r="AE8477">
        <v>46.38</v>
      </c>
    </row>
    <row r="8478" spans="31:31" x14ac:dyDescent="0.25">
      <c r="AE8478">
        <v>5.83</v>
      </c>
    </row>
    <row r="8479" spans="31:31" x14ac:dyDescent="0.25">
      <c r="AE8479">
        <v>20.62</v>
      </c>
    </row>
    <row r="8480" spans="31:31" x14ac:dyDescent="0.25">
      <c r="AE8480">
        <v>14.52</v>
      </c>
    </row>
    <row r="8481" spans="31:31" x14ac:dyDescent="0.25">
      <c r="AE8481">
        <v>99.14</v>
      </c>
    </row>
    <row r="8482" spans="31:31" x14ac:dyDescent="0.25">
      <c r="AE8482">
        <v>47.7</v>
      </c>
    </row>
    <row r="8483" spans="31:31" x14ac:dyDescent="0.25">
      <c r="AE8483">
        <v>125.2</v>
      </c>
    </row>
    <row r="8484" spans="31:31" x14ac:dyDescent="0.25">
      <c r="AE8484">
        <v>14.56</v>
      </c>
    </row>
    <row r="8485" spans="31:31" x14ac:dyDescent="0.25">
      <c r="AE8485">
        <v>121.77</v>
      </c>
    </row>
    <row r="8486" spans="31:31" x14ac:dyDescent="0.25">
      <c r="AE8486">
        <v>156.43</v>
      </c>
    </row>
    <row r="8487" spans="31:31" x14ac:dyDescent="0.25">
      <c r="AE8487">
        <v>48.25</v>
      </c>
    </row>
    <row r="8488" spans="31:31" x14ac:dyDescent="0.25">
      <c r="AE8488">
        <v>62.68</v>
      </c>
    </row>
    <row r="8489" spans="31:31" x14ac:dyDescent="0.25">
      <c r="AE8489">
        <v>6.12</v>
      </c>
    </row>
    <row r="8490" spans="31:31" x14ac:dyDescent="0.25">
      <c r="AE8490">
        <v>69.989999999999995</v>
      </c>
    </row>
    <row r="8491" spans="31:31" x14ac:dyDescent="0.25">
      <c r="AE8491">
        <v>66.34</v>
      </c>
    </row>
    <row r="8492" spans="31:31" x14ac:dyDescent="0.25">
      <c r="AE8492">
        <v>40.54</v>
      </c>
    </row>
    <row r="8493" spans="31:31" x14ac:dyDescent="0.25">
      <c r="AE8493">
        <v>20.94</v>
      </c>
    </row>
    <row r="8494" spans="31:31" x14ac:dyDescent="0.25">
      <c r="AE8494">
        <v>12.83</v>
      </c>
    </row>
    <row r="8495" spans="31:31" x14ac:dyDescent="0.25">
      <c r="AE8495">
        <v>29.29</v>
      </c>
    </row>
    <row r="8496" spans="31:31" x14ac:dyDescent="0.25">
      <c r="AE8496">
        <v>3.38</v>
      </c>
    </row>
    <row r="8497" spans="31:31" x14ac:dyDescent="0.25">
      <c r="AE8497">
        <v>73.150000000000006</v>
      </c>
    </row>
    <row r="8498" spans="31:31" x14ac:dyDescent="0.25">
      <c r="AE8498">
        <v>49.6</v>
      </c>
    </row>
    <row r="8499" spans="31:31" x14ac:dyDescent="0.25">
      <c r="AE8499">
        <v>32.409999999999997</v>
      </c>
    </row>
    <row r="8500" spans="31:31" x14ac:dyDescent="0.25">
      <c r="AE8500">
        <v>59.78</v>
      </c>
    </row>
    <row r="8501" spans="31:31" x14ac:dyDescent="0.25">
      <c r="AE8501">
        <v>64.91</v>
      </c>
    </row>
    <row r="8502" spans="31:31" x14ac:dyDescent="0.25">
      <c r="AE8502">
        <v>0.36</v>
      </c>
    </row>
    <row r="8503" spans="31:31" x14ac:dyDescent="0.25">
      <c r="AE8503">
        <v>25.66</v>
      </c>
    </row>
    <row r="8504" spans="31:31" x14ac:dyDescent="0.25">
      <c r="AE8504">
        <v>57.98</v>
      </c>
    </row>
    <row r="8505" spans="31:31" x14ac:dyDescent="0.25">
      <c r="AE8505">
        <v>28.28</v>
      </c>
    </row>
    <row r="8506" spans="31:31" x14ac:dyDescent="0.25">
      <c r="AE8506">
        <v>27.18</v>
      </c>
    </row>
    <row r="8507" spans="31:31" x14ac:dyDescent="0.25">
      <c r="AE8507">
        <v>12.86</v>
      </c>
    </row>
    <row r="8508" spans="31:31" x14ac:dyDescent="0.25">
      <c r="AE8508">
        <v>15.21</v>
      </c>
    </row>
    <row r="8509" spans="31:31" x14ac:dyDescent="0.25">
      <c r="AE8509">
        <v>37.549999999999997</v>
      </c>
    </row>
    <row r="8510" spans="31:31" x14ac:dyDescent="0.25">
      <c r="AE8510">
        <v>19.03</v>
      </c>
    </row>
    <row r="8511" spans="31:31" x14ac:dyDescent="0.25">
      <c r="AE8511">
        <v>14.12</v>
      </c>
    </row>
    <row r="8512" spans="31:31" x14ac:dyDescent="0.25">
      <c r="AE8512">
        <v>9.7200000000000006</v>
      </c>
    </row>
    <row r="8513" spans="31:31" x14ac:dyDescent="0.25">
      <c r="AE8513">
        <v>46.68</v>
      </c>
    </row>
    <row r="8514" spans="31:31" x14ac:dyDescent="0.25">
      <c r="AE8514">
        <v>332.87</v>
      </c>
    </row>
    <row r="8515" spans="31:31" x14ac:dyDescent="0.25">
      <c r="AE8515">
        <v>156.57</v>
      </c>
    </row>
    <row r="8516" spans="31:31" x14ac:dyDescent="0.25">
      <c r="AE8516">
        <v>16.97</v>
      </c>
    </row>
    <row r="8517" spans="31:31" x14ac:dyDescent="0.25">
      <c r="AE8517">
        <v>46.56</v>
      </c>
    </row>
    <row r="8518" spans="31:31" x14ac:dyDescent="0.25">
      <c r="AE8518">
        <v>128.91999999999999</v>
      </c>
    </row>
    <row r="8519" spans="31:31" x14ac:dyDescent="0.25">
      <c r="AE8519">
        <v>28.26</v>
      </c>
    </row>
    <row r="8520" spans="31:31" x14ac:dyDescent="0.25">
      <c r="AE8520">
        <v>53.03</v>
      </c>
    </row>
    <row r="8521" spans="31:31" x14ac:dyDescent="0.25">
      <c r="AE8521">
        <v>26.37</v>
      </c>
    </row>
    <row r="8522" spans="31:31" x14ac:dyDescent="0.25">
      <c r="AE8522">
        <v>18.670000000000002</v>
      </c>
    </row>
    <row r="8523" spans="31:31" x14ac:dyDescent="0.25">
      <c r="AE8523">
        <v>36.520000000000003</v>
      </c>
    </row>
    <row r="8524" spans="31:31" x14ac:dyDescent="0.25">
      <c r="AE8524">
        <v>82.12</v>
      </c>
    </row>
    <row r="8525" spans="31:31" x14ac:dyDescent="0.25">
      <c r="AE8525">
        <v>63.66</v>
      </c>
    </row>
    <row r="8526" spans="31:31" x14ac:dyDescent="0.25">
      <c r="AE8526">
        <v>21.81</v>
      </c>
    </row>
    <row r="8527" spans="31:31" x14ac:dyDescent="0.25">
      <c r="AE8527">
        <v>0</v>
      </c>
    </row>
    <row r="8528" spans="31:31" x14ac:dyDescent="0.25">
      <c r="AE8528">
        <v>31.7</v>
      </c>
    </row>
    <row r="8529" spans="31:31" x14ac:dyDescent="0.25">
      <c r="AE8529">
        <v>0</v>
      </c>
    </row>
    <row r="8530" spans="31:31" x14ac:dyDescent="0.25">
      <c r="AE8530">
        <v>48.77</v>
      </c>
    </row>
    <row r="8531" spans="31:31" x14ac:dyDescent="0.25">
      <c r="AE8531">
        <v>32.67</v>
      </c>
    </row>
    <row r="8532" spans="31:31" x14ac:dyDescent="0.25">
      <c r="AE8532">
        <v>42.25</v>
      </c>
    </row>
    <row r="8533" spans="31:31" x14ac:dyDescent="0.25">
      <c r="AE8533">
        <v>118.28</v>
      </c>
    </row>
    <row r="8534" spans="31:31" x14ac:dyDescent="0.25">
      <c r="AE8534">
        <v>26.87</v>
      </c>
    </row>
    <row r="8535" spans="31:31" x14ac:dyDescent="0.25">
      <c r="AE8535">
        <v>35.25</v>
      </c>
    </row>
    <row r="8536" spans="31:31" x14ac:dyDescent="0.25">
      <c r="AE8536">
        <v>62.48</v>
      </c>
    </row>
    <row r="8537" spans="31:31" x14ac:dyDescent="0.25">
      <c r="AE8537">
        <v>38.130000000000003</v>
      </c>
    </row>
    <row r="8538" spans="31:31" x14ac:dyDescent="0.25">
      <c r="AE8538">
        <v>82.11</v>
      </c>
    </row>
    <row r="8539" spans="31:31" x14ac:dyDescent="0.25">
      <c r="AE8539">
        <v>5.17</v>
      </c>
    </row>
    <row r="8540" spans="31:31" x14ac:dyDescent="0.25">
      <c r="AE8540">
        <v>31.51</v>
      </c>
    </row>
    <row r="8541" spans="31:31" x14ac:dyDescent="0.25">
      <c r="AE8541">
        <v>59.14</v>
      </c>
    </row>
    <row r="8542" spans="31:31" x14ac:dyDescent="0.25">
      <c r="AE8542">
        <v>19.64</v>
      </c>
    </row>
    <row r="8543" spans="31:31" x14ac:dyDescent="0.25">
      <c r="AE8543">
        <v>21.21</v>
      </c>
    </row>
    <row r="8544" spans="31:31" x14ac:dyDescent="0.25">
      <c r="AE8544">
        <v>84.99</v>
      </c>
    </row>
    <row r="8545" spans="31:31" x14ac:dyDescent="0.25">
      <c r="AE8545">
        <v>19.98</v>
      </c>
    </row>
    <row r="8546" spans="31:31" x14ac:dyDescent="0.25">
      <c r="AE8546">
        <v>0.27</v>
      </c>
    </row>
    <row r="8547" spans="31:31" x14ac:dyDescent="0.25">
      <c r="AE8547">
        <v>36.03</v>
      </c>
    </row>
    <row r="8548" spans="31:31" x14ac:dyDescent="0.25">
      <c r="AE8548">
        <v>130.25</v>
      </c>
    </row>
    <row r="8549" spans="31:31" x14ac:dyDescent="0.25">
      <c r="AE8549">
        <v>46.5</v>
      </c>
    </row>
    <row r="8550" spans="31:31" x14ac:dyDescent="0.25">
      <c r="AE8550">
        <v>14.15</v>
      </c>
    </row>
    <row r="8551" spans="31:31" x14ac:dyDescent="0.25">
      <c r="AE8551">
        <v>89.02</v>
      </c>
    </row>
    <row r="8552" spans="31:31" x14ac:dyDescent="0.25">
      <c r="AE8552">
        <v>30.94</v>
      </c>
    </row>
    <row r="8553" spans="31:31" x14ac:dyDescent="0.25">
      <c r="AE8553">
        <v>33.57</v>
      </c>
    </row>
    <row r="8554" spans="31:31" x14ac:dyDescent="0.25">
      <c r="AE8554">
        <v>81.56</v>
      </c>
    </row>
    <row r="8555" spans="31:31" x14ac:dyDescent="0.25">
      <c r="AE8555">
        <v>65.2</v>
      </c>
    </row>
    <row r="8556" spans="31:31" x14ac:dyDescent="0.25">
      <c r="AE8556">
        <v>47.86</v>
      </c>
    </row>
    <row r="8557" spans="31:31" x14ac:dyDescent="0.25">
      <c r="AE8557">
        <v>59.7</v>
      </c>
    </row>
    <row r="8558" spans="31:31" x14ac:dyDescent="0.25">
      <c r="AE8558">
        <v>12.64</v>
      </c>
    </row>
    <row r="8559" spans="31:31" x14ac:dyDescent="0.25">
      <c r="AE8559">
        <v>19.59</v>
      </c>
    </row>
    <row r="8560" spans="31:31" x14ac:dyDescent="0.25">
      <c r="AE8560">
        <v>0.63</v>
      </c>
    </row>
    <row r="8561" spans="31:31" x14ac:dyDescent="0.25">
      <c r="AE8561">
        <v>84.09</v>
      </c>
    </row>
    <row r="8562" spans="31:31" x14ac:dyDescent="0.25">
      <c r="AE8562">
        <v>11.23</v>
      </c>
    </row>
    <row r="8563" spans="31:31" x14ac:dyDescent="0.25">
      <c r="AE8563">
        <v>41.99</v>
      </c>
    </row>
    <row r="8564" spans="31:31" x14ac:dyDescent="0.25">
      <c r="AE8564">
        <v>57.11</v>
      </c>
    </row>
    <row r="8565" spans="31:31" x14ac:dyDescent="0.25">
      <c r="AE8565">
        <v>75.91</v>
      </c>
    </row>
    <row r="8566" spans="31:31" x14ac:dyDescent="0.25">
      <c r="AE8566">
        <v>35.36</v>
      </c>
    </row>
    <row r="8567" spans="31:31" x14ac:dyDescent="0.25">
      <c r="AE8567">
        <v>24.19</v>
      </c>
    </row>
    <row r="8568" spans="31:31" x14ac:dyDescent="0.25">
      <c r="AE8568">
        <v>19.25</v>
      </c>
    </row>
    <row r="8569" spans="31:31" x14ac:dyDescent="0.25">
      <c r="AE8569">
        <v>98.66</v>
      </c>
    </row>
    <row r="8570" spans="31:31" x14ac:dyDescent="0.25">
      <c r="AE8570">
        <v>61.83</v>
      </c>
    </row>
    <row r="8571" spans="31:31" x14ac:dyDescent="0.25">
      <c r="AE8571">
        <v>10.44</v>
      </c>
    </row>
    <row r="8572" spans="31:31" x14ac:dyDescent="0.25">
      <c r="AE8572">
        <v>169.41</v>
      </c>
    </row>
    <row r="8573" spans="31:31" x14ac:dyDescent="0.25">
      <c r="AE8573">
        <v>94.95</v>
      </c>
    </row>
    <row r="8574" spans="31:31" x14ac:dyDescent="0.25">
      <c r="AE8574">
        <v>25.86</v>
      </c>
    </row>
    <row r="8575" spans="31:31" x14ac:dyDescent="0.25">
      <c r="AE8575">
        <v>72.239999999999995</v>
      </c>
    </row>
    <row r="8576" spans="31:31" x14ac:dyDescent="0.25">
      <c r="AE8576">
        <v>10.14</v>
      </c>
    </row>
    <row r="8577" spans="31:31" x14ac:dyDescent="0.25">
      <c r="AE8577">
        <v>10.14</v>
      </c>
    </row>
    <row r="8578" spans="31:31" x14ac:dyDescent="0.25">
      <c r="AE8578">
        <v>10.39</v>
      </c>
    </row>
    <row r="8579" spans="31:31" x14ac:dyDescent="0.25">
      <c r="AE8579">
        <v>10.64</v>
      </c>
    </row>
    <row r="8580" spans="31:31" x14ac:dyDescent="0.25">
      <c r="AE8580">
        <v>29.95</v>
      </c>
    </row>
    <row r="8581" spans="31:31" x14ac:dyDescent="0.25">
      <c r="AE8581">
        <v>24.78</v>
      </c>
    </row>
    <row r="8582" spans="31:31" x14ac:dyDescent="0.25">
      <c r="AE8582">
        <v>27.32</v>
      </c>
    </row>
    <row r="8583" spans="31:31" x14ac:dyDescent="0.25">
      <c r="AE8583">
        <v>126.35</v>
      </c>
    </row>
    <row r="8584" spans="31:31" x14ac:dyDescent="0.25">
      <c r="AE8584">
        <v>22.24</v>
      </c>
    </row>
    <row r="8585" spans="31:31" x14ac:dyDescent="0.25">
      <c r="AE8585">
        <v>87.75</v>
      </c>
    </row>
    <row r="8586" spans="31:31" x14ac:dyDescent="0.25">
      <c r="AE8586">
        <v>66.180000000000007</v>
      </c>
    </row>
    <row r="8587" spans="31:31" x14ac:dyDescent="0.25">
      <c r="AE8587">
        <v>43.77</v>
      </c>
    </row>
    <row r="8588" spans="31:31" x14ac:dyDescent="0.25">
      <c r="AE8588">
        <v>172.23</v>
      </c>
    </row>
    <row r="8589" spans="31:31" x14ac:dyDescent="0.25">
      <c r="AE8589">
        <v>36.06</v>
      </c>
    </row>
    <row r="8590" spans="31:31" x14ac:dyDescent="0.25">
      <c r="AE8590">
        <v>73.900000000000006</v>
      </c>
    </row>
    <row r="8591" spans="31:31" x14ac:dyDescent="0.25">
      <c r="AE8591">
        <v>99.41</v>
      </c>
    </row>
    <row r="8592" spans="31:31" x14ac:dyDescent="0.25">
      <c r="AE8592">
        <v>22.77</v>
      </c>
    </row>
    <row r="8593" spans="31:31" x14ac:dyDescent="0.25">
      <c r="AE8593">
        <v>0.09</v>
      </c>
    </row>
    <row r="8594" spans="31:31" x14ac:dyDescent="0.25">
      <c r="AE8594">
        <v>49.93</v>
      </c>
    </row>
    <row r="8595" spans="31:31" x14ac:dyDescent="0.25">
      <c r="AE8595">
        <v>41.6</v>
      </c>
    </row>
    <row r="8596" spans="31:31" x14ac:dyDescent="0.25">
      <c r="AE8596">
        <v>35.229999999999997</v>
      </c>
    </row>
    <row r="8597" spans="31:31" x14ac:dyDescent="0.25">
      <c r="AE8597">
        <v>40.18</v>
      </c>
    </row>
    <row r="8598" spans="31:31" x14ac:dyDescent="0.25">
      <c r="AE8598">
        <v>16.45</v>
      </c>
    </row>
    <row r="8599" spans="31:31" x14ac:dyDescent="0.25">
      <c r="AE8599">
        <v>86.32</v>
      </c>
    </row>
    <row r="8600" spans="31:31" x14ac:dyDescent="0.25">
      <c r="AE8600">
        <v>9.99</v>
      </c>
    </row>
    <row r="8601" spans="31:31" x14ac:dyDescent="0.25">
      <c r="AE8601">
        <v>0.09</v>
      </c>
    </row>
    <row r="8602" spans="31:31" x14ac:dyDescent="0.25">
      <c r="AE8602">
        <v>30.65</v>
      </c>
    </row>
    <row r="8603" spans="31:31" x14ac:dyDescent="0.25">
      <c r="AE8603">
        <v>200</v>
      </c>
    </row>
    <row r="8604" spans="31:31" x14ac:dyDescent="0.25">
      <c r="AE8604">
        <v>109.66</v>
      </c>
    </row>
    <row r="8605" spans="31:31" x14ac:dyDescent="0.25">
      <c r="AE8605">
        <v>35.46</v>
      </c>
    </row>
    <row r="8606" spans="31:31" x14ac:dyDescent="0.25">
      <c r="AE8606">
        <v>105.38</v>
      </c>
    </row>
    <row r="8607" spans="31:31" x14ac:dyDescent="0.25">
      <c r="AE8607">
        <v>91.9</v>
      </c>
    </row>
    <row r="8608" spans="31:31" x14ac:dyDescent="0.25">
      <c r="AE8608">
        <v>15.45</v>
      </c>
    </row>
    <row r="8609" spans="31:31" x14ac:dyDescent="0.25">
      <c r="AE8609">
        <v>38.74</v>
      </c>
    </row>
    <row r="8610" spans="31:31" x14ac:dyDescent="0.25">
      <c r="AE8610">
        <v>78.36</v>
      </c>
    </row>
    <row r="8611" spans="31:31" x14ac:dyDescent="0.25">
      <c r="AE8611">
        <v>18.350000000000001</v>
      </c>
    </row>
    <row r="8612" spans="31:31" x14ac:dyDescent="0.25">
      <c r="AE8612">
        <v>43.31</v>
      </c>
    </row>
    <row r="8613" spans="31:31" x14ac:dyDescent="0.25">
      <c r="AE8613">
        <v>31.99</v>
      </c>
    </row>
    <row r="8614" spans="31:31" x14ac:dyDescent="0.25">
      <c r="AE8614">
        <v>18.95</v>
      </c>
    </row>
    <row r="8615" spans="31:31" x14ac:dyDescent="0.25">
      <c r="AE8615">
        <v>36.19</v>
      </c>
    </row>
    <row r="8616" spans="31:31" x14ac:dyDescent="0.25">
      <c r="AE8616">
        <v>32.06</v>
      </c>
    </row>
    <row r="8617" spans="31:31" x14ac:dyDescent="0.25">
      <c r="AE8617">
        <v>132.69999999999999</v>
      </c>
    </row>
    <row r="8618" spans="31:31" x14ac:dyDescent="0.25">
      <c r="AE8618">
        <v>160.05000000000001</v>
      </c>
    </row>
    <row r="8619" spans="31:31" x14ac:dyDescent="0.25">
      <c r="AE8619">
        <v>19.21</v>
      </c>
    </row>
    <row r="8620" spans="31:31" x14ac:dyDescent="0.25">
      <c r="AE8620">
        <v>73.81</v>
      </c>
    </row>
    <row r="8621" spans="31:31" x14ac:dyDescent="0.25">
      <c r="AE8621">
        <v>187.62</v>
      </c>
    </row>
    <row r="8622" spans="31:31" x14ac:dyDescent="0.25">
      <c r="AE8622">
        <v>54.18</v>
      </c>
    </row>
    <row r="8623" spans="31:31" x14ac:dyDescent="0.25">
      <c r="AE8623">
        <v>116.24</v>
      </c>
    </row>
    <row r="8624" spans="31:31" x14ac:dyDescent="0.25">
      <c r="AE8624">
        <v>78.849999999999994</v>
      </c>
    </row>
    <row r="8625" spans="31:31" x14ac:dyDescent="0.25">
      <c r="AE8625">
        <v>125.85</v>
      </c>
    </row>
    <row r="8626" spans="31:31" x14ac:dyDescent="0.25">
      <c r="AE8626">
        <v>11.22</v>
      </c>
    </row>
    <row r="8627" spans="31:31" x14ac:dyDescent="0.25">
      <c r="AE8627">
        <v>12.18</v>
      </c>
    </row>
    <row r="8628" spans="31:31" x14ac:dyDescent="0.25">
      <c r="AE8628">
        <v>76.48</v>
      </c>
    </row>
    <row r="8629" spans="31:31" x14ac:dyDescent="0.25">
      <c r="AE8629">
        <v>59.63</v>
      </c>
    </row>
    <row r="8630" spans="31:31" x14ac:dyDescent="0.25">
      <c r="AE8630">
        <v>465.47</v>
      </c>
    </row>
    <row r="8631" spans="31:31" x14ac:dyDescent="0.25">
      <c r="AE8631">
        <v>55.93</v>
      </c>
    </row>
    <row r="8632" spans="31:31" x14ac:dyDescent="0.25">
      <c r="AE8632">
        <v>82.56</v>
      </c>
    </row>
    <row r="8633" spans="31:31" x14ac:dyDescent="0.25">
      <c r="AE8633">
        <v>218.1</v>
      </c>
    </row>
    <row r="8634" spans="31:31" x14ac:dyDescent="0.25">
      <c r="AE8634">
        <v>0.63</v>
      </c>
    </row>
    <row r="8635" spans="31:31" x14ac:dyDescent="0.25">
      <c r="AE8635">
        <v>90.43</v>
      </c>
    </row>
    <row r="8636" spans="31:31" x14ac:dyDescent="0.25">
      <c r="AE8636">
        <v>51.59</v>
      </c>
    </row>
    <row r="8637" spans="31:31" x14ac:dyDescent="0.25">
      <c r="AE8637">
        <v>110.89</v>
      </c>
    </row>
    <row r="8638" spans="31:31" x14ac:dyDescent="0.25">
      <c r="AE8638">
        <v>83.91</v>
      </c>
    </row>
    <row r="8639" spans="31:31" x14ac:dyDescent="0.25">
      <c r="AE8639">
        <v>222.78</v>
      </c>
    </row>
    <row r="8640" spans="31:31" x14ac:dyDescent="0.25">
      <c r="AE8640">
        <v>192.2</v>
      </c>
    </row>
    <row r="8641" spans="31:31" x14ac:dyDescent="0.25">
      <c r="AE8641">
        <v>20.6</v>
      </c>
    </row>
    <row r="8642" spans="31:31" x14ac:dyDescent="0.25">
      <c r="AE8642">
        <v>78.02</v>
      </c>
    </row>
    <row r="8643" spans="31:31" x14ac:dyDescent="0.25">
      <c r="AE8643">
        <v>61.38</v>
      </c>
    </row>
    <row r="8644" spans="31:31" x14ac:dyDescent="0.25">
      <c r="AE8644">
        <v>34.659999999999997</v>
      </c>
    </row>
    <row r="8645" spans="31:31" x14ac:dyDescent="0.25">
      <c r="AE8645">
        <v>21.2</v>
      </c>
    </row>
    <row r="8646" spans="31:31" x14ac:dyDescent="0.25">
      <c r="AE8646">
        <v>93.96</v>
      </c>
    </row>
    <row r="8647" spans="31:31" x14ac:dyDescent="0.25">
      <c r="AE8647">
        <v>79.260000000000005</v>
      </c>
    </row>
    <row r="8648" spans="31:31" x14ac:dyDescent="0.25">
      <c r="AE8648">
        <v>115.68</v>
      </c>
    </row>
    <row r="8649" spans="31:31" x14ac:dyDescent="0.25">
      <c r="AE8649">
        <v>51.27</v>
      </c>
    </row>
    <row r="8650" spans="31:31" x14ac:dyDescent="0.25">
      <c r="AE8650">
        <v>89.02</v>
      </c>
    </row>
    <row r="8651" spans="31:31" x14ac:dyDescent="0.25">
      <c r="AE8651">
        <v>0.09</v>
      </c>
    </row>
    <row r="8652" spans="31:31" x14ac:dyDescent="0.25">
      <c r="AE8652">
        <v>62.27</v>
      </c>
    </row>
    <row r="8653" spans="31:31" x14ac:dyDescent="0.25">
      <c r="AE8653">
        <v>28.86</v>
      </c>
    </row>
    <row r="8654" spans="31:31" x14ac:dyDescent="0.25">
      <c r="AE8654">
        <v>71.59</v>
      </c>
    </row>
    <row r="8655" spans="31:31" x14ac:dyDescent="0.25">
      <c r="AE8655">
        <v>0.81</v>
      </c>
    </row>
    <row r="8656" spans="31:31" x14ac:dyDescent="0.25">
      <c r="AE8656">
        <v>16.489999999999998</v>
      </c>
    </row>
    <row r="8657" spans="31:31" x14ac:dyDescent="0.25">
      <c r="AE8657">
        <v>31.01</v>
      </c>
    </row>
    <row r="8658" spans="31:31" x14ac:dyDescent="0.25">
      <c r="AE8658">
        <v>46.24</v>
      </c>
    </row>
    <row r="8659" spans="31:31" x14ac:dyDescent="0.25">
      <c r="AE8659">
        <v>29.58</v>
      </c>
    </row>
    <row r="8660" spans="31:31" x14ac:dyDescent="0.25">
      <c r="AE8660">
        <v>34.99</v>
      </c>
    </row>
    <row r="8661" spans="31:31" x14ac:dyDescent="0.25">
      <c r="AE8661">
        <v>38.76</v>
      </c>
    </row>
    <row r="8662" spans="31:31" x14ac:dyDescent="0.25">
      <c r="AE8662">
        <v>86.34</v>
      </c>
    </row>
    <row r="8663" spans="31:31" x14ac:dyDescent="0.25">
      <c r="AE8663">
        <v>103.35</v>
      </c>
    </row>
    <row r="8664" spans="31:31" x14ac:dyDescent="0.25">
      <c r="AE8664">
        <v>12.22</v>
      </c>
    </row>
    <row r="8665" spans="31:31" x14ac:dyDescent="0.25">
      <c r="AE8665">
        <v>38.97</v>
      </c>
    </row>
    <row r="8666" spans="31:31" x14ac:dyDescent="0.25">
      <c r="AE8666">
        <v>0.09</v>
      </c>
    </row>
    <row r="8667" spans="31:31" x14ac:dyDescent="0.25">
      <c r="AE8667">
        <v>97.86</v>
      </c>
    </row>
    <row r="8668" spans="31:31" x14ac:dyDescent="0.25">
      <c r="AE8668">
        <v>20.09</v>
      </c>
    </row>
    <row r="8669" spans="31:31" x14ac:dyDescent="0.25">
      <c r="AE8669">
        <v>49.96</v>
      </c>
    </row>
    <row r="8670" spans="31:31" x14ac:dyDescent="0.25">
      <c r="AE8670">
        <v>124.92</v>
      </c>
    </row>
    <row r="8671" spans="31:31" x14ac:dyDescent="0.25">
      <c r="AE8671">
        <v>46.66</v>
      </c>
    </row>
    <row r="8672" spans="31:31" x14ac:dyDescent="0.25">
      <c r="AE8672">
        <v>32.28</v>
      </c>
    </row>
    <row r="8673" spans="31:31" x14ac:dyDescent="0.25">
      <c r="AE8673">
        <v>48.22</v>
      </c>
    </row>
    <row r="8674" spans="31:31" x14ac:dyDescent="0.25">
      <c r="AE8674">
        <v>10.19</v>
      </c>
    </row>
    <row r="8675" spans="31:31" x14ac:dyDescent="0.25">
      <c r="AE8675">
        <v>151.80000000000001</v>
      </c>
    </row>
    <row r="8676" spans="31:31" x14ac:dyDescent="0.25">
      <c r="AE8676">
        <v>18.91</v>
      </c>
    </row>
    <row r="8677" spans="31:31" x14ac:dyDescent="0.25">
      <c r="AE8677">
        <v>79.27</v>
      </c>
    </row>
    <row r="8678" spans="31:31" x14ac:dyDescent="0.25">
      <c r="AE8678">
        <v>33.020000000000003</v>
      </c>
    </row>
    <row r="8679" spans="31:31" x14ac:dyDescent="0.25">
      <c r="AE8679">
        <v>5.84</v>
      </c>
    </row>
    <row r="8680" spans="31:31" x14ac:dyDescent="0.25">
      <c r="AE8680">
        <v>125.81</v>
      </c>
    </row>
    <row r="8681" spans="31:31" x14ac:dyDescent="0.25">
      <c r="AE8681">
        <v>19.66</v>
      </c>
    </row>
    <row r="8682" spans="31:31" x14ac:dyDescent="0.25">
      <c r="AE8682">
        <v>108.95</v>
      </c>
    </row>
    <row r="8683" spans="31:31" x14ac:dyDescent="0.25">
      <c r="AE8683">
        <v>22.8</v>
      </c>
    </row>
    <row r="8684" spans="31:31" x14ac:dyDescent="0.25">
      <c r="AE8684">
        <v>68.72</v>
      </c>
    </row>
    <row r="8685" spans="31:31" x14ac:dyDescent="0.25">
      <c r="AE8685">
        <v>2.1800000000000002</v>
      </c>
    </row>
    <row r="8686" spans="31:31" x14ac:dyDescent="0.25">
      <c r="AE8686">
        <v>20.55</v>
      </c>
    </row>
    <row r="8687" spans="31:31" x14ac:dyDescent="0.25">
      <c r="AE8687">
        <v>35.68</v>
      </c>
    </row>
    <row r="8688" spans="31:31" x14ac:dyDescent="0.25">
      <c r="AE8688">
        <v>58.51</v>
      </c>
    </row>
    <row r="8689" spans="31:31" x14ac:dyDescent="0.25">
      <c r="AE8689">
        <v>9.99</v>
      </c>
    </row>
    <row r="8690" spans="31:31" x14ac:dyDescent="0.25">
      <c r="AE8690">
        <v>39.299999999999997</v>
      </c>
    </row>
    <row r="8691" spans="31:31" x14ac:dyDescent="0.25">
      <c r="AE8691">
        <v>35.33</v>
      </c>
    </row>
    <row r="8692" spans="31:31" x14ac:dyDescent="0.25">
      <c r="AE8692">
        <v>31.01</v>
      </c>
    </row>
    <row r="8693" spans="31:31" x14ac:dyDescent="0.25">
      <c r="AE8693">
        <v>27.8</v>
      </c>
    </row>
    <row r="8694" spans="31:31" x14ac:dyDescent="0.25">
      <c r="AE8694">
        <v>0.18</v>
      </c>
    </row>
    <row r="8695" spans="31:31" x14ac:dyDescent="0.25">
      <c r="AE8695">
        <v>44.38</v>
      </c>
    </row>
    <row r="8696" spans="31:31" x14ac:dyDescent="0.25">
      <c r="AE8696">
        <v>72.209999999999994</v>
      </c>
    </row>
    <row r="8697" spans="31:31" x14ac:dyDescent="0.25">
      <c r="AE8697">
        <v>55.9</v>
      </c>
    </row>
    <row r="8698" spans="31:31" x14ac:dyDescent="0.25">
      <c r="AE8698">
        <v>15.49</v>
      </c>
    </row>
    <row r="8699" spans="31:31" x14ac:dyDescent="0.25">
      <c r="AE8699">
        <v>59.73</v>
      </c>
    </row>
    <row r="8700" spans="31:31" x14ac:dyDescent="0.25">
      <c r="AE8700">
        <v>10.24</v>
      </c>
    </row>
    <row r="8701" spans="31:31" x14ac:dyDescent="0.25">
      <c r="AE8701">
        <v>131.03</v>
      </c>
    </row>
    <row r="8702" spans="31:31" x14ac:dyDescent="0.25">
      <c r="AE8702">
        <v>62.73</v>
      </c>
    </row>
    <row r="8703" spans="31:31" x14ac:dyDescent="0.25">
      <c r="AE8703">
        <v>40.24</v>
      </c>
    </row>
    <row r="8704" spans="31:31" x14ac:dyDescent="0.25">
      <c r="AE8704">
        <v>15.75</v>
      </c>
    </row>
    <row r="8705" spans="31:31" x14ac:dyDescent="0.25">
      <c r="AE8705">
        <v>0.81</v>
      </c>
    </row>
    <row r="8706" spans="31:31" x14ac:dyDescent="0.25">
      <c r="AE8706">
        <v>43.3</v>
      </c>
    </row>
    <row r="8707" spans="31:31" x14ac:dyDescent="0.25">
      <c r="AE8707">
        <v>139.47999999999999</v>
      </c>
    </row>
    <row r="8708" spans="31:31" x14ac:dyDescent="0.25">
      <c r="AE8708">
        <v>13.42</v>
      </c>
    </row>
    <row r="8709" spans="31:31" x14ac:dyDescent="0.25">
      <c r="AE8709">
        <v>10.14</v>
      </c>
    </row>
    <row r="8710" spans="31:31" x14ac:dyDescent="0.25">
      <c r="AE8710">
        <v>25.39</v>
      </c>
    </row>
    <row r="8711" spans="31:31" x14ac:dyDescent="0.25">
      <c r="AE8711">
        <v>123.63</v>
      </c>
    </row>
    <row r="8712" spans="31:31" x14ac:dyDescent="0.25">
      <c r="AE8712">
        <v>32.880000000000003</v>
      </c>
    </row>
    <row r="8713" spans="31:31" x14ac:dyDescent="0.25">
      <c r="AE8713">
        <v>164.66</v>
      </c>
    </row>
    <row r="8714" spans="31:31" x14ac:dyDescent="0.25">
      <c r="AE8714">
        <v>60.52</v>
      </c>
    </row>
    <row r="8715" spans="31:31" x14ac:dyDescent="0.25">
      <c r="AE8715">
        <v>39.25</v>
      </c>
    </row>
    <row r="8716" spans="31:31" x14ac:dyDescent="0.25">
      <c r="AE8716">
        <v>93.4</v>
      </c>
    </row>
    <row r="8717" spans="31:31" x14ac:dyDescent="0.25">
      <c r="AE8717">
        <v>46.5</v>
      </c>
    </row>
    <row r="8718" spans="31:31" x14ac:dyDescent="0.25">
      <c r="AE8718">
        <v>34.380000000000003</v>
      </c>
    </row>
    <row r="8719" spans="31:31" x14ac:dyDescent="0.25">
      <c r="AE8719">
        <v>221.83</v>
      </c>
    </row>
    <row r="8720" spans="31:31" x14ac:dyDescent="0.25">
      <c r="AE8720">
        <v>10.84</v>
      </c>
    </row>
    <row r="8721" spans="31:31" x14ac:dyDescent="0.25">
      <c r="AE8721">
        <v>44.35</v>
      </c>
    </row>
    <row r="8722" spans="31:31" x14ac:dyDescent="0.25">
      <c r="AE8722">
        <v>37.9</v>
      </c>
    </row>
    <row r="8723" spans="31:31" x14ac:dyDescent="0.25">
      <c r="AE8723">
        <v>49.6</v>
      </c>
    </row>
    <row r="8724" spans="31:31" x14ac:dyDescent="0.25">
      <c r="AE8724">
        <v>106.04</v>
      </c>
    </row>
    <row r="8725" spans="31:31" x14ac:dyDescent="0.25">
      <c r="AE8725">
        <v>0.99</v>
      </c>
    </row>
    <row r="8726" spans="31:31" x14ac:dyDescent="0.25">
      <c r="AE8726">
        <v>13.48</v>
      </c>
    </row>
    <row r="8727" spans="31:31" x14ac:dyDescent="0.25">
      <c r="AE8727">
        <v>32.799999999999997</v>
      </c>
    </row>
    <row r="8728" spans="31:31" x14ac:dyDescent="0.25">
      <c r="AE8728">
        <v>24.35</v>
      </c>
    </row>
    <row r="8729" spans="31:31" x14ac:dyDescent="0.25">
      <c r="AE8729">
        <v>3.83</v>
      </c>
    </row>
    <row r="8730" spans="31:31" x14ac:dyDescent="0.25">
      <c r="AE8730">
        <v>77.11</v>
      </c>
    </row>
    <row r="8731" spans="31:31" x14ac:dyDescent="0.25">
      <c r="AE8731">
        <v>58.54</v>
      </c>
    </row>
    <row r="8732" spans="31:31" x14ac:dyDescent="0.25">
      <c r="AE8732">
        <v>49.96</v>
      </c>
    </row>
    <row r="8733" spans="31:31" x14ac:dyDescent="0.25">
      <c r="AE8733">
        <v>8.17</v>
      </c>
    </row>
    <row r="8734" spans="31:31" x14ac:dyDescent="0.25">
      <c r="AE8734">
        <v>40.97</v>
      </c>
    </row>
    <row r="8735" spans="31:31" x14ac:dyDescent="0.25">
      <c r="AE8735">
        <v>101.97</v>
      </c>
    </row>
    <row r="8736" spans="31:31" x14ac:dyDescent="0.25">
      <c r="AE8736">
        <v>88.49</v>
      </c>
    </row>
    <row r="8737" spans="31:31" x14ac:dyDescent="0.25">
      <c r="AE8737">
        <v>41.42</v>
      </c>
    </row>
    <row r="8738" spans="31:31" x14ac:dyDescent="0.25">
      <c r="AE8738">
        <v>38.54</v>
      </c>
    </row>
    <row r="8739" spans="31:31" x14ac:dyDescent="0.25">
      <c r="AE8739">
        <v>20.49</v>
      </c>
    </row>
    <row r="8740" spans="31:31" x14ac:dyDescent="0.25">
      <c r="AE8740">
        <v>48.14</v>
      </c>
    </row>
    <row r="8741" spans="31:31" x14ac:dyDescent="0.25">
      <c r="AE8741">
        <v>37.53</v>
      </c>
    </row>
    <row r="8742" spans="31:31" x14ac:dyDescent="0.25">
      <c r="AE8742">
        <v>52.36</v>
      </c>
    </row>
    <row r="8743" spans="31:31" x14ac:dyDescent="0.25">
      <c r="AE8743">
        <v>42.14</v>
      </c>
    </row>
    <row r="8744" spans="31:31" x14ac:dyDescent="0.25">
      <c r="AE8744">
        <v>56.56</v>
      </c>
    </row>
    <row r="8745" spans="31:31" x14ac:dyDescent="0.25">
      <c r="AE8745">
        <v>136.86000000000001</v>
      </c>
    </row>
    <row r="8746" spans="31:31" x14ac:dyDescent="0.25">
      <c r="AE8746">
        <v>31.43</v>
      </c>
    </row>
    <row r="8747" spans="31:31" x14ac:dyDescent="0.25">
      <c r="AE8747">
        <v>50.55</v>
      </c>
    </row>
    <row r="8748" spans="31:31" x14ac:dyDescent="0.25">
      <c r="AE8748">
        <v>45.54</v>
      </c>
    </row>
    <row r="8749" spans="31:31" x14ac:dyDescent="0.25">
      <c r="AE8749">
        <v>25.22</v>
      </c>
    </row>
    <row r="8750" spans="31:31" x14ac:dyDescent="0.25">
      <c r="AE8750">
        <v>17.059999999999999</v>
      </c>
    </row>
    <row r="8751" spans="31:31" x14ac:dyDescent="0.25">
      <c r="AE8751">
        <v>87.23</v>
      </c>
    </row>
    <row r="8752" spans="31:31" x14ac:dyDescent="0.25">
      <c r="AE8752">
        <v>69.37</v>
      </c>
    </row>
    <row r="8753" spans="31:31" x14ac:dyDescent="0.25">
      <c r="AE8753">
        <v>5.05</v>
      </c>
    </row>
    <row r="8754" spans="31:31" x14ac:dyDescent="0.25">
      <c r="AE8754">
        <v>126.61</v>
      </c>
    </row>
    <row r="8755" spans="31:31" x14ac:dyDescent="0.25">
      <c r="AE8755">
        <v>128.87</v>
      </c>
    </row>
    <row r="8756" spans="31:31" x14ac:dyDescent="0.25">
      <c r="AE8756">
        <v>10.71</v>
      </c>
    </row>
    <row r="8757" spans="31:31" x14ac:dyDescent="0.25">
      <c r="AE8757">
        <v>59.78</v>
      </c>
    </row>
    <row r="8758" spans="31:31" x14ac:dyDescent="0.25">
      <c r="AE8758">
        <v>26.97</v>
      </c>
    </row>
    <row r="8759" spans="31:31" x14ac:dyDescent="0.25">
      <c r="AE8759">
        <v>75.040000000000006</v>
      </c>
    </row>
    <row r="8760" spans="31:31" x14ac:dyDescent="0.25">
      <c r="AE8760">
        <v>20.41</v>
      </c>
    </row>
    <row r="8761" spans="31:31" x14ac:dyDescent="0.25">
      <c r="AE8761">
        <v>128.79</v>
      </c>
    </row>
    <row r="8762" spans="31:31" x14ac:dyDescent="0.25">
      <c r="AE8762">
        <v>24.08</v>
      </c>
    </row>
    <row r="8763" spans="31:31" x14ac:dyDescent="0.25">
      <c r="AE8763">
        <v>119.24</v>
      </c>
    </row>
    <row r="8764" spans="31:31" x14ac:dyDescent="0.25">
      <c r="AE8764">
        <v>25.19</v>
      </c>
    </row>
    <row r="8765" spans="31:31" x14ac:dyDescent="0.25">
      <c r="AE8765">
        <v>34.119999999999997</v>
      </c>
    </row>
    <row r="8766" spans="31:31" x14ac:dyDescent="0.25">
      <c r="AE8766">
        <v>10.24</v>
      </c>
    </row>
    <row r="8767" spans="31:31" x14ac:dyDescent="0.25">
      <c r="AE8767">
        <v>52.65</v>
      </c>
    </row>
    <row r="8768" spans="31:31" x14ac:dyDescent="0.25">
      <c r="AE8768">
        <v>12.29</v>
      </c>
    </row>
    <row r="8769" spans="31:31" x14ac:dyDescent="0.25">
      <c r="AE8769">
        <v>59.73</v>
      </c>
    </row>
    <row r="8770" spans="31:31" x14ac:dyDescent="0.25">
      <c r="AE8770">
        <v>36.51</v>
      </c>
    </row>
    <row r="8771" spans="31:31" x14ac:dyDescent="0.25">
      <c r="AE8771">
        <v>6.1</v>
      </c>
    </row>
    <row r="8772" spans="31:31" x14ac:dyDescent="0.25">
      <c r="AE8772">
        <v>110.48</v>
      </c>
    </row>
    <row r="8773" spans="31:31" x14ac:dyDescent="0.25">
      <c r="AE8773">
        <v>41.87</v>
      </c>
    </row>
    <row r="8774" spans="31:31" x14ac:dyDescent="0.25">
      <c r="AE8774">
        <v>0.36</v>
      </c>
    </row>
    <row r="8775" spans="31:31" x14ac:dyDescent="0.25">
      <c r="AE8775">
        <v>17.71</v>
      </c>
    </row>
    <row r="8776" spans="31:31" x14ac:dyDescent="0.25">
      <c r="AE8776">
        <v>31.43</v>
      </c>
    </row>
    <row r="8777" spans="31:31" x14ac:dyDescent="0.25">
      <c r="AE8777">
        <v>45.01</v>
      </c>
    </row>
    <row r="8778" spans="31:31" x14ac:dyDescent="0.25">
      <c r="AE8778">
        <v>85.64</v>
      </c>
    </row>
    <row r="8779" spans="31:31" x14ac:dyDescent="0.25">
      <c r="AE8779">
        <v>58.99</v>
      </c>
    </row>
    <row r="8780" spans="31:31" x14ac:dyDescent="0.25">
      <c r="AE8780">
        <v>28.95</v>
      </c>
    </row>
    <row r="8781" spans="31:31" x14ac:dyDescent="0.25">
      <c r="AE8781">
        <v>13.59</v>
      </c>
    </row>
    <row r="8782" spans="31:31" x14ac:dyDescent="0.25">
      <c r="AE8782">
        <v>49.14</v>
      </c>
    </row>
    <row r="8783" spans="31:31" x14ac:dyDescent="0.25">
      <c r="AE8783">
        <v>1.44</v>
      </c>
    </row>
    <row r="8784" spans="31:31" x14ac:dyDescent="0.25">
      <c r="AE8784">
        <v>111.5</v>
      </c>
    </row>
    <row r="8785" spans="31:31" x14ac:dyDescent="0.25">
      <c r="AE8785">
        <v>10.19</v>
      </c>
    </row>
    <row r="8786" spans="31:31" x14ac:dyDescent="0.25">
      <c r="AE8786">
        <v>12.45</v>
      </c>
    </row>
    <row r="8787" spans="31:31" x14ac:dyDescent="0.25">
      <c r="AE8787">
        <v>160.13999999999999</v>
      </c>
    </row>
    <row r="8788" spans="31:31" x14ac:dyDescent="0.25">
      <c r="AE8788">
        <v>49.09</v>
      </c>
    </row>
    <row r="8789" spans="31:31" x14ac:dyDescent="0.25">
      <c r="AE8789">
        <v>83.87</v>
      </c>
    </row>
    <row r="8790" spans="31:31" x14ac:dyDescent="0.25">
      <c r="AE8790">
        <v>276.22000000000003</v>
      </c>
    </row>
    <row r="8791" spans="31:31" x14ac:dyDescent="0.25">
      <c r="AE8791">
        <v>41.04</v>
      </c>
    </row>
    <row r="8792" spans="31:31" x14ac:dyDescent="0.25">
      <c r="AE8792">
        <v>37.85</v>
      </c>
    </row>
    <row r="8793" spans="31:31" x14ac:dyDescent="0.25">
      <c r="AE8793">
        <v>67.069999999999993</v>
      </c>
    </row>
    <row r="8794" spans="31:31" x14ac:dyDescent="0.25">
      <c r="AE8794">
        <v>46.06</v>
      </c>
    </row>
    <row r="8795" spans="31:31" x14ac:dyDescent="0.25">
      <c r="AE8795">
        <v>48.69</v>
      </c>
    </row>
    <row r="8796" spans="31:31" x14ac:dyDescent="0.25">
      <c r="AE8796">
        <v>121.92</v>
      </c>
    </row>
    <row r="8797" spans="31:31" x14ac:dyDescent="0.25">
      <c r="AE8797">
        <v>64.180000000000007</v>
      </c>
    </row>
    <row r="8798" spans="31:31" x14ac:dyDescent="0.25">
      <c r="AE8798">
        <v>31.14</v>
      </c>
    </row>
    <row r="8799" spans="31:31" x14ac:dyDescent="0.25">
      <c r="AE8799">
        <v>57.86</v>
      </c>
    </row>
    <row r="8800" spans="31:31" x14ac:dyDescent="0.25">
      <c r="AE8800">
        <v>28.97</v>
      </c>
    </row>
    <row r="8801" spans="31:31" x14ac:dyDescent="0.25">
      <c r="AE8801">
        <v>26.21</v>
      </c>
    </row>
    <row r="8802" spans="31:31" x14ac:dyDescent="0.25">
      <c r="AE8802">
        <v>129.49</v>
      </c>
    </row>
    <row r="8803" spans="31:31" x14ac:dyDescent="0.25">
      <c r="AE8803">
        <v>12.82</v>
      </c>
    </row>
    <row r="8804" spans="31:31" x14ac:dyDescent="0.25">
      <c r="AE8804">
        <v>59.98</v>
      </c>
    </row>
    <row r="8805" spans="31:31" x14ac:dyDescent="0.25">
      <c r="AE8805">
        <v>18.53</v>
      </c>
    </row>
    <row r="8806" spans="31:31" x14ac:dyDescent="0.25">
      <c r="AE8806">
        <v>17.64</v>
      </c>
    </row>
    <row r="8807" spans="31:31" x14ac:dyDescent="0.25">
      <c r="AE8807">
        <v>75.489999999999995</v>
      </c>
    </row>
    <row r="8808" spans="31:31" x14ac:dyDescent="0.25">
      <c r="AE8808">
        <v>87.32</v>
      </c>
    </row>
    <row r="8809" spans="31:31" x14ac:dyDescent="0.25">
      <c r="AE8809">
        <v>79.36</v>
      </c>
    </row>
    <row r="8810" spans="31:31" x14ac:dyDescent="0.25">
      <c r="AE8810">
        <v>102.43</v>
      </c>
    </row>
    <row r="8811" spans="31:31" x14ac:dyDescent="0.25">
      <c r="AE8811">
        <v>29.35</v>
      </c>
    </row>
    <row r="8812" spans="31:31" x14ac:dyDescent="0.25">
      <c r="AE8812">
        <v>55.82</v>
      </c>
    </row>
    <row r="8813" spans="31:31" x14ac:dyDescent="0.25">
      <c r="AE8813">
        <v>8.26</v>
      </c>
    </row>
    <row r="8814" spans="31:31" x14ac:dyDescent="0.25">
      <c r="AE8814">
        <v>135.22999999999999</v>
      </c>
    </row>
    <row r="8815" spans="31:31" x14ac:dyDescent="0.25">
      <c r="AE8815">
        <v>15.83</v>
      </c>
    </row>
    <row r="8816" spans="31:31" x14ac:dyDescent="0.25">
      <c r="AE8816">
        <v>42.79</v>
      </c>
    </row>
    <row r="8817" spans="31:31" x14ac:dyDescent="0.25">
      <c r="AE8817">
        <v>49.08</v>
      </c>
    </row>
    <row r="8818" spans="31:31" x14ac:dyDescent="0.25">
      <c r="AE8818">
        <v>20.07</v>
      </c>
    </row>
    <row r="8819" spans="31:31" x14ac:dyDescent="0.25">
      <c r="AE8819">
        <v>138.68</v>
      </c>
    </row>
    <row r="8820" spans="31:31" x14ac:dyDescent="0.25">
      <c r="AE8820">
        <v>95.22</v>
      </c>
    </row>
    <row r="8821" spans="31:31" x14ac:dyDescent="0.25">
      <c r="AE8821">
        <v>51.58</v>
      </c>
    </row>
    <row r="8822" spans="31:31" x14ac:dyDescent="0.25">
      <c r="AE8822">
        <v>9.99</v>
      </c>
    </row>
    <row r="8823" spans="31:31" x14ac:dyDescent="0.25">
      <c r="AE8823">
        <v>38.51</v>
      </c>
    </row>
    <row r="8824" spans="31:31" x14ac:dyDescent="0.25">
      <c r="AE8824">
        <v>42.57</v>
      </c>
    </row>
    <row r="8825" spans="31:31" x14ac:dyDescent="0.25">
      <c r="AE8825">
        <v>83.89</v>
      </c>
    </row>
    <row r="8826" spans="31:31" x14ac:dyDescent="0.25">
      <c r="AE8826">
        <v>110</v>
      </c>
    </row>
    <row r="8827" spans="31:31" x14ac:dyDescent="0.25">
      <c r="AE8827">
        <v>46.34</v>
      </c>
    </row>
    <row r="8828" spans="31:31" x14ac:dyDescent="0.25">
      <c r="AE8828">
        <v>61.6</v>
      </c>
    </row>
    <row r="8829" spans="31:31" x14ac:dyDescent="0.25">
      <c r="AE8829">
        <v>49.58</v>
      </c>
    </row>
    <row r="8830" spans="31:31" x14ac:dyDescent="0.25">
      <c r="AE8830">
        <v>57.17</v>
      </c>
    </row>
    <row r="8831" spans="31:31" x14ac:dyDescent="0.25">
      <c r="AE8831">
        <v>122.34</v>
      </c>
    </row>
    <row r="8832" spans="31:31" x14ac:dyDescent="0.25">
      <c r="AE8832">
        <v>10.039999999999999</v>
      </c>
    </row>
    <row r="8833" spans="31:31" x14ac:dyDescent="0.25">
      <c r="AE8833">
        <v>313.36</v>
      </c>
    </row>
    <row r="8834" spans="31:31" x14ac:dyDescent="0.25">
      <c r="AE8834">
        <v>40.96</v>
      </c>
    </row>
    <row r="8835" spans="31:31" x14ac:dyDescent="0.25">
      <c r="AE8835">
        <v>312.79000000000002</v>
      </c>
    </row>
    <row r="8836" spans="31:31" x14ac:dyDescent="0.25">
      <c r="AE8836">
        <v>6.18</v>
      </c>
    </row>
    <row r="8837" spans="31:31" x14ac:dyDescent="0.25">
      <c r="AE8837">
        <v>161.69</v>
      </c>
    </row>
    <row r="8838" spans="31:31" x14ac:dyDescent="0.25">
      <c r="AE8838">
        <v>39.69</v>
      </c>
    </row>
    <row r="8839" spans="31:31" x14ac:dyDescent="0.25">
      <c r="AE8839">
        <v>10.19</v>
      </c>
    </row>
    <row r="8840" spans="31:31" x14ac:dyDescent="0.25">
      <c r="AE8840">
        <v>59.76</v>
      </c>
    </row>
    <row r="8841" spans="31:31" x14ac:dyDescent="0.25">
      <c r="AE8841">
        <v>10.19</v>
      </c>
    </row>
    <row r="8842" spans="31:31" x14ac:dyDescent="0.25">
      <c r="AE8842">
        <v>60.23</v>
      </c>
    </row>
    <row r="8843" spans="31:31" x14ac:dyDescent="0.25">
      <c r="AE8843">
        <v>37.450000000000003</v>
      </c>
    </row>
    <row r="8844" spans="31:31" x14ac:dyDescent="0.25">
      <c r="AE8844">
        <v>14.19</v>
      </c>
    </row>
    <row r="8845" spans="31:31" x14ac:dyDescent="0.25">
      <c r="AE8845">
        <v>77.63</v>
      </c>
    </row>
    <row r="8846" spans="31:31" x14ac:dyDescent="0.25">
      <c r="AE8846">
        <v>43.55</v>
      </c>
    </row>
    <row r="8847" spans="31:31" x14ac:dyDescent="0.25">
      <c r="AE8847">
        <v>96.06</v>
      </c>
    </row>
    <row r="8848" spans="31:31" x14ac:dyDescent="0.25">
      <c r="AE8848">
        <v>37.28</v>
      </c>
    </row>
    <row r="8849" spans="31:31" x14ac:dyDescent="0.25">
      <c r="AE8849">
        <v>52.52</v>
      </c>
    </row>
    <row r="8850" spans="31:31" x14ac:dyDescent="0.25">
      <c r="AE8850">
        <v>66.67</v>
      </c>
    </row>
    <row r="8851" spans="31:31" x14ac:dyDescent="0.25">
      <c r="AE8851">
        <v>141.16999999999999</v>
      </c>
    </row>
    <row r="8852" spans="31:31" x14ac:dyDescent="0.25">
      <c r="AE8852">
        <v>48.54</v>
      </c>
    </row>
    <row r="8853" spans="31:31" x14ac:dyDescent="0.25">
      <c r="AE8853">
        <v>27.99</v>
      </c>
    </row>
    <row r="8854" spans="31:31" x14ac:dyDescent="0.25">
      <c r="AE8854">
        <v>53.09</v>
      </c>
    </row>
    <row r="8855" spans="31:31" x14ac:dyDescent="0.25">
      <c r="AE8855">
        <v>40.21</v>
      </c>
    </row>
    <row r="8856" spans="31:31" x14ac:dyDescent="0.25">
      <c r="AE8856">
        <v>20.25</v>
      </c>
    </row>
    <row r="8857" spans="31:31" x14ac:dyDescent="0.25">
      <c r="AE8857">
        <v>28.11</v>
      </c>
    </row>
    <row r="8858" spans="31:31" x14ac:dyDescent="0.25">
      <c r="AE8858">
        <v>8.02</v>
      </c>
    </row>
    <row r="8859" spans="31:31" x14ac:dyDescent="0.25">
      <c r="AE8859">
        <v>10.09</v>
      </c>
    </row>
    <row r="8860" spans="31:31" x14ac:dyDescent="0.25">
      <c r="AE8860">
        <v>132.69</v>
      </c>
    </row>
    <row r="8861" spans="31:31" x14ac:dyDescent="0.25">
      <c r="AE8861">
        <v>3.09</v>
      </c>
    </row>
    <row r="8862" spans="31:31" x14ac:dyDescent="0.25">
      <c r="AE8862">
        <v>20.32</v>
      </c>
    </row>
    <row r="8863" spans="31:31" x14ac:dyDescent="0.25">
      <c r="AE8863">
        <v>8.98</v>
      </c>
    </row>
    <row r="8864" spans="31:31" x14ac:dyDescent="0.25">
      <c r="AE8864">
        <v>33.71</v>
      </c>
    </row>
    <row r="8865" spans="31:31" x14ac:dyDescent="0.25">
      <c r="AE8865">
        <v>49.62</v>
      </c>
    </row>
    <row r="8866" spans="31:31" x14ac:dyDescent="0.25">
      <c r="AE8866">
        <v>94.03</v>
      </c>
    </row>
    <row r="8867" spans="31:31" x14ac:dyDescent="0.25">
      <c r="AE8867">
        <v>261.81</v>
      </c>
    </row>
    <row r="8868" spans="31:31" x14ac:dyDescent="0.25">
      <c r="AE8868">
        <v>52.04</v>
      </c>
    </row>
    <row r="8869" spans="31:31" x14ac:dyDescent="0.25">
      <c r="AE8869">
        <v>34.51</v>
      </c>
    </row>
    <row r="8870" spans="31:31" x14ac:dyDescent="0.25">
      <c r="AE8870">
        <v>67.52</v>
      </c>
    </row>
    <row r="8871" spans="31:31" x14ac:dyDescent="0.25">
      <c r="AE8871">
        <v>91.61</v>
      </c>
    </row>
    <row r="8872" spans="31:31" x14ac:dyDescent="0.25">
      <c r="AE8872">
        <v>33.869999999999997</v>
      </c>
    </row>
    <row r="8873" spans="31:31" x14ac:dyDescent="0.25">
      <c r="AE8873">
        <v>0.83</v>
      </c>
    </row>
    <row r="8874" spans="31:31" x14ac:dyDescent="0.25">
      <c r="AE8874">
        <v>17.98</v>
      </c>
    </row>
    <row r="8875" spans="31:31" x14ac:dyDescent="0.25">
      <c r="AE8875">
        <v>33.21</v>
      </c>
    </row>
    <row r="8876" spans="31:31" x14ac:dyDescent="0.25">
      <c r="AE8876">
        <v>37.36</v>
      </c>
    </row>
    <row r="8877" spans="31:31" x14ac:dyDescent="0.25">
      <c r="AE8877">
        <v>18.940000000000001</v>
      </c>
    </row>
    <row r="8878" spans="31:31" x14ac:dyDescent="0.25">
      <c r="AE8878">
        <v>93.12</v>
      </c>
    </row>
    <row r="8879" spans="31:31" x14ac:dyDescent="0.25">
      <c r="AE8879">
        <v>57.01</v>
      </c>
    </row>
    <row r="8880" spans="31:31" x14ac:dyDescent="0.25">
      <c r="AE8880">
        <v>20.329999999999998</v>
      </c>
    </row>
    <row r="8881" spans="31:31" x14ac:dyDescent="0.25">
      <c r="AE8881">
        <v>14.63</v>
      </c>
    </row>
    <row r="8882" spans="31:31" x14ac:dyDescent="0.25">
      <c r="AE8882">
        <v>105.42</v>
      </c>
    </row>
    <row r="8883" spans="31:31" x14ac:dyDescent="0.25">
      <c r="AE8883">
        <v>28.76</v>
      </c>
    </row>
    <row r="8884" spans="31:31" x14ac:dyDescent="0.25">
      <c r="AE8884">
        <v>58.37</v>
      </c>
    </row>
    <row r="8885" spans="31:31" x14ac:dyDescent="0.25">
      <c r="AE8885">
        <v>13.51</v>
      </c>
    </row>
    <row r="8886" spans="31:31" x14ac:dyDescent="0.25">
      <c r="AE8886">
        <v>13.46</v>
      </c>
    </row>
    <row r="8887" spans="31:31" x14ac:dyDescent="0.25">
      <c r="AE8887">
        <v>25.04</v>
      </c>
    </row>
    <row r="8888" spans="31:31" x14ac:dyDescent="0.25">
      <c r="AE8888">
        <v>76.44</v>
      </c>
    </row>
    <row r="8889" spans="31:31" x14ac:dyDescent="0.25">
      <c r="AE8889">
        <v>52.36</v>
      </c>
    </row>
    <row r="8890" spans="31:31" x14ac:dyDescent="0.25">
      <c r="AE8890">
        <v>32.6</v>
      </c>
    </row>
    <row r="8891" spans="31:31" x14ac:dyDescent="0.25">
      <c r="AE8891">
        <v>23.51</v>
      </c>
    </row>
    <row r="8892" spans="31:31" x14ac:dyDescent="0.25">
      <c r="AE8892">
        <v>16.03</v>
      </c>
    </row>
    <row r="8893" spans="31:31" x14ac:dyDescent="0.25">
      <c r="AE8893">
        <v>28.91</v>
      </c>
    </row>
    <row r="8894" spans="31:31" x14ac:dyDescent="0.25">
      <c r="AE8894">
        <v>155.36000000000001</v>
      </c>
    </row>
    <row r="8895" spans="31:31" x14ac:dyDescent="0.25">
      <c r="AE8895">
        <v>82.79</v>
      </c>
    </row>
    <row r="8896" spans="31:31" x14ac:dyDescent="0.25">
      <c r="AE8896">
        <v>54.5</v>
      </c>
    </row>
    <row r="8897" spans="31:31" x14ac:dyDescent="0.25">
      <c r="AE8897">
        <v>66.16</v>
      </c>
    </row>
    <row r="8898" spans="31:31" x14ac:dyDescent="0.25">
      <c r="AE8898">
        <v>18.36</v>
      </c>
    </row>
    <row r="8899" spans="31:31" x14ac:dyDescent="0.25">
      <c r="AE8899">
        <v>28.85</v>
      </c>
    </row>
    <row r="8900" spans="31:31" x14ac:dyDescent="0.25">
      <c r="AE8900">
        <v>152.33000000000001</v>
      </c>
    </row>
    <row r="8901" spans="31:31" x14ac:dyDescent="0.25">
      <c r="AE8901">
        <v>40.76</v>
      </c>
    </row>
    <row r="8902" spans="31:31" x14ac:dyDescent="0.25">
      <c r="AE8902">
        <v>24.7</v>
      </c>
    </row>
    <row r="8903" spans="31:31" x14ac:dyDescent="0.25">
      <c r="AE8903">
        <v>27.43</v>
      </c>
    </row>
    <row r="8904" spans="31:31" x14ac:dyDescent="0.25">
      <c r="AE8904">
        <v>83.09</v>
      </c>
    </row>
    <row r="8905" spans="31:31" x14ac:dyDescent="0.25">
      <c r="AE8905">
        <v>19.8</v>
      </c>
    </row>
    <row r="8906" spans="31:31" x14ac:dyDescent="0.25">
      <c r="AE8906">
        <v>50.66</v>
      </c>
    </row>
    <row r="8907" spans="31:31" x14ac:dyDescent="0.25">
      <c r="AE8907">
        <v>35.479999999999997</v>
      </c>
    </row>
    <row r="8908" spans="31:31" x14ac:dyDescent="0.25">
      <c r="AE8908">
        <v>26</v>
      </c>
    </row>
    <row r="8909" spans="31:31" x14ac:dyDescent="0.25">
      <c r="AE8909">
        <v>37.71</v>
      </c>
    </row>
    <row r="8910" spans="31:31" x14ac:dyDescent="0.25">
      <c r="AE8910">
        <v>91.44</v>
      </c>
    </row>
    <row r="8911" spans="31:31" x14ac:dyDescent="0.25">
      <c r="AE8911">
        <v>135.56</v>
      </c>
    </row>
    <row r="8912" spans="31:31" x14ac:dyDescent="0.25">
      <c r="AE8912">
        <v>38.4</v>
      </c>
    </row>
    <row r="8913" spans="31:31" x14ac:dyDescent="0.25">
      <c r="AE8913">
        <v>99.07</v>
      </c>
    </row>
    <row r="8914" spans="31:31" x14ac:dyDescent="0.25">
      <c r="AE8914">
        <v>48.43</v>
      </c>
    </row>
    <row r="8915" spans="31:31" x14ac:dyDescent="0.25">
      <c r="AE8915">
        <v>56.54</v>
      </c>
    </row>
    <row r="8916" spans="31:31" x14ac:dyDescent="0.25">
      <c r="AE8916">
        <v>91.72</v>
      </c>
    </row>
    <row r="8917" spans="31:31" x14ac:dyDescent="0.25">
      <c r="AE8917">
        <v>121.41</v>
      </c>
    </row>
    <row r="8918" spans="31:31" x14ac:dyDescent="0.25">
      <c r="AE8918">
        <v>37.049999999999997</v>
      </c>
    </row>
    <row r="8919" spans="31:31" x14ac:dyDescent="0.25">
      <c r="AE8919">
        <v>27.3</v>
      </c>
    </row>
    <row r="8920" spans="31:31" x14ac:dyDescent="0.25">
      <c r="AE8920">
        <v>0.81</v>
      </c>
    </row>
    <row r="8921" spans="31:31" x14ac:dyDescent="0.25">
      <c r="AE8921">
        <v>44.18</v>
      </c>
    </row>
    <row r="8922" spans="31:31" x14ac:dyDescent="0.25">
      <c r="AE8922">
        <v>130.52000000000001</v>
      </c>
    </row>
    <row r="8923" spans="31:31" x14ac:dyDescent="0.25">
      <c r="AE8923">
        <v>0</v>
      </c>
    </row>
    <row r="8924" spans="31:31" x14ac:dyDescent="0.25">
      <c r="AE8924">
        <v>62.77</v>
      </c>
    </row>
    <row r="8925" spans="31:31" x14ac:dyDescent="0.25">
      <c r="AE8925">
        <v>76.37</v>
      </c>
    </row>
    <row r="8926" spans="31:31" x14ac:dyDescent="0.25">
      <c r="AE8926">
        <v>12.44</v>
      </c>
    </row>
    <row r="8927" spans="31:31" x14ac:dyDescent="0.25">
      <c r="AE8927">
        <v>68.73</v>
      </c>
    </row>
    <row r="8928" spans="31:31" x14ac:dyDescent="0.25">
      <c r="AE8928">
        <v>60.58</v>
      </c>
    </row>
    <row r="8929" spans="31:31" x14ac:dyDescent="0.25">
      <c r="AE8929">
        <v>14.8</v>
      </c>
    </row>
    <row r="8930" spans="31:31" x14ac:dyDescent="0.25">
      <c r="AE8930">
        <v>67.72</v>
      </c>
    </row>
    <row r="8931" spans="31:31" x14ac:dyDescent="0.25">
      <c r="AE8931">
        <v>10.09</v>
      </c>
    </row>
    <row r="8932" spans="31:31" x14ac:dyDescent="0.25">
      <c r="AE8932">
        <v>22.47</v>
      </c>
    </row>
    <row r="8933" spans="31:31" x14ac:dyDescent="0.25">
      <c r="AE8933">
        <v>72.41</v>
      </c>
    </row>
    <row r="8934" spans="31:31" x14ac:dyDescent="0.25">
      <c r="AE8934">
        <v>42.29</v>
      </c>
    </row>
    <row r="8935" spans="31:31" x14ac:dyDescent="0.25">
      <c r="AE8935">
        <v>150.16999999999999</v>
      </c>
    </row>
    <row r="8936" spans="31:31" x14ac:dyDescent="0.25">
      <c r="AE8936">
        <v>27.47</v>
      </c>
    </row>
    <row r="8937" spans="31:31" x14ac:dyDescent="0.25">
      <c r="AE8937">
        <v>17.059999999999999</v>
      </c>
    </row>
    <row r="8938" spans="31:31" x14ac:dyDescent="0.25">
      <c r="AE8938">
        <v>18.22</v>
      </c>
    </row>
    <row r="8939" spans="31:31" x14ac:dyDescent="0.25">
      <c r="AE8939">
        <v>24.7</v>
      </c>
    </row>
    <row r="8940" spans="31:31" x14ac:dyDescent="0.25">
      <c r="AE8940">
        <v>34.69</v>
      </c>
    </row>
    <row r="8941" spans="31:31" x14ac:dyDescent="0.25">
      <c r="AE8941">
        <v>17.670000000000002</v>
      </c>
    </row>
    <row r="8942" spans="31:31" x14ac:dyDescent="0.25">
      <c r="AE8942">
        <v>59.89</v>
      </c>
    </row>
    <row r="8943" spans="31:31" x14ac:dyDescent="0.25">
      <c r="AE8943">
        <v>46.49</v>
      </c>
    </row>
    <row r="8944" spans="31:31" x14ac:dyDescent="0.25">
      <c r="AE8944">
        <v>75.650000000000006</v>
      </c>
    </row>
    <row r="8945" spans="31:31" x14ac:dyDescent="0.25">
      <c r="AE8945">
        <v>132.03</v>
      </c>
    </row>
    <row r="8946" spans="31:31" x14ac:dyDescent="0.25">
      <c r="AE8946">
        <v>28.04</v>
      </c>
    </row>
    <row r="8947" spans="31:31" x14ac:dyDescent="0.25">
      <c r="AE8947">
        <v>59.38</v>
      </c>
    </row>
    <row r="8948" spans="31:31" x14ac:dyDescent="0.25">
      <c r="AE8948">
        <v>17.59</v>
      </c>
    </row>
    <row r="8949" spans="31:31" x14ac:dyDescent="0.25">
      <c r="AE8949">
        <v>81.17</v>
      </c>
    </row>
    <row r="8950" spans="31:31" x14ac:dyDescent="0.25">
      <c r="AE8950">
        <v>71.239999999999995</v>
      </c>
    </row>
    <row r="8951" spans="31:31" x14ac:dyDescent="0.25">
      <c r="AE8951">
        <v>47.72</v>
      </c>
    </row>
    <row r="8952" spans="31:31" x14ac:dyDescent="0.25">
      <c r="AE8952">
        <v>85.4</v>
      </c>
    </row>
    <row r="8953" spans="31:31" x14ac:dyDescent="0.25">
      <c r="AE8953">
        <v>44.26</v>
      </c>
    </row>
    <row r="8954" spans="31:31" x14ac:dyDescent="0.25">
      <c r="AE8954">
        <v>288.02</v>
      </c>
    </row>
    <row r="8955" spans="31:31" x14ac:dyDescent="0.25">
      <c r="AE8955">
        <v>0.18</v>
      </c>
    </row>
    <row r="8956" spans="31:31" x14ac:dyDescent="0.25">
      <c r="AE8956">
        <v>159.05000000000001</v>
      </c>
    </row>
    <row r="8957" spans="31:31" x14ac:dyDescent="0.25">
      <c r="AE8957">
        <v>35.06</v>
      </c>
    </row>
    <row r="8958" spans="31:31" x14ac:dyDescent="0.25">
      <c r="AE8958">
        <v>1.81</v>
      </c>
    </row>
    <row r="8959" spans="31:31" x14ac:dyDescent="0.25">
      <c r="AE8959">
        <v>178.94</v>
      </c>
    </row>
    <row r="8960" spans="31:31" x14ac:dyDescent="0.25">
      <c r="AE8960">
        <v>23.41</v>
      </c>
    </row>
    <row r="8961" spans="31:31" x14ac:dyDescent="0.25">
      <c r="AE8961">
        <v>251.21</v>
      </c>
    </row>
    <row r="8962" spans="31:31" x14ac:dyDescent="0.25">
      <c r="AE8962">
        <v>9.57</v>
      </c>
    </row>
    <row r="8963" spans="31:31" x14ac:dyDescent="0.25">
      <c r="AE8963">
        <v>33</v>
      </c>
    </row>
    <row r="8964" spans="31:31" x14ac:dyDescent="0.25">
      <c r="AE8964">
        <v>20.75</v>
      </c>
    </row>
    <row r="8965" spans="31:31" x14ac:dyDescent="0.25">
      <c r="AE8965">
        <v>54.26</v>
      </c>
    </row>
    <row r="8966" spans="31:31" x14ac:dyDescent="0.25">
      <c r="AE8966">
        <v>40.89</v>
      </c>
    </row>
    <row r="8967" spans="31:31" x14ac:dyDescent="0.25">
      <c r="AE8967">
        <v>33.83</v>
      </c>
    </row>
    <row r="8968" spans="31:31" x14ac:dyDescent="0.25">
      <c r="AE8968">
        <v>47.16</v>
      </c>
    </row>
    <row r="8969" spans="31:31" x14ac:dyDescent="0.25">
      <c r="AE8969">
        <v>255.9</v>
      </c>
    </row>
    <row r="8970" spans="31:31" x14ac:dyDescent="0.25">
      <c r="AE8970">
        <v>62.69</v>
      </c>
    </row>
    <row r="8971" spans="31:31" x14ac:dyDescent="0.25">
      <c r="AE8971">
        <v>13.2</v>
      </c>
    </row>
    <row r="8972" spans="31:31" x14ac:dyDescent="0.25">
      <c r="AE8972">
        <v>93.51</v>
      </c>
    </row>
    <row r="8973" spans="31:31" x14ac:dyDescent="0.25">
      <c r="AE8973">
        <v>0.18</v>
      </c>
    </row>
    <row r="8974" spans="31:31" x14ac:dyDescent="0.25">
      <c r="AE8974">
        <v>49.23</v>
      </c>
    </row>
    <row r="8975" spans="31:31" x14ac:dyDescent="0.25">
      <c r="AE8975">
        <v>79.7</v>
      </c>
    </row>
    <row r="8976" spans="31:31" x14ac:dyDescent="0.25">
      <c r="AE8976">
        <v>43.45</v>
      </c>
    </row>
    <row r="8977" spans="31:31" x14ac:dyDescent="0.25">
      <c r="AE8977">
        <v>129.55000000000001</v>
      </c>
    </row>
    <row r="8978" spans="31:31" x14ac:dyDescent="0.25">
      <c r="AE8978">
        <v>64.75</v>
      </c>
    </row>
    <row r="8979" spans="31:31" x14ac:dyDescent="0.25">
      <c r="AE8979">
        <v>10.24</v>
      </c>
    </row>
    <row r="8980" spans="31:31" x14ac:dyDescent="0.25">
      <c r="AE8980">
        <v>7.75</v>
      </c>
    </row>
    <row r="8981" spans="31:31" x14ac:dyDescent="0.25">
      <c r="AE8981">
        <v>65.2</v>
      </c>
    </row>
    <row r="8982" spans="31:31" x14ac:dyDescent="0.25">
      <c r="AE8982">
        <v>85.58</v>
      </c>
    </row>
    <row r="8983" spans="31:31" x14ac:dyDescent="0.25">
      <c r="AE8983">
        <v>64.94</v>
      </c>
    </row>
    <row r="8984" spans="31:31" x14ac:dyDescent="0.25">
      <c r="AE8984">
        <v>38.69</v>
      </c>
    </row>
    <row r="8985" spans="31:31" x14ac:dyDescent="0.25">
      <c r="AE8985">
        <v>74.58</v>
      </c>
    </row>
    <row r="8986" spans="31:31" x14ac:dyDescent="0.25">
      <c r="AE8986">
        <v>48.15</v>
      </c>
    </row>
    <row r="8987" spans="31:31" x14ac:dyDescent="0.25">
      <c r="AE8987">
        <v>52.98</v>
      </c>
    </row>
    <row r="8988" spans="31:31" x14ac:dyDescent="0.25">
      <c r="AE8988">
        <v>52.75</v>
      </c>
    </row>
    <row r="8989" spans="31:31" x14ac:dyDescent="0.25">
      <c r="AE8989">
        <v>70.599999999999994</v>
      </c>
    </row>
    <row r="8990" spans="31:31" x14ac:dyDescent="0.25">
      <c r="AE8990">
        <v>52.55</v>
      </c>
    </row>
    <row r="8991" spans="31:31" x14ac:dyDescent="0.25">
      <c r="AE8991">
        <v>32.700000000000003</v>
      </c>
    </row>
    <row r="8992" spans="31:31" x14ac:dyDescent="0.25">
      <c r="AE8992">
        <v>25.97</v>
      </c>
    </row>
    <row r="8993" spans="31:31" x14ac:dyDescent="0.25">
      <c r="AE8993">
        <v>58.07</v>
      </c>
    </row>
    <row r="8994" spans="31:31" x14ac:dyDescent="0.25">
      <c r="AE8994">
        <v>238.41</v>
      </c>
    </row>
    <row r="8995" spans="31:31" x14ac:dyDescent="0.25">
      <c r="AE8995">
        <v>39.299999999999997</v>
      </c>
    </row>
    <row r="8996" spans="31:31" x14ac:dyDescent="0.25">
      <c r="AE8996">
        <v>19.05</v>
      </c>
    </row>
    <row r="8997" spans="31:31" x14ac:dyDescent="0.25">
      <c r="AE8997">
        <v>89.18</v>
      </c>
    </row>
    <row r="8998" spans="31:31" x14ac:dyDescent="0.25">
      <c r="AE8998">
        <v>52.37</v>
      </c>
    </row>
    <row r="8999" spans="31:31" x14ac:dyDescent="0.25">
      <c r="AE8999">
        <v>43.09</v>
      </c>
    </row>
    <row r="9000" spans="31:31" x14ac:dyDescent="0.25">
      <c r="AE9000">
        <v>69.349999999999994</v>
      </c>
    </row>
    <row r="9001" spans="31:31" x14ac:dyDescent="0.25">
      <c r="AE9001">
        <v>66.64</v>
      </c>
    </row>
    <row r="9002" spans="31:31" x14ac:dyDescent="0.25">
      <c r="AE9002">
        <v>20.11</v>
      </c>
    </row>
    <row r="9003" spans="31:31" x14ac:dyDescent="0.25">
      <c r="AE9003">
        <v>18.920000000000002</v>
      </c>
    </row>
    <row r="9004" spans="31:31" x14ac:dyDescent="0.25">
      <c r="AE9004">
        <v>15.16</v>
      </c>
    </row>
    <row r="9005" spans="31:31" x14ac:dyDescent="0.25">
      <c r="AE9005">
        <v>37.06</v>
      </c>
    </row>
    <row r="9006" spans="31:31" x14ac:dyDescent="0.25">
      <c r="AE9006">
        <v>88.63</v>
      </c>
    </row>
    <row r="9007" spans="31:31" x14ac:dyDescent="0.25">
      <c r="AE9007">
        <v>27.43</v>
      </c>
    </row>
    <row r="9008" spans="31:31" x14ac:dyDescent="0.25">
      <c r="AE9008">
        <v>11.65</v>
      </c>
    </row>
    <row r="9009" spans="31:31" x14ac:dyDescent="0.25">
      <c r="AE9009">
        <v>15.06</v>
      </c>
    </row>
    <row r="9010" spans="31:31" x14ac:dyDescent="0.25">
      <c r="AE9010">
        <v>126.33</v>
      </c>
    </row>
    <row r="9011" spans="31:31" x14ac:dyDescent="0.25">
      <c r="AE9011">
        <v>33.82</v>
      </c>
    </row>
    <row r="9012" spans="31:31" x14ac:dyDescent="0.25">
      <c r="AE9012">
        <v>16.61</v>
      </c>
    </row>
    <row r="9013" spans="31:31" x14ac:dyDescent="0.25">
      <c r="AE9013">
        <v>25.45</v>
      </c>
    </row>
    <row r="9014" spans="31:31" x14ac:dyDescent="0.25">
      <c r="AE9014">
        <v>23.99</v>
      </c>
    </row>
    <row r="9015" spans="31:31" x14ac:dyDescent="0.25">
      <c r="AE9015">
        <v>22.75</v>
      </c>
    </row>
    <row r="9016" spans="31:31" x14ac:dyDescent="0.25">
      <c r="AE9016">
        <v>14.37</v>
      </c>
    </row>
    <row r="9017" spans="31:31" x14ac:dyDescent="0.25">
      <c r="AE9017">
        <v>11.92</v>
      </c>
    </row>
    <row r="9018" spans="31:31" x14ac:dyDescent="0.25">
      <c r="AE9018">
        <v>10.09</v>
      </c>
    </row>
    <row r="9019" spans="31:31" x14ac:dyDescent="0.25">
      <c r="AE9019">
        <v>26.33</v>
      </c>
    </row>
    <row r="9020" spans="31:31" x14ac:dyDescent="0.25">
      <c r="AE9020">
        <v>23.4</v>
      </c>
    </row>
    <row r="9021" spans="31:31" x14ac:dyDescent="0.25">
      <c r="AE9021">
        <v>39.229999999999997</v>
      </c>
    </row>
    <row r="9022" spans="31:31" x14ac:dyDescent="0.25">
      <c r="AE9022">
        <v>18.09</v>
      </c>
    </row>
    <row r="9023" spans="31:31" x14ac:dyDescent="0.25">
      <c r="AE9023">
        <v>52.64</v>
      </c>
    </row>
    <row r="9024" spans="31:31" x14ac:dyDescent="0.25">
      <c r="AE9024">
        <v>32.1</v>
      </c>
    </row>
    <row r="9025" spans="31:31" x14ac:dyDescent="0.25">
      <c r="AE9025">
        <v>71.69</v>
      </c>
    </row>
    <row r="9026" spans="31:31" x14ac:dyDescent="0.25">
      <c r="AE9026">
        <v>59.5</v>
      </c>
    </row>
    <row r="9027" spans="31:31" x14ac:dyDescent="0.25">
      <c r="AE9027">
        <v>181.49</v>
      </c>
    </row>
    <row r="9028" spans="31:31" x14ac:dyDescent="0.25">
      <c r="AE9028">
        <v>32.74</v>
      </c>
    </row>
    <row r="9029" spans="31:31" x14ac:dyDescent="0.25">
      <c r="AE9029">
        <v>23.44</v>
      </c>
    </row>
    <row r="9030" spans="31:31" x14ac:dyDescent="0.25">
      <c r="AE9030">
        <v>45.46</v>
      </c>
    </row>
    <row r="9031" spans="31:31" x14ac:dyDescent="0.25">
      <c r="AE9031">
        <v>144.07</v>
      </c>
    </row>
    <row r="9032" spans="31:31" x14ac:dyDescent="0.25">
      <c r="AE9032">
        <v>161.12</v>
      </c>
    </row>
    <row r="9033" spans="31:31" x14ac:dyDescent="0.25">
      <c r="AE9033">
        <v>38.36</v>
      </c>
    </row>
    <row r="9034" spans="31:31" x14ac:dyDescent="0.25">
      <c r="AE9034">
        <v>21.7</v>
      </c>
    </row>
    <row r="9035" spans="31:31" x14ac:dyDescent="0.25">
      <c r="AE9035">
        <v>12.17</v>
      </c>
    </row>
    <row r="9036" spans="31:31" x14ac:dyDescent="0.25">
      <c r="AE9036">
        <v>62.14</v>
      </c>
    </row>
    <row r="9037" spans="31:31" x14ac:dyDescent="0.25">
      <c r="AE9037">
        <v>89.07</v>
      </c>
    </row>
    <row r="9038" spans="31:31" x14ac:dyDescent="0.25">
      <c r="AE9038">
        <v>43.74</v>
      </c>
    </row>
    <row r="9039" spans="31:31" x14ac:dyDescent="0.25">
      <c r="AE9039">
        <v>20.89</v>
      </c>
    </row>
    <row r="9040" spans="31:31" x14ac:dyDescent="0.25">
      <c r="AE9040">
        <v>44.5</v>
      </c>
    </row>
    <row r="9041" spans="31:31" x14ac:dyDescent="0.25">
      <c r="AE9041">
        <v>40.200000000000003</v>
      </c>
    </row>
    <row r="9042" spans="31:31" x14ac:dyDescent="0.25">
      <c r="AE9042">
        <v>31.56</v>
      </c>
    </row>
    <row r="9043" spans="31:31" x14ac:dyDescent="0.25">
      <c r="AE9043">
        <v>50.25</v>
      </c>
    </row>
    <row r="9044" spans="31:31" x14ac:dyDescent="0.25">
      <c r="AE9044">
        <v>34.090000000000003</v>
      </c>
    </row>
    <row r="9045" spans="31:31" x14ac:dyDescent="0.25">
      <c r="AE9045">
        <v>25.31</v>
      </c>
    </row>
    <row r="9046" spans="31:31" x14ac:dyDescent="0.25">
      <c r="AE9046">
        <v>21.07</v>
      </c>
    </row>
    <row r="9047" spans="31:31" x14ac:dyDescent="0.25">
      <c r="AE9047">
        <v>49.98</v>
      </c>
    </row>
    <row r="9048" spans="31:31" x14ac:dyDescent="0.25">
      <c r="AE9048">
        <v>34.020000000000003</v>
      </c>
    </row>
    <row r="9049" spans="31:31" x14ac:dyDescent="0.25">
      <c r="AE9049">
        <v>18.71</v>
      </c>
    </row>
    <row r="9050" spans="31:31" x14ac:dyDescent="0.25">
      <c r="AE9050">
        <v>23.04</v>
      </c>
    </row>
    <row r="9051" spans="31:31" x14ac:dyDescent="0.25">
      <c r="AE9051">
        <v>29.09</v>
      </c>
    </row>
    <row r="9052" spans="31:31" x14ac:dyDescent="0.25">
      <c r="AE9052">
        <v>15.05</v>
      </c>
    </row>
    <row r="9053" spans="31:31" x14ac:dyDescent="0.25">
      <c r="AE9053">
        <v>36.549999999999997</v>
      </c>
    </row>
    <row r="9054" spans="31:31" x14ac:dyDescent="0.25">
      <c r="AE9054">
        <v>65.78</v>
      </c>
    </row>
    <row r="9055" spans="31:31" x14ac:dyDescent="0.25">
      <c r="AE9055">
        <v>23.73</v>
      </c>
    </row>
    <row r="9056" spans="31:31" x14ac:dyDescent="0.25">
      <c r="AE9056">
        <v>102.42</v>
      </c>
    </row>
    <row r="9057" spans="31:31" x14ac:dyDescent="0.25">
      <c r="AE9057">
        <v>45.35</v>
      </c>
    </row>
    <row r="9058" spans="31:31" x14ac:dyDescent="0.25">
      <c r="AE9058">
        <v>123.86</v>
      </c>
    </row>
    <row r="9059" spans="31:31" x14ac:dyDescent="0.25">
      <c r="AE9059">
        <v>24.88</v>
      </c>
    </row>
    <row r="9060" spans="31:31" x14ac:dyDescent="0.25">
      <c r="AE9060">
        <v>40.92</v>
      </c>
    </row>
    <row r="9061" spans="31:31" x14ac:dyDescent="0.25">
      <c r="AE9061">
        <v>254.2</v>
      </c>
    </row>
    <row r="9062" spans="31:31" x14ac:dyDescent="0.25">
      <c r="AE9062">
        <v>43.17</v>
      </c>
    </row>
    <row r="9063" spans="31:31" x14ac:dyDescent="0.25">
      <c r="AE9063">
        <v>59.81</v>
      </c>
    </row>
    <row r="9064" spans="31:31" x14ac:dyDescent="0.25">
      <c r="AE9064">
        <v>129.24</v>
      </c>
    </row>
    <row r="9065" spans="31:31" x14ac:dyDescent="0.25">
      <c r="AE9065">
        <v>37.299999999999997</v>
      </c>
    </row>
    <row r="9066" spans="31:31" x14ac:dyDescent="0.25">
      <c r="AE9066">
        <v>115.78</v>
      </c>
    </row>
    <row r="9067" spans="31:31" x14ac:dyDescent="0.25">
      <c r="AE9067">
        <v>19.03</v>
      </c>
    </row>
    <row r="9068" spans="31:31" x14ac:dyDescent="0.25">
      <c r="AE9068">
        <v>24.14</v>
      </c>
    </row>
    <row r="9069" spans="31:31" x14ac:dyDescent="0.25">
      <c r="AE9069">
        <v>48.31</v>
      </c>
    </row>
    <row r="9070" spans="31:31" x14ac:dyDescent="0.25">
      <c r="AE9070">
        <v>10.54</v>
      </c>
    </row>
    <row r="9071" spans="31:31" x14ac:dyDescent="0.25">
      <c r="AE9071">
        <v>111.77</v>
      </c>
    </row>
    <row r="9072" spans="31:31" x14ac:dyDescent="0.25">
      <c r="AE9072">
        <v>27.42</v>
      </c>
    </row>
    <row r="9073" spans="31:31" x14ac:dyDescent="0.25">
      <c r="AE9073">
        <v>92.49</v>
      </c>
    </row>
    <row r="9074" spans="31:31" x14ac:dyDescent="0.25">
      <c r="AE9074">
        <v>17.38</v>
      </c>
    </row>
    <row r="9075" spans="31:31" x14ac:dyDescent="0.25">
      <c r="AE9075">
        <v>22.33</v>
      </c>
    </row>
    <row r="9076" spans="31:31" x14ac:dyDescent="0.25">
      <c r="AE9076">
        <v>360.93</v>
      </c>
    </row>
    <row r="9077" spans="31:31" x14ac:dyDescent="0.25">
      <c r="AE9077">
        <v>83.04</v>
      </c>
    </row>
    <row r="9078" spans="31:31" x14ac:dyDescent="0.25">
      <c r="AE9078">
        <v>31.38</v>
      </c>
    </row>
    <row r="9079" spans="31:31" x14ac:dyDescent="0.25">
      <c r="AE9079">
        <v>54.47</v>
      </c>
    </row>
    <row r="9080" spans="31:31" x14ac:dyDescent="0.25">
      <c r="AE9080">
        <v>79.48</v>
      </c>
    </row>
    <row r="9081" spans="31:31" x14ac:dyDescent="0.25">
      <c r="AE9081">
        <v>38.18</v>
      </c>
    </row>
    <row r="9082" spans="31:31" x14ac:dyDescent="0.25">
      <c r="AE9082">
        <v>68.87</v>
      </c>
    </row>
    <row r="9083" spans="31:31" x14ac:dyDescent="0.25">
      <c r="AE9083">
        <v>21.88</v>
      </c>
    </row>
    <row r="9084" spans="31:31" x14ac:dyDescent="0.25">
      <c r="AE9084">
        <v>81.430000000000007</v>
      </c>
    </row>
    <row r="9085" spans="31:31" x14ac:dyDescent="0.25">
      <c r="AE9085">
        <v>114.06</v>
      </c>
    </row>
    <row r="9086" spans="31:31" x14ac:dyDescent="0.25">
      <c r="AE9086">
        <v>58.28</v>
      </c>
    </row>
    <row r="9087" spans="31:31" x14ac:dyDescent="0.25">
      <c r="AE9087">
        <v>33.44</v>
      </c>
    </row>
    <row r="9088" spans="31:31" x14ac:dyDescent="0.25">
      <c r="AE9088">
        <v>21.87</v>
      </c>
    </row>
    <row r="9089" spans="31:31" x14ac:dyDescent="0.25">
      <c r="AE9089">
        <v>36.75</v>
      </c>
    </row>
    <row r="9090" spans="31:31" x14ac:dyDescent="0.25">
      <c r="AE9090">
        <v>11.54</v>
      </c>
    </row>
    <row r="9091" spans="31:31" x14ac:dyDescent="0.25">
      <c r="AE9091">
        <v>10.24</v>
      </c>
    </row>
    <row r="9092" spans="31:31" x14ac:dyDescent="0.25">
      <c r="AE9092">
        <v>20.170000000000002</v>
      </c>
    </row>
    <row r="9093" spans="31:31" x14ac:dyDescent="0.25">
      <c r="AE9093">
        <v>56.57</v>
      </c>
    </row>
    <row r="9094" spans="31:31" x14ac:dyDescent="0.25">
      <c r="AE9094">
        <v>75.09</v>
      </c>
    </row>
    <row r="9095" spans="31:31" x14ac:dyDescent="0.25">
      <c r="AE9095">
        <v>10.19</v>
      </c>
    </row>
    <row r="9096" spans="31:31" x14ac:dyDescent="0.25">
      <c r="AE9096">
        <v>12.4</v>
      </c>
    </row>
    <row r="9097" spans="31:31" x14ac:dyDescent="0.25">
      <c r="AE9097">
        <v>60.85</v>
      </c>
    </row>
    <row r="9098" spans="31:31" x14ac:dyDescent="0.25">
      <c r="AE9098">
        <v>19.760000000000002</v>
      </c>
    </row>
    <row r="9099" spans="31:31" x14ac:dyDescent="0.25">
      <c r="AE9099">
        <v>18.29</v>
      </c>
    </row>
    <row r="9100" spans="31:31" x14ac:dyDescent="0.25">
      <c r="AE9100">
        <v>38.200000000000003</v>
      </c>
    </row>
    <row r="9101" spans="31:31" x14ac:dyDescent="0.25">
      <c r="AE9101">
        <v>17.64</v>
      </c>
    </row>
    <row r="9102" spans="31:31" x14ac:dyDescent="0.25">
      <c r="AE9102">
        <v>125.26</v>
      </c>
    </row>
    <row r="9103" spans="31:31" x14ac:dyDescent="0.25">
      <c r="AE9103">
        <v>26.77</v>
      </c>
    </row>
    <row r="9104" spans="31:31" x14ac:dyDescent="0.25">
      <c r="AE9104">
        <v>22.44</v>
      </c>
    </row>
    <row r="9105" spans="31:31" x14ac:dyDescent="0.25">
      <c r="AE9105">
        <v>46</v>
      </c>
    </row>
    <row r="9106" spans="31:31" x14ac:dyDescent="0.25">
      <c r="AE9106">
        <v>96.54</v>
      </c>
    </row>
    <row r="9107" spans="31:31" x14ac:dyDescent="0.25">
      <c r="AE9107">
        <v>35.03</v>
      </c>
    </row>
    <row r="9108" spans="31:31" x14ac:dyDescent="0.25">
      <c r="AE9108">
        <v>10.039999999999999</v>
      </c>
    </row>
    <row r="9109" spans="31:31" x14ac:dyDescent="0.25">
      <c r="AE9109">
        <v>49.48</v>
      </c>
    </row>
    <row r="9110" spans="31:31" x14ac:dyDescent="0.25">
      <c r="AE9110">
        <v>27.5</v>
      </c>
    </row>
    <row r="9111" spans="31:31" x14ac:dyDescent="0.25">
      <c r="AE9111">
        <v>70.83</v>
      </c>
    </row>
    <row r="9112" spans="31:31" x14ac:dyDescent="0.25">
      <c r="AE9112">
        <v>30.92</v>
      </c>
    </row>
    <row r="9113" spans="31:31" x14ac:dyDescent="0.25">
      <c r="AE9113">
        <v>162.78</v>
      </c>
    </row>
    <row r="9114" spans="31:31" x14ac:dyDescent="0.25">
      <c r="AE9114">
        <v>25.54</v>
      </c>
    </row>
    <row r="9115" spans="31:31" x14ac:dyDescent="0.25">
      <c r="AE9115">
        <v>31.62</v>
      </c>
    </row>
    <row r="9116" spans="31:31" x14ac:dyDescent="0.25">
      <c r="AE9116">
        <v>34.89</v>
      </c>
    </row>
    <row r="9117" spans="31:31" x14ac:dyDescent="0.25">
      <c r="AE9117">
        <v>46.47</v>
      </c>
    </row>
    <row r="9118" spans="31:31" x14ac:dyDescent="0.25">
      <c r="AE9118">
        <v>0.27</v>
      </c>
    </row>
    <row r="9119" spans="31:31" x14ac:dyDescent="0.25">
      <c r="AE9119">
        <v>29.45</v>
      </c>
    </row>
    <row r="9120" spans="31:31" x14ac:dyDescent="0.25">
      <c r="AE9120">
        <v>72.290000000000006</v>
      </c>
    </row>
    <row r="9121" spans="31:31" x14ac:dyDescent="0.25">
      <c r="AE9121">
        <v>203.98</v>
      </c>
    </row>
    <row r="9122" spans="31:31" x14ac:dyDescent="0.25">
      <c r="AE9122">
        <v>39.33</v>
      </c>
    </row>
    <row r="9123" spans="31:31" x14ac:dyDescent="0.25">
      <c r="AE9123">
        <v>81</v>
      </c>
    </row>
    <row r="9124" spans="31:31" x14ac:dyDescent="0.25">
      <c r="AE9124">
        <v>66.05</v>
      </c>
    </row>
    <row r="9125" spans="31:31" x14ac:dyDescent="0.25">
      <c r="AE9125">
        <v>79.260000000000005</v>
      </c>
    </row>
    <row r="9126" spans="31:31" x14ac:dyDescent="0.25">
      <c r="AE9126">
        <v>0.09</v>
      </c>
    </row>
    <row r="9127" spans="31:31" x14ac:dyDescent="0.25">
      <c r="AE9127">
        <v>84.13</v>
      </c>
    </row>
    <row r="9128" spans="31:31" x14ac:dyDescent="0.25">
      <c r="AE9128">
        <v>49.84</v>
      </c>
    </row>
    <row r="9129" spans="31:31" x14ac:dyDescent="0.25">
      <c r="AE9129">
        <v>35.869999999999997</v>
      </c>
    </row>
    <row r="9130" spans="31:31" x14ac:dyDescent="0.25">
      <c r="AE9130">
        <v>43.35</v>
      </c>
    </row>
    <row r="9131" spans="31:31" x14ac:dyDescent="0.25">
      <c r="AE9131">
        <v>161.38999999999999</v>
      </c>
    </row>
    <row r="9132" spans="31:31" x14ac:dyDescent="0.25">
      <c r="AE9132">
        <v>21.32</v>
      </c>
    </row>
    <row r="9133" spans="31:31" x14ac:dyDescent="0.25">
      <c r="AE9133">
        <v>89.91</v>
      </c>
    </row>
    <row r="9134" spans="31:31" x14ac:dyDescent="0.25">
      <c r="AE9134">
        <v>98.12</v>
      </c>
    </row>
    <row r="9135" spans="31:31" x14ac:dyDescent="0.25">
      <c r="AE9135">
        <v>146.08000000000001</v>
      </c>
    </row>
    <row r="9136" spans="31:31" x14ac:dyDescent="0.25">
      <c r="AE9136">
        <v>11.68</v>
      </c>
    </row>
    <row r="9137" spans="31:31" x14ac:dyDescent="0.25">
      <c r="AE9137">
        <v>51.91</v>
      </c>
    </row>
    <row r="9138" spans="31:31" x14ac:dyDescent="0.25">
      <c r="AE9138">
        <v>44.3</v>
      </c>
    </row>
    <row r="9139" spans="31:31" x14ac:dyDescent="0.25">
      <c r="AE9139">
        <v>29.93</v>
      </c>
    </row>
    <row r="9140" spans="31:31" x14ac:dyDescent="0.25">
      <c r="AE9140">
        <v>19.489999999999998</v>
      </c>
    </row>
    <row r="9141" spans="31:31" x14ac:dyDescent="0.25">
      <c r="AE9141">
        <v>71.66</v>
      </c>
    </row>
    <row r="9142" spans="31:31" x14ac:dyDescent="0.25">
      <c r="AE9142">
        <v>26.58</v>
      </c>
    </row>
    <row r="9143" spans="31:31" x14ac:dyDescent="0.25">
      <c r="AE9143">
        <v>0.82</v>
      </c>
    </row>
    <row r="9144" spans="31:31" x14ac:dyDescent="0.25">
      <c r="AE9144">
        <v>64.03</v>
      </c>
    </row>
    <row r="9145" spans="31:31" x14ac:dyDescent="0.25">
      <c r="AE9145">
        <v>50.85</v>
      </c>
    </row>
    <row r="9146" spans="31:31" x14ac:dyDescent="0.25">
      <c r="AE9146">
        <v>72.5</v>
      </c>
    </row>
    <row r="9147" spans="31:31" x14ac:dyDescent="0.25">
      <c r="AE9147">
        <v>122.27</v>
      </c>
    </row>
    <row r="9148" spans="31:31" x14ac:dyDescent="0.25">
      <c r="AE9148">
        <v>35.82</v>
      </c>
    </row>
    <row r="9149" spans="31:31" x14ac:dyDescent="0.25">
      <c r="AE9149">
        <v>10.44</v>
      </c>
    </row>
    <row r="9150" spans="31:31" x14ac:dyDescent="0.25">
      <c r="AE9150">
        <v>20.53</v>
      </c>
    </row>
    <row r="9151" spans="31:31" x14ac:dyDescent="0.25">
      <c r="AE9151">
        <v>14.52</v>
      </c>
    </row>
    <row r="9152" spans="31:31" x14ac:dyDescent="0.25">
      <c r="AE9152">
        <v>52.67</v>
      </c>
    </row>
    <row r="9153" spans="31:31" x14ac:dyDescent="0.25">
      <c r="AE9153">
        <v>11.54</v>
      </c>
    </row>
    <row r="9154" spans="31:31" x14ac:dyDescent="0.25">
      <c r="AE9154">
        <v>39.42</v>
      </c>
    </row>
    <row r="9155" spans="31:31" x14ac:dyDescent="0.25">
      <c r="AE9155">
        <v>32.79</v>
      </c>
    </row>
    <row r="9156" spans="31:31" x14ac:dyDescent="0.25">
      <c r="AE9156">
        <v>57.07</v>
      </c>
    </row>
    <row r="9157" spans="31:31" x14ac:dyDescent="0.25">
      <c r="AE9157">
        <v>21.29</v>
      </c>
    </row>
    <row r="9158" spans="31:31" x14ac:dyDescent="0.25">
      <c r="AE9158">
        <v>19.690000000000001</v>
      </c>
    </row>
    <row r="9159" spans="31:31" x14ac:dyDescent="0.25">
      <c r="AE9159">
        <v>35.880000000000003</v>
      </c>
    </row>
    <row r="9160" spans="31:31" x14ac:dyDescent="0.25">
      <c r="AE9160">
        <v>121.74</v>
      </c>
    </row>
    <row r="9161" spans="31:31" x14ac:dyDescent="0.25">
      <c r="AE9161">
        <v>63.84</v>
      </c>
    </row>
    <row r="9162" spans="31:31" x14ac:dyDescent="0.25">
      <c r="AE9162">
        <v>12.27</v>
      </c>
    </row>
    <row r="9163" spans="31:31" x14ac:dyDescent="0.25">
      <c r="AE9163">
        <v>15.79</v>
      </c>
    </row>
    <row r="9164" spans="31:31" x14ac:dyDescent="0.25">
      <c r="AE9164">
        <v>12.11</v>
      </c>
    </row>
    <row r="9165" spans="31:31" x14ac:dyDescent="0.25">
      <c r="AE9165">
        <v>114.17</v>
      </c>
    </row>
    <row r="9166" spans="31:31" x14ac:dyDescent="0.25">
      <c r="AE9166">
        <v>44.26</v>
      </c>
    </row>
    <row r="9167" spans="31:31" x14ac:dyDescent="0.25">
      <c r="AE9167">
        <v>10.24</v>
      </c>
    </row>
    <row r="9168" spans="31:31" x14ac:dyDescent="0.25">
      <c r="AE9168">
        <v>18.47</v>
      </c>
    </row>
    <row r="9169" spans="31:31" x14ac:dyDescent="0.25">
      <c r="AE9169">
        <v>38.159999999999997</v>
      </c>
    </row>
    <row r="9170" spans="31:31" x14ac:dyDescent="0.25">
      <c r="AE9170">
        <v>68.67</v>
      </c>
    </row>
    <row r="9171" spans="31:31" x14ac:dyDescent="0.25">
      <c r="AE9171">
        <v>38.94</v>
      </c>
    </row>
    <row r="9172" spans="31:31" x14ac:dyDescent="0.25">
      <c r="AE9172">
        <v>30.43</v>
      </c>
    </row>
    <row r="9173" spans="31:31" x14ac:dyDescent="0.25">
      <c r="AE9173">
        <v>29</v>
      </c>
    </row>
    <row r="9174" spans="31:31" x14ac:dyDescent="0.25">
      <c r="AE9174">
        <v>22.21</v>
      </c>
    </row>
    <row r="9175" spans="31:31" x14ac:dyDescent="0.25">
      <c r="AE9175">
        <v>73.010000000000005</v>
      </c>
    </row>
    <row r="9176" spans="31:31" x14ac:dyDescent="0.25">
      <c r="AE9176">
        <v>67.5</v>
      </c>
    </row>
    <row r="9177" spans="31:31" x14ac:dyDescent="0.25">
      <c r="AE9177">
        <v>65.25</v>
      </c>
    </row>
    <row r="9178" spans="31:31" x14ac:dyDescent="0.25">
      <c r="AE9178">
        <v>79</v>
      </c>
    </row>
    <row r="9179" spans="31:31" x14ac:dyDescent="0.25">
      <c r="AE9179">
        <v>33.26</v>
      </c>
    </row>
    <row r="9180" spans="31:31" x14ac:dyDescent="0.25">
      <c r="AE9180">
        <v>40.39</v>
      </c>
    </row>
    <row r="9181" spans="31:31" x14ac:dyDescent="0.25">
      <c r="AE9181">
        <v>156.37</v>
      </c>
    </row>
    <row r="9182" spans="31:31" x14ac:dyDescent="0.25">
      <c r="AE9182">
        <v>49.49</v>
      </c>
    </row>
    <row r="9183" spans="31:31" x14ac:dyDescent="0.25">
      <c r="AE9183">
        <v>88.46</v>
      </c>
    </row>
    <row r="9184" spans="31:31" x14ac:dyDescent="0.25">
      <c r="AE9184">
        <v>21.61</v>
      </c>
    </row>
    <row r="9185" spans="31:31" x14ac:dyDescent="0.25">
      <c r="AE9185">
        <v>23.06</v>
      </c>
    </row>
    <row r="9186" spans="31:31" x14ac:dyDescent="0.25">
      <c r="AE9186">
        <v>37.42</v>
      </c>
    </row>
    <row r="9187" spans="31:31" x14ac:dyDescent="0.25">
      <c r="AE9187">
        <v>50.45</v>
      </c>
    </row>
    <row r="9188" spans="31:31" x14ac:dyDescent="0.25">
      <c r="AE9188">
        <v>30.84</v>
      </c>
    </row>
    <row r="9189" spans="31:31" x14ac:dyDescent="0.25">
      <c r="AE9189">
        <v>20.56</v>
      </c>
    </row>
    <row r="9190" spans="31:31" x14ac:dyDescent="0.25">
      <c r="AE9190">
        <v>42.28</v>
      </c>
    </row>
    <row r="9191" spans="31:31" x14ac:dyDescent="0.25">
      <c r="AE9191">
        <v>20.49</v>
      </c>
    </row>
    <row r="9192" spans="31:31" x14ac:dyDescent="0.25">
      <c r="AE9192">
        <v>19.14</v>
      </c>
    </row>
    <row r="9193" spans="31:31" x14ac:dyDescent="0.25">
      <c r="AE9193">
        <v>16.21</v>
      </c>
    </row>
    <row r="9194" spans="31:31" x14ac:dyDescent="0.25">
      <c r="AE9194">
        <v>45.03</v>
      </c>
    </row>
    <row r="9195" spans="31:31" x14ac:dyDescent="0.25">
      <c r="AE9195">
        <v>10.09</v>
      </c>
    </row>
    <row r="9196" spans="31:31" x14ac:dyDescent="0.25">
      <c r="AE9196">
        <v>0</v>
      </c>
    </row>
    <row r="9197" spans="31:31" x14ac:dyDescent="0.25">
      <c r="AE9197">
        <v>20.34</v>
      </c>
    </row>
    <row r="9198" spans="31:31" x14ac:dyDescent="0.25">
      <c r="AE9198">
        <v>87.32</v>
      </c>
    </row>
    <row r="9199" spans="31:31" x14ac:dyDescent="0.25">
      <c r="AE9199">
        <v>25.08</v>
      </c>
    </row>
    <row r="9200" spans="31:31" x14ac:dyDescent="0.25">
      <c r="AE9200">
        <v>22.83</v>
      </c>
    </row>
    <row r="9201" spans="31:31" x14ac:dyDescent="0.25">
      <c r="AE9201">
        <v>117.03</v>
      </c>
    </row>
    <row r="9202" spans="31:31" x14ac:dyDescent="0.25">
      <c r="AE9202">
        <v>21.86</v>
      </c>
    </row>
    <row r="9203" spans="31:31" x14ac:dyDescent="0.25">
      <c r="AE9203">
        <v>0.18</v>
      </c>
    </row>
    <row r="9204" spans="31:31" x14ac:dyDescent="0.25">
      <c r="AE9204">
        <v>80.38</v>
      </c>
    </row>
    <row r="9205" spans="31:31" x14ac:dyDescent="0.25">
      <c r="AE9205">
        <v>16.21</v>
      </c>
    </row>
    <row r="9206" spans="31:31" x14ac:dyDescent="0.25">
      <c r="AE9206">
        <v>87.07</v>
      </c>
    </row>
    <row r="9207" spans="31:31" x14ac:dyDescent="0.25">
      <c r="AE9207">
        <v>52.71</v>
      </c>
    </row>
    <row r="9208" spans="31:31" x14ac:dyDescent="0.25">
      <c r="AE9208">
        <v>96.93</v>
      </c>
    </row>
    <row r="9209" spans="31:31" x14ac:dyDescent="0.25">
      <c r="AE9209">
        <v>19.3</v>
      </c>
    </row>
    <row r="9210" spans="31:31" x14ac:dyDescent="0.25">
      <c r="AE9210">
        <v>23.22</v>
      </c>
    </row>
    <row r="9211" spans="31:31" x14ac:dyDescent="0.25">
      <c r="AE9211">
        <v>10.14</v>
      </c>
    </row>
    <row r="9212" spans="31:31" x14ac:dyDescent="0.25">
      <c r="AE9212">
        <v>34.96</v>
      </c>
    </row>
    <row r="9213" spans="31:31" x14ac:dyDescent="0.25">
      <c r="AE9213">
        <v>5.64</v>
      </c>
    </row>
    <row r="9214" spans="31:31" x14ac:dyDescent="0.25">
      <c r="AE9214">
        <v>44.47</v>
      </c>
    </row>
    <row r="9215" spans="31:31" x14ac:dyDescent="0.25">
      <c r="AE9215">
        <v>0.93</v>
      </c>
    </row>
    <row r="9216" spans="31:31" x14ac:dyDescent="0.25">
      <c r="AE9216">
        <v>28.29</v>
      </c>
    </row>
    <row r="9217" spans="31:31" x14ac:dyDescent="0.25">
      <c r="AE9217">
        <v>23.79</v>
      </c>
    </row>
    <row r="9218" spans="31:31" x14ac:dyDescent="0.25">
      <c r="AE9218">
        <v>32.21</v>
      </c>
    </row>
    <row r="9219" spans="31:31" x14ac:dyDescent="0.25">
      <c r="AE9219">
        <v>40.75</v>
      </c>
    </row>
    <row r="9220" spans="31:31" x14ac:dyDescent="0.25">
      <c r="AE9220">
        <v>104.92</v>
      </c>
    </row>
    <row r="9221" spans="31:31" x14ac:dyDescent="0.25">
      <c r="AE9221">
        <v>20.309999999999999</v>
      </c>
    </row>
    <row r="9222" spans="31:31" x14ac:dyDescent="0.25">
      <c r="AE9222">
        <v>21.26</v>
      </c>
    </row>
    <row r="9223" spans="31:31" x14ac:dyDescent="0.25">
      <c r="AE9223">
        <v>19.059999999999999</v>
      </c>
    </row>
    <row r="9224" spans="31:31" x14ac:dyDescent="0.25">
      <c r="AE9224">
        <v>15.28</v>
      </c>
    </row>
    <row r="9225" spans="31:31" x14ac:dyDescent="0.25">
      <c r="AE9225">
        <v>10.039999999999999</v>
      </c>
    </row>
    <row r="9226" spans="31:31" x14ac:dyDescent="0.25">
      <c r="AE9226">
        <v>119.51</v>
      </c>
    </row>
    <row r="9227" spans="31:31" x14ac:dyDescent="0.25">
      <c r="AE9227">
        <v>10.47</v>
      </c>
    </row>
    <row r="9228" spans="31:31" x14ac:dyDescent="0.25">
      <c r="AE9228">
        <v>4.32</v>
      </c>
    </row>
    <row r="9229" spans="31:31" x14ac:dyDescent="0.25">
      <c r="AE9229">
        <v>90.26</v>
      </c>
    </row>
    <row r="9230" spans="31:31" x14ac:dyDescent="0.25">
      <c r="AE9230">
        <v>45.65</v>
      </c>
    </row>
    <row r="9231" spans="31:31" x14ac:dyDescent="0.25">
      <c r="AE9231">
        <v>66.42</v>
      </c>
    </row>
    <row r="9232" spans="31:31" x14ac:dyDescent="0.25">
      <c r="AE9232">
        <v>30.83</v>
      </c>
    </row>
    <row r="9233" spans="31:31" x14ac:dyDescent="0.25">
      <c r="AE9233">
        <v>62.39</v>
      </c>
    </row>
    <row r="9234" spans="31:31" x14ac:dyDescent="0.25">
      <c r="AE9234">
        <v>108.85</v>
      </c>
    </row>
    <row r="9235" spans="31:31" x14ac:dyDescent="0.25">
      <c r="AE9235">
        <v>35.71</v>
      </c>
    </row>
    <row r="9236" spans="31:31" x14ac:dyDescent="0.25">
      <c r="AE9236">
        <v>14.13</v>
      </c>
    </row>
    <row r="9237" spans="31:31" x14ac:dyDescent="0.25">
      <c r="AE9237">
        <v>109.72</v>
      </c>
    </row>
    <row r="9238" spans="31:31" x14ac:dyDescent="0.25">
      <c r="AE9238">
        <v>38.549999999999997</v>
      </c>
    </row>
    <row r="9239" spans="31:31" x14ac:dyDescent="0.25">
      <c r="AE9239">
        <v>10.14</v>
      </c>
    </row>
    <row r="9240" spans="31:31" x14ac:dyDescent="0.25">
      <c r="AE9240">
        <v>120.53</v>
      </c>
    </row>
    <row r="9241" spans="31:31" x14ac:dyDescent="0.25">
      <c r="AE9241">
        <v>18.829999999999998</v>
      </c>
    </row>
    <row r="9242" spans="31:31" x14ac:dyDescent="0.25">
      <c r="AE9242">
        <v>33.57</v>
      </c>
    </row>
    <row r="9243" spans="31:31" x14ac:dyDescent="0.25">
      <c r="AE9243">
        <v>53.82</v>
      </c>
    </row>
    <row r="9244" spans="31:31" x14ac:dyDescent="0.25">
      <c r="AE9244">
        <v>34.9</v>
      </c>
    </row>
    <row r="9245" spans="31:31" x14ac:dyDescent="0.25">
      <c r="AE9245">
        <v>66.92</v>
      </c>
    </row>
    <row r="9246" spans="31:31" x14ac:dyDescent="0.25">
      <c r="AE9246">
        <v>129.29</v>
      </c>
    </row>
    <row r="9247" spans="31:31" x14ac:dyDescent="0.25">
      <c r="AE9247">
        <v>10.24</v>
      </c>
    </row>
    <row r="9248" spans="31:31" x14ac:dyDescent="0.25">
      <c r="AE9248">
        <v>19.86</v>
      </c>
    </row>
    <row r="9249" spans="31:31" x14ac:dyDescent="0.25">
      <c r="AE9249">
        <v>10.19</v>
      </c>
    </row>
    <row r="9250" spans="31:31" x14ac:dyDescent="0.25">
      <c r="AE9250">
        <v>24.4</v>
      </c>
    </row>
    <row r="9251" spans="31:31" x14ac:dyDescent="0.25">
      <c r="AE9251">
        <v>20.36</v>
      </c>
    </row>
    <row r="9252" spans="31:31" x14ac:dyDescent="0.25">
      <c r="AE9252">
        <v>0.45</v>
      </c>
    </row>
    <row r="9253" spans="31:31" x14ac:dyDescent="0.25">
      <c r="AE9253">
        <v>75.959999999999994</v>
      </c>
    </row>
    <row r="9254" spans="31:31" x14ac:dyDescent="0.25">
      <c r="AE9254">
        <v>44.32</v>
      </c>
    </row>
    <row r="9255" spans="31:31" x14ac:dyDescent="0.25">
      <c r="AE9255">
        <v>25.33</v>
      </c>
    </row>
    <row r="9256" spans="31:31" x14ac:dyDescent="0.25">
      <c r="AE9256">
        <v>52.79</v>
      </c>
    </row>
    <row r="9257" spans="31:31" x14ac:dyDescent="0.25">
      <c r="AE9257">
        <v>15.36</v>
      </c>
    </row>
    <row r="9258" spans="31:31" x14ac:dyDescent="0.25">
      <c r="AE9258">
        <v>61.49</v>
      </c>
    </row>
    <row r="9259" spans="31:31" x14ac:dyDescent="0.25">
      <c r="AE9259">
        <v>44.46</v>
      </c>
    </row>
    <row r="9260" spans="31:31" x14ac:dyDescent="0.25">
      <c r="AE9260">
        <v>19.78</v>
      </c>
    </row>
    <row r="9261" spans="31:31" x14ac:dyDescent="0.25">
      <c r="AE9261">
        <v>33.36</v>
      </c>
    </row>
    <row r="9262" spans="31:31" x14ac:dyDescent="0.25">
      <c r="AE9262">
        <v>101.06</v>
      </c>
    </row>
    <row r="9263" spans="31:31" x14ac:dyDescent="0.25">
      <c r="AE9263">
        <v>16.399999999999999</v>
      </c>
    </row>
    <row r="9264" spans="31:31" x14ac:dyDescent="0.25">
      <c r="AE9264">
        <v>0.72</v>
      </c>
    </row>
    <row r="9265" spans="31:31" x14ac:dyDescent="0.25">
      <c r="AE9265">
        <v>35.31</v>
      </c>
    </row>
    <row r="9266" spans="31:31" x14ac:dyDescent="0.25">
      <c r="AE9266">
        <v>13.27</v>
      </c>
    </row>
    <row r="9267" spans="31:31" x14ac:dyDescent="0.25">
      <c r="AE9267">
        <v>75.12</v>
      </c>
    </row>
    <row r="9268" spans="31:31" x14ac:dyDescent="0.25">
      <c r="AE9268">
        <v>19.12</v>
      </c>
    </row>
    <row r="9269" spans="31:31" x14ac:dyDescent="0.25">
      <c r="AE9269">
        <v>7.73</v>
      </c>
    </row>
    <row r="9270" spans="31:31" x14ac:dyDescent="0.25">
      <c r="AE9270">
        <v>14.18</v>
      </c>
    </row>
    <row r="9271" spans="31:31" x14ac:dyDescent="0.25">
      <c r="AE9271">
        <v>10.14</v>
      </c>
    </row>
    <row r="9272" spans="31:31" x14ac:dyDescent="0.25">
      <c r="AE9272">
        <v>28.07</v>
      </c>
    </row>
    <row r="9273" spans="31:31" x14ac:dyDescent="0.25">
      <c r="AE9273">
        <v>52.23</v>
      </c>
    </row>
    <row r="9274" spans="31:31" x14ac:dyDescent="0.25">
      <c r="AE9274">
        <v>10.8</v>
      </c>
    </row>
    <row r="9275" spans="31:31" x14ac:dyDescent="0.25">
      <c r="AE9275">
        <v>17.010000000000002</v>
      </c>
    </row>
    <row r="9276" spans="31:31" x14ac:dyDescent="0.25">
      <c r="AE9276">
        <v>32.44</v>
      </c>
    </row>
    <row r="9277" spans="31:31" x14ac:dyDescent="0.25">
      <c r="AE9277">
        <v>24.71</v>
      </c>
    </row>
    <row r="9278" spans="31:31" x14ac:dyDescent="0.25">
      <c r="AE9278">
        <v>111.64</v>
      </c>
    </row>
    <row r="9279" spans="31:31" x14ac:dyDescent="0.25">
      <c r="AE9279">
        <v>39.71</v>
      </c>
    </row>
    <row r="9280" spans="31:31" x14ac:dyDescent="0.25">
      <c r="AE9280">
        <v>48.96</v>
      </c>
    </row>
    <row r="9281" spans="31:31" x14ac:dyDescent="0.25">
      <c r="AE9281">
        <v>92.98</v>
      </c>
    </row>
    <row r="9282" spans="31:31" x14ac:dyDescent="0.25">
      <c r="AE9282">
        <v>86.96</v>
      </c>
    </row>
    <row r="9283" spans="31:31" x14ac:dyDescent="0.25">
      <c r="AE9283">
        <v>17.79</v>
      </c>
    </row>
    <row r="9284" spans="31:31" x14ac:dyDescent="0.25">
      <c r="AE9284">
        <v>228.8</v>
      </c>
    </row>
    <row r="9285" spans="31:31" x14ac:dyDescent="0.25">
      <c r="AE9285">
        <v>72.14</v>
      </c>
    </row>
    <row r="9286" spans="31:31" x14ac:dyDescent="0.25">
      <c r="AE9286">
        <v>13.13</v>
      </c>
    </row>
    <row r="9287" spans="31:31" x14ac:dyDescent="0.25">
      <c r="AE9287">
        <v>42.38</v>
      </c>
    </row>
    <row r="9288" spans="31:31" x14ac:dyDescent="0.25">
      <c r="AE9288">
        <v>26.03</v>
      </c>
    </row>
    <row r="9289" spans="31:31" x14ac:dyDescent="0.25">
      <c r="AE9289">
        <v>39.369999999999997</v>
      </c>
    </row>
    <row r="9290" spans="31:31" x14ac:dyDescent="0.25">
      <c r="AE9290">
        <v>83.98</v>
      </c>
    </row>
    <row r="9291" spans="31:31" x14ac:dyDescent="0.25">
      <c r="AE9291">
        <v>0.18</v>
      </c>
    </row>
    <row r="9292" spans="31:31" x14ac:dyDescent="0.25">
      <c r="AE9292">
        <v>134.69999999999999</v>
      </c>
    </row>
    <row r="9293" spans="31:31" x14ac:dyDescent="0.25">
      <c r="AE9293">
        <v>59.33</v>
      </c>
    </row>
    <row r="9294" spans="31:31" x14ac:dyDescent="0.25">
      <c r="AE9294">
        <v>20.350000000000001</v>
      </c>
    </row>
    <row r="9295" spans="31:31" x14ac:dyDescent="0.25">
      <c r="AE9295">
        <v>13.43</v>
      </c>
    </row>
    <row r="9296" spans="31:31" x14ac:dyDescent="0.25">
      <c r="AE9296">
        <v>51.24</v>
      </c>
    </row>
    <row r="9297" spans="31:31" x14ac:dyDescent="0.25">
      <c r="AE9297">
        <v>24.05</v>
      </c>
    </row>
    <row r="9298" spans="31:31" x14ac:dyDescent="0.25">
      <c r="AE9298">
        <v>62.25</v>
      </c>
    </row>
    <row r="9299" spans="31:31" x14ac:dyDescent="0.25">
      <c r="AE9299">
        <v>25.8</v>
      </c>
    </row>
    <row r="9300" spans="31:31" x14ac:dyDescent="0.25">
      <c r="AE9300">
        <v>33.270000000000003</v>
      </c>
    </row>
    <row r="9301" spans="31:31" x14ac:dyDescent="0.25">
      <c r="AE9301">
        <v>0</v>
      </c>
    </row>
    <row r="9302" spans="31:31" x14ac:dyDescent="0.25">
      <c r="AE9302">
        <v>126.38</v>
      </c>
    </row>
    <row r="9303" spans="31:31" x14ac:dyDescent="0.25">
      <c r="AE9303">
        <v>47.27</v>
      </c>
    </row>
    <row r="9304" spans="31:31" x14ac:dyDescent="0.25">
      <c r="AE9304">
        <v>69.150000000000006</v>
      </c>
    </row>
    <row r="9305" spans="31:31" x14ac:dyDescent="0.25">
      <c r="AE9305">
        <v>88.98</v>
      </c>
    </row>
    <row r="9306" spans="31:31" x14ac:dyDescent="0.25">
      <c r="AE9306">
        <v>129.19999999999999</v>
      </c>
    </row>
    <row r="9307" spans="31:31" x14ac:dyDescent="0.25">
      <c r="AE9307">
        <v>55.36</v>
      </c>
    </row>
    <row r="9308" spans="31:31" x14ac:dyDescent="0.25">
      <c r="AE9308">
        <v>50.94</v>
      </c>
    </row>
    <row r="9309" spans="31:31" x14ac:dyDescent="0.25">
      <c r="AE9309">
        <v>104.86</v>
      </c>
    </row>
    <row r="9310" spans="31:31" x14ac:dyDescent="0.25">
      <c r="AE9310">
        <v>10.24</v>
      </c>
    </row>
    <row r="9311" spans="31:31" x14ac:dyDescent="0.25">
      <c r="AE9311">
        <v>19.02</v>
      </c>
    </row>
    <row r="9312" spans="31:31" x14ac:dyDescent="0.25">
      <c r="AE9312">
        <v>66.739999999999995</v>
      </c>
    </row>
    <row r="9313" spans="31:31" x14ac:dyDescent="0.25">
      <c r="AE9313">
        <v>24.07</v>
      </c>
    </row>
    <row r="9314" spans="31:31" x14ac:dyDescent="0.25">
      <c r="AE9314">
        <v>52.08</v>
      </c>
    </row>
    <row r="9315" spans="31:31" x14ac:dyDescent="0.25">
      <c r="AE9315">
        <v>26.02</v>
      </c>
    </row>
    <row r="9316" spans="31:31" x14ac:dyDescent="0.25">
      <c r="AE9316">
        <v>34.630000000000003</v>
      </c>
    </row>
    <row r="9317" spans="31:31" x14ac:dyDescent="0.25">
      <c r="AE9317">
        <v>276.79000000000002</v>
      </c>
    </row>
    <row r="9318" spans="31:31" x14ac:dyDescent="0.25">
      <c r="AE9318">
        <v>52.03</v>
      </c>
    </row>
    <row r="9319" spans="31:31" x14ac:dyDescent="0.25">
      <c r="AE9319">
        <v>24.7</v>
      </c>
    </row>
    <row r="9320" spans="31:31" x14ac:dyDescent="0.25">
      <c r="AE9320">
        <v>19.899999999999999</v>
      </c>
    </row>
    <row r="9321" spans="31:31" x14ac:dyDescent="0.25">
      <c r="AE9321">
        <v>34.880000000000003</v>
      </c>
    </row>
    <row r="9322" spans="31:31" x14ac:dyDescent="0.25">
      <c r="AE9322">
        <v>21.02</v>
      </c>
    </row>
    <row r="9323" spans="31:31" x14ac:dyDescent="0.25">
      <c r="AE9323">
        <v>135.49</v>
      </c>
    </row>
    <row r="9324" spans="31:31" x14ac:dyDescent="0.25">
      <c r="AE9324">
        <v>28.63</v>
      </c>
    </row>
    <row r="9325" spans="31:31" x14ac:dyDescent="0.25">
      <c r="AE9325">
        <v>66.98</v>
      </c>
    </row>
    <row r="9326" spans="31:31" x14ac:dyDescent="0.25">
      <c r="AE9326">
        <v>74.650000000000006</v>
      </c>
    </row>
    <row r="9327" spans="31:31" x14ac:dyDescent="0.25">
      <c r="AE9327">
        <v>25.6</v>
      </c>
    </row>
    <row r="9328" spans="31:31" x14ac:dyDescent="0.25">
      <c r="AE9328">
        <v>23.76</v>
      </c>
    </row>
    <row r="9329" spans="31:31" x14ac:dyDescent="0.25">
      <c r="AE9329">
        <v>51.63</v>
      </c>
    </row>
    <row r="9330" spans="31:31" x14ac:dyDescent="0.25">
      <c r="AE9330">
        <v>96.39</v>
      </c>
    </row>
    <row r="9331" spans="31:31" x14ac:dyDescent="0.25">
      <c r="AE9331">
        <v>25.23</v>
      </c>
    </row>
    <row r="9332" spans="31:31" x14ac:dyDescent="0.25">
      <c r="AE9332">
        <v>16.079999999999998</v>
      </c>
    </row>
    <row r="9333" spans="31:31" x14ac:dyDescent="0.25">
      <c r="AE9333">
        <v>12.52</v>
      </c>
    </row>
    <row r="9334" spans="31:31" x14ac:dyDescent="0.25">
      <c r="AE9334">
        <v>0.72</v>
      </c>
    </row>
    <row r="9335" spans="31:31" x14ac:dyDescent="0.25">
      <c r="AE9335">
        <v>36.01</v>
      </c>
    </row>
    <row r="9336" spans="31:31" x14ac:dyDescent="0.25">
      <c r="AE9336">
        <v>17.22</v>
      </c>
    </row>
    <row r="9337" spans="31:31" x14ac:dyDescent="0.25">
      <c r="AE9337">
        <v>15.26</v>
      </c>
    </row>
    <row r="9338" spans="31:31" x14ac:dyDescent="0.25">
      <c r="AE9338">
        <v>135.96</v>
      </c>
    </row>
    <row r="9339" spans="31:31" x14ac:dyDescent="0.25">
      <c r="AE9339">
        <v>27.08</v>
      </c>
    </row>
    <row r="9340" spans="31:31" x14ac:dyDescent="0.25">
      <c r="AE9340">
        <v>17.97</v>
      </c>
    </row>
    <row r="9341" spans="31:31" x14ac:dyDescent="0.25">
      <c r="AE9341">
        <v>33.979999999999997</v>
      </c>
    </row>
    <row r="9342" spans="31:31" x14ac:dyDescent="0.25">
      <c r="AE9342">
        <v>118.47</v>
      </c>
    </row>
    <row r="9343" spans="31:31" x14ac:dyDescent="0.25">
      <c r="AE9343">
        <v>10.14</v>
      </c>
    </row>
    <row r="9344" spans="31:31" x14ac:dyDescent="0.25">
      <c r="AE9344">
        <v>0.27</v>
      </c>
    </row>
    <row r="9345" spans="31:31" x14ac:dyDescent="0.25">
      <c r="AE9345">
        <v>73.42</v>
      </c>
    </row>
    <row r="9346" spans="31:31" x14ac:dyDescent="0.25">
      <c r="AE9346">
        <v>77.89</v>
      </c>
    </row>
    <row r="9347" spans="31:31" x14ac:dyDescent="0.25">
      <c r="AE9347">
        <v>97.91</v>
      </c>
    </row>
    <row r="9348" spans="31:31" x14ac:dyDescent="0.25">
      <c r="AE9348">
        <v>29.67</v>
      </c>
    </row>
    <row r="9349" spans="31:31" x14ac:dyDescent="0.25">
      <c r="AE9349">
        <v>39.130000000000003</v>
      </c>
    </row>
    <row r="9350" spans="31:31" x14ac:dyDescent="0.25">
      <c r="AE9350">
        <v>35.22</v>
      </c>
    </row>
    <row r="9351" spans="31:31" x14ac:dyDescent="0.25">
      <c r="AE9351">
        <v>37.14</v>
      </c>
    </row>
    <row r="9352" spans="31:31" x14ac:dyDescent="0.25">
      <c r="AE9352">
        <v>56.6</v>
      </c>
    </row>
    <row r="9353" spans="31:31" x14ac:dyDescent="0.25">
      <c r="AE9353">
        <v>53.76</v>
      </c>
    </row>
    <row r="9354" spans="31:31" x14ac:dyDescent="0.25">
      <c r="AE9354">
        <v>51.86</v>
      </c>
    </row>
    <row r="9355" spans="31:31" x14ac:dyDescent="0.25">
      <c r="AE9355">
        <v>118.09</v>
      </c>
    </row>
    <row r="9356" spans="31:31" x14ac:dyDescent="0.25">
      <c r="AE9356">
        <v>109.51</v>
      </c>
    </row>
    <row r="9357" spans="31:31" x14ac:dyDescent="0.25">
      <c r="AE9357">
        <v>42.61</v>
      </c>
    </row>
    <row r="9358" spans="31:31" x14ac:dyDescent="0.25">
      <c r="AE9358">
        <v>64.650000000000006</v>
      </c>
    </row>
    <row r="9359" spans="31:31" x14ac:dyDescent="0.25">
      <c r="AE9359">
        <v>20.65</v>
      </c>
    </row>
    <row r="9360" spans="31:31" x14ac:dyDescent="0.25">
      <c r="AE9360">
        <v>13.39</v>
      </c>
    </row>
    <row r="9361" spans="31:31" x14ac:dyDescent="0.25">
      <c r="AE9361">
        <v>82.42</v>
      </c>
    </row>
    <row r="9362" spans="31:31" x14ac:dyDescent="0.25">
      <c r="AE9362">
        <v>54.93</v>
      </c>
    </row>
    <row r="9363" spans="31:31" x14ac:dyDescent="0.25">
      <c r="AE9363">
        <v>88.68</v>
      </c>
    </row>
    <row r="9364" spans="31:31" x14ac:dyDescent="0.25">
      <c r="AE9364">
        <v>14.64</v>
      </c>
    </row>
    <row r="9365" spans="31:31" x14ac:dyDescent="0.25">
      <c r="AE9365">
        <v>32.369999999999997</v>
      </c>
    </row>
    <row r="9366" spans="31:31" x14ac:dyDescent="0.25">
      <c r="AE9366">
        <v>41.21</v>
      </c>
    </row>
    <row r="9367" spans="31:31" x14ac:dyDescent="0.25">
      <c r="AE9367">
        <v>36.54</v>
      </c>
    </row>
    <row r="9368" spans="31:31" x14ac:dyDescent="0.25">
      <c r="AE9368">
        <v>10.09</v>
      </c>
    </row>
    <row r="9369" spans="31:31" x14ac:dyDescent="0.25">
      <c r="AE9369">
        <v>57.93</v>
      </c>
    </row>
    <row r="9370" spans="31:31" x14ac:dyDescent="0.25">
      <c r="AE9370">
        <v>204.53</v>
      </c>
    </row>
    <row r="9371" spans="31:31" x14ac:dyDescent="0.25">
      <c r="AE9371">
        <v>14.75</v>
      </c>
    </row>
    <row r="9372" spans="31:31" x14ac:dyDescent="0.25">
      <c r="AE9372">
        <v>59.01</v>
      </c>
    </row>
    <row r="9373" spans="31:31" x14ac:dyDescent="0.25">
      <c r="AE9373">
        <v>15.41</v>
      </c>
    </row>
    <row r="9374" spans="31:31" x14ac:dyDescent="0.25">
      <c r="AE9374">
        <v>29.43</v>
      </c>
    </row>
    <row r="9375" spans="31:31" x14ac:dyDescent="0.25">
      <c r="AE9375">
        <v>0.27</v>
      </c>
    </row>
    <row r="9376" spans="31:31" x14ac:dyDescent="0.25">
      <c r="AE9376">
        <v>23.49</v>
      </c>
    </row>
    <row r="9377" spans="31:31" x14ac:dyDescent="0.25">
      <c r="AE9377">
        <v>12.41</v>
      </c>
    </row>
    <row r="9378" spans="31:31" x14ac:dyDescent="0.25">
      <c r="AE9378">
        <v>54.99</v>
      </c>
    </row>
    <row r="9379" spans="31:31" x14ac:dyDescent="0.25">
      <c r="AE9379">
        <v>12.33</v>
      </c>
    </row>
    <row r="9380" spans="31:31" x14ac:dyDescent="0.25">
      <c r="AE9380">
        <v>53.64</v>
      </c>
    </row>
    <row r="9381" spans="31:31" x14ac:dyDescent="0.25">
      <c r="AE9381">
        <v>215.1</v>
      </c>
    </row>
    <row r="9382" spans="31:31" x14ac:dyDescent="0.25">
      <c r="AE9382">
        <v>12.4</v>
      </c>
    </row>
    <row r="9383" spans="31:31" x14ac:dyDescent="0.25">
      <c r="AE9383">
        <v>127.03</v>
      </c>
    </row>
    <row r="9384" spans="31:31" x14ac:dyDescent="0.25">
      <c r="AE9384">
        <v>138.31</v>
      </c>
    </row>
    <row r="9385" spans="31:31" x14ac:dyDescent="0.25">
      <c r="AE9385">
        <v>41.57</v>
      </c>
    </row>
    <row r="9386" spans="31:31" x14ac:dyDescent="0.25">
      <c r="AE9386">
        <v>45.43</v>
      </c>
    </row>
    <row r="9387" spans="31:31" x14ac:dyDescent="0.25">
      <c r="AE9387">
        <v>16.34</v>
      </c>
    </row>
    <row r="9388" spans="31:31" x14ac:dyDescent="0.25">
      <c r="AE9388">
        <v>28.61</v>
      </c>
    </row>
    <row r="9389" spans="31:31" x14ac:dyDescent="0.25">
      <c r="AE9389">
        <v>105.86</v>
      </c>
    </row>
    <row r="9390" spans="31:31" x14ac:dyDescent="0.25">
      <c r="AE9390">
        <v>69.45</v>
      </c>
    </row>
    <row r="9391" spans="31:31" x14ac:dyDescent="0.25">
      <c r="AE9391">
        <v>22.58</v>
      </c>
    </row>
    <row r="9392" spans="31:31" x14ac:dyDescent="0.25">
      <c r="AE9392">
        <v>185.98</v>
      </c>
    </row>
    <row r="9393" spans="31:31" x14ac:dyDescent="0.25">
      <c r="AE9393">
        <v>159.25</v>
      </c>
    </row>
    <row r="9394" spans="31:31" x14ac:dyDescent="0.25">
      <c r="AE9394">
        <v>10.19</v>
      </c>
    </row>
    <row r="9395" spans="31:31" x14ac:dyDescent="0.25">
      <c r="AE9395">
        <v>34.72</v>
      </c>
    </row>
    <row r="9396" spans="31:31" x14ac:dyDescent="0.25">
      <c r="AE9396">
        <v>58.5</v>
      </c>
    </row>
    <row r="9397" spans="31:31" x14ac:dyDescent="0.25">
      <c r="AE9397">
        <v>82.02</v>
      </c>
    </row>
    <row r="9398" spans="31:31" x14ac:dyDescent="0.25">
      <c r="AE9398">
        <v>22.63</v>
      </c>
    </row>
    <row r="9399" spans="31:31" x14ac:dyDescent="0.25">
      <c r="AE9399">
        <v>81.44</v>
      </c>
    </row>
    <row r="9400" spans="31:31" x14ac:dyDescent="0.25">
      <c r="AE9400">
        <v>31.79</v>
      </c>
    </row>
    <row r="9401" spans="31:31" x14ac:dyDescent="0.25">
      <c r="AE9401">
        <v>29.44</v>
      </c>
    </row>
    <row r="9402" spans="31:31" x14ac:dyDescent="0.25">
      <c r="AE9402">
        <v>138.25</v>
      </c>
    </row>
    <row r="9403" spans="31:31" x14ac:dyDescent="0.25">
      <c r="AE9403">
        <v>24.01</v>
      </c>
    </row>
    <row r="9404" spans="31:31" x14ac:dyDescent="0.25">
      <c r="AE9404">
        <v>26.46</v>
      </c>
    </row>
    <row r="9405" spans="31:31" x14ac:dyDescent="0.25">
      <c r="AE9405">
        <v>26.46</v>
      </c>
    </row>
    <row r="9406" spans="31:31" x14ac:dyDescent="0.25">
      <c r="AE9406">
        <v>75.14</v>
      </c>
    </row>
    <row r="9407" spans="31:31" x14ac:dyDescent="0.25">
      <c r="AE9407">
        <v>70.599999999999994</v>
      </c>
    </row>
    <row r="9408" spans="31:31" x14ac:dyDescent="0.25">
      <c r="AE9408">
        <v>77.400000000000006</v>
      </c>
    </row>
    <row r="9409" spans="31:31" x14ac:dyDescent="0.25">
      <c r="AE9409">
        <v>35</v>
      </c>
    </row>
    <row r="9410" spans="31:31" x14ac:dyDescent="0.25">
      <c r="AE9410">
        <v>16.38</v>
      </c>
    </row>
    <row r="9411" spans="31:31" x14ac:dyDescent="0.25">
      <c r="AE9411">
        <v>22.81</v>
      </c>
    </row>
    <row r="9412" spans="31:31" x14ac:dyDescent="0.25">
      <c r="AE9412">
        <v>52.29</v>
      </c>
    </row>
    <row r="9413" spans="31:31" x14ac:dyDescent="0.25">
      <c r="AE9413">
        <v>112.93</v>
      </c>
    </row>
    <row r="9414" spans="31:31" x14ac:dyDescent="0.25">
      <c r="AE9414">
        <v>3.72</v>
      </c>
    </row>
    <row r="9415" spans="31:31" x14ac:dyDescent="0.25">
      <c r="AE9415">
        <v>137.75</v>
      </c>
    </row>
    <row r="9416" spans="31:31" x14ac:dyDescent="0.25">
      <c r="AE9416">
        <v>22.39</v>
      </c>
    </row>
    <row r="9417" spans="31:31" x14ac:dyDescent="0.25">
      <c r="AE9417">
        <v>81.599999999999994</v>
      </c>
    </row>
    <row r="9418" spans="31:31" x14ac:dyDescent="0.25">
      <c r="AE9418">
        <v>67.34</v>
      </c>
    </row>
    <row r="9419" spans="31:31" x14ac:dyDescent="0.25">
      <c r="AE9419">
        <v>182.97</v>
      </c>
    </row>
    <row r="9420" spans="31:31" x14ac:dyDescent="0.25">
      <c r="AE9420">
        <v>34.17</v>
      </c>
    </row>
    <row r="9421" spans="31:31" x14ac:dyDescent="0.25">
      <c r="AE9421">
        <v>56.99</v>
      </c>
    </row>
    <row r="9422" spans="31:31" x14ac:dyDescent="0.25">
      <c r="AE9422">
        <v>26.08</v>
      </c>
    </row>
    <row r="9423" spans="31:31" x14ac:dyDescent="0.25">
      <c r="AE9423">
        <v>101.03</v>
      </c>
    </row>
    <row r="9424" spans="31:31" x14ac:dyDescent="0.25">
      <c r="AE9424">
        <v>22.76</v>
      </c>
    </row>
    <row r="9425" spans="31:31" x14ac:dyDescent="0.25">
      <c r="AE9425">
        <v>124.91</v>
      </c>
    </row>
    <row r="9426" spans="31:31" x14ac:dyDescent="0.25">
      <c r="AE9426">
        <v>4.88</v>
      </c>
    </row>
    <row r="9427" spans="31:31" x14ac:dyDescent="0.25">
      <c r="AE9427">
        <v>29.1</v>
      </c>
    </row>
    <row r="9428" spans="31:31" x14ac:dyDescent="0.25">
      <c r="AE9428">
        <v>22.69</v>
      </c>
    </row>
    <row r="9429" spans="31:31" x14ac:dyDescent="0.25">
      <c r="AE9429">
        <v>23.5</v>
      </c>
    </row>
    <row r="9430" spans="31:31" x14ac:dyDescent="0.25">
      <c r="AE9430">
        <v>8.16</v>
      </c>
    </row>
    <row r="9431" spans="31:31" x14ac:dyDescent="0.25">
      <c r="AE9431">
        <v>49.62</v>
      </c>
    </row>
    <row r="9432" spans="31:31" x14ac:dyDescent="0.25">
      <c r="AE9432">
        <v>120.14</v>
      </c>
    </row>
    <row r="9433" spans="31:31" x14ac:dyDescent="0.25">
      <c r="AE9433">
        <v>21.52</v>
      </c>
    </row>
    <row r="9434" spans="31:31" x14ac:dyDescent="0.25">
      <c r="AE9434">
        <v>60.63</v>
      </c>
    </row>
    <row r="9435" spans="31:31" x14ac:dyDescent="0.25">
      <c r="AE9435">
        <v>217.17</v>
      </c>
    </row>
    <row r="9436" spans="31:31" x14ac:dyDescent="0.25">
      <c r="AE9436">
        <v>45.64</v>
      </c>
    </row>
    <row r="9437" spans="31:31" x14ac:dyDescent="0.25">
      <c r="AE9437">
        <v>23.05</v>
      </c>
    </row>
    <row r="9438" spans="31:31" x14ac:dyDescent="0.25">
      <c r="AE9438">
        <v>40.19</v>
      </c>
    </row>
    <row r="9439" spans="31:31" x14ac:dyDescent="0.25">
      <c r="AE9439">
        <v>56.98</v>
      </c>
    </row>
    <row r="9440" spans="31:31" x14ac:dyDescent="0.25">
      <c r="AE9440">
        <v>17.100000000000001</v>
      </c>
    </row>
    <row r="9441" spans="31:31" x14ac:dyDescent="0.25">
      <c r="AE9441">
        <v>24.6</v>
      </c>
    </row>
    <row r="9442" spans="31:31" x14ac:dyDescent="0.25">
      <c r="AE9442">
        <v>18.850000000000001</v>
      </c>
    </row>
    <row r="9443" spans="31:31" x14ac:dyDescent="0.25">
      <c r="AE9443">
        <v>28.39</v>
      </c>
    </row>
    <row r="9444" spans="31:31" x14ac:dyDescent="0.25">
      <c r="AE9444">
        <v>54.78</v>
      </c>
    </row>
    <row r="9445" spans="31:31" x14ac:dyDescent="0.25">
      <c r="AE9445">
        <v>1</v>
      </c>
    </row>
    <row r="9446" spans="31:31" x14ac:dyDescent="0.25">
      <c r="AE9446">
        <v>83.51</v>
      </c>
    </row>
    <row r="9447" spans="31:31" x14ac:dyDescent="0.25">
      <c r="AE9447">
        <v>130.46</v>
      </c>
    </row>
    <row r="9448" spans="31:31" x14ac:dyDescent="0.25">
      <c r="AE9448">
        <v>27.46</v>
      </c>
    </row>
    <row r="9449" spans="31:31" x14ac:dyDescent="0.25">
      <c r="AE9449">
        <v>26.66</v>
      </c>
    </row>
    <row r="9450" spans="31:31" x14ac:dyDescent="0.25">
      <c r="AE9450">
        <v>63.56</v>
      </c>
    </row>
    <row r="9451" spans="31:31" x14ac:dyDescent="0.25">
      <c r="AE9451">
        <v>47.08</v>
      </c>
    </row>
    <row r="9452" spans="31:31" x14ac:dyDescent="0.25">
      <c r="AE9452">
        <v>70.83</v>
      </c>
    </row>
    <row r="9453" spans="31:31" x14ac:dyDescent="0.25">
      <c r="AE9453">
        <v>13.9</v>
      </c>
    </row>
    <row r="9454" spans="31:31" x14ac:dyDescent="0.25">
      <c r="AE9454">
        <v>23.12</v>
      </c>
    </row>
    <row r="9455" spans="31:31" x14ac:dyDescent="0.25">
      <c r="AE9455">
        <v>44.58</v>
      </c>
    </row>
    <row r="9456" spans="31:31" x14ac:dyDescent="0.25">
      <c r="AE9456">
        <v>29.5</v>
      </c>
    </row>
    <row r="9457" spans="31:31" x14ac:dyDescent="0.25">
      <c r="AE9457">
        <v>126.09</v>
      </c>
    </row>
    <row r="9458" spans="31:31" x14ac:dyDescent="0.25">
      <c r="AE9458">
        <v>21.66</v>
      </c>
    </row>
    <row r="9459" spans="31:31" x14ac:dyDescent="0.25">
      <c r="AE9459">
        <v>71.33</v>
      </c>
    </row>
    <row r="9460" spans="31:31" x14ac:dyDescent="0.25">
      <c r="AE9460">
        <v>38.69</v>
      </c>
    </row>
    <row r="9461" spans="31:31" x14ac:dyDescent="0.25">
      <c r="AE9461">
        <v>13.2</v>
      </c>
    </row>
    <row r="9462" spans="31:31" x14ac:dyDescent="0.25">
      <c r="AE9462">
        <v>58.02</v>
      </c>
    </row>
    <row r="9463" spans="31:31" x14ac:dyDescent="0.25">
      <c r="AE9463">
        <v>35.549999999999997</v>
      </c>
    </row>
    <row r="9464" spans="31:31" x14ac:dyDescent="0.25">
      <c r="AE9464">
        <v>14.98</v>
      </c>
    </row>
    <row r="9465" spans="31:31" x14ac:dyDescent="0.25">
      <c r="AE9465">
        <v>153.16</v>
      </c>
    </row>
    <row r="9466" spans="31:31" x14ac:dyDescent="0.25">
      <c r="AE9466">
        <v>27.57</v>
      </c>
    </row>
    <row r="9467" spans="31:31" x14ac:dyDescent="0.25">
      <c r="AE9467">
        <v>15.23</v>
      </c>
    </row>
    <row r="9468" spans="31:31" x14ac:dyDescent="0.25">
      <c r="AE9468">
        <v>9.02</v>
      </c>
    </row>
    <row r="9469" spans="31:31" x14ac:dyDescent="0.25">
      <c r="AE9469">
        <v>18.61</v>
      </c>
    </row>
    <row r="9470" spans="31:31" x14ac:dyDescent="0.25">
      <c r="AE9470">
        <v>3.83</v>
      </c>
    </row>
    <row r="9471" spans="31:31" x14ac:dyDescent="0.25">
      <c r="AE9471">
        <v>61.06</v>
      </c>
    </row>
    <row r="9472" spans="31:31" x14ac:dyDescent="0.25">
      <c r="AE9472">
        <v>313.02999999999997</v>
      </c>
    </row>
    <row r="9473" spans="31:31" x14ac:dyDescent="0.25">
      <c r="AE9473">
        <v>60.48</v>
      </c>
    </row>
    <row r="9474" spans="31:31" x14ac:dyDescent="0.25">
      <c r="AE9474">
        <v>14.97</v>
      </c>
    </row>
    <row r="9475" spans="31:31" x14ac:dyDescent="0.25">
      <c r="AE9475">
        <v>18.77</v>
      </c>
    </row>
    <row r="9476" spans="31:31" x14ac:dyDescent="0.25">
      <c r="AE9476">
        <v>27.33</v>
      </c>
    </row>
    <row r="9477" spans="31:31" x14ac:dyDescent="0.25">
      <c r="AE9477">
        <v>85.51</v>
      </c>
    </row>
    <row r="9478" spans="31:31" x14ac:dyDescent="0.25">
      <c r="AE9478">
        <v>99.67</v>
      </c>
    </row>
    <row r="9479" spans="31:31" x14ac:dyDescent="0.25">
      <c r="AE9479">
        <v>34.64</v>
      </c>
    </row>
    <row r="9480" spans="31:31" x14ac:dyDescent="0.25">
      <c r="AE9480">
        <v>139.5</v>
      </c>
    </row>
    <row r="9481" spans="31:31" x14ac:dyDescent="0.25">
      <c r="AE9481">
        <v>9.24</v>
      </c>
    </row>
    <row r="9482" spans="31:31" x14ac:dyDescent="0.25">
      <c r="AE9482">
        <v>44.06</v>
      </c>
    </row>
    <row r="9483" spans="31:31" x14ac:dyDescent="0.25">
      <c r="AE9483">
        <v>30.29</v>
      </c>
    </row>
    <row r="9484" spans="31:31" x14ac:dyDescent="0.25">
      <c r="AE9484">
        <v>0.81</v>
      </c>
    </row>
    <row r="9485" spans="31:31" x14ac:dyDescent="0.25">
      <c r="AE9485">
        <v>56.16</v>
      </c>
    </row>
    <row r="9486" spans="31:31" x14ac:dyDescent="0.25">
      <c r="AE9486">
        <v>0.27</v>
      </c>
    </row>
    <row r="9487" spans="31:31" x14ac:dyDescent="0.25">
      <c r="AE9487">
        <v>27.11</v>
      </c>
    </row>
    <row r="9488" spans="31:31" x14ac:dyDescent="0.25">
      <c r="AE9488">
        <v>59.42</v>
      </c>
    </row>
    <row r="9489" spans="31:31" x14ac:dyDescent="0.25">
      <c r="AE9489">
        <v>36.72</v>
      </c>
    </row>
    <row r="9490" spans="31:31" x14ac:dyDescent="0.25">
      <c r="AE9490">
        <v>58.71</v>
      </c>
    </row>
    <row r="9491" spans="31:31" x14ac:dyDescent="0.25">
      <c r="AE9491">
        <v>71.31</v>
      </c>
    </row>
    <row r="9492" spans="31:31" x14ac:dyDescent="0.25">
      <c r="AE9492">
        <v>1.17</v>
      </c>
    </row>
    <row r="9493" spans="31:31" x14ac:dyDescent="0.25">
      <c r="AE9493">
        <v>131.18</v>
      </c>
    </row>
    <row r="9494" spans="31:31" x14ac:dyDescent="0.25">
      <c r="AE9494">
        <v>9.0299999999999994</v>
      </c>
    </row>
    <row r="9495" spans="31:31" x14ac:dyDescent="0.25">
      <c r="AE9495">
        <v>105.89</v>
      </c>
    </row>
    <row r="9496" spans="31:31" x14ac:dyDescent="0.25">
      <c r="AE9496">
        <v>47.42</v>
      </c>
    </row>
    <row r="9497" spans="31:31" x14ac:dyDescent="0.25">
      <c r="AE9497">
        <v>35.76</v>
      </c>
    </row>
    <row r="9498" spans="31:31" x14ac:dyDescent="0.25">
      <c r="AE9498">
        <v>53.07</v>
      </c>
    </row>
    <row r="9499" spans="31:31" x14ac:dyDescent="0.25">
      <c r="AE9499">
        <v>135.28</v>
      </c>
    </row>
    <row r="9500" spans="31:31" x14ac:dyDescent="0.25">
      <c r="AE9500">
        <v>28.06</v>
      </c>
    </row>
    <row r="9501" spans="31:31" x14ac:dyDescent="0.25">
      <c r="AE9501">
        <v>63.84</v>
      </c>
    </row>
    <row r="9502" spans="31:31" x14ac:dyDescent="0.25">
      <c r="AE9502">
        <v>154.94</v>
      </c>
    </row>
    <row r="9503" spans="31:31" x14ac:dyDescent="0.25">
      <c r="AE9503">
        <v>160.53</v>
      </c>
    </row>
    <row r="9504" spans="31:31" x14ac:dyDescent="0.25">
      <c r="AE9504">
        <v>54.15</v>
      </c>
    </row>
    <row r="9505" spans="31:31" x14ac:dyDescent="0.25">
      <c r="AE9505">
        <v>47.92</v>
      </c>
    </row>
    <row r="9506" spans="31:31" x14ac:dyDescent="0.25">
      <c r="AE9506">
        <v>33.96</v>
      </c>
    </row>
    <row r="9507" spans="31:31" x14ac:dyDescent="0.25">
      <c r="AE9507">
        <v>61.76</v>
      </c>
    </row>
    <row r="9508" spans="31:31" x14ac:dyDescent="0.25">
      <c r="AE9508">
        <v>33.85</v>
      </c>
    </row>
    <row r="9509" spans="31:31" x14ac:dyDescent="0.25">
      <c r="AE9509">
        <v>25.94</v>
      </c>
    </row>
    <row r="9510" spans="31:31" x14ac:dyDescent="0.25">
      <c r="AE9510">
        <v>50.14</v>
      </c>
    </row>
    <row r="9511" spans="31:31" x14ac:dyDescent="0.25">
      <c r="AE9511">
        <v>0.18</v>
      </c>
    </row>
    <row r="9512" spans="31:31" x14ac:dyDescent="0.25">
      <c r="AE9512">
        <v>22.81</v>
      </c>
    </row>
    <row r="9513" spans="31:31" x14ac:dyDescent="0.25">
      <c r="AE9513">
        <v>130.97</v>
      </c>
    </row>
    <row r="9514" spans="31:31" x14ac:dyDescent="0.25">
      <c r="AE9514">
        <v>17.8</v>
      </c>
    </row>
    <row r="9515" spans="31:31" x14ac:dyDescent="0.25">
      <c r="AE9515">
        <v>0.18</v>
      </c>
    </row>
    <row r="9516" spans="31:31" x14ac:dyDescent="0.25">
      <c r="AE9516">
        <v>17.05</v>
      </c>
    </row>
    <row r="9517" spans="31:31" x14ac:dyDescent="0.25">
      <c r="AE9517">
        <v>46.07</v>
      </c>
    </row>
    <row r="9518" spans="31:31" x14ac:dyDescent="0.25">
      <c r="AE9518">
        <v>91.22</v>
      </c>
    </row>
    <row r="9519" spans="31:31" x14ac:dyDescent="0.25">
      <c r="AE9519">
        <v>59.51</v>
      </c>
    </row>
    <row r="9520" spans="31:31" x14ac:dyDescent="0.25">
      <c r="AE9520">
        <v>20.94</v>
      </c>
    </row>
    <row r="9521" spans="31:31" x14ac:dyDescent="0.25">
      <c r="AE9521">
        <v>42.24</v>
      </c>
    </row>
    <row r="9522" spans="31:31" x14ac:dyDescent="0.25">
      <c r="AE9522">
        <v>38.07</v>
      </c>
    </row>
    <row r="9523" spans="31:31" x14ac:dyDescent="0.25">
      <c r="AE9523">
        <v>91.77</v>
      </c>
    </row>
    <row r="9524" spans="31:31" x14ac:dyDescent="0.25">
      <c r="AE9524">
        <v>13.1</v>
      </c>
    </row>
    <row r="9525" spans="31:31" x14ac:dyDescent="0.25">
      <c r="AE9525">
        <v>20.78</v>
      </c>
    </row>
    <row r="9526" spans="31:31" x14ac:dyDescent="0.25">
      <c r="AE9526">
        <v>27.3</v>
      </c>
    </row>
    <row r="9527" spans="31:31" x14ac:dyDescent="0.25">
      <c r="AE9527">
        <v>154.68</v>
      </c>
    </row>
    <row r="9528" spans="31:31" x14ac:dyDescent="0.25">
      <c r="AE9528">
        <v>30.85</v>
      </c>
    </row>
    <row r="9529" spans="31:31" x14ac:dyDescent="0.25">
      <c r="AE9529">
        <v>60.11</v>
      </c>
    </row>
    <row r="9530" spans="31:31" x14ac:dyDescent="0.25">
      <c r="AE9530">
        <v>10.19</v>
      </c>
    </row>
    <row r="9531" spans="31:31" x14ac:dyDescent="0.25">
      <c r="AE9531">
        <v>43.56</v>
      </c>
    </row>
    <row r="9532" spans="31:31" x14ac:dyDescent="0.25">
      <c r="AE9532">
        <v>13.34</v>
      </c>
    </row>
    <row r="9533" spans="31:31" x14ac:dyDescent="0.25">
      <c r="AE9533">
        <v>76.97</v>
      </c>
    </row>
    <row r="9534" spans="31:31" x14ac:dyDescent="0.25">
      <c r="AE9534">
        <v>41.05</v>
      </c>
    </row>
    <row r="9535" spans="31:31" x14ac:dyDescent="0.25">
      <c r="AE9535">
        <v>4.01</v>
      </c>
    </row>
    <row r="9536" spans="31:31" x14ac:dyDescent="0.25">
      <c r="AE9536">
        <v>98.91</v>
      </c>
    </row>
    <row r="9537" spans="31:31" x14ac:dyDescent="0.25">
      <c r="AE9537">
        <v>52.24</v>
      </c>
    </row>
    <row r="9538" spans="31:31" x14ac:dyDescent="0.25">
      <c r="AE9538">
        <v>64.709999999999994</v>
      </c>
    </row>
    <row r="9539" spans="31:31" x14ac:dyDescent="0.25">
      <c r="AE9539">
        <v>0.63</v>
      </c>
    </row>
    <row r="9540" spans="31:31" x14ac:dyDescent="0.25">
      <c r="AE9540">
        <v>46.13</v>
      </c>
    </row>
    <row r="9541" spans="31:31" x14ac:dyDescent="0.25">
      <c r="AE9541">
        <v>84.77</v>
      </c>
    </row>
    <row r="9542" spans="31:31" x14ac:dyDescent="0.25">
      <c r="AE9542">
        <v>28.88</v>
      </c>
    </row>
    <row r="9543" spans="31:31" x14ac:dyDescent="0.25">
      <c r="AE9543">
        <v>272.2</v>
      </c>
    </row>
    <row r="9544" spans="31:31" x14ac:dyDescent="0.25">
      <c r="AE9544">
        <v>38.28</v>
      </c>
    </row>
    <row r="9545" spans="31:31" x14ac:dyDescent="0.25">
      <c r="AE9545">
        <v>116.76</v>
      </c>
    </row>
    <row r="9546" spans="31:31" x14ac:dyDescent="0.25">
      <c r="AE9546">
        <v>90</v>
      </c>
    </row>
    <row r="9547" spans="31:31" x14ac:dyDescent="0.25">
      <c r="AE9547">
        <v>77.02</v>
      </c>
    </row>
    <row r="9548" spans="31:31" x14ac:dyDescent="0.25">
      <c r="AE9548">
        <v>5.59</v>
      </c>
    </row>
    <row r="9549" spans="31:31" x14ac:dyDescent="0.25">
      <c r="AE9549">
        <v>9.99</v>
      </c>
    </row>
    <row r="9550" spans="31:31" x14ac:dyDescent="0.25">
      <c r="AE9550">
        <v>102.89</v>
      </c>
    </row>
    <row r="9551" spans="31:31" x14ac:dyDescent="0.25">
      <c r="AE9551">
        <v>75.7</v>
      </c>
    </row>
    <row r="9552" spans="31:31" x14ac:dyDescent="0.25">
      <c r="AE9552">
        <v>37.1</v>
      </c>
    </row>
    <row r="9553" spans="31:31" x14ac:dyDescent="0.25">
      <c r="AE9553">
        <v>119.76</v>
      </c>
    </row>
    <row r="9554" spans="31:31" x14ac:dyDescent="0.25">
      <c r="AE9554">
        <v>54.28</v>
      </c>
    </row>
    <row r="9555" spans="31:31" x14ac:dyDescent="0.25">
      <c r="AE9555">
        <v>1.85</v>
      </c>
    </row>
    <row r="9556" spans="31:31" x14ac:dyDescent="0.25">
      <c r="AE9556">
        <v>10.97</v>
      </c>
    </row>
    <row r="9557" spans="31:31" x14ac:dyDescent="0.25">
      <c r="AE9557">
        <v>6.39</v>
      </c>
    </row>
    <row r="9558" spans="31:31" x14ac:dyDescent="0.25">
      <c r="AE9558">
        <v>97.01</v>
      </c>
    </row>
    <row r="9559" spans="31:31" x14ac:dyDescent="0.25">
      <c r="AE9559">
        <v>25.28</v>
      </c>
    </row>
    <row r="9560" spans="31:31" x14ac:dyDescent="0.25">
      <c r="AE9560">
        <v>41.61</v>
      </c>
    </row>
    <row r="9561" spans="31:31" x14ac:dyDescent="0.25">
      <c r="AE9561">
        <v>27.65</v>
      </c>
    </row>
    <row r="9562" spans="31:31" x14ac:dyDescent="0.25">
      <c r="AE9562">
        <v>33.020000000000003</v>
      </c>
    </row>
    <row r="9563" spans="31:31" x14ac:dyDescent="0.25">
      <c r="AE9563">
        <v>121.4</v>
      </c>
    </row>
    <row r="9564" spans="31:31" x14ac:dyDescent="0.25">
      <c r="AE9564">
        <v>80.25</v>
      </c>
    </row>
    <row r="9565" spans="31:31" x14ac:dyDescent="0.25">
      <c r="AE9565">
        <v>68.55</v>
      </c>
    </row>
    <row r="9566" spans="31:31" x14ac:dyDescent="0.25">
      <c r="AE9566">
        <v>29.11</v>
      </c>
    </row>
    <row r="9567" spans="31:31" x14ac:dyDescent="0.25">
      <c r="AE9567">
        <v>52.11</v>
      </c>
    </row>
    <row r="9568" spans="31:31" x14ac:dyDescent="0.25">
      <c r="AE9568">
        <v>48.07</v>
      </c>
    </row>
    <row r="9569" spans="31:31" x14ac:dyDescent="0.25">
      <c r="AE9569">
        <v>37.6</v>
      </c>
    </row>
    <row r="9570" spans="31:31" x14ac:dyDescent="0.25">
      <c r="AE9570">
        <v>152.84</v>
      </c>
    </row>
    <row r="9571" spans="31:31" x14ac:dyDescent="0.25">
      <c r="AE9571">
        <v>56.95</v>
      </c>
    </row>
    <row r="9572" spans="31:31" x14ac:dyDescent="0.25">
      <c r="AE9572">
        <v>10.19</v>
      </c>
    </row>
    <row r="9573" spans="31:31" x14ac:dyDescent="0.25">
      <c r="AE9573">
        <v>75.3</v>
      </c>
    </row>
    <row r="9574" spans="31:31" x14ac:dyDescent="0.25">
      <c r="AE9574">
        <v>65.03</v>
      </c>
    </row>
    <row r="9575" spans="31:31" x14ac:dyDescent="0.25">
      <c r="AE9575">
        <v>28.05</v>
      </c>
    </row>
    <row r="9576" spans="31:31" x14ac:dyDescent="0.25">
      <c r="AE9576">
        <v>25.55</v>
      </c>
    </row>
    <row r="9577" spans="31:31" x14ac:dyDescent="0.25">
      <c r="AE9577">
        <v>106.06</v>
      </c>
    </row>
    <row r="9578" spans="31:31" x14ac:dyDescent="0.25">
      <c r="AE9578">
        <v>10.64</v>
      </c>
    </row>
    <row r="9579" spans="31:31" x14ac:dyDescent="0.25">
      <c r="AE9579">
        <v>46.95</v>
      </c>
    </row>
    <row r="9580" spans="31:31" x14ac:dyDescent="0.25">
      <c r="AE9580">
        <v>55.42</v>
      </c>
    </row>
    <row r="9581" spans="31:31" x14ac:dyDescent="0.25">
      <c r="AE9581">
        <v>37.979999999999997</v>
      </c>
    </row>
    <row r="9582" spans="31:31" x14ac:dyDescent="0.25">
      <c r="AE9582">
        <v>104.99</v>
      </c>
    </row>
    <row r="9583" spans="31:31" x14ac:dyDescent="0.25">
      <c r="AE9583">
        <v>80.75</v>
      </c>
    </row>
    <row r="9584" spans="31:31" x14ac:dyDescent="0.25">
      <c r="AE9584">
        <v>34.6</v>
      </c>
    </row>
    <row r="9585" spans="31:31" x14ac:dyDescent="0.25">
      <c r="AE9585">
        <v>59.77</v>
      </c>
    </row>
    <row r="9586" spans="31:31" x14ac:dyDescent="0.25">
      <c r="AE9586">
        <v>32.32</v>
      </c>
    </row>
    <row r="9587" spans="31:31" x14ac:dyDescent="0.25">
      <c r="AE9587">
        <v>42</v>
      </c>
    </row>
    <row r="9588" spans="31:31" x14ac:dyDescent="0.25">
      <c r="AE9588">
        <v>38.99</v>
      </c>
    </row>
    <row r="9589" spans="31:31" x14ac:dyDescent="0.25">
      <c r="AE9589">
        <v>63.32</v>
      </c>
    </row>
    <row r="9590" spans="31:31" x14ac:dyDescent="0.25">
      <c r="AE9590">
        <v>34.4</v>
      </c>
    </row>
    <row r="9591" spans="31:31" x14ac:dyDescent="0.25">
      <c r="AE9591">
        <v>25.73</v>
      </c>
    </row>
    <row r="9592" spans="31:31" x14ac:dyDescent="0.25">
      <c r="AE9592">
        <v>22.9</v>
      </c>
    </row>
    <row r="9593" spans="31:31" x14ac:dyDescent="0.25">
      <c r="AE9593">
        <v>107.79</v>
      </c>
    </row>
    <row r="9594" spans="31:31" x14ac:dyDescent="0.25">
      <c r="AE9594">
        <v>27.48</v>
      </c>
    </row>
    <row r="9595" spans="31:31" x14ac:dyDescent="0.25">
      <c r="AE9595">
        <v>69.95</v>
      </c>
    </row>
    <row r="9596" spans="31:31" x14ac:dyDescent="0.25">
      <c r="AE9596">
        <v>83.69</v>
      </c>
    </row>
    <row r="9597" spans="31:31" x14ac:dyDescent="0.25">
      <c r="AE9597">
        <v>111.45</v>
      </c>
    </row>
    <row r="9598" spans="31:31" x14ac:dyDescent="0.25">
      <c r="AE9598">
        <v>40.9</v>
      </c>
    </row>
    <row r="9599" spans="31:31" x14ac:dyDescent="0.25">
      <c r="AE9599">
        <v>124.43</v>
      </c>
    </row>
    <row r="9600" spans="31:31" x14ac:dyDescent="0.25">
      <c r="AE9600">
        <v>23.86</v>
      </c>
    </row>
    <row r="9601" spans="31:31" x14ac:dyDescent="0.25">
      <c r="AE9601">
        <v>26.23</v>
      </c>
    </row>
    <row r="9602" spans="31:31" x14ac:dyDescent="0.25">
      <c r="AE9602">
        <v>73.680000000000007</v>
      </c>
    </row>
    <row r="9603" spans="31:31" x14ac:dyDescent="0.25">
      <c r="AE9603">
        <v>134.26</v>
      </c>
    </row>
    <row r="9604" spans="31:31" x14ac:dyDescent="0.25">
      <c r="AE9604">
        <v>2.4500000000000002</v>
      </c>
    </row>
    <row r="9605" spans="31:31" x14ac:dyDescent="0.25">
      <c r="AE9605">
        <v>52.16</v>
      </c>
    </row>
    <row r="9606" spans="31:31" x14ac:dyDescent="0.25">
      <c r="AE9606">
        <v>14.03</v>
      </c>
    </row>
    <row r="9607" spans="31:31" x14ac:dyDescent="0.25">
      <c r="AE9607">
        <v>26.72</v>
      </c>
    </row>
    <row r="9608" spans="31:31" x14ac:dyDescent="0.25">
      <c r="AE9608">
        <v>53.56</v>
      </c>
    </row>
    <row r="9609" spans="31:31" x14ac:dyDescent="0.25">
      <c r="AE9609">
        <v>53</v>
      </c>
    </row>
    <row r="9610" spans="31:31" x14ac:dyDescent="0.25">
      <c r="AE9610">
        <v>121.17</v>
      </c>
    </row>
    <row r="9611" spans="31:31" x14ac:dyDescent="0.25">
      <c r="AE9611">
        <v>93.41</v>
      </c>
    </row>
    <row r="9612" spans="31:31" x14ac:dyDescent="0.25">
      <c r="AE9612">
        <v>24.52</v>
      </c>
    </row>
    <row r="9613" spans="31:31" x14ac:dyDescent="0.25">
      <c r="AE9613">
        <v>25.56</v>
      </c>
    </row>
    <row r="9614" spans="31:31" x14ac:dyDescent="0.25">
      <c r="AE9614">
        <v>59.2</v>
      </c>
    </row>
    <row r="9615" spans="31:31" x14ac:dyDescent="0.25">
      <c r="AE9615">
        <v>141.5</v>
      </c>
    </row>
    <row r="9616" spans="31:31" x14ac:dyDescent="0.25">
      <c r="AE9616">
        <v>21.21</v>
      </c>
    </row>
    <row r="9617" spans="31:31" x14ac:dyDescent="0.25">
      <c r="AE9617">
        <v>116.88</v>
      </c>
    </row>
    <row r="9618" spans="31:31" x14ac:dyDescent="0.25">
      <c r="AE9618">
        <v>10.039999999999999</v>
      </c>
    </row>
    <row r="9619" spans="31:31" x14ac:dyDescent="0.25">
      <c r="AE9619">
        <v>27.32</v>
      </c>
    </row>
    <row r="9620" spans="31:31" x14ac:dyDescent="0.25">
      <c r="AE9620">
        <v>115.38</v>
      </c>
    </row>
    <row r="9621" spans="31:31" x14ac:dyDescent="0.25">
      <c r="AE9621">
        <v>20.82</v>
      </c>
    </row>
    <row r="9622" spans="31:31" x14ac:dyDescent="0.25">
      <c r="AE9622">
        <v>92.6</v>
      </c>
    </row>
    <row r="9623" spans="31:31" x14ac:dyDescent="0.25">
      <c r="AE9623">
        <v>12.82</v>
      </c>
    </row>
    <row r="9624" spans="31:31" x14ac:dyDescent="0.25">
      <c r="AE9624">
        <v>25.25</v>
      </c>
    </row>
    <row r="9625" spans="31:31" x14ac:dyDescent="0.25">
      <c r="AE9625">
        <v>32.119999999999997</v>
      </c>
    </row>
    <row r="9626" spans="31:31" x14ac:dyDescent="0.25">
      <c r="AE9626">
        <v>59.13</v>
      </c>
    </row>
    <row r="9627" spans="31:31" x14ac:dyDescent="0.25">
      <c r="AE9627">
        <v>180.63</v>
      </c>
    </row>
    <row r="9628" spans="31:31" x14ac:dyDescent="0.25">
      <c r="AE9628">
        <v>104.11</v>
      </c>
    </row>
    <row r="9629" spans="31:31" x14ac:dyDescent="0.25">
      <c r="AE9629">
        <v>16.8</v>
      </c>
    </row>
    <row r="9630" spans="31:31" x14ac:dyDescent="0.25">
      <c r="AE9630">
        <v>10.59</v>
      </c>
    </row>
    <row r="9631" spans="31:31" x14ac:dyDescent="0.25">
      <c r="AE9631">
        <v>24.9</v>
      </c>
    </row>
    <row r="9632" spans="31:31" x14ac:dyDescent="0.25">
      <c r="AE9632">
        <v>42.36</v>
      </c>
    </row>
    <row r="9633" spans="31:31" x14ac:dyDescent="0.25">
      <c r="AE9633">
        <v>306.69</v>
      </c>
    </row>
    <row r="9634" spans="31:31" x14ac:dyDescent="0.25">
      <c r="AE9634">
        <v>20.36</v>
      </c>
    </row>
    <row r="9635" spans="31:31" x14ac:dyDescent="0.25">
      <c r="AE9635">
        <v>44.64</v>
      </c>
    </row>
    <row r="9636" spans="31:31" x14ac:dyDescent="0.25">
      <c r="AE9636">
        <v>26.37</v>
      </c>
    </row>
    <row r="9637" spans="31:31" x14ac:dyDescent="0.25">
      <c r="AE9637">
        <v>53.37</v>
      </c>
    </row>
    <row r="9638" spans="31:31" x14ac:dyDescent="0.25">
      <c r="AE9638">
        <v>15.26</v>
      </c>
    </row>
    <row r="9639" spans="31:31" x14ac:dyDescent="0.25">
      <c r="AE9639">
        <v>15.76</v>
      </c>
    </row>
    <row r="9640" spans="31:31" x14ac:dyDescent="0.25">
      <c r="AE9640">
        <v>2.27</v>
      </c>
    </row>
    <row r="9641" spans="31:31" x14ac:dyDescent="0.25">
      <c r="AE9641">
        <v>115.85</v>
      </c>
    </row>
    <row r="9642" spans="31:31" x14ac:dyDescent="0.25">
      <c r="AE9642">
        <v>0.36</v>
      </c>
    </row>
    <row r="9643" spans="31:31" x14ac:dyDescent="0.25">
      <c r="AE9643">
        <v>10.14</v>
      </c>
    </row>
    <row r="9644" spans="31:31" x14ac:dyDescent="0.25">
      <c r="AE9644">
        <v>17.760000000000002</v>
      </c>
    </row>
    <row r="9645" spans="31:31" x14ac:dyDescent="0.25">
      <c r="AE9645">
        <v>102.57</v>
      </c>
    </row>
    <row r="9646" spans="31:31" x14ac:dyDescent="0.25">
      <c r="AE9646">
        <v>51.23</v>
      </c>
    </row>
    <row r="9647" spans="31:31" x14ac:dyDescent="0.25">
      <c r="AE9647">
        <v>12.91</v>
      </c>
    </row>
    <row r="9648" spans="31:31" x14ac:dyDescent="0.25">
      <c r="AE9648">
        <v>10.59</v>
      </c>
    </row>
    <row r="9649" spans="31:31" x14ac:dyDescent="0.25">
      <c r="AE9649">
        <v>63.61</v>
      </c>
    </row>
    <row r="9650" spans="31:31" x14ac:dyDescent="0.25">
      <c r="AE9650">
        <v>24.8</v>
      </c>
    </row>
    <row r="9651" spans="31:31" x14ac:dyDescent="0.25">
      <c r="AE9651">
        <v>46.25</v>
      </c>
    </row>
    <row r="9652" spans="31:31" x14ac:dyDescent="0.25">
      <c r="AE9652">
        <v>63.76</v>
      </c>
    </row>
    <row r="9653" spans="31:31" x14ac:dyDescent="0.25">
      <c r="AE9653">
        <v>15.18</v>
      </c>
    </row>
    <row r="9654" spans="31:31" x14ac:dyDescent="0.25">
      <c r="AE9654">
        <v>48.36</v>
      </c>
    </row>
    <row r="9655" spans="31:31" x14ac:dyDescent="0.25">
      <c r="AE9655">
        <v>55.39</v>
      </c>
    </row>
    <row r="9656" spans="31:31" x14ac:dyDescent="0.25">
      <c r="AE9656">
        <v>15.51</v>
      </c>
    </row>
    <row r="9657" spans="31:31" x14ac:dyDescent="0.25">
      <c r="AE9657">
        <v>57</v>
      </c>
    </row>
    <row r="9658" spans="31:31" x14ac:dyDescent="0.25">
      <c r="AE9658">
        <v>61.27</v>
      </c>
    </row>
    <row r="9659" spans="31:31" x14ac:dyDescent="0.25">
      <c r="AE9659">
        <v>107.47</v>
      </c>
    </row>
    <row r="9660" spans="31:31" x14ac:dyDescent="0.25">
      <c r="AE9660">
        <v>11.2</v>
      </c>
    </row>
    <row r="9661" spans="31:31" x14ac:dyDescent="0.25">
      <c r="AE9661">
        <v>24.88</v>
      </c>
    </row>
    <row r="9662" spans="31:31" x14ac:dyDescent="0.25">
      <c r="AE9662">
        <v>143.41</v>
      </c>
    </row>
    <row r="9663" spans="31:31" x14ac:dyDescent="0.25">
      <c r="AE9663">
        <v>78.64</v>
      </c>
    </row>
    <row r="9664" spans="31:31" x14ac:dyDescent="0.25">
      <c r="AE9664">
        <v>15.34</v>
      </c>
    </row>
    <row r="9665" spans="31:31" x14ac:dyDescent="0.25">
      <c r="AE9665">
        <v>49.86</v>
      </c>
    </row>
    <row r="9666" spans="31:31" x14ac:dyDescent="0.25">
      <c r="AE9666">
        <v>72.55</v>
      </c>
    </row>
    <row r="9667" spans="31:31" x14ac:dyDescent="0.25">
      <c r="AE9667">
        <v>108.59</v>
      </c>
    </row>
    <row r="9668" spans="31:31" x14ac:dyDescent="0.25">
      <c r="AE9668">
        <v>79</v>
      </c>
    </row>
    <row r="9669" spans="31:31" x14ac:dyDescent="0.25">
      <c r="AE9669">
        <v>10.4</v>
      </c>
    </row>
    <row r="9670" spans="31:31" x14ac:dyDescent="0.25">
      <c r="AE9670">
        <v>35.15</v>
      </c>
    </row>
    <row r="9671" spans="31:31" x14ac:dyDescent="0.25">
      <c r="AE9671">
        <v>98.73</v>
      </c>
    </row>
    <row r="9672" spans="31:31" x14ac:dyDescent="0.25">
      <c r="AE9672">
        <v>95.27</v>
      </c>
    </row>
    <row r="9673" spans="31:31" x14ac:dyDescent="0.25">
      <c r="AE9673">
        <v>36.479999999999997</v>
      </c>
    </row>
    <row r="9674" spans="31:31" x14ac:dyDescent="0.25">
      <c r="AE9674">
        <v>10.09</v>
      </c>
    </row>
    <row r="9675" spans="31:31" x14ac:dyDescent="0.25">
      <c r="AE9675">
        <v>119.23</v>
      </c>
    </row>
    <row r="9676" spans="31:31" x14ac:dyDescent="0.25">
      <c r="AE9676">
        <v>32.07</v>
      </c>
    </row>
    <row r="9677" spans="31:31" x14ac:dyDescent="0.25">
      <c r="AE9677">
        <v>115.28</v>
      </c>
    </row>
    <row r="9678" spans="31:31" x14ac:dyDescent="0.25">
      <c r="AE9678">
        <v>17.86</v>
      </c>
    </row>
    <row r="9679" spans="31:31" x14ac:dyDescent="0.25">
      <c r="AE9679">
        <v>148.08000000000001</v>
      </c>
    </row>
    <row r="9680" spans="31:31" x14ac:dyDescent="0.25">
      <c r="AE9680">
        <v>35.729999999999997</v>
      </c>
    </row>
    <row r="9681" spans="31:31" x14ac:dyDescent="0.25">
      <c r="AE9681">
        <v>72.66</v>
      </c>
    </row>
    <row r="9682" spans="31:31" x14ac:dyDescent="0.25">
      <c r="AE9682">
        <v>28.22</v>
      </c>
    </row>
    <row r="9683" spans="31:31" x14ac:dyDescent="0.25">
      <c r="AE9683">
        <v>31.23</v>
      </c>
    </row>
    <row r="9684" spans="31:31" x14ac:dyDescent="0.25">
      <c r="AE9684">
        <v>88.14</v>
      </c>
    </row>
    <row r="9685" spans="31:31" x14ac:dyDescent="0.25">
      <c r="AE9685">
        <v>13.04</v>
      </c>
    </row>
    <row r="9686" spans="31:31" x14ac:dyDescent="0.25">
      <c r="AE9686">
        <v>12.89</v>
      </c>
    </row>
    <row r="9687" spans="31:31" x14ac:dyDescent="0.25">
      <c r="AE9687">
        <v>36.44</v>
      </c>
    </row>
    <row r="9688" spans="31:31" x14ac:dyDescent="0.25">
      <c r="AE9688">
        <v>135.41</v>
      </c>
    </row>
    <row r="9689" spans="31:31" x14ac:dyDescent="0.25">
      <c r="AE9689">
        <v>21.33</v>
      </c>
    </row>
    <row r="9690" spans="31:31" x14ac:dyDescent="0.25">
      <c r="AE9690">
        <v>38.369999999999997</v>
      </c>
    </row>
    <row r="9691" spans="31:31" x14ac:dyDescent="0.25">
      <c r="AE9691">
        <v>57.54</v>
      </c>
    </row>
    <row r="9692" spans="31:31" x14ac:dyDescent="0.25">
      <c r="AE9692">
        <v>51.31</v>
      </c>
    </row>
    <row r="9693" spans="31:31" x14ac:dyDescent="0.25">
      <c r="AE9693">
        <v>98.73</v>
      </c>
    </row>
    <row r="9694" spans="31:31" x14ac:dyDescent="0.25">
      <c r="AE9694">
        <v>0.99</v>
      </c>
    </row>
    <row r="9695" spans="31:31" x14ac:dyDescent="0.25">
      <c r="AE9695">
        <v>189.04</v>
      </c>
    </row>
    <row r="9696" spans="31:31" x14ac:dyDescent="0.25">
      <c r="AE9696">
        <v>86.91</v>
      </c>
    </row>
    <row r="9697" spans="31:31" x14ac:dyDescent="0.25">
      <c r="AE9697">
        <v>28.48</v>
      </c>
    </row>
    <row r="9698" spans="31:31" x14ac:dyDescent="0.25">
      <c r="AE9698">
        <v>22.15</v>
      </c>
    </row>
    <row r="9699" spans="31:31" x14ac:dyDescent="0.25">
      <c r="AE9699">
        <v>20.49</v>
      </c>
    </row>
    <row r="9700" spans="31:31" x14ac:dyDescent="0.25">
      <c r="AE9700">
        <v>21.8</v>
      </c>
    </row>
    <row r="9701" spans="31:31" x14ac:dyDescent="0.25">
      <c r="AE9701">
        <v>47.19</v>
      </c>
    </row>
    <row r="9702" spans="31:31" x14ac:dyDescent="0.25">
      <c r="AE9702">
        <v>77.75</v>
      </c>
    </row>
    <row r="9703" spans="31:31" x14ac:dyDescent="0.25">
      <c r="AE9703">
        <v>0.72</v>
      </c>
    </row>
    <row r="9704" spans="31:31" x14ac:dyDescent="0.25">
      <c r="AE9704">
        <v>172.42</v>
      </c>
    </row>
    <row r="9705" spans="31:31" x14ac:dyDescent="0.25">
      <c r="AE9705">
        <v>31.82</v>
      </c>
    </row>
    <row r="9706" spans="31:31" x14ac:dyDescent="0.25">
      <c r="AE9706">
        <v>19.100000000000001</v>
      </c>
    </row>
    <row r="9707" spans="31:31" x14ac:dyDescent="0.25">
      <c r="AE9707">
        <v>7.46</v>
      </c>
    </row>
    <row r="9708" spans="31:31" x14ac:dyDescent="0.25">
      <c r="AE9708">
        <v>78.680000000000007</v>
      </c>
    </row>
    <row r="9709" spans="31:31" x14ac:dyDescent="0.25">
      <c r="AE9709">
        <v>60.11</v>
      </c>
    </row>
    <row r="9710" spans="31:31" x14ac:dyDescent="0.25">
      <c r="AE9710">
        <v>19.96</v>
      </c>
    </row>
    <row r="9711" spans="31:31" x14ac:dyDescent="0.25">
      <c r="AE9711">
        <v>62.13</v>
      </c>
    </row>
    <row r="9712" spans="31:31" x14ac:dyDescent="0.25">
      <c r="AE9712">
        <v>38.81</v>
      </c>
    </row>
    <row r="9713" spans="31:31" x14ac:dyDescent="0.25">
      <c r="AE9713">
        <v>0.27</v>
      </c>
    </row>
    <row r="9714" spans="31:31" x14ac:dyDescent="0.25">
      <c r="AE9714">
        <v>138.94999999999999</v>
      </c>
    </row>
    <row r="9715" spans="31:31" x14ac:dyDescent="0.25">
      <c r="AE9715">
        <v>14.46</v>
      </c>
    </row>
    <row r="9716" spans="31:31" x14ac:dyDescent="0.25">
      <c r="AE9716">
        <v>38.32</v>
      </c>
    </row>
    <row r="9717" spans="31:31" x14ac:dyDescent="0.25">
      <c r="AE9717">
        <v>26.61</v>
      </c>
    </row>
    <row r="9718" spans="31:31" x14ac:dyDescent="0.25">
      <c r="AE9718">
        <v>70.61</v>
      </c>
    </row>
    <row r="9719" spans="31:31" x14ac:dyDescent="0.25">
      <c r="AE9719">
        <v>134.74</v>
      </c>
    </row>
    <row r="9720" spans="31:31" x14ac:dyDescent="0.25">
      <c r="AE9720">
        <v>31.78</v>
      </c>
    </row>
    <row r="9721" spans="31:31" x14ac:dyDescent="0.25">
      <c r="AE9721">
        <v>52.06</v>
      </c>
    </row>
    <row r="9722" spans="31:31" x14ac:dyDescent="0.25">
      <c r="AE9722">
        <v>79.94</v>
      </c>
    </row>
    <row r="9723" spans="31:31" x14ac:dyDescent="0.25">
      <c r="AE9723">
        <v>179.78</v>
      </c>
    </row>
    <row r="9724" spans="31:31" x14ac:dyDescent="0.25">
      <c r="AE9724">
        <v>9.99</v>
      </c>
    </row>
    <row r="9725" spans="31:31" x14ac:dyDescent="0.25">
      <c r="AE9725">
        <v>20.059999999999999</v>
      </c>
    </row>
    <row r="9726" spans="31:31" x14ac:dyDescent="0.25">
      <c r="AE9726">
        <v>102.32</v>
      </c>
    </row>
    <row r="9727" spans="31:31" x14ac:dyDescent="0.25">
      <c r="AE9727">
        <v>30.87</v>
      </c>
    </row>
    <row r="9728" spans="31:31" x14ac:dyDescent="0.25">
      <c r="AE9728">
        <v>195.26</v>
      </c>
    </row>
    <row r="9729" spans="31:31" x14ac:dyDescent="0.25">
      <c r="AE9729">
        <v>0.45</v>
      </c>
    </row>
    <row r="9730" spans="31:31" x14ac:dyDescent="0.25">
      <c r="AE9730">
        <v>16.32</v>
      </c>
    </row>
    <row r="9731" spans="31:31" x14ac:dyDescent="0.25">
      <c r="AE9731">
        <v>68.7</v>
      </c>
    </row>
    <row r="9732" spans="31:31" x14ac:dyDescent="0.25">
      <c r="AE9732">
        <v>33.64</v>
      </c>
    </row>
    <row r="9733" spans="31:31" x14ac:dyDescent="0.25">
      <c r="AE9733">
        <v>74.040000000000006</v>
      </c>
    </row>
    <row r="9734" spans="31:31" x14ac:dyDescent="0.25">
      <c r="AE9734">
        <v>46.06</v>
      </c>
    </row>
    <row r="9735" spans="31:31" x14ac:dyDescent="0.25">
      <c r="AE9735">
        <v>12.78</v>
      </c>
    </row>
    <row r="9736" spans="31:31" x14ac:dyDescent="0.25">
      <c r="AE9736">
        <v>59.03</v>
      </c>
    </row>
    <row r="9737" spans="31:31" x14ac:dyDescent="0.25">
      <c r="AE9737">
        <v>166.37</v>
      </c>
    </row>
    <row r="9738" spans="31:31" x14ac:dyDescent="0.25">
      <c r="AE9738">
        <v>99.2</v>
      </c>
    </row>
    <row r="9739" spans="31:31" x14ac:dyDescent="0.25">
      <c r="AE9739">
        <v>39.53</v>
      </c>
    </row>
    <row r="9740" spans="31:31" x14ac:dyDescent="0.25">
      <c r="AE9740">
        <v>81.040000000000006</v>
      </c>
    </row>
    <row r="9741" spans="31:31" x14ac:dyDescent="0.25">
      <c r="AE9741">
        <v>45.99</v>
      </c>
    </row>
    <row r="9742" spans="31:31" x14ac:dyDescent="0.25">
      <c r="AE9742">
        <v>0</v>
      </c>
    </row>
    <row r="9743" spans="31:31" x14ac:dyDescent="0.25">
      <c r="AE9743">
        <v>19.11</v>
      </c>
    </row>
    <row r="9744" spans="31:31" x14ac:dyDescent="0.25">
      <c r="AE9744">
        <v>212.2</v>
      </c>
    </row>
    <row r="9745" spans="31:31" x14ac:dyDescent="0.25">
      <c r="AE9745">
        <v>44.6</v>
      </c>
    </row>
    <row r="9746" spans="31:31" x14ac:dyDescent="0.25">
      <c r="AE9746">
        <v>132.19</v>
      </c>
    </row>
    <row r="9747" spans="31:31" x14ac:dyDescent="0.25">
      <c r="AE9747">
        <v>108.34</v>
      </c>
    </row>
    <row r="9748" spans="31:31" x14ac:dyDescent="0.25">
      <c r="AE9748">
        <v>119.16</v>
      </c>
    </row>
    <row r="9749" spans="31:31" x14ac:dyDescent="0.25">
      <c r="AE9749">
        <v>84.08</v>
      </c>
    </row>
    <row r="9750" spans="31:31" x14ac:dyDescent="0.25">
      <c r="AE9750">
        <v>32.229999999999997</v>
      </c>
    </row>
    <row r="9751" spans="31:31" x14ac:dyDescent="0.25">
      <c r="AE9751">
        <v>27.84</v>
      </c>
    </row>
    <row r="9752" spans="31:31" x14ac:dyDescent="0.25">
      <c r="AE9752">
        <v>16.43</v>
      </c>
    </row>
    <row r="9753" spans="31:31" x14ac:dyDescent="0.25">
      <c r="AE9753">
        <v>96.9</v>
      </c>
    </row>
    <row r="9754" spans="31:31" x14ac:dyDescent="0.25">
      <c r="AE9754">
        <v>193.13</v>
      </c>
    </row>
    <row r="9755" spans="31:31" x14ac:dyDescent="0.25">
      <c r="AE9755">
        <v>18.45</v>
      </c>
    </row>
    <row r="9756" spans="31:31" x14ac:dyDescent="0.25">
      <c r="AE9756">
        <v>50.34</v>
      </c>
    </row>
    <row r="9757" spans="31:31" x14ac:dyDescent="0.25">
      <c r="AE9757">
        <v>45.42</v>
      </c>
    </row>
    <row r="9758" spans="31:31" x14ac:dyDescent="0.25">
      <c r="AE9758">
        <v>7.99</v>
      </c>
    </row>
    <row r="9759" spans="31:31" x14ac:dyDescent="0.25">
      <c r="AE9759">
        <v>97.68</v>
      </c>
    </row>
    <row r="9760" spans="31:31" x14ac:dyDescent="0.25">
      <c r="AE9760">
        <v>79.42</v>
      </c>
    </row>
    <row r="9761" spans="31:31" x14ac:dyDescent="0.25">
      <c r="AE9761">
        <v>159.02000000000001</v>
      </c>
    </row>
    <row r="9762" spans="31:31" x14ac:dyDescent="0.25">
      <c r="AE9762">
        <v>111.05</v>
      </c>
    </row>
    <row r="9763" spans="31:31" x14ac:dyDescent="0.25">
      <c r="AE9763">
        <v>103.18</v>
      </c>
    </row>
    <row r="9764" spans="31:31" x14ac:dyDescent="0.25">
      <c r="AE9764">
        <v>47.55</v>
      </c>
    </row>
    <row r="9765" spans="31:31" x14ac:dyDescent="0.25">
      <c r="AE9765">
        <v>205.46</v>
      </c>
    </row>
    <row r="9766" spans="31:31" x14ac:dyDescent="0.25">
      <c r="AE9766">
        <v>15.15</v>
      </c>
    </row>
    <row r="9767" spans="31:31" x14ac:dyDescent="0.25">
      <c r="AE9767">
        <v>135.43</v>
      </c>
    </row>
    <row r="9768" spans="31:31" x14ac:dyDescent="0.25">
      <c r="AE9768">
        <v>35.58</v>
      </c>
    </row>
    <row r="9769" spans="31:31" x14ac:dyDescent="0.25">
      <c r="AE9769">
        <v>16.64</v>
      </c>
    </row>
    <row r="9770" spans="31:31" x14ac:dyDescent="0.25">
      <c r="AE9770">
        <v>17.22</v>
      </c>
    </row>
    <row r="9771" spans="31:31" x14ac:dyDescent="0.25">
      <c r="AE9771">
        <v>30.65</v>
      </c>
    </row>
    <row r="9772" spans="31:31" x14ac:dyDescent="0.25">
      <c r="AE9772">
        <v>26.03</v>
      </c>
    </row>
    <row r="9773" spans="31:31" x14ac:dyDescent="0.25">
      <c r="AE9773">
        <v>26.2</v>
      </c>
    </row>
    <row r="9774" spans="31:31" x14ac:dyDescent="0.25">
      <c r="AE9774">
        <v>48.13</v>
      </c>
    </row>
    <row r="9775" spans="31:31" x14ac:dyDescent="0.25">
      <c r="AE9775">
        <v>24.55</v>
      </c>
    </row>
    <row r="9776" spans="31:31" x14ac:dyDescent="0.25">
      <c r="AE9776">
        <v>271.61</v>
      </c>
    </row>
    <row r="9777" spans="31:31" x14ac:dyDescent="0.25">
      <c r="AE9777">
        <v>46.1</v>
      </c>
    </row>
    <row r="9778" spans="31:31" x14ac:dyDescent="0.25">
      <c r="AE9778">
        <v>40.909999999999997</v>
      </c>
    </row>
    <row r="9779" spans="31:31" x14ac:dyDescent="0.25">
      <c r="AE9779">
        <v>45.35</v>
      </c>
    </row>
    <row r="9780" spans="31:31" x14ac:dyDescent="0.25">
      <c r="AE9780">
        <v>11.84</v>
      </c>
    </row>
    <row r="9781" spans="31:31" x14ac:dyDescent="0.25">
      <c r="AE9781">
        <v>50.53</v>
      </c>
    </row>
    <row r="9782" spans="31:31" x14ac:dyDescent="0.25">
      <c r="AE9782">
        <v>27.25</v>
      </c>
    </row>
    <row r="9783" spans="31:31" x14ac:dyDescent="0.25">
      <c r="AE9783">
        <v>4.34</v>
      </c>
    </row>
    <row r="9784" spans="31:31" x14ac:dyDescent="0.25">
      <c r="AE9784">
        <v>55.19</v>
      </c>
    </row>
    <row r="9785" spans="31:31" x14ac:dyDescent="0.25">
      <c r="AE9785">
        <v>27.14</v>
      </c>
    </row>
    <row r="9786" spans="31:31" x14ac:dyDescent="0.25">
      <c r="AE9786">
        <v>117.93</v>
      </c>
    </row>
    <row r="9787" spans="31:31" x14ac:dyDescent="0.25">
      <c r="AE9787">
        <v>37.270000000000003</v>
      </c>
    </row>
    <row r="9788" spans="31:31" x14ac:dyDescent="0.25">
      <c r="AE9788">
        <v>149.18</v>
      </c>
    </row>
    <row r="9789" spans="31:31" x14ac:dyDescent="0.25">
      <c r="AE9789">
        <v>60.42</v>
      </c>
    </row>
    <row r="9790" spans="31:31" x14ac:dyDescent="0.25">
      <c r="AE9790">
        <v>124.62</v>
      </c>
    </row>
    <row r="9791" spans="31:31" x14ac:dyDescent="0.25">
      <c r="AE9791">
        <v>47.2</v>
      </c>
    </row>
    <row r="9792" spans="31:31" x14ac:dyDescent="0.25">
      <c r="AE9792">
        <v>36.44</v>
      </c>
    </row>
    <row r="9793" spans="31:31" x14ac:dyDescent="0.25">
      <c r="AE9793">
        <v>238.11</v>
      </c>
    </row>
    <row r="9794" spans="31:31" x14ac:dyDescent="0.25">
      <c r="AE9794">
        <v>32.04</v>
      </c>
    </row>
    <row r="9795" spans="31:31" x14ac:dyDescent="0.25">
      <c r="AE9795">
        <v>10.29</v>
      </c>
    </row>
    <row r="9796" spans="31:31" x14ac:dyDescent="0.25">
      <c r="AE9796">
        <v>174.43</v>
      </c>
    </row>
    <row r="9797" spans="31:31" x14ac:dyDescent="0.25">
      <c r="AE9797">
        <v>56.39</v>
      </c>
    </row>
    <row r="9798" spans="31:31" x14ac:dyDescent="0.25">
      <c r="AE9798">
        <v>41.03</v>
      </c>
    </row>
    <row r="9799" spans="31:31" x14ac:dyDescent="0.25">
      <c r="AE9799">
        <v>65.47</v>
      </c>
    </row>
    <row r="9800" spans="31:31" x14ac:dyDescent="0.25">
      <c r="AE9800">
        <v>12.38</v>
      </c>
    </row>
    <row r="9801" spans="31:31" x14ac:dyDescent="0.25">
      <c r="AE9801">
        <v>15.4</v>
      </c>
    </row>
    <row r="9802" spans="31:31" x14ac:dyDescent="0.25">
      <c r="AE9802">
        <v>0.99</v>
      </c>
    </row>
    <row r="9803" spans="31:31" x14ac:dyDescent="0.25">
      <c r="AE9803">
        <v>117.74</v>
      </c>
    </row>
    <row r="9804" spans="31:31" x14ac:dyDescent="0.25">
      <c r="AE9804">
        <v>63.29</v>
      </c>
    </row>
    <row r="9805" spans="31:31" x14ac:dyDescent="0.25">
      <c r="AE9805">
        <v>144.91999999999999</v>
      </c>
    </row>
    <row r="9806" spans="31:31" x14ac:dyDescent="0.25">
      <c r="AE9806">
        <v>12.48</v>
      </c>
    </row>
    <row r="9807" spans="31:31" x14ac:dyDescent="0.25">
      <c r="AE9807">
        <v>55.18</v>
      </c>
    </row>
    <row r="9808" spans="31:31" x14ac:dyDescent="0.25">
      <c r="AE9808">
        <v>27.17</v>
      </c>
    </row>
    <row r="9809" spans="31:31" x14ac:dyDescent="0.25">
      <c r="AE9809">
        <v>18.29</v>
      </c>
    </row>
    <row r="9810" spans="31:31" x14ac:dyDescent="0.25">
      <c r="AE9810">
        <v>230.27</v>
      </c>
    </row>
    <row r="9811" spans="31:31" x14ac:dyDescent="0.25">
      <c r="AE9811">
        <v>124</v>
      </c>
    </row>
    <row r="9812" spans="31:31" x14ac:dyDescent="0.25">
      <c r="AE9812">
        <v>108.07</v>
      </c>
    </row>
    <row r="9813" spans="31:31" x14ac:dyDescent="0.25">
      <c r="AE9813">
        <v>102.46</v>
      </c>
    </row>
    <row r="9814" spans="31:31" x14ac:dyDescent="0.25">
      <c r="AE9814">
        <v>20.94</v>
      </c>
    </row>
    <row r="9815" spans="31:31" x14ac:dyDescent="0.25">
      <c r="AE9815">
        <v>20.100000000000001</v>
      </c>
    </row>
    <row r="9816" spans="31:31" x14ac:dyDescent="0.25">
      <c r="AE9816">
        <v>5.15</v>
      </c>
    </row>
    <row r="9817" spans="31:31" x14ac:dyDescent="0.25">
      <c r="AE9817">
        <v>0.18</v>
      </c>
    </row>
    <row r="9818" spans="31:31" x14ac:dyDescent="0.25">
      <c r="AE9818">
        <v>121.44</v>
      </c>
    </row>
    <row r="9819" spans="31:31" x14ac:dyDescent="0.25">
      <c r="AE9819">
        <v>23.17</v>
      </c>
    </row>
    <row r="9820" spans="31:31" x14ac:dyDescent="0.25">
      <c r="AE9820">
        <v>10.24</v>
      </c>
    </row>
    <row r="9821" spans="31:31" x14ac:dyDescent="0.25">
      <c r="AE9821">
        <v>55.74</v>
      </c>
    </row>
    <row r="9822" spans="31:31" x14ac:dyDescent="0.25">
      <c r="AE9822">
        <v>135.6</v>
      </c>
    </row>
    <row r="9823" spans="31:31" x14ac:dyDescent="0.25">
      <c r="AE9823">
        <v>43.09</v>
      </c>
    </row>
    <row r="9824" spans="31:31" x14ac:dyDescent="0.25">
      <c r="AE9824">
        <v>53</v>
      </c>
    </row>
    <row r="9825" spans="31:31" x14ac:dyDescent="0.25">
      <c r="AE9825">
        <v>116.43</v>
      </c>
    </row>
    <row r="9826" spans="31:31" x14ac:dyDescent="0.25">
      <c r="AE9826">
        <v>113.52</v>
      </c>
    </row>
    <row r="9827" spans="31:31" x14ac:dyDescent="0.25">
      <c r="AE9827">
        <v>13.28</v>
      </c>
    </row>
    <row r="9828" spans="31:31" x14ac:dyDescent="0.25">
      <c r="AE9828">
        <v>122.57</v>
      </c>
    </row>
    <row r="9829" spans="31:31" x14ac:dyDescent="0.25">
      <c r="AE9829">
        <v>15.08</v>
      </c>
    </row>
    <row r="9830" spans="31:31" x14ac:dyDescent="0.25">
      <c r="AE9830">
        <v>59.44</v>
      </c>
    </row>
    <row r="9831" spans="31:31" x14ac:dyDescent="0.25">
      <c r="AE9831">
        <v>88.66</v>
      </c>
    </row>
    <row r="9832" spans="31:31" x14ac:dyDescent="0.25">
      <c r="AE9832">
        <v>64.400000000000006</v>
      </c>
    </row>
    <row r="9833" spans="31:31" x14ac:dyDescent="0.25">
      <c r="AE9833">
        <v>7.85</v>
      </c>
    </row>
    <row r="9834" spans="31:31" x14ac:dyDescent="0.25">
      <c r="AE9834">
        <v>25.6</v>
      </c>
    </row>
    <row r="9835" spans="31:31" x14ac:dyDescent="0.25">
      <c r="AE9835">
        <v>123.99</v>
      </c>
    </row>
    <row r="9836" spans="31:31" x14ac:dyDescent="0.25">
      <c r="AE9836">
        <v>0</v>
      </c>
    </row>
    <row r="9837" spans="31:31" x14ac:dyDescent="0.25">
      <c r="AE9837">
        <v>37.159999999999997</v>
      </c>
    </row>
    <row r="9838" spans="31:31" x14ac:dyDescent="0.25">
      <c r="AE9838">
        <v>184.04</v>
      </c>
    </row>
    <row r="9839" spans="31:31" x14ac:dyDescent="0.25">
      <c r="AE9839">
        <v>51.08</v>
      </c>
    </row>
    <row r="9840" spans="31:31" x14ac:dyDescent="0.25">
      <c r="AE9840">
        <v>4.5999999999999996</v>
      </c>
    </row>
    <row r="9841" spans="31:31" x14ac:dyDescent="0.25">
      <c r="AE9841">
        <v>26.04</v>
      </c>
    </row>
    <row r="9842" spans="31:31" x14ac:dyDescent="0.25">
      <c r="AE9842">
        <v>38.46</v>
      </c>
    </row>
    <row r="9843" spans="31:31" x14ac:dyDescent="0.25">
      <c r="AE9843">
        <v>54.93</v>
      </c>
    </row>
    <row r="9844" spans="31:31" x14ac:dyDescent="0.25">
      <c r="AE9844">
        <v>52.83</v>
      </c>
    </row>
    <row r="9845" spans="31:31" x14ac:dyDescent="0.25">
      <c r="AE9845">
        <v>161.04</v>
      </c>
    </row>
    <row r="9846" spans="31:31" x14ac:dyDescent="0.25">
      <c r="AE9846">
        <v>129.63</v>
      </c>
    </row>
    <row r="9847" spans="31:31" x14ac:dyDescent="0.25">
      <c r="AE9847">
        <v>72.22</v>
      </c>
    </row>
    <row r="9848" spans="31:31" x14ac:dyDescent="0.25">
      <c r="AE9848">
        <v>108.36</v>
      </c>
    </row>
    <row r="9849" spans="31:31" x14ac:dyDescent="0.25">
      <c r="AE9849">
        <v>102.54</v>
      </c>
    </row>
    <row r="9850" spans="31:31" x14ac:dyDescent="0.25">
      <c r="AE9850">
        <v>47.89</v>
      </c>
    </row>
    <row r="9851" spans="31:31" x14ac:dyDescent="0.25">
      <c r="AE9851">
        <v>111.43</v>
      </c>
    </row>
    <row r="9852" spans="31:31" x14ac:dyDescent="0.25">
      <c r="AE9852">
        <v>14.28</v>
      </c>
    </row>
    <row r="9853" spans="31:31" x14ac:dyDescent="0.25">
      <c r="AE9853">
        <v>19.05</v>
      </c>
    </row>
    <row r="9854" spans="31:31" x14ac:dyDescent="0.25">
      <c r="AE9854">
        <v>42.28</v>
      </c>
    </row>
    <row r="9855" spans="31:31" x14ac:dyDescent="0.25">
      <c r="AE9855">
        <v>121.11</v>
      </c>
    </row>
    <row r="9856" spans="31:31" x14ac:dyDescent="0.25">
      <c r="AE9856">
        <v>28.05</v>
      </c>
    </row>
    <row r="9857" spans="31:31" x14ac:dyDescent="0.25">
      <c r="AE9857">
        <v>20.05</v>
      </c>
    </row>
    <row r="9858" spans="31:31" x14ac:dyDescent="0.25">
      <c r="AE9858">
        <v>149.76</v>
      </c>
    </row>
    <row r="9859" spans="31:31" x14ac:dyDescent="0.25">
      <c r="AE9859">
        <v>30.16</v>
      </c>
    </row>
    <row r="9860" spans="31:31" x14ac:dyDescent="0.25">
      <c r="AE9860">
        <v>13.99</v>
      </c>
    </row>
    <row r="9861" spans="31:31" x14ac:dyDescent="0.25">
      <c r="AE9861">
        <v>132.72999999999999</v>
      </c>
    </row>
    <row r="9862" spans="31:31" x14ac:dyDescent="0.25">
      <c r="AE9862">
        <v>130.83000000000001</v>
      </c>
    </row>
    <row r="9863" spans="31:31" x14ac:dyDescent="0.25">
      <c r="AE9863">
        <v>78.45</v>
      </c>
    </row>
    <row r="9864" spans="31:31" x14ac:dyDescent="0.25">
      <c r="AE9864">
        <v>14.81</v>
      </c>
    </row>
    <row r="9865" spans="31:31" x14ac:dyDescent="0.25">
      <c r="AE9865">
        <v>23.56</v>
      </c>
    </row>
    <row r="9866" spans="31:31" x14ac:dyDescent="0.25">
      <c r="AE9866">
        <v>23.81</v>
      </c>
    </row>
    <row r="9867" spans="31:31" x14ac:dyDescent="0.25">
      <c r="AE9867">
        <v>96.65</v>
      </c>
    </row>
    <row r="9868" spans="31:31" x14ac:dyDescent="0.25">
      <c r="AE9868">
        <v>27.73</v>
      </c>
    </row>
    <row r="9869" spans="31:31" x14ac:dyDescent="0.25">
      <c r="AE9869">
        <v>70.209999999999994</v>
      </c>
    </row>
    <row r="9870" spans="31:31" x14ac:dyDescent="0.25">
      <c r="AE9870">
        <v>154.08000000000001</v>
      </c>
    </row>
    <row r="9871" spans="31:31" x14ac:dyDescent="0.25">
      <c r="AE9871">
        <v>75.150000000000006</v>
      </c>
    </row>
    <row r="9872" spans="31:31" x14ac:dyDescent="0.25">
      <c r="AE9872">
        <v>36.369999999999997</v>
      </c>
    </row>
    <row r="9873" spans="31:31" x14ac:dyDescent="0.25">
      <c r="AE9873">
        <v>28.81</v>
      </c>
    </row>
    <row r="9874" spans="31:31" x14ac:dyDescent="0.25">
      <c r="AE9874">
        <v>85.73</v>
      </c>
    </row>
    <row r="9875" spans="31:31" x14ac:dyDescent="0.25">
      <c r="AE9875">
        <v>31.55</v>
      </c>
    </row>
    <row r="9876" spans="31:31" x14ac:dyDescent="0.25">
      <c r="AE9876">
        <v>18.36</v>
      </c>
    </row>
    <row r="9877" spans="31:31" x14ac:dyDescent="0.25">
      <c r="AE9877">
        <v>24.75</v>
      </c>
    </row>
    <row r="9878" spans="31:31" x14ac:dyDescent="0.25">
      <c r="AE9878">
        <v>14.36</v>
      </c>
    </row>
    <row r="9879" spans="31:31" x14ac:dyDescent="0.25">
      <c r="AE9879">
        <v>43.5</v>
      </c>
    </row>
    <row r="9880" spans="31:31" x14ac:dyDescent="0.25">
      <c r="AE9880">
        <v>79.89</v>
      </c>
    </row>
    <row r="9881" spans="31:31" x14ac:dyDescent="0.25">
      <c r="AE9881">
        <v>23.9</v>
      </c>
    </row>
    <row r="9882" spans="31:31" x14ac:dyDescent="0.25">
      <c r="AE9882">
        <v>130.06</v>
      </c>
    </row>
    <row r="9883" spans="31:31" x14ac:dyDescent="0.25">
      <c r="AE9883">
        <v>15.36</v>
      </c>
    </row>
    <row r="9884" spans="31:31" x14ac:dyDescent="0.25">
      <c r="AE9884">
        <v>38.76</v>
      </c>
    </row>
    <row r="9885" spans="31:31" x14ac:dyDescent="0.25">
      <c r="AE9885">
        <v>147.85</v>
      </c>
    </row>
    <row r="9886" spans="31:31" x14ac:dyDescent="0.25">
      <c r="AE9886">
        <v>46.03</v>
      </c>
    </row>
    <row r="9887" spans="31:31" x14ac:dyDescent="0.25">
      <c r="AE9887">
        <v>69.89</v>
      </c>
    </row>
    <row r="9888" spans="31:31" x14ac:dyDescent="0.25">
      <c r="AE9888">
        <v>32.82</v>
      </c>
    </row>
    <row r="9889" spans="31:31" x14ac:dyDescent="0.25">
      <c r="AE9889">
        <v>24.47</v>
      </c>
    </row>
    <row r="9890" spans="31:31" x14ac:dyDescent="0.25">
      <c r="AE9890">
        <v>5.23</v>
      </c>
    </row>
    <row r="9891" spans="31:31" x14ac:dyDescent="0.25">
      <c r="AE9891">
        <v>19.72</v>
      </c>
    </row>
    <row r="9892" spans="31:31" x14ac:dyDescent="0.25">
      <c r="AE9892">
        <v>18.28</v>
      </c>
    </row>
    <row r="9893" spans="31:31" x14ac:dyDescent="0.25">
      <c r="AE9893">
        <v>96.14</v>
      </c>
    </row>
    <row r="9894" spans="31:31" x14ac:dyDescent="0.25">
      <c r="AE9894">
        <v>21.13</v>
      </c>
    </row>
    <row r="9895" spans="31:31" x14ac:dyDescent="0.25">
      <c r="AE9895">
        <v>126.78</v>
      </c>
    </row>
    <row r="9896" spans="31:31" x14ac:dyDescent="0.25">
      <c r="AE9896">
        <v>175.35</v>
      </c>
    </row>
    <row r="9897" spans="31:31" x14ac:dyDescent="0.25">
      <c r="AE9897">
        <v>0</v>
      </c>
    </row>
    <row r="9898" spans="31:31" x14ac:dyDescent="0.25">
      <c r="AE9898">
        <v>56.16</v>
      </c>
    </row>
    <row r="9899" spans="31:31" x14ac:dyDescent="0.25">
      <c r="AE9899">
        <v>56.25</v>
      </c>
    </row>
    <row r="9900" spans="31:31" x14ac:dyDescent="0.25">
      <c r="AE9900">
        <v>49.84</v>
      </c>
    </row>
    <row r="9901" spans="31:31" x14ac:dyDescent="0.25">
      <c r="AE9901">
        <v>19.62</v>
      </c>
    </row>
    <row r="9902" spans="31:31" x14ac:dyDescent="0.25">
      <c r="AE9902">
        <v>28.83</v>
      </c>
    </row>
    <row r="9903" spans="31:31" x14ac:dyDescent="0.25">
      <c r="AE9903">
        <v>6.81</v>
      </c>
    </row>
    <row r="9904" spans="31:31" x14ac:dyDescent="0.25">
      <c r="AE9904">
        <v>19.88</v>
      </c>
    </row>
    <row r="9905" spans="31:31" x14ac:dyDescent="0.25">
      <c r="AE9905">
        <v>33.130000000000003</v>
      </c>
    </row>
    <row r="9906" spans="31:31" x14ac:dyDescent="0.25">
      <c r="AE9906">
        <v>102.22</v>
      </c>
    </row>
    <row r="9907" spans="31:31" x14ac:dyDescent="0.25">
      <c r="AE9907">
        <v>87.65</v>
      </c>
    </row>
    <row r="9908" spans="31:31" x14ac:dyDescent="0.25">
      <c r="AE9908">
        <v>0.09</v>
      </c>
    </row>
    <row r="9909" spans="31:31" x14ac:dyDescent="0.25">
      <c r="AE9909">
        <v>184.36</v>
      </c>
    </row>
    <row r="9910" spans="31:31" x14ac:dyDescent="0.25">
      <c r="AE9910">
        <v>0.27</v>
      </c>
    </row>
    <row r="9911" spans="31:31" x14ac:dyDescent="0.25">
      <c r="AE9911">
        <v>190.58</v>
      </c>
    </row>
    <row r="9912" spans="31:31" x14ac:dyDescent="0.25">
      <c r="AE9912">
        <v>24.59</v>
      </c>
    </row>
    <row r="9913" spans="31:31" x14ac:dyDescent="0.25">
      <c r="AE9913">
        <v>33.76</v>
      </c>
    </row>
    <row r="9914" spans="31:31" x14ac:dyDescent="0.25">
      <c r="AE9914">
        <v>15.1</v>
      </c>
    </row>
    <row r="9915" spans="31:31" x14ac:dyDescent="0.25">
      <c r="AE9915">
        <v>23.86</v>
      </c>
    </row>
    <row r="9916" spans="31:31" x14ac:dyDescent="0.25">
      <c r="AE9916">
        <v>100.65</v>
      </c>
    </row>
    <row r="9917" spans="31:31" x14ac:dyDescent="0.25">
      <c r="AE9917">
        <v>177.76</v>
      </c>
    </row>
    <row r="9918" spans="31:31" x14ac:dyDescent="0.25">
      <c r="AE9918">
        <v>112.06</v>
      </c>
    </row>
    <row r="9919" spans="31:31" x14ac:dyDescent="0.25">
      <c r="AE9919">
        <v>24.93</v>
      </c>
    </row>
    <row r="9920" spans="31:31" x14ac:dyDescent="0.25">
      <c r="AE9920">
        <v>116.54</v>
      </c>
    </row>
    <row r="9921" spans="31:31" x14ac:dyDescent="0.25">
      <c r="AE9921">
        <v>136.33000000000001</v>
      </c>
    </row>
    <row r="9922" spans="31:31" x14ac:dyDescent="0.25">
      <c r="AE9922">
        <v>26.16</v>
      </c>
    </row>
    <row r="9923" spans="31:31" x14ac:dyDescent="0.25">
      <c r="AE9923">
        <v>9.0399999999999991</v>
      </c>
    </row>
    <row r="9924" spans="31:31" x14ac:dyDescent="0.25">
      <c r="AE9924">
        <v>34.270000000000003</v>
      </c>
    </row>
    <row r="9925" spans="31:31" x14ac:dyDescent="0.25">
      <c r="AE9925">
        <v>122.87</v>
      </c>
    </row>
    <row r="9926" spans="31:31" x14ac:dyDescent="0.25">
      <c r="AE9926">
        <v>39.880000000000003</v>
      </c>
    </row>
    <row r="9927" spans="31:31" x14ac:dyDescent="0.25">
      <c r="AE9927">
        <v>0.63</v>
      </c>
    </row>
    <row r="9928" spans="31:31" x14ac:dyDescent="0.25">
      <c r="AE9928">
        <v>59.55</v>
      </c>
    </row>
    <row r="9929" spans="31:31" x14ac:dyDescent="0.25">
      <c r="AE9929">
        <v>21.47</v>
      </c>
    </row>
    <row r="9930" spans="31:31" x14ac:dyDescent="0.25">
      <c r="AE9930">
        <v>19.98</v>
      </c>
    </row>
    <row r="9931" spans="31:31" x14ac:dyDescent="0.25">
      <c r="AE9931">
        <v>24.44</v>
      </c>
    </row>
    <row r="9932" spans="31:31" x14ac:dyDescent="0.25">
      <c r="AE9932">
        <v>42.16</v>
      </c>
    </row>
    <row r="9933" spans="31:31" x14ac:dyDescent="0.25">
      <c r="AE9933">
        <v>73.86</v>
      </c>
    </row>
    <row r="9934" spans="31:31" x14ac:dyDescent="0.25">
      <c r="AE9934">
        <v>27.9</v>
      </c>
    </row>
    <row r="9935" spans="31:31" x14ac:dyDescent="0.25">
      <c r="AE9935">
        <v>27.64</v>
      </c>
    </row>
    <row r="9936" spans="31:31" x14ac:dyDescent="0.25">
      <c r="AE9936">
        <v>42.66</v>
      </c>
    </row>
    <row r="9937" spans="31:31" x14ac:dyDescent="0.25">
      <c r="AE9937">
        <v>64.12</v>
      </c>
    </row>
    <row r="9938" spans="31:31" x14ac:dyDescent="0.25">
      <c r="AE9938">
        <v>48.82</v>
      </c>
    </row>
    <row r="9939" spans="31:31" x14ac:dyDescent="0.25">
      <c r="AE9939">
        <v>242.48</v>
      </c>
    </row>
    <row r="9940" spans="31:31" x14ac:dyDescent="0.25">
      <c r="AE9940">
        <v>90.65</v>
      </c>
    </row>
    <row r="9941" spans="31:31" x14ac:dyDescent="0.25">
      <c r="AE9941">
        <v>12.4</v>
      </c>
    </row>
    <row r="9942" spans="31:31" x14ac:dyDescent="0.25">
      <c r="AE9942">
        <v>58.2</v>
      </c>
    </row>
    <row r="9943" spans="31:31" x14ac:dyDescent="0.25">
      <c r="AE9943">
        <v>17.98</v>
      </c>
    </row>
    <row r="9944" spans="31:31" x14ac:dyDescent="0.25">
      <c r="AE9944">
        <v>29.58</v>
      </c>
    </row>
    <row r="9945" spans="31:31" x14ac:dyDescent="0.25">
      <c r="AE9945">
        <v>18.190000000000001</v>
      </c>
    </row>
    <row r="9946" spans="31:31" x14ac:dyDescent="0.25">
      <c r="AE9946">
        <v>69.34</v>
      </c>
    </row>
    <row r="9947" spans="31:31" x14ac:dyDescent="0.25">
      <c r="AE9947">
        <v>12.02</v>
      </c>
    </row>
    <row r="9948" spans="31:31" x14ac:dyDescent="0.25">
      <c r="AE9948">
        <v>104.08</v>
      </c>
    </row>
    <row r="9949" spans="31:31" x14ac:dyDescent="0.25">
      <c r="AE9949">
        <v>162.44999999999999</v>
      </c>
    </row>
    <row r="9950" spans="31:31" x14ac:dyDescent="0.25">
      <c r="AE9950">
        <v>50.02</v>
      </c>
    </row>
    <row r="9951" spans="31:31" x14ac:dyDescent="0.25">
      <c r="AE9951">
        <v>132.63</v>
      </c>
    </row>
    <row r="9952" spans="31:31" x14ac:dyDescent="0.25">
      <c r="AE9952">
        <v>36.520000000000003</v>
      </c>
    </row>
    <row r="9953" spans="31:31" x14ac:dyDescent="0.25">
      <c r="AE9953">
        <v>21.23</v>
      </c>
    </row>
    <row r="9954" spans="31:31" x14ac:dyDescent="0.25">
      <c r="AE9954">
        <v>91.39</v>
      </c>
    </row>
    <row r="9955" spans="31:31" x14ac:dyDescent="0.25">
      <c r="AE9955">
        <v>136.15</v>
      </c>
    </row>
    <row r="9956" spans="31:31" x14ac:dyDescent="0.25">
      <c r="AE9956">
        <v>15.19</v>
      </c>
    </row>
    <row r="9957" spans="31:31" x14ac:dyDescent="0.25">
      <c r="AE9957">
        <v>133.61000000000001</v>
      </c>
    </row>
    <row r="9958" spans="31:31" x14ac:dyDescent="0.25">
      <c r="AE9958">
        <v>9.16</v>
      </c>
    </row>
    <row r="9959" spans="31:31" x14ac:dyDescent="0.25">
      <c r="AE9959">
        <v>22.21</v>
      </c>
    </row>
    <row r="9960" spans="31:31" x14ac:dyDescent="0.25">
      <c r="AE9960">
        <v>72.88</v>
      </c>
    </row>
    <row r="9961" spans="31:31" x14ac:dyDescent="0.25">
      <c r="AE9961">
        <v>60.07</v>
      </c>
    </row>
    <row r="9962" spans="31:31" x14ac:dyDescent="0.25">
      <c r="AE9962">
        <v>98.23</v>
      </c>
    </row>
    <row r="9963" spans="31:31" x14ac:dyDescent="0.25">
      <c r="AE9963">
        <v>59.7</v>
      </c>
    </row>
    <row r="9964" spans="31:31" x14ac:dyDescent="0.25">
      <c r="AE9964">
        <v>53.49</v>
      </c>
    </row>
    <row r="9965" spans="31:31" x14ac:dyDescent="0.25">
      <c r="AE9965">
        <v>23.89</v>
      </c>
    </row>
    <row r="9966" spans="31:31" x14ac:dyDescent="0.25">
      <c r="AE9966">
        <v>64.3</v>
      </c>
    </row>
    <row r="9967" spans="31:31" x14ac:dyDescent="0.25">
      <c r="AE9967">
        <v>24.03</v>
      </c>
    </row>
    <row r="9968" spans="31:31" x14ac:dyDescent="0.25">
      <c r="AE9968">
        <v>19.43</v>
      </c>
    </row>
    <row r="9969" spans="31:31" x14ac:dyDescent="0.25">
      <c r="AE9969">
        <v>132.96</v>
      </c>
    </row>
    <row r="9970" spans="31:31" x14ac:dyDescent="0.25">
      <c r="AE9970">
        <v>38.93</v>
      </c>
    </row>
    <row r="9971" spans="31:31" x14ac:dyDescent="0.25">
      <c r="AE9971">
        <v>43.19</v>
      </c>
    </row>
    <row r="9972" spans="31:31" x14ac:dyDescent="0.25">
      <c r="AE9972">
        <v>157.49</v>
      </c>
    </row>
    <row r="9973" spans="31:31" x14ac:dyDescent="0.25">
      <c r="AE9973">
        <v>19.489999999999998</v>
      </c>
    </row>
    <row r="9974" spans="31:31" x14ac:dyDescent="0.25">
      <c r="AE9974">
        <v>14.44</v>
      </c>
    </row>
    <row r="9975" spans="31:31" x14ac:dyDescent="0.25">
      <c r="AE9975">
        <v>91.49</v>
      </c>
    </row>
    <row r="9976" spans="31:31" x14ac:dyDescent="0.25">
      <c r="AE9976">
        <v>66</v>
      </c>
    </row>
    <row r="9977" spans="31:31" x14ac:dyDescent="0.25">
      <c r="AE9977">
        <v>32.01</v>
      </c>
    </row>
    <row r="9978" spans="31:31" x14ac:dyDescent="0.25">
      <c r="AE9978">
        <v>22.31</v>
      </c>
    </row>
    <row r="9979" spans="31:31" x14ac:dyDescent="0.25">
      <c r="AE9979">
        <v>108.07</v>
      </c>
    </row>
    <row r="9980" spans="31:31" x14ac:dyDescent="0.25">
      <c r="AE9980">
        <v>28.65</v>
      </c>
    </row>
    <row r="9981" spans="31:31" x14ac:dyDescent="0.25">
      <c r="AE9981">
        <v>39.85</v>
      </c>
    </row>
    <row r="9982" spans="31:31" x14ac:dyDescent="0.25">
      <c r="AE9982">
        <v>69.040000000000006</v>
      </c>
    </row>
    <row r="9983" spans="31:31" x14ac:dyDescent="0.25">
      <c r="AE9983">
        <v>32.89</v>
      </c>
    </row>
    <row r="9984" spans="31:31" x14ac:dyDescent="0.25">
      <c r="AE9984">
        <v>93.4</v>
      </c>
    </row>
    <row r="9985" spans="31:31" x14ac:dyDescent="0.25">
      <c r="AE9985">
        <v>119.62</v>
      </c>
    </row>
    <row r="9986" spans="31:31" x14ac:dyDescent="0.25">
      <c r="AE9986">
        <v>18.03</v>
      </c>
    </row>
    <row r="9987" spans="31:31" x14ac:dyDescent="0.25">
      <c r="AE9987">
        <v>33.94</v>
      </c>
    </row>
    <row r="9988" spans="31:31" x14ac:dyDescent="0.25">
      <c r="AE9988">
        <v>46.87</v>
      </c>
    </row>
    <row r="9989" spans="31:31" x14ac:dyDescent="0.25">
      <c r="AE9989">
        <v>120.41</v>
      </c>
    </row>
    <row r="9990" spans="31:31" x14ac:dyDescent="0.25">
      <c r="AE9990">
        <v>22.3</v>
      </c>
    </row>
    <row r="9991" spans="31:31" x14ac:dyDescent="0.25">
      <c r="AE9991">
        <v>51.26</v>
      </c>
    </row>
    <row r="9992" spans="31:31" x14ac:dyDescent="0.25">
      <c r="AE9992">
        <v>29.45</v>
      </c>
    </row>
    <row r="9993" spans="31:31" x14ac:dyDescent="0.25">
      <c r="AE9993">
        <v>64.25</v>
      </c>
    </row>
    <row r="9994" spans="31:31" x14ac:dyDescent="0.25">
      <c r="AE9994">
        <v>32.15</v>
      </c>
    </row>
    <row r="9995" spans="31:31" x14ac:dyDescent="0.25">
      <c r="AE9995">
        <v>111.57</v>
      </c>
    </row>
    <row r="9996" spans="31:31" x14ac:dyDescent="0.25">
      <c r="AE9996">
        <v>36.21</v>
      </c>
    </row>
    <row r="9997" spans="31:31" x14ac:dyDescent="0.25">
      <c r="AE9997">
        <v>53.42</v>
      </c>
    </row>
    <row r="9998" spans="31:31" x14ac:dyDescent="0.25">
      <c r="AE9998">
        <v>37.99</v>
      </c>
    </row>
    <row r="9999" spans="31:31" x14ac:dyDescent="0.25">
      <c r="AE9999">
        <v>55.74</v>
      </c>
    </row>
    <row r="10000" spans="31:31" x14ac:dyDescent="0.25">
      <c r="AE10000">
        <v>46.62</v>
      </c>
    </row>
    <row r="10001" spans="31:31" x14ac:dyDescent="0.25">
      <c r="AE10001">
        <v>30.21</v>
      </c>
    </row>
    <row r="10002" spans="31:31" x14ac:dyDescent="0.25">
      <c r="AE10002">
        <v>10.54</v>
      </c>
    </row>
    <row r="10003" spans="31:31" x14ac:dyDescent="0.25">
      <c r="AE10003">
        <v>17.78</v>
      </c>
    </row>
    <row r="10004" spans="31:31" x14ac:dyDescent="0.25">
      <c r="AE10004">
        <v>35.54</v>
      </c>
    </row>
    <row r="10005" spans="31:31" x14ac:dyDescent="0.25">
      <c r="AE10005">
        <v>21.9</v>
      </c>
    </row>
    <row r="10006" spans="31:31" x14ac:dyDescent="0.25">
      <c r="AE10006">
        <v>29.49</v>
      </c>
    </row>
    <row r="10007" spans="31:31" x14ac:dyDescent="0.25">
      <c r="AE10007">
        <v>102.99</v>
      </c>
    </row>
    <row r="10008" spans="31:31" x14ac:dyDescent="0.25">
      <c r="AE10008">
        <v>30.75</v>
      </c>
    </row>
    <row r="10009" spans="31:31" x14ac:dyDescent="0.25">
      <c r="AE10009">
        <v>13.17</v>
      </c>
    </row>
    <row r="10010" spans="31:31" x14ac:dyDescent="0.25">
      <c r="AE10010">
        <v>10.039999999999999</v>
      </c>
    </row>
    <row r="10011" spans="31:31" x14ac:dyDescent="0.25">
      <c r="AE10011">
        <v>55.76</v>
      </c>
    </row>
    <row r="10012" spans="31:31" x14ac:dyDescent="0.25">
      <c r="AE10012">
        <v>79.790000000000006</v>
      </c>
    </row>
    <row r="10013" spans="31:31" x14ac:dyDescent="0.25">
      <c r="AE10013">
        <v>34.520000000000003</v>
      </c>
    </row>
    <row r="10014" spans="31:31" x14ac:dyDescent="0.25">
      <c r="AE10014">
        <v>10.58</v>
      </c>
    </row>
    <row r="10015" spans="31:31" x14ac:dyDescent="0.25">
      <c r="AE10015">
        <v>10.29</v>
      </c>
    </row>
    <row r="10016" spans="31:31" x14ac:dyDescent="0.25">
      <c r="AE10016">
        <v>10.09</v>
      </c>
    </row>
    <row r="10017" spans="31:31" x14ac:dyDescent="0.25">
      <c r="AE10017">
        <v>12.75</v>
      </c>
    </row>
    <row r="10018" spans="31:31" x14ac:dyDescent="0.25">
      <c r="AE10018">
        <v>65.88</v>
      </c>
    </row>
    <row r="10019" spans="31:31" x14ac:dyDescent="0.25">
      <c r="AE10019">
        <v>44.8</v>
      </c>
    </row>
    <row r="10020" spans="31:31" x14ac:dyDescent="0.25">
      <c r="AE10020">
        <v>24.44</v>
      </c>
    </row>
    <row r="10021" spans="31:31" x14ac:dyDescent="0.25">
      <c r="AE10021">
        <v>38.9</v>
      </c>
    </row>
    <row r="10022" spans="31:31" x14ac:dyDescent="0.25">
      <c r="AE10022">
        <v>25.08</v>
      </c>
    </row>
    <row r="10023" spans="31:31" x14ac:dyDescent="0.25">
      <c r="AE10023">
        <v>48.35</v>
      </c>
    </row>
    <row r="10024" spans="31:31" x14ac:dyDescent="0.25">
      <c r="AE10024">
        <v>0.7</v>
      </c>
    </row>
    <row r="10025" spans="31:31" x14ac:dyDescent="0.25">
      <c r="AE10025">
        <v>29.48</v>
      </c>
    </row>
    <row r="10026" spans="31:31" x14ac:dyDescent="0.25">
      <c r="AE10026">
        <v>71.760000000000005</v>
      </c>
    </row>
    <row r="10027" spans="31:31" x14ac:dyDescent="0.25">
      <c r="AE10027">
        <v>80.86</v>
      </c>
    </row>
    <row r="10028" spans="31:31" x14ac:dyDescent="0.25">
      <c r="AE10028">
        <v>107.21</v>
      </c>
    </row>
    <row r="10029" spans="31:31" x14ac:dyDescent="0.25">
      <c r="AE10029">
        <v>53.34</v>
      </c>
    </row>
    <row r="10030" spans="31:31" x14ac:dyDescent="0.25">
      <c r="AE10030">
        <v>16.46</v>
      </c>
    </row>
    <row r="10031" spans="31:31" x14ac:dyDescent="0.25">
      <c r="AE10031">
        <v>158.85</v>
      </c>
    </row>
    <row r="10032" spans="31:31" x14ac:dyDescent="0.25">
      <c r="AE10032">
        <v>14.23</v>
      </c>
    </row>
    <row r="10033" spans="31:31" x14ac:dyDescent="0.25">
      <c r="AE10033">
        <v>76.150000000000006</v>
      </c>
    </row>
    <row r="10034" spans="31:31" x14ac:dyDescent="0.25">
      <c r="AE10034">
        <v>52.81</v>
      </c>
    </row>
    <row r="10035" spans="31:31" x14ac:dyDescent="0.25">
      <c r="AE10035">
        <v>73.64</v>
      </c>
    </row>
    <row r="10036" spans="31:31" x14ac:dyDescent="0.25">
      <c r="AE10036">
        <v>32.28</v>
      </c>
    </row>
    <row r="10037" spans="31:31" x14ac:dyDescent="0.25">
      <c r="AE10037">
        <v>12.46</v>
      </c>
    </row>
    <row r="10038" spans="31:31" x14ac:dyDescent="0.25">
      <c r="AE10038">
        <v>44.93</v>
      </c>
    </row>
    <row r="10039" spans="31:31" x14ac:dyDescent="0.25">
      <c r="AE10039">
        <v>88.83</v>
      </c>
    </row>
    <row r="10040" spans="31:31" x14ac:dyDescent="0.25">
      <c r="AE10040">
        <v>10.49</v>
      </c>
    </row>
    <row r="10041" spans="31:31" x14ac:dyDescent="0.25">
      <c r="AE10041">
        <v>10.09</v>
      </c>
    </row>
    <row r="10042" spans="31:31" x14ac:dyDescent="0.25">
      <c r="AE10042">
        <v>32.369999999999997</v>
      </c>
    </row>
    <row r="10043" spans="31:31" x14ac:dyDescent="0.25">
      <c r="AE10043">
        <v>41.66</v>
      </c>
    </row>
    <row r="10044" spans="31:31" x14ac:dyDescent="0.25">
      <c r="AE10044">
        <v>24.66</v>
      </c>
    </row>
    <row r="10045" spans="31:31" x14ac:dyDescent="0.25">
      <c r="AE10045">
        <v>133.13</v>
      </c>
    </row>
    <row r="10046" spans="31:31" x14ac:dyDescent="0.25">
      <c r="AE10046">
        <v>71.349999999999994</v>
      </c>
    </row>
    <row r="10047" spans="31:31" x14ac:dyDescent="0.25">
      <c r="AE10047">
        <v>20.84</v>
      </c>
    </row>
    <row r="10048" spans="31:31" x14ac:dyDescent="0.25">
      <c r="AE10048">
        <v>24.14</v>
      </c>
    </row>
    <row r="10049" spans="31:31" x14ac:dyDescent="0.25">
      <c r="AE10049">
        <v>48.59</v>
      </c>
    </row>
    <row r="10050" spans="31:31" x14ac:dyDescent="0.25">
      <c r="AE10050">
        <v>54.11</v>
      </c>
    </row>
    <row r="10051" spans="31:31" x14ac:dyDescent="0.25">
      <c r="AE10051">
        <v>21.39</v>
      </c>
    </row>
    <row r="10052" spans="31:31" x14ac:dyDescent="0.25">
      <c r="AE10052">
        <v>43.73</v>
      </c>
    </row>
    <row r="10053" spans="31:31" x14ac:dyDescent="0.25">
      <c r="AE10053">
        <v>13.43</v>
      </c>
    </row>
    <row r="10054" spans="31:31" x14ac:dyDescent="0.25">
      <c r="AE10054">
        <v>58.14</v>
      </c>
    </row>
    <row r="10055" spans="31:31" x14ac:dyDescent="0.25">
      <c r="AE10055">
        <v>30.12</v>
      </c>
    </row>
    <row r="10056" spans="31:31" x14ac:dyDescent="0.25">
      <c r="AE10056">
        <v>24.3</v>
      </c>
    </row>
    <row r="10057" spans="31:31" x14ac:dyDescent="0.25">
      <c r="AE10057">
        <v>52.83</v>
      </c>
    </row>
    <row r="10058" spans="31:31" x14ac:dyDescent="0.25">
      <c r="AE10058">
        <v>88.55</v>
      </c>
    </row>
    <row r="10059" spans="31:31" x14ac:dyDescent="0.25">
      <c r="AE10059">
        <v>21.82</v>
      </c>
    </row>
    <row r="10060" spans="31:31" x14ac:dyDescent="0.25">
      <c r="AE10060">
        <v>42.65</v>
      </c>
    </row>
    <row r="10061" spans="31:31" x14ac:dyDescent="0.25">
      <c r="AE10061">
        <v>16.09</v>
      </c>
    </row>
    <row r="10062" spans="31:31" x14ac:dyDescent="0.25">
      <c r="AE10062">
        <v>29.04</v>
      </c>
    </row>
    <row r="10063" spans="31:31" x14ac:dyDescent="0.25">
      <c r="AE10063">
        <v>26.89</v>
      </c>
    </row>
    <row r="10064" spans="31:31" x14ac:dyDescent="0.25">
      <c r="AE10064">
        <v>37.82</v>
      </c>
    </row>
    <row r="10065" spans="31:31" x14ac:dyDescent="0.25">
      <c r="AE10065">
        <v>32.81</v>
      </c>
    </row>
    <row r="10066" spans="31:31" x14ac:dyDescent="0.25">
      <c r="AE10066">
        <v>21.19</v>
      </c>
    </row>
    <row r="10067" spans="31:31" x14ac:dyDescent="0.25">
      <c r="AE10067">
        <v>209.76</v>
      </c>
    </row>
    <row r="10068" spans="31:31" x14ac:dyDescent="0.25">
      <c r="AE10068">
        <v>38.69</v>
      </c>
    </row>
    <row r="10069" spans="31:31" x14ac:dyDescent="0.25">
      <c r="AE10069">
        <v>56.46</v>
      </c>
    </row>
    <row r="10070" spans="31:31" x14ac:dyDescent="0.25">
      <c r="AE10070">
        <v>17.579999999999998</v>
      </c>
    </row>
    <row r="10071" spans="31:31" x14ac:dyDescent="0.25">
      <c r="AE10071">
        <v>28.09</v>
      </c>
    </row>
    <row r="10072" spans="31:31" x14ac:dyDescent="0.25">
      <c r="AE10072">
        <v>60.25</v>
      </c>
    </row>
    <row r="10073" spans="31:31" x14ac:dyDescent="0.25">
      <c r="AE10073">
        <v>50.11</v>
      </c>
    </row>
    <row r="10074" spans="31:31" x14ac:dyDescent="0.25">
      <c r="AE10074">
        <v>36.92</v>
      </c>
    </row>
    <row r="10075" spans="31:31" x14ac:dyDescent="0.25">
      <c r="AE10075">
        <v>24.56</v>
      </c>
    </row>
    <row r="10076" spans="31:31" x14ac:dyDescent="0.25">
      <c r="AE10076">
        <v>37.96</v>
      </c>
    </row>
    <row r="10077" spans="31:31" x14ac:dyDescent="0.25">
      <c r="AE10077">
        <v>127.9</v>
      </c>
    </row>
    <row r="10078" spans="31:31" x14ac:dyDescent="0.25">
      <c r="AE10078">
        <v>10.29</v>
      </c>
    </row>
    <row r="10079" spans="31:31" x14ac:dyDescent="0.25">
      <c r="AE10079">
        <v>37.049999999999997</v>
      </c>
    </row>
    <row r="10080" spans="31:31" x14ac:dyDescent="0.25">
      <c r="AE10080">
        <v>59.21</v>
      </c>
    </row>
    <row r="10081" spans="31:31" x14ac:dyDescent="0.25">
      <c r="AE10081">
        <v>0.18</v>
      </c>
    </row>
    <row r="10082" spans="31:31" x14ac:dyDescent="0.25">
      <c r="AE10082">
        <v>20.49</v>
      </c>
    </row>
    <row r="10083" spans="31:31" x14ac:dyDescent="0.25">
      <c r="AE10083">
        <v>22.53</v>
      </c>
    </row>
    <row r="10084" spans="31:31" x14ac:dyDescent="0.25">
      <c r="AE10084">
        <v>83.5</v>
      </c>
    </row>
    <row r="10085" spans="31:31" x14ac:dyDescent="0.25">
      <c r="AE10085">
        <v>63.63</v>
      </c>
    </row>
    <row r="10086" spans="31:31" x14ac:dyDescent="0.25">
      <c r="AE10086">
        <v>86.31</v>
      </c>
    </row>
    <row r="10087" spans="31:31" x14ac:dyDescent="0.25">
      <c r="AE10087">
        <v>20.56</v>
      </c>
    </row>
    <row r="10088" spans="31:31" x14ac:dyDescent="0.25">
      <c r="AE10088">
        <v>92.79</v>
      </c>
    </row>
    <row r="10089" spans="31:31" x14ac:dyDescent="0.25">
      <c r="AE10089">
        <v>10.24</v>
      </c>
    </row>
    <row r="10090" spans="31:31" x14ac:dyDescent="0.25">
      <c r="AE10090">
        <v>14.61</v>
      </c>
    </row>
    <row r="10091" spans="31:31" x14ac:dyDescent="0.25">
      <c r="AE10091">
        <v>43.56</v>
      </c>
    </row>
    <row r="10092" spans="31:31" x14ac:dyDescent="0.25">
      <c r="AE10092">
        <v>57.37</v>
      </c>
    </row>
    <row r="10093" spans="31:31" x14ac:dyDescent="0.25">
      <c r="AE10093">
        <v>0.45</v>
      </c>
    </row>
    <row r="10094" spans="31:31" x14ac:dyDescent="0.25">
      <c r="AE10094">
        <v>14.8</v>
      </c>
    </row>
    <row r="10095" spans="31:31" x14ac:dyDescent="0.25">
      <c r="AE10095">
        <v>11.39</v>
      </c>
    </row>
    <row r="10096" spans="31:31" x14ac:dyDescent="0.25">
      <c r="AE10096">
        <v>20.14</v>
      </c>
    </row>
    <row r="10097" spans="31:31" x14ac:dyDescent="0.25">
      <c r="AE10097">
        <v>20.48</v>
      </c>
    </row>
    <row r="10098" spans="31:31" x14ac:dyDescent="0.25">
      <c r="AE10098">
        <v>86.03</v>
      </c>
    </row>
    <row r="10099" spans="31:31" x14ac:dyDescent="0.25">
      <c r="AE10099">
        <v>142</v>
      </c>
    </row>
    <row r="10100" spans="31:31" x14ac:dyDescent="0.25">
      <c r="AE10100">
        <v>48.72</v>
      </c>
    </row>
    <row r="10101" spans="31:31" x14ac:dyDescent="0.25">
      <c r="AE10101">
        <v>15.4</v>
      </c>
    </row>
    <row r="10102" spans="31:31" x14ac:dyDescent="0.25">
      <c r="AE10102">
        <v>117.08</v>
      </c>
    </row>
    <row r="10103" spans="31:31" x14ac:dyDescent="0.25">
      <c r="AE10103">
        <v>31.42</v>
      </c>
    </row>
    <row r="10104" spans="31:31" x14ac:dyDescent="0.25">
      <c r="AE10104">
        <v>20.79</v>
      </c>
    </row>
    <row r="10105" spans="31:31" x14ac:dyDescent="0.25">
      <c r="AE10105">
        <v>32.090000000000003</v>
      </c>
    </row>
    <row r="10106" spans="31:31" x14ac:dyDescent="0.25">
      <c r="AE10106">
        <v>13.45</v>
      </c>
    </row>
    <row r="10107" spans="31:31" x14ac:dyDescent="0.25">
      <c r="AE10107">
        <v>10.97</v>
      </c>
    </row>
    <row r="10108" spans="31:31" x14ac:dyDescent="0.25">
      <c r="AE10108">
        <v>55.89</v>
      </c>
    </row>
    <row r="10109" spans="31:31" x14ac:dyDescent="0.25">
      <c r="AE10109">
        <v>34.409999999999997</v>
      </c>
    </row>
    <row r="10110" spans="31:31" x14ac:dyDescent="0.25">
      <c r="AE10110">
        <v>18.850000000000001</v>
      </c>
    </row>
    <row r="10111" spans="31:31" x14ac:dyDescent="0.25">
      <c r="AE10111">
        <v>67.25</v>
      </c>
    </row>
    <row r="10112" spans="31:31" x14ac:dyDescent="0.25">
      <c r="AE10112">
        <v>32.020000000000003</v>
      </c>
    </row>
    <row r="10113" spans="31:31" x14ac:dyDescent="0.25">
      <c r="AE10113">
        <v>23.97</v>
      </c>
    </row>
    <row r="10114" spans="31:31" x14ac:dyDescent="0.25">
      <c r="AE10114">
        <v>266.3</v>
      </c>
    </row>
    <row r="10115" spans="31:31" x14ac:dyDescent="0.25">
      <c r="AE10115">
        <v>84.97</v>
      </c>
    </row>
    <row r="10116" spans="31:31" x14ac:dyDescent="0.25">
      <c r="AE10116">
        <v>66.7</v>
      </c>
    </row>
    <row r="10117" spans="31:31" x14ac:dyDescent="0.25">
      <c r="AE10117">
        <v>34.53</v>
      </c>
    </row>
    <row r="10118" spans="31:31" x14ac:dyDescent="0.25">
      <c r="AE10118">
        <v>26.98</v>
      </c>
    </row>
    <row r="10119" spans="31:31" x14ac:dyDescent="0.25">
      <c r="AE10119">
        <v>30.4</v>
      </c>
    </row>
    <row r="10120" spans="31:31" x14ac:dyDescent="0.25">
      <c r="AE10120">
        <v>24.79</v>
      </c>
    </row>
    <row r="10121" spans="31:31" x14ac:dyDescent="0.25">
      <c r="AE10121">
        <v>47.6</v>
      </c>
    </row>
    <row r="10122" spans="31:31" x14ac:dyDescent="0.25">
      <c r="AE10122">
        <v>28.44</v>
      </c>
    </row>
    <row r="10123" spans="31:31" x14ac:dyDescent="0.25">
      <c r="AE10123">
        <v>36.57</v>
      </c>
    </row>
    <row r="10124" spans="31:31" x14ac:dyDescent="0.25">
      <c r="AE10124">
        <v>34.340000000000003</v>
      </c>
    </row>
    <row r="10125" spans="31:31" x14ac:dyDescent="0.25">
      <c r="AE10125">
        <v>23.96</v>
      </c>
    </row>
    <row r="10126" spans="31:31" x14ac:dyDescent="0.25">
      <c r="AE10126">
        <v>161.19999999999999</v>
      </c>
    </row>
    <row r="10127" spans="31:31" x14ac:dyDescent="0.25">
      <c r="AE10127">
        <v>61.8</v>
      </c>
    </row>
    <row r="10128" spans="31:31" x14ac:dyDescent="0.25">
      <c r="AE10128">
        <v>40.28</v>
      </c>
    </row>
    <row r="10129" spans="31:31" x14ac:dyDescent="0.25">
      <c r="AE10129">
        <v>15.41</v>
      </c>
    </row>
    <row r="10130" spans="31:31" x14ac:dyDescent="0.25">
      <c r="AE10130">
        <v>83.93</v>
      </c>
    </row>
    <row r="10131" spans="31:31" x14ac:dyDescent="0.25">
      <c r="AE10131">
        <v>44.92</v>
      </c>
    </row>
    <row r="10132" spans="31:31" x14ac:dyDescent="0.25">
      <c r="AE10132">
        <v>27.27</v>
      </c>
    </row>
    <row r="10133" spans="31:31" x14ac:dyDescent="0.25">
      <c r="AE10133">
        <v>5.87</v>
      </c>
    </row>
    <row r="10134" spans="31:31" x14ac:dyDescent="0.25">
      <c r="AE10134">
        <v>22.46</v>
      </c>
    </row>
    <row r="10135" spans="31:31" x14ac:dyDescent="0.25">
      <c r="AE10135">
        <v>16.329999999999998</v>
      </c>
    </row>
    <row r="10136" spans="31:31" x14ac:dyDescent="0.25">
      <c r="AE10136">
        <v>50.68</v>
      </c>
    </row>
    <row r="10137" spans="31:31" x14ac:dyDescent="0.25">
      <c r="AE10137">
        <v>27.54</v>
      </c>
    </row>
    <row r="10138" spans="31:31" x14ac:dyDescent="0.25">
      <c r="AE10138">
        <v>61.72</v>
      </c>
    </row>
    <row r="10139" spans="31:31" x14ac:dyDescent="0.25">
      <c r="AE10139">
        <v>44.95</v>
      </c>
    </row>
    <row r="10140" spans="31:31" x14ac:dyDescent="0.25">
      <c r="AE10140">
        <v>70.900000000000006</v>
      </c>
    </row>
    <row r="10141" spans="31:31" x14ac:dyDescent="0.25">
      <c r="AE10141">
        <v>65.88</v>
      </c>
    </row>
    <row r="10142" spans="31:31" x14ac:dyDescent="0.25">
      <c r="AE10142">
        <v>72</v>
      </c>
    </row>
    <row r="10143" spans="31:31" x14ac:dyDescent="0.25">
      <c r="AE10143">
        <v>39.54</v>
      </c>
    </row>
    <row r="10144" spans="31:31" x14ac:dyDescent="0.25">
      <c r="AE10144">
        <v>0</v>
      </c>
    </row>
    <row r="10145" spans="31:31" x14ac:dyDescent="0.25">
      <c r="AE10145">
        <v>15.96</v>
      </c>
    </row>
    <row r="10146" spans="31:31" x14ac:dyDescent="0.25">
      <c r="AE10146">
        <v>43.6</v>
      </c>
    </row>
    <row r="10147" spans="31:31" x14ac:dyDescent="0.25">
      <c r="AE10147">
        <v>34.229999999999997</v>
      </c>
    </row>
    <row r="10148" spans="31:31" x14ac:dyDescent="0.25">
      <c r="AE10148">
        <v>10.24</v>
      </c>
    </row>
    <row r="10149" spans="31:31" x14ac:dyDescent="0.25">
      <c r="AE10149">
        <v>42.54</v>
      </c>
    </row>
    <row r="10150" spans="31:31" x14ac:dyDescent="0.25">
      <c r="AE10150">
        <v>52.17</v>
      </c>
    </row>
    <row r="10151" spans="31:31" x14ac:dyDescent="0.25">
      <c r="AE10151">
        <v>48.55</v>
      </c>
    </row>
    <row r="10152" spans="31:31" x14ac:dyDescent="0.25">
      <c r="AE10152">
        <v>84.06</v>
      </c>
    </row>
    <row r="10153" spans="31:31" x14ac:dyDescent="0.25">
      <c r="AE10153">
        <v>24.53</v>
      </c>
    </row>
    <row r="10154" spans="31:31" x14ac:dyDescent="0.25">
      <c r="AE10154">
        <v>38.340000000000003</v>
      </c>
    </row>
    <row r="10155" spans="31:31" x14ac:dyDescent="0.25">
      <c r="AE10155">
        <v>88.43</v>
      </c>
    </row>
    <row r="10156" spans="31:31" x14ac:dyDescent="0.25">
      <c r="AE10156">
        <v>39.090000000000003</v>
      </c>
    </row>
    <row r="10157" spans="31:31" x14ac:dyDescent="0.25">
      <c r="AE10157">
        <v>18.12</v>
      </c>
    </row>
    <row r="10158" spans="31:31" x14ac:dyDescent="0.25">
      <c r="AE10158">
        <v>28.24</v>
      </c>
    </row>
    <row r="10159" spans="31:31" x14ac:dyDescent="0.25">
      <c r="AE10159">
        <v>47.72</v>
      </c>
    </row>
    <row r="10160" spans="31:31" x14ac:dyDescent="0.25">
      <c r="AE10160">
        <v>29.87</v>
      </c>
    </row>
    <row r="10161" spans="31:31" x14ac:dyDescent="0.25">
      <c r="AE10161">
        <v>14.16</v>
      </c>
    </row>
    <row r="10162" spans="31:31" x14ac:dyDescent="0.25">
      <c r="AE10162">
        <v>18.22</v>
      </c>
    </row>
    <row r="10163" spans="31:31" x14ac:dyDescent="0.25">
      <c r="AE10163">
        <v>56.74</v>
      </c>
    </row>
    <row r="10164" spans="31:31" x14ac:dyDescent="0.25">
      <c r="AE10164">
        <v>29.61</v>
      </c>
    </row>
    <row r="10165" spans="31:31" x14ac:dyDescent="0.25">
      <c r="AE10165">
        <v>32.479999999999997</v>
      </c>
    </row>
    <row r="10166" spans="31:31" x14ac:dyDescent="0.25">
      <c r="AE10166">
        <v>41.41</v>
      </c>
    </row>
    <row r="10167" spans="31:31" x14ac:dyDescent="0.25">
      <c r="AE10167">
        <v>14.6</v>
      </c>
    </row>
    <row r="10168" spans="31:31" x14ac:dyDescent="0.25">
      <c r="AE10168">
        <v>18.170000000000002</v>
      </c>
    </row>
    <row r="10169" spans="31:31" x14ac:dyDescent="0.25">
      <c r="AE10169">
        <v>65.98</v>
      </c>
    </row>
    <row r="10170" spans="31:31" x14ac:dyDescent="0.25">
      <c r="AE10170">
        <v>10.29</v>
      </c>
    </row>
    <row r="10171" spans="31:31" x14ac:dyDescent="0.25">
      <c r="AE10171">
        <v>35.47</v>
      </c>
    </row>
    <row r="10172" spans="31:31" x14ac:dyDescent="0.25">
      <c r="AE10172">
        <v>21.3</v>
      </c>
    </row>
    <row r="10173" spans="31:31" x14ac:dyDescent="0.25">
      <c r="AE10173">
        <v>7.05</v>
      </c>
    </row>
    <row r="10174" spans="31:31" x14ac:dyDescent="0.25">
      <c r="AE10174">
        <v>45.08</v>
      </c>
    </row>
    <row r="10175" spans="31:31" x14ac:dyDescent="0.25">
      <c r="AE10175">
        <v>13.98</v>
      </c>
    </row>
    <row r="10176" spans="31:31" x14ac:dyDescent="0.25">
      <c r="AE10176">
        <v>38.64</v>
      </c>
    </row>
    <row r="10177" spans="31:31" x14ac:dyDescent="0.25">
      <c r="AE10177">
        <v>22.34</v>
      </c>
    </row>
    <row r="10178" spans="31:31" x14ac:dyDescent="0.25">
      <c r="AE10178">
        <v>62.27</v>
      </c>
    </row>
    <row r="10179" spans="31:31" x14ac:dyDescent="0.25">
      <c r="AE10179">
        <v>101.61</v>
      </c>
    </row>
    <row r="10180" spans="31:31" x14ac:dyDescent="0.25">
      <c r="AE10180">
        <v>29.78</v>
      </c>
    </row>
    <row r="10181" spans="31:31" x14ac:dyDescent="0.25">
      <c r="AE10181">
        <v>15.34</v>
      </c>
    </row>
    <row r="10182" spans="31:31" x14ac:dyDescent="0.25">
      <c r="AE10182">
        <v>51.38</v>
      </c>
    </row>
    <row r="10183" spans="31:31" x14ac:dyDescent="0.25">
      <c r="AE10183">
        <v>32.229999999999997</v>
      </c>
    </row>
    <row r="10184" spans="31:31" x14ac:dyDescent="0.25">
      <c r="AE10184">
        <v>34.950000000000003</v>
      </c>
    </row>
    <row r="10185" spans="31:31" x14ac:dyDescent="0.25">
      <c r="AE10185">
        <v>10.14</v>
      </c>
    </row>
    <row r="10186" spans="31:31" x14ac:dyDescent="0.25">
      <c r="AE10186">
        <v>95</v>
      </c>
    </row>
    <row r="10187" spans="31:31" x14ac:dyDescent="0.25">
      <c r="AE10187">
        <v>167.03</v>
      </c>
    </row>
    <row r="10188" spans="31:31" x14ac:dyDescent="0.25">
      <c r="AE10188">
        <v>11.43</v>
      </c>
    </row>
    <row r="10189" spans="31:31" x14ac:dyDescent="0.25">
      <c r="AE10189">
        <v>27.18</v>
      </c>
    </row>
    <row r="10190" spans="31:31" x14ac:dyDescent="0.25">
      <c r="AE10190">
        <v>62.78</v>
      </c>
    </row>
    <row r="10191" spans="31:31" x14ac:dyDescent="0.25">
      <c r="AE10191">
        <v>29.52</v>
      </c>
    </row>
    <row r="10192" spans="31:31" x14ac:dyDescent="0.25">
      <c r="AE10192">
        <v>134.77000000000001</v>
      </c>
    </row>
    <row r="10193" spans="31:31" x14ac:dyDescent="0.25">
      <c r="AE10193">
        <v>111.79</v>
      </c>
    </row>
    <row r="10194" spans="31:31" x14ac:dyDescent="0.25">
      <c r="AE10194">
        <v>21.47</v>
      </c>
    </row>
    <row r="10195" spans="31:31" x14ac:dyDescent="0.25">
      <c r="AE10195">
        <v>10.29</v>
      </c>
    </row>
    <row r="10196" spans="31:31" x14ac:dyDescent="0.25">
      <c r="AE10196">
        <v>217.59</v>
      </c>
    </row>
    <row r="10197" spans="31:31" x14ac:dyDescent="0.25">
      <c r="AE10197">
        <v>25.81</v>
      </c>
    </row>
    <row r="10198" spans="31:31" x14ac:dyDescent="0.25">
      <c r="AE10198">
        <v>17.93</v>
      </c>
    </row>
    <row r="10199" spans="31:31" x14ac:dyDescent="0.25">
      <c r="AE10199">
        <v>53.67</v>
      </c>
    </row>
    <row r="10200" spans="31:31" x14ac:dyDescent="0.25">
      <c r="AE10200">
        <v>50.51</v>
      </c>
    </row>
    <row r="10201" spans="31:31" x14ac:dyDescent="0.25">
      <c r="AE10201">
        <v>38.020000000000003</v>
      </c>
    </row>
    <row r="10202" spans="31:31" x14ac:dyDescent="0.25">
      <c r="AE10202">
        <v>41.86</v>
      </c>
    </row>
    <row r="10203" spans="31:31" x14ac:dyDescent="0.25">
      <c r="AE10203">
        <v>45.7</v>
      </c>
    </row>
    <row r="10204" spans="31:31" x14ac:dyDescent="0.25">
      <c r="AE10204">
        <v>87.91</v>
      </c>
    </row>
    <row r="10205" spans="31:31" x14ac:dyDescent="0.25">
      <c r="AE10205">
        <v>20.49</v>
      </c>
    </row>
    <row r="10206" spans="31:31" x14ac:dyDescent="0.25">
      <c r="AE10206">
        <v>26.37</v>
      </c>
    </row>
    <row r="10207" spans="31:31" x14ac:dyDescent="0.25">
      <c r="AE10207">
        <v>27.7</v>
      </c>
    </row>
    <row r="10208" spans="31:31" x14ac:dyDescent="0.25">
      <c r="AE10208">
        <v>57.37</v>
      </c>
    </row>
    <row r="10209" spans="31:31" x14ac:dyDescent="0.25">
      <c r="AE10209">
        <v>51.83</v>
      </c>
    </row>
    <row r="10210" spans="31:31" x14ac:dyDescent="0.25">
      <c r="AE10210">
        <v>19.23</v>
      </c>
    </row>
    <row r="10211" spans="31:31" x14ac:dyDescent="0.25">
      <c r="AE10211">
        <v>89.58</v>
      </c>
    </row>
    <row r="10212" spans="31:31" x14ac:dyDescent="0.25">
      <c r="AE10212">
        <v>27.83</v>
      </c>
    </row>
    <row r="10213" spans="31:31" x14ac:dyDescent="0.25">
      <c r="AE10213">
        <v>7.58</v>
      </c>
    </row>
    <row r="10214" spans="31:31" x14ac:dyDescent="0.25">
      <c r="AE10214">
        <v>53.42</v>
      </c>
    </row>
    <row r="10215" spans="31:31" x14ac:dyDescent="0.25">
      <c r="AE10215">
        <v>47.26</v>
      </c>
    </row>
    <row r="10216" spans="31:31" x14ac:dyDescent="0.25">
      <c r="AE10216">
        <v>59.29</v>
      </c>
    </row>
    <row r="10217" spans="31:31" x14ac:dyDescent="0.25">
      <c r="AE10217">
        <v>38.270000000000003</v>
      </c>
    </row>
    <row r="10218" spans="31:31" x14ac:dyDescent="0.25">
      <c r="AE10218">
        <v>180.79</v>
      </c>
    </row>
    <row r="10219" spans="31:31" x14ac:dyDescent="0.25">
      <c r="AE10219">
        <v>248.18</v>
      </c>
    </row>
    <row r="10220" spans="31:31" x14ac:dyDescent="0.25">
      <c r="AE10220">
        <v>42.35</v>
      </c>
    </row>
    <row r="10221" spans="31:31" x14ac:dyDescent="0.25">
      <c r="AE10221">
        <v>52.22</v>
      </c>
    </row>
    <row r="10222" spans="31:31" x14ac:dyDescent="0.25">
      <c r="AE10222">
        <v>29.78</v>
      </c>
    </row>
    <row r="10223" spans="31:31" x14ac:dyDescent="0.25">
      <c r="AE10223">
        <v>18.010000000000002</v>
      </c>
    </row>
    <row r="10224" spans="31:31" x14ac:dyDescent="0.25">
      <c r="AE10224">
        <v>27.34</v>
      </c>
    </row>
    <row r="10225" spans="31:31" x14ac:dyDescent="0.25">
      <c r="AE10225">
        <v>62.08</v>
      </c>
    </row>
    <row r="10226" spans="31:31" x14ac:dyDescent="0.25">
      <c r="AE10226">
        <v>27.29</v>
      </c>
    </row>
    <row r="10227" spans="31:31" x14ac:dyDescent="0.25">
      <c r="AE10227">
        <v>31.05</v>
      </c>
    </row>
    <row r="10228" spans="31:31" x14ac:dyDescent="0.25">
      <c r="AE10228">
        <v>11.99</v>
      </c>
    </row>
    <row r="10229" spans="31:31" x14ac:dyDescent="0.25">
      <c r="AE10229">
        <v>99.53</v>
      </c>
    </row>
    <row r="10230" spans="31:31" x14ac:dyDescent="0.25">
      <c r="AE10230">
        <v>97.74</v>
      </c>
    </row>
    <row r="10231" spans="31:31" x14ac:dyDescent="0.25">
      <c r="AE10231">
        <v>9.99</v>
      </c>
    </row>
    <row r="10232" spans="31:31" x14ac:dyDescent="0.25">
      <c r="AE10232">
        <v>25.76</v>
      </c>
    </row>
    <row r="10233" spans="31:31" x14ac:dyDescent="0.25">
      <c r="AE10233">
        <v>17.739999999999998</v>
      </c>
    </row>
    <row r="10234" spans="31:31" x14ac:dyDescent="0.25">
      <c r="AE10234">
        <v>10.59</v>
      </c>
    </row>
    <row r="10235" spans="31:31" x14ac:dyDescent="0.25">
      <c r="AE10235">
        <v>10.39</v>
      </c>
    </row>
    <row r="10236" spans="31:31" x14ac:dyDescent="0.25">
      <c r="AE10236">
        <v>45.6</v>
      </c>
    </row>
    <row r="10237" spans="31:31" x14ac:dyDescent="0.25">
      <c r="AE10237">
        <v>79.87</v>
      </c>
    </row>
    <row r="10238" spans="31:31" x14ac:dyDescent="0.25">
      <c r="AE10238">
        <v>30.31</v>
      </c>
    </row>
    <row r="10239" spans="31:31" x14ac:dyDescent="0.25">
      <c r="AE10239">
        <v>54.16</v>
      </c>
    </row>
    <row r="10240" spans="31:31" x14ac:dyDescent="0.25">
      <c r="AE10240">
        <v>10.039999999999999</v>
      </c>
    </row>
    <row r="10241" spans="31:31" x14ac:dyDescent="0.25">
      <c r="AE10241">
        <v>76.180000000000007</v>
      </c>
    </row>
    <row r="10242" spans="31:31" x14ac:dyDescent="0.25">
      <c r="AE10242">
        <v>90.87</v>
      </c>
    </row>
    <row r="10243" spans="31:31" x14ac:dyDescent="0.25">
      <c r="AE10243">
        <v>43.83</v>
      </c>
    </row>
    <row r="10244" spans="31:31" x14ac:dyDescent="0.25">
      <c r="AE10244">
        <v>26.5</v>
      </c>
    </row>
    <row r="10245" spans="31:31" x14ac:dyDescent="0.25">
      <c r="AE10245">
        <v>73.59</v>
      </c>
    </row>
    <row r="10246" spans="31:31" x14ac:dyDescent="0.25">
      <c r="AE10246">
        <v>127.19</v>
      </c>
    </row>
    <row r="10247" spans="31:31" x14ac:dyDescent="0.25">
      <c r="AE10247">
        <v>129.91</v>
      </c>
    </row>
    <row r="10248" spans="31:31" x14ac:dyDescent="0.25">
      <c r="AE10248">
        <v>69.92</v>
      </c>
    </row>
    <row r="10249" spans="31:31" x14ac:dyDescent="0.25">
      <c r="AE10249">
        <v>86</v>
      </c>
    </row>
    <row r="10250" spans="31:31" x14ac:dyDescent="0.25">
      <c r="AE10250">
        <v>51.31</v>
      </c>
    </row>
    <row r="10251" spans="31:31" x14ac:dyDescent="0.25">
      <c r="AE10251">
        <v>71.88</v>
      </c>
    </row>
    <row r="10252" spans="31:31" x14ac:dyDescent="0.25">
      <c r="AE10252">
        <v>34.86</v>
      </c>
    </row>
    <row r="10253" spans="31:31" x14ac:dyDescent="0.25">
      <c r="AE10253">
        <v>334.83</v>
      </c>
    </row>
    <row r="10254" spans="31:31" x14ac:dyDescent="0.25">
      <c r="AE10254">
        <v>16.600000000000001</v>
      </c>
    </row>
    <row r="10255" spans="31:31" x14ac:dyDescent="0.25">
      <c r="AE10255">
        <v>98.37</v>
      </c>
    </row>
    <row r="10256" spans="31:31" x14ac:dyDescent="0.25">
      <c r="AE10256">
        <v>15.97</v>
      </c>
    </row>
    <row r="10257" spans="31:31" x14ac:dyDescent="0.25">
      <c r="AE10257">
        <v>0.54</v>
      </c>
    </row>
    <row r="10258" spans="31:31" x14ac:dyDescent="0.25">
      <c r="AE10258">
        <v>68.84</v>
      </c>
    </row>
    <row r="10259" spans="31:31" x14ac:dyDescent="0.25">
      <c r="AE10259">
        <v>43.75</v>
      </c>
    </row>
    <row r="10260" spans="31:31" x14ac:dyDescent="0.25">
      <c r="AE10260">
        <v>30.42</v>
      </c>
    </row>
    <row r="10261" spans="31:31" x14ac:dyDescent="0.25">
      <c r="AE10261">
        <v>30.54</v>
      </c>
    </row>
    <row r="10262" spans="31:31" x14ac:dyDescent="0.25">
      <c r="AE10262">
        <v>31.62</v>
      </c>
    </row>
    <row r="10263" spans="31:31" x14ac:dyDescent="0.25">
      <c r="AE10263">
        <v>24.49</v>
      </c>
    </row>
    <row r="10264" spans="31:31" x14ac:dyDescent="0.25">
      <c r="AE10264">
        <v>8.98</v>
      </c>
    </row>
    <row r="10265" spans="31:31" x14ac:dyDescent="0.25">
      <c r="AE10265">
        <v>19.059999999999999</v>
      </c>
    </row>
    <row r="10266" spans="31:31" x14ac:dyDescent="0.25">
      <c r="AE10266">
        <v>113.79</v>
      </c>
    </row>
    <row r="10267" spans="31:31" x14ac:dyDescent="0.25">
      <c r="AE10267">
        <v>48.18</v>
      </c>
    </row>
    <row r="10268" spans="31:31" x14ac:dyDescent="0.25">
      <c r="AE10268">
        <v>102.13</v>
      </c>
    </row>
    <row r="10269" spans="31:31" x14ac:dyDescent="0.25">
      <c r="AE10269">
        <v>74.489999999999995</v>
      </c>
    </row>
    <row r="10270" spans="31:31" x14ac:dyDescent="0.25">
      <c r="AE10270">
        <v>26.26</v>
      </c>
    </row>
    <row r="10271" spans="31:31" x14ac:dyDescent="0.25">
      <c r="AE10271">
        <v>20.68</v>
      </c>
    </row>
    <row r="10272" spans="31:31" x14ac:dyDescent="0.25">
      <c r="AE10272">
        <v>17.239999999999998</v>
      </c>
    </row>
    <row r="10273" spans="31:31" x14ac:dyDescent="0.25">
      <c r="AE10273">
        <v>42.75</v>
      </c>
    </row>
    <row r="10274" spans="31:31" x14ac:dyDescent="0.25">
      <c r="AE10274">
        <v>20.100000000000001</v>
      </c>
    </row>
    <row r="10275" spans="31:31" x14ac:dyDescent="0.25">
      <c r="AE10275">
        <v>14.28</v>
      </c>
    </row>
    <row r="10276" spans="31:31" x14ac:dyDescent="0.25">
      <c r="AE10276">
        <v>128.01</v>
      </c>
    </row>
    <row r="10277" spans="31:31" x14ac:dyDescent="0.25">
      <c r="AE10277">
        <v>23.83</v>
      </c>
    </row>
    <row r="10278" spans="31:31" x14ac:dyDescent="0.25">
      <c r="AE10278">
        <v>73.819999999999993</v>
      </c>
    </row>
    <row r="10279" spans="31:31" x14ac:dyDescent="0.25">
      <c r="AE10279">
        <v>45.63</v>
      </c>
    </row>
    <row r="10280" spans="31:31" x14ac:dyDescent="0.25">
      <c r="AE10280">
        <v>103.88</v>
      </c>
    </row>
    <row r="10281" spans="31:31" x14ac:dyDescent="0.25">
      <c r="AE10281">
        <v>22.19</v>
      </c>
    </row>
    <row r="10282" spans="31:31" x14ac:dyDescent="0.25">
      <c r="AE10282">
        <v>37.67</v>
      </c>
    </row>
    <row r="10283" spans="31:31" x14ac:dyDescent="0.25">
      <c r="AE10283">
        <v>97.54</v>
      </c>
    </row>
    <row r="10284" spans="31:31" x14ac:dyDescent="0.25">
      <c r="AE10284">
        <v>19.27</v>
      </c>
    </row>
    <row r="10285" spans="31:31" x14ac:dyDescent="0.25">
      <c r="AE10285">
        <v>45.53</v>
      </c>
    </row>
    <row r="10286" spans="31:31" x14ac:dyDescent="0.25">
      <c r="AE10286">
        <v>14.06</v>
      </c>
    </row>
    <row r="10287" spans="31:31" x14ac:dyDescent="0.25">
      <c r="AE10287">
        <v>17.52</v>
      </c>
    </row>
    <row r="10288" spans="31:31" x14ac:dyDescent="0.25">
      <c r="AE10288">
        <v>136.33000000000001</v>
      </c>
    </row>
    <row r="10289" spans="31:31" x14ac:dyDescent="0.25">
      <c r="AE10289">
        <v>18.239999999999998</v>
      </c>
    </row>
    <row r="10290" spans="31:31" x14ac:dyDescent="0.25">
      <c r="AE10290">
        <v>5.59</v>
      </c>
    </row>
    <row r="10291" spans="31:31" x14ac:dyDescent="0.25">
      <c r="AE10291">
        <v>18.09</v>
      </c>
    </row>
    <row r="10292" spans="31:31" x14ac:dyDescent="0.25">
      <c r="AE10292">
        <v>40.630000000000003</v>
      </c>
    </row>
    <row r="10293" spans="31:31" x14ac:dyDescent="0.25">
      <c r="AE10293">
        <v>81.900000000000006</v>
      </c>
    </row>
    <row r="10294" spans="31:31" x14ac:dyDescent="0.25">
      <c r="AE10294">
        <v>3.31</v>
      </c>
    </row>
    <row r="10295" spans="31:31" x14ac:dyDescent="0.25">
      <c r="AE10295">
        <v>39.93</v>
      </c>
    </row>
    <row r="10296" spans="31:31" x14ac:dyDescent="0.25">
      <c r="AE10296">
        <v>39.42</v>
      </c>
    </row>
    <row r="10297" spans="31:31" x14ac:dyDescent="0.25">
      <c r="AE10297">
        <v>85.07</v>
      </c>
    </row>
    <row r="10298" spans="31:31" x14ac:dyDescent="0.25">
      <c r="AE10298">
        <v>38.83</v>
      </c>
    </row>
    <row r="10299" spans="31:31" x14ac:dyDescent="0.25">
      <c r="AE10299">
        <v>31.47</v>
      </c>
    </row>
    <row r="10300" spans="31:31" x14ac:dyDescent="0.25">
      <c r="AE10300">
        <v>13.88</v>
      </c>
    </row>
    <row r="10301" spans="31:31" x14ac:dyDescent="0.25">
      <c r="AE10301">
        <v>59.35</v>
      </c>
    </row>
    <row r="10302" spans="31:31" x14ac:dyDescent="0.25">
      <c r="AE10302">
        <v>39.9</v>
      </c>
    </row>
    <row r="10303" spans="31:31" x14ac:dyDescent="0.25">
      <c r="AE10303">
        <v>16.29</v>
      </c>
    </row>
    <row r="10304" spans="31:31" x14ac:dyDescent="0.25">
      <c r="AE10304">
        <v>21.9</v>
      </c>
    </row>
    <row r="10305" spans="31:31" x14ac:dyDescent="0.25">
      <c r="AE10305">
        <v>46.98</v>
      </c>
    </row>
    <row r="10306" spans="31:31" x14ac:dyDescent="0.25">
      <c r="AE10306">
        <v>66.36</v>
      </c>
    </row>
    <row r="10307" spans="31:31" x14ac:dyDescent="0.25">
      <c r="AE10307">
        <v>39.979999999999997</v>
      </c>
    </row>
    <row r="10308" spans="31:31" x14ac:dyDescent="0.25">
      <c r="AE10308">
        <v>88.99</v>
      </c>
    </row>
    <row r="10309" spans="31:31" x14ac:dyDescent="0.25">
      <c r="AE10309">
        <v>100.35</v>
      </c>
    </row>
    <row r="10310" spans="31:31" x14ac:dyDescent="0.25">
      <c r="AE10310">
        <v>22.27</v>
      </c>
    </row>
    <row r="10311" spans="31:31" x14ac:dyDescent="0.25">
      <c r="AE10311">
        <v>12.42</v>
      </c>
    </row>
    <row r="10312" spans="31:31" x14ac:dyDescent="0.25">
      <c r="AE10312">
        <v>35.57</v>
      </c>
    </row>
    <row r="10313" spans="31:31" x14ac:dyDescent="0.25">
      <c r="AE10313">
        <v>48.53</v>
      </c>
    </row>
    <row r="10314" spans="31:31" x14ac:dyDescent="0.25">
      <c r="AE10314">
        <v>40.880000000000003</v>
      </c>
    </row>
    <row r="10315" spans="31:31" x14ac:dyDescent="0.25">
      <c r="AE10315">
        <v>61.96</v>
      </c>
    </row>
    <row r="10316" spans="31:31" x14ac:dyDescent="0.25">
      <c r="AE10316">
        <v>40.06</v>
      </c>
    </row>
    <row r="10317" spans="31:31" x14ac:dyDescent="0.25">
      <c r="AE10317">
        <v>1.26</v>
      </c>
    </row>
    <row r="10318" spans="31:31" x14ac:dyDescent="0.25">
      <c r="AE10318">
        <v>0.36</v>
      </c>
    </row>
    <row r="10319" spans="31:31" x14ac:dyDescent="0.25">
      <c r="AE10319">
        <v>48.61</v>
      </c>
    </row>
    <row r="10320" spans="31:31" x14ac:dyDescent="0.25">
      <c r="AE10320">
        <v>18.43</v>
      </c>
    </row>
    <row r="10321" spans="31:31" x14ac:dyDescent="0.25">
      <c r="AE10321">
        <v>92.95</v>
      </c>
    </row>
    <row r="10322" spans="31:31" x14ac:dyDescent="0.25">
      <c r="AE10322">
        <v>116.85</v>
      </c>
    </row>
    <row r="10323" spans="31:31" x14ac:dyDescent="0.25">
      <c r="AE10323">
        <v>22.04</v>
      </c>
    </row>
    <row r="10324" spans="31:31" x14ac:dyDescent="0.25">
      <c r="AE10324">
        <v>36.25</v>
      </c>
    </row>
    <row r="10325" spans="31:31" x14ac:dyDescent="0.25">
      <c r="AE10325">
        <v>33.47</v>
      </c>
    </row>
    <row r="10326" spans="31:31" x14ac:dyDescent="0.25">
      <c r="AE10326">
        <v>93.84</v>
      </c>
    </row>
    <row r="10327" spans="31:31" x14ac:dyDescent="0.25">
      <c r="AE10327">
        <v>45.4</v>
      </c>
    </row>
    <row r="10328" spans="31:31" x14ac:dyDescent="0.25">
      <c r="AE10328">
        <v>55.58</v>
      </c>
    </row>
    <row r="10329" spans="31:31" x14ac:dyDescent="0.25">
      <c r="AE10329">
        <v>2.4</v>
      </c>
    </row>
    <row r="10330" spans="31:31" x14ac:dyDescent="0.25">
      <c r="AE10330">
        <v>109.25</v>
      </c>
    </row>
    <row r="10331" spans="31:31" x14ac:dyDescent="0.25">
      <c r="AE10331">
        <v>12.69</v>
      </c>
    </row>
    <row r="10332" spans="31:31" x14ac:dyDescent="0.25">
      <c r="AE10332">
        <v>28.5</v>
      </c>
    </row>
    <row r="10333" spans="31:31" x14ac:dyDescent="0.25">
      <c r="AE10333">
        <v>42.62</v>
      </c>
    </row>
    <row r="10334" spans="31:31" x14ac:dyDescent="0.25">
      <c r="AE10334">
        <v>432.72</v>
      </c>
    </row>
    <row r="10335" spans="31:31" x14ac:dyDescent="0.25">
      <c r="AE10335">
        <v>86.59</v>
      </c>
    </row>
    <row r="10336" spans="31:31" x14ac:dyDescent="0.25">
      <c r="AE10336">
        <v>19.32</v>
      </c>
    </row>
    <row r="10337" spans="31:31" x14ac:dyDescent="0.25">
      <c r="AE10337">
        <v>0.54</v>
      </c>
    </row>
    <row r="10338" spans="31:31" x14ac:dyDescent="0.25">
      <c r="AE10338">
        <v>0.18</v>
      </c>
    </row>
    <row r="10339" spans="31:31" x14ac:dyDescent="0.25">
      <c r="AE10339">
        <v>39.11</v>
      </c>
    </row>
    <row r="10340" spans="31:31" x14ac:dyDescent="0.25">
      <c r="AE10340">
        <v>82.74</v>
      </c>
    </row>
    <row r="10341" spans="31:31" x14ac:dyDescent="0.25">
      <c r="AE10341">
        <v>52.27</v>
      </c>
    </row>
    <row r="10342" spans="31:31" x14ac:dyDescent="0.25">
      <c r="AE10342">
        <v>25.11</v>
      </c>
    </row>
    <row r="10343" spans="31:31" x14ac:dyDescent="0.25">
      <c r="AE10343">
        <v>35.1</v>
      </c>
    </row>
    <row r="10344" spans="31:31" x14ac:dyDescent="0.25">
      <c r="AE10344">
        <v>27.2</v>
      </c>
    </row>
    <row r="10345" spans="31:31" x14ac:dyDescent="0.25">
      <c r="AE10345">
        <v>16.5</v>
      </c>
    </row>
    <row r="10346" spans="31:31" x14ac:dyDescent="0.25">
      <c r="AE10346">
        <v>56.63</v>
      </c>
    </row>
    <row r="10347" spans="31:31" x14ac:dyDescent="0.25">
      <c r="AE10347">
        <v>60.41</v>
      </c>
    </row>
    <row r="10348" spans="31:31" x14ac:dyDescent="0.25">
      <c r="AE10348">
        <v>16.809999999999999</v>
      </c>
    </row>
    <row r="10349" spans="31:31" x14ac:dyDescent="0.25">
      <c r="AE10349">
        <v>10.01</v>
      </c>
    </row>
    <row r="10350" spans="31:31" x14ac:dyDescent="0.25">
      <c r="AE10350">
        <v>49.09</v>
      </c>
    </row>
    <row r="10351" spans="31:31" x14ac:dyDescent="0.25">
      <c r="AE10351">
        <v>41.62</v>
      </c>
    </row>
    <row r="10352" spans="31:31" x14ac:dyDescent="0.25">
      <c r="AE10352">
        <v>16.260000000000002</v>
      </c>
    </row>
    <row r="10353" spans="31:31" x14ac:dyDescent="0.25">
      <c r="AE10353">
        <v>15.84</v>
      </c>
    </row>
    <row r="10354" spans="31:31" x14ac:dyDescent="0.25">
      <c r="AE10354">
        <v>19.13</v>
      </c>
    </row>
    <row r="10355" spans="31:31" x14ac:dyDescent="0.25">
      <c r="AE10355">
        <v>10.29</v>
      </c>
    </row>
    <row r="10356" spans="31:31" x14ac:dyDescent="0.25">
      <c r="AE10356">
        <v>47.06</v>
      </c>
    </row>
    <row r="10357" spans="31:31" x14ac:dyDescent="0.25">
      <c r="AE10357">
        <v>231.31</v>
      </c>
    </row>
    <row r="10358" spans="31:31" x14ac:dyDescent="0.25">
      <c r="AE10358">
        <v>56.86</v>
      </c>
    </row>
    <row r="10359" spans="31:31" x14ac:dyDescent="0.25">
      <c r="AE10359">
        <v>114.46</v>
      </c>
    </row>
    <row r="10360" spans="31:31" x14ac:dyDescent="0.25">
      <c r="AE10360">
        <v>38.65</v>
      </c>
    </row>
    <row r="10361" spans="31:31" x14ac:dyDescent="0.25">
      <c r="AE10361">
        <v>21.95</v>
      </c>
    </row>
    <row r="10362" spans="31:31" x14ac:dyDescent="0.25">
      <c r="AE10362">
        <v>11.99</v>
      </c>
    </row>
    <row r="10363" spans="31:31" x14ac:dyDescent="0.25">
      <c r="AE10363">
        <v>136.24</v>
      </c>
    </row>
    <row r="10364" spans="31:31" x14ac:dyDescent="0.25">
      <c r="AE10364">
        <v>72.23</v>
      </c>
    </row>
    <row r="10365" spans="31:31" x14ac:dyDescent="0.25">
      <c r="AE10365">
        <v>53.09</v>
      </c>
    </row>
    <row r="10366" spans="31:31" x14ac:dyDescent="0.25">
      <c r="AE10366">
        <v>43</v>
      </c>
    </row>
    <row r="10367" spans="31:31" x14ac:dyDescent="0.25">
      <c r="AE10367">
        <v>39.270000000000003</v>
      </c>
    </row>
    <row r="10368" spans="31:31" x14ac:dyDescent="0.25">
      <c r="AE10368">
        <v>15.76</v>
      </c>
    </row>
    <row r="10369" spans="31:31" x14ac:dyDescent="0.25">
      <c r="AE10369">
        <v>89.1</v>
      </c>
    </row>
    <row r="10370" spans="31:31" x14ac:dyDescent="0.25">
      <c r="AE10370">
        <v>155.80000000000001</v>
      </c>
    </row>
    <row r="10371" spans="31:31" x14ac:dyDescent="0.25">
      <c r="AE10371">
        <v>35.119999999999997</v>
      </c>
    </row>
    <row r="10372" spans="31:31" x14ac:dyDescent="0.25">
      <c r="AE10372">
        <v>31.26</v>
      </c>
    </row>
    <row r="10373" spans="31:31" x14ac:dyDescent="0.25">
      <c r="AE10373">
        <v>69.150000000000006</v>
      </c>
    </row>
    <row r="10374" spans="31:31" x14ac:dyDescent="0.25">
      <c r="AE10374">
        <v>108.18</v>
      </c>
    </row>
    <row r="10375" spans="31:31" x14ac:dyDescent="0.25">
      <c r="AE10375">
        <v>22.53</v>
      </c>
    </row>
    <row r="10376" spans="31:31" x14ac:dyDescent="0.25">
      <c r="AE10376">
        <v>77.92</v>
      </c>
    </row>
    <row r="10377" spans="31:31" x14ac:dyDescent="0.25">
      <c r="AE10377">
        <v>37.89</v>
      </c>
    </row>
    <row r="10378" spans="31:31" x14ac:dyDescent="0.25">
      <c r="AE10378">
        <v>111.3</v>
      </c>
    </row>
    <row r="10379" spans="31:31" x14ac:dyDescent="0.25">
      <c r="AE10379">
        <v>8.16</v>
      </c>
    </row>
    <row r="10380" spans="31:31" x14ac:dyDescent="0.25">
      <c r="AE10380">
        <v>11.39</v>
      </c>
    </row>
    <row r="10381" spans="31:31" x14ac:dyDescent="0.25">
      <c r="AE10381">
        <v>22.14</v>
      </c>
    </row>
    <row r="10382" spans="31:31" x14ac:dyDescent="0.25">
      <c r="AE10382">
        <v>98.32</v>
      </c>
    </row>
    <row r="10383" spans="31:31" x14ac:dyDescent="0.25">
      <c r="AE10383">
        <v>10.72</v>
      </c>
    </row>
    <row r="10384" spans="31:31" x14ac:dyDescent="0.25">
      <c r="AE10384">
        <v>119.65</v>
      </c>
    </row>
    <row r="10385" spans="31:31" x14ac:dyDescent="0.25">
      <c r="AE10385">
        <v>29.36</v>
      </c>
    </row>
    <row r="10386" spans="31:31" x14ac:dyDescent="0.25">
      <c r="AE10386">
        <v>89.7</v>
      </c>
    </row>
    <row r="10387" spans="31:31" x14ac:dyDescent="0.25">
      <c r="AE10387">
        <v>27.35</v>
      </c>
    </row>
    <row r="10388" spans="31:31" x14ac:dyDescent="0.25">
      <c r="AE10388">
        <v>161.18</v>
      </c>
    </row>
    <row r="10389" spans="31:31" x14ac:dyDescent="0.25">
      <c r="AE10389">
        <v>96.72</v>
      </c>
    </row>
    <row r="10390" spans="31:31" x14ac:dyDescent="0.25">
      <c r="AE10390">
        <v>122.67</v>
      </c>
    </row>
    <row r="10391" spans="31:31" x14ac:dyDescent="0.25">
      <c r="AE10391">
        <v>53.43</v>
      </c>
    </row>
    <row r="10392" spans="31:31" x14ac:dyDescent="0.25">
      <c r="AE10392">
        <v>0.09</v>
      </c>
    </row>
    <row r="10393" spans="31:31" x14ac:dyDescent="0.25">
      <c r="AE10393">
        <v>72.010000000000005</v>
      </c>
    </row>
    <row r="10394" spans="31:31" x14ac:dyDescent="0.25">
      <c r="AE10394">
        <v>63.33</v>
      </c>
    </row>
    <row r="10395" spans="31:31" x14ac:dyDescent="0.25">
      <c r="AE10395">
        <v>57.53</v>
      </c>
    </row>
    <row r="10396" spans="31:31" x14ac:dyDescent="0.25">
      <c r="AE10396">
        <v>19.46</v>
      </c>
    </row>
    <row r="10397" spans="31:31" x14ac:dyDescent="0.25">
      <c r="AE10397">
        <v>47.78</v>
      </c>
    </row>
    <row r="10398" spans="31:31" x14ac:dyDescent="0.25">
      <c r="AE10398">
        <v>56.34</v>
      </c>
    </row>
    <row r="10399" spans="31:31" x14ac:dyDescent="0.25">
      <c r="AE10399">
        <v>1.69</v>
      </c>
    </row>
    <row r="10400" spans="31:31" x14ac:dyDescent="0.25">
      <c r="AE10400">
        <v>10.34</v>
      </c>
    </row>
    <row r="10401" spans="31:31" x14ac:dyDescent="0.25">
      <c r="AE10401">
        <v>43.89</v>
      </c>
    </row>
    <row r="10402" spans="31:31" x14ac:dyDescent="0.25">
      <c r="AE10402">
        <v>61.64</v>
      </c>
    </row>
    <row r="10403" spans="31:31" x14ac:dyDescent="0.25">
      <c r="AE10403">
        <v>47.26</v>
      </c>
    </row>
    <row r="10404" spans="31:31" x14ac:dyDescent="0.25">
      <c r="AE10404">
        <v>85.79</v>
      </c>
    </row>
    <row r="10405" spans="31:31" x14ac:dyDescent="0.25">
      <c r="AE10405">
        <v>12.08</v>
      </c>
    </row>
    <row r="10406" spans="31:31" x14ac:dyDescent="0.25">
      <c r="AE10406">
        <v>142.85</v>
      </c>
    </row>
    <row r="10407" spans="31:31" x14ac:dyDescent="0.25">
      <c r="AE10407">
        <v>52.14</v>
      </c>
    </row>
    <row r="10408" spans="31:31" x14ac:dyDescent="0.25">
      <c r="AE10408">
        <v>52.93</v>
      </c>
    </row>
    <row r="10409" spans="31:31" x14ac:dyDescent="0.25">
      <c r="AE10409">
        <v>10.09</v>
      </c>
    </row>
    <row r="10410" spans="31:31" x14ac:dyDescent="0.25">
      <c r="AE10410">
        <v>29.79</v>
      </c>
    </row>
    <row r="10411" spans="31:31" x14ac:dyDescent="0.25">
      <c r="AE10411">
        <v>151.97</v>
      </c>
    </row>
    <row r="10412" spans="31:31" x14ac:dyDescent="0.25">
      <c r="AE10412">
        <v>35.44</v>
      </c>
    </row>
    <row r="10413" spans="31:31" x14ac:dyDescent="0.25">
      <c r="AE10413">
        <v>86.06</v>
      </c>
    </row>
    <row r="10414" spans="31:31" x14ac:dyDescent="0.25">
      <c r="AE10414">
        <v>26.31</v>
      </c>
    </row>
    <row r="10415" spans="31:31" x14ac:dyDescent="0.25">
      <c r="AE10415">
        <v>42.92</v>
      </c>
    </row>
    <row r="10416" spans="31:31" x14ac:dyDescent="0.25">
      <c r="AE10416">
        <v>93.18</v>
      </c>
    </row>
    <row r="10417" spans="31:31" x14ac:dyDescent="0.25">
      <c r="AE10417">
        <v>48.36</v>
      </c>
    </row>
    <row r="10418" spans="31:31" x14ac:dyDescent="0.25">
      <c r="AE10418">
        <v>26.38</v>
      </c>
    </row>
    <row r="10419" spans="31:31" x14ac:dyDescent="0.25">
      <c r="AE10419">
        <v>73.290000000000006</v>
      </c>
    </row>
    <row r="10420" spans="31:31" x14ac:dyDescent="0.25">
      <c r="AE10420">
        <v>17.46</v>
      </c>
    </row>
    <row r="10421" spans="31:31" x14ac:dyDescent="0.25">
      <c r="AE10421">
        <v>47.18</v>
      </c>
    </row>
    <row r="10422" spans="31:31" x14ac:dyDescent="0.25">
      <c r="AE10422">
        <v>12.4</v>
      </c>
    </row>
    <row r="10423" spans="31:31" x14ac:dyDescent="0.25">
      <c r="AE10423">
        <v>10.19</v>
      </c>
    </row>
    <row r="10424" spans="31:31" x14ac:dyDescent="0.25">
      <c r="AE10424">
        <v>17.899999999999999</v>
      </c>
    </row>
    <row r="10425" spans="31:31" x14ac:dyDescent="0.25">
      <c r="AE10425">
        <v>102.99</v>
      </c>
    </row>
    <row r="10426" spans="31:31" x14ac:dyDescent="0.25">
      <c r="AE10426">
        <v>52.99</v>
      </c>
    </row>
    <row r="10427" spans="31:31" x14ac:dyDescent="0.25">
      <c r="AE10427">
        <v>42.14</v>
      </c>
    </row>
    <row r="10428" spans="31:31" x14ac:dyDescent="0.25">
      <c r="AE10428">
        <v>41.17</v>
      </c>
    </row>
    <row r="10429" spans="31:31" x14ac:dyDescent="0.25">
      <c r="AE10429">
        <v>8.0399999999999991</v>
      </c>
    </row>
    <row r="10430" spans="31:31" x14ac:dyDescent="0.25">
      <c r="AE10430">
        <v>9.9700000000000006</v>
      </c>
    </row>
    <row r="10431" spans="31:31" x14ac:dyDescent="0.25">
      <c r="AE10431">
        <v>93.93</v>
      </c>
    </row>
    <row r="10432" spans="31:31" x14ac:dyDescent="0.25">
      <c r="AE10432">
        <v>78.650000000000006</v>
      </c>
    </row>
    <row r="10433" spans="31:31" x14ac:dyDescent="0.25">
      <c r="AE10433">
        <v>30.43</v>
      </c>
    </row>
    <row r="10434" spans="31:31" x14ac:dyDescent="0.25">
      <c r="AE10434">
        <v>74.16</v>
      </c>
    </row>
    <row r="10435" spans="31:31" x14ac:dyDescent="0.25">
      <c r="AE10435">
        <v>70.06</v>
      </c>
    </row>
    <row r="10436" spans="31:31" x14ac:dyDescent="0.25">
      <c r="AE10436">
        <v>57.38</v>
      </c>
    </row>
    <row r="10437" spans="31:31" x14ac:dyDescent="0.25">
      <c r="AE10437">
        <v>39.99</v>
      </c>
    </row>
    <row r="10438" spans="31:31" x14ac:dyDescent="0.25">
      <c r="AE10438">
        <v>61.8</v>
      </c>
    </row>
    <row r="10439" spans="31:31" x14ac:dyDescent="0.25">
      <c r="AE10439">
        <v>0.36</v>
      </c>
    </row>
    <row r="10440" spans="31:31" x14ac:dyDescent="0.25">
      <c r="AE10440">
        <v>105</v>
      </c>
    </row>
    <row r="10441" spans="31:31" x14ac:dyDescent="0.25">
      <c r="AE10441">
        <v>12.8</v>
      </c>
    </row>
    <row r="10442" spans="31:31" x14ac:dyDescent="0.25">
      <c r="AE10442">
        <v>10.34</v>
      </c>
    </row>
    <row r="10443" spans="31:31" x14ac:dyDescent="0.25">
      <c r="AE10443">
        <v>2.94</v>
      </c>
    </row>
    <row r="10444" spans="31:31" x14ac:dyDescent="0.25">
      <c r="AE10444">
        <v>10.19</v>
      </c>
    </row>
    <row r="10445" spans="31:31" x14ac:dyDescent="0.25">
      <c r="AE10445">
        <v>103.65</v>
      </c>
    </row>
    <row r="10446" spans="31:31" x14ac:dyDescent="0.25">
      <c r="AE10446">
        <v>15.64</v>
      </c>
    </row>
    <row r="10447" spans="31:31" x14ac:dyDescent="0.25">
      <c r="AE10447">
        <v>34.61</v>
      </c>
    </row>
    <row r="10448" spans="31:31" x14ac:dyDescent="0.25">
      <c r="AE10448">
        <v>15.39</v>
      </c>
    </row>
    <row r="10449" spans="31:31" x14ac:dyDescent="0.25">
      <c r="AE10449">
        <v>32.130000000000003</v>
      </c>
    </row>
    <row r="10450" spans="31:31" x14ac:dyDescent="0.25">
      <c r="AE10450">
        <v>32.69</v>
      </c>
    </row>
    <row r="10451" spans="31:31" x14ac:dyDescent="0.25">
      <c r="AE10451">
        <v>79</v>
      </c>
    </row>
    <row r="10452" spans="31:31" x14ac:dyDescent="0.25">
      <c r="AE10452">
        <v>10.44</v>
      </c>
    </row>
    <row r="10453" spans="31:31" x14ac:dyDescent="0.25">
      <c r="AE10453">
        <v>10.09</v>
      </c>
    </row>
    <row r="10454" spans="31:31" x14ac:dyDescent="0.25">
      <c r="AE10454">
        <v>46.77</v>
      </c>
    </row>
    <row r="10455" spans="31:31" x14ac:dyDescent="0.25">
      <c r="AE10455">
        <v>34.44</v>
      </c>
    </row>
    <row r="10456" spans="31:31" x14ac:dyDescent="0.25">
      <c r="AE10456">
        <v>21.84</v>
      </c>
    </row>
    <row r="10457" spans="31:31" x14ac:dyDescent="0.25">
      <c r="AE10457">
        <v>0</v>
      </c>
    </row>
    <row r="10458" spans="31:31" x14ac:dyDescent="0.25">
      <c r="AE10458">
        <v>76.069999999999993</v>
      </c>
    </row>
    <row r="10459" spans="31:31" x14ac:dyDescent="0.25">
      <c r="AE10459">
        <v>9.24</v>
      </c>
    </row>
    <row r="10460" spans="31:31" x14ac:dyDescent="0.25">
      <c r="AE10460">
        <v>10.74</v>
      </c>
    </row>
    <row r="10461" spans="31:31" x14ac:dyDescent="0.25">
      <c r="AE10461">
        <v>54.82</v>
      </c>
    </row>
    <row r="10462" spans="31:31" x14ac:dyDescent="0.25">
      <c r="AE10462">
        <v>218.35</v>
      </c>
    </row>
    <row r="10463" spans="31:31" x14ac:dyDescent="0.25">
      <c r="AE10463">
        <v>21.91</v>
      </c>
    </row>
    <row r="10464" spans="31:31" x14ac:dyDescent="0.25">
      <c r="AE10464">
        <v>97.25</v>
      </c>
    </row>
    <row r="10465" spans="31:31" x14ac:dyDescent="0.25">
      <c r="AE10465">
        <v>12.98</v>
      </c>
    </row>
    <row r="10466" spans="31:31" x14ac:dyDescent="0.25">
      <c r="AE10466">
        <v>10.54</v>
      </c>
    </row>
    <row r="10467" spans="31:31" x14ac:dyDescent="0.25">
      <c r="AE10467">
        <v>192.19</v>
      </c>
    </row>
    <row r="10468" spans="31:31" x14ac:dyDescent="0.25">
      <c r="AE10468">
        <v>54.57</v>
      </c>
    </row>
    <row r="10469" spans="31:31" x14ac:dyDescent="0.25">
      <c r="AE10469">
        <v>91.5</v>
      </c>
    </row>
    <row r="10470" spans="31:31" x14ac:dyDescent="0.25">
      <c r="AE10470">
        <v>203.93</v>
      </c>
    </row>
    <row r="10471" spans="31:31" x14ac:dyDescent="0.25">
      <c r="AE10471">
        <v>64.22</v>
      </c>
    </row>
    <row r="10472" spans="31:31" x14ac:dyDescent="0.25">
      <c r="AE10472">
        <v>22.17</v>
      </c>
    </row>
    <row r="10473" spans="31:31" x14ac:dyDescent="0.25">
      <c r="AE10473">
        <v>22.87</v>
      </c>
    </row>
    <row r="10474" spans="31:31" x14ac:dyDescent="0.25">
      <c r="AE10474">
        <v>10.039999999999999</v>
      </c>
    </row>
    <row r="10475" spans="31:31" x14ac:dyDescent="0.25">
      <c r="AE10475">
        <v>0.09</v>
      </c>
    </row>
    <row r="10476" spans="31:31" x14ac:dyDescent="0.25">
      <c r="AE10476">
        <v>51.31</v>
      </c>
    </row>
    <row r="10477" spans="31:31" x14ac:dyDescent="0.25">
      <c r="AE10477">
        <v>69.39</v>
      </c>
    </row>
    <row r="10478" spans="31:31" x14ac:dyDescent="0.25">
      <c r="AE10478">
        <v>49.52</v>
      </c>
    </row>
    <row r="10479" spans="31:31" x14ac:dyDescent="0.25">
      <c r="AE10479">
        <v>0.54</v>
      </c>
    </row>
    <row r="10480" spans="31:31" x14ac:dyDescent="0.25">
      <c r="AE10480">
        <v>37.92</v>
      </c>
    </row>
    <row r="10481" spans="31:31" x14ac:dyDescent="0.25">
      <c r="AE10481">
        <v>53.58</v>
      </c>
    </row>
    <row r="10482" spans="31:31" x14ac:dyDescent="0.25">
      <c r="AE10482">
        <v>63.46</v>
      </c>
    </row>
    <row r="10483" spans="31:31" x14ac:dyDescent="0.25">
      <c r="AE10483">
        <v>10.19</v>
      </c>
    </row>
    <row r="10484" spans="31:31" x14ac:dyDescent="0.25">
      <c r="AE10484">
        <v>74.790000000000006</v>
      </c>
    </row>
    <row r="10485" spans="31:31" x14ac:dyDescent="0.25">
      <c r="AE10485">
        <v>20.57</v>
      </c>
    </row>
    <row r="10486" spans="31:31" x14ac:dyDescent="0.25">
      <c r="AE10486">
        <v>7.54</v>
      </c>
    </row>
    <row r="10487" spans="31:31" x14ac:dyDescent="0.25">
      <c r="AE10487">
        <v>6.84</v>
      </c>
    </row>
    <row r="10488" spans="31:31" x14ac:dyDescent="0.25">
      <c r="AE10488">
        <v>26.67</v>
      </c>
    </row>
    <row r="10489" spans="31:31" x14ac:dyDescent="0.25">
      <c r="AE10489">
        <v>76.400000000000006</v>
      </c>
    </row>
    <row r="10490" spans="31:31" x14ac:dyDescent="0.25">
      <c r="AE10490">
        <v>0.36</v>
      </c>
    </row>
    <row r="10491" spans="31:31" x14ac:dyDescent="0.25">
      <c r="AE10491">
        <v>62.39</v>
      </c>
    </row>
    <row r="10492" spans="31:31" x14ac:dyDescent="0.25">
      <c r="AE10492">
        <v>180.98</v>
      </c>
    </row>
    <row r="10493" spans="31:31" x14ac:dyDescent="0.25">
      <c r="AE10493">
        <v>60.27</v>
      </c>
    </row>
    <row r="10494" spans="31:31" x14ac:dyDescent="0.25">
      <c r="AE10494">
        <v>26.94</v>
      </c>
    </row>
    <row r="10495" spans="31:31" x14ac:dyDescent="0.25">
      <c r="AE10495">
        <v>30.91</v>
      </c>
    </row>
    <row r="10496" spans="31:31" x14ac:dyDescent="0.25">
      <c r="AE10496">
        <v>87.02</v>
      </c>
    </row>
    <row r="10497" spans="31:31" x14ac:dyDescent="0.25">
      <c r="AE10497">
        <v>17.489999999999998</v>
      </c>
    </row>
    <row r="10498" spans="31:31" x14ac:dyDescent="0.25">
      <c r="AE10498">
        <v>61.49</v>
      </c>
    </row>
    <row r="10499" spans="31:31" x14ac:dyDescent="0.25">
      <c r="AE10499">
        <v>83.68</v>
      </c>
    </row>
    <row r="10500" spans="31:31" x14ac:dyDescent="0.25">
      <c r="AE10500">
        <v>85.14</v>
      </c>
    </row>
    <row r="10501" spans="31:31" x14ac:dyDescent="0.25">
      <c r="AE10501">
        <v>10.11</v>
      </c>
    </row>
    <row r="10502" spans="31:31" x14ac:dyDescent="0.25">
      <c r="AE10502">
        <v>55.29</v>
      </c>
    </row>
    <row r="10503" spans="31:31" x14ac:dyDescent="0.25">
      <c r="AE10503">
        <v>30.01</v>
      </c>
    </row>
    <row r="10504" spans="31:31" x14ac:dyDescent="0.25">
      <c r="AE10504">
        <v>83</v>
      </c>
    </row>
    <row r="10505" spans="31:31" x14ac:dyDescent="0.25">
      <c r="AE10505">
        <v>103.85</v>
      </c>
    </row>
    <row r="10506" spans="31:31" x14ac:dyDescent="0.25">
      <c r="AE10506">
        <v>1.32</v>
      </c>
    </row>
    <row r="10507" spans="31:31" x14ac:dyDescent="0.25">
      <c r="AE10507">
        <v>22.1</v>
      </c>
    </row>
    <row r="10508" spans="31:31" x14ac:dyDescent="0.25">
      <c r="AE10508">
        <v>32.44</v>
      </c>
    </row>
    <row r="10509" spans="31:31" x14ac:dyDescent="0.25">
      <c r="AE10509">
        <v>131.46</v>
      </c>
    </row>
    <row r="10510" spans="31:31" x14ac:dyDescent="0.25">
      <c r="AE10510">
        <v>31.17</v>
      </c>
    </row>
    <row r="10511" spans="31:31" x14ac:dyDescent="0.25">
      <c r="AE10511">
        <v>40.82</v>
      </c>
    </row>
    <row r="10512" spans="31:31" x14ac:dyDescent="0.25">
      <c r="AE10512">
        <v>37.46</v>
      </c>
    </row>
    <row r="10513" spans="31:31" x14ac:dyDescent="0.25">
      <c r="AE10513">
        <v>50.46</v>
      </c>
    </row>
    <row r="10514" spans="31:31" x14ac:dyDescent="0.25">
      <c r="AE10514">
        <v>13.65</v>
      </c>
    </row>
    <row r="10515" spans="31:31" x14ac:dyDescent="0.25">
      <c r="AE10515">
        <v>8.8800000000000008</v>
      </c>
    </row>
    <row r="10516" spans="31:31" x14ac:dyDescent="0.25">
      <c r="AE10516">
        <v>50.84</v>
      </c>
    </row>
    <row r="10517" spans="31:31" x14ac:dyDescent="0.25">
      <c r="AE10517">
        <v>50.55</v>
      </c>
    </row>
    <row r="10518" spans="31:31" x14ac:dyDescent="0.25">
      <c r="AE10518">
        <v>9.8000000000000007</v>
      </c>
    </row>
    <row r="10519" spans="31:31" x14ac:dyDescent="0.25">
      <c r="AE10519">
        <v>75.23</v>
      </c>
    </row>
    <row r="10520" spans="31:31" x14ac:dyDescent="0.25">
      <c r="AE10520">
        <v>77.31</v>
      </c>
    </row>
    <row r="10521" spans="31:31" x14ac:dyDescent="0.25">
      <c r="AE10521">
        <v>28.94</v>
      </c>
    </row>
    <row r="10522" spans="31:31" x14ac:dyDescent="0.25">
      <c r="AE10522">
        <v>33.46</v>
      </c>
    </row>
    <row r="10523" spans="31:31" x14ac:dyDescent="0.25">
      <c r="AE10523">
        <v>30.92</v>
      </c>
    </row>
    <row r="10524" spans="31:31" x14ac:dyDescent="0.25">
      <c r="AE10524">
        <v>57.7</v>
      </c>
    </row>
    <row r="10525" spans="31:31" x14ac:dyDescent="0.25">
      <c r="AE10525">
        <v>154.46</v>
      </c>
    </row>
    <row r="10526" spans="31:31" x14ac:dyDescent="0.25">
      <c r="AE10526">
        <v>10.09</v>
      </c>
    </row>
    <row r="10527" spans="31:31" x14ac:dyDescent="0.25">
      <c r="AE10527">
        <v>73.39</v>
      </c>
    </row>
    <row r="10528" spans="31:31" x14ac:dyDescent="0.25">
      <c r="AE10528">
        <v>90.1</v>
      </c>
    </row>
    <row r="10529" spans="31:31" x14ac:dyDescent="0.25">
      <c r="AE10529">
        <v>12.6</v>
      </c>
    </row>
    <row r="10530" spans="31:31" x14ac:dyDescent="0.25">
      <c r="AE10530">
        <v>22.37</v>
      </c>
    </row>
    <row r="10531" spans="31:31" x14ac:dyDescent="0.25">
      <c r="AE10531">
        <v>64.540000000000006</v>
      </c>
    </row>
    <row r="10532" spans="31:31" x14ac:dyDescent="0.25">
      <c r="AE10532">
        <v>35.01</v>
      </c>
    </row>
    <row r="10533" spans="31:31" x14ac:dyDescent="0.25">
      <c r="AE10533">
        <v>46.11</v>
      </c>
    </row>
    <row r="10534" spans="31:31" x14ac:dyDescent="0.25">
      <c r="AE10534">
        <v>130.66999999999999</v>
      </c>
    </row>
    <row r="10535" spans="31:31" x14ac:dyDescent="0.25">
      <c r="AE10535">
        <v>95.42</v>
      </c>
    </row>
    <row r="10536" spans="31:31" x14ac:dyDescent="0.25">
      <c r="AE10536">
        <v>69.540000000000006</v>
      </c>
    </row>
    <row r="10537" spans="31:31" x14ac:dyDescent="0.25">
      <c r="AE10537">
        <v>0.27</v>
      </c>
    </row>
    <row r="10538" spans="31:31" x14ac:dyDescent="0.25">
      <c r="AE10538">
        <v>0.27</v>
      </c>
    </row>
    <row r="10539" spans="31:31" x14ac:dyDescent="0.25">
      <c r="AE10539">
        <v>131.76</v>
      </c>
    </row>
    <row r="10540" spans="31:31" x14ac:dyDescent="0.25">
      <c r="AE10540">
        <v>0.18</v>
      </c>
    </row>
    <row r="10541" spans="31:31" x14ac:dyDescent="0.25">
      <c r="AE10541">
        <v>13.59</v>
      </c>
    </row>
    <row r="10542" spans="31:31" x14ac:dyDescent="0.25">
      <c r="AE10542">
        <v>120.1</v>
      </c>
    </row>
    <row r="10543" spans="31:31" x14ac:dyDescent="0.25">
      <c r="AE10543">
        <v>81.14</v>
      </c>
    </row>
    <row r="10544" spans="31:31" x14ac:dyDescent="0.25">
      <c r="AE10544">
        <v>64.42</v>
      </c>
    </row>
    <row r="10545" spans="31:31" x14ac:dyDescent="0.25">
      <c r="AE10545">
        <v>10.14</v>
      </c>
    </row>
    <row r="10546" spans="31:31" x14ac:dyDescent="0.25">
      <c r="AE10546">
        <v>86.3</v>
      </c>
    </row>
    <row r="10547" spans="31:31" x14ac:dyDescent="0.25">
      <c r="AE10547">
        <v>59.26</v>
      </c>
    </row>
    <row r="10548" spans="31:31" x14ac:dyDescent="0.25">
      <c r="AE10548">
        <v>0.18</v>
      </c>
    </row>
    <row r="10549" spans="31:31" x14ac:dyDescent="0.25">
      <c r="AE10549">
        <v>50.66</v>
      </c>
    </row>
    <row r="10550" spans="31:31" x14ac:dyDescent="0.25">
      <c r="AE10550">
        <v>10.34</v>
      </c>
    </row>
    <row r="10551" spans="31:31" x14ac:dyDescent="0.25">
      <c r="AE10551">
        <v>13.94</v>
      </c>
    </row>
    <row r="10552" spans="31:31" x14ac:dyDescent="0.25">
      <c r="AE10552">
        <v>40.08</v>
      </c>
    </row>
    <row r="10553" spans="31:31" x14ac:dyDescent="0.25">
      <c r="AE10553">
        <v>27.31</v>
      </c>
    </row>
    <row r="10554" spans="31:31" x14ac:dyDescent="0.25">
      <c r="AE10554">
        <v>36</v>
      </c>
    </row>
    <row r="10555" spans="31:31" x14ac:dyDescent="0.25">
      <c r="AE10555">
        <v>86.38</v>
      </c>
    </row>
    <row r="10556" spans="31:31" x14ac:dyDescent="0.25">
      <c r="AE10556">
        <v>26.24</v>
      </c>
    </row>
    <row r="10557" spans="31:31" x14ac:dyDescent="0.25">
      <c r="AE10557">
        <v>142.07</v>
      </c>
    </row>
    <row r="10558" spans="31:31" x14ac:dyDescent="0.25">
      <c r="AE10558">
        <v>74.459999999999994</v>
      </c>
    </row>
    <row r="10559" spans="31:31" x14ac:dyDescent="0.25">
      <c r="AE10559">
        <v>105.77</v>
      </c>
    </row>
    <row r="10560" spans="31:31" x14ac:dyDescent="0.25">
      <c r="AE10560">
        <v>80.650000000000006</v>
      </c>
    </row>
    <row r="10561" spans="31:31" x14ac:dyDescent="0.25">
      <c r="AE10561">
        <v>0.54</v>
      </c>
    </row>
    <row r="10562" spans="31:31" x14ac:dyDescent="0.25">
      <c r="AE10562">
        <v>51.79</v>
      </c>
    </row>
    <row r="10563" spans="31:31" x14ac:dyDescent="0.25">
      <c r="AE10563">
        <v>27.18</v>
      </c>
    </row>
    <row r="10564" spans="31:31" x14ac:dyDescent="0.25">
      <c r="AE10564">
        <v>44.96</v>
      </c>
    </row>
    <row r="10565" spans="31:31" x14ac:dyDescent="0.25">
      <c r="AE10565">
        <v>71.150000000000006</v>
      </c>
    </row>
    <row r="10566" spans="31:31" x14ac:dyDescent="0.25">
      <c r="AE10566">
        <v>28.47</v>
      </c>
    </row>
    <row r="10567" spans="31:31" x14ac:dyDescent="0.25">
      <c r="AE10567">
        <v>49.18</v>
      </c>
    </row>
    <row r="10568" spans="31:31" x14ac:dyDescent="0.25">
      <c r="AE10568">
        <v>35.869999999999997</v>
      </c>
    </row>
    <row r="10569" spans="31:31" x14ac:dyDescent="0.25">
      <c r="AE10569">
        <v>62.04</v>
      </c>
    </row>
    <row r="10570" spans="31:31" x14ac:dyDescent="0.25">
      <c r="AE10570">
        <v>58.83</v>
      </c>
    </row>
    <row r="10571" spans="31:31" x14ac:dyDescent="0.25">
      <c r="AE10571">
        <v>12.02</v>
      </c>
    </row>
    <row r="10572" spans="31:31" x14ac:dyDescent="0.25">
      <c r="AE10572">
        <v>74.89</v>
      </c>
    </row>
    <row r="10573" spans="31:31" x14ac:dyDescent="0.25">
      <c r="AE10573">
        <v>118.78</v>
      </c>
    </row>
    <row r="10574" spans="31:31" x14ac:dyDescent="0.25">
      <c r="AE10574">
        <v>31.38</v>
      </c>
    </row>
    <row r="10575" spans="31:31" x14ac:dyDescent="0.25">
      <c r="AE10575">
        <v>86.18</v>
      </c>
    </row>
    <row r="10576" spans="31:31" x14ac:dyDescent="0.25">
      <c r="AE10576">
        <v>40.200000000000003</v>
      </c>
    </row>
    <row r="10577" spans="31:31" x14ac:dyDescent="0.25">
      <c r="AE10577">
        <v>15.56</v>
      </c>
    </row>
    <row r="10578" spans="31:31" x14ac:dyDescent="0.25">
      <c r="AE10578">
        <v>51.29</v>
      </c>
    </row>
    <row r="10579" spans="31:31" x14ac:dyDescent="0.25">
      <c r="AE10579">
        <v>84.76</v>
      </c>
    </row>
    <row r="10580" spans="31:31" x14ac:dyDescent="0.25">
      <c r="AE10580">
        <v>34.57</v>
      </c>
    </row>
    <row r="10581" spans="31:31" x14ac:dyDescent="0.25">
      <c r="AE10581">
        <v>98.58</v>
      </c>
    </row>
    <row r="10582" spans="31:31" x14ac:dyDescent="0.25">
      <c r="AE10582">
        <v>98.18</v>
      </c>
    </row>
    <row r="10583" spans="31:31" x14ac:dyDescent="0.25">
      <c r="AE10583">
        <v>15.16</v>
      </c>
    </row>
    <row r="10584" spans="31:31" x14ac:dyDescent="0.25">
      <c r="AE10584">
        <v>18.48</v>
      </c>
    </row>
    <row r="10585" spans="31:31" x14ac:dyDescent="0.25">
      <c r="AE10585">
        <v>52.53</v>
      </c>
    </row>
    <row r="10586" spans="31:31" x14ac:dyDescent="0.25">
      <c r="AE10586">
        <v>28.4</v>
      </c>
    </row>
    <row r="10587" spans="31:31" x14ac:dyDescent="0.25">
      <c r="AE10587">
        <v>32.44</v>
      </c>
    </row>
    <row r="10588" spans="31:31" x14ac:dyDescent="0.25">
      <c r="AE10588">
        <v>108.27</v>
      </c>
    </row>
    <row r="10589" spans="31:31" x14ac:dyDescent="0.25">
      <c r="AE10589">
        <v>51.24</v>
      </c>
    </row>
    <row r="10590" spans="31:31" x14ac:dyDescent="0.25">
      <c r="AE10590">
        <v>19.8</v>
      </c>
    </row>
    <row r="10591" spans="31:31" x14ac:dyDescent="0.25">
      <c r="AE10591">
        <v>50.32</v>
      </c>
    </row>
    <row r="10592" spans="31:31" x14ac:dyDescent="0.25">
      <c r="AE10592">
        <v>27.26</v>
      </c>
    </row>
    <row r="10593" spans="31:31" x14ac:dyDescent="0.25">
      <c r="AE10593">
        <v>30.16</v>
      </c>
    </row>
    <row r="10594" spans="31:31" x14ac:dyDescent="0.25">
      <c r="AE10594">
        <v>86.67</v>
      </c>
    </row>
    <row r="10595" spans="31:31" x14ac:dyDescent="0.25">
      <c r="AE10595">
        <v>11.19</v>
      </c>
    </row>
    <row r="10596" spans="31:31" x14ac:dyDescent="0.25">
      <c r="AE10596">
        <v>89.7</v>
      </c>
    </row>
    <row r="10597" spans="31:31" x14ac:dyDescent="0.25">
      <c r="AE10597">
        <v>64.84</v>
      </c>
    </row>
    <row r="10598" spans="31:31" x14ac:dyDescent="0.25">
      <c r="AE10598">
        <v>89.09</v>
      </c>
    </row>
    <row r="10599" spans="31:31" x14ac:dyDescent="0.25">
      <c r="AE10599">
        <v>14.24</v>
      </c>
    </row>
    <row r="10600" spans="31:31" x14ac:dyDescent="0.25">
      <c r="AE10600">
        <v>54.5</v>
      </c>
    </row>
    <row r="10601" spans="31:31" x14ac:dyDescent="0.25">
      <c r="AE10601">
        <v>19.32</v>
      </c>
    </row>
    <row r="10602" spans="31:31" x14ac:dyDescent="0.25">
      <c r="AE10602">
        <v>138.05000000000001</v>
      </c>
    </row>
    <row r="10603" spans="31:31" x14ac:dyDescent="0.25">
      <c r="AE10603">
        <v>49.41</v>
      </c>
    </row>
    <row r="10604" spans="31:31" x14ac:dyDescent="0.25">
      <c r="AE10604">
        <v>41.14</v>
      </c>
    </row>
    <row r="10605" spans="31:31" x14ac:dyDescent="0.25">
      <c r="AE10605">
        <v>68.83</v>
      </c>
    </row>
    <row r="10606" spans="31:31" x14ac:dyDescent="0.25">
      <c r="AE10606">
        <v>26.1</v>
      </c>
    </row>
    <row r="10607" spans="31:31" x14ac:dyDescent="0.25">
      <c r="AE10607">
        <v>62.09</v>
      </c>
    </row>
    <row r="10608" spans="31:31" x14ac:dyDescent="0.25">
      <c r="AE10608">
        <v>16.07</v>
      </c>
    </row>
    <row r="10609" spans="31:31" x14ac:dyDescent="0.25">
      <c r="AE10609">
        <v>29.58</v>
      </c>
    </row>
    <row r="10610" spans="31:31" x14ac:dyDescent="0.25">
      <c r="AE10610">
        <v>7.76</v>
      </c>
    </row>
    <row r="10611" spans="31:31" x14ac:dyDescent="0.25">
      <c r="AE10611">
        <v>19.21</v>
      </c>
    </row>
    <row r="10612" spans="31:31" x14ac:dyDescent="0.25">
      <c r="AE10612">
        <v>19.760000000000002</v>
      </c>
    </row>
    <row r="10613" spans="31:31" x14ac:dyDescent="0.25">
      <c r="AE10613">
        <v>38.299999999999997</v>
      </c>
    </row>
    <row r="10614" spans="31:31" x14ac:dyDescent="0.25">
      <c r="AE10614">
        <v>75.2</v>
      </c>
    </row>
    <row r="10615" spans="31:31" x14ac:dyDescent="0.25">
      <c r="AE10615">
        <v>14.74</v>
      </c>
    </row>
    <row r="10616" spans="31:31" x14ac:dyDescent="0.25">
      <c r="AE10616">
        <v>52.42</v>
      </c>
    </row>
    <row r="10617" spans="31:31" x14ac:dyDescent="0.25">
      <c r="AE10617">
        <v>14.73</v>
      </c>
    </row>
    <row r="10618" spans="31:31" x14ac:dyDescent="0.25">
      <c r="AE10618">
        <v>21.23</v>
      </c>
    </row>
    <row r="10619" spans="31:31" x14ac:dyDescent="0.25">
      <c r="AE10619">
        <v>13.25</v>
      </c>
    </row>
    <row r="10620" spans="31:31" x14ac:dyDescent="0.25">
      <c r="AE10620">
        <v>4.37</v>
      </c>
    </row>
    <row r="10621" spans="31:31" x14ac:dyDescent="0.25">
      <c r="AE10621">
        <v>88.32</v>
      </c>
    </row>
    <row r="10622" spans="31:31" x14ac:dyDescent="0.25">
      <c r="AE10622">
        <v>17.399999999999999</v>
      </c>
    </row>
    <row r="10623" spans="31:31" x14ac:dyDescent="0.25">
      <c r="AE10623">
        <v>19.21</v>
      </c>
    </row>
    <row r="10624" spans="31:31" x14ac:dyDescent="0.25">
      <c r="AE10624">
        <v>144.13</v>
      </c>
    </row>
    <row r="10625" spans="31:31" x14ac:dyDescent="0.25">
      <c r="AE10625">
        <v>29.23</v>
      </c>
    </row>
    <row r="10626" spans="31:31" x14ac:dyDescent="0.25">
      <c r="AE10626">
        <v>32.229999999999997</v>
      </c>
    </row>
    <row r="10627" spans="31:31" x14ac:dyDescent="0.25">
      <c r="AE10627">
        <v>65.59</v>
      </c>
    </row>
    <row r="10628" spans="31:31" x14ac:dyDescent="0.25">
      <c r="AE10628">
        <v>85.85</v>
      </c>
    </row>
    <row r="10629" spans="31:31" x14ac:dyDescent="0.25">
      <c r="AE10629">
        <v>118.94</v>
      </c>
    </row>
    <row r="10630" spans="31:31" x14ac:dyDescent="0.25">
      <c r="AE10630">
        <v>66.290000000000006</v>
      </c>
    </row>
    <row r="10631" spans="31:31" x14ac:dyDescent="0.25">
      <c r="AE10631">
        <v>30.25</v>
      </c>
    </row>
    <row r="10632" spans="31:31" x14ac:dyDescent="0.25">
      <c r="AE10632">
        <v>115.07</v>
      </c>
    </row>
    <row r="10633" spans="31:31" x14ac:dyDescent="0.25">
      <c r="AE10633">
        <v>0</v>
      </c>
    </row>
    <row r="10634" spans="31:31" x14ac:dyDescent="0.25">
      <c r="AE10634">
        <v>75.2</v>
      </c>
    </row>
    <row r="10635" spans="31:31" x14ac:dyDescent="0.25">
      <c r="AE10635">
        <v>87.7</v>
      </c>
    </row>
    <row r="10636" spans="31:31" x14ac:dyDescent="0.25">
      <c r="AE10636">
        <v>60.65</v>
      </c>
    </row>
    <row r="10637" spans="31:31" x14ac:dyDescent="0.25">
      <c r="AE10637">
        <v>60.33</v>
      </c>
    </row>
    <row r="10638" spans="31:31" x14ac:dyDescent="0.25">
      <c r="AE10638">
        <v>39.64</v>
      </c>
    </row>
    <row r="10639" spans="31:31" x14ac:dyDescent="0.25">
      <c r="AE10639">
        <v>59.83</v>
      </c>
    </row>
    <row r="10640" spans="31:31" x14ac:dyDescent="0.25">
      <c r="AE10640">
        <v>0.18</v>
      </c>
    </row>
    <row r="10641" spans="31:31" x14ac:dyDescent="0.25">
      <c r="AE10641">
        <v>78.569999999999993</v>
      </c>
    </row>
    <row r="10642" spans="31:31" x14ac:dyDescent="0.25">
      <c r="AE10642">
        <v>4.2300000000000004</v>
      </c>
    </row>
    <row r="10643" spans="31:31" x14ac:dyDescent="0.25">
      <c r="AE10643">
        <v>221.49</v>
      </c>
    </row>
    <row r="10644" spans="31:31" x14ac:dyDescent="0.25">
      <c r="AE10644">
        <v>67.89</v>
      </c>
    </row>
    <row r="10645" spans="31:31" x14ac:dyDescent="0.25">
      <c r="AE10645">
        <v>14.4</v>
      </c>
    </row>
    <row r="10646" spans="31:31" x14ac:dyDescent="0.25">
      <c r="AE10646">
        <v>76.67</v>
      </c>
    </row>
    <row r="10647" spans="31:31" x14ac:dyDescent="0.25">
      <c r="AE10647">
        <v>42.93</v>
      </c>
    </row>
    <row r="10648" spans="31:31" x14ac:dyDescent="0.25">
      <c r="AE10648">
        <v>11.25</v>
      </c>
    </row>
    <row r="10649" spans="31:31" x14ac:dyDescent="0.25">
      <c r="AE10649">
        <v>30.11</v>
      </c>
    </row>
    <row r="10650" spans="31:31" x14ac:dyDescent="0.25">
      <c r="AE10650">
        <v>39.97</v>
      </c>
    </row>
    <row r="10651" spans="31:31" x14ac:dyDescent="0.25">
      <c r="AE10651">
        <v>67.58</v>
      </c>
    </row>
    <row r="10652" spans="31:31" x14ac:dyDescent="0.25">
      <c r="AE10652">
        <v>32.86</v>
      </c>
    </row>
    <row r="10653" spans="31:31" x14ac:dyDescent="0.25">
      <c r="AE10653">
        <v>16.2</v>
      </c>
    </row>
    <row r="10654" spans="31:31" x14ac:dyDescent="0.25">
      <c r="AE10654">
        <v>59.11</v>
      </c>
    </row>
    <row r="10655" spans="31:31" x14ac:dyDescent="0.25">
      <c r="AE10655">
        <v>68.77</v>
      </c>
    </row>
    <row r="10656" spans="31:31" x14ac:dyDescent="0.25">
      <c r="AE10656">
        <v>102.5</v>
      </c>
    </row>
    <row r="10657" spans="31:31" x14ac:dyDescent="0.25">
      <c r="AE10657">
        <v>89.61</v>
      </c>
    </row>
    <row r="10658" spans="31:31" x14ac:dyDescent="0.25">
      <c r="AE10658">
        <v>10.19</v>
      </c>
    </row>
    <row r="10659" spans="31:31" x14ac:dyDescent="0.25">
      <c r="AE10659">
        <v>25.69</v>
      </c>
    </row>
    <row r="10660" spans="31:31" x14ac:dyDescent="0.25">
      <c r="AE10660">
        <v>46.36</v>
      </c>
    </row>
    <row r="10661" spans="31:31" x14ac:dyDescent="0.25">
      <c r="AE10661">
        <v>10.29</v>
      </c>
    </row>
    <row r="10662" spans="31:31" x14ac:dyDescent="0.25">
      <c r="AE10662">
        <v>29.99</v>
      </c>
    </row>
    <row r="10663" spans="31:31" x14ac:dyDescent="0.25">
      <c r="AE10663">
        <v>15.15</v>
      </c>
    </row>
    <row r="10664" spans="31:31" x14ac:dyDescent="0.25">
      <c r="AE10664">
        <v>36.49</v>
      </c>
    </row>
    <row r="10665" spans="31:31" x14ac:dyDescent="0.25">
      <c r="AE10665">
        <v>40.01</v>
      </c>
    </row>
    <row r="10666" spans="31:31" x14ac:dyDescent="0.25">
      <c r="AE10666">
        <v>32.01</v>
      </c>
    </row>
    <row r="10667" spans="31:31" x14ac:dyDescent="0.25">
      <c r="AE10667">
        <v>16.47</v>
      </c>
    </row>
    <row r="10668" spans="31:31" x14ac:dyDescent="0.25">
      <c r="AE10668">
        <v>21.88</v>
      </c>
    </row>
    <row r="10669" spans="31:31" x14ac:dyDescent="0.25">
      <c r="AE10669">
        <v>108.37</v>
      </c>
    </row>
    <row r="10670" spans="31:31" x14ac:dyDescent="0.25">
      <c r="AE10670">
        <v>17.87</v>
      </c>
    </row>
    <row r="10671" spans="31:31" x14ac:dyDescent="0.25">
      <c r="AE10671">
        <v>29.06</v>
      </c>
    </row>
    <row r="10672" spans="31:31" x14ac:dyDescent="0.25">
      <c r="AE10672">
        <v>254.56</v>
      </c>
    </row>
    <row r="10673" spans="31:31" x14ac:dyDescent="0.25">
      <c r="AE10673">
        <v>15.82</v>
      </c>
    </row>
    <row r="10674" spans="31:31" x14ac:dyDescent="0.25">
      <c r="AE10674">
        <v>131.97999999999999</v>
      </c>
    </row>
    <row r="10675" spans="31:31" x14ac:dyDescent="0.25">
      <c r="AE10675">
        <v>52.97</v>
      </c>
    </row>
    <row r="10676" spans="31:31" x14ac:dyDescent="0.25">
      <c r="AE10676">
        <v>162.6</v>
      </c>
    </row>
    <row r="10677" spans="31:31" x14ac:dyDescent="0.25">
      <c r="AE10677">
        <v>100.84</v>
      </c>
    </row>
    <row r="10678" spans="31:31" x14ac:dyDescent="0.25">
      <c r="AE10678">
        <v>15.12</v>
      </c>
    </row>
    <row r="10679" spans="31:31" x14ac:dyDescent="0.25">
      <c r="AE10679">
        <v>82.32</v>
      </c>
    </row>
    <row r="10680" spans="31:31" x14ac:dyDescent="0.25">
      <c r="AE10680">
        <v>10.44</v>
      </c>
    </row>
    <row r="10681" spans="31:31" x14ac:dyDescent="0.25">
      <c r="AE10681">
        <v>46.61</v>
      </c>
    </row>
    <row r="10682" spans="31:31" x14ac:dyDescent="0.25">
      <c r="AE10682">
        <v>30.52</v>
      </c>
    </row>
    <row r="10683" spans="31:31" x14ac:dyDescent="0.25">
      <c r="AE10683">
        <v>50.28</v>
      </c>
    </row>
    <row r="10684" spans="31:31" x14ac:dyDescent="0.25">
      <c r="AE10684">
        <v>103.28</v>
      </c>
    </row>
    <row r="10685" spans="31:31" x14ac:dyDescent="0.25">
      <c r="AE10685">
        <v>0.09</v>
      </c>
    </row>
    <row r="10686" spans="31:31" x14ac:dyDescent="0.25">
      <c r="AE10686">
        <v>74.59</v>
      </c>
    </row>
    <row r="10687" spans="31:31" x14ac:dyDescent="0.25">
      <c r="AE10687">
        <v>51.36</v>
      </c>
    </row>
    <row r="10688" spans="31:31" x14ac:dyDescent="0.25">
      <c r="AE10688">
        <v>13.28</v>
      </c>
    </row>
    <row r="10689" spans="31:31" x14ac:dyDescent="0.25">
      <c r="AE10689">
        <v>32.200000000000003</v>
      </c>
    </row>
    <row r="10690" spans="31:31" x14ac:dyDescent="0.25">
      <c r="AE10690">
        <v>18.68</v>
      </c>
    </row>
    <row r="10691" spans="31:31" x14ac:dyDescent="0.25">
      <c r="AE10691">
        <v>94.5</v>
      </c>
    </row>
    <row r="10692" spans="31:31" x14ac:dyDescent="0.25">
      <c r="AE10692">
        <v>10.09</v>
      </c>
    </row>
    <row r="10693" spans="31:31" x14ac:dyDescent="0.25">
      <c r="AE10693">
        <v>17.55</v>
      </c>
    </row>
    <row r="10694" spans="31:31" x14ac:dyDescent="0.25">
      <c r="AE10694">
        <v>0.72</v>
      </c>
    </row>
    <row r="10695" spans="31:31" x14ac:dyDescent="0.25">
      <c r="AE10695">
        <v>12.74</v>
      </c>
    </row>
    <row r="10696" spans="31:31" x14ac:dyDescent="0.25">
      <c r="AE10696">
        <v>86.08</v>
      </c>
    </row>
    <row r="10697" spans="31:31" x14ac:dyDescent="0.25">
      <c r="AE10697">
        <v>80.75</v>
      </c>
    </row>
    <row r="10698" spans="31:31" x14ac:dyDescent="0.25">
      <c r="AE10698">
        <v>26.16</v>
      </c>
    </row>
    <row r="10699" spans="31:31" x14ac:dyDescent="0.25">
      <c r="AE10699">
        <v>34.229999999999997</v>
      </c>
    </row>
    <row r="10700" spans="31:31" x14ac:dyDescent="0.25">
      <c r="AE10700">
        <v>30.08</v>
      </c>
    </row>
    <row r="10701" spans="31:31" x14ac:dyDescent="0.25">
      <c r="AE10701">
        <v>19.420000000000002</v>
      </c>
    </row>
    <row r="10702" spans="31:31" x14ac:dyDescent="0.25">
      <c r="AE10702">
        <v>39.380000000000003</v>
      </c>
    </row>
    <row r="10703" spans="31:31" x14ac:dyDescent="0.25">
      <c r="AE10703">
        <v>24.58</v>
      </c>
    </row>
    <row r="10704" spans="31:31" x14ac:dyDescent="0.25">
      <c r="AE10704">
        <v>52.76</v>
      </c>
    </row>
    <row r="10705" spans="31:31" x14ac:dyDescent="0.25">
      <c r="AE10705">
        <v>39.270000000000003</v>
      </c>
    </row>
    <row r="10706" spans="31:31" x14ac:dyDescent="0.25">
      <c r="AE10706">
        <v>67.05</v>
      </c>
    </row>
    <row r="10707" spans="31:31" x14ac:dyDescent="0.25">
      <c r="AE10707">
        <v>18.68</v>
      </c>
    </row>
    <row r="10708" spans="31:31" x14ac:dyDescent="0.25">
      <c r="AE10708">
        <v>39.07</v>
      </c>
    </row>
    <row r="10709" spans="31:31" x14ac:dyDescent="0.25">
      <c r="AE10709">
        <v>55.17</v>
      </c>
    </row>
    <row r="10710" spans="31:31" x14ac:dyDescent="0.25">
      <c r="AE10710">
        <v>15.5</v>
      </c>
    </row>
    <row r="10711" spans="31:31" x14ac:dyDescent="0.25">
      <c r="AE10711">
        <v>127.47</v>
      </c>
    </row>
    <row r="10712" spans="31:31" x14ac:dyDescent="0.25">
      <c r="AE10712">
        <v>9.99</v>
      </c>
    </row>
    <row r="10713" spans="31:31" x14ac:dyDescent="0.25">
      <c r="AE10713">
        <v>5.37</v>
      </c>
    </row>
    <row r="10714" spans="31:31" x14ac:dyDescent="0.25">
      <c r="AE10714">
        <v>31.45</v>
      </c>
    </row>
    <row r="10715" spans="31:31" x14ac:dyDescent="0.25">
      <c r="AE10715">
        <v>25.65</v>
      </c>
    </row>
    <row r="10716" spans="31:31" x14ac:dyDescent="0.25">
      <c r="AE10716">
        <v>12.16</v>
      </c>
    </row>
    <row r="10717" spans="31:31" x14ac:dyDescent="0.25">
      <c r="AE10717">
        <v>104.47</v>
      </c>
    </row>
    <row r="10718" spans="31:31" x14ac:dyDescent="0.25">
      <c r="AE10718">
        <v>43.52</v>
      </c>
    </row>
    <row r="10719" spans="31:31" x14ac:dyDescent="0.25">
      <c r="AE10719">
        <v>151.27000000000001</v>
      </c>
    </row>
    <row r="10720" spans="31:31" x14ac:dyDescent="0.25">
      <c r="AE10720">
        <v>67.52</v>
      </c>
    </row>
    <row r="10721" spans="31:31" x14ac:dyDescent="0.25">
      <c r="AE10721">
        <v>101.75</v>
      </c>
    </row>
    <row r="10722" spans="31:31" x14ac:dyDescent="0.25">
      <c r="AE10722">
        <v>71.88</v>
      </c>
    </row>
    <row r="10723" spans="31:31" x14ac:dyDescent="0.25">
      <c r="AE10723">
        <v>55.29</v>
      </c>
    </row>
    <row r="10724" spans="31:31" x14ac:dyDescent="0.25">
      <c r="AE10724">
        <v>34.119999999999997</v>
      </c>
    </row>
    <row r="10725" spans="31:31" x14ac:dyDescent="0.25">
      <c r="AE10725">
        <v>11.21</v>
      </c>
    </row>
    <row r="10726" spans="31:31" x14ac:dyDescent="0.25">
      <c r="AE10726">
        <v>32.29</v>
      </c>
    </row>
    <row r="10727" spans="31:31" x14ac:dyDescent="0.25">
      <c r="AE10727">
        <v>0.54</v>
      </c>
    </row>
    <row r="10728" spans="31:31" x14ac:dyDescent="0.25">
      <c r="AE10728">
        <v>38.11</v>
      </c>
    </row>
    <row r="10729" spans="31:31" x14ac:dyDescent="0.25">
      <c r="AE10729">
        <v>52.81</v>
      </c>
    </row>
    <row r="10730" spans="31:31" x14ac:dyDescent="0.25">
      <c r="AE10730">
        <v>14.45</v>
      </c>
    </row>
    <row r="10731" spans="31:31" x14ac:dyDescent="0.25">
      <c r="AE10731">
        <v>61.52</v>
      </c>
    </row>
    <row r="10732" spans="31:31" x14ac:dyDescent="0.25">
      <c r="AE10732">
        <v>62.8</v>
      </c>
    </row>
    <row r="10733" spans="31:31" x14ac:dyDescent="0.25">
      <c r="AE10733">
        <v>66.73</v>
      </c>
    </row>
    <row r="10734" spans="31:31" x14ac:dyDescent="0.25">
      <c r="AE10734">
        <v>44.82</v>
      </c>
    </row>
    <row r="10735" spans="31:31" x14ac:dyDescent="0.25">
      <c r="AE10735">
        <v>15.57</v>
      </c>
    </row>
    <row r="10736" spans="31:31" x14ac:dyDescent="0.25">
      <c r="AE10736">
        <v>11.77</v>
      </c>
    </row>
    <row r="10737" spans="31:31" x14ac:dyDescent="0.25">
      <c r="AE10737">
        <v>33.72</v>
      </c>
    </row>
    <row r="10738" spans="31:31" x14ac:dyDescent="0.25">
      <c r="AE10738">
        <v>27.02</v>
      </c>
    </row>
    <row r="10739" spans="31:31" x14ac:dyDescent="0.25">
      <c r="AE10739">
        <v>10.19</v>
      </c>
    </row>
    <row r="10740" spans="31:31" x14ac:dyDescent="0.25">
      <c r="AE10740">
        <v>70.02</v>
      </c>
    </row>
    <row r="10741" spans="31:31" x14ac:dyDescent="0.25">
      <c r="AE10741">
        <v>57.3</v>
      </c>
    </row>
    <row r="10742" spans="31:31" x14ac:dyDescent="0.25">
      <c r="AE10742">
        <v>135.04</v>
      </c>
    </row>
    <row r="10743" spans="31:31" x14ac:dyDescent="0.25">
      <c r="AE10743">
        <v>45.58</v>
      </c>
    </row>
    <row r="10744" spans="31:31" x14ac:dyDescent="0.25">
      <c r="AE10744">
        <v>38.49</v>
      </c>
    </row>
    <row r="10745" spans="31:31" x14ac:dyDescent="0.25">
      <c r="AE10745">
        <v>20.86</v>
      </c>
    </row>
    <row r="10746" spans="31:31" x14ac:dyDescent="0.25">
      <c r="AE10746">
        <v>13.77</v>
      </c>
    </row>
    <row r="10747" spans="31:31" x14ac:dyDescent="0.25">
      <c r="AE10747">
        <v>14.77</v>
      </c>
    </row>
    <row r="10748" spans="31:31" x14ac:dyDescent="0.25">
      <c r="AE10748">
        <v>33.69</v>
      </c>
    </row>
    <row r="10749" spans="31:31" x14ac:dyDescent="0.25">
      <c r="AE10749">
        <v>51.06</v>
      </c>
    </row>
    <row r="10750" spans="31:31" x14ac:dyDescent="0.25">
      <c r="AE10750">
        <v>41.42</v>
      </c>
    </row>
    <row r="10751" spans="31:31" x14ac:dyDescent="0.25">
      <c r="AE10751">
        <v>44.68</v>
      </c>
    </row>
    <row r="10752" spans="31:31" x14ac:dyDescent="0.25">
      <c r="AE10752">
        <v>54.5</v>
      </c>
    </row>
    <row r="10753" spans="31:31" x14ac:dyDescent="0.25">
      <c r="AE10753">
        <v>160.30000000000001</v>
      </c>
    </row>
    <row r="10754" spans="31:31" x14ac:dyDescent="0.25">
      <c r="AE10754">
        <v>2.31</v>
      </c>
    </row>
    <row r="10755" spans="31:31" x14ac:dyDescent="0.25">
      <c r="AE10755">
        <v>92.76</v>
      </c>
    </row>
    <row r="10756" spans="31:31" x14ac:dyDescent="0.25">
      <c r="AE10756">
        <v>173.73</v>
      </c>
    </row>
    <row r="10757" spans="31:31" x14ac:dyDescent="0.25">
      <c r="AE10757">
        <v>8.94</v>
      </c>
    </row>
    <row r="10758" spans="31:31" x14ac:dyDescent="0.25">
      <c r="AE10758">
        <v>42.34</v>
      </c>
    </row>
    <row r="10759" spans="31:31" x14ac:dyDescent="0.25">
      <c r="AE10759">
        <v>89.16</v>
      </c>
    </row>
    <row r="10760" spans="31:31" x14ac:dyDescent="0.25">
      <c r="AE10760">
        <v>10.48</v>
      </c>
    </row>
    <row r="10761" spans="31:31" x14ac:dyDescent="0.25">
      <c r="AE10761">
        <v>53.93</v>
      </c>
    </row>
    <row r="10762" spans="31:31" x14ac:dyDescent="0.25">
      <c r="AE10762">
        <v>51.25</v>
      </c>
    </row>
    <row r="10763" spans="31:31" x14ac:dyDescent="0.25">
      <c r="AE10763">
        <v>0.09</v>
      </c>
    </row>
    <row r="10764" spans="31:31" x14ac:dyDescent="0.25">
      <c r="AE10764">
        <v>129.99</v>
      </c>
    </row>
    <row r="10765" spans="31:31" x14ac:dyDescent="0.25">
      <c r="AE10765">
        <v>16.82</v>
      </c>
    </row>
    <row r="10766" spans="31:31" x14ac:dyDescent="0.25">
      <c r="AE10766">
        <v>122.94</v>
      </c>
    </row>
    <row r="10767" spans="31:31" x14ac:dyDescent="0.25">
      <c r="AE10767">
        <v>38.65</v>
      </c>
    </row>
    <row r="10768" spans="31:31" x14ac:dyDescent="0.25">
      <c r="AE10768">
        <v>17.63</v>
      </c>
    </row>
    <row r="10769" spans="31:31" x14ac:dyDescent="0.25">
      <c r="AE10769">
        <v>30.96</v>
      </c>
    </row>
    <row r="10770" spans="31:31" x14ac:dyDescent="0.25">
      <c r="AE10770">
        <v>35.15</v>
      </c>
    </row>
    <row r="10771" spans="31:31" x14ac:dyDescent="0.25">
      <c r="AE10771">
        <v>16.11</v>
      </c>
    </row>
    <row r="10772" spans="31:31" x14ac:dyDescent="0.25">
      <c r="AE10772">
        <v>67.010000000000005</v>
      </c>
    </row>
    <row r="10773" spans="31:31" x14ac:dyDescent="0.25">
      <c r="AE10773">
        <v>32.49</v>
      </c>
    </row>
    <row r="10774" spans="31:31" x14ac:dyDescent="0.25">
      <c r="AE10774">
        <v>10.79</v>
      </c>
    </row>
    <row r="10775" spans="31:31" x14ac:dyDescent="0.25">
      <c r="AE10775">
        <v>53.2</v>
      </c>
    </row>
    <row r="10776" spans="31:31" x14ac:dyDescent="0.25">
      <c r="AE10776">
        <v>0.18</v>
      </c>
    </row>
    <row r="10777" spans="31:31" x14ac:dyDescent="0.25">
      <c r="AE10777">
        <v>22.8</v>
      </c>
    </row>
    <row r="10778" spans="31:31" x14ac:dyDescent="0.25">
      <c r="AE10778">
        <v>58.93</v>
      </c>
    </row>
    <row r="10779" spans="31:31" x14ac:dyDescent="0.25">
      <c r="AE10779">
        <v>131.4</v>
      </c>
    </row>
    <row r="10780" spans="31:31" x14ac:dyDescent="0.25">
      <c r="AE10780">
        <v>82.91</v>
      </c>
    </row>
    <row r="10781" spans="31:31" x14ac:dyDescent="0.25">
      <c r="AE10781">
        <v>77.89</v>
      </c>
    </row>
    <row r="10782" spans="31:31" x14ac:dyDescent="0.25">
      <c r="AE10782">
        <v>44.65</v>
      </c>
    </row>
    <row r="10783" spans="31:31" x14ac:dyDescent="0.25">
      <c r="AE10783">
        <v>98.23</v>
      </c>
    </row>
    <row r="10784" spans="31:31" x14ac:dyDescent="0.25">
      <c r="AE10784">
        <v>51.95</v>
      </c>
    </row>
    <row r="10785" spans="31:31" x14ac:dyDescent="0.25">
      <c r="AE10785">
        <v>10.09</v>
      </c>
    </row>
    <row r="10786" spans="31:31" x14ac:dyDescent="0.25">
      <c r="AE10786">
        <v>0.45</v>
      </c>
    </row>
    <row r="10787" spans="31:31" x14ac:dyDescent="0.25">
      <c r="AE10787">
        <v>10.44</v>
      </c>
    </row>
    <row r="10788" spans="31:31" x14ac:dyDescent="0.25">
      <c r="AE10788">
        <v>195.38</v>
      </c>
    </row>
    <row r="10789" spans="31:31" x14ac:dyDescent="0.25">
      <c r="AE10789">
        <v>44.98</v>
      </c>
    </row>
    <row r="10790" spans="31:31" x14ac:dyDescent="0.25">
      <c r="AE10790">
        <v>47.18</v>
      </c>
    </row>
    <row r="10791" spans="31:31" x14ac:dyDescent="0.25">
      <c r="AE10791">
        <v>50.94</v>
      </c>
    </row>
    <row r="10792" spans="31:31" x14ac:dyDescent="0.25">
      <c r="AE10792">
        <v>10.09</v>
      </c>
    </row>
    <row r="10793" spans="31:31" x14ac:dyDescent="0.25">
      <c r="AE10793">
        <v>176.43</v>
      </c>
    </row>
    <row r="10794" spans="31:31" x14ac:dyDescent="0.25">
      <c r="AE10794">
        <v>52.73</v>
      </c>
    </row>
    <row r="10795" spans="31:31" x14ac:dyDescent="0.25">
      <c r="AE10795">
        <v>23.74</v>
      </c>
    </row>
    <row r="10796" spans="31:31" x14ac:dyDescent="0.25">
      <c r="AE10796">
        <v>36.119999999999997</v>
      </c>
    </row>
    <row r="10797" spans="31:31" x14ac:dyDescent="0.25">
      <c r="AE10797">
        <v>61.87</v>
      </c>
    </row>
    <row r="10798" spans="31:31" x14ac:dyDescent="0.25">
      <c r="AE10798">
        <v>55.98</v>
      </c>
    </row>
    <row r="10799" spans="31:31" x14ac:dyDescent="0.25">
      <c r="AE10799">
        <v>29.32</v>
      </c>
    </row>
    <row r="10800" spans="31:31" x14ac:dyDescent="0.25">
      <c r="AE10800">
        <v>64.58</v>
      </c>
    </row>
    <row r="10801" spans="31:31" x14ac:dyDescent="0.25">
      <c r="AE10801">
        <v>12.03</v>
      </c>
    </row>
    <row r="10802" spans="31:31" x14ac:dyDescent="0.25">
      <c r="AE10802">
        <v>22.68</v>
      </c>
    </row>
    <row r="10803" spans="31:31" x14ac:dyDescent="0.25">
      <c r="AE10803">
        <v>0.18</v>
      </c>
    </row>
    <row r="10804" spans="31:31" x14ac:dyDescent="0.25">
      <c r="AE10804">
        <v>17.54</v>
      </c>
    </row>
    <row r="10805" spans="31:31" x14ac:dyDescent="0.25">
      <c r="AE10805">
        <v>25.2</v>
      </c>
    </row>
    <row r="10806" spans="31:31" x14ac:dyDescent="0.25">
      <c r="AE10806">
        <v>5.72</v>
      </c>
    </row>
    <row r="10807" spans="31:31" x14ac:dyDescent="0.25">
      <c r="AE10807">
        <v>10.24</v>
      </c>
    </row>
    <row r="10808" spans="31:31" x14ac:dyDescent="0.25">
      <c r="AE10808">
        <v>37.79</v>
      </c>
    </row>
    <row r="10809" spans="31:31" x14ac:dyDescent="0.25">
      <c r="AE10809">
        <v>115.48</v>
      </c>
    </row>
    <row r="10810" spans="31:31" x14ac:dyDescent="0.25">
      <c r="AE10810">
        <v>109.76</v>
      </c>
    </row>
    <row r="10811" spans="31:31" x14ac:dyDescent="0.25">
      <c r="AE10811">
        <v>164.88</v>
      </c>
    </row>
    <row r="10812" spans="31:31" x14ac:dyDescent="0.25">
      <c r="AE10812">
        <v>50.73</v>
      </c>
    </row>
    <row r="10813" spans="31:31" x14ac:dyDescent="0.25">
      <c r="AE10813">
        <v>24.8</v>
      </c>
    </row>
    <row r="10814" spans="31:31" x14ac:dyDescent="0.25">
      <c r="AE10814">
        <v>89.06</v>
      </c>
    </row>
    <row r="10815" spans="31:31" x14ac:dyDescent="0.25">
      <c r="AE10815">
        <v>29.73</v>
      </c>
    </row>
    <row r="10816" spans="31:31" x14ac:dyDescent="0.25">
      <c r="AE10816">
        <v>67.989999999999995</v>
      </c>
    </row>
    <row r="10817" spans="31:31" x14ac:dyDescent="0.25">
      <c r="AE10817">
        <v>1.57</v>
      </c>
    </row>
    <row r="10818" spans="31:31" x14ac:dyDescent="0.25">
      <c r="AE10818">
        <v>47.49</v>
      </c>
    </row>
    <row r="10819" spans="31:31" x14ac:dyDescent="0.25">
      <c r="AE10819">
        <v>21.24</v>
      </c>
    </row>
    <row r="10820" spans="31:31" x14ac:dyDescent="0.25">
      <c r="AE10820">
        <v>35.28</v>
      </c>
    </row>
    <row r="10821" spans="31:31" x14ac:dyDescent="0.25">
      <c r="AE10821">
        <v>63.27</v>
      </c>
    </row>
    <row r="10822" spans="31:31" x14ac:dyDescent="0.25">
      <c r="AE10822">
        <v>55.94</v>
      </c>
    </row>
    <row r="10823" spans="31:31" x14ac:dyDescent="0.25">
      <c r="AE10823">
        <v>15.25</v>
      </c>
    </row>
    <row r="10824" spans="31:31" x14ac:dyDescent="0.25">
      <c r="AE10824">
        <v>55.59</v>
      </c>
    </row>
    <row r="10825" spans="31:31" x14ac:dyDescent="0.25">
      <c r="AE10825">
        <v>52.86</v>
      </c>
    </row>
    <row r="10826" spans="31:31" x14ac:dyDescent="0.25">
      <c r="AE10826">
        <v>26.65</v>
      </c>
    </row>
    <row r="10827" spans="31:31" x14ac:dyDescent="0.25">
      <c r="AE10827">
        <v>19.579999999999998</v>
      </c>
    </row>
    <row r="10828" spans="31:31" x14ac:dyDescent="0.25">
      <c r="AE10828">
        <v>219.14</v>
      </c>
    </row>
    <row r="10829" spans="31:31" x14ac:dyDescent="0.25">
      <c r="AE10829">
        <v>26.48</v>
      </c>
    </row>
    <row r="10830" spans="31:31" x14ac:dyDescent="0.25">
      <c r="AE10830">
        <v>33.020000000000003</v>
      </c>
    </row>
    <row r="10831" spans="31:31" x14ac:dyDescent="0.25">
      <c r="AE10831">
        <v>55.02</v>
      </c>
    </row>
    <row r="10832" spans="31:31" x14ac:dyDescent="0.25">
      <c r="AE10832">
        <v>104.34</v>
      </c>
    </row>
    <row r="10833" spans="31:31" x14ac:dyDescent="0.25">
      <c r="AE10833">
        <v>122.03</v>
      </c>
    </row>
    <row r="10834" spans="31:31" x14ac:dyDescent="0.25">
      <c r="AE10834">
        <v>10.79</v>
      </c>
    </row>
    <row r="10835" spans="31:31" x14ac:dyDescent="0.25">
      <c r="AE10835">
        <v>7.82</v>
      </c>
    </row>
    <row r="10836" spans="31:31" x14ac:dyDescent="0.25">
      <c r="AE10836">
        <v>6.92</v>
      </c>
    </row>
    <row r="10837" spans="31:31" x14ac:dyDescent="0.25">
      <c r="AE10837">
        <v>0.09</v>
      </c>
    </row>
    <row r="10838" spans="31:31" x14ac:dyDescent="0.25">
      <c r="AE10838">
        <v>53.49</v>
      </c>
    </row>
    <row r="10839" spans="31:31" x14ac:dyDescent="0.25">
      <c r="AE10839">
        <v>10.24</v>
      </c>
    </row>
    <row r="10840" spans="31:31" x14ac:dyDescent="0.25">
      <c r="AE10840">
        <v>61.07</v>
      </c>
    </row>
    <row r="10841" spans="31:31" x14ac:dyDescent="0.25">
      <c r="AE10841">
        <v>43.63</v>
      </c>
    </row>
    <row r="10842" spans="31:31" x14ac:dyDescent="0.25">
      <c r="AE10842">
        <v>154.87</v>
      </c>
    </row>
    <row r="10843" spans="31:31" x14ac:dyDescent="0.25">
      <c r="AE10843">
        <v>87.69</v>
      </c>
    </row>
    <row r="10844" spans="31:31" x14ac:dyDescent="0.25">
      <c r="AE10844">
        <v>106.71</v>
      </c>
    </row>
    <row r="10845" spans="31:31" x14ac:dyDescent="0.25">
      <c r="AE10845">
        <v>4.55</v>
      </c>
    </row>
    <row r="10846" spans="31:31" x14ac:dyDescent="0.25">
      <c r="AE10846">
        <v>42.16</v>
      </c>
    </row>
    <row r="10847" spans="31:31" x14ac:dyDescent="0.25">
      <c r="AE10847">
        <v>32.119999999999997</v>
      </c>
    </row>
    <row r="10848" spans="31:31" x14ac:dyDescent="0.25">
      <c r="AE10848">
        <v>27.54</v>
      </c>
    </row>
    <row r="10849" spans="31:31" x14ac:dyDescent="0.25">
      <c r="AE10849">
        <v>0</v>
      </c>
    </row>
    <row r="10850" spans="31:31" x14ac:dyDescent="0.25">
      <c r="AE10850">
        <v>169.75</v>
      </c>
    </row>
    <row r="10851" spans="31:31" x14ac:dyDescent="0.25">
      <c r="AE10851">
        <v>39.159999999999997</v>
      </c>
    </row>
    <row r="10852" spans="31:31" x14ac:dyDescent="0.25">
      <c r="AE10852">
        <v>127.78</v>
      </c>
    </row>
    <row r="10853" spans="31:31" x14ac:dyDescent="0.25">
      <c r="AE10853">
        <v>39.17</v>
      </c>
    </row>
    <row r="10854" spans="31:31" x14ac:dyDescent="0.25">
      <c r="AE10854">
        <v>100.8</v>
      </c>
    </row>
    <row r="10855" spans="31:31" x14ac:dyDescent="0.25">
      <c r="AE10855">
        <v>10.88</v>
      </c>
    </row>
    <row r="10856" spans="31:31" x14ac:dyDescent="0.25">
      <c r="AE10856">
        <v>14.11</v>
      </c>
    </row>
    <row r="10857" spans="31:31" x14ac:dyDescent="0.25">
      <c r="AE10857">
        <v>43.94</v>
      </c>
    </row>
    <row r="10858" spans="31:31" x14ac:dyDescent="0.25">
      <c r="AE10858">
        <v>96.72</v>
      </c>
    </row>
    <row r="10859" spans="31:31" x14ac:dyDescent="0.25">
      <c r="AE10859">
        <v>10.24</v>
      </c>
    </row>
    <row r="10860" spans="31:31" x14ac:dyDescent="0.25">
      <c r="AE10860">
        <v>268.8</v>
      </c>
    </row>
    <row r="10861" spans="31:31" x14ac:dyDescent="0.25">
      <c r="AE10861">
        <v>39.94</v>
      </c>
    </row>
    <row r="10862" spans="31:31" x14ac:dyDescent="0.25">
      <c r="AE10862">
        <v>18.579999999999998</v>
      </c>
    </row>
    <row r="10863" spans="31:31" x14ac:dyDescent="0.25">
      <c r="AE10863">
        <v>0.45</v>
      </c>
    </row>
    <row r="10864" spans="31:31" x14ac:dyDescent="0.25">
      <c r="AE10864">
        <v>73.84</v>
      </c>
    </row>
    <row r="10865" spans="31:31" x14ac:dyDescent="0.25">
      <c r="AE10865">
        <v>11.49</v>
      </c>
    </row>
    <row r="10866" spans="31:31" x14ac:dyDescent="0.25">
      <c r="AE10866">
        <v>5.84</v>
      </c>
    </row>
    <row r="10867" spans="31:31" x14ac:dyDescent="0.25">
      <c r="AE10867">
        <v>8.7100000000000009</v>
      </c>
    </row>
    <row r="10868" spans="31:31" x14ac:dyDescent="0.25">
      <c r="AE10868">
        <v>51.63</v>
      </c>
    </row>
    <row r="10869" spans="31:31" x14ac:dyDescent="0.25">
      <c r="AE10869">
        <v>43.86</v>
      </c>
    </row>
    <row r="10870" spans="31:31" x14ac:dyDescent="0.25">
      <c r="AE10870">
        <v>92.61</v>
      </c>
    </row>
    <row r="10871" spans="31:31" x14ac:dyDescent="0.25">
      <c r="AE10871">
        <v>54.76</v>
      </c>
    </row>
    <row r="10872" spans="31:31" x14ac:dyDescent="0.25">
      <c r="AE10872">
        <v>38.200000000000003</v>
      </c>
    </row>
    <row r="10873" spans="31:31" x14ac:dyDescent="0.25">
      <c r="AE10873">
        <v>56.5</v>
      </c>
    </row>
    <row r="10874" spans="31:31" x14ac:dyDescent="0.25">
      <c r="AE10874">
        <v>23.34</v>
      </c>
    </row>
    <row r="10875" spans="31:31" x14ac:dyDescent="0.25">
      <c r="AE10875">
        <v>26.09</v>
      </c>
    </row>
    <row r="10876" spans="31:31" x14ac:dyDescent="0.25">
      <c r="AE10876">
        <v>120.76</v>
      </c>
    </row>
    <row r="10877" spans="31:31" x14ac:dyDescent="0.25">
      <c r="AE10877">
        <v>68.12</v>
      </c>
    </row>
    <row r="10878" spans="31:31" x14ac:dyDescent="0.25">
      <c r="AE10878">
        <v>10.19</v>
      </c>
    </row>
    <row r="10879" spans="31:31" x14ac:dyDescent="0.25">
      <c r="AE10879">
        <v>10.87</v>
      </c>
    </row>
    <row r="10880" spans="31:31" x14ac:dyDescent="0.25">
      <c r="AE10880">
        <v>0.09</v>
      </c>
    </row>
    <row r="10881" spans="31:31" x14ac:dyDescent="0.25">
      <c r="AE10881">
        <v>29.06</v>
      </c>
    </row>
    <row r="10882" spans="31:31" x14ac:dyDescent="0.25">
      <c r="AE10882">
        <v>0.63</v>
      </c>
    </row>
    <row r="10883" spans="31:31" x14ac:dyDescent="0.25">
      <c r="AE10883">
        <v>0.63</v>
      </c>
    </row>
    <row r="10884" spans="31:31" x14ac:dyDescent="0.25">
      <c r="AE10884">
        <v>41.31</v>
      </c>
    </row>
    <row r="10885" spans="31:31" x14ac:dyDescent="0.25">
      <c r="AE10885">
        <v>30.59</v>
      </c>
    </row>
    <row r="10886" spans="31:31" x14ac:dyDescent="0.25">
      <c r="AE10886">
        <v>10.09</v>
      </c>
    </row>
    <row r="10887" spans="31:31" x14ac:dyDescent="0.25">
      <c r="AE10887">
        <v>26.62</v>
      </c>
    </row>
    <row r="10888" spans="31:31" x14ac:dyDescent="0.25">
      <c r="AE10888">
        <v>266.77</v>
      </c>
    </row>
    <row r="10889" spans="31:31" x14ac:dyDescent="0.25">
      <c r="AE10889">
        <v>31.42</v>
      </c>
    </row>
    <row r="10890" spans="31:31" x14ac:dyDescent="0.25">
      <c r="AE10890">
        <v>72.209999999999994</v>
      </c>
    </row>
    <row r="10891" spans="31:31" x14ac:dyDescent="0.25">
      <c r="AE10891">
        <v>56.98</v>
      </c>
    </row>
    <row r="10892" spans="31:31" x14ac:dyDescent="0.25">
      <c r="AE10892">
        <v>64.91</v>
      </c>
    </row>
    <row r="10893" spans="31:31" x14ac:dyDescent="0.25">
      <c r="AE10893">
        <v>5.92</v>
      </c>
    </row>
    <row r="10894" spans="31:31" x14ac:dyDescent="0.25">
      <c r="AE10894">
        <v>10.63</v>
      </c>
    </row>
    <row r="10895" spans="31:31" x14ac:dyDescent="0.25">
      <c r="AE10895">
        <v>17.739999999999998</v>
      </c>
    </row>
    <row r="10896" spans="31:31" x14ac:dyDescent="0.25">
      <c r="AE10896">
        <v>47.28</v>
      </c>
    </row>
    <row r="10897" spans="31:31" x14ac:dyDescent="0.25">
      <c r="AE10897">
        <v>6.84</v>
      </c>
    </row>
    <row r="10898" spans="31:31" x14ac:dyDescent="0.25">
      <c r="AE10898">
        <v>54.4</v>
      </c>
    </row>
    <row r="10899" spans="31:31" x14ac:dyDescent="0.25">
      <c r="AE10899">
        <v>149.41999999999999</v>
      </c>
    </row>
    <row r="10900" spans="31:31" x14ac:dyDescent="0.25">
      <c r="AE10900">
        <v>17.37</v>
      </c>
    </row>
    <row r="10901" spans="31:31" x14ac:dyDescent="0.25">
      <c r="AE10901">
        <v>0.18</v>
      </c>
    </row>
    <row r="10902" spans="31:31" x14ac:dyDescent="0.25">
      <c r="AE10902">
        <v>141.11000000000001</v>
      </c>
    </row>
    <row r="10903" spans="31:31" x14ac:dyDescent="0.25">
      <c r="AE10903">
        <v>49.55</v>
      </c>
    </row>
    <row r="10904" spans="31:31" x14ac:dyDescent="0.25">
      <c r="AE10904">
        <v>12</v>
      </c>
    </row>
    <row r="10905" spans="31:31" x14ac:dyDescent="0.25">
      <c r="AE10905">
        <v>156.72999999999999</v>
      </c>
    </row>
    <row r="10906" spans="31:31" x14ac:dyDescent="0.25">
      <c r="AE10906">
        <v>3.58</v>
      </c>
    </row>
    <row r="10907" spans="31:31" x14ac:dyDescent="0.25">
      <c r="AE10907">
        <v>48.64</v>
      </c>
    </row>
    <row r="10908" spans="31:31" x14ac:dyDescent="0.25">
      <c r="AE10908">
        <v>8.18</v>
      </c>
    </row>
    <row r="10909" spans="31:31" x14ac:dyDescent="0.25">
      <c r="AE10909">
        <v>14.16</v>
      </c>
    </row>
    <row r="10910" spans="31:31" x14ac:dyDescent="0.25">
      <c r="AE10910">
        <v>29.06</v>
      </c>
    </row>
    <row r="10911" spans="31:31" x14ac:dyDescent="0.25">
      <c r="AE10911">
        <v>30.67</v>
      </c>
    </row>
    <row r="10912" spans="31:31" x14ac:dyDescent="0.25">
      <c r="AE10912">
        <v>67.760000000000005</v>
      </c>
    </row>
    <row r="10913" spans="31:31" x14ac:dyDescent="0.25">
      <c r="AE10913">
        <v>14.79</v>
      </c>
    </row>
    <row r="10914" spans="31:31" x14ac:dyDescent="0.25">
      <c r="AE10914">
        <v>158.44999999999999</v>
      </c>
    </row>
    <row r="10915" spans="31:31" x14ac:dyDescent="0.25">
      <c r="AE10915">
        <v>111.87</v>
      </c>
    </row>
    <row r="10916" spans="31:31" x14ac:dyDescent="0.25">
      <c r="AE10916">
        <v>97.08</v>
      </c>
    </row>
    <row r="10917" spans="31:31" x14ac:dyDescent="0.25">
      <c r="AE10917">
        <v>22.88</v>
      </c>
    </row>
    <row r="10918" spans="31:31" x14ac:dyDescent="0.25">
      <c r="AE10918">
        <v>72.08</v>
      </c>
    </row>
    <row r="10919" spans="31:31" x14ac:dyDescent="0.25">
      <c r="AE10919">
        <v>19.350000000000001</v>
      </c>
    </row>
    <row r="10920" spans="31:31" x14ac:dyDescent="0.25">
      <c r="AE10920">
        <v>60.35</v>
      </c>
    </row>
    <row r="10921" spans="31:31" x14ac:dyDescent="0.25">
      <c r="AE10921">
        <v>23.36</v>
      </c>
    </row>
    <row r="10922" spans="31:31" x14ac:dyDescent="0.25">
      <c r="AE10922">
        <v>26.66</v>
      </c>
    </row>
    <row r="10923" spans="31:31" x14ac:dyDescent="0.25">
      <c r="AE10923">
        <v>30.78</v>
      </c>
    </row>
    <row r="10924" spans="31:31" x14ac:dyDescent="0.25">
      <c r="AE10924">
        <v>233.78</v>
      </c>
    </row>
    <row r="10925" spans="31:31" x14ac:dyDescent="0.25">
      <c r="AE10925">
        <v>21.08</v>
      </c>
    </row>
    <row r="10926" spans="31:31" x14ac:dyDescent="0.25">
      <c r="AE10926">
        <v>120.34</v>
      </c>
    </row>
    <row r="10927" spans="31:31" x14ac:dyDescent="0.25">
      <c r="AE10927">
        <v>27.6</v>
      </c>
    </row>
    <row r="10928" spans="31:31" x14ac:dyDescent="0.25">
      <c r="AE10928">
        <v>10.09</v>
      </c>
    </row>
    <row r="10929" spans="31:31" x14ac:dyDescent="0.25">
      <c r="AE10929">
        <v>20</v>
      </c>
    </row>
    <row r="10930" spans="31:31" x14ac:dyDescent="0.25">
      <c r="AE10930">
        <v>39.08</v>
      </c>
    </row>
    <row r="10931" spans="31:31" x14ac:dyDescent="0.25">
      <c r="AE10931">
        <v>94.34</v>
      </c>
    </row>
    <row r="10932" spans="31:31" x14ac:dyDescent="0.25">
      <c r="AE10932">
        <v>113.18</v>
      </c>
    </row>
    <row r="10933" spans="31:31" x14ac:dyDescent="0.25">
      <c r="AE10933">
        <v>9.99</v>
      </c>
    </row>
    <row r="10934" spans="31:31" x14ac:dyDescent="0.25">
      <c r="AE10934">
        <v>25.39</v>
      </c>
    </row>
    <row r="10935" spans="31:31" x14ac:dyDescent="0.25">
      <c r="AE10935">
        <v>36.99</v>
      </c>
    </row>
    <row r="10936" spans="31:31" x14ac:dyDescent="0.25">
      <c r="AE10936">
        <v>10.34</v>
      </c>
    </row>
    <row r="10937" spans="31:31" x14ac:dyDescent="0.25">
      <c r="AE10937">
        <v>26.96</v>
      </c>
    </row>
    <row r="10938" spans="31:31" x14ac:dyDescent="0.25">
      <c r="AE10938">
        <v>20.45</v>
      </c>
    </row>
    <row r="10939" spans="31:31" x14ac:dyDescent="0.25">
      <c r="AE10939">
        <v>18.55</v>
      </c>
    </row>
    <row r="10940" spans="31:31" x14ac:dyDescent="0.25">
      <c r="AE10940">
        <v>36.799999999999997</v>
      </c>
    </row>
    <row r="10941" spans="31:31" x14ac:dyDescent="0.25">
      <c r="AE10941">
        <v>188.99</v>
      </c>
    </row>
    <row r="10942" spans="31:31" x14ac:dyDescent="0.25">
      <c r="AE10942">
        <v>114.74</v>
      </c>
    </row>
    <row r="10943" spans="31:31" x14ac:dyDescent="0.25">
      <c r="AE10943">
        <v>13.52</v>
      </c>
    </row>
    <row r="10944" spans="31:31" x14ac:dyDescent="0.25">
      <c r="AE10944">
        <v>45.36</v>
      </c>
    </row>
    <row r="10945" spans="31:31" x14ac:dyDescent="0.25">
      <c r="AE10945">
        <v>50.51</v>
      </c>
    </row>
    <row r="10946" spans="31:31" x14ac:dyDescent="0.25">
      <c r="AE10946">
        <v>12.53</v>
      </c>
    </row>
    <row r="10947" spans="31:31" x14ac:dyDescent="0.25">
      <c r="AE10947">
        <v>129.37</v>
      </c>
    </row>
    <row r="10948" spans="31:31" x14ac:dyDescent="0.25">
      <c r="AE10948">
        <v>19.47</v>
      </c>
    </row>
    <row r="10949" spans="31:31" x14ac:dyDescent="0.25">
      <c r="AE10949">
        <v>6.61</v>
      </c>
    </row>
    <row r="10950" spans="31:31" x14ac:dyDescent="0.25">
      <c r="AE10950">
        <v>66.38</v>
      </c>
    </row>
    <row r="10951" spans="31:31" x14ac:dyDescent="0.25">
      <c r="AE10951">
        <v>22.56</v>
      </c>
    </row>
    <row r="10952" spans="31:31" x14ac:dyDescent="0.25">
      <c r="AE10952">
        <v>47.8</v>
      </c>
    </row>
    <row r="10953" spans="31:31" x14ac:dyDescent="0.25">
      <c r="AE10953">
        <v>63.86</v>
      </c>
    </row>
    <row r="10954" spans="31:31" x14ac:dyDescent="0.25">
      <c r="AE10954">
        <v>0.09</v>
      </c>
    </row>
    <row r="10955" spans="31:31" x14ac:dyDescent="0.25">
      <c r="AE10955">
        <v>33.94</v>
      </c>
    </row>
    <row r="10956" spans="31:31" x14ac:dyDescent="0.25">
      <c r="AE10956">
        <v>59.07</v>
      </c>
    </row>
    <row r="10957" spans="31:31" x14ac:dyDescent="0.25">
      <c r="AE10957">
        <v>89.55</v>
      </c>
    </row>
    <row r="10958" spans="31:31" x14ac:dyDescent="0.25">
      <c r="AE10958">
        <v>45.23</v>
      </c>
    </row>
    <row r="10959" spans="31:31" x14ac:dyDescent="0.25">
      <c r="AE10959">
        <v>48.83</v>
      </c>
    </row>
    <row r="10960" spans="31:31" x14ac:dyDescent="0.25">
      <c r="AE10960">
        <v>1.21</v>
      </c>
    </row>
    <row r="10961" spans="31:31" x14ac:dyDescent="0.25">
      <c r="AE10961">
        <v>2.17</v>
      </c>
    </row>
    <row r="10962" spans="31:31" x14ac:dyDescent="0.25">
      <c r="AE10962">
        <v>0.09</v>
      </c>
    </row>
    <row r="10963" spans="31:31" x14ac:dyDescent="0.25">
      <c r="AE10963">
        <v>174.48</v>
      </c>
    </row>
    <row r="10964" spans="31:31" x14ac:dyDescent="0.25">
      <c r="AE10964">
        <v>80.16</v>
      </c>
    </row>
    <row r="10965" spans="31:31" x14ac:dyDescent="0.25">
      <c r="AE10965">
        <v>23.81</v>
      </c>
    </row>
    <row r="10966" spans="31:31" x14ac:dyDescent="0.25">
      <c r="AE10966">
        <v>25.13</v>
      </c>
    </row>
    <row r="10967" spans="31:31" x14ac:dyDescent="0.25">
      <c r="AE10967">
        <v>54.48</v>
      </c>
    </row>
    <row r="10968" spans="31:31" x14ac:dyDescent="0.25">
      <c r="AE10968">
        <v>127.71</v>
      </c>
    </row>
    <row r="10969" spans="31:31" x14ac:dyDescent="0.25">
      <c r="AE10969">
        <v>54.2</v>
      </c>
    </row>
    <row r="10970" spans="31:31" x14ac:dyDescent="0.25">
      <c r="AE10970">
        <v>46.26</v>
      </c>
    </row>
    <row r="10971" spans="31:31" x14ac:dyDescent="0.25">
      <c r="AE10971">
        <v>25.47</v>
      </c>
    </row>
    <row r="10972" spans="31:31" x14ac:dyDescent="0.25">
      <c r="AE10972">
        <v>68.709999999999994</v>
      </c>
    </row>
    <row r="10973" spans="31:31" x14ac:dyDescent="0.25">
      <c r="AE10973">
        <v>0.18</v>
      </c>
    </row>
    <row r="10974" spans="31:31" x14ac:dyDescent="0.25">
      <c r="AE10974">
        <v>45.35</v>
      </c>
    </row>
    <row r="10975" spans="31:31" x14ac:dyDescent="0.25">
      <c r="AE10975">
        <v>10.09</v>
      </c>
    </row>
    <row r="10976" spans="31:31" x14ac:dyDescent="0.25">
      <c r="AE10976">
        <v>42.1</v>
      </c>
    </row>
    <row r="10977" spans="31:31" x14ac:dyDescent="0.25">
      <c r="AE10977">
        <v>87.65</v>
      </c>
    </row>
    <row r="10978" spans="31:31" x14ac:dyDescent="0.25">
      <c r="AE10978">
        <v>115.31</v>
      </c>
    </row>
    <row r="10979" spans="31:31" x14ac:dyDescent="0.25">
      <c r="AE10979">
        <v>12.44</v>
      </c>
    </row>
    <row r="10980" spans="31:31" x14ac:dyDescent="0.25">
      <c r="AE10980">
        <v>33.9</v>
      </c>
    </row>
    <row r="10981" spans="31:31" x14ac:dyDescent="0.25">
      <c r="AE10981">
        <v>26.38</v>
      </c>
    </row>
    <row r="10982" spans="31:31" x14ac:dyDescent="0.25">
      <c r="AE10982">
        <v>49.91</v>
      </c>
    </row>
    <row r="10983" spans="31:31" x14ac:dyDescent="0.25">
      <c r="AE10983">
        <v>221.53</v>
      </c>
    </row>
    <row r="10984" spans="31:31" x14ac:dyDescent="0.25">
      <c r="AE10984">
        <v>81.58</v>
      </c>
    </row>
    <row r="10985" spans="31:31" x14ac:dyDescent="0.25">
      <c r="AE10985">
        <v>192.92</v>
      </c>
    </row>
    <row r="10986" spans="31:31" x14ac:dyDescent="0.25">
      <c r="AE10986">
        <v>40.47</v>
      </c>
    </row>
    <row r="10987" spans="31:31" x14ac:dyDescent="0.25">
      <c r="AE10987">
        <v>94.5</v>
      </c>
    </row>
    <row r="10988" spans="31:31" x14ac:dyDescent="0.25">
      <c r="AE10988">
        <v>94.68</v>
      </c>
    </row>
    <row r="10989" spans="31:31" x14ac:dyDescent="0.25">
      <c r="AE10989">
        <v>26.25</v>
      </c>
    </row>
    <row r="10990" spans="31:31" x14ac:dyDescent="0.25">
      <c r="AE10990">
        <v>13.59</v>
      </c>
    </row>
    <row r="10991" spans="31:31" x14ac:dyDescent="0.25">
      <c r="AE10991">
        <v>77.06</v>
      </c>
    </row>
    <row r="10992" spans="31:31" x14ac:dyDescent="0.25">
      <c r="AE10992">
        <v>44.27</v>
      </c>
    </row>
    <row r="10993" spans="31:31" x14ac:dyDescent="0.25">
      <c r="AE10993">
        <v>48.98</v>
      </c>
    </row>
    <row r="10994" spans="31:31" x14ac:dyDescent="0.25">
      <c r="AE10994">
        <v>28.22</v>
      </c>
    </row>
    <row r="10995" spans="31:31" x14ac:dyDescent="0.25">
      <c r="AE10995">
        <v>42.31</v>
      </c>
    </row>
    <row r="10996" spans="31:31" x14ac:dyDescent="0.25">
      <c r="AE10996">
        <v>27.7</v>
      </c>
    </row>
    <row r="10997" spans="31:31" x14ac:dyDescent="0.25">
      <c r="AE10997">
        <v>22.68</v>
      </c>
    </row>
    <row r="10998" spans="31:31" x14ac:dyDescent="0.25">
      <c r="AE10998">
        <v>43.71</v>
      </c>
    </row>
    <row r="10999" spans="31:31" x14ac:dyDescent="0.25">
      <c r="AE10999">
        <v>24.63</v>
      </c>
    </row>
    <row r="11000" spans="31:31" x14ac:dyDescent="0.25">
      <c r="AE11000">
        <v>40.479999999999997</v>
      </c>
    </row>
    <row r="11001" spans="31:31" x14ac:dyDescent="0.25">
      <c r="AE11001">
        <v>27.58</v>
      </c>
    </row>
    <row r="11002" spans="31:31" x14ac:dyDescent="0.25">
      <c r="AE11002">
        <v>14.76</v>
      </c>
    </row>
    <row r="11003" spans="31:31" x14ac:dyDescent="0.25">
      <c r="AE11003">
        <v>37.07</v>
      </c>
    </row>
    <row r="11004" spans="31:31" x14ac:dyDescent="0.25">
      <c r="AE11004">
        <v>13.72</v>
      </c>
    </row>
    <row r="11005" spans="31:31" x14ac:dyDescent="0.25">
      <c r="AE11005">
        <v>86.47</v>
      </c>
    </row>
    <row r="11006" spans="31:31" x14ac:dyDescent="0.25">
      <c r="AE11006">
        <v>26.87</v>
      </c>
    </row>
    <row r="11007" spans="31:31" x14ac:dyDescent="0.25">
      <c r="AE11007">
        <v>70.69</v>
      </c>
    </row>
    <row r="11008" spans="31:31" x14ac:dyDescent="0.25">
      <c r="AE11008">
        <v>33.270000000000003</v>
      </c>
    </row>
    <row r="11009" spans="31:31" x14ac:dyDescent="0.25">
      <c r="AE11009">
        <v>10.14</v>
      </c>
    </row>
    <row r="11010" spans="31:31" x14ac:dyDescent="0.25">
      <c r="AE11010">
        <v>66.83</v>
      </c>
    </row>
    <row r="11011" spans="31:31" x14ac:dyDescent="0.25">
      <c r="AE11011">
        <v>53.16</v>
      </c>
    </row>
    <row r="11012" spans="31:31" x14ac:dyDescent="0.25">
      <c r="AE11012">
        <v>44.67</v>
      </c>
    </row>
    <row r="11013" spans="31:31" x14ac:dyDescent="0.25">
      <c r="AE11013">
        <v>21.69</v>
      </c>
    </row>
    <row r="11014" spans="31:31" x14ac:dyDescent="0.25">
      <c r="AE11014">
        <v>86.49</v>
      </c>
    </row>
    <row r="11015" spans="31:31" x14ac:dyDescent="0.25">
      <c r="AE11015">
        <v>52.28</v>
      </c>
    </row>
    <row r="11016" spans="31:31" x14ac:dyDescent="0.25">
      <c r="AE11016">
        <v>33.29</v>
      </c>
    </row>
    <row r="11017" spans="31:31" x14ac:dyDescent="0.25">
      <c r="AE11017">
        <v>27.71</v>
      </c>
    </row>
    <row r="11018" spans="31:31" x14ac:dyDescent="0.25">
      <c r="AE11018">
        <v>51.29</v>
      </c>
    </row>
    <row r="11019" spans="31:31" x14ac:dyDescent="0.25">
      <c r="AE11019">
        <v>0.09</v>
      </c>
    </row>
    <row r="11020" spans="31:31" x14ac:dyDescent="0.25">
      <c r="AE11020">
        <v>0.09</v>
      </c>
    </row>
    <row r="11021" spans="31:31" x14ac:dyDescent="0.25">
      <c r="AE11021">
        <v>34.409999999999997</v>
      </c>
    </row>
    <row r="11022" spans="31:31" x14ac:dyDescent="0.25">
      <c r="AE11022">
        <v>46</v>
      </c>
    </row>
    <row r="11023" spans="31:31" x14ac:dyDescent="0.25">
      <c r="AE11023">
        <v>10.24</v>
      </c>
    </row>
    <row r="11024" spans="31:31" x14ac:dyDescent="0.25">
      <c r="AE11024">
        <v>62.58</v>
      </c>
    </row>
    <row r="11025" spans="31:31" x14ac:dyDescent="0.25">
      <c r="AE11025">
        <v>69.540000000000006</v>
      </c>
    </row>
    <row r="11026" spans="31:31" x14ac:dyDescent="0.25">
      <c r="AE11026">
        <v>62.9</v>
      </c>
    </row>
    <row r="11027" spans="31:31" x14ac:dyDescent="0.25">
      <c r="AE11027">
        <v>124.84</v>
      </c>
    </row>
    <row r="11028" spans="31:31" x14ac:dyDescent="0.25">
      <c r="AE11028">
        <v>75.25</v>
      </c>
    </row>
    <row r="11029" spans="31:31" x14ac:dyDescent="0.25">
      <c r="AE11029">
        <v>70.44</v>
      </c>
    </row>
    <row r="11030" spans="31:31" x14ac:dyDescent="0.25">
      <c r="AE11030">
        <v>9.99</v>
      </c>
    </row>
    <row r="11031" spans="31:31" x14ac:dyDescent="0.25">
      <c r="AE11031">
        <v>54.66</v>
      </c>
    </row>
    <row r="11032" spans="31:31" x14ac:dyDescent="0.25">
      <c r="AE11032">
        <v>48.54</v>
      </c>
    </row>
    <row r="11033" spans="31:31" x14ac:dyDescent="0.25">
      <c r="AE11033">
        <v>76.260000000000005</v>
      </c>
    </row>
    <row r="11034" spans="31:31" x14ac:dyDescent="0.25">
      <c r="AE11034">
        <v>38.97</v>
      </c>
    </row>
    <row r="11035" spans="31:31" x14ac:dyDescent="0.25">
      <c r="AE11035">
        <v>43.08</v>
      </c>
    </row>
    <row r="11036" spans="31:31" x14ac:dyDescent="0.25">
      <c r="AE11036">
        <v>166.06</v>
      </c>
    </row>
    <row r="11037" spans="31:31" x14ac:dyDescent="0.25">
      <c r="AE11037">
        <v>121.02</v>
      </c>
    </row>
    <row r="11038" spans="31:31" x14ac:dyDescent="0.25">
      <c r="AE11038">
        <v>44.78</v>
      </c>
    </row>
    <row r="11039" spans="31:31" x14ac:dyDescent="0.25">
      <c r="AE11039">
        <v>56.97</v>
      </c>
    </row>
    <row r="11040" spans="31:31" x14ac:dyDescent="0.25">
      <c r="AE11040">
        <v>10.09</v>
      </c>
    </row>
    <row r="11041" spans="31:31" x14ac:dyDescent="0.25">
      <c r="AE11041">
        <v>76.209999999999994</v>
      </c>
    </row>
    <row r="11042" spans="31:31" x14ac:dyDescent="0.25">
      <c r="AE11042">
        <v>90.42</v>
      </c>
    </row>
    <row r="11043" spans="31:31" x14ac:dyDescent="0.25">
      <c r="AE11043">
        <v>9.99</v>
      </c>
    </row>
    <row r="11044" spans="31:31" x14ac:dyDescent="0.25">
      <c r="AE11044">
        <v>20.54</v>
      </c>
    </row>
    <row r="11045" spans="31:31" x14ac:dyDescent="0.25">
      <c r="AE11045">
        <v>25.32</v>
      </c>
    </row>
    <row r="11046" spans="31:31" x14ac:dyDescent="0.25">
      <c r="AE11046">
        <v>136.96</v>
      </c>
    </row>
    <row r="11047" spans="31:31" x14ac:dyDescent="0.25">
      <c r="AE11047">
        <v>25.01</v>
      </c>
    </row>
    <row r="11048" spans="31:31" x14ac:dyDescent="0.25">
      <c r="AE11048">
        <v>26.1</v>
      </c>
    </row>
    <row r="11049" spans="31:31" x14ac:dyDescent="0.25">
      <c r="AE11049">
        <v>34.28</v>
      </c>
    </row>
    <row r="11050" spans="31:31" x14ac:dyDescent="0.25">
      <c r="AE11050">
        <v>34.24</v>
      </c>
    </row>
    <row r="11051" spans="31:31" x14ac:dyDescent="0.25">
      <c r="AE11051">
        <v>89.04</v>
      </c>
    </row>
    <row r="11052" spans="31:31" x14ac:dyDescent="0.25">
      <c r="AE11052">
        <v>16.52</v>
      </c>
    </row>
    <row r="11053" spans="31:31" x14ac:dyDescent="0.25">
      <c r="AE11053">
        <v>50.07</v>
      </c>
    </row>
    <row r="11054" spans="31:31" x14ac:dyDescent="0.25">
      <c r="AE11054">
        <v>10.19</v>
      </c>
    </row>
    <row r="11055" spans="31:31" x14ac:dyDescent="0.25">
      <c r="AE11055">
        <v>52.84</v>
      </c>
    </row>
    <row r="11056" spans="31:31" x14ac:dyDescent="0.25">
      <c r="AE11056">
        <v>46.73</v>
      </c>
    </row>
    <row r="11057" spans="31:31" x14ac:dyDescent="0.25">
      <c r="AE11057">
        <v>13.14</v>
      </c>
    </row>
    <row r="11058" spans="31:31" x14ac:dyDescent="0.25">
      <c r="AE11058">
        <v>66.680000000000007</v>
      </c>
    </row>
    <row r="11059" spans="31:31" x14ac:dyDescent="0.25">
      <c r="AE11059">
        <v>34.06</v>
      </c>
    </row>
    <row r="11060" spans="31:31" x14ac:dyDescent="0.25">
      <c r="AE11060">
        <v>50.18</v>
      </c>
    </row>
    <row r="11061" spans="31:31" x14ac:dyDescent="0.25">
      <c r="AE11061">
        <v>35.19</v>
      </c>
    </row>
    <row r="11062" spans="31:31" x14ac:dyDescent="0.25">
      <c r="AE11062">
        <v>16.36</v>
      </c>
    </row>
    <row r="11063" spans="31:31" x14ac:dyDescent="0.25">
      <c r="AE11063">
        <v>2.85</v>
      </c>
    </row>
    <row r="11064" spans="31:31" x14ac:dyDescent="0.25">
      <c r="AE11064">
        <v>13.91</v>
      </c>
    </row>
    <row r="11065" spans="31:31" x14ac:dyDescent="0.25">
      <c r="AE11065">
        <v>24.68</v>
      </c>
    </row>
    <row r="11066" spans="31:31" x14ac:dyDescent="0.25">
      <c r="AE11066">
        <v>37.950000000000003</v>
      </c>
    </row>
    <row r="11067" spans="31:31" x14ac:dyDescent="0.25">
      <c r="AE11067">
        <v>14.36</v>
      </c>
    </row>
    <row r="11068" spans="31:31" x14ac:dyDescent="0.25">
      <c r="AE11068">
        <v>118.01</v>
      </c>
    </row>
    <row r="11069" spans="31:31" x14ac:dyDescent="0.25">
      <c r="AE11069">
        <v>23.93</v>
      </c>
    </row>
    <row r="11070" spans="31:31" x14ac:dyDescent="0.25">
      <c r="AE11070">
        <v>10.34</v>
      </c>
    </row>
    <row r="11071" spans="31:31" x14ac:dyDescent="0.25">
      <c r="AE11071">
        <v>194.69</v>
      </c>
    </row>
    <row r="11072" spans="31:31" x14ac:dyDescent="0.25">
      <c r="AE11072">
        <v>113.66</v>
      </c>
    </row>
    <row r="11073" spans="31:31" x14ac:dyDescent="0.25">
      <c r="AE11073">
        <v>26.96</v>
      </c>
    </row>
    <row r="11074" spans="31:31" x14ac:dyDescent="0.25">
      <c r="AE11074">
        <v>67.099999999999994</v>
      </c>
    </row>
    <row r="11075" spans="31:31" x14ac:dyDescent="0.25">
      <c r="AE11075">
        <v>64.36</v>
      </c>
    </row>
    <row r="11076" spans="31:31" x14ac:dyDescent="0.25">
      <c r="AE11076">
        <v>54.04</v>
      </c>
    </row>
    <row r="11077" spans="31:31" x14ac:dyDescent="0.25">
      <c r="AE11077">
        <v>36.520000000000003</v>
      </c>
    </row>
    <row r="11078" spans="31:31" x14ac:dyDescent="0.25">
      <c r="AE11078">
        <v>48.83</v>
      </c>
    </row>
    <row r="11079" spans="31:31" x14ac:dyDescent="0.25">
      <c r="AE11079">
        <v>23.17</v>
      </c>
    </row>
    <row r="11080" spans="31:31" x14ac:dyDescent="0.25">
      <c r="AE11080">
        <v>14.08</v>
      </c>
    </row>
    <row r="11081" spans="31:31" x14ac:dyDescent="0.25">
      <c r="AE11081">
        <v>119.93</v>
      </c>
    </row>
    <row r="11082" spans="31:31" x14ac:dyDescent="0.25">
      <c r="AE11082">
        <v>42.2</v>
      </c>
    </row>
    <row r="11083" spans="31:31" x14ac:dyDescent="0.25">
      <c r="AE11083">
        <v>57.11</v>
      </c>
    </row>
    <row r="11084" spans="31:31" x14ac:dyDescent="0.25">
      <c r="AE11084">
        <v>11.48</v>
      </c>
    </row>
    <row r="11085" spans="31:31" x14ac:dyDescent="0.25">
      <c r="AE11085">
        <v>117.81</v>
      </c>
    </row>
    <row r="11086" spans="31:31" x14ac:dyDescent="0.25">
      <c r="AE11086">
        <v>10.78</v>
      </c>
    </row>
    <row r="11087" spans="31:31" x14ac:dyDescent="0.25">
      <c r="AE11087">
        <v>4.93</v>
      </c>
    </row>
    <row r="11088" spans="31:31" x14ac:dyDescent="0.25">
      <c r="AE11088">
        <v>7.65</v>
      </c>
    </row>
    <row r="11089" spans="31:31" x14ac:dyDescent="0.25">
      <c r="AE11089">
        <v>99.12</v>
      </c>
    </row>
    <row r="11090" spans="31:31" x14ac:dyDescent="0.25">
      <c r="AE11090">
        <v>23.29</v>
      </c>
    </row>
    <row r="11091" spans="31:31" x14ac:dyDescent="0.25">
      <c r="AE11091">
        <v>80.91</v>
      </c>
    </row>
    <row r="11092" spans="31:31" x14ac:dyDescent="0.25">
      <c r="AE11092">
        <v>91.74</v>
      </c>
    </row>
    <row r="11093" spans="31:31" x14ac:dyDescent="0.25">
      <c r="AE11093">
        <v>76.83</v>
      </c>
    </row>
    <row r="11094" spans="31:31" x14ac:dyDescent="0.25">
      <c r="AE11094">
        <v>26.98</v>
      </c>
    </row>
    <row r="11095" spans="31:31" x14ac:dyDescent="0.25">
      <c r="AE11095">
        <v>14.57</v>
      </c>
    </row>
    <row r="11096" spans="31:31" x14ac:dyDescent="0.25">
      <c r="AE11096">
        <v>59.32</v>
      </c>
    </row>
    <row r="11097" spans="31:31" x14ac:dyDescent="0.25">
      <c r="AE11097">
        <v>10.09</v>
      </c>
    </row>
    <row r="11098" spans="31:31" x14ac:dyDescent="0.25">
      <c r="AE11098">
        <v>53.68</v>
      </c>
    </row>
    <row r="11099" spans="31:31" x14ac:dyDescent="0.25">
      <c r="AE11099">
        <v>335.14</v>
      </c>
    </row>
    <row r="11100" spans="31:31" x14ac:dyDescent="0.25">
      <c r="AE11100">
        <v>18.07</v>
      </c>
    </row>
    <row r="11101" spans="31:31" x14ac:dyDescent="0.25">
      <c r="AE11101">
        <v>9.84</v>
      </c>
    </row>
    <row r="11102" spans="31:31" x14ac:dyDescent="0.25">
      <c r="AE11102">
        <v>32.89</v>
      </c>
    </row>
    <row r="11103" spans="31:31" x14ac:dyDescent="0.25">
      <c r="AE11103">
        <v>120.11</v>
      </c>
    </row>
    <row r="11104" spans="31:31" x14ac:dyDescent="0.25">
      <c r="AE11104">
        <v>39.19</v>
      </c>
    </row>
    <row r="11105" spans="31:31" x14ac:dyDescent="0.25">
      <c r="AE11105">
        <v>95.63</v>
      </c>
    </row>
    <row r="11106" spans="31:31" x14ac:dyDescent="0.25">
      <c r="AE11106">
        <v>16.82</v>
      </c>
    </row>
    <row r="11107" spans="31:31" x14ac:dyDescent="0.25">
      <c r="AE11107">
        <v>132.69</v>
      </c>
    </row>
    <row r="11108" spans="31:31" x14ac:dyDescent="0.25">
      <c r="AE11108">
        <v>70.22</v>
      </c>
    </row>
    <row r="11109" spans="31:31" x14ac:dyDescent="0.25">
      <c r="AE11109">
        <v>11.68</v>
      </c>
    </row>
    <row r="11110" spans="31:31" x14ac:dyDescent="0.25">
      <c r="AE11110">
        <v>30.83</v>
      </c>
    </row>
    <row r="11111" spans="31:31" x14ac:dyDescent="0.25">
      <c r="AE11111">
        <v>20.05</v>
      </c>
    </row>
    <row r="11112" spans="31:31" x14ac:dyDescent="0.25">
      <c r="AE11112">
        <v>29.4</v>
      </c>
    </row>
    <row r="11113" spans="31:31" x14ac:dyDescent="0.25">
      <c r="AE11113">
        <v>57.59</v>
      </c>
    </row>
    <row r="11114" spans="31:31" x14ac:dyDescent="0.25">
      <c r="AE11114">
        <v>35.93</v>
      </c>
    </row>
    <row r="11115" spans="31:31" x14ac:dyDescent="0.25">
      <c r="AE11115">
        <v>81.44</v>
      </c>
    </row>
    <row r="11116" spans="31:31" x14ac:dyDescent="0.25">
      <c r="AE11116">
        <v>25.65</v>
      </c>
    </row>
    <row r="11117" spans="31:31" x14ac:dyDescent="0.25">
      <c r="AE11117">
        <v>10.64</v>
      </c>
    </row>
    <row r="11118" spans="31:31" x14ac:dyDescent="0.25">
      <c r="AE11118">
        <v>20.34</v>
      </c>
    </row>
    <row r="11119" spans="31:31" x14ac:dyDescent="0.25">
      <c r="AE11119">
        <v>53.29</v>
      </c>
    </row>
    <row r="11120" spans="31:31" x14ac:dyDescent="0.25">
      <c r="AE11120">
        <v>17.13</v>
      </c>
    </row>
    <row r="11121" spans="31:31" x14ac:dyDescent="0.25">
      <c r="AE11121">
        <v>106.96</v>
      </c>
    </row>
    <row r="11122" spans="31:31" x14ac:dyDescent="0.25">
      <c r="AE11122">
        <v>17.2</v>
      </c>
    </row>
    <row r="11123" spans="31:31" x14ac:dyDescent="0.25">
      <c r="AE11123">
        <v>36.450000000000003</v>
      </c>
    </row>
    <row r="11124" spans="31:31" x14ac:dyDescent="0.25">
      <c r="AE11124">
        <v>10.14</v>
      </c>
    </row>
    <row r="11125" spans="31:31" x14ac:dyDescent="0.25">
      <c r="AE11125">
        <v>33.880000000000003</v>
      </c>
    </row>
    <row r="11126" spans="31:31" x14ac:dyDescent="0.25">
      <c r="AE11126">
        <v>80.680000000000007</v>
      </c>
    </row>
    <row r="11127" spans="31:31" x14ac:dyDescent="0.25">
      <c r="AE11127">
        <v>36.53</v>
      </c>
    </row>
    <row r="11128" spans="31:31" x14ac:dyDescent="0.25">
      <c r="AE11128">
        <v>10.29</v>
      </c>
    </row>
    <row r="11129" spans="31:31" x14ac:dyDescent="0.25">
      <c r="AE11129">
        <v>25.61</v>
      </c>
    </row>
    <row r="11130" spans="31:31" x14ac:dyDescent="0.25">
      <c r="AE11130">
        <v>19.559999999999999</v>
      </c>
    </row>
    <row r="11131" spans="31:31" x14ac:dyDescent="0.25">
      <c r="AE11131">
        <v>26.11</v>
      </c>
    </row>
    <row r="11132" spans="31:31" x14ac:dyDescent="0.25">
      <c r="AE11132">
        <v>62.17</v>
      </c>
    </row>
    <row r="11133" spans="31:31" x14ac:dyDescent="0.25">
      <c r="AE11133">
        <v>60.55</v>
      </c>
    </row>
    <row r="11134" spans="31:31" x14ac:dyDescent="0.25">
      <c r="AE11134">
        <v>46.76</v>
      </c>
    </row>
    <row r="11135" spans="31:31" x14ac:dyDescent="0.25">
      <c r="AE11135">
        <v>111.98</v>
      </c>
    </row>
    <row r="11136" spans="31:31" x14ac:dyDescent="0.25">
      <c r="AE11136">
        <v>41.99</v>
      </c>
    </row>
    <row r="11137" spans="31:31" x14ac:dyDescent="0.25">
      <c r="AE11137">
        <v>87.31</v>
      </c>
    </row>
    <row r="11138" spans="31:31" x14ac:dyDescent="0.25">
      <c r="AE11138">
        <v>52.88</v>
      </c>
    </row>
    <row r="11139" spans="31:31" x14ac:dyDescent="0.25">
      <c r="AE11139">
        <v>60.63</v>
      </c>
    </row>
    <row r="11140" spans="31:31" x14ac:dyDescent="0.25">
      <c r="AE11140">
        <v>13.14</v>
      </c>
    </row>
    <row r="11141" spans="31:31" x14ac:dyDescent="0.25">
      <c r="AE11141">
        <v>38.92</v>
      </c>
    </row>
    <row r="11142" spans="31:31" x14ac:dyDescent="0.25">
      <c r="AE11142">
        <v>25.85</v>
      </c>
    </row>
    <row r="11143" spans="31:31" x14ac:dyDescent="0.25">
      <c r="AE11143">
        <v>32.67</v>
      </c>
    </row>
    <row r="11144" spans="31:31" x14ac:dyDescent="0.25">
      <c r="AE11144">
        <v>104.1</v>
      </c>
    </row>
    <row r="11145" spans="31:31" x14ac:dyDescent="0.25">
      <c r="AE11145">
        <v>24.02</v>
      </c>
    </row>
    <row r="11146" spans="31:31" x14ac:dyDescent="0.25">
      <c r="AE11146">
        <v>53.97</v>
      </c>
    </row>
    <row r="11147" spans="31:31" x14ac:dyDescent="0.25">
      <c r="AE11147">
        <v>24.39</v>
      </c>
    </row>
    <row r="11148" spans="31:31" x14ac:dyDescent="0.25">
      <c r="AE11148">
        <v>57.78</v>
      </c>
    </row>
    <row r="11149" spans="31:31" x14ac:dyDescent="0.25">
      <c r="AE11149">
        <v>81.23</v>
      </c>
    </row>
    <row r="11150" spans="31:31" x14ac:dyDescent="0.25">
      <c r="AE11150">
        <v>66.22</v>
      </c>
    </row>
    <row r="11151" spans="31:31" x14ac:dyDescent="0.25">
      <c r="AE11151">
        <v>43.85</v>
      </c>
    </row>
    <row r="11152" spans="31:31" x14ac:dyDescent="0.25">
      <c r="AE11152">
        <v>2.16</v>
      </c>
    </row>
    <row r="11153" spans="31:31" x14ac:dyDescent="0.25">
      <c r="AE11153">
        <v>92.19</v>
      </c>
    </row>
    <row r="11154" spans="31:31" x14ac:dyDescent="0.25">
      <c r="AE11154">
        <v>92.27</v>
      </c>
    </row>
    <row r="11155" spans="31:31" x14ac:dyDescent="0.25">
      <c r="AE11155">
        <v>31.2</v>
      </c>
    </row>
    <row r="11156" spans="31:31" x14ac:dyDescent="0.25">
      <c r="AE11156">
        <v>40.21</v>
      </c>
    </row>
    <row r="11157" spans="31:31" x14ac:dyDescent="0.25">
      <c r="AE11157">
        <v>40.81</v>
      </c>
    </row>
    <row r="11158" spans="31:31" x14ac:dyDescent="0.25">
      <c r="AE11158">
        <v>25.36</v>
      </c>
    </row>
    <row r="11159" spans="31:31" x14ac:dyDescent="0.25">
      <c r="AE11159">
        <v>26.23</v>
      </c>
    </row>
    <row r="11160" spans="31:31" x14ac:dyDescent="0.25">
      <c r="AE11160">
        <v>5.27</v>
      </c>
    </row>
    <row r="11161" spans="31:31" x14ac:dyDescent="0.25">
      <c r="AE11161">
        <v>23.21</v>
      </c>
    </row>
    <row r="11162" spans="31:31" x14ac:dyDescent="0.25">
      <c r="AE11162">
        <v>29.24</v>
      </c>
    </row>
    <row r="11163" spans="31:31" x14ac:dyDescent="0.25">
      <c r="AE11163">
        <v>46.91</v>
      </c>
    </row>
    <row r="11164" spans="31:31" x14ac:dyDescent="0.25">
      <c r="AE11164">
        <v>12.31</v>
      </c>
    </row>
    <row r="11165" spans="31:31" x14ac:dyDescent="0.25">
      <c r="AE11165">
        <v>17</v>
      </c>
    </row>
    <row r="11166" spans="31:31" x14ac:dyDescent="0.25">
      <c r="AE11166">
        <v>66.48</v>
      </c>
    </row>
    <row r="11167" spans="31:31" x14ac:dyDescent="0.25">
      <c r="AE11167">
        <v>57.53</v>
      </c>
    </row>
    <row r="11168" spans="31:31" x14ac:dyDescent="0.25">
      <c r="AE11168">
        <v>66.42</v>
      </c>
    </row>
    <row r="11169" spans="31:31" x14ac:dyDescent="0.25">
      <c r="AE11169">
        <v>51.35</v>
      </c>
    </row>
    <row r="11170" spans="31:31" x14ac:dyDescent="0.25">
      <c r="AE11170">
        <v>16.329999999999998</v>
      </c>
    </row>
    <row r="11171" spans="31:31" x14ac:dyDescent="0.25">
      <c r="AE11171">
        <v>66.25</v>
      </c>
    </row>
    <row r="11172" spans="31:31" x14ac:dyDescent="0.25">
      <c r="AE11172">
        <v>36.31</v>
      </c>
    </row>
    <row r="11173" spans="31:31" x14ac:dyDescent="0.25">
      <c r="AE11173">
        <v>186.81</v>
      </c>
    </row>
    <row r="11174" spans="31:31" x14ac:dyDescent="0.25">
      <c r="AE11174">
        <v>10.09</v>
      </c>
    </row>
    <row r="11175" spans="31:31" x14ac:dyDescent="0.25">
      <c r="AE11175">
        <v>22.83</v>
      </c>
    </row>
    <row r="11176" spans="31:31" x14ac:dyDescent="0.25">
      <c r="AE11176">
        <v>25.77</v>
      </c>
    </row>
    <row r="11177" spans="31:31" x14ac:dyDescent="0.25">
      <c r="AE11177">
        <v>51.62</v>
      </c>
    </row>
    <row r="11178" spans="31:31" x14ac:dyDescent="0.25">
      <c r="AE11178">
        <v>10.29</v>
      </c>
    </row>
    <row r="11179" spans="31:31" x14ac:dyDescent="0.25">
      <c r="AE11179">
        <v>10.49</v>
      </c>
    </row>
    <row r="11180" spans="31:31" x14ac:dyDescent="0.25">
      <c r="AE11180">
        <v>45.2</v>
      </c>
    </row>
    <row r="11181" spans="31:31" x14ac:dyDescent="0.25">
      <c r="AE11181">
        <v>55.3</v>
      </c>
    </row>
    <row r="11182" spans="31:31" x14ac:dyDescent="0.25">
      <c r="AE11182">
        <v>32.53</v>
      </c>
    </row>
    <row r="11183" spans="31:31" x14ac:dyDescent="0.25">
      <c r="AE11183">
        <v>27.36</v>
      </c>
    </row>
    <row r="11184" spans="31:31" x14ac:dyDescent="0.25">
      <c r="AE11184">
        <v>38.520000000000003</v>
      </c>
    </row>
    <row r="11185" spans="31:31" x14ac:dyDescent="0.25">
      <c r="AE11185">
        <v>69.94</v>
      </c>
    </row>
    <row r="11186" spans="31:31" x14ac:dyDescent="0.25">
      <c r="AE11186">
        <v>9.34</v>
      </c>
    </row>
    <row r="11187" spans="31:31" x14ac:dyDescent="0.25">
      <c r="AE11187">
        <v>34.07</v>
      </c>
    </row>
    <row r="11188" spans="31:31" x14ac:dyDescent="0.25">
      <c r="AE11188">
        <v>13.03</v>
      </c>
    </row>
    <row r="11189" spans="31:31" x14ac:dyDescent="0.25">
      <c r="AE11189">
        <v>10.06</v>
      </c>
    </row>
    <row r="11190" spans="31:31" x14ac:dyDescent="0.25">
      <c r="AE11190">
        <v>47</v>
      </c>
    </row>
    <row r="11191" spans="31:31" x14ac:dyDescent="0.25">
      <c r="AE11191">
        <v>30.56</v>
      </c>
    </row>
    <row r="11192" spans="31:31" x14ac:dyDescent="0.25">
      <c r="AE11192">
        <v>70.099999999999994</v>
      </c>
    </row>
    <row r="11193" spans="31:31" x14ac:dyDescent="0.25">
      <c r="AE11193">
        <v>52.64</v>
      </c>
    </row>
    <row r="11194" spans="31:31" x14ac:dyDescent="0.25">
      <c r="AE11194">
        <v>36.700000000000003</v>
      </c>
    </row>
    <row r="11195" spans="31:31" x14ac:dyDescent="0.25">
      <c r="AE11195">
        <v>41.55</v>
      </c>
    </row>
    <row r="11196" spans="31:31" x14ac:dyDescent="0.25">
      <c r="AE11196">
        <v>179.94</v>
      </c>
    </row>
    <row r="11197" spans="31:31" x14ac:dyDescent="0.25">
      <c r="AE11197">
        <v>110.71</v>
      </c>
    </row>
    <row r="11198" spans="31:31" x14ac:dyDescent="0.25">
      <c r="AE11198">
        <v>20.2</v>
      </c>
    </row>
    <row r="11199" spans="31:31" x14ac:dyDescent="0.25">
      <c r="AE11199">
        <v>43.86</v>
      </c>
    </row>
    <row r="11200" spans="31:31" x14ac:dyDescent="0.25">
      <c r="AE11200">
        <v>41.63</v>
      </c>
    </row>
    <row r="11201" spans="31:31" x14ac:dyDescent="0.25">
      <c r="AE11201">
        <v>10.09</v>
      </c>
    </row>
    <row r="11202" spans="31:31" x14ac:dyDescent="0.25">
      <c r="AE11202">
        <v>18.329999999999998</v>
      </c>
    </row>
    <row r="11203" spans="31:31" x14ac:dyDescent="0.25">
      <c r="AE11203">
        <v>50.01</v>
      </c>
    </row>
    <row r="11204" spans="31:31" x14ac:dyDescent="0.25">
      <c r="AE11204">
        <v>13.97</v>
      </c>
    </row>
    <row r="11205" spans="31:31" x14ac:dyDescent="0.25">
      <c r="AE11205">
        <v>26.29</v>
      </c>
    </row>
    <row r="11206" spans="31:31" x14ac:dyDescent="0.25">
      <c r="AE11206">
        <v>25.92</v>
      </c>
    </row>
    <row r="11207" spans="31:31" x14ac:dyDescent="0.25">
      <c r="AE11207">
        <v>115.32</v>
      </c>
    </row>
    <row r="11208" spans="31:31" x14ac:dyDescent="0.25">
      <c r="AE11208">
        <v>90.93</v>
      </c>
    </row>
    <row r="11209" spans="31:31" x14ac:dyDescent="0.25">
      <c r="AE11209">
        <v>69.459999999999994</v>
      </c>
    </row>
    <row r="11210" spans="31:31" x14ac:dyDescent="0.25">
      <c r="AE11210">
        <v>16.46</v>
      </c>
    </row>
    <row r="11211" spans="31:31" x14ac:dyDescent="0.25">
      <c r="AE11211">
        <v>48.46</v>
      </c>
    </row>
    <row r="11212" spans="31:31" x14ac:dyDescent="0.25">
      <c r="AE11212">
        <v>42.19</v>
      </c>
    </row>
    <row r="11213" spans="31:31" x14ac:dyDescent="0.25">
      <c r="AE11213">
        <v>38.74</v>
      </c>
    </row>
    <row r="11214" spans="31:31" x14ac:dyDescent="0.25">
      <c r="AE11214">
        <v>18.84</v>
      </c>
    </row>
    <row r="11215" spans="31:31" x14ac:dyDescent="0.25">
      <c r="AE11215">
        <v>102.62</v>
      </c>
    </row>
    <row r="11216" spans="31:31" x14ac:dyDescent="0.25">
      <c r="AE11216">
        <v>0.09</v>
      </c>
    </row>
    <row r="11217" spans="31:31" x14ac:dyDescent="0.25">
      <c r="AE11217">
        <v>22.36</v>
      </c>
    </row>
    <row r="11218" spans="31:31" x14ac:dyDescent="0.25">
      <c r="AE11218">
        <v>21.08</v>
      </c>
    </row>
    <row r="11219" spans="31:31" x14ac:dyDescent="0.25">
      <c r="AE11219">
        <v>0.09</v>
      </c>
    </row>
    <row r="11220" spans="31:31" x14ac:dyDescent="0.25">
      <c r="AE11220">
        <v>118.43</v>
      </c>
    </row>
    <row r="11221" spans="31:31" x14ac:dyDescent="0.25">
      <c r="AE11221">
        <v>13.67</v>
      </c>
    </row>
    <row r="11222" spans="31:31" x14ac:dyDescent="0.25">
      <c r="AE11222">
        <v>16.059999999999999</v>
      </c>
    </row>
    <row r="11223" spans="31:31" x14ac:dyDescent="0.25">
      <c r="AE11223">
        <v>28.63</v>
      </c>
    </row>
    <row r="11224" spans="31:31" x14ac:dyDescent="0.25">
      <c r="AE11224">
        <v>98.27</v>
      </c>
    </row>
    <row r="11225" spans="31:31" x14ac:dyDescent="0.25">
      <c r="AE11225">
        <v>41.4</v>
      </c>
    </row>
    <row r="11226" spans="31:31" x14ac:dyDescent="0.25">
      <c r="AE11226">
        <v>19.14</v>
      </c>
    </row>
    <row r="11227" spans="31:31" x14ac:dyDescent="0.25">
      <c r="AE11227">
        <v>74.819999999999993</v>
      </c>
    </row>
    <row r="11228" spans="31:31" x14ac:dyDescent="0.25">
      <c r="AE11228">
        <v>59.57</v>
      </c>
    </row>
    <row r="11229" spans="31:31" x14ac:dyDescent="0.25">
      <c r="AE11229">
        <v>67.17</v>
      </c>
    </row>
    <row r="11230" spans="31:31" x14ac:dyDescent="0.25">
      <c r="AE11230">
        <v>72.13</v>
      </c>
    </row>
    <row r="11231" spans="31:31" x14ac:dyDescent="0.25">
      <c r="AE11231">
        <v>77.87</v>
      </c>
    </row>
    <row r="11232" spans="31:31" x14ac:dyDescent="0.25">
      <c r="AE11232">
        <v>69.47</v>
      </c>
    </row>
    <row r="11233" spans="31:31" x14ac:dyDescent="0.25">
      <c r="AE11233">
        <v>15.06</v>
      </c>
    </row>
    <row r="11234" spans="31:31" x14ac:dyDescent="0.25">
      <c r="AE11234">
        <v>117.55</v>
      </c>
    </row>
    <row r="11235" spans="31:31" x14ac:dyDescent="0.25">
      <c r="AE11235">
        <v>70.41</v>
      </c>
    </row>
    <row r="11236" spans="31:31" x14ac:dyDescent="0.25">
      <c r="AE11236">
        <v>74.63</v>
      </c>
    </row>
    <row r="11237" spans="31:31" x14ac:dyDescent="0.25">
      <c r="AE11237">
        <v>84.56</v>
      </c>
    </row>
    <row r="11238" spans="31:31" x14ac:dyDescent="0.25">
      <c r="AE11238">
        <v>128.93</v>
      </c>
    </row>
    <row r="11239" spans="31:31" x14ac:dyDescent="0.25">
      <c r="AE11239">
        <v>17</v>
      </c>
    </row>
    <row r="11240" spans="31:31" x14ac:dyDescent="0.25">
      <c r="AE11240">
        <v>96.27</v>
      </c>
    </row>
    <row r="11241" spans="31:31" x14ac:dyDescent="0.25">
      <c r="AE11241">
        <v>69.16</v>
      </c>
    </row>
    <row r="11242" spans="31:31" x14ac:dyDescent="0.25">
      <c r="AE11242">
        <v>41.51</v>
      </c>
    </row>
    <row r="11243" spans="31:31" x14ac:dyDescent="0.25">
      <c r="AE11243">
        <v>10.039999999999999</v>
      </c>
    </row>
    <row r="11244" spans="31:31" x14ac:dyDescent="0.25">
      <c r="AE11244">
        <v>150.22999999999999</v>
      </c>
    </row>
    <row r="11245" spans="31:31" x14ac:dyDescent="0.25">
      <c r="AE11245">
        <v>37.96</v>
      </c>
    </row>
    <row r="11246" spans="31:31" x14ac:dyDescent="0.25">
      <c r="AE11246">
        <v>36.07</v>
      </c>
    </row>
    <row r="11247" spans="31:31" x14ac:dyDescent="0.25">
      <c r="AE11247">
        <v>41.6</v>
      </c>
    </row>
    <row r="11248" spans="31:31" x14ac:dyDescent="0.25">
      <c r="AE11248">
        <v>13.5</v>
      </c>
    </row>
    <row r="11249" spans="31:31" x14ac:dyDescent="0.25">
      <c r="AE11249">
        <v>10.44</v>
      </c>
    </row>
    <row r="11250" spans="31:31" x14ac:dyDescent="0.25">
      <c r="AE11250">
        <v>51.62</v>
      </c>
    </row>
    <row r="11251" spans="31:31" x14ac:dyDescent="0.25">
      <c r="AE11251">
        <v>48.01</v>
      </c>
    </row>
    <row r="11252" spans="31:31" x14ac:dyDescent="0.25">
      <c r="AE11252">
        <v>35.9</v>
      </c>
    </row>
    <row r="11253" spans="31:31" x14ac:dyDescent="0.25">
      <c r="AE11253">
        <v>38.5</v>
      </c>
    </row>
    <row r="11254" spans="31:31" x14ac:dyDescent="0.25">
      <c r="AE11254">
        <v>238.44</v>
      </c>
    </row>
    <row r="11255" spans="31:31" x14ac:dyDescent="0.25">
      <c r="AE11255">
        <v>10.039999999999999</v>
      </c>
    </row>
    <row r="11256" spans="31:31" x14ac:dyDescent="0.25">
      <c r="AE11256">
        <v>17.079999999999998</v>
      </c>
    </row>
    <row r="11257" spans="31:31" x14ac:dyDescent="0.25">
      <c r="AE11257">
        <v>111.41</v>
      </c>
    </row>
    <row r="11258" spans="31:31" x14ac:dyDescent="0.25">
      <c r="AE11258">
        <v>26.37</v>
      </c>
    </row>
    <row r="11259" spans="31:31" x14ac:dyDescent="0.25">
      <c r="AE11259">
        <v>16.91</v>
      </c>
    </row>
    <row r="11260" spans="31:31" x14ac:dyDescent="0.25">
      <c r="AE11260">
        <v>97.94</v>
      </c>
    </row>
    <row r="11261" spans="31:31" x14ac:dyDescent="0.25">
      <c r="AE11261">
        <v>69.97</v>
      </c>
    </row>
    <row r="11262" spans="31:31" x14ac:dyDescent="0.25">
      <c r="AE11262">
        <v>77.930000000000007</v>
      </c>
    </row>
    <row r="11263" spans="31:31" x14ac:dyDescent="0.25">
      <c r="AE11263">
        <v>23.14</v>
      </c>
    </row>
    <row r="11264" spans="31:31" x14ac:dyDescent="0.25">
      <c r="AE11264">
        <v>12.74</v>
      </c>
    </row>
    <row r="11265" spans="31:31" x14ac:dyDescent="0.25">
      <c r="AE11265">
        <v>86.59</v>
      </c>
    </row>
    <row r="11266" spans="31:31" x14ac:dyDescent="0.25">
      <c r="AE11266">
        <v>170.56</v>
      </c>
    </row>
    <row r="11267" spans="31:31" x14ac:dyDescent="0.25">
      <c r="AE11267">
        <v>90.37</v>
      </c>
    </row>
    <row r="11268" spans="31:31" x14ac:dyDescent="0.25">
      <c r="AE11268">
        <v>36.43</v>
      </c>
    </row>
    <row r="11269" spans="31:31" x14ac:dyDescent="0.25">
      <c r="AE11269">
        <v>149.51</v>
      </c>
    </row>
    <row r="11270" spans="31:31" x14ac:dyDescent="0.25">
      <c r="AE11270">
        <v>14.67</v>
      </c>
    </row>
    <row r="11271" spans="31:31" x14ac:dyDescent="0.25">
      <c r="AE11271">
        <v>70.84</v>
      </c>
    </row>
    <row r="11272" spans="31:31" x14ac:dyDescent="0.25">
      <c r="AE11272">
        <v>96.25</v>
      </c>
    </row>
    <row r="11273" spans="31:31" x14ac:dyDescent="0.25">
      <c r="AE11273">
        <v>18.329999999999998</v>
      </c>
    </row>
    <row r="11274" spans="31:31" x14ac:dyDescent="0.25">
      <c r="AE11274">
        <v>69.510000000000005</v>
      </c>
    </row>
    <row r="11275" spans="31:31" x14ac:dyDescent="0.25">
      <c r="AE11275">
        <v>34.03</v>
      </c>
    </row>
    <row r="11276" spans="31:31" x14ac:dyDescent="0.25">
      <c r="AE11276">
        <v>120.52</v>
      </c>
    </row>
    <row r="11277" spans="31:31" x14ac:dyDescent="0.25">
      <c r="AE11277">
        <v>21.96</v>
      </c>
    </row>
    <row r="11278" spans="31:31" x14ac:dyDescent="0.25">
      <c r="AE11278">
        <v>176.22</v>
      </c>
    </row>
    <row r="11279" spans="31:31" x14ac:dyDescent="0.25">
      <c r="AE11279">
        <v>40.25</v>
      </c>
    </row>
    <row r="11280" spans="31:31" x14ac:dyDescent="0.25">
      <c r="AE11280">
        <v>24.39</v>
      </c>
    </row>
    <row r="11281" spans="31:31" x14ac:dyDescent="0.25">
      <c r="AE11281">
        <v>33.770000000000003</v>
      </c>
    </row>
    <row r="11282" spans="31:31" x14ac:dyDescent="0.25">
      <c r="AE11282">
        <v>10.19</v>
      </c>
    </row>
    <row r="11283" spans="31:31" x14ac:dyDescent="0.25">
      <c r="AE11283">
        <v>53.58</v>
      </c>
    </row>
    <row r="11284" spans="31:31" x14ac:dyDescent="0.25">
      <c r="AE11284">
        <v>32.47</v>
      </c>
    </row>
    <row r="11285" spans="31:31" x14ac:dyDescent="0.25">
      <c r="AE11285">
        <v>24.47</v>
      </c>
    </row>
    <row r="11286" spans="31:31" x14ac:dyDescent="0.25">
      <c r="AE11286">
        <v>17.309999999999999</v>
      </c>
    </row>
    <row r="11287" spans="31:31" x14ac:dyDescent="0.25">
      <c r="AE11287">
        <v>48.43</v>
      </c>
    </row>
    <row r="11288" spans="31:31" x14ac:dyDescent="0.25">
      <c r="AE11288">
        <v>66.650000000000006</v>
      </c>
    </row>
    <row r="11289" spans="31:31" x14ac:dyDescent="0.25">
      <c r="AE11289">
        <v>213.6</v>
      </c>
    </row>
    <row r="11290" spans="31:31" x14ac:dyDescent="0.25">
      <c r="AE11290">
        <v>66.83</v>
      </c>
    </row>
    <row r="11291" spans="31:31" x14ac:dyDescent="0.25">
      <c r="AE11291">
        <v>48.42</v>
      </c>
    </row>
    <row r="11292" spans="31:31" x14ac:dyDescent="0.25">
      <c r="AE11292">
        <v>162.07</v>
      </c>
    </row>
    <row r="11293" spans="31:31" x14ac:dyDescent="0.25">
      <c r="AE11293">
        <v>69.150000000000006</v>
      </c>
    </row>
    <row r="11294" spans="31:31" x14ac:dyDescent="0.25">
      <c r="AE11294">
        <v>24.33</v>
      </c>
    </row>
    <row r="11295" spans="31:31" x14ac:dyDescent="0.25">
      <c r="AE11295">
        <v>67.61</v>
      </c>
    </row>
    <row r="11296" spans="31:31" x14ac:dyDescent="0.25">
      <c r="AE11296">
        <v>56.89</v>
      </c>
    </row>
    <row r="11297" spans="31:31" x14ac:dyDescent="0.25">
      <c r="AE11297">
        <v>50.68</v>
      </c>
    </row>
    <row r="11298" spans="31:31" x14ac:dyDescent="0.25">
      <c r="AE11298">
        <v>114.47</v>
      </c>
    </row>
    <row r="11299" spans="31:31" x14ac:dyDescent="0.25">
      <c r="AE11299">
        <v>80.400000000000006</v>
      </c>
    </row>
    <row r="11300" spans="31:31" x14ac:dyDescent="0.25">
      <c r="AE11300">
        <v>116.72</v>
      </c>
    </row>
    <row r="11301" spans="31:31" x14ac:dyDescent="0.25">
      <c r="AE11301">
        <v>203.98</v>
      </c>
    </row>
    <row r="11302" spans="31:31" x14ac:dyDescent="0.25">
      <c r="AE11302">
        <v>13.97</v>
      </c>
    </row>
    <row r="11303" spans="31:31" x14ac:dyDescent="0.25">
      <c r="AE11303">
        <v>41</v>
      </c>
    </row>
    <row r="11304" spans="31:31" x14ac:dyDescent="0.25">
      <c r="AE11304">
        <v>107.64</v>
      </c>
    </row>
    <row r="11305" spans="31:31" x14ac:dyDescent="0.25">
      <c r="AE11305">
        <v>32.36</v>
      </c>
    </row>
    <row r="11306" spans="31:31" x14ac:dyDescent="0.25">
      <c r="AE11306">
        <v>37.47</v>
      </c>
    </row>
    <row r="11307" spans="31:31" x14ac:dyDescent="0.25">
      <c r="AE11307">
        <v>61.32</v>
      </c>
    </row>
    <row r="11308" spans="31:31" x14ac:dyDescent="0.25">
      <c r="AE11308">
        <v>56.07</v>
      </c>
    </row>
    <row r="11309" spans="31:31" x14ac:dyDescent="0.25">
      <c r="AE11309">
        <v>18.97</v>
      </c>
    </row>
    <row r="11310" spans="31:31" x14ac:dyDescent="0.25">
      <c r="AE11310">
        <v>23.11</v>
      </c>
    </row>
    <row r="11311" spans="31:31" x14ac:dyDescent="0.25">
      <c r="AE11311">
        <v>47.61</v>
      </c>
    </row>
    <row r="11312" spans="31:31" x14ac:dyDescent="0.25">
      <c r="AE11312">
        <v>17.64</v>
      </c>
    </row>
    <row r="11313" spans="31:31" x14ac:dyDescent="0.25">
      <c r="AE11313">
        <v>104.22</v>
      </c>
    </row>
    <row r="11314" spans="31:31" x14ac:dyDescent="0.25">
      <c r="AE11314">
        <v>15.78</v>
      </c>
    </row>
    <row r="11315" spans="31:31" x14ac:dyDescent="0.25">
      <c r="AE11315">
        <v>26.51</v>
      </c>
    </row>
    <row r="11316" spans="31:31" x14ac:dyDescent="0.25">
      <c r="AE11316">
        <v>54.17</v>
      </c>
    </row>
    <row r="11317" spans="31:31" x14ac:dyDescent="0.25">
      <c r="AE11317">
        <v>5.49</v>
      </c>
    </row>
    <row r="11318" spans="31:31" x14ac:dyDescent="0.25">
      <c r="AE11318">
        <v>9.6</v>
      </c>
    </row>
    <row r="11319" spans="31:31" x14ac:dyDescent="0.25">
      <c r="AE11319">
        <v>21.87</v>
      </c>
    </row>
    <row r="11320" spans="31:31" x14ac:dyDescent="0.25">
      <c r="AE11320">
        <v>22.36</v>
      </c>
    </row>
    <row r="11321" spans="31:31" x14ac:dyDescent="0.25">
      <c r="AE11321">
        <v>39.4</v>
      </c>
    </row>
    <row r="11322" spans="31:31" x14ac:dyDescent="0.25">
      <c r="AE11322">
        <v>31.94</v>
      </c>
    </row>
    <row r="11323" spans="31:31" x14ac:dyDescent="0.25">
      <c r="AE11323">
        <v>87.82</v>
      </c>
    </row>
    <row r="11324" spans="31:31" x14ac:dyDescent="0.25">
      <c r="AE11324">
        <v>0.9</v>
      </c>
    </row>
    <row r="11325" spans="31:31" x14ac:dyDescent="0.25">
      <c r="AE11325">
        <v>31.43</v>
      </c>
    </row>
    <row r="11326" spans="31:31" x14ac:dyDescent="0.25">
      <c r="AE11326">
        <v>66.34</v>
      </c>
    </row>
    <row r="11327" spans="31:31" x14ac:dyDescent="0.25">
      <c r="AE11327">
        <v>49.67</v>
      </c>
    </row>
    <row r="11328" spans="31:31" x14ac:dyDescent="0.25">
      <c r="AE11328">
        <v>46.25</v>
      </c>
    </row>
    <row r="11329" spans="31:31" x14ac:dyDescent="0.25">
      <c r="AE11329">
        <v>4.83</v>
      </c>
    </row>
    <row r="11330" spans="31:31" x14ac:dyDescent="0.25">
      <c r="AE11330">
        <v>24.8</v>
      </c>
    </row>
    <row r="11331" spans="31:31" x14ac:dyDescent="0.25">
      <c r="AE11331">
        <v>0.18</v>
      </c>
    </row>
    <row r="11332" spans="31:31" x14ac:dyDescent="0.25">
      <c r="AE11332">
        <v>130.47</v>
      </c>
    </row>
    <row r="11333" spans="31:31" x14ac:dyDescent="0.25">
      <c r="AE11333">
        <v>38.75</v>
      </c>
    </row>
    <row r="11334" spans="31:31" x14ac:dyDescent="0.25">
      <c r="AE11334">
        <v>96</v>
      </c>
    </row>
    <row r="11335" spans="31:31" x14ac:dyDescent="0.25">
      <c r="AE11335">
        <v>74.03</v>
      </c>
    </row>
    <row r="11336" spans="31:31" x14ac:dyDescent="0.25">
      <c r="AE11336">
        <v>46.55</v>
      </c>
    </row>
    <row r="11337" spans="31:31" x14ac:dyDescent="0.25">
      <c r="AE11337">
        <v>0.56000000000000005</v>
      </c>
    </row>
    <row r="11338" spans="31:31" x14ac:dyDescent="0.25">
      <c r="AE11338">
        <v>19.11</v>
      </c>
    </row>
    <row r="11339" spans="31:31" x14ac:dyDescent="0.25">
      <c r="AE11339">
        <v>19.8</v>
      </c>
    </row>
    <row r="11340" spans="31:31" x14ac:dyDescent="0.25">
      <c r="AE11340">
        <v>51.83</v>
      </c>
    </row>
    <row r="11341" spans="31:31" x14ac:dyDescent="0.25">
      <c r="AE11341">
        <v>82.09</v>
      </c>
    </row>
    <row r="11342" spans="31:31" x14ac:dyDescent="0.25">
      <c r="AE11342">
        <v>14.76</v>
      </c>
    </row>
    <row r="11343" spans="31:31" x14ac:dyDescent="0.25">
      <c r="AE11343">
        <v>68.39</v>
      </c>
    </row>
    <row r="11344" spans="31:31" x14ac:dyDescent="0.25">
      <c r="AE11344">
        <v>110.36</v>
      </c>
    </row>
    <row r="11345" spans="31:31" x14ac:dyDescent="0.25">
      <c r="AE11345">
        <v>53.75</v>
      </c>
    </row>
    <row r="11346" spans="31:31" x14ac:dyDescent="0.25">
      <c r="AE11346">
        <v>37.89</v>
      </c>
    </row>
    <row r="11347" spans="31:31" x14ac:dyDescent="0.25">
      <c r="AE11347">
        <v>33.75</v>
      </c>
    </row>
    <row r="11348" spans="31:31" x14ac:dyDescent="0.25">
      <c r="AE11348">
        <v>89.49</v>
      </c>
    </row>
    <row r="11349" spans="31:31" x14ac:dyDescent="0.25">
      <c r="AE11349">
        <v>0.45</v>
      </c>
    </row>
    <row r="11350" spans="31:31" x14ac:dyDescent="0.25">
      <c r="AE11350">
        <v>13.02</v>
      </c>
    </row>
    <row r="11351" spans="31:31" x14ac:dyDescent="0.25">
      <c r="AE11351">
        <v>12.13</v>
      </c>
    </row>
    <row r="11352" spans="31:31" x14ac:dyDescent="0.25">
      <c r="AE11352">
        <v>49.79</v>
      </c>
    </row>
    <row r="11353" spans="31:31" x14ac:dyDescent="0.25">
      <c r="AE11353">
        <v>88.18</v>
      </c>
    </row>
    <row r="11354" spans="31:31" x14ac:dyDescent="0.25">
      <c r="AE11354">
        <v>14.46</v>
      </c>
    </row>
    <row r="11355" spans="31:31" x14ac:dyDescent="0.25">
      <c r="AE11355">
        <v>17.149999999999999</v>
      </c>
    </row>
    <row r="11356" spans="31:31" x14ac:dyDescent="0.25">
      <c r="AE11356">
        <v>68.260000000000005</v>
      </c>
    </row>
    <row r="11357" spans="31:31" x14ac:dyDescent="0.25">
      <c r="AE11357">
        <v>39.31</v>
      </c>
    </row>
    <row r="11358" spans="31:31" x14ac:dyDescent="0.25">
      <c r="AE11358">
        <v>190.32</v>
      </c>
    </row>
    <row r="11359" spans="31:31" x14ac:dyDescent="0.25">
      <c r="AE11359">
        <v>19.96</v>
      </c>
    </row>
    <row r="11360" spans="31:31" x14ac:dyDescent="0.25">
      <c r="AE11360">
        <v>26.5</v>
      </c>
    </row>
    <row r="11361" spans="31:31" x14ac:dyDescent="0.25">
      <c r="AE11361">
        <v>5.7</v>
      </c>
    </row>
    <row r="11362" spans="31:31" x14ac:dyDescent="0.25">
      <c r="AE11362">
        <v>81.84</v>
      </c>
    </row>
    <row r="11363" spans="31:31" x14ac:dyDescent="0.25">
      <c r="AE11363">
        <v>18.61</v>
      </c>
    </row>
    <row r="11364" spans="31:31" x14ac:dyDescent="0.25">
      <c r="AE11364">
        <v>228.63</v>
      </c>
    </row>
    <row r="11365" spans="31:31" x14ac:dyDescent="0.25">
      <c r="AE11365">
        <v>41.54</v>
      </c>
    </row>
    <row r="11366" spans="31:31" x14ac:dyDescent="0.25">
      <c r="AE11366">
        <v>10.14</v>
      </c>
    </row>
    <row r="11367" spans="31:31" x14ac:dyDescent="0.25">
      <c r="AE11367">
        <v>15.81</v>
      </c>
    </row>
    <row r="11368" spans="31:31" x14ac:dyDescent="0.25">
      <c r="AE11368">
        <v>23.91</v>
      </c>
    </row>
    <row r="11369" spans="31:31" x14ac:dyDescent="0.25">
      <c r="AE11369">
        <v>54.68</v>
      </c>
    </row>
    <row r="11370" spans="31:31" x14ac:dyDescent="0.25">
      <c r="AE11370">
        <v>16.79</v>
      </c>
    </row>
    <row r="11371" spans="31:31" x14ac:dyDescent="0.25">
      <c r="AE11371">
        <v>30.39</v>
      </c>
    </row>
    <row r="11372" spans="31:31" x14ac:dyDescent="0.25">
      <c r="AE11372">
        <v>102.59</v>
      </c>
    </row>
    <row r="11373" spans="31:31" x14ac:dyDescent="0.25">
      <c r="AE11373">
        <v>23.59</v>
      </c>
    </row>
    <row r="11374" spans="31:31" x14ac:dyDescent="0.25">
      <c r="AE11374">
        <v>116.68</v>
      </c>
    </row>
    <row r="11375" spans="31:31" x14ac:dyDescent="0.25">
      <c r="AE11375">
        <v>39.86</v>
      </c>
    </row>
    <row r="11376" spans="31:31" x14ac:dyDescent="0.25">
      <c r="AE11376">
        <v>18.12</v>
      </c>
    </row>
    <row r="11377" spans="31:31" x14ac:dyDescent="0.25">
      <c r="AE11377">
        <v>80.23</v>
      </c>
    </row>
    <row r="11378" spans="31:31" x14ac:dyDescent="0.25">
      <c r="AE11378">
        <v>98.56</v>
      </c>
    </row>
    <row r="11379" spans="31:31" x14ac:dyDescent="0.25">
      <c r="AE11379">
        <v>122.14</v>
      </c>
    </row>
    <row r="11380" spans="31:31" x14ac:dyDescent="0.25">
      <c r="AE11380">
        <v>9.99</v>
      </c>
    </row>
    <row r="11381" spans="31:31" x14ac:dyDescent="0.25">
      <c r="AE11381">
        <v>196.81</v>
      </c>
    </row>
    <row r="11382" spans="31:31" x14ac:dyDescent="0.25">
      <c r="AE11382">
        <v>28.44</v>
      </c>
    </row>
    <row r="11383" spans="31:31" x14ac:dyDescent="0.25">
      <c r="AE11383">
        <v>45.69</v>
      </c>
    </row>
    <row r="11384" spans="31:31" x14ac:dyDescent="0.25">
      <c r="AE11384">
        <v>76.95</v>
      </c>
    </row>
    <row r="11385" spans="31:31" x14ac:dyDescent="0.25">
      <c r="AE11385">
        <v>106.96</v>
      </c>
    </row>
    <row r="11386" spans="31:31" x14ac:dyDescent="0.25">
      <c r="AE11386">
        <v>30.35</v>
      </c>
    </row>
    <row r="11387" spans="31:31" x14ac:dyDescent="0.25">
      <c r="AE11387">
        <v>44.33</v>
      </c>
    </row>
    <row r="11388" spans="31:31" x14ac:dyDescent="0.25">
      <c r="AE11388">
        <v>12.17</v>
      </c>
    </row>
    <row r="11389" spans="31:31" x14ac:dyDescent="0.25">
      <c r="AE11389">
        <v>32.72</v>
      </c>
    </row>
    <row r="11390" spans="31:31" x14ac:dyDescent="0.25">
      <c r="AE11390">
        <v>38.31</v>
      </c>
    </row>
    <row r="11391" spans="31:31" x14ac:dyDescent="0.25">
      <c r="AE11391">
        <v>72.010000000000005</v>
      </c>
    </row>
    <row r="11392" spans="31:31" x14ac:dyDescent="0.25">
      <c r="AE11392">
        <v>20.94</v>
      </c>
    </row>
    <row r="11393" spans="31:31" x14ac:dyDescent="0.25">
      <c r="AE11393">
        <v>21.67</v>
      </c>
    </row>
    <row r="11394" spans="31:31" x14ac:dyDescent="0.25">
      <c r="AE11394">
        <v>78.510000000000005</v>
      </c>
    </row>
    <row r="11395" spans="31:31" x14ac:dyDescent="0.25">
      <c r="AE11395">
        <v>0.09</v>
      </c>
    </row>
    <row r="11396" spans="31:31" x14ac:dyDescent="0.25">
      <c r="AE11396">
        <v>53.2</v>
      </c>
    </row>
    <row r="11397" spans="31:31" x14ac:dyDescent="0.25">
      <c r="AE11397">
        <v>44.53</v>
      </c>
    </row>
    <row r="11398" spans="31:31" x14ac:dyDescent="0.25">
      <c r="AE11398">
        <v>50.26</v>
      </c>
    </row>
    <row r="11399" spans="31:31" x14ac:dyDescent="0.25">
      <c r="AE11399">
        <v>102.37</v>
      </c>
    </row>
    <row r="11400" spans="31:31" x14ac:dyDescent="0.25">
      <c r="AE11400">
        <v>180.32</v>
      </c>
    </row>
    <row r="11401" spans="31:31" x14ac:dyDescent="0.25">
      <c r="AE11401">
        <v>60.14</v>
      </c>
    </row>
    <row r="11402" spans="31:31" x14ac:dyDescent="0.25">
      <c r="AE11402">
        <v>0.36</v>
      </c>
    </row>
    <row r="11403" spans="31:31" x14ac:dyDescent="0.25">
      <c r="AE11403">
        <v>32.22</v>
      </c>
    </row>
    <row r="11404" spans="31:31" x14ac:dyDescent="0.25">
      <c r="AE11404">
        <v>23.12</v>
      </c>
    </row>
    <row r="11405" spans="31:31" x14ac:dyDescent="0.25">
      <c r="AE11405">
        <v>75.760000000000005</v>
      </c>
    </row>
    <row r="11406" spans="31:31" x14ac:dyDescent="0.25">
      <c r="AE11406">
        <v>10.92</v>
      </c>
    </row>
    <row r="11407" spans="31:31" x14ac:dyDescent="0.25">
      <c r="AE11407">
        <v>62.28</v>
      </c>
    </row>
    <row r="11408" spans="31:31" x14ac:dyDescent="0.25">
      <c r="AE11408">
        <v>0.63</v>
      </c>
    </row>
    <row r="11409" spans="31:31" x14ac:dyDescent="0.25">
      <c r="AE11409">
        <v>30.75</v>
      </c>
    </row>
    <row r="11410" spans="31:31" x14ac:dyDescent="0.25">
      <c r="AE11410">
        <v>39.700000000000003</v>
      </c>
    </row>
    <row r="11411" spans="31:31" x14ac:dyDescent="0.25">
      <c r="AE11411">
        <v>63.14</v>
      </c>
    </row>
    <row r="11412" spans="31:31" x14ac:dyDescent="0.25">
      <c r="AE11412">
        <v>100.6</v>
      </c>
    </row>
    <row r="11413" spans="31:31" x14ac:dyDescent="0.25">
      <c r="AE11413">
        <v>149.75</v>
      </c>
    </row>
    <row r="11414" spans="31:31" x14ac:dyDescent="0.25">
      <c r="AE11414">
        <v>7.62</v>
      </c>
    </row>
    <row r="11415" spans="31:31" x14ac:dyDescent="0.25">
      <c r="AE11415">
        <v>41</v>
      </c>
    </row>
    <row r="11416" spans="31:31" x14ac:dyDescent="0.25">
      <c r="AE11416">
        <v>13.02</v>
      </c>
    </row>
    <row r="11417" spans="31:31" x14ac:dyDescent="0.25">
      <c r="AE11417">
        <v>16.57</v>
      </c>
    </row>
    <row r="11418" spans="31:31" x14ac:dyDescent="0.25">
      <c r="AE11418">
        <v>47.87</v>
      </c>
    </row>
    <row r="11419" spans="31:31" x14ac:dyDescent="0.25">
      <c r="AE11419">
        <v>40.130000000000003</v>
      </c>
    </row>
    <row r="11420" spans="31:31" x14ac:dyDescent="0.25">
      <c r="AE11420">
        <v>71.900000000000006</v>
      </c>
    </row>
    <row r="11421" spans="31:31" x14ac:dyDescent="0.25">
      <c r="AE11421">
        <v>109.21</v>
      </c>
    </row>
    <row r="11422" spans="31:31" x14ac:dyDescent="0.25">
      <c r="AE11422">
        <v>53.65</v>
      </c>
    </row>
    <row r="11423" spans="31:31" x14ac:dyDescent="0.25">
      <c r="AE11423">
        <v>23.76</v>
      </c>
    </row>
    <row r="11424" spans="31:31" x14ac:dyDescent="0.25">
      <c r="AE11424">
        <v>12.5</v>
      </c>
    </row>
    <row r="11425" spans="31:31" x14ac:dyDescent="0.25">
      <c r="AE11425">
        <v>87.11</v>
      </c>
    </row>
    <row r="11426" spans="31:31" x14ac:dyDescent="0.25">
      <c r="AE11426">
        <v>0.45</v>
      </c>
    </row>
    <row r="11427" spans="31:31" x14ac:dyDescent="0.25">
      <c r="AE11427">
        <v>85.35</v>
      </c>
    </row>
    <row r="11428" spans="31:31" x14ac:dyDescent="0.25">
      <c r="AE11428">
        <v>3.83</v>
      </c>
    </row>
    <row r="11429" spans="31:31" x14ac:dyDescent="0.25">
      <c r="AE11429">
        <v>2.21</v>
      </c>
    </row>
    <row r="11430" spans="31:31" x14ac:dyDescent="0.25">
      <c r="AE11430">
        <v>37.950000000000003</v>
      </c>
    </row>
    <row r="11431" spans="31:31" x14ac:dyDescent="0.25">
      <c r="AE11431">
        <v>11.77</v>
      </c>
    </row>
    <row r="11432" spans="31:31" x14ac:dyDescent="0.25">
      <c r="AE11432">
        <v>26.7</v>
      </c>
    </row>
    <row r="11433" spans="31:31" x14ac:dyDescent="0.25">
      <c r="AE11433">
        <v>183.06</v>
      </c>
    </row>
    <row r="11434" spans="31:31" x14ac:dyDescent="0.25">
      <c r="AE11434">
        <v>1.63</v>
      </c>
    </row>
    <row r="11435" spans="31:31" x14ac:dyDescent="0.25">
      <c r="AE11435">
        <v>94.32</v>
      </c>
    </row>
    <row r="11436" spans="31:31" x14ac:dyDescent="0.25">
      <c r="AE11436">
        <v>35.57</v>
      </c>
    </row>
    <row r="11437" spans="31:31" x14ac:dyDescent="0.25">
      <c r="AE11437">
        <v>66.72</v>
      </c>
    </row>
    <row r="11438" spans="31:31" x14ac:dyDescent="0.25">
      <c r="AE11438">
        <v>83.73</v>
      </c>
    </row>
    <row r="11439" spans="31:31" x14ac:dyDescent="0.25">
      <c r="AE11439">
        <v>36.14</v>
      </c>
    </row>
    <row r="11440" spans="31:31" x14ac:dyDescent="0.25">
      <c r="AE11440">
        <v>34.520000000000003</v>
      </c>
    </row>
    <row r="11441" spans="31:31" x14ac:dyDescent="0.25">
      <c r="AE11441">
        <v>27.55</v>
      </c>
    </row>
    <row r="11442" spans="31:31" x14ac:dyDescent="0.25">
      <c r="AE11442">
        <v>81.97</v>
      </c>
    </row>
    <row r="11443" spans="31:31" x14ac:dyDescent="0.25">
      <c r="AE11443">
        <v>1.26</v>
      </c>
    </row>
    <row r="11444" spans="31:31" x14ac:dyDescent="0.25">
      <c r="AE11444">
        <v>53.15</v>
      </c>
    </row>
    <row r="11445" spans="31:31" x14ac:dyDescent="0.25">
      <c r="AE11445">
        <v>0</v>
      </c>
    </row>
    <row r="11446" spans="31:31" x14ac:dyDescent="0.25">
      <c r="AE11446">
        <v>25.21</v>
      </c>
    </row>
    <row r="11447" spans="31:31" x14ac:dyDescent="0.25">
      <c r="AE11447">
        <v>39.270000000000003</v>
      </c>
    </row>
    <row r="11448" spans="31:31" x14ac:dyDescent="0.25">
      <c r="AE11448">
        <v>14.58</v>
      </c>
    </row>
    <row r="11449" spans="31:31" x14ac:dyDescent="0.25">
      <c r="AE11449">
        <v>106.43</v>
      </c>
    </row>
    <row r="11450" spans="31:31" x14ac:dyDescent="0.25">
      <c r="AE11450">
        <v>31.43</v>
      </c>
    </row>
    <row r="11451" spans="31:31" x14ac:dyDescent="0.25">
      <c r="AE11451">
        <v>10.09</v>
      </c>
    </row>
    <row r="11452" spans="31:31" x14ac:dyDescent="0.25">
      <c r="AE11452">
        <v>24.86</v>
      </c>
    </row>
    <row r="11453" spans="31:31" x14ac:dyDescent="0.25">
      <c r="AE11453">
        <v>40.909999999999997</v>
      </c>
    </row>
    <row r="11454" spans="31:31" x14ac:dyDescent="0.25">
      <c r="AE11454">
        <v>10.34</v>
      </c>
    </row>
    <row r="11455" spans="31:31" x14ac:dyDescent="0.25">
      <c r="AE11455">
        <v>161.16</v>
      </c>
    </row>
    <row r="11456" spans="31:31" x14ac:dyDescent="0.25">
      <c r="AE11456">
        <v>21.57</v>
      </c>
    </row>
    <row r="11457" spans="31:31" x14ac:dyDescent="0.25">
      <c r="AE11457">
        <v>45.42</v>
      </c>
    </row>
    <row r="11458" spans="31:31" x14ac:dyDescent="0.25">
      <c r="AE11458">
        <v>21.15</v>
      </c>
    </row>
    <row r="11459" spans="31:31" x14ac:dyDescent="0.25">
      <c r="AE11459">
        <v>27.84</v>
      </c>
    </row>
    <row r="11460" spans="31:31" x14ac:dyDescent="0.25">
      <c r="AE11460">
        <v>52.16</v>
      </c>
    </row>
    <row r="11461" spans="31:31" x14ac:dyDescent="0.25">
      <c r="AE11461">
        <v>155.31</v>
      </c>
    </row>
    <row r="11462" spans="31:31" x14ac:dyDescent="0.25">
      <c r="AE11462">
        <v>45.52</v>
      </c>
    </row>
    <row r="11463" spans="31:31" x14ac:dyDescent="0.25">
      <c r="AE11463">
        <v>32.74</v>
      </c>
    </row>
    <row r="11464" spans="31:31" x14ac:dyDescent="0.25">
      <c r="AE11464">
        <v>56.96</v>
      </c>
    </row>
    <row r="11465" spans="31:31" x14ac:dyDescent="0.25">
      <c r="AE11465">
        <v>30.68</v>
      </c>
    </row>
    <row r="11466" spans="31:31" x14ac:dyDescent="0.25">
      <c r="AE11466">
        <v>51.38</v>
      </c>
    </row>
    <row r="11467" spans="31:31" x14ac:dyDescent="0.25">
      <c r="AE11467">
        <v>15.89</v>
      </c>
    </row>
    <row r="11468" spans="31:31" x14ac:dyDescent="0.25">
      <c r="AE11468">
        <v>82.41</v>
      </c>
    </row>
    <row r="11469" spans="31:31" x14ac:dyDescent="0.25">
      <c r="AE11469">
        <v>69.53</v>
      </c>
    </row>
    <row r="11470" spans="31:31" x14ac:dyDescent="0.25">
      <c r="AE11470">
        <v>46.94</v>
      </c>
    </row>
    <row r="11471" spans="31:31" x14ac:dyDescent="0.25">
      <c r="AE11471">
        <v>123.96</v>
      </c>
    </row>
    <row r="11472" spans="31:31" x14ac:dyDescent="0.25">
      <c r="AE11472">
        <v>58.48</v>
      </c>
    </row>
    <row r="11473" spans="31:31" x14ac:dyDescent="0.25">
      <c r="AE11473">
        <v>37.46</v>
      </c>
    </row>
    <row r="11474" spans="31:31" x14ac:dyDescent="0.25">
      <c r="AE11474">
        <v>76.319999999999993</v>
      </c>
    </row>
    <row r="11475" spans="31:31" x14ac:dyDescent="0.25">
      <c r="AE11475">
        <v>20.32</v>
      </c>
    </row>
    <row r="11476" spans="31:31" x14ac:dyDescent="0.25">
      <c r="AE11476">
        <v>52.73</v>
      </c>
    </row>
    <row r="11477" spans="31:31" x14ac:dyDescent="0.25">
      <c r="AE11477">
        <v>150.18</v>
      </c>
    </row>
    <row r="11478" spans="31:31" x14ac:dyDescent="0.25">
      <c r="AE11478">
        <v>115.88</v>
      </c>
    </row>
    <row r="11479" spans="31:31" x14ac:dyDescent="0.25">
      <c r="AE11479">
        <v>94.2</v>
      </c>
    </row>
    <row r="11480" spans="31:31" x14ac:dyDescent="0.25">
      <c r="AE11480">
        <v>98.08</v>
      </c>
    </row>
    <row r="11481" spans="31:31" x14ac:dyDescent="0.25">
      <c r="AE11481">
        <v>33.04</v>
      </c>
    </row>
    <row r="11482" spans="31:31" x14ac:dyDescent="0.25">
      <c r="AE11482">
        <v>9.99</v>
      </c>
    </row>
    <row r="11483" spans="31:31" x14ac:dyDescent="0.25">
      <c r="AE11483">
        <v>49.15</v>
      </c>
    </row>
    <row r="11484" spans="31:31" x14ac:dyDescent="0.25">
      <c r="AE11484">
        <v>61.89</v>
      </c>
    </row>
    <row r="11485" spans="31:31" x14ac:dyDescent="0.25">
      <c r="AE11485">
        <v>130.37</v>
      </c>
    </row>
    <row r="11486" spans="31:31" x14ac:dyDescent="0.25">
      <c r="AE11486">
        <v>89.52</v>
      </c>
    </row>
    <row r="11487" spans="31:31" x14ac:dyDescent="0.25">
      <c r="AE11487">
        <v>12.9</v>
      </c>
    </row>
    <row r="11488" spans="31:31" x14ac:dyDescent="0.25">
      <c r="AE11488">
        <v>20.29</v>
      </c>
    </row>
    <row r="11489" spans="31:31" x14ac:dyDescent="0.25">
      <c r="AE11489">
        <v>79.739999999999995</v>
      </c>
    </row>
    <row r="11490" spans="31:31" x14ac:dyDescent="0.25">
      <c r="AE11490">
        <v>50.76</v>
      </c>
    </row>
    <row r="11491" spans="31:31" x14ac:dyDescent="0.25">
      <c r="AE11491">
        <v>12.95</v>
      </c>
    </row>
    <row r="11492" spans="31:31" x14ac:dyDescent="0.25">
      <c r="AE11492">
        <v>130.68</v>
      </c>
    </row>
    <row r="11493" spans="31:31" x14ac:dyDescent="0.25">
      <c r="AE11493">
        <v>0.27</v>
      </c>
    </row>
    <row r="11494" spans="31:31" x14ac:dyDescent="0.25">
      <c r="AE11494">
        <v>35.049999999999997</v>
      </c>
    </row>
    <row r="11495" spans="31:31" x14ac:dyDescent="0.25">
      <c r="AE11495">
        <v>62.4</v>
      </c>
    </row>
    <row r="11496" spans="31:31" x14ac:dyDescent="0.25">
      <c r="AE11496">
        <v>6.16</v>
      </c>
    </row>
    <row r="11497" spans="31:31" x14ac:dyDescent="0.25">
      <c r="AE11497">
        <v>12.95</v>
      </c>
    </row>
    <row r="11498" spans="31:31" x14ac:dyDescent="0.25">
      <c r="AE11498">
        <v>66.87</v>
      </c>
    </row>
    <row r="11499" spans="31:31" x14ac:dyDescent="0.25">
      <c r="AE11499">
        <v>75.59</v>
      </c>
    </row>
    <row r="11500" spans="31:31" x14ac:dyDescent="0.25">
      <c r="AE11500">
        <v>52.42</v>
      </c>
    </row>
    <row r="11501" spans="31:31" x14ac:dyDescent="0.25">
      <c r="AE11501">
        <v>18.75</v>
      </c>
    </row>
    <row r="11502" spans="31:31" x14ac:dyDescent="0.25">
      <c r="AE11502">
        <v>26.25</v>
      </c>
    </row>
    <row r="11503" spans="31:31" x14ac:dyDescent="0.25">
      <c r="AE11503">
        <v>16.77</v>
      </c>
    </row>
    <row r="11504" spans="31:31" x14ac:dyDescent="0.25">
      <c r="AE11504">
        <v>67.28</v>
      </c>
    </row>
    <row r="11505" spans="31:31" x14ac:dyDescent="0.25">
      <c r="AE11505">
        <v>20.239999999999998</v>
      </c>
    </row>
    <row r="11506" spans="31:31" x14ac:dyDescent="0.25">
      <c r="AE11506">
        <v>21.11</v>
      </c>
    </row>
    <row r="11507" spans="31:31" x14ac:dyDescent="0.25">
      <c r="AE11507">
        <v>29.17</v>
      </c>
    </row>
    <row r="11508" spans="31:31" x14ac:dyDescent="0.25">
      <c r="AE11508">
        <v>103.39</v>
      </c>
    </row>
    <row r="11509" spans="31:31" x14ac:dyDescent="0.25">
      <c r="AE11509">
        <v>39.92</v>
      </c>
    </row>
    <row r="11510" spans="31:31" x14ac:dyDescent="0.25">
      <c r="AE11510">
        <v>28.84</v>
      </c>
    </row>
    <row r="11511" spans="31:31" x14ac:dyDescent="0.25">
      <c r="AE11511">
        <v>151.21</v>
      </c>
    </row>
    <row r="11512" spans="31:31" x14ac:dyDescent="0.25">
      <c r="AE11512">
        <v>26.85</v>
      </c>
    </row>
    <row r="11513" spans="31:31" x14ac:dyDescent="0.25">
      <c r="AE11513">
        <v>29.65</v>
      </c>
    </row>
    <row r="11514" spans="31:31" x14ac:dyDescent="0.25">
      <c r="AE11514">
        <v>4.09</v>
      </c>
    </row>
    <row r="11515" spans="31:31" x14ac:dyDescent="0.25">
      <c r="AE11515">
        <v>20.71</v>
      </c>
    </row>
    <row r="11516" spans="31:31" x14ac:dyDescent="0.25">
      <c r="AE11516">
        <v>103.98</v>
      </c>
    </row>
    <row r="11517" spans="31:31" x14ac:dyDescent="0.25">
      <c r="AE11517">
        <v>10.09</v>
      </c>
    </row>
    <row r="11518" spans="31:31" x14ac:dyDescent="0.25">
      <c r="AE11518">
        <v>59.68</v>
      </c>
    </row>
    <row r="11519" spans="31:31" x14ac:dyDescent="0.25">
      <c r="AE11519">
        <v>34.479999999999997</v>
      </c>
    </row>
    <row r="11520" spans="31:31" x14ac:dyDescent="0.25">
      <c r="AE11520">
        <v>150.66</v>
      </c>
    </row>
    <row r="11521" spans="31:31" x14ac:dyDescent="0.25">
      <c r="AE11521">
        <v>83.1</v>
      </c>
    </row>
    <row r="11522" spans="31:31" x14ac:dyDescent="0.25">
      <c r="AE11522">
        <v>101.77</v>
      </c>
    </row>
    <row r="11523" spans="31:31" x14ac:dyDescent="0.25">
      <c r="AE11523">
        <v>58.16</v>
      </c>
    </row>
    <row r="11524" spans="31:31" x14ac:dyDescent="0.25">
      <c r="AE11524">
        <v>57.17</v>
      </c>
    </row>
    <row r="11525" spans="31:31" x14ac:dyDescent="0.25">
      <c r="AE11525">
        <v>67.28</v>
      </c>
    </row>
    <row r="11526" spans="31:31" x14ac:dyDescent="0.25">
      <c r="AE11526">
        <v>129.97</v>
      </c>
    </row>
    <row r="11527" spans="31:31" x14ac:dyDescent="0.25">
      <c r="AE11527">
        <v>168.51</v>
      </c>
    </row>
    <row r="11528" spans="31:31" x14ac:dyDescent="0.25">
      <c r="AE11528">
        <v>47.83</v>
      </c>
    </row>
    <row r="11529" spans="31:31" x14ac:dyDescent="0.25">
      <c r="AE11529">
        <v>98.42</v>
      </c>
    </row>
    <row r="11530" spans="31:31" x14ac:dyDescent="0.25">
      <c r="AE11530">
        <v>19.440000000000001</v>
      </c>
    </row>
    <row r="11531" spans="31:31" x14ac:dyDescent="0.25">
      <c r="AE11531">
        <v>15.9</v>
      </c>
    </row>
    <row r="11532" spans="31:31" x14ac:dyDescent="0.25">
      <c r="AE11532">
        <v>73.37</v>
      </c>
    </row>
    <row r="11533" spans="31:31" x14ac:dyDescent="0.25">
      <c r="AE11533">
        <v>36.03</v>
      </c>
    </row>
    <row r="11534" spans="31:31" x14ac:dyDescent="0.25">
      <c r="AE11534">
        <v>72.069999999999993</v>
      </c>
    </row>
    <row r="11535" spans="31:31" x14ac:dyDescent="0.25">
      <c r="AE11535">
        <v>113.39</v>
      </c>
    </row>
    <row r="11536" spans="31:31" x14ac:dyDescent="0.25">
      <c r="AE11536">
        <v>36.65</v>
      </c>
    </row>
    <row r="11537" spans="31:31" x14ac:dyDescent="0.25">
      <c r="AE11537">
        <v>47.27</v>
      </c>
    </row>
    <row r="11538" spans="31:31" x14ac:dyDescent="0.25">
      <c r="AE11538">
        <v>38.799999999999997</v>
      </c>
    </row>
    <row r="11539" spans="31:31" x14ac:dyDescent="0.25">
      <c r="AE11539">
        <v>82.09</v>
      </c>
    </row>
    <row r="11540" spans="31:31" x14ac:dyDescent="0.25">
      <c r="AE11540">
        <v>322.56</v>
      </c>
    </row>
    <row r="11541" spans="31:31" x14ac:dyDescent="0.25">
      <c r="AE11541">
        <v>45.11</v>
      </c>
    </row>
    <row r="11542" spans="31:31" x14ac:dyDescent="0.25">
      <c r="AE11542">
        <v>53.77</v>
      </c>
    </row>
    <row r="11543" spans="31:31" x14ac:dyDescent="0.25">
      <c r="AE11543">
        <v>20.02</v>
      </c>
    </row>
    <row r="11544" spans="31:31" x14ac:dyDescent="0.25">
      <c r="AE11544">
        <v>1.88</v>
      </c>
    </row>
    <row r="11545" spans="31:31" x14ac:dyDescent="0.25">
      <c r="AE11545">
        <v>111.36</v>
      </c>
    </row>
    <row r="11546" spans="31:31" x14ac:dyDescent="0.25">
      <c r="AE11546">
        <v>5.41</v>
      </c>
    </row>
    <row r="11547" spans="31:31" x14ac:dyDescent="0.25">
      <c r="AE11547">
        <v>13.61</v>
      </c>
    </row>
    <row r="11548" spans="31:31" x14ac:dyDescent="0.25">
      <c r="AE11548">
        <v>20.079999999999998</v>
      </c>
    </row>
    <row r="11549" spans="31:31" x14ac:dyDescent="0.25">
      <c r="AE11549">
        <v>10.09</v>
      </c>
    </row>
    <row r="11550" spans="31:31" x14ac:dyDescent="0.25">
      <c r="AE11550">
        <v>21.89</v>
      </c>
    </row>
    <row r="11551" spans="31:31" x14ac:dyDescent="0.25">
      <c r="AE11551">
        <v>80.02</v>
      </c>
    </row>
    <row r="11552" spans="31:31" x14ac:dyDescent="0.25">
      <c r="AE11552">
        <v>71.48</v>
      </c>
    </row>
    <row r="11553" spans="31:31" x14ac:dyDescent="0.25">
      <c r="AE11553">
        <v>90.37</v>
      </c>
    </row>
    <row r="11554" spans="31:31" x14ac:dyDescent="0.25">
      <c r="AE11554">
        <v>53.18</v>
      </c>
    </row>
    <row r="11555" spans="31:31" x14ac:dyDescent="0.25">
      <c r="AE11555">
        <v>21.32</v>
      </c>
    </row>
    <row r="11556" spans="31:31" x14ac:dyDescent="0.25">
      <c r="AE11556">
        <v>22.16</v>
      </c>
    </row>
    <row r="11557" spans="31:31" x14ac:dyDescent="0.25">
      <c r="AE11557">
        <v>90.55</v>
      </c>
    </row>
    <row r="11558" spans="31:31" x14ac:dyDescent="0.25">
      <c r="AE11558">
        <v>64.22</v>
      </c>
    </row>
    <row r="11559" spans="31:31" x14ac:dyDescent="0.25">
      <c r="AE11559">
        <v>103.1</v>
      </c>
    </row>
    <row r="11560" spans="31:31" x14ac:dyDescent="0.25">
      <c r="AE11560">
        <v>0.09</v>
      </c>
    </row>
    <row r="11561" spans="31:31" x14ac:dyDescent="0.25">
      <c r="AE11561">
        <v>118.16</v>
      </c>
    </row>
    <row r="11562" spans="31:31" x14ac:dyDescent="0.25">
      <c r="AE11562">
        <v>17.38</v>
      </c>
    </row>
    <row r="11563" spans="31:31" x14ac:dyDescent="0.25">
      <c r="AE11563">
        <v>31.89</v>
      </c>
    </row>
    <row r="11564" spans="31:31" x14ac:dyDescent="0.25">
      <c r="AE11564">
        <v>14.95</v>
      </c>
    </row>
    <row r="11565" spans="31:31" x14ac:dyDescent="0.25">
      <c r="AE11565">
        <v>28.34</v>
      </c>
    </row>
    <row r="11566" spans="31:31" x14ac:dyDescent="0.25">
      <c r="AE11566">
        <v>50.38</v>
      </c>
    </row>
    <row r="11567" spans="31:31" x14ac:dyDescent="0.25">
      <c r="AE11567">
        <v>133.58000000000001</v>
      </c>
    </row>
    <row r="11568" spans="31:31" x14ac:dyDescent="0.25">
      <c r="AE11568">
        <v>38.85</v>
      </c>
    </row>
    <row r="11569" spans="31:31" x14ac:dyDescent="0.25">
      <c r="AE11569">
        <v>13.44</v>
      </c>
    </row>
    <row r="11570" spans="31:31" x14ac:dyDescent="0.25">
      <c r="AE11570">
        <v>34.82</v>
      </c>
    </row>
    <row r="11571" spans="31:31" x14ac:dyDescent="0.25">
      <c r="AE11571">
        <v>40.35</v>
      </c>
    </row>
    <row r="11572" spans="31:31" x14ac:dyDescent="0.25">
      <c r="AE11572">
        <v>18.36</v>
      </c>
    </row>
    <row r="11573" spans="31:31" x14ac:dyDescent="0.25">
      <c r="AE11573">
        <v>36.6</v>
      </c>
    </row>
    <row r="11574" spans="31:31" x14ac:dyDescent="0.25">
      <c r="AE11574">
        <v>33.15</v>
      </c>
    </row>
    <row r="11575" spans="31:31" x14ac:dyDescent="0.25">
      <c r="AE11575">
        <v>39.85</v>
      </c>
    </row>
    <row r="11576" spans="31:31" x14ac:dyDescent="0.25">
      <c r="AE11576">
        <v>47.46</v>
      </c>
    </row>
    <row r="11577" spans="31:31" x14ac:dyDescent="0.25">
      <c r="AE11577">
        <v>38.99</v>
      </c>
    </row>
    <row r="11578" spans="31:31" x14ac:dyDescent="0.25">
      <c r="AE11578">
        <v>17.84</v>
      </c>
    </row>
    <row r="11579" spans="31:31" x14ac:dyDescent="0.25">
      <c r="AE11579">
        <v>79.180000000000007</v>
      </c>
    </row>
    <row r="11580" spans="31:31" x14ac:dyDescent="0.25">
      <c r="AE11580">
        <v>109.46</v>
      </c>
    </row>
    <row r="11581" spans="31:31" x14ac:dyDescent="0.25">
      <c r="AE11581">
        <v>45.34</v>
      </c>
    </row>
    <row r="11582" spans="31:31" x14ac:dyDescent="0.25">
      <c r="AE11582">
        <v>55.54</v>
      </c>
    </row>
    <row r="11583" spans="31:31" x14ac:dyDescent="0.25">
      <c r="AE11583">
        <v>28.02</v>
      </c>
    </row>
    <row r="11584" spans="31:31" x14ac:dyDescent="0.25">
      <c r="AE11584">
        <v>98.17</v>
      </c>
    </row>
    <row r="11585" spans="31:31" x14ac:dyDescent="0.25">
      <c r="AE11585">
        <v>16.7</v>
      </c>
    </row>
    <row r="11586" spans="31:31" x14ac:dyDescent="0.25">
      <c r="AE11586">
        <v>33.82</v>
      </c>
    </row>
    <row r="11587" spans="31:31" x14ac:dyDescent="0.25">
      <c r="AE11587">
        <v>43.53</v>
      </c>
    </row>
    <row r="11588" spans="31:31" x14ac:dyDescent="0.25">
      <c r="AE11588">
        <v>18.829999999999998</v>
      </c>
    </row>
    <row r="11589" spans="31:31" x14ac:dyDescent="0.25">
      <c r="AE11589">
        <v>10.29</v>
      </c>
    </row>
    <row r="11590" spans="31:31" x14ac:dyDescent="0.25">
      <c r="AE11590">
        <v>90.01</v>
      </c>
    </row>
    <row r="11591" spans="31:31" x14ac:dyDescent="0.25">
      <c r="AE11591">
        <v>22.24</v>
      </c>
    </row>
    <row r="11592" spans="31:31" x14ac:dyDescent="0.25">
      <c r="AE11592">
        <v>0.54</v>
      </c>
    </row>
    <row r="11593" spans="31:31" x14ac:dyDescent="0.25">
      <c r="AE11593">
        <v>35.64</v>
      </c>
    </row>
    <row r="11594" spans="31:31" x14ac:dyDescent="0.25">
      <c r="AE11594">
        <v>49.98</v>
      </c>
    </row>
    <row r="11595" spans="31:31" x14ac:dyDescent="0.25">
      <c r="AE11595">
        <v>42.67</v>
      </c>
    </row>
    <row r="11596" spans="31:31" x14ac:dyDescent="0.25">
      <c r="AE11596">
        <v>79.709999999999994</v>
      </c>
    </row>
    <row r="11597" spans="31:31" x14ac:dyDescent="0.25">
      <c r="AE11597">
        <v>66.650000000000006</v>
      </c>
    </row>
    <row r="11598" spans="31:31" x14ac:dyDescent="0.25">
      <c r="AE11598">
        <v>29.9</v>
      </c>
    </row>
    <row r="11599" spans="31:31" x14ac:dyDescent="0.25">
      <c r="AE11599">
        <v>40.97</v>
      </c>
    </row>
    <row r="11600" spans="31:31" x14ac:dyDescent="0.25">
      <c r="AE11600">
        <v>64.900000000000006</v>
      </c>
    </row>
    <row r="11601" spans="31:31" x14ac:dyDescent="0.25">
      <c r="AE11601">
        <v>38.090000000000003</v>
      </c>
    </row>
    <row r="11602" spans="31:31" x14ac:dyDescent="0.25">
      <c r="AE11602">
        <v>31.61</v>
      </c>
    </row>
    <row r="11603" spans="31:31" x14ac:dyDescent="0.25">
      <c r="AE11603">
        <v>20.92</v>
      </c>
    </row>
    <row r="11604" spans="31:31" x14ac:dyDescent="0.25">
      <c r="AE11604">
        <v>24.12</v>
      </c>
    </row>
    <row r="11605" spans="31:31" x14ac:dyDescent="0.25">
      <c r="AE11605">
        <v>102.77</v>
      </c>
    </row>
    <row r="11606" spans="31:31" x14ac:dyDescent="0.25">
      <c r="AE11606">
        <v>54.96</v>
      </c>
    </row>
    <row r="11607" spans="31:31" x14ac:dyDescent="0.25">
      <c r="AE11607">
        <v>33.520000000000003</v>
      </c>
    </row>
    <row r="11608" spans="31:31" x14ac:dyDescent="0.25">
      <c r="AE11608">
        <v>104.78</v>
      </c>
    </row>
    <row r="11609" spans="31:31" x14ac:dyDescent="0.25">
      <c r="AE11609">
        <v>68.88</v>
      </c>
    </row>
    <row r="11610" spans="31:31" x14ac:dyDescent="0.25">
      <c r="AE11610">
        <v>24.08</v>
      </c>
    </row>
    <row r="11611" spans="31:31" x14ac:dyDescent="0.25">
      <c r="AE11611">
        <v>55.31</v>
      </c>
    </row>
    <row r="11612" spans="31:31" x14ac:dyDescent="0.25">
      <c r="AE11612">
        <v>107.08</v>
      </c>
    </row>
    <row r="11613" spans="31:31" x14ac:dyDescent="0.25">
      <c r="AE11613">
        <v>44.32</v>
      </c>
    </row>
    <row r="11614" spans="31:31" x14ac:dyDescent="0.25">
      <c r="AE11614">
        <v>69.75</v>
      </c>
    </row>
    <row r="11615" spans="31:31" x14ac:dyDescent="0.25">
      <c r="AE11615">
        <v>28.58</v>
      </c>
    </row>
    <row r="11616" spans="31:31" x14ac:dyDescent="0.25">
      <c r="AE11616">
        <v>67.89</v>
      </c>
    </row>
    <row r="11617" spans="31:31" x14ac:dyDescent="0.25">
      <c r="AE11617">
        <v>66</v>
      </c>
    </row>
    <row r="11618" spans="31:31" x14ac:dyDescent="0.25">
      <c r="AE11618">
        <v>16.690000000000001</v>
      </c>
    </row>
    <row r="11619" spans="31:31" x14ac:dyDescent="0.25">
      <c r="AE11619">
        <v>75.45</v>
      </c>
    </row>
    <row r="11620" spans="31:31" x14ac:dyDescent="0.25">
      <c r="AE11620">
        <v>43.47</v>
      </c>
    </row>
    <row r="11621" spans="31:31" x14ac:dyDescent="0.25">
      <c r="AE11621">
        <v>177.86</v>
      </c>
    </row>
    <row r="11622" spans="31:31" x14ac:dyDescent="0.25">
      <c r="AE11622">
        <v>132.57</v>
      </c>
    </row>
    <row r="11623" spans="31:31" x14ac:dyDescent="0.25">
      <c r="AE11623">
        <v>191.43</v>
      </c>
    </row>
    <row r="11624" spans="31:31" x14ac:dyDescent="0.25">
      <c r="AE11624">
        <v>16.059999999999999</v>
      </c>
    </row>
    <row r="11625" spans="31:31" x14ac:dyDescent="0.25">
      <c r="AE11625">
        <v>146.4</v>
      </c>
    </row>
    <row r="11626" spans="31:31" x14ac:dyDescent="0.25">
      <c r="AE11626">
        <v>49.72</v>
      </c>
    </row>
    <row r="11627" spans="31:31" x14ac:dyDescent="0.25">
      <c r="AE11627">
        <v>55.17</v>
      </c>
    </row>
    <row r="11628" spans="31:31" x14ac:dyDescent="0.25">
      <c r="AE11628">
        <v>75.209999999999994</v>
      </c>
    </row>
    <row r="11629" spans="31:31" x14ac:dyDescent="0.25">
      <c r="AE11629">
        <v>44.16</v>
      </c>
    </row>
    <row r="11630" spans="31:31" x14ac:dyDescent="0.25">
      <c r="AE11630">
        <v>25.88</v>
      </c>
    </row>
    <row r="11631" spans="31:31" x14ac:dyDescent="0.25">
      <c r="AE11631">
        <v>106.14</v>
      </c>
    </row>
    <row r="11632" spans="31:31" x14ac:dyDescent="0.25">
      <c r="AE11632">
        <v>26.01</v>
      </c>
    </row>
    <row r="11633" spans="31:31" x14ac:dyDescent="0.25">
      <c r="AE11633">
        <v>114.56</v>
      </c>
    </row>
    <row r="11634" spans="31:31" x14ac:dyDescent="0.25">
      <c r="AE11634">
        <v>250.54</v>
      </c>
    </row>
    <row r="11635" spans="31:31" x14ac:dyDescent="0.25">
      <c r="AE11635">
        <v>68.760000000000005</v>
      </c>
    </row>
    <row r="11636" spans="31:31" x14ac:dyDescent="0.25">
      <c r="AE11636">
        <v>29.71</v>
      </c>
    </row>
    <row r="11637" spans="31:31" x14ac:dyDescent="0.25">
      <c r="AE11637">
        <v>47.63</v>
      </c>
    </row>
    <row r="11638" spans="31:31" x14ac:dyDescent="0.25">
      <c r="AE11638">
        <v>28.4</v>
      </c>
    </row>
    <row r="11639" spans="31:31" x14ac:dyDescent="0.25">
      <c r="AE11639">
        <v>24.54</v>
      </c>
    </row>
    <row r="11640" spans="31:31" x14ac:dyDescent="0.25">
      <c r="AE11640">
        <v>14.76</v>
      </c>
    </row>
    <row r="11641" spans="31:31" x14ac:dyDescent="0.25">
      <c r="AE11641">
        <v>0.36</v>
      </c>
    </row>
    <row r="11642" spans="31:31" x14ac:dyDescent="0.25">
      <c r="AE11642">
        <v>69.58</v>
      </c>
    </row>
    <row r="11643" spans="31:31" x14ac:dyDescent="0.25">
      <c r="AE11643">
        <v>43.55</v>
      </c>
    </row>
    <row r="11644" spans="31:31" x14ac:dyDescent="0.25">
      <c r="AE11644">
        <v>94.54</v>
      </c>
    </row>
    <row r="11645" spans="31:31" x14ac:dyDescent="0.25">
      <c r="AE11645">
        <v>72.010000000000005</v>
      </c>
    </row>
    <row r="11646" spans="31:31" x14ac:dyDescent="0.25">
      <c r="AE11646">
        <v>54.09</v>
      </c>
    </row>
    <row r="11647" spans="31:31" x14ac:dyDescent="0.25">
      <c r="AE11647">
        <v>48.18</v>
      </c>
    </row>
    <row r="11648" spans="31:31" x14ac:dyDescent="0.25">
      <c r="AE11648">
        <v>26.75</v>
      </c>
    </row>
    <row r="11649" spans="31:31" x14ac:dyDescent="0.25">
      <c r="AE11649">
        <v>36.94</v>
      </c>
    </row>
    <row r="11650" spans="31:31" x14ac:dyDescent="0.25">
      <c r="AE11650">
        <v>31.99</v>
      </c>
    </row>
    <row r="11651" spans="31:31" x14ac:dyDescent="0.25">
      <c r="AE11651">
        <v>4.6399999999999997</v>
      </c>
    </row>
    <row r="11652" spans="31:31" x14ac:dyDescent="0.25">
      <c r="AE11652">
        <v>20.03</v>
      </c>
    </row>
    <row r="11653" spans="31:31" x14ac:dyDescent="0.25">
      <c r="AE11653">
        <v>22.53</v>
      </c>
    </row>
    <row r="11654" spans="31:31" x14ac:dyDescent="0.25">
      <c r="AE11654">
        <v>37.36</v>
      </c>
    </row>
    <row r="11655" spans="31:31" x14ac:dyDescent="0.25">
      <c r="AE11655">
        <v>0.54</v>
      </c>
    </row>
    <row r="11656" spans="31:31" x14ac:dyDescent="0.25">
      <c r="AE11656">
        <v>9.99</v>
      </c>
    </row>
    <row r="11657" spans="31:31" x14ac:dyDescent="0.25">
      <c r="AE11657">
        <v>31.05</v>
      </c>
    </row>
    <row r="11658" spans="31:31" x14ac:dyDescent="0.25">
      <c r="AE11658">
        <v>84.43</v>
      </c>
    </row>
    <row r="11659" spans="31:31" x14ac:dyDescent="0.25">
      <c r="AE11659">
        <v>86.82</v>
      </c>
    </row>
    <row r="11660" spans="31:31" x14ac:dyDescent="0.25">
      <c r="AE11660">
        <v>23.46</v>
      </c>
    </row>
    <row r="11661" spans="31:31" x14ac:dyDescent="0.25">
      <c r="AE11661">
        <v>18.149999999999999</v>
      </c>
    </row>
    <row r="11662" spans="31:31" x14ac:dyDescent="0.25">
      <c r="AE11662">
        <v>28.75</v>
      </c>
    </row>
    <row r="11663" spans="31:31" x14ac:dyDescent="0.25">
      <c r="AE11663">
        <v>29.52</v>
      </c>
    </row>
    <row r="11664" spans="31:31" x14ac:dyDescent="0.25">
      <c r="AE11664">
        <v>23.98</v>
      </c>
    </row>
    <row r="11665" spans="31:31" x14ac:dyDescent="0.25">
      <c r="AE11665">
        <v>10.09</v>
      </c>
    </row>
    <row r="11666" spans="31:31" x14ac:dyDescent="0.25">
      <c r="AE11666">
        <v>43.66</v>
      </c>
    </row>
    <row r="11667" spans="31:31" x14ac:dyDescent="0.25">
      <c r="AE11667">
        <v>100.94</v>
      </c>
    </row>
    <row r="11668" spans="31:31" x14ac:dyDescent="0.25">
      <c r="AE11668">
        <v>78.64</v>
      </c>
    </row>
    <row r="11669" spans="31:31" x14ac:dyDescent="0.25">
      <c r="AE11669">
        <v>78.56</v>
      </c>
    </row>
    <row r="11670" spans="31:31" x14ac:dyDescent="0.25">
      <c r="AE11670">
        <v>34.56</v>
      </c>
    </row>
    <row r="11671" spans="31:31" x14ac:dyDescent="0.25">
      <c r="AE11671">
        <v>69.430000000000007</v>
      </c>
    </row>
    <row r="11672" spans="31:31" x14ac:dyDescent="0.25">
      <c r="AE11672">
        <v>70.05</v>
      </c>
    </row>
    <row r="11673" spans="31:31" x14ac:dyDescent="0.25">
      <c r="AE11673">
        <v>71.62</v>
      </c>
    </row>
    <row r="11674" spans="31:31" x14ac:dyDescent="0.25">
      <c r="AE11674">
        <v>45.42</v>
      </c>
    </row>
    <row r="11675" spans="31:31" x14ac:dyDescent="0.25">
      <c r="AE11675">
        <v>109.09</v>
      </c>
    </row>
    <row r="11676" spans="31:31" x14ac:dyDescent="0.25">
      <c r="AE11676">
        <v>72.569999999999993</v>
      </c>
    </row>
    <row r="11677" spans="31:31" x14ac:dyDescent="0.25">
      <c r="AE11677">
        <v>39.28</v>
      </c>
    </row>
    <row r="11678" spans="31:31" x14ac:dyDescent="0.25">
      <c r="AE11678">
        <v>25.92</v>
      </c>
    </row>
    <row r="11679" spans="31:31" x14ac:dyDescent="0.25">
      <c r="AE11679">
        <v>19.940000000000001</v>
      </c>
    </row>
    <row r="11680" spans="31:31" x14ac:dyDescent="0.25">
      <c r="AE11680">
        <v>32.520000000000003</v>
      </c>
    </row>
    <row r="11681" spans="31:31" x14ac:dyDescent="0.25">
      <c r="AE11681">
        <v>81.239999999999995</v>
      </c>
    </row>
    <row r="11682" spans="31:31" x14ac:dyDescent="0.25">
      <c r="AE11682">
        <v>22.58</v>
      </c>
    </row>
    <row r="11683" spans="31:31" x14ac:dyDescent="0.25">
      <c r="AE11683">
        <v>16.68</v>
      </c>
    </row>
    <row r="11684" spans="31:31" x14ac:dyDescent="0.25">
      <c r="AE11684">
        <v>59.63</v>
      </c>
    </row>
    <row r="11685" spans="31:31" x14ac:dyDescent="0.25">
      <c r="AE11685">
        <v>21.74</v>
      </c>
    </row>
    <row r="11686" spans="31:31" x14ac:dyDescent="0.25">
      <c r="AE11686">
        <v>25.8</v>
      </c>
    </row>
    <row r="11687" spans="31:31" x14ac:dyDescent="0.25">
      <c r="AE11687">
        <v>61.25</v>
      </c>
    </row>
    <row r="11688" spans="31:31" x14ac:dyDescent="0.25">
      <c r="AE11688">
        <v>10.34</v>
      </c>
    </row>
    <row r="11689" spans="31:31" x14ac:dyDescent="0.25">
      <c r="AE11689">
        <v>21.06</v>
      </c>
    </row>
    <row r="11690" spans="31:31" x14ac:dyDescent="0.25">
      <c r="AE11690">
        <v>56.13</v>
      </c>
    </row>
    <row r="11691" spans="31:31" x14ac:dyDescent="0.25">
      <c r="AE11691">
        <v>10.83</v>
      </c>
    </row>
    <row r="11692" spans="31:31" x14ac:dyDescent="0.25">
      <c r="AE11692">
        <v>53.31</v>
      </c>
    </row>
    <row r="11693" spans="31:31" x14ac:dyDescent="0.25">
      <c r="AE11693">
        <v>99.89</v>
      </c>
    </row>
    <row r="11694" spans="31:31" x14ac:dyDescent="0.25">
      <c r="AE11694">
        <v>103.66</v>
      </c>
    </row>
    <row r="11695" spans="31:31" x14ac:dyDescent="0.25">
      <c r="AE11695">
        <v>35.26</v>
      </c>
    </row>
    <row r="11696" spans="31:31" x14ac:dyDescent="0.25">
      <c r="AE11696">
        <v>139.63999999999999</v>
      </c>
    </row>
    <row r="11697" spans="31:31" x14ac:dyDescent="0.25">
      <c r="AE11697">
        <v>7.58</v>
      </c>
    </row>
    <row r="11698" spans="31:31" x14ac:dyDescent="0.25">
      <c r="AE11698">
        <v>44.4</v>
      </c>
    </row>
    <row r="11699" spans="31:31" x14ac:dyDescent="0.25">
      <c r="AE11699">
        <v>33.020000000000003</v>
      </c>
    </row>
    <row r="11700" spans="31:31" x14ac:dyDescent="0.25">
      <c r="AE11700">
        <v>28.2</v>
      </c>
    </row>
    <row r="11701" spans="31:31" x14ac:dyDescent="0.25">
      <c r="AE11701">
        <v>24.59</v>
      </c>
    </row>
    <row r="11702" spans="31:31" x14ac:dyDescent="0.25">
      <c r="AE11702">
        <v>86.7</v>
      </c>
    </row>
    <row r="11703" spans="31:31" x14ac:dyDescent="0.25">
      <c r="AE11703">
        <v>145.49</v>
      </c>
    </row>
    <row r="11704" spans="31:31" x14ac:dyDescent="0.25">
      <c r="AE11704">
        <v>0.09</v>
      </c>
    </row>
    <row r="11705" spans="31:31" x14ac:dyDescent="0.25">
      <c r="AE11705">
        <v>0.72</v>
      </c>
    </row>
    <row r="11706" spans="31:31" x14ac:dyDescent="0.25">
      <c r="AE11706">
        <v>55.52</v>
      </c>
    </row>
    <row r="11707" spans="31:31" x14ac:dyDescent="0.25">
      <c r="AE11707">
        <v>61.33</v>
      </c>
    </row>
    <row r="11708" spans="31:31" x14ac:dyDescent="0.25">
      <c r="AE11708">
        <v>30.31</v>
      </c>
    </row>
    <row r="11709" spans="31:31" x14ac:dyDescent="0.25">
      <c r="AE11709">
        <v>110.22</v>
      </c>
    </row>
    <row r="11710" spans="31:31" x14ac:dyDescent="0.25">
      <c r="AE11710">
        <v>33.909999999999997</v>
      </c>
    </row>
    <row r="11711" spans="31:31" x14ac:dyDescent="0.25">
      <c r="AE11711">
        <v>9.99</v>
      </c>
    </row>
    <row r="11712" spans="31:31" x14ac:dyDescent="0.25">
      <c r="AE11712">
        <v>55.44</v>
      </c>
    </row>
    <row r="11713" spans="31:31" x14ac:dyDescent="0.25">
      <c r="AE11713">
        <v>70.3</v>
      </c>
    </row>
    <row r="11714" spans="31:31" x14ac:dyDescent="0.25">
      <c r="AE11714">
        <v>29.61</v>
      </c>
    </row>
    <row r="11715" spans="31:31" x14ac:dyDescent="0.25">
      <c r="AE11715">
        <v>45.08</v>
      </c>
    </row>
    <row r="11716" spans="31:31" x14ac:dyDescent="0.25">
      <c r="AE11716">
        <v>30.22</v>
      </c>
    </row>
    <row r="11717" spans="31:31" x14ac:dyDescent="0.25">
      <c r="AE11717">
        <v>29.55</v>
      </c>
    </row>
    <row r="11718" spans="31:31" x14ac:dyDescent="0.25">
      <c r="AE11718">
        <v>0.18</v>
      </c>
    </row>
    <row r="11719" spans="31:31" x14ac:dyDescent="0.25">
      <c r="AE11719">
        <v>58.78</v>
      </c>
    </row>
    <row r="11720" spans="31:31" x14ac:dyDescent="0.25">
      <c r="AE11720">
        <v>68.900000000000006</v>
      </c>
    </row>
    <row r="11721" spans="31:31" x14ac:dyDescent="0.25">
      <c r="AE11721">
        <v>58.89</v>
      </c>
    </row>
    <row r="11722" spans="31:31" x14ac:dyDescent="0.25">
      <c r="AE11722">
        <v>33.549999999999997</v>
      </c>
    </row>
    <row r="11723" spans="31:31" x14ac:dyDescent="0.25">
      <c r="AE11723">
        <v>65.599999999999994</v>
      </c>
    </row>
    <row r="11724" spans="31:31" x14ac:dyDescent="0.25">
      <c r="AE11724">
        <v>42.08</v>
      </c>
    </row>
    <row r="11725" spans="31:31" x14ac:dyDescent="0.25">
      <c r="AE11725">
        <v>63.46</v>
      </c>
    </row>
    <row r="11726" spans="31:31" x14ac:dyDescent="0.25">
      <c r="AE11726">
        <v>143.99</v>
      </c>
    </row>
    <row r="11727" spans="31:31" x14ac:dyDescent="0.25">
      <c r="AE11727">
        <v>43.73</v>
      </c>
    </row>
    <row r="11728" spans="31:31" x14ac:dyDescent="0.25">
      <c r="AE11728">
        <v>55.88</v>
      </c>
    </row>
    <row r="11729" spans="31:31" x14ac:dyDescent="0.25">
      <c r="AE11729">
        <v>0.09</v>
      </c>
    </row>
    <row r="11730" spans="31:31" x14ac:dyDescent="0.25">
      <c r="AE11730">
        <v>40.43</v>
      </c>
    </row>
    <row r="11731" spans="31:31" x14ac:dyDescent="0.25">
      <c r="AE11731">
        <v>185.46</v>
      </c>
    </row>
    <row r="11732" spans="31:31" x14ac:dyDescent="0.25">
      <c r="AE11732">
        <v>10.039999999999999</v>
      </c>
    </row>
    <row r="11733" spans="31:31" x14ac:dyDescent="0.25">
      <c r="AE11733">
        <v>144.41999999999999</v>
      </c>
    </row>
    <row r="11734" spans="31:31" x14ac:dyDescent="0.25">
      <c r="AE11734">
        <v>81.010000000000005</v>
      </c>
    </row>
    <row r="11735" spans="31:31" x14ac:dyDescent="0.25">
      <c r="AE11735">
        <v>58.29</v>
      </c>
    </row>
    <row r="11736" spans="31:31" x14ac:dyDescent="0.25">
      <c r="AE11736">
        <v>39.659999999999997</v>
      </c>
    </row>
    <row r="11737" spans="31:31" x14ac:dyDescent="0.25">
      <c r="AE11737">
        <v>137.41999999999999</v>
      </c>
    </row>
    <row r="11738" spans="31:31" x14ac:dyDescent="0.25">
      <c r="AE11738">
        <v>21.21</v>
      </c>
    </row>
    <row r="11739" spans="31:31" x14ac:dyDescent="0.25">
      <c r="AE11739">
        <v>19.100000000000001</v>
      </c>
    </row>
    <row r="11740" spans="31:31" x14ac:dyDescent="0.25">
      <c r="AE11740">
        <v>21.9</v>
      </c>
    </row>
    <row r="11741" spans="31:31" x14ac:dyDescent="0.25">
      <c r="AE11741">
        <v>78.489999999999995</v>
      </c>
    </row>
    <row r="11742" spans="31:31" x14ac:dyDescent="0.25">
      <c r="AE11742">
        <v>16.96</v>
      </c>
    </row>
    <row r="11743" spans="31:31" x14ac:dyDescent="0.25">
      <c r="AE11743">
        <v>87.63</v>
      </c>
    </row>
    <row r="11744" spans="31:31" x14ac:dyDescent="0.25">
      <c r="AE11744">
        <v>61</v>
      </c>
    </row>
    <row r="11745" spans="31:31" x14ac:dyDescent="0.25">
      <c r="AE11745">
        <v>35.590000000000003</v>
      </c>
    </row>
    <row r="11746" spans="31:31" x14ac:dyDescent="0.25">
      <c r="AE11746">
        <v>13.61</v>
      </c>
    </row>
    <row r="11747" spans="31:31" x14ac:dyDescent="0.25">
      <c r="AE11747">
        <v>34.03</v>
      </c>
    </row>
    <row r="11748" spans="31:31" x14ac:dyDescent="0.25">
      <c r="AE11748">
        <v>33.75</v>
      </c>
    </row>
    <row r="11749" spans="31:31" x14ac:dyDescent="0.25">
      <c r="AE11749">
        <v>73.540000000000006</v>
      </c>
    </row>
    <row r="11750" spans="31:31" x14ac:dyDescent="0.25">
      <c r="AE11750">
        <v>40.74</v>
      </c>
    </row>
    <row r="11751" spans="31:31" x14ac:dyDescent="0.25">
      <c r="AE11751">
        <v>50.47</v>
      </c>
    </row>
    <row r="11752" spans="31:31" x14ac:dyDescent="0.25">
      <c r="AE11752">
        <v>48.69</v>
      </c>
    </row>
    <row r="11753" spans="31:31" x14ac:dyDescent="0.25">
      <c r="AE11753">
        <v>13.1</v>
      </c>
    </row>
    <row r="11754" spans="31:31" x14ac:dyDescent="0.25">
      <c r="AE11754">
        <v>0.18</v>
      </c>
    </row>
    <row r="11755" spans="31:31" x14ac:dyDescent="0.25">
      <c r="AE11755">
        <v>25.91</v>
      </c>
    </row>
    <row r="11756" spans="31:31" x14ac:dyDescent="0.25">
      <c r="AE11756">
        <v>23.13</v>
      </c>
    </row>
    <row r="11757" spans="31:31" x14ac:dyDescent="0.25">
      <c r="AE11757">
        <v>84.6</v>
      </c>
    </row>
    <row r="11758" spans="31:31" x14ac:dyDescent="0.25">
      <c r="AE11758">
        <v>85.48</v>
      </c>
    </row>
    <row r="11759" spans="31:31" x14ac:dyDescent="0.25">
      <c r="AE11759">
        <v>2.16</v>
      </c>
    </row>
    <row r="11760" spans="31:31" x14ac:dyDescent="0.25">
      <c r="AE11760">
        <v>53.56</v>
      </c>
    </row>
    <row r="11761" spans="31:31" x14ac:dyDescent="0.25">
      <c r="AE11761">
        <v>15.47</v>
      </c>
    </row>
    <row r="11762" spans="31:31" x14ac:dyDescent="0.25">
      <c r="AE11762">
        <v>46.71</v>
      </c>
    </row>
    <row r="11763" spans="31:31" x14ac:dyDescent="0.25">
      <c r="AE11763">
        <v>36.17</v>
      </c>
    </row>
    <row r="11764" spans="31:31" x14ac:dyDescent="0.25">
      <c r="AE11764">
        <v>9.44</v>
      </c>
    </row>
    <row r="11765" spans="31:31" x14ac:dyDescent="0.25">
      <c r="AE11765">
        <v>75.98</v>
      </c>
    </row>
    <row r="11766" spans="31:31" x14ac:dyDescent="0.25">
      <c r="AE11766">
        <v>136.91999999999999</v>
      </c>
    </row>
    <row r="11767" spans="31:31" x14ac:dyDescent="0.25">
      <c r="AE11767">
        <v>61.1</v>
      </c>
    </row>
    <row r="11768" spans="31:31" x14ac:dyDescent="0.25">
      <c r="AE11768">
        <v>62.29</v>
      </c>
    </row>
    <row r="11769" spans="31:31" x14ac:dyDescent="0.25">
      <c r="AE11769">
        <v>69.959999999999994</v>
      </c>
    </row>
    <row r="11770" spans="31:31" x14ac:dyDescent="0.25">
      <c r="AE11770">
        <v>45.33</v>
      </c>
    </row>
    <row r="11771" spans="31:31" x14ac:dyDescent="0.25">
      <c r="AE11771">
        <v>39.15</v>
      </c>
    </row>
    <row r="11772" spans="31:31" x14ac:dyDescent="0.25">
      <c r="AE11772">
        <v>44.87</v>
      </c>
    </row>
    <row r="11773" spans="31:31" x14ac:dyDescent="0.25">
      <c r="AE11773">
        <v>2.52</v>
      </c>
    </row>
    <row r="11774" spans="31:31" x14ac:dyDescent="0.25">
      <c r="AE11774">
        <v>91.39</v>
      </c>
    </row>
    <row r="11775" spans="31:31" x14ac:dyDescent="0.25">
      <c r="AE11775">
        <v>5.05</v>
      </c>
    </row>
    <row r="11776" spans="31:31" x14ac:dyDescent="0.25">
      <c r="AE11776">
        <v>35.36</v>
      </c>
    </row>
    <row r="11777" spans="31:31" x14ac:dyDescent="0.25">
      <c r="AE11777">
        <v>30.6</v>
      </c>
    </row>
    <row r="11778" spans="31:31" x14ac:dyDescent="0.25">
      <c r="AE11778">
        <v>31.66</v>
      </c>
    </row>
    <row r="11779" spans="31:31" x14ac:dyDescent="0.25">
      <c r="AE11779">
        <v>11.56</v>
      </c>
    </row>
    <row r="11780" spans="31:31" x14ac:dyDescent="0.25">
      <c r="AE11780">
        <v>20.58</v>
      </c>
    </row>
    <row r="11781" spans="31:31" x14ac:dyDescent="0.25">
      <c r="AE11781">
        <v>9.67</v>
      </c>
    </row>
    <row r="11782" spans="31:31" x14ac:dyDescent="0.25">
      <c r="AE11782">
        <v>10.14</v>
      </c>
    </row>
    <row r="11783" spans="31:31" x14ac:dyDescent="0.25">
      <c r="AE11783">
        <v>36.57</v>
      </c>
    </row>
    <row r="11784" spans="31:31" x14ac:dyDescent="0.25">
      <c r="AE11784">
        <v>30.17</v>
      </c>
    </row>
    <row r="11785" spans="31:31" x14ac:dyDescent="0.25">
      <c r="AE11785">
        <v>19.5</v>
      </c>
    </row>
    <row r="11786" spans="31:31" x14ac:dyDescent="0.25">
      <c r="AE11786">
        <v>37.29</v>
      </c>
    </row>
    <row r="11787" spans="31:31" x14ac:dyDescent="0.25">
      <c r="AE11787">
        <v>191.32</v>
      </c>
    </row>
    <row r="11788" spans="31:31" x14ac:dyDescent="0.25">
      <c r="AE11788">
        <v>46.75</v>
      </c>
    </row>
    <row r="11789" spans="31:31" x14ac:dyDescent="0.25">
      <c r="AE11789">
        <v>47.56</v>
      </c>
    </row>
    <row r="11790" spans="31:31" x14ac:dyDescent="0.25">
      <c r="AE11790">
        <v>60.9</v>
      </c>
    </row>
    <row r="11791" spans="31:31" x14ac:dyDescent="0.25">
      <c r="AE11791">
        <v>43.8</v>
      </c>
    </row>
    <row r="11792" spans="31:31" x14ac:dyDescent="0.25">
      <c r="AE11792">
        <v>66.930000000000007</v>
      </c>
    </row>
    <row r="11793" spans="31:31" x14ac:dyDescent="0.25">
      <c r="AE11793">
        <v>11.57</v>
      </c>
    </row>
    <row r="11794" spans="31:31" x14ac:dyDescent="0.25">
      <c r="AE11794">
        <v>125.27</v>
      </c>
    </row>
    <row r="11795" spans="31:31" x14ac:dyDescent="0.25">
      <c r="AE11795">
        <v>40.6</v>
      </c>
    </row>
    <row r="11796" spans="31:31" x14ac:dyDescent="0.25">
      <c r="AE11796">
        <v>2.77</v>
      </c>
    </row>
    <row r="11797" spans="31:31" x14ac:dyDescent="0.25">
      <c r="AE11797">
        <v>11.56</v>
      </c>
    </row>
    <row r="11798" spans="31:31" x14ac:dyDescent="0.25">
      <c r="AE11798">
        <v>79.650000000000006</v>
      </c>
    </row>
    <row r="11799" spans="31:31" x14ac:dyDescent="0.25">
      <c r="AE11799">
        <v>85.13</v>
      </c>
    </row>
    <row r="11800" spans="31:31" x14ac:dyDescent="0.25">
      <c r="AE11800">
        <v>20.440000000000001</v>
      </c>
    </row>
    <row r="11801" spans="31:31" x14ac:dyDescent="0.25">
      <c r="AE11801">
        <v>117.92</v>
      </c>
    </row>
    <row r="11802" spans="31:31" x14ac:dyDescent="0.25">
      <c r="AE11802">
        <v>193.86</v>
      </c>
    </row>
    <row r="11803" spans="31:31" x14ac:dyDescent="0.25">
      <c r="AE11803">
        <v>81.180000000000007</v>
      </c>
    </row>
    <row r="11804" spans="31:31" x14ac:dyDescent="0.25">
      <c r="AE11804">
        <v>11.65</v>
      </c>
    </row>
    <row r="11805" spans="31:31" x14ac:dyDescent="0.25">
      <c r="AE11805">
        <v>73.16</v>
      </c>
    </row>
    <row r="11806" spans="31:31" x14ac:dyDescent="0.25">
      <c r="AE11806">
        <v>17.489999999999998</v>
      </c>
    </row>
    <row r="11807" spans="31:31" x14ac:dyDescent="0.25">
      <c r="AE11807">
        <v>17.75</v>
      </c>
    </row>
    <row r="11808" spans="31:31" x14ac:dyDescent="0.25">
      <c r="AE11808">
        <v>79.36</v>
      </c>
    </row>
    <row r="11809" spans="31:31" x14ac:dyDescent="0.25">
      <c r="AE11809">
        <v>127.46</v>
      </c>
    </row>
    <row r="11810" spans="31:31" x14ac:dyDescent="0.25">
      <c r="AE11810">
        <v>0.09</v>
      </c>
    </row>
    <row r="11811" spans="31:31" x14ac:dyDescent="0.25">
      <c r="AE11811">
        <v>50.31</v>
      </c>
    </row>
    <row r="11812" spans="31:31" x14ac:dyDescent="0.25">
      <c r="AE11812">
        <v>10.34</v>
      </c>
    </row>
    <row r="11813" spans="31:31" x14ac:dyDescent="0.25">
      <c r="AE11813">
        <v>66.430000000000007</v>
      </c>
    </row>
    <row r="11814" spans="31:31" x14ac:dyDescent="0.25">
      <c r="AE11814">
        <v>30.06</v>
      </c>
    </row>
    <row r="11815" spans="31:31" x14ac:dyDescent="0.25">
      <c r="AE11815">
        <v>67.010000000000005</v>
      </c>
    </row>
    <row r="11816" spans="31:31" x14ac:dyDescent="0.25">
      <c r="AE11816">
        <v>0.27</v>
      </c>
    </row>
    <row r="11817" spans="31:31" x14ac:dyDescent="0.25">
      <c r="AE11817">
        <v>64.87</v>
      </c>
    </row>
    <row r="11818" spans="31:31" x14ac:dyDescent="0.25">
      <c r="AE11818">
        <v>42.88</v>
      </c>
    </row>
    <row r="11819" spans="31:31" x14ac:dyDescent="0.25">
      <c r="AE11819">
        <v>31.27</v>
      </c>
    </row>
    <row r="11820" spans="31:31" x14ac:dyDescent="0.25">
      <c r="AE11820">
        <v>17.850000000000001</v>
      </c>
    </row>
    <row r="11821" spans="31:31" x14ac:dyDescent="0.25">
      <c r="AE11821">
        <v>107.84</v>
      </c>
    </row>
    <row r="11822" spans="31:31" x14ac:dyDescent="0.25">
      <c r="AE11822">
        <v>164.02</v>
      </c>
    </row>
    <row r="11823" spans="31:31" x14ac:dyDescent="0.25">
      <c r="AE11823">
        <v>53.12</v>
      </c>
    </row>
    <row r="11824" spans="31:31" x14ac:dyDescent="0.25">
      <c r="AE11824">
        <v>100.91</v>
      </c>
    </row>
    <row r="11825" spans="31:31" x14ac:dyDescent="0.25">
      <c r="AE11825">
        <v>20.46</v>
      </c>
    </row>
    <row r="11826" spans="31:31" x14ac:dyDescent="0.25">
      <c r="AE11826">
        <v>77.53</v>
      </c>
    </row>
    <row r="11827" spans="31:31" x14ac:dyDescent="0.25">
      <c r="AE11827">
        <v>59.51</v>
      </c>
    </row>
    <row r="11828" spans="31:31" x14ac:dyDescent="0.25">
      <c r="AE11828">
        <v>142.01</v>
      </c>
    </row>
    <row r="11829" spans="31:31" x14ac:dyDescent="0.25">
      <c r="AE11829">
        <v>42.24</v>
      </c>
    </row>
    <row r="11830" spans="31:31" x14ac:dyDescent="0.25">
      <c r="AE11830">
        <v>11.89</v>
      </c>
    </row>
    <row r="11831" spans="31:31" x14ac:dyDescent="0.25">
      <c r="AE11831">
        <v>38.17</v>
      </c>
    </row>
    <row r="11832" spans="31:31" x14ac:dyDescent="0.25">
      <c r="AE11832">
        <v>29.69</v>
      </c>
    </row>
    <row r="11833" spans="31:31" x14ac:dyDescent="0.25">
      <c r="AE11833">
        <v>414.68</v>
      </c>
    </row>
    <row r="11834" spans="31:31" x14ac:dyDescent="0.25">
      <c r="AE11834">
        <v>19.77</v>
      </c>
    </row>
    <row r="11835" spans="31:31" x14ac:dyDescent="0.25">
      <c r="AE11835">
        <v>52.21</v>
      </c>
    </row>
    <row r="11836" spans="31:31" x14ac:dyDescent="0.25">
      <c r="AE11836">
        <v>0.09</v>
      </c>
    </row>
    <row r="11837" spans="31:31" x14ac:dyDescent="0.25">
      <c r="AE11837">
        <v>87.69</v>
      </c>
    </row>
    <row r="11838" spans="31:31" x14ac:dyDescent="0.25">
      <c r="AE11838">
        <v>37.4</v>
      </c>
    </row>
    <row r="11839" spans="31:31" x14ac:dyDescent="0.25">
      <c r="AE11839">
        <v>67.25</v>
      </c>
    </row>
    <row r="11840" spans="31:31" x14ac:dyDescent="0.25">
      <c r="AE11840">
        <v>156.80000000000001</v>
      </c>
    </row>
    <row r="11841" spans="31:31" x14ac:dyDescent="0.25">
      <c r="AE11841">
        <v>98.09</v>
      </c>
    </row>
    <row r="11842" spans="31:31" x14ac:dyDescent="0.25">
      <c r="AE11842">
        <v>52.68</v>
      </c>
    </row>
    <row r="11843" spans="31:31" x14ac:dyDescent="0.25">
      <c r="AE11843">
        <v>17.329999999999998</v>
      </c>
    </row>
    <row r="11844" spans="31:31" x14ac:dyDescent="0.25">
      <c r="AE11844">
        <v>11.65</v>
      </c>
    </row>
    <row r="11845" spans="31:31" x14ac:dyDescent="0.25">
      <c r="AE11845">
        <v>99.23</v>
      </c>
    </row>
    <row r="11846" spans="31:31" x14ac:dyDescent="0.25">
      <c r="AE11846">
        <v>16.29</v>
      </c>
    </row>
    <row r="11847" spans="31:31" x14ac:dyDescent="0.25">
      <c r="AE11847">
        <v>26.54</v>
      </c>
    </row>
    <row r="11848" spans="31:31" x14ac:dyDescent="0.25">
      <c r="AE11848">
        <v>50.67</v>
      </c>
    </row>
    <row r="11849" spans="31:31" x14ac:dyDescent="0.25">
      <c r="AE11849">
        <v>45.32</v>
      </c>
    </row>
    <row r="11850" spans="31:31" x14ac:dyDescent="0.25">
      <c r="AE11850">
        <v>22.2</v>
      </c>
    </row>
    <row r="11851" spans="31:31" x14ac:dyDescent="0.25">
      <c r="AE11851">
        <v>149.53</v>
      </c>
    </row>
    <row r="11852" spans="31:31" x14ac:dyDescent="0.25">
      <c r="AE11852">
        <v>90.7</v>
      </c>
    </row>
    <row r="11853" spans="31:31" x14ac:dyDescent="0.25">
      <c r="AE11853">
        <v>28.91</v>
      </c>
    </row>
    <row r="11854" spans="31:31" x14ac:dyDescent="0.25">
      <c r="AE11854">
        <v>72.34</v>
      </c>
    </row>
    <row r="11855" spans="31:31" x14ac:dyDescent="0.25">
      <c r="AE11855">
        <v>58.47</v>
      </c>
    </row>
    <row r="11856" spans="31:31" x14ac:dyDescent="0.25">
      <c r="AE11856">
        <v>27.03</v>
      </c>
    </row>
    <row r="11857" spans="31:31" x14ac:dyDescent="0.25">
      <c r="AE11857">
        <v>17.510000000000002</v>
      </c>
    </row>
    <row r="11858" spans="31:31" x14ac:dyDescent="0.25">
      <c r="AE11858">
        <v>42.41</v>
      </c>
    </row>
    <row r="11859" spans="31:31" x14ac:dyDescent="0.25">
      <c r="AE11859">
        <v>99.58</v>
      </c>
    </row>
    <row r="11860" spans="31:31" x14ac:dyDescent="0.25">
      <c r="AE11860">
        <v>0.27</v>
      </c>
    </row>
    <row r="11861" spans="31:31" x14ac:dyDescent="0.25">
      <c r="AE11861">
        <v>52.32</v>
      </c>
    </row>
    <row r="11862" spans="31:31" x14ac:dyDescent="0.25">
      <c r="AE11862">
        <v>22.19</v>
      </c>
    </row>
    <row r="11863" spans="31:31" x14ac:dyDescent="0.25">
      <c r="AE11863">
        <v>223.18</v>
      </c>
    </row>
    <row r="11864" spans="31:31" x14ac:dyDescent="0.25">
      <c r="AE11864">
        <v>0.45</v>
      </c>
    </row>
    <row r="11865" spans="31:31" x14ac:dyDescent="0.25">
      <c r="AE11865">
        <v>3.38</v>
      </c>
    </row>
    <row r="11866" spans="31:31" x14ac:dyDescent="0.25">
      <c r="AE11866">
        <v>39.9</v>
      </c>
    </row>
    <row r="11867" spans="31:31" x14ac:dyDescent="0.25">
      <c r="AE11867">
        <v>37.61</v>
      </c>
    </row>
    <row r="11868" spans="31:31" x14ac:dyDescent="0.25">
      <c r="AE11868">
        <v>48.34</v>
      </c>
    </row>
    <row r="11869" spans="31:31" x14ac:dyDescent="0.25">
      <c r="AE11869">
        <v>20.149999999999999</v>
      </c>
    </row>
    <row r="11870" spans="31:31" x14ac:dyDescent="0.25">
      <c r="AE11870">
        <v>44.38</v>
      </c>
    </row>
    <row r="11871" spans="31:31" x14ac:dyDescent="0.25">
      <c r="AE11871">
        <v>212.06</v>
      </c>
    </row>
    <row r="11872" spans="31:31" x14ac:dyDescent="0.25">
      <c r="AE11872">
        <v>122.8</v>
      </c>
    </row>
    <row r="11873" spans="31:31" x14ac:dyDescent="0.25">
      <c r="AE11873">
        <v>101.93</v>
      </c>
    </row>
    <row r="11874" spans="31:31" x14ac:dyDescent="0.25">
      <c r="AE11874">
        <v>87.21</v>
      </c>
    </row>
    <row r="11875" spans="31:31" x14ac:dyDescent="0.25">
      <c r="AE11875">
        <v>135.02000000000001</v>
      </c>
    </row>
    <row r="11876" spans="31:31" x14ac:dyDescent="0.25">
      <c r="AE11876">
        <v>10.19</v>
      </c>
    </row>
    <row r="11877" spans="31:31" x14ac:dyDescent="0.25">
      <c r="AE11877">
        <v>89.9</v>
      </c>
    </row>
    <row r="11878" spans="31:31" x14ac:dyDescent="0.25">
      <c r="AE11878">
        <v>14.06</v>
      </c>
    </row>
    <row r="11879" spans="31:31" x14ac:dyDescent="0.25">
      <c r="AE11879">
        <v>62.15</v>
      </c>
    </row>
    <row r="11880" spans="31:31" x14ac:dyDescent="0.25">
      <c r="AE11880">
        <v>68.52</v>
      </c>
    </row>
    <row r="11881" spans="31:31" x14ac:dyDescent="0.25">
      <c r="AE11881">
        <v>60.11</v>
      </c>
    </row>
    <row r="11882" spans="31:31" x14ac:dyDescent="0.25">
      <c r="AE11882">
        <v>74.08</v>
      </c>
    </row>
    <row r="11883" spans="31:31" x14ac:dyDescent="0.25">
      <c r="AE11883">
        <v>45.08</v>
      </c>
    </row>
    <row r="11884" spans="31:31" x14ac:dyDescent="0.25">
      <c r="AE11884">
        <v>134.69</v>
      </c>
    </row>
    <row r="11885" spans="31:31" x14ac:dyDescent="0.25">
      <c r="AE11885">
        <v>27.57</v>
      </c>
    </row>
    <row r="11886" spans="31:31" x14ac:dyDescent="0.25">
      <c r="AE11886">
        <v>32.28</v>
      </c>
    </row>
    <row r="11887" spans="31:31" x14ac:dyDescent="0.25">
      <c r="AE11887">
        <v>48.18</v>
      </c>
    </row>
    <row r="11888" spans="31:31" x14ac:dyDescent="0.25">
      <c r="AE11888">
        <v>34.659999999999997</v>
      </c>
    </row>
    <row r="11889" spans="31:31" x14ac:dyDescent="0.25">
      <c r="AE11889">
        <v>61.22</v>
      </c>
    </row>
    <row r="11890" spans="31:31" x14ac:dyDescent="0.25">
      <c r="AE11890">
        <v>31.47</v>
      </c>
    </row>
    <row r="11891" spans="31:31" x14ac:dyDescent="0.25">
      <c r="AE11891">
        <v>10.09</v>
      </c>
    </row>
    <row r="11892" spans="31:31" x14ac:dyDescent="0.25">
      <c r="AE11892">
        <v>45.18</v>
      </c>
    </row>
    <row r="11893" spans="31:31" x14ac:dyDescent="0.25">
      <c r="AE11893">
        <v>44.89</v>
      </c>
    </row>
    <row r="11894" spans="31:31" x14ac:dyDescent="0.25">
      <c r="AE11894">
        <v>170.76</v>
      </c>
    </row>
    <row r="11895" spans="31:31" x14ac:dyDescent="0.25">
      <c r="AE11895">
        <v>38.380000000000003</v>
      </c>
    </row>
    <row r="11896" spans="31:31" x14ac:dyDescent="0.25">
      <c r="AE11896">
        <v>0.15</v>
      </c>
    </row>
    <row r="11897" spans="31:31" x14ac:dyDescent="0.25">
      <c r="AE11897">
        <v>11.28</v>
      </c>
    </row>
    <row r="11898" spans="31:31" x14ac:dyDescent="0.25">
      <c r="AE11898">
        <v>18.64</v>
      </c>
    </row>
    <row r="11899" spans="31:31" x14ac:dyDescent="0.25">
      <c r="AE11899">
        <v>32.72</v>
      </c>
    </row>
    <row r="11900" spans="31:31" x14ac:dyDescent="0.25">
      <c r="AE11900">
        <v>7.06</v>
      </c>
    </row>
    <row r="11901" spans="31:31" x14ac:dyDescent="0.25">
      <c r="AE11901">
        <v>99.05</v>
      </c>
    </row>
    <row r="11902" spans="31:31" x14ac:dyDescent="0.25">
      <c r="AE11902">
        <v>56.62</v>
      </c>
    </row>
    <row r="11903" spans="31:31" x14ac:dyDescent="0.25">
      <c r="AE11903">
        <v>49.6</v>
      </c>
    </row>
    <row r="11904" spans="31:31" x14ac:dyDescent="0.25">
      <c r="AE11904">
        <v>97.28</v>
      </c>
    </row>
    <row r="11905" spans="31:31" x14ac:dyDescent="0.25">
      <c r="AE11905">
        <v>27.47</v>
      </c>
    </row>
    <row r="11906" spans="31:31" x14ac:dyDescent="0.25">
      <c r="AE11906">
        <v>122.71</v>
      </c>
    </row>
    <row r="11907" spans="31:31" x14ac:dyDescent="0.25">
      <c r="AE11907">
        <v>0.99</v>
      </c>
    </row>
    <row r="11908" spans="31:31" x14ac:dyDescent="0.25">
      <c r="AE11908">
        <v>45.82</v>
      </c>
    </row>
    <row r="11909" spans="31:31" x14ac:dyDescent="0.25">
      <c r="AE11909">
        <v>31.08</v>
      </c>
    </row>
    <row r="11910" spans="31:31" x14ac:dyDescent="0.25">
      <c r="AE11910">
        <v>58.17</v>
      </c>
    </row>
    <row r="11911" spans="31:31" x14ac:dyDescent="0.25">
      <c r="AE11911">
        <v>15.52</v>
      </c>
    </row>
    <row r="11912" spans="31:31" x14ac:dyDescent="0.25">
      <c r="AE11912">
        <v>171.87</v>
      </c>
    </row>
    <row r="11913" spans="31:31" x14ac:dyDescent="0.25">
      <c r="AE11913">
        <v>235.54</v>
      </c>
    </row>
    <row r="11914" spans="31:31" x14ac:dyDescent="0.25">
      <c r="AE11914">
        <v>35.21</v>
      </c>
    </row>
    <row r="11915" spans="31:31" x14ac:dyDescent="0.25">
      <c r="AE11915">
        <v>66.02</v>
      </c>
    </row>
    <row r="11916" spans="31:31" x14ac:dyDescent="0.25">
      <c r="AE11916">
        <v>165.43</v>
      </c>
    </row>
    <row r="11917" spans="31:31" x14ac:dyDescent="0.25">
      <c r="AE11917">
        <v>190.26</v>
      </c>
    </row>
    <row r="11918" spans="31:31" x14ac:dyDescent="0.25">
      <c r="AE11918">
        <v>31.01</v>
      </c>
    </row>
    <row r="11919" spans="31:31" x14ac:dyDescent="0.25">
      <c r="AE11919">
        <v>361.5</v>
      </c>
    </row>
    <row r="11920" spans="31:31" x14ac:dyDescent="0.25">
      <c r="AE11920">
        <v>21.95</v>
      </c>
    </row>
    <row r="11921" spans="31:31" x14ac:dyDescent="0.25">
      <c r="AE11921">
        <v>9.2100000000000009</v>
      </c>
    </row>
    <row r="11922" spans="31:31" x14ac:dyDescent="0.25">
      <c r="AE11922">
        <v>0.18</v>
      </c>
    </row>
    <row r="11923" spans="31:31" x14ac:dyDescent="0.25">
      <c r="AE11923">
        <v>38.619999999999997</v>
      </c>
    </row>
    <row r="11924" spans="31:31" x14ac:dyDescent="0.25">
      <c r="AE11924">
        <v>10.49</v>
      </c>
    </row>
    <row r="11925" spans="31:31" x14ac:dyDescent="0.25">
      <c r="AE11925">
        <v>60.52</v>
      </c>
    </row>
    <row r="11926" spans="31:31" x14ac:dyDescent="0.25">
      <c r="AE11926">
        <v>21.93</v>
      </c>
    </row>
    <row r="11927" spans="31:31" x14ac:dyDescent="0.25">
      <c r="AE11927">
        <v>27.7</v>
      </c>
    </row>
    <row r="11928" spans="31:31" x14ac:dyDescent="0.25">
      <c r="AE11928">
        <v>21.9</v>
      </c>
    </row>
    <row r="11929" spans="31:31" x14ac:dyDescent="0.25">
      <c r="AE11929">
        <v>46.41</v>
      </c>
    </row>
    <row r="11930" spans="31:31" x14ac:dyDescent="0.25">
      <c r="AE11930">
        <v>24.65</v>
      </c>
    </row>
    <row r="11931" spans="31:31" x14ac:dyDescent="0.25">
      <c r="AE11931">
        <v>9.99</v>
      </c>
    </row>
    <row r="11932" spans="31:31" x14ac:dyDescent="0.25">
      <c r="AE11932">
        <v>52.55</v>
      </c>
    </row>
    <row r="11933" spans="31:31" x14ac:dyDescent="0.25">
      <c r="AE11933">
        <v>17.98</v>
      </c>
    </row>
    <row r="11934" spans="31:31" x14ac:dyDescent="0.25">
      <c r="AE11934">
        <v>28.91</v>
      </c>
    </row>
    <row r="11935" spans="31:31" x14ac:dyDescent="0.25">
      <c r="AE11935">
        <v>201.38</v>
      </c>
    </row>
    <row r="11936" spans="31:31" x14ac:dyDescent="0.25">
      <c r="AE11936">
        <v>10.14</v>
      </c>
    </row>
    <row r="11937" spans="31:31" x14ac:dyDescent="0.25">
      <c r="AE11937">
        <v>15.85</v>
      </c>
    </row>
    <row r="11938" spans="31:31" x14ac:dyDescent="0.25">
      <c r="AE11938">
        <v>65.61</v>
      </c>
    </row>
    <row r="11939" spans="31:31" x14ac:dyDescent="0.25">
      <c r="AE11939">
        <v>48.31</v>
      </c>
    </row>
    <row r="11940" spans="31:31" x14ac:dyDescent="0.25">
      <c r="AE11940">
        <v>14.53</v>
      </c>
    </row>
    <row r="11941" spans="31:31" x14ac:dyDescent="0.25">
      <c r="AE11941">
        <v>32.36</v>
      </c>
    </row>
    <row r="11942" spans="31:31" x14ac:dyDescent="0.25">
      <c r="AE11942">
        <v>17.170000000000002</v>
      </c>
    </row>
    <row r="11943" spans="31:31" x14ac:dyDescent="0.25">
      <c r="AE11943">
        <v>60.11</v>
      </c>
    </row>
    <row r="11944" spans="31:31" x14ac:dyDescent="0.25">
      <c r="AE11944">
        <v>25.03</v>
      </c>
    </row>
    <row r="11945" spans="31:31" x14ac:dyDescent="0.25">
      <c r="AE11945">
        <v>24.2</v>
      </c>
    </row>
    <row r="11946" spans="31:31" x14ac:dyDescent="0.25">
      <c r="AE11946">
        <v>56.1</v>
      </c>
    </row>
    <row r="11947" spans="31:31" x14ac:dyDescent="0.25">
      <c r="AE11947">
        <v>38.520000000000003</v>
      </c>
    </row>
    <row r="11948" spans="31:31" x14ac:dyDescent="0.25">
      <c r="AE11948">
        <v>39.76</v>
      </c>
    </row>
    <row r="11949" spans="31:31" x14ac:dyDescent="0.25">
      <c r="AE11949">
        <v>73.44</v>
      </c>
    </row>
    <row r="11950" spans="31:31" x14ac:dyDescent="0.25">
      <c r="AE11950">
        <v>68.150000000000006</v>
      </c>
    </row>
    <row r="11951" spans="31:31" x14ac:dyDescent="0.25">
      <c r="AE11951">
        <v>14.68</v>
      </c>
    </row>
    <row r="11952" spans="31:31" x14ac:dyDescent="0.25">
      <c r="AE11952">
        <v>38.35</v>
      </c>
    </row>
    <row r="11953" spans="31:31" x14ac:dyDescent="0.25">
      <c r="AE11953">
        <v>91.25</v>
      </c>
    </row>
    <row r="11954" spans="31:31" x14ac:dyDescent="0.25">
      <c r="AE11954">
        <v>30.24</v>
      </c>
    </row>
    <row r="11955" spans="31:31" x14ac:dyDescent="0.25">
      <c r="AE11955">
        <v>187.04</v>
      </c>
    </row>
    <row r="11956" spans="31:31" x14ac:dyDescent="0.25">
      <c r="AE11956">
        <v>6.69</v>
      </c>
    </row>
    <row r="11957" spans="31:31" x14ac:dyDescent="0.25">
      <c r="AE11957">
        <v>27.32</v>
      </c>
    </row>
    <row r="11958" spans="31:31" x14ac:dyDescent="0.25">
      <c r="AE11958">
        <v>26.05</v>
      </c>
    </row>
    <row r="11959" spans="31:31" x14ac:dyDescent="0.25">
      <c r="AE11959">
        <v>47.31</v>
      </c>
    </row>
    <row r="11960" spans="31:31" x14ac:dyDescent="0.25">
      <c r="AE11960">
        <v>238.58</v>
      </c>
    </row>
    <row r="11961" spans="31:31" x14ac:dyDescent="0.25">
      <c r="AE11961">
        <v>34.33</v>
      </c>
    </row>
    <row r="11962" spans="31:31" x14ac:dyDescent="0.25">
      <c r="AE11962">
        <v>11.56</v>
      </c>
    </row>
    <row r="11963" spans="31:31" x14ac:dyDescent="0.25">
      <c r="AE11963">
        <v>36.950000000000003</v>
      </c>
    </row>
    <row r="11964" spans="31:31" x14ac:dyDescent="0.25">
      <c r="AE11964">
        <v>10.59</v>
      </c>
    </row>
    <row r="11965" spans="31:31" x14ac:dyDescent="0.25">
      <c r="AE11965">
        <v>175.73</v>
      </c>
    </row>
    <row r="11966" spans="31:31" x14ac:dyDescent="0.25">
      <c r="AE11966">
        <v>22.5</v>
      </c>
    </row>
    <row r="11967" spans="31:31" x14ac:dyDescent="0.25">
      <c r="AE11967">
        <v>58.58</v>
      </c>
    </row>
    <row r="11968" spans="31:31" x14ac:dyDescent="0.25">
      <c r="AE11968">
        <v>40.89</v>
      </c>
    </row>
    <row r="11969" spans="31:31" x14ac:dyDescent="0.25">
      <c r="AE11969">
        <v>93.87</v>
      </c>
    </row>
    <row r="11970" spans="31:31" x14ac:dyDescent="0.25">
      <c r="AE11970">
        <v>41.59</v>
      </c>
    </row>
    <row r="11971" spans="31:31" x14ac:dyDescent="0.25">
      <c r="AE11971">
        <v>71.97</v>
      </c>
    </row>
    <row r="11972" spans="31:31" x14ac:dyDescent="0.25">
      <c r="AE11972">
        <v>62.83</v>
      </c>
    </row>
    <row r="11973" spans="31:31" x14ac:dyDescent="0.25">
      <c r="AE11973">
        <v>70.8</v>
      </c>
    </row>
    <row r="11974" spans="31:31" x14ac:dyDescent="0.25">
      <c r="AE11974">
        <v>41.33</v>
      </c>
    </row>
    <row r="11975" spans="31:31" x14ac:dyDescent="0.25">
      <c r="AE11975">
        <v>15.39</v>
      </c>
    </row>
    <row r="11976" spans="31:31" x14ac:dyDescent="0.25">
      <c r="AE11976">
        <v>104.12</v>
      </c>
    </row>
    <row r="11977" spans="31:31" x14ac:dyDescent="0.25">
      <c r="AE11977">
        <v>35.56</v>
      </c>
    </row>
    <row r="11978" spans="31:31" x14ac:dyDescent="0.25">
      <c r="AE11978">
        <v>83.85</v>
      </c>
    </row>
    <row r="11979" spans="31:31" x14ac:dyDescent="0.25">
      <c r="AE11979">
        <v>67.260000000000005</v>
      </c>
    </row>
    <row r="11980" spans="31:31" x14ac:dyDescent="0.25">
      <c r="AE11980">
        <v>7.9</v>
      </c>
    </row>
    <row r="11981" spans="31:31" x14ac:dyDescent="0.25">
      <c r="AE11981">
        <v>57.33</v>
      </c>
    </row>
    <row r="11982" spans="31:31" x14ac:dyDescent="0.25">
      <c r="AE11982">
        <v>10.24</v>
      </c>
    </row>
    <row r="11983" spans="31:31" x14ac:dyDescent="0.25">
      <c r="AE11983">
        <v>7.06</v>
      </c>
    </row>
    <row r="11984" spans="31:31" x14ac:dyDescent="0.25">
      <c r="AE11984">
        <v>44.38</v>
      </c>
    </row>
    <row r="11985" spans="31:31" x14ac:dyDescent="0.25">
      <c r="AE11985">
        <v>49.42</v>
      </c>
    </row>
    <row r="11986" spans="31:31" x14ac:dyDescent="0.25">
      <c r="AE11986">
        <v>181.91</v>
      </c>
    </row>
    <row r="11987" spans="31:31" x14ac:dyDescent="0.25">
      <c r="AE11987">
        <v>17.34</v>
      </c>
    </row>
    <row r="11988" spans="31:31" x14ac:dyDescent="0.25">
      <c r="AE11988">
        <v>27.61</v>
      </c>
    </row>
    <row r="11989" spans="31:31" x14ac:dyDescent="0.25">
      <c r="AE11989">
        <v>24.63</v>
      </c>
    </row>
    <row r="11990" spans="31:31" x14ac:dyDescent="0.25">
      <c r="AE11990">
        <v>25.23</v>
      </c>
    </row>
    <row r="11991" spans="31:31" x14ac:dyDescent="0.25">
      <c r="AE11991">
        <v>280.97000000000003</v>
      </c>
    </row>
    <row r="11992" spans="31:31" x14ac:dyDescent="0.25">
      <c r="AE11992">
        <v>20.329999999999998</v>
      </c>
    </row>
    <row r="11993" spans="31:31" x14ac:dyDescent="0.25">
      <c r="AE11993">
        <v>93.93</v>
      </c>
    </row>
    <row r="11994" spans="31:31" x14ac:dyDescent="0.25">
      <c r="AE11994">
        <v>0.27</v>
      </c>
    </row>
    <row r="11995" spans="31:31" x14ac:dyDescent="0.25">
      <c r="AE11995">
        <v>214.96</v>
      </c>
    </row>
    <row r="11996" spans="31:31" x14ac:dyDescent="0.25">
      <c r="AE11996">
        <v>209.41</v>
      </c>
    </row>
    <row r="11997" spans="31:31" x14ac:dyDescent="0.25">
      <c r="AE11997">
        <v>0.77</v>
      </c>
    </row>
    <row r="11998" spans="31:31" x14ac:dyDescent="0.25">
      <c r="AE11998">
        <v>89.04</v>
      </c>
    </row>
    <row r="11999" spans="31:31" x14ac:dyDescent="0.25">
      <c r="AE11999">
        <v>24.3</v>
      </c>
    </row>
    <row r="12000" spans="31:31" x14ac:dyDescent="0.25">
      <c r="AE12000">
        <v>21.06</v>
      </c>
    </row>
    <row r="12001" spans="31:31" x14ac:dyDescent="0.25">
      <c r="AE12001">
        <v>35.909999999999997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Combined_Data</vt:lpstr>
      <vt:lpstr>Pay as you go</vt:lpstr>
      <vt:lpstr>Reduced Tarrif</vt:lpstr>
      <vt:lpstr>Revenue Analysis</vt:lpstr>
      <vt:lpstr>Statistical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Murthy</dc:creator>
  <cp:lastModifiedBy>Chinmaya Murthy</cp:lastModifiedBy>
  <dcterms:created xsi:type="dcterms:W3CDTF">2025-03-19T10:09:19Z</dcterms:created>
  <dcterms:modified xsi:type="dcterms:W3CDTF">2025-03-21T12:02:51Z</dcterms:modified>
</cp:coreProperties>
</file>